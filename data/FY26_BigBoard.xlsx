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6 Miami" sheetId="1" r:id="rId4"/>
    <sheet state="visible" name="SeanRanks26" sheetId="2" r:id="rId5"/>
    <sheet state="visible" name="26 ADP Data" sheetId="3" r:id="rId6"/>
    <sheet state="visible" name="2026 Big Board" sheetId="4" r:id="rId7"/>
    <sheet state="visible" name="Kepners Team" sheetId="5" r:id="rId8"/>
    <sheet state="visible" name="2025 Miami" sheetId="6" r:id="rId9"/>
    <sheet state="visible" name="Miami Team" sheetId="7" r:id="rId10"/>
    <sheet state="visible" name="2025 Zimmer" sheetId="8" r:id="rId11"/>
    <sheet state="visible" name="2024 Zimmer" sheetId="9" r:id="rId12"/>
    <sheet state="visible" name="2025 Big Board" sheetId="10" r:id="rId13"/>
    <sheet state="visible" name="SeanRanks" sheetId="11" r:id="rId14"/>
    <sheet state="visible" name="ADP Data" sheetId="12" r:id="rId15"/>
    <sheet state="visible" name="2024 Kepners" sheetId="13" r:id="rId16"/>
    <sheet state="visible" name="2024 Miami" sheetId="14" r:id="rId17"/>
    <sheet state="visible" name="2023 Zimmer" sheetId="15" r:id="rId18"/>
    <sheet state="visible" name="2022 Zimmer" sheetId="16" r:id="rId19"/>
    <sheet state="visible" name="2021 Zimmer" sheetId="17" r:id="rId20"/>
    <sheet state="visible" name="2020 Zimmer" sheetId="18" r:id="rId21"/>
  </sheets>
  <definedNames>
    <definedName hidden="1" localSheetId="0" name="_xlnm._FilterDatabase">'2026 Miami'!$A$6:$Z$306</definedName>
    <definedName hidden="1" localSheetId="1" name="_xlnm._FilterDatabase">SeanRanks26!$A$2:$L$303</definedName>
    <definedName hidden="1" localSheetId="2" name="_xlnm._FilterDatabase">'26 ADP Data'!$A$4:$R$299</definedName>
    <definedName hidden="1" localSheetId="3" name="_xlnm._FilterDatabase">'2026 Big Board'!$A$6:$Y$306</definedName>
    <definedName hidden="1" localSheetId="5" name="_xlnm._FilterDatabase">'2025 Miami'!$A$6:$Z$306</definedName>
    <definedName hidden="1" localSheetId="7" name="_xlnm._FilterDatabase">'2025 Zimmer'!$A$6:$X$306</definedName>
    <definedName hidden="1" localSheetId="8" name="_xlnm._FilterDatabase">'2024 Zimmer'!$A$6:$X$305</definedName>
    <definedName hidden="1" localSheetId="9" name="_xlnm._FilterDatabase">'2025 Big Board'!$A$6:$Y$306</definedName>
    <definedName hidden="1" localSheetId="10" name="_xlnm._FilterDatabase">SeanRanks!$A$2:$J$303</definedName>
    <definedName hidden="1" localSheetId="11" name="_xlnm._FilterDatabase">'ADP Data'!$A$4:$R$302</definedName>
    <definedName hidden="1" localSheetId="12" name="_xlnm._FilterDatabase">'2024 Kepners'!$A$6:$Z$306</definedName>
    <definedName hidden="1" localSheetId="13" name="_xlnm._FilterDatabase">'2024 Miami'!$A$6:$Z$306</definedName>
    <definedName hidden="1" localSheetId="14" name="_xlnm._FilterDatabase">'2023 Zimmer'!$A$6:$X$307</definedName>
    <definedName hidden="1" localSheetId="15" name="_xlnm._FilterDatabase">'2022 Zimmer'!$A$6:$X$302</definedName>
    <definedName hidden="1" localSheetId="16" name="_xlnm._FilterDatabase">'2021 Zimmer'!$A$5:$V$282</definedName>
    <definedName hidden="1" localSheetId="17" name="_xlnm._FilterDatabase">'2020 Zimmer'!$A$13:$S$336</definedName>
  </definedNames>
  <calcPr/>
  <extLst>
    <ext uri="GoogleSheetsCustomDataVersion2">
      <go:sheetsCustomData xmlns:go="http://customooxmlschemas.google.com/" r:id="rId22" roundtripDataChecksum="Gm4qJ6heTaBA/ZqLA194xoJHAP4LKNYLCg2fEVyMZAc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H2">
      <text>
        <t xml:space="preserve">======
ID#AAACEG7Gaj0
Sean Mullins    (2026-07-26 14:11:53)
Mostly populate this with Rookie info</t>
      </text>
    </comment>
  </commentList>
  <extLst>
    <ext uri="GoogleSheetsCustomDataVersion2">
      <go:sheetsCustomData xmlns:go="http://customooxmlschemas.google.com/" r:id="rId1" roundtripDataSignature="AMtx7mjGntVNrjIkoXSzHEdJ5ghKJopODw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H2">
      <text>
        <t xml:space="preserve">======
ID#AAACEG7Gajw
Sean Mullins    (2026-07-26 14:11:53)
Mostly populate this with Rookie info</t>
      </text>
    </comment>
  </commentList>
  <extLst>
    <ext uri="GoogleSheetsCustomDataVersion2">
      <go:sheetsCustomData xmlns:go="http://customooxmlschemas.google.com/" r:id="rId1" roundtripDataSignature="AMtx7mi4TssG9Mw0Y4Lr7h5awT+ytl994Q=="/>
    </ext>
  </extLst>
</comments>
</file>

<file path=xl/sharedStrings.xml><?xml version="1.0" encoding="utf-8"?>
<sst xmlns="http://schemas.openxmlformats.org/spreadsheetml/2006/main" count="19656" uniqueCount="1663">
  <si>
    <t>2024 Kepners</t>
  </si>
  <si>
    <t>Past Data From: https://www.4for4.com/adp?paging=0</t>
  </si>
  <si>
    <t>Data as of 9/2/25</t>
  </si>
  <si>
    <t>2026 Kepners</t>
  </si>
  <si>
    <t>Round</t>
  </si>
  <si>
    <t>Player</t>
  </si>
  <si>
    <t>ADP</t>
  </si>
  <si>
    <t>Team</t>
  </si>
  <si>
    <t>Position</t>
  </si>
  <si>
    <t>Target Round</t>
  </si>
  <si>
    <t>Like</t>
  </si>
  <si>
    <t>Tier</t>
  </si>
  <si>
    <t>Sean Pos Rank</t>
  </si>
  <si>
    <t>CBS</t>
  </si>
  <si>
    <t>Notes</t>
  </si>
  <si>
    <t>ESPN</t>
  </si>
  <si>
    <t>Underdog</t>
  </si>
  <si>
    <t>Y!</t>
  </si>
  <si>
    <t>Fantrax</t>
  </si>
  <si>
    <t>Old Y Rank (as of ~7/18/26)</t>
  </si>
  <si>
    <t>FFPC</t>
  </si>
  <si>
    <t>NFFC</t>
  </si>
  <si>
    <t xml:space="preserve"> </t>
  </si>
  <si>
    <t>NFL</t>
  </si>
  <si>
    <t>Sleeper</t>
  </si>
  <si>
    <t>Jahmyr Gibbs</t>
  </si>
  <si>
    <t>Download List from: https://www.4for4.com/adp?paging=0</t>
  </si>
  <si>
    <t>BB10s</t>
  </si>
  <si>
    <t>Research Action Items</t>
  </si>
  <si>
    <t>Drafters</t>
  </si>
  <si>
    <t>First Pick</t>
  </si>
  <si>
    <t>10-Team</t>
  </si>
  <si>
    <t>Targets</t>
  </si>
  <si>
    <t>12-Team</t>
  </si>
  <si>
    <t>RB-01</t>
  </si>
  <si>
    <t>DET</t>
  </si>
  <si>
    <t>-</t>
  </si>
  <si>
    <t>RB1 - 1 - Elite</t>
  </si>
  <si>
    <t>RB-02</t>
  </si>
  <si>
    <t>Bijan Robinson</t>
  </si>
  <si>
    <t>ATL</t>
  </si>
  <si>
    <t>1. Finalize Keeper Dat</t>
  </si>
  <si>
    <t>Second Pick</t>
  </si>
  <si>
    <t>WR-01</t>
  </si>
  <si>
    <t>Ja'Marr Chase</t>
  </si>
  <si>
    <t>CIN</t>
  </si>
  <si>
    <t>Cum Targets</t>
  </si>
  <si>
    <t>WR-02</t>
  </si>
  <si>
    <t>Puka Nacua</t>
  </si>
  <si>
    <t>LAR</t>
  </si>
  <si>
    <t>WR-03</t>
  </si>
  <si>
    <t>Jaxon Smith-Njigba</t>
  </si>
  <si>
    <t>SEA</t>
  </si>
  <si>
    <t>2. Populate Target Rounds</t>
  </si>
  <si>
    <t>My Pick</t>
  </si>
  <si>
    <t>1. Finalize Keeper Data</t>
  </si>
  <si>
    <t>RB-03</t>
  </si>
  <si>
    <t>Christian McCaffrey</t>
  </si>
  <si>
    <t>SF</t>
  </si>
  <si>
    <t>WR1 - 1 - Elite</t>
  </si>
  <si>
    <t>RB-04</t>
  </si>
  <si>
    <t>Jonathan Taylor</t>
  </si>
  <si>
    <t>IND</t>
  </si>
  <si>
    <t>WR-04</t>
  </si>
  <si>
    <t>Amon-Ra St. Brown</t>
  </si>
  <si>
    <t>RB-05</t>
  </si>
  <si>
    <t>James Cook</t>
  </si>
  <si>
    <t>BUF</t>
  </si>
  <si>
    <t>Enough Targets?</t>
  </si>
  <si>
    <t>WR-05</t>
  </si>
  <si>
    <t>CeeDee Lamb</t>
  </si>
  <si>
    <t>DAL</t>
  </si>
  <si>
    <t>My Team</t>
  </si>
  <si>
    <t>WR-06</t>
  </si>
  <si>
    <t>Justin Jefferson</t>
  </si>
  <si>
    <t>MIN</t>
  </si>
  <si>
    <t>Average Round</t>
  </si>
  <si>
    <t>Available?</t>
  </si>
  <si>
    <t>Draft Prep Mock</t>
  </si>
  <si>
    <t>RB-06</t>
  </si>
  <si>
    <t>Chase Brown</t>
  </si>
  <si>
    <t>Yahoo Avg Rnd</t>
  </si>
  <si>
    <t>Avg Dif</t>
  </si>
  <si>
    <t>RB-07</t>
  </si>
  <si>
    <t>Saquon Barkley</t>
  </si>
  <si>
    <t>PHI</t>
  </si>
  <si>
    <t>Underdog Diff</t>
  </si>
  <si>
    <t>AVG RK</t>
  </si>
  <si>
    <t>Avg Rd</t>
  </si>
  <si>
    <t>My Diff</t>
  </si>
  <si>
    <t>Diff from Old Rank</t>
  </si>
  <si>
    <t>RB-08</t>
  </si>
  <si>
    <t>De'Von Achane</t>
  </si>
  <si>
    <t>RB1 - 2 - Could be RB1</t>
  </si>
  <si>
    <t>MIA</t>
  </si>
  <si>
    <t>No</t>
  </si>
  <si>
    <t>RB-09</t>
  </si>
  <si>
    <t>Ashton Jeanty</t>
  </si>
  <si>
    <t>LV</t>
  </si>
  <si>
    <t>RB-10</t>
  </si>
  <si>
    <t>WR1 - 2 - Volotile</t>
  </si>
  <si>
    <t>Kenneth Walker</t>
  </si>
  <si>
    <t>KC</t>
  </si>
  <si>
    <t>RB-11</t>
  </si>
  <si>
    <t>Omarion Hampton</t>
  </si>
  <si>
    <t>LAC</t>
  </si>
  <si>
    <t>Yes</t>
  </si>
  <si>
    <t>RB-12</t>
  </si>
  <si>
    <t>Derrick Henry</t>
  </si>
  <si>
    <t>BAL</t>
  </si>
  <si>
    <t>TE-01</t>
  </si>
  <si>
    <t>Brock Bowers</t>
  </si>
  <si>
    <t>WR-07</t>
  </si>
  <si>
    <t>A.J. Brown</t>
  </si>
  <si>
    <t>Drake London</t>
  </si>
  <si>
    <t>WR-08</t>
  </si>
  <si>
    <t>NE</t>
  </si>
  <si>
    <t>WR-09</t>
  </si>
  <si>
    <t>Nico Collins</t>
  </si>
  <si>
    <t>HOU</t>
  </si>
  <si>
    <t>WR-10</t>
  </si>
  <si>
    <t>George Pickens</t>
  </si>
  <si>
    <t>RB1 - 3 - Weekly RB1</t>
  </si>
  <si>
    <t>TE-02</t>
  </si>
  <si>
    <t>Trey McBride</t>
  </si>
  <si>
    <t>ARI</t>
  </si>
  <si>
    <t>WR-11</t>
  </si>
  <si>
    <t>Malik Nabers</t>
  </si>
  <si>
    <t>NYG</t>
  </si>
  <si>
    <t>WR-12</t>
  </si>
  <si>
    <t>Chris Olave</t>
  </si>
  <si>
    <t>NO</t>
  </si>
  <si>
    <t>Tyreek Hill</t>
  </si>
  <si>
    <t>WR-13</t>
  </si>
  <si>
    <t>Rashee Rice</t>
  </si>
  <si>
    <t>QB-01</t>
  </si>
  <si>
    <t>Josh Allen</t>
  </si>
  <si>
    <t>RB-13</t>
  </si>
  <si>
    <t>Kyren Williams</t>
  </si>
  <si>
    <t>RB-14</t>
  </si>
  <si>
    <t>Jeremiyah Love</t>
  </si>
  <si>
    <t>WR-14</t>
  </si>
  <si>
    <t>DeVonta Smith</t>
  </si>
  <si>
    <t>RB-15</t>
  </si>
  <si>
    <t>Javonte Williams</t>
  </si>
  <si>
    <t>FFB My Guy</t>
  </si>
  <si>
    <t>RB-16</t>
  </si>
  <si>
    <t>Breece Hall</t>
  </si>
  <si>
    <t>NYJ</t>
  </si>
  <si>
    <t>WR-15</t>
  </si>
  <si>
    <t>Zay Flowers</t>
  </si>
  <si>
    <t>X</t>
  </si>
  <si>
    <t>RB-17</t>
  </si>
  <si>
    <t>Josh Jacobs</t>
  </si>
  <si>
    <t>GB</t>
  </si>
  <si>
    <t>WR-16</t>
  </si>
  <si>
    <t>Garrett Wilson</t>
  </si>
  <si>
    <t>WR-17</t>
  </si>
  <si>
    <t>Tee Higgins</t>
  </si>
  <si>
    <t>2025 Rookie R1.22. FFB My Guy</t>
  </si>
  <si>
    <t>WR-18</t>
  </si>
  <si>
    <t>Emeka Egbuka</t>
  </si>
  <si>
    <t>TB</t>
  </si>
  <si>
    <t>WR-19</t>
  </si>
  <si>
    <t>Tetairoa McMillan</t>
  </si>
  <si>
    <t>CAR</t>
  </si>
  <si>
    <t>TE1 - 1 - Elite</t>
  </si>
  <si>
    <t>RB-18</t>
  </si>
  <si>
    <t>Travis Etienne</t>
  </si>
  <si>
    <t>TE-03</t>
  </si>
  <si>
    <t>Colston Loveland</t>
  </si>
  <si>
    <t>CHI</t>
  </si>
  <si>
    <t>WR-20</t>
  </si>
  <si>
    <t>Ladd McConkey</t>
  </si>
  <si>
    <t>WR-21</t>
  </si>
  <si>
    <t>Jaylen Waddle</t>
  </si>
  <si>
    <t>DEN</t>
  </si>
  <si>
    <t>RB-19</t>
  </si>
  <si>
    <t>Cam Skattebo</t>
  </si>
  <si>
    <t>2025 Rookie R1.6</t>
  </si>
  <si>
    <t>RB-20</t>
  </si>
  <si>
    <t>D'Andre Swift</t>
  </si>
  <si>
    <t>QB-02</t>
  </si>
  <si>
    <t>Lamar Jackson</t>
  </si>
  <si>
    <t>RB-21</t>
  </si>
  <si>
    <t>David Montgomery</t>
  </si>
  <si>
    <t>WR-22</t>
  </si>
  <si>
    <t>D.J. Moore</t>
  </si>
  <si>
    <t>WR-23</t>
  </si>
  <si>
    <t>Luther Burden</t>
  </si>
  <si>
    <t>WR-24</t>
  </si>
  <si>
    <t>Terry McLaurin</t>
  </si>
  <si>
    <t>WAS</t>
  </si>
  <si>
    <t>RB-22</t>
  </si>
  <si>
    <t>Quinshon Judkins</t>
  </si>
  <si>
    <t>CLE</t>
  </si>
  <si>
    <t>WR-25</t>
  </si>
  <si>
    <t>Davante Adams</t>
  </si>
  <si>
    <t>RB-23</t>
  </si>
  <si>
    <t>Bucky Irving</t>
  </si>
  <si>
    <t>TE-04</t>
  </si>
  <si>
    <t>Tyler Warren</t>
  </si>
  <si>
    <t>WR-26</t>
  </si>
  <si>
    <t>Jameson Williams</t>
  </si>
  <si>
    <t>RB-24</t>
  </si>
  <si>
    <t>Bhayshul Tuten</t>
  </si>
  <si>
    <t>JAX</t>
  </si>
  <si>
    <t>WR-27</t>
  </si>
  <si>
    <t>Rome Odunze</t>
  </si>
  <si>
    <t>QB-03</t>
  </si>
  <si>
    <t>Drake Maye</t>
  </si>
  <si>
    <t>QB-04</t>
  </si>
  <si>
    <t>Joe Burrow</t>
  </si>
  <si>
    <t>RB-25</t>
  </si>
  <si>
    <t>Jadarian Price</t>
  </si>
  <si>
    <t>RB-26</t>
  </si>
  <si>
    <t>TreVeyon Henderson</t>
  </si>
  <si>
    <t>WR-28</t>
  </si>
  <si>
    <t>Christian Watson</t>
  </si>
  <si>
    <t>WR-29</t>
  </si>
  <si>
    <t>Mike Evans</t>
  </si>
  <si>
    <t>WR-30</t>
  </si>
  <si>
    <t>Parker Washington</t>
  </si>
  <si>
    <t>QB-05</t>
  </si>
  <si>
    <t>Jayden Daniels</t>
  </si>
  <si>
    <t>RB-27</t>
  </si>
  <si>
    <t>Rhamondre Stevenson</t>
  </si>
  <si>
    <t>WR-31</t>
  </si>
  <si>
    <t>Marvin Harrison Jr.</t>
  </si>
  <si>
    <t>WR-32</t>
  </si>
  <si>
    <t>Carnell Tate</t>
  </si>
  <si>
    <t>TEN</t>
  </si>
  <si>
    <t>QB-06</t>
  </si>
  <si>
    <t>QB1 - 1 - Elite</t>
  </si>
  <si>
    <t>Jalen Hurts</t>
  </si>
  <si>
    <t>RB-28</t>
  </si>
  <si>
    <t>Jaylen Warren</t>
  </si>
  <si>
    <t>PIT</t>
  </si>
  <si>
    <t>TE-05</t>
  </si>
  <si>
    <t>Tucker Kraft</t>
  </si>
  <si>
    <t>RB1 - 4 - More Qs</t>
  </si>
  <si>
    <t>WR-33</t>
  </si>
  <si>
    <t>Brian Thomas Jr.</t>
  </si>
  <si>
    <t>QB-07</t>
  </si>
  <si>
    <t>Caleb Williams</t>
  </si>
  <si>
    <t>TE-06</t>
  </si>
  <si>
    <t>Sam LaPorta</t>
  </si>
  <si>
    <t>TE-07</t>
  </si>
  <si>
    <t>Kyle Pitts</t>
  </si>
  <si>
    <t>WR-34</t>
  </si>
  <si>
    <t>DK Metcalf</t>
  </si>
  <si>
    <t>WR2 - 1 - High Ceiling</t>
  </si>
  <si>
    <t>RB-29</t>
  </si>
  <si>
    <t>Jonathon Brooks</t>
  </si>
  <si>
    <t>RB-30</t>
  </si>
  <si>
    <t>Tony Pollard</t>
  </si>
  <si>
    <t>TE-08</t>
  </si>
  <si>
    <t>Harold Fannin</t>
  </si>
  <si>
    <t>QB-08</t>
  </si>
  <si>
    <t>Dak Prescott</t>
  </si>
  <si>
    <t>WR-35</t>
  </si>
  <si>
    <t>Courtland Sutton</t>
  </si>
  <si>
    <t>RB-31</t>
  </si>
  <si>
    <t>Rico Dowdle</t>
  </si>
  <si>
    <t>QB-09</t>
  </si>
  <si>
    <t>Rookie R1.3</t>
  </si>
  <si>
    <t>Justin Herbert</t>
  </si>
  <si>
    <t>QB-10</t>
  </si>
  <si>
    <t>Trevor Lawrence</t>
  </si>
  <si>
    <t>WR-36</t>
  </si>
  <si>
    <t>Chris Godwin</t>
  </si>
  <si>
    <t>RB2 - 1 - Weekly Start</t>
  </si>
  <si>
    <t>WR-37</t>
  </si>
  <si>
    <t>Michael Wilson</t>
  </si>
  <si>
    <t>RB-32</t>
  </si>
  <si>
    <t>RJ Harvey</t>
  </si>
  <si>
    <t>2025 R1</t>
  </si>
  <si>
    <t>RB-33</t>
  </si>
  <si>
    <t>J.K. Dobbins</t>
  </si>
  <si>
    <t>WR-38</t>
  </si>
  <si>
    <t>Quentin Johnston</t>
  </si>
  <si>
    <t>RB-34</t>
  </si>
  <si>
    <t>Blake Corum</t>
  </si>
  <si>
    <t>TE-09</t>
  </si>
  <si>
    <t>George Kittle</t>
  </si>
  <si>
    <t>WR-39</t>
  </si>
  <si>
    <t>Michael Pittman Jr.</t>
  </si>
  <si>
    <t>RB-35</t>
  </si>
  <si>
    <t>Chuba Hubbard</t>
  </si>
  <si>
    <t>WR-40</t>
  </si>
  <si>
    <t>Alec Pierce</t>
  </si>
  <si>
    <t>WR-41</t>
  </si>
  <si>
    <t>Josh Downs</t>
  </si>
  <si>
    <t>RB-36</t>
  </si>
  <si>
    <t>Kenneth Gainwell</t>
  </si>
  <si>
    <t>QB-11</t>
  </si>
  <si>
    <t>Jaxson Dart</t>
  </si>
  <si>
    <t>TE1 - 2 - Weekly Advantage</t>
  </si>
  <si>
    <t>WR-42</t>
  </si>
  <si>
    <t>Stefon Diggs</t>
  </si>
  <si>
    <t>WR-43</t>
  </si>
  <si>
    <t>Jayden Reed</t>
  </si>
  <si>
    <t>WR-44</t>
  </si>
  <si>
    <t>Jordan Addison</t>
  </si>
  <si>
    <t>WR2 - 2 - Lower Floor</t>
  </si>
  <si>
    <t>RB-37</t>
  </si>
  <si>
    <t>Jacory Croskey-Merritt</t>
  </si>
  <si>
    <t>WR-45</t>
  </si>
  <si>
    <t>Wan'Dale Robinson</t>
  </si>
  <si>
    <t>QB-12</t>
  </si>
  <si>
    <t>Matthew Stafford</t>
  </si>
  <si>
    <t>2025 Rookie R2</t>
  </si>
  <si>
    <t>RB-38</t>
  </si>
  <si>
    <t>Jordan Mason</t>
  </si>
  <si>
    <t>QB-13</t>
  </si>
  <si>
    <t>Brock Purdy</t>
  </si>
  <si>
    <t>WR-46</t>
  </si>
  <si>
    <t>Makai Lemon</t>
  </si>
  <si>
    <t>QB-14</t>
  </si>
  <si>
    <t>Patrick Mahomes</t>
  </si>
  <si>
    <t>TE-10</t>
  </si>
  <si>
    <t>Travis Kelce</t>
  </si>
  <si>
    <t>RB-39</t>
  </si>
  <si>
    <t>Kyle Monangai</t>
  </si>
  <si>
    <t>Rookie R1.4.  FFB My Guy</t>
  </si>
  <si>
    <t>QB-15</t>
  </si>
  <si>
    <t>Bo Nix</t>
  </si>
  <si>
    <t>TE-11</t>
  </si>
  <si>
    <t>Dallas Goedert</t>
  </si>
  <si>
    <t>WR-47</t>
  </si>
  <si>
    <t>Matthew Golden</t>
  </si>
  <si>
    <t>RB-40</t>
  </si>
  <si>
    <t>Rachaad White</t>
  </si>
  <si>
    <t>TE-12</t>
  </si>
  <si>
    <t>Dalton Kincaid</t>
  </si>
  <si>
    <t>QB1 - 2 - Very Good</t>
  </si>
  <si>
    <t>TE-13</t>
  </si>
  <si>
    <t>Isaiah Likely</t>
  </si>
  <si>
    <t>WR-48</t>
  </si>
  <si>
    <t>De'Zhaun Stribling</t>
  </si>
  <si>
    <t>2025 Rookie R4</t>
  </si>
  <si>
    <t>WR-49</t>
  </si>
  <si>
    <t>Jakobi Meyers</t>
  </si>
  <si>
    <t>WR-50</t>
  </si>
  <si>
    <t>KC Concepcion</t>
  </si>
  <si>
    <t>QB-16</t>
  </si>
  <si>
    <t>Jared Goff</t>
  </si>
  <si>
    <t>TE-14</t>
  </si>
  <si>
    <t>Jake Ferguson</t>
  </si>
  <si>
    <t>RB-41</t>
  </si>
  <si>
    <t>Aaron Jones</t>
  </si>
  <si>
    <t>2024 Rookie R4</t>
  </si>
  <si>
    <t>WR-51</t>
  </si>
  <si>
    <t>Xavier Worthy</t>
  </si>
  <si>
    <t>WR-52</t>
  </si>
  <si>
    <t>Jordyn Tyson</t>
  </si>
  <si>
    <t>TE-15</t>
  </si>
  <si>
    <t>Mark Andrews</t>
  </si>
  <si>
    <t>WR-53</t>
  </si>
  <si>
    <t>Romeo Doubs</t>
  </si>
  <si>
    <t>QB-17</t>
  </si>
  <si>
    <t>Kyler Murray</t>
  </si>
  <si>
    <t>Rookie R1.32</t>
  </si>
  <si>
    <t>WR-54</t>
  </si>
  <si>
    <t>Deebo Samuel</t>
  </si>
  <si>
    <t>RB-42</t>
  </si>
  <si>
    <t>Chris Rodriguez</t>
  </si>
  <si>
    <t>WR3 - 1 - Clear path to WR2</t>
  </si>
  <si>
    <t>QB-18</t>
  </si>
  <si>
    <t>Baker Mayfield</t>
  </si>
  <si>
    <t>WR-55</t>
  </si>
  <si>
    <t>Jalen Coker</t>
  </si>
  <si>
    <t>RB2 - 2 - 2 of 3</t>
  </si>
  <si>
    <t>WR-56</t>
  </si>
  <si>
    <t>Khalil Shakir</t>
  </si>
  <si>
    <t>QB-19</t>
  </si>
  <si>
    <t>Jordan Love</t>
  </si>
  <si>
    <t>RB-43</t>
  </si>
  <si>
    <t>Woody Marks</t>
  </si>
  <si>
    <t>RB-44</t>
  </si>
  <si>
    <t>Tyler Allgeier</t>
  </si>
  <si>
    <t>QB-20</t>
  </si>
  <si>
    <t>Tyler Shough</t>
  </si>
  <si>
    <t>QB1 - 3 - Weekly Starter</t>
  </si>
  <si>
    <t>WR-57</t>
  </si>
  <si>
    <t>Rashid Shaheed</t>
  </si>
  <si>
    <t>RB-45</t>
  </si>
  <si>
    <t>Keaton Mitchell</t>
  </si>
  <si>
    <t>TE-16</t>
  </si>
  <si>
    <t>Juwan Johnson</t>
  </si>
  <si>
    <t>RB-46</t>
  </si>
  <si>
    <t>Zach Charbonnet</t>
  </si>
  <si>
    <t>RB-47</t>
  </si>
  <si>
    <t>Tyjae Spears</t>
  </si>
  <si>
    <t>RB-48</t>
  </si>
  <si>
    <t>Mike Washington Jr.</t>
  </si>
  <si>
    <t>QB-21</t>
  </si>
  <si>
    <t>Malik Willis</t>
  </si>
  <si>
    <t>TE-17</t>
  </si>
  <si>
    <t>Brenton Strange</t>
  </si>
  <si>
    <t>WR-58</t>
  </si>
  <si>
    <t>Denzel Boston</t>
  </si>
  <si>
    <t>RB-49</t>
  </si>
  <si>
    <t>Jonah Coleman</t>
  </si>
  <si>
    <t>TE-18</t>
  </si>
  <si>
    <t>Hunter Henry</t>
  </si>
  <si>
    <t>RB-50</t>
  </si>
  <si>
    <t>Tank Bigsby</t>
  </si>
  <si>
    <t>TE-19</t>
  </si>
  <si>
    <t>Chigoziem Okonkwo</t>
  </si>
  <si>
    <t>QB-22</t>
  </si>
  <si>
    <t>Daniel Jones</t>
  </si>
  <si>
    <t>WR-59</t>
  </si>
  <si>
    <t>Tre Tucker</t>
  </si>
  <si>
    <t>2025 R2</t>
  </si>
  <si>
    <t>RB-51</t>
  </si>
  <si>
    <t>Alvin Kamara</t>
  </si>
  <si>
    <t>RB-52</t>
  </si>
  <si>
    <t>Isiah Pacheco</t>
  </si>
  <si>
    <t>TE-20</t>
  </si>
  <si>
    <t>Dalton Schultz</t>
  </si>
  <si>
    <t>RB-53</t>
  </si>
  <si>
    <t>Brian Robinson</t>
  </si>
  <si>
    <t>QB-23</t>
  </si>
  <si>
    <t>C.J. Stroud</t>
  </si>
  <si>
    <t>TE-21</t>
  </si>
  <si>
    <t>T.J. Hockenson</t>
  </si>
  <si>
    <t>WR-60</t>
  </si>
  <si>
    <t>Keenan Allen</t>
  </si>
  <si>
    <t>Ankle injury.  Verify before draft</t>
  </si>
  <si>
    <t>TE-22</t>
  </si>
  <si>
    <t>Kenyon Sadiq</t>
  </si>
  <si>
    <t>TE-23</t>
  </si>
  <si>
    <t>AJ Barner</t>
  </si>
  <si>
    <t>RB-54</t>
  </si>
  <si>
    <t>Tyrone Tracy</t>
  </si>
  <si>
    <t>WR-61</t>
  </si>
  <si>
    <t>Jerry Jeudy</t>
  </si>
  <si>
    <t>RB-55</t>
  </si>
  <si>
    <t>MarShawn Lloyd</t>
  </si>
  <si>
    <t>RB3</t>
  </si>
  <si>
    <t>QB-24</t>
  </si>
  <si>
    <t>Sam Darnold</t>
  </si>
  <si>
    <t>WR-62</t>
  </si>
  <si>
    <t>Calvin Ridley</t>
  </si>
  <si>
    <t>TE-24</t>
  </si>
  <si>
    <t>Terrance Ferguson</t>
  </si>
  <si>
    <t>RB-56</t>
  </si>
  <si>
    <t>Dylan Sampson</t>
  </si>
  <si>
    <t>WR-63</t>
  </si>
  <si>
    <t>Rookie R2 Ole Miss. FFB My Guy</t>
  </si>
  <si>
    <t>Jalen McMillan</t>
  </si>
  <si>
    <t>'-</t>
  </si>
  <si>
    <t>WR-64</t>
  </si>
  <si>
    <t>Jalen Nailor</t>
  </si>
  <si>
    <t>WR-65</t>
  </si>
  <si>
    <t>Ja'Kobi Lane</t>
  </si>
  <si>
    <t>WR-66</t>
  </si>
  <si>
    <t>Cooper Kupp</t>
  </si>
  <si>
    <t>RB-57</t>
  </si>
  <si>
    <t>Braelon Allen</t>
  </si>
  <si>
    <t>QB1 - 4 - Lower Floor</t>
  </si>
  <si>
    <t>WR-67</t>
  </si>
  <si>
    <t>Cyrus Allen</t>
  </si>
  <si>
    <t>WR-68</t>
  </si>
  <si>
    <t>Travis Hunter</t>
  </si>
  <si>
    <t>TE1 - 3 - Weekly starter</t>
  </si>
  <si>
    <t>WR-69</t>
  </si>
  <si>
    <t>Jauan Jennings</t>
  </si>
  <si>
    <t>QB-25</t>
  </si>
  <si>
    <t>Cam Ward</t>
  </si>
  <si>
    <t>WR-70</t>
  </si>
  <si>
    <t>Tank Dell</t>
  </si>
  <si>
    <t>2024 Rookie R2</t>
  </si>
  <si>
    <t>DEF-01</t>
  </si>
  <si>
    <t>Houston Texans</t>
  </si>
  <si>
    <t>WR-71</t>
  </si>
  <si>
    <t>Adonai Mitchell</t>
  </si>
  <si>
    <t>RB-58</t>
  </si>
  <si>
    <t>Kaelon Black</t>
  </si>
  <si>
    <t>QB-26</t>
  </si>
  <si>
    <t>Bryce Young</t>
  </si>
  <si>
    <t>WR4 - 1 - Path to WR2</t>
  </si>
  <si>
    <t>DEF-02</t>
  </si>
  <si>
    <t>2026 6th rd WR</t>
  </si>
  <si>
    <t>Denver Broncos</t>
  </si>
  <si>
    <t>DEF-03</t>
  </si>
  <si>
    <t>Los Angeles Rams</t>
  </si>
  <si>
    <t>TE-25</t>
  </si>
  <si>
    <t>Greg Dulcich</t>
  </si>
  <si>
    <t>DEF-04</t>
  </si>
  <si>
    <t>Seattle Seahawks</t>
  </si>
  <si>
    <t>QB-27</t>
  </si>
  <si>
    <t>Fernando Mendoza</t>
  </si>
  <si>
    <t>DEF-05</t>
  </si>
  <si>
    <t>Philadelphia Eagles</t>
  </si>
  <si>
    <t>Rookie R1.20 USC</t>
  </si>
  <si>
    <t>RB-59</t>
  </si>
  <si>
    <t>James Conner</t>
  </si>
  <si>
    <t>TE-26</t>
  </si>
  <si>
    <t>Oronde Gadsden</t>
  </si>
  <si>
    <t>DEF-06</t>
  </si>
  <si>
    <t>Pittsburgh Steelers</t>
  </si>
  <si>
    <t>DEF-07</t>
  </si>
  <si>
    <t>New England Patriots</t>
  </si>
  <si>
    <t>WR-72</t>
  </si>
  <si>
    <t>Tre' Harris</t>
  </si>
  <si>
    <t>WR-73</t>
  </si>
  <si>
    <t>Dontayvion Wicks</t>
  </si>
  <si>
    <t>WR-74</t>
  </si>
  <si>
    <t>Omar Cooper Jr.</t>
  </si>
  <si>
    <t>2024 Rookie R3</t>
  </si>
  <si>
    <t>DEF-08</t>
  </si>
  <si>
    <t>Baltimore Ravens</t>
  </si>
  <si>
    <t>DEF-09</t>
  </si>
  <si>
    <t>Minnesota Vikings</t>
  </si>
  <si>
    <t>WR-75</t>
  </si>
  <si>
    <t>Malik Washington</t>
  </si>
  <si>
    <t>WR-76</t>
  </si>
  <si>
    <t>Ryan Flournoy</t>
  </si>
  <si>
    <t>RB-60</t>
  </si>
  <si>
    <t>Ray Davis</t>
  </si>
  <si>
    <t>RB-61</t>
  </si>
  <si>
    <t>Emmett Johnson</t>
  </si>
  <si>
    <t>RB-62</t>
  </si>
  <si>
    <t>Jaydon Blue</t>
  </si>
  <si>
    <t>WR-77</t>
  </si>
  <si>
    <t>Kayshon Boutte</t>
  </si>
  <si>
    <t>DEF-10</t>
  </si>
  <si>
    <t>Jacksonville Jaguars</t>
  </si>
  <si>
    <t>2025 Rookie R7</t>
  </si>
  <si>
    <t>DEF-11</t>
  </si>
  <si>
    <t>Los Angeles Chargers</t>
  </si>
  <si>
    <t>WR-78</t>
  </si>
  <si>
    <t>Caleb Douglas</t>
  </si>
  <si>
    <t>WR-79</t>
  </si>
  <si>
    <t>Pat Bryant</t>
  </si>
  <si>
    <t>DEF-12</t>
  </si>
  <si>
    <t>Detroit Lions</t>
  </si>
  <si>
    <t>RB-63</t>
  </si>
  <si>
    <t>Kimani Vidal</t>
  </si>
  <si>
    <t>QB2 - 1 - Strong Streamer</t>
  </si>
  <si>
    <t>K-1</t>
  </si>
  <si>
    <t>Brandon Aubrey</t>
  </si>
  <si>
    <t>WR-80</t>
  </si>
  <si>
    <t>Isaac TeSlaa</t>
  </si>
  <si>
    <t>WR4 - 2 - Spot Start</t>
  </si>
  <si>
    <t>WR-81</t>
  </si>
  <si>
    <t>Zachariah Branch</t>
  </si>
  <si>
    <t>QB-28</t>
  </si>
  <si>
    <t>Aaron Rodgers</t>
  </si>
  <si>
    <t>TE-27</t>
  </si>
  <si>
    <t>Pat Freiermuth</t>
  </si>
  <si>
    <t>QB-29</t>
  </si>
  <si>
    <t>Jacoby Brissett</t>
  </si>
  <si>
    <t>TE-28</t>
  </si>
  <si>
    <t>Cade Otton</t>
  </si>
  <si>
    <t>TE-29</t>
  </si>
  <si>
    <t>Gunnar Helm</t>
  </si>
  <si>
    <t>RB-64</t>
  </si>
  <si>
    <t>Nicholas Singleton</t>
  </si>
  <si>
    <t>RB-65</t>
  </si>
  <si>
    <t>Kaytron Allen</t>
  </si>
  <si>
    <t>DEF-13</t>
  </si>
  <si>
    <t>Green Bay Packers</t>
  </si>
  <si>
    <t>RB-66</t>
  </si>
  <si>
    <t>Sean Tucker</t>
  </si>
  <si>
    <t>WR-82</t>
  </si>
  <si>
    <t>Malachi Fields</t>
  </si>
  <si>
    <t>WR-83</t>
  </si>
  <si>
    <t>Ted Hurst</t>
  </si>
  <si>
    <t>DEF-14</t>
  </si>
  <si>
    <t>Kansas City Chiefs</t>
  </si>
  <si>
    <t>WR-84</t>
  </si>
  <si>
    <t>Antonio Williams</t>
  </si>
  <si>
    <t>RB-67</t>
  </si>
  <si>
    <t>Jordan James</t>
  </si>
  <si>
    <t>TE-30</t>
  </si>
  <si>
    <t>David Njoku</t>
  </si>
  <si>
    <t>K-2</t>
  </si>
  <si>
    <t>Ka'imi Fairbairn</t>
  </si>
  <si>
    <t>K-3</t>
  </si>
  <si>
    <t>Jason Myers</t>
  </si>
  <si>
    <t>WR-85</t>
  </si>
  <si>
    <t>Rashod Bateman</t>
  </si>
  <si>
    <t>K-4</t>
  </si>
  <si>
    <t>Cameron Dicker</t>
  </si>
  <si>
    <t>DEF-15</t>
  </si>
  <si>
    <t>Dallas Cowboys</t>
  </si>
  <si>
    <t>WR-86</t>
  </si>
  <si>
    <t>Darnell Mooney</t>
  </si>
  <si>
    <t>QB2 - 2 - Lower Floor</t>
  </si>
  <si>
    <t>K-5</t>
  </si>
  <si>
    <t>Cam Little</t>
  </si>
  <si>
    <t>QB-30</t>
  </si>
  <si>
    <t>Shedeur Sanders</t>
  </si>
  <si>
    <t>WR-87</t>
  </si>
  <si>
    <t>K-6</t>
  </si>
  <si>
    <t>Jake Bates</t>
  </si>
  <si>
    <t>TE-31</t>
  </si>
  <si>
    <t>Eli Stowers</t>
  </si>
  <si>
    <t>K-7</t>
  </si>
  <si>
    <t>Tyler Loop</t>
  </si>
  <si>
    <t>K-8</t>
  </si>
  <si>
    <t>Eddy Pineiro</t>
  </si>
  <si>
    <t>RB-68</t>
  </si>
  <si>
    <t>Justice Hill</t>
  </si>
  <si>
    <t>RB4</t>
  </si>
  <si>
    <t>RB-69</t>
  </si>
  <si>
    <t>Demond Claiborne</t>
  </si>
  <si>
    <t>RB-70</t>
  </si>
  <si>
    <t>George Holani</t>
  </si>
  <si>
    <t>WR-88</t>
  </si>
  <si>
    <t>Jaylin Noel</t>
  </si>
  <si>
    <t>WR-89</t>
  </si>
  <si>
    <t>Chris Bell</t>
  </si>
  <si>
    <t>K-9</t>
  </si>
  <si>
    <t>Will Reichard</t>
  </si>
  <si>
    <t>2025 Rookie R2 - UCF</t>
  </si>
  <si>
    <t>K-10</t>
  </si>
  <si>
    <t>Evan McPherson</t>
  </si>
  <si>
    <t>Ricky Pearsall</t>
  </si>
  <si>
    <t>QB-31</t>
  </si>
  <si>
    <t>Geno Smith</t>
  </si>
  <si>
    <t>Brandon Aiyuk</t>
  </si>
  <si>
    <t>DEF-16</t>
  </si>
  <si>
    <t>Buffalo Bills</t>
  </si>
  <si>
    <t>TE-32</t>
  </si>
  <si>
    <t>Colby Parkinson</t>
  </si>
  <si>
    <t>DEF-17</t>
  </si>
  <si>
    <t>Chicago Bears</t>
  </si>
  <si>
    <t>K-11</t>
  </si>
  <si>
    <t>Cairo Santos</t>
  </si>
  <si>
    <t>RB-71</t>
  </si>
  <si>
    <t>Jaylen Wright</t>
  </si>
  <si>
    <t>Check injury status</t>
  </si>
  <si>
    <t>WR-90</t>
  </si>
  <si>
    <t>Germie Bernard</t>
  </si>
  <si>
    <t>QB-32</t>
  </si>
  <si>
    <t>Tua Tagovailoa</t>
  </si>
  <si>
    <t>TE-33</t>
  </si>
  <si>
    <t>Jake Tonges</t>
  </si>
  <si>
    <t>WR-91</t>
  </si>
  <si>
    <t>Troy Franklin</t>
  </si>
  <si>
    <t>TE-34</t>
  </si>
  <si>
    <t>Mike Gesicki</t>
  </si>
  <si>
    <t>RB-72</t>
  </si>
  <si>
    <t>Malik Davis</t>
  </si>
  <si>
    <t>WR-92</t>
  </si>
  <si>
    <t>Jack Bech</t>
  </si>
  <si>
    <t>QB-33</t>
  </si>
  <si>
    <t>Kirk Cousins</t>
  </si>
  <si>
    <t>WR-93</t>
  </si>
  <si>
    <t>Christian Kirk</t>
  </si>
  <si>
    <t>K-12</t>
  </si>
  <si>
    <t>Harrison Mevis</t>
  </si>
  <si>
    <t>WR-94</t>
  </si>
  <si>
    <t>Devaughn Vele</t>
  </si>
  <si>
    <t>K-13</t>
  </si>
  <si>
    <t>Harrison Butker</t>
  </si>
  <si>
    <t>RB-73</t>
  </si>
  <si>
    <t>Najee Harris</t>
  </si>
  <si>
    <t>Rookie R1.8 ASU</t>
  </si>
  <si>
    <t>DEF-18</t>
  </si>
  <si>
    <t>Cleveland Browns</t>
  </si>
  <si>
    <t>TE-35</t>
  </si>
  <si>
    <t>Evan Engram</t>
  </si>
  <si>
    <t>K-14</t>
  </si>
  <si>
    <t>Chris Boswell</t>
  </si>
  <si>
    <t>RB-74</t>
  </si>
  <si>
    <t>Samaje Perine</t>
  </si>
  <si>
    <t>WR-95</t>
  </si>
  <si>
    <t>Keon Coleman</t>
  </si>
  <si>
    <t>WR-96</t>
  </si>
  <si>
    <t>Tyquan Thornton</t>
  </si>
  <si>
    <t>DEF-19</t>
  </si>
  <si>
    <t>San Francisco 49ers</t>
  </si>
  <si>
    <t>RB-75</t>
  </si>
  <si>
    <t>Ollie Gordon</t>
  </si>
  <si>
    <t>RB-76</t>
  </si>
  <si>
    <t>Adam Randall</t>
  </si>
  <si>
    <t>QB-34</t>
  </si>
  <si>
    <t>Michael Penix Jr.</t>
  </si>
  <si>
    <t>WR-97</t>
  </si>
  <si>
    <t>Tory Horton</t>
  </si>
  <si>
    <t>QB-35</t>
  </si>
  <si>
    <t>Deshaun Watson</t>
  </si>
  <si>
    <t>DEF-20</t>
  </si>
  <si>
    <t>New York Giants</t>
  </si>
  <si>
    <t>RB-77</t>
  </si>
  <si>
    <t>Emari Demercado</t>
  </si>
  <si>
    <t>TE-36</t>
  </si>
  <si>
    <t>Mason Taylor</t>
  </si>
  <si>
    <t>RB-78</t>
  </si>
  <si>
    <t>Emanuel Wilson</t>
  </si>
  <si>
    <t>RB-79</t>
  </si>
  <si>
    <t>Isaiah Davis</t>
  </si>
  <si>
    <t>WR-98</t>
  </si>
  <si>
    <t>WR-99</t>
  </si>
  <si>
    <t>Jayden Higgins</t>
  </si>
  <si>
    <t>TE-37</t>
  </si>
  <si>
    <t>Darren Waller</t>
  </si>
  <si>
    <t>RB-80</t>
  </si>
  <si>
    <t>Seth McGowan</t>
  </si>
  <si>
    <t>K-15</t>
  </si>
  <si>
    <t>Wil Lutz</t>
  </si>
  <si>
    <t>TE-38</t>
  </si>
  <si>
    <t>Michael Mayer</t>
  </si>
  <si>
    <t>TE-39</t>
  </si>
  <si>
    <t>Darnell Washington</t>
  </si>
  <si>
    <t>TE2</t>
  </si>
  <si>
    <t>K-16</t>
  </si>
  <si>
    <t>Andres Borregales</t>
  </si>
  <si>
    <t>WR-100</t>
  </si>
  <si>
    <t>Odell Beckham</t>
  </si>
  <si>
    <t>WR-101</t>
  </si>
  <si>
    <t>Xavier Hutchinson</t>
  </si>
  <si>
    <t>TE-40</t>
  </si>
  <si>
    <t>Dawson Knox</t>
  </si>
  <si>
    <t>TE-41</t>
  </si>
  <si>
    <t>Elijah Arroyo</t>
  </si>
  <si>
    <t>DEF-21</t>
  </si>
  <si>
    <t>Atlanta Falcons</t>
  </si>
  <si>
    <t>K-17</t>
  </si>
  <si>
    <t>Chase McLaughlin</t>
  </si>
  <si>
    <t>WR-102</t>
  </si>
  <si>
    <t>Bryce Lance</t>
  </si>
  <si>
    <t>TE-42</t>
  </si>
  <si>
    <t>Eli Raridon</t>
  </si>
  <si>
    <t>WR5</t>
  </si>
  <si>
    <t>Rookie R1.24 Texas A&amp;M</t>
  </si>
  <si>
    <t>DEF-22</t>
  </si>
  <si>
    <t>New Orleans Saints</t>
  </si>
  <si>
    <t>QB-36</t>
  </si>
  <si>
    <t>Carson Beck</t>
  </si>
  <si>
    <t>RB-81</t>
  </si>
  <si>
    <t>LeQuint Allen</t>
  </si>
  <si>
    <t>Rookie R2 Washington</t>
  </si>
  <si>
    <t>Firmly WR1 and culture guy.  Can start any wk as WR3</t>
  </si>
  <si>
    <t>Planned Picks</t>
  </si>
  <si>
    <t>Draft Position / Team Composition</t>
  </si>
  <si>
    <t>Mock draft scenarios through 3 rounds</t>
  </si>
  <si>
    <t>Team Name</t>
  </si>
  <si>
    <t>Demin</t>
  </si>
  <si>
    <t>Phony Grossi</t>
  </si>
  <si>
    <t>Ranus</t>
  </si>
  <si>
    <t>YaBoi</t>
  </si>
  <si>
    <t>ShaqList</t>
  </si>
  <si>
    <t>MattyDawgPound</t>
  </si>
  <si>
    <t>Pickups</t>
  </si>
  <si>
    <t>Browneye</t>
  </si>
  <si>
    <t>Football Guys</t>
  </si>
  <si>
    <t>Burrito</t>
  </si>
  <si>
    <t>Herdsmen</t>
  </si>
  <si>
    <t>Dads to Bone</t>
  </si>
  <si>
    <t>Pick 7</t>
  </si>
  <si>
    <t>Pick</t>
  </si>
  <si>
    <t>Manager</t>
  </si>
  <si>
    <t>Bobby</t>
  </si>
  <si>
    <t>Greene</t>
  </si>
  <si>
    <t>Mikey</t>
  </si>
  <si>
    <t>Neary</t>
  </si>
  <si>
    <t>Ditto</t>
  </si>
  <si>
    <t>Matty</t>
  </si>
  <si>
    <t>Mullins</t>
  </si>
  <si>
    <t>Scott</t>
  </si>
  <si>
    <t>Berdine</t>
  </si>
  <si>
    <t>Steve</t>
  </si>
  <si>
    <t>Weber</t>
  </si>
  <si>
    <t>Mike/Brad</t>
  </si>
  <si>
    <t>QB</t>
  </si>
  <si>
    <t>Daniels</t>
  </si>
  <si>
    <t>RB</t>
  </si>
  <si>
    <t>Irving</t>
  </si>
  <si>
    <t>Rookie R3 USC</t>
  </si>
  <si>
    <t>WR</t>
  </si>
  <si>
    <t>ASB</t>
  </si>
  <si>
    <t>Hunter</t>
  </si>
  <si>
    <t>Rookie R1.30 Indiana</t>
  </si>
  <si>
    <t>DJ Moore</t>
  </si>
  <si>
    <t>Jennings</t>
  </si>
  <si>
    <t>TE</t>
  </si>
  <si>
    <t>Kraft</t>
  </si>
  <si>
    <t>Kittle</t>
  </si>
  <si>
    <t>K</t>
  </si>
  <si>
    <t>DEF</t>
  </si>
  <si>
    <t>BEN</t>
  </si>
  <si>
    <t>Rookie R5 - PSU</t>
  </si>
  <si>
    <t>Rookie R3 Notre Dame</t>
  </si>
  <si>
    <t>Joe Mixon</t>
  </si>
  <si>
    <t>Rookie R3 Georgia</t>
  </si>
  <si>
    <t>Rookie R3 Louisville</t>
  </si>
  <si>
    <t>Rookie R3 - Clemson</t>
  </si>
  <si>
    <t>Rookie R3 Georgia State</t>
  </si>
  <si>
    <t>Rookie R3 - Indiana</t>
  </si>
  <si>
    <t>Rookie R5 - Nebraska</t>
  </si>
  <si>
    <t>Amari Cooper</t>
  </si>
  <si>
    <t>Rookie R4 - Washington</t>
  </si>
  <si>
    <t>Anthony Richardson</t>
  </si>
  <si>
    <t>2025 R3</t>
  </si>
  <si>
    <t>Chris Brooks</t>
  </si>
  <si>
    <t>2025 Rookie R5</t>
  </si>
  <si>
    <t>Rookie R6 - PSU</t>
  </si>
  <si>
    <t>Rookie R1.4</t>
  </si>
  <si>
    <t>Rookie R2 Alabama</t>
  </si>
  <si>
    <t>Rookie R4 - Arkansas</t>
  </si>
  <si>
    <t>Rookie R2 Vanderbuilt</t>
  </si>
  <si>
    <t>Rookie R6 Wake Forest</t>
  </si>
  <si>
    <t>DJ Giddens</t>
  </si>
  <si>
    <t>2025 Rookie R6</t>
  </si>
  <si>
    <t>J.J. McCarthy</t>
  </si>
  <si>
    <t>Cole Kmet</t>
  </si>
  <si>
    <t>Justin Fields</t>
  </si>
  <si>
    <t>Jahan Dotson</t>
  </si>
  <si>
    <t>Skyler Bell</t>
  </si>
  <si>
    <t>2025 R4</t>
  </si>
  <si>
    <t>Zamir White</t>
  </si>
  <si>
    <t>s</t>
  </si>
  <si>
    <t>Chimere Dike</t>
  </si>
  <si>
    <t>Raheem Mostert</t>
  </si>
  <si>
    <t>Elic Ayomanor</t>
  </si>
  <si>
    <t>Elijah Sarratt</t>
  </si>
  <si>
    <t>Rookie R4 Indiana</t>
  </si>
  <si>
    <t>Ty Johnson</t>
  </si>
  <si>
    <t>Chris Brazzell II</t>
  </si>
  <si>
    <t>Rookie R3 Tennessee</t>
  </si>
  <si>
    <t>Hollywood Brown</t>
  </si>
  <si>
    <t>Theo Johnson</t>
  </si>
  <si>
    <t>Devontez Walker</t>
  </si>
  <si>
    <t>Trey Benson</t>
  </si>
  <si>
    <t>Darius Slayton</t>
  </si>
  <si>
    <t>Diontae Johnson</t>
  </si>
  <si>
    <t>Andrei Iosivas</t>
  </si>
  <si>
    <t>Rookie R3 ND</t>
  </si>
  <si>
    <t>Tahj Brooks</t>
  </si>
  <si>
    <t>Devin Neal</t>
  </si>
  <si>
    <t>Joe Flacco</t>
  </si>
  <si>
    <t>Kaleb Johnson</t>
  </si>
  <si>
    <t>2025 Rookie R3 - Iowa</t>
  </si>
  <si>
    <t>Mac Jones</t>
  </si>
  <si>
    <t>Kendrick Bourne</t>
  </si>
  <si>
    <t>Isaiah Bond</t>
  </si>
  <si>
    <t>RB1 - 1 - Elite floor/ceiling</t>
  </si>
  <si>
    <t>WR2 - 1 - WR1 upside</t>
  </si>
  <si>
    <t>RB2 - 1 - Clear path to spikes</t>
  </si>
  <si>
    <t>WR1 - 3 - Inconsistent</t>
  </si>
  <si>
    <t>WR1 - 2 - High Floor</t>
  </si>
  <si>
    <t>RB1 - 2 - Elite ceiling/questions</t>
  </si>
  <si>
    <t>Austin Ekeler</t>
  </si>
  <si>
    <t>WR3 - 2 - mid, but path to big upside</t>
  </si>
  <si>
    <t>Devin Singletary</t>
  </si>
  <si>
    <t>RB2 - 2 - Path to spikes</t>
  </si>
  <si>
    <t>WR2 - 2 - Upside with risk</t>
  </si>
  <si>
    <t>RB3 - 2 - low ceiling</t>
  </si>
  <si>
    <t>TE1 - 3 - Weekly Start</t>
  </si>
  <si>
    <t>WR4 - 1 - path to WR2</t>
  </si>
  <si>
    <t>QB1 - 4 - Weekly Start</t>
  </si>
  <si>
    <t>WR5 - 1 - upside path</t>
  </si>
  <si>
    <t>TE1 - 2 - Very Good</t>
  </si>
  <si>
    <t>Zack Moss</t>
  </si>
  <si>
    <t>QB1 - 2 - QB1 Upside</t>
  </si>
  <si>
    <t>WR4 - 2 - unclear path to WR2</t>
  </si>
  <si>
    <t>WR5 - 2 - floor play not league winner</t>
  </si>
  <si>
    <t>RB4 - 2 - low ceiling</t>
  </si>
  <si>
    <t xml:space="preserve">WR3 - 1 - </t>
  </si>
  <si>
    <t>WR3 - 3 - lower ceiling</t>
  </si>
  <si>
    <t/>
  </si>
  <si>
    <t>QB2 - 2 - Not League Winner</t>
  </si>
  <si>
    <t>QB3 - League Winner?</t>
  </si>
  <si>
    <t>DeAndre Hopkins</t>
  </si>
  <si>
    <t>TE2 - 1 - Big Upside</t>
  </si>
  <si>
    <t>QB1 - 3 - Top 5 Ceiling</t>
  </si>
  <si>
    <t>RB4 - 1 - Path to spikes</t>
  </si>
  <si>
    <t>QB2 - 1 - League Winner</t>
  </si>
  <si>
    <t>Nick Chubb</t>
  </si>
  <si>
    <t>Gus Edwards</t>
  </si>
  <si>
    <t>Jerome Ford</t>
  </si>
  <si>
    <t>Ezekiel Elliott</t>
  </si>
  <si>
    <t>Don’t Draft - Streamer</t>
  </si>
  <si>
    <t>Don’t draft - replacement value</t>
  </si>
  <si>
    <t>Tyler Lockett</t>
  </si>
  <si>
    <t>Curtis Samuel</t>
  </si>
  <si>
    <t>RB3 - 1 - Upside</t>
  </si>
  <si>
    <t>Joshua Palmer</t>
  </si>
  <si>
    <t>WR6 - dart throw upside</t>
  </si>
  <si>
    <t>RB5 - 1 - upside</t>
  </si>
  <si>
    <t>New York Jets</t>
  </si>
  <si>
    <t>Mike Williams</t>
  </si>
  <si>
    <t>Brandin Cooks</t>
  </si>
  <si>
    <t>Ty Chandler</t>
  </si>
  <si>
    <t>Jaleel McLaughlin</t>
  </si>
  <si>
    <t>Gabe Davis</t>
  </si>
  <si>
    <t>Adam Thielen</t>
  </si>
  <si>
    <t>Luke Musgrave</t>
  </si>
  <si>
    <t>Antonio Gibson</t>
  </si>
  <si>
    <t>Tyler Conklin</t>
  </si>
  <si>
    <t>Ja'Lynn Polk</t>
  </si>
  <si>
    <t>Justin Tucker</t>
  </si>
  <si>
    <t>Khalil Herbert</t>
  </si>
  <si>
    <t>Xavier Legette</t>
  </si>
  <si>
    <t>Will Levis</t>
  </si>
  <si>
    <t>Demario Douglas</t>
  </si>
  <si>
    <t>Miami Dolphins</t>
  </si>
  <si>
    <t>Handcuff only</t>
  </si>
  <si>
    <t>Cincinnati Bengals</t>
  </si>
  <si>
    <t>Taysom Hill</t>
  </si>
  <si>
    <t>Marvin Mims</t>
  </si>
  <si>
    <t>Noah Fant</t>
  </si>
  <si>
    <t>Ben Sinnott</t>
  </si>
  <si>
    <t>Derek Carr</t>
  </si>
  <si>
    <t>Jonnu Smith</t>
  </si>
  <si>
    <t>Jermaine Burton</t>
  </si>
  <si>
    <t>Dameon Pierce</t>
  </si>
  <si>
    <t>Jalen Tolbert</t>
  </si>
  <si>
    <t>Fine very late round pick</t>
  </si>
  <si>
    <t>Tampa Bay Buccaneers</t>
  </si>
  <si>
    <t>Demarcus Robinson</t>
  </si>
  <si>
    <t>Roschon Johnson</t>
  </si>
  <si>
    <t>Indianapolis Colts</t>
  </si>
  <si>
    <t>Zach Ertz</t>
  </si>
  <si>
    <t>Elijah Mitchell</t>
  </si>
  <si>
    <t>Russell Wilson</t>
  </si>
  <si>
    <t>Jake Elliott</t>
  </si>
  <si>
    <t>Jason Sanders</t>
  </si>
  <si>
    <t>Luke McCaffrey</t>
  </si>
  <si>
    <t>Kendre Miller</t>
  </si>
  <si>
    <t>Roman Wilson</t>
  </si>
  <si>
    <t>Malachi Corley</t>
  </si>
  <si>
    <t>Alexander Mattison</t>
  </si>
  <si>
    <t>Jake Moody</t>
  </si>
  <si>
    <t>Scenarios through 3 rounds</t>
  </si>
  <si>
    <t>Tyler Boyd</t>
  </si>
  <si>
    <t>Nearys Nemesis</t>
  </si>
  <si>
    <t>Kevin Jacks</t>
  </si>
  <si>
    <t>HannahLees</t>
  </si>
  <si>
    <t>Michael Scotts</t>
  </si>
  <si>
    <t>UrbanMeyers</t>
  </si>
  <si>
    <t>Fogels Moguls</t>
  </si>
  <si>
    <t>MakemyTeam</t>
  </si>
  <si>
    <t>BagelNDeli</t>
  </si>
  <si>
    <t>Pick 8</t>
  </si>
  <si>
    <t>Nemeth</t>
  </si>
  <si>
    <t>K Jack</t>
  </si>
  <si>
    <t>Lubeck</t>
  </si>
  <si>
    <t>Hewitt</t>
  </si>
  <si>
    <t>J White</t>
  </si>
  <si>
    <t>2. Bell</t>
  </si>
  <si>
    <t>Greg Dortch</t>
  </si>
  <si>
    <t>Audric Estime</t>
  </si>
  <si>
    <t>1. AJ Green</t>
  </si>
  <si>
    <t>FLEX</t>
  </si>
  <si>
    <t>Will Shipley</t>
  </si>
  <si>
    <t>Tyler Bass</t>
  </si>
  <si>
    <t>Higgins</t>
  </si>
  <si>
    <t>Younghoe Koo</t>
  </si>
  <si>
    <t>Fant</t>
  </si>
  <si>
    <t>Jamaal Williams</t>
  </si>
  <si>
    <t>Team Composition Simulator</t>
  </si>
  <si>
    <t>Clyde Edwards-Helaire</t>
  </si>
  <si>
    <t>Proj. Avg</t>
  </si>
  <si>
    <t>Alternates</t>
  </si>
  <si>
    <t>Hayden Hurst</t>
  </si>
  <si>
    <t>Total</t>
  </si>
  <si>
    <t>Need to hit 95</t>
  </si>
  <si>
    <t>Bench</t>
  </si>
  <si>
    <t>Gardner Minshew</t>
  </si>
  <si>
    <t>Ja'Tavion Sanders</t>
  </si>
  <si>
    <t>D'Onta Foreman</t>
  </si>
  <si>
    <t>Jalin Hyatt</t>
  </si>
  <si>
    <t>Miles Sanders</t>
  </si>
  <si>
    <t>Elijah Moore</t>
  </si>
  <si>
    <t>Javon Baker</t>
  </si>
  <si>
    <t>Gerald Everett</t>
  </si>
  <si>
    <t>A.J. Dillon</t>
  </si>
  <si>
    <t>Noah Gray</t>
  </si>
  <si>
    <t>A.T. Perry</t>
  </si>
  <si>
    <t>Jonathan Mingo</t>
  </si>
  <si>
    <t>Josh Reynolds</t>
  </si>
  <si>
    <t>Kalif Raymond</t>
  </si>
  <si>
    <t>Dustin Hopkins</t>
  </si>
  <si>
    <t>QB3 - Not League Winner</t>
  </si>
  <si>
    <t>Aidan O'Connell</t>
  </si>
  <si>
    <t>Zay Jones</t>
  </si>
  <si>
    <t>Greg Zuerlein</t>
  </si>
  <si>
    <t>Matt Gay</t>
  </si>
  <si>
    <t>Blake Grupe</t>
  </si>
  <si>
    <t>Treylon Burks</t>
  </si>
  <si>
    <t>Jelani Woods</t>
  </si>
  <si>
    <t>Kadarius Toney</t>
  </si>
  <si>
    <t>Calvin Austin III</t>
  </si>
  <si>
    <t>Las Vegas Raiders</t>
  </si>
  <si>
    <t>Dylan Laube</t>
  </si>
  <si>
    <t>Rondale Moore</t>
  </si>
  <si>
    <t>Tyler Higbee</t>
  </si>
  <si>
    <t>Daniel Bellinger</t>
  </si>
  <si>
    <t>2025 Player Haters Ball</t>
  </si>
  <si>
    <t>Remaining $</t>
  </si>
  <si>
    <t>Target Tiers</t>
  </si>
  <si>
    <t>Sean 2023 Tier</t>
  </si>
  <si>
    <t>RB1.1</t>
  </si>
  <si>
    <t>RB1.2</t>
  </si>
  <si>
    <t>RB1.3</t>
  </si>
  <si>
    <t>RB2.1</t>
  </si>
  <si>
    <t>RB2.2-3</t>
  </si>
  <si>
    <t>WR1</t>
  </si>
  <si>
    <t>WR2</t>
  </si>
  <si>
    <t>WR3</t>
  </si>
  <si>
    <t>WR4-5</t>
  </si>
  <si>
    <t>QB1.1</t>
  </si>
  <si>
    <t>QB1.2</t>
  </si>
  <si>
    <t>QB1.X</t>
  </si>
  <si>
    <t>TE1.1</t>
  </si>
  <si>
    <t>TE1.2</t>
  </si>
  <si>
    <t>TE1.X</t>
  </si>
  <si>
    <t>Lamar</t>
  </si>
  <si>
    <t>Kincaid</t>
  </si>
  <si>
    <t>Remaining Roster Spots</t>
  </si>
  <si>
    <t>2023 Actuals</t>
  </si>
  <si>
    <t>High Win Bid</t>
  </si>
  <si>
    <t>Conner</t>
  </si>
  <si>
    <t>Love</t>
  </si>
  <si>
    <t>BEN - QB</t>
  </si>
  <si>
    <t>$/remaining player</t>
  </si>
  <si>
    <t>Low Win Bid</t>
  </si>
  <si>
    <t>Swift</t>
  </si>
  <si>
    <t>Johnson</t>
  </si>
  <si>
    <t>BEN - WR</t>
  </si>
  <si>
    <t>2022 Actuals</t>
  </si>
  <si>
    <t>Jefferson</t>
  </si>
  <si>
    <t>Sutton</t>
  </si>
  <si>
    <t>Cupp</t>
  </si>
  <si>
    <t>Bateman</t>
  </si>
  <si>
    <t>Ford</t>
  </si>
  <si>
    <t>BEN - RB</t>
  </si>
  <si>
    <t>Winning Bid</t>
  </si>
  <si>
    <t>Target Bid</t>
  </si>
  <si>
    <t>Diff</t>
  </si>
  <si>
    <t>AVG RK Diff From ESPN</t>
  </si>
  <si>
    <t>Pittman</t>
  </si>
  <si>
    <t>Brooks</t>
  </si>
  <si>
    <t>BTJ</t>
  </si>
  <si>
    <t>RB6 flier</t>
  </si>
  <si>
    <t>Rookie R6. OKST</t>
  </si>
  <si>
    <t>2024 R4 Rookie</t>
  </si>
  <si>
    <t>Jarquez Hunter</t>
  </si>
  <si>
    <t>Rookie R4. Auburn. Pretty good metrics</t>
  </si>
  <si>
    <t>Almost 1.5 tier to self</t>
  </si>
  <si>
    <t>2024 R1 Rookie</t>
  </si>
  <si>
    <t>Brashard Smith</t>
  </si>
  <si>
    <t>2024 R3 Rookie</t>
  </si>
  <si>
    <t>Rookie R6. Texas Tech</t>
  </si>
  <si>
    <t>Rookie R5. Oregon</t>
  </si>
  <si>
    <t>2024 R2 Rookie</t>
  </si>
  <si>
    <t>Kareem Hunt</t>
  </si>
  <si>
    <t>High risk/reward</t>
  </si>
  <si>
    <t>Rookie R5. KSU</t>
  </si>
  <si>
    <t>Would be higher without missing camp</t>
  </si>
  <si>
    <t>Rookie R1. 6 overall</t>
  </si>
  <si>
    <t>Rookie R1.  MyGuy</t>
  </si>
  <si>
    <t>Plan to stash Brookks on IR and pick up another RB off waivers</t>
  </si>
  <si>
    <t>My Guy</t>
  </si>
  <si>
    <t>Rookie R1</t>
  </si>
  <si>
    <t>Rookie R1. 22 overall. UNC</t>
  </si>
  <si>
    <t>Confirm with IR rules</t>
  </si>
  <si>
    <t>Rookie R2. 38 overall OSU. Good/Great advanced metrics. My Guy</t>
  </si>
  <si>
    <t>Rookie R6 Wake Forrest</t>
  </si>
  <si>
    <t>If value. Don’t reach</t>
  </si>
  <si>
    <t>Rookie R2. 60 overall UCF.  Good/Great advanced metrics</t>
  </si>
  <si>
    <t>Injury value. Esp w IR slot</t>
  </si>
  <si>
    <t>Rookie R1. 10 overall. UM</t>
  </si>
  <si>
    <t>maybe with IR</t>
  </si>
  <si>
    <t>Rookie R3. 83 overall Iowa. Good advanced metrics</t>
  </si>
  <si>
    <t>Top 3 rush yards &gt; expected. Aging lead back</t>
  </si>
  <si>
    <t>Rookie R2. 36 overall OSU</t>
  </si>
  <si>
    <t>Rookie R1 14 overall. PSU</t>
  </si>
  <si>
    <t>Rookie R2  (34 overall)</t>
  </si>
  <si>
    <t>Rookie R4. ASU. Good advanced metrics</t>
  </si>
  <si>
    <t>Given IR rules</t>
  </si>
  <si>
    <t>2024 R5 Rookie</t>
  </si>
  <si>
    <t>Cedric Tillman</t>
  </si>
  <si>
    <t>Rookie R2  (39 overall)</t>
  </si>
  <si>
    <t>DE</t>
  </si>
  <si>
    <t>starter for 3 weeks w MIN?</t>
  </si>
  <si>
    <t>Rookie R5. Texas.  Javonte is bad</t>
  </si>
  <si>
    <t>Rookie R4. Va Tech. Productive up middle + YAC</t>
  </si>
  <si>
    <t>K-</t>
  </si>
  <si>
    <t>Isaac Guerendo</t>
  </si>
  <si>
    <t>Rookie R2  (55 overall). Ole Miss</t>
  </si>
  <si>
    <t>Kyle Williams</t>
  </si>
  <si>
    <t>Rookie R3. WSU</t>
  </si>
  <si>
    <t>Rookie R4. Tenn</t>
  </si>
  <si>
    <t>RB4 upside</t>
  </si>
  <si>
    <t>Rookie R7 Arizona</t>
  </si>
  <si>
    <t>Jalen Royals</t>
  </si>
  <si>
    <t>Rookie R2. 42 overall. LSU</t>
  </si>
  <si>
    <t>Rookie R3. Illinois</t>
  </si>
  <si>
    <t>Rookie R2. 50 overall. Miami</t>
  </si>
  <si>
    <t>2023 UDFA</t>
  </si>
  <si>
    <t>Dyami Brown</t>
  </si>
  <si>
    <t>Dont'e Thornton</t>
  </si>
  <si>
    <t>WR6 flier</t>
  </si>
  <si>
    <t>Rookie 4th rd</t>
  </si>
  <si>
    <t>Rookie R3. Arkansas</t>
  </si>
  <si>
    <t>Rookie R2  (58 overall). TCU</t>
  </si>
  <si>
    <t>Washington Commanders</t>
  </si>
  <si>
    <t>Arizona Cardinals</t>
  </si>
  <si>
    <t>Rookie R3. ISU</t>
  </si>
  <si>
    <t>Rookie R7 Rutgers</t>
  </si>
  <si>
    <t>Rookie R3. Bowling Gren</t>
  </si>
  <si>
    <t>Rookie R4. USC</t>
  </si>
  <si>
    <t>Trevor Etienne</t>
  </si>
  <si>
    <t>Rookie R4. UGA</t>
  </si>
  <si>
    <t>Only draft if weak QB1 and run on QBs that depleats waiver options</t>
  </si>
  <si>
    <t>Rookie R6. Kansas.  Sneaky decent RB advanced college metrics</t>
  </si>
  <si>
    <t>Ray-Ray McCloud</t>
  </si>
  <si>
    <t>Jalen Milroe</t>
  </si>
  <si>
    <t>Tutu Atwell</t>
  </si>
  <si>
    <t>Savion Williams</t>
  </si>
  <si>
    <t>KeAndre Lambert-Smith</t>
  </si>
  <si>
    <t>KaVontae Turpin</t>
  </si>
  <si>
    <t>Hunter Renfrow</t>
  </si>
  <si>
    <t>2024 Player Haters Ball</t>
  </si>
  <si>
    <t>Kepners</t>
  </si>
  <si>
    <t>Miami</t>
  </si>
  <si>
    <t>2025 Kepners</t>
  </si>
  <si>
    <t>2x</t>
  </si>
  <si>
    <t>Old Y Rank (as of ~8/2)</t>
  </si>
  <si>
    <t>Carson Steele</t>
  </si>
  <si>
    <t>Dalvin Cook</t>
  </si>
  <si>
    <t>Jordan Whittington</t>
  </si>
  <si>
    <t>JuJu Smith-Schuster</t>
  </si>
  <si>
    <t>Cam Akers</t>
  </si>
  <si>
    <t>Tim Patrick</t>
  </si>
  <si>
    <t>Cordarrelle Patterson</t>
  </si>
  <si>
    <t>Eric Gray</t>
  </si>
  <si>
    <t>Van Jefferson</t>
  </si>
  <si>
    <t>Efton Chism</t>
  </si>
  <si>
    <t>DEF-23</t>
  </si>
  <si>
    <t>DEF-24</t>
  </si>
  <si>
    <t>DEF-25</t>
  </si>
  <si>
    <t>QB-37</t>
  </si>
  <si>
    <t>DEF-26</t>
  </si>
  <si>
    <t>Daniel Carlson</t>
  </si>
  <si>
    <t>K-18</t>
  </si>
  <si>
    <t>DEF-27</t>
  </si>
  <si>
    <t>2023 Player Haters Ball</t>
  </si>
  <si>
    <t>Sean 2022 Tier</t>
  </si>
  <si>
    <t>RB1.2 SHOULD be cheaper this year</t>
  </si>
  <si>
    <t xml:space="preserve">Top 12 most expensive picks were $48-$70 last year. </t>
  </si>
  <si>
    <t>Bid</t>
  </si>
  <si>
    <t>Picks 13-24 were $25-$45</t>
  </si>
  <si>
    <t>2022 Player Haters Ball</t>
  </si>
  <si>
    <t>Sean 2020 Tier</t>
  </si>
  <si>
    <t>Big variance</t>
  </si>
  <si>
    <t>21 RB2.1 were $53-55</t>
  </si>
  <si>
    <t>QB1</t>
  </si>
  <si>
    <t>x</t>
  </si>
  <si>
    <t>Trey Lance</t>
  </si>
  <si>
    <t>QB3</t>
  </si>
  <si>
    <t>Last tier of good starting RBs.  Get at least 1</t>
  </si>
  <si>
    <t>Tom Brady</t>
  </si>
  <si>
    <t>Chase Edmonds</t>
  </si>
  <si>
    <t>TE4</t>
  </si>
  <si>
    <t>Melvin Gordon</t>
  </si>
  <si>
    <t>Marquez Valdes-Scantling</t>
  </si>
  <si>
    <t>Best 3rd value of my 3rd round targets (per tier ranks)</t>
  </si>
  <si>
    <t>QB4</t>
  </si>
  <si>
    <t>QB6</t>
  </si>
  <si>
    <t>Rookie.  R5 BYU</t>
  </si>
  <si>
    <t>Rookie R1. OSU</t>
  </si>
  <si>
    <t>D.J. Chark</t>
  </si>
  <si>
    <t>5th year player.  2nd rnd LSU</t>
  </si>
  <si>
    <t>DeVante Parker</t>
  </si>
  <si>
    <t>Rookie R1. PSU</t>
  </si>
  <si>
    <t>Rookie R4 Nevada</t>
  </si>
  <si>
    <t>Isaiah McKenzie</t>
  </si>
  <si>
    <t>Rookie R2 Kentucky</t>
  </si>
  <si>
    <t>Donovan Peoples-Jones</t>
  </si>
  <si>
    <t>TE3</t>
  </si>
  <si>
    <t>Irv Smith Jr.</t>
  </si>
  <si>
    <t>TE5</t>
  </si>
  <si>
    <t>QB5</t>
  </si>
  <si>
    <t>Albert Okwuegbunam</t>
  </si>
  <si>
    <t>Like, but more as 4th rd than 3rd</t>
  </si>
  <si>
    <t>TE6</t>
  </si>
  <si>
    <t>Matt Ryan</t>
  </si>
  <si>
    <t>Jameis Winston</t>
  </si>
  <si>
    <t>Ryan Tannehill</t>
  </si>
  <si>
    <t>QB7</t>
  </si>
  <si>
    <t>Carson Wentz</t>
  </si>
  <si>
    <t>QB8</t>
  </si>
  <si>
    <t>Damien Harris</t>
  </si>
  <si>
    <t>Gabriel Davis</t>
  </si>
  <si>
    <t>Zach Wilson</t>
  </si>
  <si>
    <t>Allen Lazard</t>
  </si>
  <si>
    <t>Rookie.  R2 Georgia</t>
  </si>
  <si>
    <t>Isaiah Spiller</t>
  </si>
  <si>
    <t>Rookie R4 A&amp;M</t>
  </si>
  <si>
    <t>Ronald Jones</t>
  </si>
  <si>
    <t>Ken Walker</t>
  </si>
  <si>
    <t>Rookie.  R2 MSU.  Could go in 6/7, buy auto-pick if 8th.  Chance to start week 1</t>
  </si>
  <si>
    <t>Robert Woods</t>
  </si>
  <si>
    <t>Rookie. R3 ASU</t>
  </si>
  <si>
    <t>Nyheim Hines</t>
  </si>
  <si>
    <t>Tyrion Davis-Price</t>
  </si>
  <si>
    <t>Rookie. R3 LSU</t>
  </si>
  <si>
    <t>J.D. McKissic</t>
  </si>
  <si>
    <t>Sophomore 6th rd.  VaTech</t>
  </si>
  <si>
    <t>Rookie R1. Alabama</t>
  </si>
  <si>
    <t>Sophomore.  5th rnd.  Memphis</t>
  </si>
  <si>
    <t>Marlon Mack</t>
  </si>
  <si>
    <t>Marquise Brown</t>
  </si>
  <si>
    <t>Rookie 7th rd Rutgers</t>
  </si>
  <si>
    <t>TE7</t>
  </si>
  <si>
    <t>Matt Prater</t>
  </si>
  <si>
    <t>Mark Ingram</t>
  </si>
  <si>
    <t>Nick Folk</t>
  </si>
  <si>
    <t>Austin Hooper</t>
  </si>
  <si>
    <t>Robert Tonyan</t>
  </si>
  <si>
    <t>Logan Thomas</t>
  </si>
  <si>
    <t>Ryan Succop</t>
  </si>
  <si>
    <t>Rookie.  R4 Georgia</t>
  </si>
  <si>
    <t>Brandon McManus</t>
  </si>
  <si>
    <t>Jerick McKinnon</t>
  </si>
  <si>
    <t>Greg Joseph</t>
  </si>
  <si>
    <t>Robbie Gould</t>
  </si>
  <si>
    <t>Cameron Brate</t>
  </si>
  <si>
    <t>Darrel Williams</t>
  </si>
  <si>
    <t>Rodrigo Blankenship</t>
  </si>
  <si>
    <t>Rashaad Penny</t>
  </si>
  <si>
    <t>Davis Mills</t>
  </si>
  <si>
    <t>Julio Jones</t>
  </si>
  <si>
    <t>Marcus Mariota</t>
  </si>
  <si>
    <t>Kenny Pickett</t>
  </si>
  <si>
    <t>Kenyan Drake</t>
  </si>
  <si>
    <t>Jarvis Landry</t>
  </si>
  <si>
    <t>Tennessee Titans</t>
  </si>
  <si>
    <t>Brevin Jordan</t>
  </si>
  <si>
    <t>Mecole Hardman</t>
  </si>
  <si>
    <t>Devon Achane</t>
  </si>
  <si>
    <t>D'Ernest Johnson</t>
  </si>
  <si>
    <t>Skyy Moore</t>
  </si>
  <si>
    <t>Rob Gronkowski</t>
  </si>
  <si>
    <t>Kenny Golladay</t>
  </si>
  <si>
    <t>Trey Sermon</t>
  </si>
  <si>
    <t>Michael Thomas</t>
  </si>
  <si>
    <t>Kyle Rudolph</t>
  </si>
  <si>
    <t>Mitch Trubisky</t>
  </si>
  <si>
    <t>C.J. Uzomah</t>
  </si>
  <si>
    <t>Jimmy Garoppolo</t>
  </si>
  <si>
    <t>Sony Michel</t>
  </si>
  <si>
    <t>Cade York</t>
  </si>
  <si>
    <t>Rookie R2. North Dakota State</t>
  </si>
  <si>
    <t>Mo Alie-Cox</t>
  </si>
  <si>
    <t>Jeff Wilson</t>
  </si>
  <si>
    <t>Chris Evans</t>
  </si>
  <si>
    <t>Rex Burkhead</t>
  </si>
  <si>
    <t>Damien Williams</t>
  </si>
  <si>
    <t>Rookie.  R3.  South Alabama</t>
  </si>
  <si>
    <t>Josh Palmer</t>
  </si>
  <si>
    <t>Myles Gaskin</t>
  </si>
  <si>
    <t>K.J. Osborn</t>
  </si>
  <si>
    <t>3rd yr 5th rd buffalo</t>
  </si>
  <si>
    <t>Marvin Jones</t>
  </si>
  <si>
    <t>Corey Davis</t>
  </si>
  <si>
    <t>Adam Trautman</t>
  </si>
  <si>
    <t>Drew Lock</t>
  </si>
  <si>
    <t>Robbie Anderson</t>
  </si>
  <si>
    <t>O.J. Howard</t>
  </si>
  <si>
    <t>Rookie R2 Cinci</t>
  </si>
  <si>
    <t>Desparate</t>
  </si>
  <si>
    <t>Carolina Panthers</t>
  </si>
  <si>
    <t>Michael Gallup</t>
  </si>
  <si>
    <t>Jonathan Garibay</t>
  </si>
  <si>
    <t>James Washington</t>
  </si>
  <si>
    <t>Amari Rodgers</t>
  </si>
  <si>
    <t>Marquez Callaway</t>
  </si>
  <si>
    <t>Jamison Crowder</t>
  </si>
  <si>
    <t>Sammy Watkins</t>
  </si>
  <si>
    <t>A.J. Green</t>
  </si>
  <si>
    <t>Parris Campbell</t>
  </si>
  <si>
    <t>Randall Cobb</t>
  </si>
  <si>
    <t>Devin Duvernay</t>
  </si>
  <si>
    <t>Cedrick Wilson</t>
  </si>
  <si>
    <t>Laviska Shenault</t>
  </si>
  <si>
    <t>Byron Pringle</t>
  </si>
  <si>
    <t>Quez Watkins</t>
  </si>
  <si>
    <t>Sterling Shepard</t>
  </si>
  <si>
    <t>K.J. Hamler</t>
  </si>
  <si>
    <t>Donald Parham</t>
  </si>
  <si>
    <t>QB2</t>
  </si>
  <si>
    <t>James Robinson</t>
  </si>
  <si>
    <t>Rookie R2. WMU</t>
  </si>
  <si>
    <t>Russell Gage</t>
  </si>
  <si>
    <t>Backup</t>
  </si>
  <si>
    <t>Rookie.  R2. Georgia</t>
  </si>
  <si>
    <t>TE1</t>
  </si>
  <si>
    <t>Deuce Vaughn</t>
  </si>
  <si>
    <t>Rooke R1. USC.  Going in the 5th on sleeper for Kepners.  8th would be great value</t>
  </si>
  <si>
    <t>Sam Howell</t>
  </si>
  <si>
    <t>Rookie R1 Arkansas</t>
  </si>
  <si>
    <t>Chase Claypool</t>
  </si>
  <si>
    <t>Michael Carter</t>
  </si>
  <si>
    <t>Brian Robinson Jr</t>
  </si>
  <si>
    <t>Rookie R3 Alabama</t>
  </si>
  <si>
    <t>Allen Robinson</t>
  </si>
  <si>
    <t>Darrell Henderson</t>
  </si>
  <si>
    <t>Isaiah Hodgins</t>
  </si>
  <si>
    <t>Rookie.  R2 Iowa State</t>
  </si>
  <si>
    <t>Deon Jackson</t>
  </si>
  <si>
    <t>Last tier of good starting WRs.  Try to have 2 before this cliff</t>
  </si>
  <si>
    <t>Leonard Fournette</t>
  </si>
  <si>
    <t>Rookie R4 Florida</t>
  </si>
  <si>
    <t>2021 Player Haters Ball</t>
  </si>
  <si>
    <t>2020 Data</t>
  </si>
  <si>
    <t>Tier Bids: Target Bids based on first in tier.  Spend up 1-2 $ for top picks later in tier if needed</t>
  </si>
  <si>
    <t>Exposure</t>
  </si>
  <si>
    <t>Web Pos Rank</t>
  </si>
  <si>
    <t>ESPN Avg Rnd</t>
  </si>
  <si>
    <t>RB1 - 2 - Elite with Risk</t>
  </si>
  <si>
    <t>10</t>
  </si>
  <si>
    <t>RB1 - 3 - Very Good</t>
  </si>
  <si>
    <t>Justyn Ross</t>
  </si>
  <si>
    <t>Hamstring injury</t>
  </si>
  <si>
    <t>12</t>
  </si>
  <si>
    <t>11</t>
  </si>
  <si>
    <t>WR1 - 2 - Floor and Elite Upside</t>
  </si>
  <si>
    <t>13</t>
  </si>
  <si>
    <t>RB2 - 1 - Very Good</t>
  </si>
  <si>
    <t>Joshua Kelley</t>
  </si>
  <si>
    <t>2020 R1.22</t>
  </si>
  <si>
    <t>17</t>
  </si>
  <si>
    <t>ESPN $26…</t>
  </si>
  <si>
    <t>2020 R1.17</t>
  </si>
  <si>
    <t>WR2 - 2 - Elite Upside</t>
  </si>
  <si>
    <t>15</t>
  </si>
  <si>
    <t>Desmond Ridder</t>
  </si>
  <si>
    <t>Chris Carson</t>
  </si>
  <si>
    <t>19</t>
  </si>
  <si>
    <t>27</t>
  </si>
  <si>
    <t>14</t>
  </si>
  <si>
    <t>RB2 - 2 - Good/Injury Risk</t>
  </si>
  <si>
    <t>John Metchie</t>
  </si>
  <si>
    <t>WR2 - 2 - High Floor</t>
  </si>
  <si>
    <t>18</t>
  </si>
  <si>
    <t>RB2 - 2 - Volume</t>
  </si>
  <si>
    <t>Last tier of good RB2s</t>
  </si>
  <si>
    <t>Richie James</t>
  </si>
  <si>
    <t>QB1 - 2 - Elite w right year</t>
  </si>
  <si>
    <t>16</t>
  </si>
  <si>
    <t>TE1 - 2 - Very Good Upside</t>
  </si>
  <si>
    <t>20</t>
  </si>
  <si>
    <t>21</t>
  </si>
  <si>
    <t>25</t>
  </si>
  <si>
    <t>WR2 - 3 - Very Good Upside</t>
  </si>
  <si>
    <t>Pierre Strong Jr.</t>
  </si>
  <si>
    <t>22</t>
  </si>
  <si>
    <t>42</t>
  </si>
  <si>
    <t>QB1 - 3 - Very Good</t>
  </si>
  <si>
    <t>Mike Davis</t>
  </si>
  <si>
    <t>WR3 - 1 - Floor</t>
  </si>
  <si>
    <t>2020 R1.25</t>
  </si>
  <si>
    <t>Downgraded due to injury</t>
  </si>
  <si>
    <t>26</t>
  </si>
  <si>
    <t>2020 R2.33</t>
  </si>
  <si>
    <t>28</t>
  </si>
  <si>
    <t>RB3 - 1 - Elite Upside</t>
  </si>
  <si>
    <t>24</t>
  </si>
  <si>
    <t>QB1 - 4 - Weekly floor with upside</t>
  </si>
  <si>
    <t>Terrace Marshall</t>
  </si>
  <si>
    <t>WR3 - 1 - Upside/Risk</t>
  </si>
  <si>
    <t>2020 R2.49</t>
  </si>
  <si>
    <t>RB3 - 2 - Floor</t>
  </si>
  <si>
    <t>23</t>
  </si>
  <si>
    <t>31</t>
  </si>
  <si>
    <t>Latavius Murray</t>
  </si>
  <si>
    <t>2021 R1.5</t>
  </si>
  <si>
    <t>Robby Anderson</t>
  </si>
  <si>
    <t>32</t>
  </si>
  <si>
    <t>2020 R1.15</t>
  </si>
  <si>
    <t>Will Fuller</t>
  </si>
  <si>
    <t>39</t>
  </si>
  <si>
    <t>2021 2nd rnd UNC</t>
  </si>
  <si>
    <t>Graham Gano</t>
  </si>
  <si>
    <t>38</t>
  </si>
  <si>
    <t>33</t>
  </si>
  <si>
    <t>29</t>
  </si>
  <si>
    <t>Last tier of good WR3s</t>
  </si>
  <si>
    <t>30</t>
  </si>
  <si>
    <t>2021 3rd rnd OSU</t>
  </si>
  <si>
    <t>36</t>
  </si>
  <si>
    <t>34</t>
  </si>
  <si>
    <t>WR4 - Upside/Risk</t>
  </si>
  <si>
    <t>43</t>
  </si>
  <si>
    <t>2021 R1.10</t>
  </si>
  <si>
    <t>35</t>
  </si>
  <si>
    <t>QB2 - 1 - upside with lower floor</t>
  </si>
  <si>
    <t>WR4 - Floor</t>
  </si>
  <si>
    <t>8 if draft Brady/Tannehill.  9 otherwise</t>
  </si>
  <si>
    <t>QB2 - 2 - higher floor / lower upside</t>
  </si>
  <si>
    <t>2020 Zimmer Auction</t>
  </si>
  <si>
    <t>Remaining</t>
  </si>
  <si>
    <t>Spots</t>
  </si>
  <si>
    <t>$/player</t>
  </si>
  <si>
    <t>46</t>
  </si>
  <si>
    <t>Comparison of Auction Team against Kepners Snake Actual Rounds</t>
  </si>
  <si>
    <t>Kamara</t>
  </si>
  <si>
    <t>Stafford</t>
  </si>
  <si>
    <t>Eagles D</t>
  </si>
  <si>
    <t>UDFA</t>
  </si>
  <si>
    <t>Robinson</t>
  </si>
  <si>
    <t>Jones Jr.</t>
  </si>
  <si>
    <t>Butker</t>
  </si>
  <si>
    <t>2020 R2.42</t>
  </si>
  <si>
    <t>Deneric Prince</t>
  </si>
  <si>
    <t>Cooper</t>
  </si>
  <si>
    <t>L Murray</t>
  </si>
  <si>
    <t>Ridley</t>
  </si>
  <si>
    <t>Cohen</t>
  </si>
  <si>
    <t>RB4 - Floor/Upside</t>
  </si>
  <si>
    <t>McLaurin</t>
  </si>
  <si>
    <t>Coleman</t>
  </si>
  <si>
    <t>Parker</t>
  </si>
  <si>
    <t>Allen</t>
  </si>
  <si>
    <t>Ingram</t>
  </si>
  <si>
    <t>Gisicki</t>
  </si>
  <si>
    <t>My Picks</t>
  </si>
  <si>
    <t>Look in 7th IF drafted Jones.  Else, 8th round</t>
  </si>
  <si>
    <t>40</t>
  </si>
  <si>
    <t>37</t>
  </si>
  <si>
    <t>QB1 - Elite</t>
  </si>
  <si>
    <t>48</t>
  </si>
  <si>
    <t>QB2 - Strong</t>
  </si>
  <si>
    <t>David Johnson</t>
  </si>
  <si>
    <t>RB4 - Floor</t>
  </si>
  <si>
    <t>RB1 - 2 - possible RB1</t>
  </si>
  <si>
    <t>WR1 - 2 - Elite</t>
  </si>
  <si>
    <t>Antonio Brown</t>
  </si>
  <si>
    <t>41</t>
  </si>
  <si>
    <t>QB3 - Upside</t>
  </si>
  <si>
    <t>Take if there in R8</t>
  </si>
  <si>
    <t>RB1 - 3 - Upside but risk</t>
  </si>
  <si>
    <t>WR2 - 1 - GREATwr2</t>
  </si>
  <si>
    <t>Drew Brees</t>
  </si>
  <si>
    <t>QB4 - High Floor</t>
  </si>
  <si>
    <t>RB1 - 3 - Good, capped upside</t>
  </si>
  <si>
    <t>Zach Evans</t>
  </si>
  <si>
    <t>2021 R1.6</t>
  </si>
  <si>
    <t>45</t>
  </si>
  <si>
    <t>70</t>
  </si>
  <si>
    <t>RB5 - zero flr, upside</t>
  </si>
  <si>
    <t>2021 4th rd pick.  Path to PT after Michel trade</t>
  </si>
  <si>
    <t>RB2 - 1 - Elite upside</t>
  </si>
  <si>
    <t>Israel Abanikanda</t>
  </si>
  <si>
    <t>Great wk 1 matchup (PHI)</t>
  </si>
  <si>
    <t>WR2 - 2 - BoomBust</t>
  </si>
  <si>
    <t>Cam Newton</t>
  </si>
  <si>
    <t>RB2 - 2 - Few Questions</t>
  </si>
  <si>
    <t>WR2 - 2 - Steady</t>
  </si>
  <si>
    <t>47</t>
  </si>
  <si>
    <t>WR5 - Upside/Risk</t>
  </si>
  <si>
    <t>QB Keeper?</t>
  </si>
  <si>
    <t>Take after 1st of Jared/Ryan/Daniel goes</t>
  </si>
  <si>
    <t>RB4 - Upside</t>
  </si>
  <si>
    <t>RB2 - 3 - Risk/Upside</t>
  </si>
  <si>
    <t>2021 4th rnd UNC</t>
  </si>
  <si>
    <t>Washington Football Team</t>
  </si>
  <si>
    <t>44</t>
  </si>
  <si>
    <t>Todd Gurley</t>
  </si>
  <si>
    <t>Take in 5 if WR3</t>
  </si>
  <si>
    <t>53</t>
  </si>
  <si>
    <t>50</t>
  </si>
  <si>
    <t>Le'Veon Bell</t>
  </si>
  <si>
    <t>WR3 - 1 - Safe+Upside</t>
  </si>
  <si>
    <t>RB3 - 1 - Established and Good</t>
  </si>
  <si>
    <t>T.Y. Hilton</t>
  </si>
  <si>
    <t>49</t>
  </si>
  <si>
    <t>WR5 - Floor</t>
  </si>
  <si>
    <t>RB3 - 2 - Upside/Risk</t>
  </si>
  <si>
    <t>2020 R2.34</t>
  </si>
  <si>
    <t>Only take if big value given Andrews</t>
  </si>
  <si>
    <t>Riley Patterson</t>
  </si>
  <si>
    <t>Henry Ruggs</t>
  </si>
  <si>
    <t>52</t>
  </si>
  <si>
    <t>Jordan Howard</t>
  </si>
  <si>
    <t>RB3 - 3 - Safe/Limited</t>
  </si>
  <si>
    <t>Julian Edelman</t>
  </si>
  <si>
    <t>Tarik Cohen</t>
  </si>
  <si>
    <t>RB5 - Startable</t>
  </si>
  <si>
    <t>Phillip Lindsay</t>
  </si>
  <si>
    <t>Tristan Vizcaino</t>
  </si>
  <si>
    <t>Draft only at value</t>
  </si>
  <si>
    <t>James White</t>
  </si>
  <si>
    <t>RB5 - Handcuff</t>
  </si>
  <si>
    <t>Tevin Coleman</t>
  </si>
  <si>
    <t>56</t>
  </si>
  <si>
    <t>RB4 - Upside/Keeper</t>
  </si>
  <si>
    <t>HOU Wk 1</t>
  </si>
  <si>
    <t>55</t>
  </si>
  <si>
    <t>WR4 - 1 - Conservative</t>
  </si>
  <si>
    <t>2020 R1.12 (highest drafted 2020 WR)</t>
  </si>
  <si>
    <t>Kerryon Johnson</t>
  </si>
  <si>
    <t>RB4 - Conservative</t>
  </si>
  <si>
    <t>8/10: Hunter Henry out 'a few weeks' w shoulder.  Jonnu taking RB reps</t>
  </si>
  <si>
    <t>Emmanuel Sanders</t>
  </si>
  <si>
    <t>71</t>
  </si>
  <si>
    <t>Matt Breida</t>
  </si>
  <si>
    <t>WR4 - Risk/Upside</t>
  </si>
  <si>
    <t>John Brown</t>
  </si>
  <si>
    <t>Great wk 1 matchup (CIN)</t>
  </si>
  <si>
    <t>Ke'Shawn Vaughn</t>
  </si>
  <si>
    <t>Duke Johnson</t>
  </si>
  <si>
    <t>Nelson Agholor</t>
  </si>
  <si>
    <t>60</t>
  </si>
  <si>
    <t>Golden Tate</t>
  </si>
  <si>
    <t>Adrian Peterson</t>
  </si>
  <si>
    <t>DeSean Jackson</t>
  </si>
  <si>
    <t>Ben Roethlisberger</t>
  </si>
  <si>
    <t>WR5 - Risk/Upside</t>
  </si>
  <si>
    <t>Anthony Miller</t>
  </si>
  <si>
    <t>QB3 - don’t draft</t>
  </si>
  <si>
    <t>WR5 - Conservative</t>
  </si>
  <si>
    <t>Breshad Perriman</t>
  </si>
  <si>
    <t>Pats Wk1</t>
  </si>
  <si>
    <t>Jalen Reagor</t>
  </si>
  <si>
    <t>51</t>
  </si>
  <si>
    <t>Preston Williams</t>
  </si>
  <si>
    <t>2021 R2.34</t>
  </si>
  <si>
    <t>N'Keal Harry</t>
  </si>
  <si>
    <t>63</t>
  </si>
  <si>
    <t>Larry Fitzgerald</t>
  </si>
  <si>
    <t>Dede Westbrook</t>
  </si>
  <si>
    <t>76</t>
  </si>
  <si>
    <t>66</t>
  </si>
  <si>
    <t>8/25 Traded to Rams.  Consider targeting late</t>
  </si>
  <si>
    <t>68</t>
  </si>
  <si>
    <t>2021 R2.49</t>
  </si>
  <si>
    <t>62</t>
  </si>
  <si>
    <t>WR6</t>
  </si>
  <si>
    <t>57</t>
  </si>
  <si>
    <t>Jared Cook</t>
  </si>
  <si>
    <t>2020 R3</t>
  </si>
  <si>
    <t>Derrius Guice</t>
  </si>
  <si>
    <t>Handcuff</t>
  </si>
  <si>
    <t>Cheifs Wk1</t>
  </si>
  <si>
    <t>58</t>
  </si>
  <si>
    <t>Frank Gore</t>
  </si>
  <si>
    <t>209</t>
  </si>
  <si>
    <t>Cole Beasley</t>
  </si>
  <si>
    <t>Boston Scott</t>
  </si>
  <si>
    <t>DST</t>
  </si>
  <si>
    <t>61</t>
  </si>
  <si>
    <t>2021 5th rnd Memphis</t>
  </si>
  <si>
    <t>Eric Ebron</t>
  </si>
  <si>
    <t>77</t>
  </si>
  <si>
    <t>Blake Jarwin</t>
  </si>
  <si>
    <t>Eli Manning</t>
  </si>
  <si>
    <t>267</t>
  </si>
  <si>
    <t>2021 R2</t>
  </si>
  <si>
    <t>69</t>
  </si>
  <si>
    <t>2020 R4</t>
  </si>
  <si>
    <t>Bryan Edwards</t>
  </si>
  <si>
    <t>79</t>
  </si>
  <si>
    <t>Jack Doyle</t>
  </si>
  <si>
    <t>2020 R1.21</t>
  </si>
  <si>
    <t>Teddy Bridgewater</t>
  </si>
  <si>
    <t>Philip Rivers</t>
  </si>
  <si>
    <t>Case Keenum</t>
  </si>
  <si>
    <t>296</t>
  </si>
  <si>
    <t>Ryan Fitzpatrick</t>
  </si>
  <si>
    <t>Chris Herndon</t>
  </si>
  <si>
    <t>Chargers Wk 1 (playable)</t>
  </si>
  <si>
    <t>223</t>
  </si>
  <si>
    <t>Zane Gonzalez</t>
  </si>
  <si>
    <t>54</t>
  </si>
  <si>
    <t>Justin Jackson</t>
  </si>
  <si>
    <t>Devonta Freeman</t>
  </si>
  <si>
    <t>Greg Olsen</t>
  </si>
  <si>
    <t>59</t>
  </si>
  <si>
    <t>Ian Thomas</t>
  </si>
  <si>
    <t>QB2 - 3 - upside with LOWEST floor</t>
  </si>
  <si>
    <t>Mason Crosby</t>
  </si>
  <si>
    <t>Josh Doctson</t>
  </si>
  <si>
    <t>229</t>
  </si>
  <si>
    <t>Tre'Quan Smith</t>
  </si>
  <si>
    <t>2021 R1.27.   8/12: Groin surgery - going to miss at least 1 month</t>
  </si>
  <si>
    <t>John Ross</t>
  </si>
  <si>
    <t>232</t>
  </si>
  <si>
    <t>LeSean McCoy</t>
  </si>
  <si>
    <t>82</t>
  </si>
  <si>
    <t>Carlos Hyde</t>
  </si>
  <si>
    <t>Jimmy Graham</t>
  </si>
  <si>
    <t>Will Dissly</t>
  </si>
  <si>
    <t>73</t>
  </si>
  <si>
    <t>Dan Bailey</t>
  </si>
  <si>
    <t>Josh Lambo</t>
  </si>
  <si>
    <t>Mike Badgley</t>
  </si>
  <si>
    <t>Anthony McFarland</t>
  </si>
  <si>
    <t>Darrynton Evans</t>
  </si>
  <si>
    <t>Alshon Jeffery</t>
  </si>
  <si>
    <t>65</t>
  </si>
  <si>
    <t>Tyrell Williams</t>
  </si>
  <si>
    <t>Steven Hauschka</t>
  </si>
  <si>
    <t>TE3 - Upside</t>
  </si>
  <si>
    <t>Steven Sims</t>
  </si>
  <si>
    <t>Dwayne Haskins</t>
  </si>
  <si>
    <t>64</t>
  </si>
  <si>
    <t>Jalen Richard</t>
  </si>
  <si>
    <t>Danny Amendola</t>
  </si>
  <si>
    <t>80</t>
  </si>
  <si>
    <t>Vance McDonald</t>
  </si>
  <si>
    <t>JAC</t>
  </si>
  <si>
    <t>Giorgio Tavecchio</t>
  </si>
  <si>
    <t>255</t>
  </si>
  <si>
    <t>Josh Rosen</t>
  </si>
  <si>
    <t>Matt Bryant</t>
  </si>
  <si>
    <t>FA</t>
  </si>
  <si>
    <t>Giovani Bernard</t>
  </si>
  <si>
    <t>Malcolm Brown</t>
  </si>
  <si>
    <t>72</t>
  </si>
  <si>
    <t>78</t>
  </si>
  <si>
    <t>88</t>
  </si>
  <si>
    <t>2020 R2.46</t>
  </si>
  <si>
    <t>2021 4th rnd OkST</t>
  </si>
  <si>
    <t>Anthony Firkser</t>
  </si>
  <si>
    <t>Devontae Booker</t>
  </si>
  <si>
    <t>Kenneth Dixon</t>
  </si>
  <si>
    <t>295</t>
  </si>
  <si>
    <t>Dan Arnold</t>
  </si>
  <si>
    <t>252</t>
  </si>
  <si>
    <t>Benny Snell Jr.</t>
  </si>
  <si>
    <t>238</t>
  </si>
  <si>
    <t>75</t>
  </si>
  <si>
    <t>74</t>
  </si>
  <si>
    <t>67</t>
  </si>
  <si>
    <t>Salvon Ahmed</t>
  </si>
  <si>
    <t>81</t>
  </si>
  <si>
    <t>86</t>
  </si>
  <si>
    <t>85</t>
  </si>
  <si>
    <t>Wayne Gallman</t>
  </si>
  <si>
    <t>92</t>
  </si>
  <si>
    <t>2021 R1.20</t>
  </si>
  <si>
    <t>Rashard Higgins</t>
  </si>
  <si>
    <t>89</t>
  </si>
  <si>
    <t>Scott Miller</t>
  </si>
  <si>
    <t>91</t>
  </si>
  <si>
    <t>Jordan Akins</t>
  </si>
  <si>
    <t>Xavier Jones</t>
  </si>
  <si>
    <t>Off draft board after Michel trade</t>
  </si>
  <si>
    <t>90</t>
  </si>
  <si>
    <t>95</t>
  </si>
  <si>
    <t>TuTu Atwell</t>
  </si>
  <si>
    <t>98</t>
  </si>
  <si>
    <t>97</t>
  </si>
  <si>
    <t>Travis Fulgham</t>
  </si>
  <si>
    <t>93</t>
  </si>
  <si>
    <t>Tim Tebow</t>
  </si>
  <si>
    <t>Denzel Mims</t>
  </si>
  <si>
    <t>87</t>
  </si>
  <si>
    <t>David Moore</t>
  </si>
  <si>
    <t>96</t>
  </si>
  <si>
    <t>Albert Wilson</t>
  </si>
  <si>
    <t>94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</si>
</sst>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1.0"/>
      <color theme="1"/>
      <name val="Calibri"/>
      <scheme val="minor"/>
    </font>
    <font>
      <color theme="1"/>
      <name val="Calibri"/>
      <scheme val="minor"/>
    </font>
    <font>
      <sz val="22.0"/>
      <color theme="1"/>
      <name val="Arial"/>
    </font>
    <font>
      <sz val="10.0"/>
      <color theme="1"/>
      <name val="Arial"/>
    </font>
    <font>
      <b/>
      <sz val="10.0"/>
      <color theme="1"/>
      <name val="Arial"/>
    </font>
    <font>
      <sz val="11.0"/>
      <color theme="0"/>
      <name val="Calibri"/>
    </font>
    <font>
      <sz val="11.0"/>
      <color theme="1"/>
      <name val="Calibri"/>
    </font>
    <font>
      <sz val="11.0"/>
      <color rgb="FF000000"/>
      <name val="&quot;Aptos Narrow&quot;"/>
    </font>
    <font>
      <b/>
      <sz val="12.0"/>
      <color theme="1"/>
      <name val="Arial"/>
    </font>
    <font>
      <b/>
      <sz val="12.0"/>
      <color theme="1"/>
      <name val="Calibri"/>
    </font>
    <font>
      <sz val="9.0"/>
      <color theme="1"/>
      <name val="Arial"/>
    </font>
    <font>
      <sz val="9.0"/>
      <color theme="0"/>
      <name val="Arial"/>
    </font>
    <font>
      <b/>
      <sz val="9.0"/>
      <color theme="1"/>
      <name val="Arial"/>
    </font>
    <font>
      <b/>
      <sz val="11.0"/>
      <color theme="1"/>
      <name val="Calibri"/>
    </font>
    <font/>
    <font>
      <sz val="11.0"/>
      <color rgb="FFFF0000"/>
      <name val="Calibri"/>
    </font>
  </fonts>
  <fills count="41">
    <fill>
      <patternFill patternType="none"/>
    </fill>
    <fill>
      <patternFill patternType="lightGray"/>
    </fill>
    <fill>
      <patternFill patternType="solid">
        <fgColor rgb="FF2F5496"/>
        <bgColor rgb="FF2F5496"/>
      </patternFill>
    </fill>
    <fill>
      <patternFill patternType="solid">
        <fgColor rgb="FF44546A"/>
        <bgColor rgb="FF44546A"/>
      </patternFill>
    </fill>
    <fill>
      <patternFill patternType="solid">
        <fgColor theme="1"/>
        <bgColor theme="1"/>
      </patternFill>
    </fill>
    <fill>
      <patternFill patternType="solid">
        <fgColor rgb="FF7030A0"/>
        <bgColor rgb="FF7030A0"/>
      </patternFill>
    </fill>
    <fill>
      <patternFill patternType="solid">
        <fgColor rgb="FFFFFF00"/>
        <bgColor rgb="FFFFFF00"/>
      </patternFill>
    </fill>
    <fill>
      <patternFill patternType="solid">
        <fgColor rgb="FFBFBFBF"/>
        <bgColor rgb="FFBFBFBF"/>
      </patternFill>
    </fill>
    <fill>
      <patternFill patternType="solid">
        <fgColor rgb="FFFFFFFF"/>
        <bgColor rgb="FFFFFFFF"/>
      </patternFill>
    </fill>
    <fill>
      <patternFill patternType="solid">
        <fgColor rgb="FF999999"/>
        <bgColor rgb="FF999999"/>
      </patternFill>
    </fill>
    <fill>
      <patternFill patternType="solid">
        <fgColor rgb="FFD8D8D8"/>
        <bgColor rgb="FFD8D8D8"/>
      </patternFill>
    </fill>
    <fill>
      <patternFill patternType="solid">
        <fgColor rgb="FF92D050"/>
        <bgColor rgb="FF92D050"/>
      </patternFill>
    </fill>
    <fill>
      <patternFill patternType="solid">
        <fgColor rgb="FF385623"/>
        <bgColor rgb="FF385623"/>
      </patternFill>
    </fill>
    <fill>
      <patternFill patternType="solid">
        <fgColor rgb="FF7F6000"/>
        <bgColor rgb="FF7F6000"/>
      </patternFill>
    </fill>
    <fill>
      <patternFill patternType="solid">
        <fgColor rgb="FFBF9000"/>
        <bgColor rgb="FFBF9000"/>
      </patternFill>
    </fill>
    <fill>
      <patternFill patternType="solid">
        <fgColor rgb="FF548135"/>
        <bgColor rgb="FF548135"/>
      </patternFill>
    </fill>
    <fill>
      <patternFill patternType="solid">
        <fgColor rgb="FFFFD965"/>
        <bgColor rgb="FFFFD965"/>
      </patternFill>
    </fill>
    <fill>
      <patternFill patternType="solid">
        <fgColor rgb="FF833C0B"/>
        <bgColor rgb="FF833C0B"/>
      </patternFill>
    </fill>
    <fill>
      <patternFill patternType="solid">
        <fgColor rgb="FF1E4E79"/>
        <bgColor rgb="FF1E4E79"/>
      </patternFill>
    </fill>
    <fill>
      <patternFill patternType="solid">
        <fgColor rgb="FFFFE598"/>
        <bgColor rgb="FFFFE598"/>
      </patternFill>
    </fill>
    <fill>
      <patternFill patternType="solid">
        <fgColor rgb="FFC5E0B3"/>
        <bgColor rgb="FFC5E0B3"/>
      </patternFill>
    </fill>
    <fill>
      <patternFill patternType="solid">
        <fgColor rgb="FFFFF2CB"/>
        <bgColor rgb="FFFFF2CB"/>
      </patternFill>
    </fill>
    <fill>
      <patternFill patternType="solid">
        <fgColor rgb="FFA8D08D"/>
        <bgColor rgb="FFA8D08D"/>
      </patternFill>
    </fill>
    <fill>
      <patternFill patternType="solid">
        <fgColor rgb="FFC55A11"/>
        <bgColor rgb="FFC55A11"/>
      </patternFill>
    </fill>
    <fill>
      <patternFill patternType="solid">
        <fgColor rgb="FF2E75B5"/>
        <bgColor rgb="FF2E75B5"/>
      </patternFill>
    </fill>
    <fill>
      <patternFill patternType="solid">
        <fgColor rgb="FFF4B083"/>
        <bgColor rgb="FFF4B083"/>
      </patternFill>
    </fill>
    <fill>
      <patternFill patternType="solid">
        <fgColor rgb="FF9CC2E5"/>
        <bgColor rgb="FF9CC2E5"/>
      </patternFill>
    </fill>
    <fill>
      <patternFill patternType="solid">
        <fgColor rgb="FFF7CAAC"/>
        <bgColor rgb="FFF7CAAC"/>
      </patternFill>
    </fill>
    <fill>
      <patternFill patternType="solid">
        <fgColor rgb="FFE2EFD9"/>
        <bgColor rgb="FFE2EFD9"/>
      </patternFill>
    </fill>
    <fill>
      <patternFill patternType="solid">
        <fgColor rgb="FFDEEAF6"/>
        <bgColor rgb="FFDEEAF6"/>
      </patternFill>
    </fill>
    <fill>
      <patternFill patternType="solid">
        <fgColor rgb="FFBDD6EE"/>
        <bgColor rgb="FFBDD6EE"/>
      </patternFill>
    </fill>
    <fill>
      <patternFill patternType="solid">
        <fgColor rgb="FFFBE4D5"/>
        <bgColor rgb="FFFBE4D5"/>
      </patternFill>
    </fill>
    <fill>
      <patternFill patternType="solid">
        <fgColor theme="0"/>
        <bgColor theme="0"/>
      </patternFill>
    </fill>
    <fill>
      <patternFill patternType="solid">
        <fgColor theme="9"/>
        <bgColor theme="9"/>
      </patternFill>
    </fill>
    <fill>
      <patternFill patternType="solid">
        <fgColor rgb="FFF2F2F2"/>
        <bgColor rgb="FFF2F2F2"/>
      </patternFill>
    </fill>
    <fill>
      <patternFill patternType="solid">
        <fgColor rgb="FFB4C6E7"/>
        <bgColor rgb="FFB4C6E7"/>
      </patternFill>
    </fill>
    <fill>
      <patternFill patternType="solid">
        <fgColor rgb="FF1F3864"/>
        <bgColor rgb="FF1F3864"/>
      </patternFill>
    </fill>
    <fill>
      <patternFill patternType="solid">
        <fgColor rgb="FF8EAADB"/>
        <bgColor rgb="FF8EAADB"/>
      </patternFill>
    </fill>
    <fill>
      <patternFill patternType="solid">
        <fgColor rgb="FFD9E2F3"/>
        <bgColor rgb="FFD9E2F3"/>
      </patternFill>
    </fill>
    <fill>
      <patternFill patternType="solid">
        <fgColor rgb="FFCC99FF"/>
        <bgColor rgb="FFCC99FF"/>
      </patternFill>
    </fill>
    <fill>
      <patternFill patternType="solid">
        <fgColor rgb="FF00B050"/>
        <bgColor rgb="FF00B050"/>
      </patternFill>
    </fill>
  </fills>
  <borders count="1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top/>
      <bottom/>
    </border>
    <border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10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horizontal="center"/>
    </xf>
    <xf borderId="0" fillId="0" fontId="3" numFmtId="0" xfId="0" applyFont="1"/>
    <xf borderId="0" fillId="0" fontId="4" numFmtId="0" xfId="0" applyAlignment="1" applyFont="1">
      <alignment horizontal="right"/>
    </xf>
    <xf borderId="0" fillId="0" fontId="3" numFmtId="0" xfId="0" applyAlignment="1" applyFont="1">
      <alignment horizontal="right"/>
    </xf>
    <xf borderId="1" fillId="2" fontId="5" numFmtId="0" xfId="0" applyAlignment="1" applyBorder="1" applyFill="1" applyFont="1">
      <alignment horizontal="center" shrinkToFit="0" vertical="center" wrapText="1"/>
    </xf>
    <xf borderId="1" fillId="3" fontId="5" numFmtId="0" xfId="0" applyBorder="1" applyFill="1" applyFont="1"/>
    <xf borderId="1" fillId="4" fontId="5" numFmtId="0" xfId="0" applyBorder="1" applyFill="1" applyFont="1"/>
    <xf borderId="1" fillId="5" fontId="5" numFmtId="0" xfId="0" applyBorder="1" applyFill="1" applyFont="1"/>
    <xf borderId="2" fillId="3" fontId="5" numFmtId="0" xfId="0" applyBorder="1" applyFill="1" applyFont="1"/>
    <xf borderId="1" fillId="0" fontId="6" numFmtId="0" xfId="0" applyBorder="1" applyFont="1"/>
    <xf borderId="1" fillId="6" fontId="6" numFmtId="0" xfId="0" applyBorder="1" applyFill="1" applyFont="1"/>
    <xf borderId="0" fillId="0" fontId="7" numFmtId="0" xfId="0" applyAlignment="1" applyFont="1">
      <alignment horizontal="right" readingOrder="0" shrinkToFit="0" vertical="bottom" wrapText="0"/>
    </xf>
    <xf borderId="0" fillId="0" fontId="7" numFmtId="0" xfId="0" applyAlignment="1" applyFont="1">
      <alignment readingOrder="0" shrinkToFit="0" vertical="bottom" wrapText="0"/>
    </xf>
    <xf borderId="3" fillId="7" fontId="3" numFmtId="0" xfId="0" applyBorder="1" applyFill="1" applyFont="1"/>
    <xf borderId="1" fillId="0" fontId="6" numFmtId="0" xfId="0" applyAlignment="1" applyBorder="1" applyFont="1">
      <alignment readingOrder="0"/>
    </xf>
    <xf borderId="3" fillId="8" fontId="3" numFmtId="0" xfId="0" applyBorder="1" applyFill="1" applyFont="1"/>
    <xf borderId="0" fillId="9" fontId="3" numFmtId="0" xfId="0" applyFill="1" applyFont="1"/>
    <xf borderId="0" fillId="0" fontId="3" numFmtId="0" xfId="0" applyAlignment="1" applyFont="1">
      <alignment readingOrder="0"/>
    </xf>
    <xf borderId="1" fillId="10" fontId="6" numFmtId="0" xfId="0" applyAlignment="1" applyBorder="1" applyFill="1" applyFont="1">
      <alignment horizontal="center" vertical="center"/>
    </xf>
    <xf borderId="1" fillId="3" fontId="5" numFmtId="0" xfId="0" applyAlignment="1" applyBorder="1" applyFill="1" applyFont="1">
      <alignment horizontal="center" shrinkToFit="0" vertical="center" wrapText="1"/>
    </xf>
    <xf borderId="1" fillId="11" fontId="5" numFmtId="0" xfId="0" applyAlignment="1" applyBorder="1" applyFill="1" applyFont="1">
      <alignment horizontal="center" shrinkToFit="0" vertical="center" wrapText="1"/>
    </xf>
    <xf borderId="1" fillId="5" fontId="5" numFmtId="0" xfId="0" applyAlignment="1" applyBorder="1" applyFill="1" applyFont="1">
      <alignment horizontal="center" shrinkToFit="0" vertical="center" wrapText="1"/>
    </xf>
    <xf borderId="1" fillId="10" fontId="6" numFmtId="0" xfId="0" applyAlignment="1" applyBorder="1" applyFill="1" applyFont="1">
      <alignment horizontal="center" shrinkToFit="0" vertical="center" wrapText="1"/>
    </xf>
    <xf borderId="1" fillId="11" fontId="5" numFmtId="0" xfId="0" applyAlignment="1" applyBorder="1" applyFill="1" applyFont="1">
      <alignment horizontal="right" shrinkToFit="0" vertical="center" wrapText="1"/>
    </xf>
    <xf borderId="1" fillId="12" fontId="6" numFmtId="0" xfId="0" applyBorder="1" applyFill="1" applyFont="1"/>
    <xf borderId="1" fillId="0" fontId="6" numFmtId="0" xfId="0" applyAlignment="1" applyBorder="1" applyFont="1">
      <alignment horizontal="right"/>
    </xf>
    <xf borderId="1" fillId="0" fontId="1" numFmtId="0" xfId="0" applyAlignment="1" applyBorder="1" applyFont="1">
      <alignment readingOrder="0"/>
    </xf>
    <xf borderId="1" fillId="0" fontId="6" numFmtId="0" xfId="0" applyAlignment="1" applyBorder="1" applyFont="1">
      <alignment horizontal="left"/>
    </xf>
    <xf borderId="1" fillId="13" fontId="6" numFmtId="0" xfId="0" applyBorder="1" applyFill="1" applyFont="1"/>
    <xf borderId="0" fillId="0" fontId="6" numFmtId="0" xfId="0" applyAlignment="1" applyFont="1">
      <alignment readingOrder="0"/>
    </xf>
    <xf borderId="4" fillId="0" fontId="6" numFmtId="0" xfId="0" applyAlignment="1" applyBorder="1" applyFont="1">
      <alignment readingOrder="0"/>
    </xf>
    <xf borderId="1" fillId="14" fontId="6" numFmtId="0" xfId="0" applyBorder="1" applyFill="1" applyFont="1"/>
    <xf borderId="0" fillId="0" fontId="6" numFmtId="0" xfId="0" applyFont="1"/>
    <xf borderId="1" fillId="8" fontId="6" numFmtId="0" xfId="0" applyAlignment="1" applyBorder="1" applyFill="1" applyFont="1">
      <alignment readingOrder="0"/>
    </xf>
    <xf borderId="1" fillId="15" fontId="6" numFmtId="0" xfId="0" applyBorder="1" applyFill="1" applyFont="1"/>
    <xf borderId="1" fillId="16" fontId="6" numFmtId="0" xfId="0" applyBorder="1" applyFill="1" applyFont="1"/>
    <xf borderId="1" fillId="17" fontId="6" numFmtId="0" xfId="0" applyBorder="1" applyFill="1" applyFont="1"/>
    <xf borderId="1" fillId="18" fontId="6" numFmtId="0" xfId="0" applyBorder="1" applyFill="1" applyFont="1"/>
    <xf borderId="1" fillId="19" fontId="6" numFmtId="0" xfId="0" applyBorder="1" applyFill="1" applyFont="1"/>
    <xf borderId="0" fillId="0" fontId="8" numFmtId="0" xfId="0" applyFont="1"/>
    <xf borderId="0" fillId="0" fontId="9" numFmtId="0" xfId="0" applyFont="1"/>
    <xf borderId="0" fillId="0" fontId="8" numFmtId="0" xfId="0" applyAlignment="1" applyFont="1">
      <alignment horizontal="center"/>
    </xf>
    <xf borderId="0" fillId="0" fontId="10" numFmtId="0" xfId="0" applyFont="1"/>
    <xf borderId="1" fillId="0" fontId="3" numFmtId="0" xfId="0" applyBorder="1" applyFont="1"/>
    <xf borderId="1" fillId="3" fontId="11" numFmtId="0" xfId="0" applyBorder="1" applyFill="1" applyFont="1"/>
    <xf borderId="1" fillId="0" fontId="10" numFmtId="0" xfId="0" applyBorder="1" applyFont="1"/>
    <xf borderId="1" fillId="20" fontId="6" numFmtId="0" xfId="0" applyBorder="1" applyFill="1" applyFont="1"/>
    <xf borderId="1" fillId="21" fontId="6" numFmtId="0" xfId="0" applyBorder="1" applyFill="1" applyFont="1"/>
    <xf borderId="0" fillId="0" fontId="12" numFmtId="0" xfId="0" applyFont="1"/>
    <xf borderId="0" fillId="0" fontId="13" numFmtId="0" xfId="0" applyFont="1"/>
    <xf borderId="1" fillId="22" fontId="6" numFmtId="0" xfId="0" applyBorder="1" applyFill="1" applyFont="1"/>
    <xf borderId="1" fillId="23" fontId="6" numFmtId="0" xfId="0" applyBorder="1" applyFill="1" applyFont="1"/>
    <xf borderId="1" fillId="24" fontId="6" numFmtId="0" xfId="0" applyBorder="1" applyFill="1" applyFont="1"/>
    <xf borderId="1" fillId="25" fontId="6" numFmtId="0" xfId="0" applyBorder="1" applyFill="1" applyFont="1"/>
    <xf borderId="1" fillId="26" fontId="6" numFmtId="0" xfId="0" applyBorder="1" applyFill="1" applyFont="1"/>
    <xf borderId="1" fillId="27" fontId="6" numFmtId="0" xfId="0" applyBorder="1" applyFill="1" applyFont="1"/>
    <xf borderId="1" fillId="28" fontId="6" numFmtId="0" xfId="0" applyBorder="1" applyFill="1" applyFont="1"/>
    <xf borderId="1" fillId="29" fontId="6" numFmtId="0" xfId="0" applyBorder="1" applyFill="1" applyFont="1"/>
    <xf borderId="1" fillId="30" fontId="6" numFmtId="0" xfId="0" applyBorder="1" applyFill="1" applyFont="1"/>
    <xf borderId="1" fillId="31" fontId="6" numFmtId="0" xfId="0" applyBorder="1" applyFill="1" applyFont="1"/>
    <xf borderId="1" fillId="11" fontId="11" numFmtId="0" xfId="0" applyBorder="1" applyFill="1" applyFont="1"/>
    <xf borderId="1" fillId="10" fontId="10" numFmtId="0" xfId="0" applyBorder="1" applyFill="1" applyFont="1"/>
    <xf borderId="1" fillId="7" fontId="10" numFmtId="0" xfId="0" applyBorder="1" applyFill="1" applyFont="1"/>
    <xf borderId="1" fillId="32" fontId="10" numFmtId="0" xfId="0" applyBorder="1" applyFill="1" applyFont="1"/>
    <xf borderId="5" fillId="0" fontId="10" numFmtId="0" xfId="0" applyBorder="1" applyFont="1"/>
    <xf borderId="6" fillId="11" fontId="12" numFmtId="0" xfId="0" applyBorder="1" applyFill="1" applyFont="1"/>
    <xf borderId="0" fillId="0" fontId="2" numFmtId="0" xfId="0" applyAlignment="1" applyFont="1">
      <alignment horizontal="left"/>
    </xf>
    <xf borderId="0" fillId="0" fontId="3" numFmtId="0" xfId="0" applyAlignment="1" applyFont="1">
      <alignment horizontal="left"/>
    </xf>
    <xf borderId="7" fillId="33" fontId="5" numFmtId="0" xfId="0" applyAlignment="1" applyBorder="1" applyFill="1" applyFont="1">
      <alignment horizontal="center" shrinkToFit="0" vertical="center" wrapText="1"/>
    </xf>
    <xf borderId="8" fillId="0" fontId="14" numFmtId="0" xfId="0" applyBorder="1" applyFont="1"/>
    <xf borderId="1" fillId="33" fontId="5" numFmtId="0" xfId="0" applyAlignment="1" applyBorder="1" applyFill="1" applyFont="1">
      <alignment horizontal="center" shrinkToFit="0" vertical="center" wrapText="1"/>
    </xf>
    <xf borderId="3" fillId="7" fontId="6" numFmtId="0" xfId="0" applyBorder="1" applyFill="1" applyFont="1"/>
    <xf borderId="9" fillId="34" fontId="6" numFmtId="0" xfId="0" applyAlignment="1" applyBorder="1" applyFill="1" applyFont="1">
      <alignment horizontal="center" shrinkToFit="0" vertical="center" wrapText="1"/>
    </xf>
    <xf borderId="1" fillId="34" fontId="6" numFmtId="0" xfId="0" applyAlignment="1" applyBorder="1" applyFill="1" applyFont="1">
      <alignment horizontal="center" vertical="center"/>
    </xf>
    <xf borderId="0" fillId="0" fontId="3" numFmtId="2" xfId="0" applyAlignment="1" applyFont="1" applyNumberFormat="1">
      <alignment horizontal="left"/>
    </xf>
    <xf borderId="10" fillId="0" fontId="14" numFmtId="0" xfId="0" applyBorder="1" applyFont="1"/>
    <xf borderId="9" fillId="10" fontId="6" numFmtId="0" xfId="0" applyAlignment="1" applyBorder="1" applyFill="1" applyFont="1">
      <alignment horizontal="center" shrinkToFit="0" vertical="center" wrapText="1"/>
    </xf>
    <xf borderId="0" fillId="0" fontId="15" numFmtId="0" xfId="0" applyFont="1"/>
    <xf borderId="1" fillId="35" fontId="6" numFmtId="0" xfId="0" applyBorder="1" applyFill="1" applyFont="1"/>
    <xf borderId="4" fillId="0" fontId="6" numFmtId="0" xfId="0" applyBorder="1" applyFont="1"/>
    <xf borderId="1" fillId="36" fontId="6" numFmtId="0" xfId="0" applyBorder="1" applyFill="1" applyFont="1"/>
    <xf borderId="1" fillId="36" fontId="5" numFmtId="0" xfId="0" applyBorder="1" applyFill="1" applyFont="1"/>
    <xf borderId="1" fillId="12" fontId="5" numFmtId="0" xfId="0" applyBorder="1" applyFill="1" applyFont="1"/>
    <xf borderId="1" fillId="2" fontId="5" numFmtId="0" xfId="0" applyBorder="1" applyFill="1" applyFont="1"/>
    <xf borderId="0" fillId="0" fontId="6" numFmtId="0" xfId="0" applyAlignment="1" applyFont="1">
      <alignment horizontal="right"/>
    </xf>
    <xf borderId="1" fillId="17" fontId="5" numFmtId="0" xfId="0" applyBorder="1" applyFill="1" applyFont="1"/>
    <xf borderId="1" fillId="13" fontId="5" numFmtId="0" xfId="0" applyBorder="1" applyFill="1" applyFont="1"/>
    <xf borderId="1" fillId="37" fontId="6" numFmtId="0" xfId="0" applyBorder="1" applyFill="1" applyFont="1"/>
    <xf borderId="1" fillId="38" fontId="6" numFmtId="0" xfId="0" applyBorder="1" applyFill="1" applyFont="1"/>
    <xf borderId="3" fillId="22" fontId="3" numFmtId="0" xfId="0" applyBorder="1" applyFill="1" applyFont="1"/>
    <xf quotePrefix="1" borderId="0" fillId="0" fontId="3" numFmtId="0" xfId="0" applyFont="1"/>
    <xf borderId="1" fillId="39" fontId="6" numFmtId="0" xfId="0" applyBorder="1" applyFill="1" applyFont="1"/>
    <xf borderId="0" fillId="0" fontId="2" numFmtId="0" xfId="0" applyAlignment="1" applyFont="1">
      <alignment vertical="top"/>
    </xf>
    <xf borderId="0" fillId="0" fontId="6" numFmtId="0" xfId="0" applyAlignment="1" applyFont="1">
      <alignment horizontal="left" shrinkToFit="0" vertical="top" wrapText="1"/>
    </xf>
    <xf borderId="11" fillId="0" fontId="14" numFmtId="0" xfId="0" applyBorder="1" applyFont="1"/>
    <xf borderId="3" fillId="21" fontId="3" numFmtId="0" xfId="0" applyBorder="1" applyFill="1" applyFont="1"/>
    <xf borderId="1" fillId="40" fontId="5" numFmtId="0" xfId="0" applyAlignment="1" applyBorder="1" applyFill="1" applyFont="1">
      <alignment horizontal="center" shrinkToFit="0" vertical="center" wrapText="1"/>
    </xf>
    <xf borderId="1" fillId="0" fontId="6" numFmtId="1" xfId="0" applyAlignment="1" applyBorder="1" applyFont="1" applyNumberFormat="1">
      <alignment horizontal="right"/>
    </xf>
    <xf borderId="1" fillId="32" fontId="6" numFmtId="0" xfId="0" applyBorder="1" applyFill="1" applyFont="1"/>
    <xf borderId="0" fillId="0" fontId="2" numFmtId="0" xfId="0" applyFont="1"/>
    <xf borderId="0" fillId="0" fontId="4" numFmtId="0" xfId="0" applyFont="1"/>
    <xf borderId="0" fillId="0" fontId="3" numFmtId="0" xfId="0" applyAlignment="1" applyFont="1">
      <alignment horizontal="center" shrinkToFit="0" vertical="center" wrapText="1"/>
    </xf>
    <xf borderId="3" fillId="2" fontId="5" numFmtId="0" xfId="0" applyAlignment="1" applyBorder="1" applyFill="1" applyFont="1">
      <alignment horizontal="center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3" fillId="11" fontId="3" numFmtId="0" xfId="0" applyBorder="1" applyFill="1" applyFont="1"/>
    <xf borderId="1" fillId="6" fontId="3" numFmtId="0" xfId="0" applyBorder="1" applyFill="1" applyFont="1"/>
    <xf borderId="1" fillId="0" fontId="3" numFmtId="0" xfId="0" applyAlignment="1" applyBorder="1" applyFont="1">
      <alignment horizontal="left" shrinkToFit="0" vertical="center" wrapText="1"/>
    </xf>
  </cellXfs>
  <cellStyles count="1">
    <cellStyle xfId="0" name="Normal" builtinId="0"/>
  </cellStyles>
  <dxfs count="5">
    <dxf>
      <font/>
      <fill>
        <patternFill patternType="solid">
          <fgColor rgb="FFD8D8D8"/>
          <bgColor rgb="FFD8D8D8"/>
        </patternFill>
      </fill>
      <border/>
    </dxf>
    <dxf>
      <font/>
      <fill>
        <patternFill patternType="solid">
          <fgColor rgb="FFFFE598"/>
          <bgColor rgb="FFFFE598"/>
        </patternFill>
      </fill>
      <border/>
    </dxf>
    <dxf>
      <font/>
      <fill>
        <patternFill patternType="solid">
          <fgColor rgb="FF92D050"/>
          <bgColor rgb="FF92D050"/>
        </patternFill>
      </fill>
      <border/>
    </dxf>
    <dxf>
      <font/>
      <fill>
        <patternFill patternType="solid">
          <fgColor rgb="FFFFD965"/>
          <bgColor rgb="FFFFD965"/>
        </patternFill>
      </fill>
      <border/>
    </dxf>
    <dxf>
      <font/>
      <fill>
        <patternFill patternType="solid">
          <fgColor rgb="FFA8D08D"/>
          <bgColor rgb="FFA8D08D"/>
        </patternFill>
      </fill>
      <border/>
    </dxf>
  </dxf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22" Type="http://customschemas.google.com/relationships/workbookmetadata" Target="metadata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2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2" width="8.71"/>
    <col customWidth="1" min="3" max="5" width="9.71"/>
    <col customWidth="1" min="6" max="6" width="8.71"/>
    <col customWidth="1" min="7" max="7" width="21.14"/>
    <col customWidth="1" min="8" max="9" width="8.71"/>
    <col customWidth="1" min="10" max="10" width="21.0"/>
    <col customWidth="1" min="11" max="14" width="8.71"/>
    <col customWidth="1" min="15" max="21" width="8.86"/>
    <col customWidth="1" min="22" max="32" width="8.71"/>
  </cols>
  <sheetData>
    <row r="1" ht="14.25" customHeight="1">
      <c r="A1" s="2" t="s">
        <v>0</v>
      </c>
      <c r="D1" s="3"/>
      <c r="E1" s="3"/>
      <c r="F1" s="3"/>
      <c r="G1" s="3"/>
      <c r="H1" s="4"/>
      <c r="I1" s="3"/>
      <c r="J1" s="3" t="s">
        <v>4</v>
      </c>
      <c r="K1" s="6">
        <v>1.0</v>
      </c>
      <c r="L1" s="6">
        <v>2.0</v>
      </c>
      <c r="M1" s="6">
        <v>3.0</v>
      </c>
      <c r="N1" s="6">
        <v>4.0</v>
      </c>
      <c r="O1" s="6">
        <v>5.0</v>
      </c>
      <c r="P1" s="6">
        <v>6.0</v>
      </c>
      <c r="Q1" s="6">
        <v>7.0</v>
      </c>
      <c r="R1" s="6">
        <v>8.0</v>
      </c>
      <c r="S1" s="6">
        <v>9.0</v>
      </c>
      <c r="T1" s="6">
        <v>10.0</v>
      </c>
      <c r="U1" s="6">
        <v>11.0</v>
      </c>
      <c r="V1" s="6">
        <v>12.0</v>
      </c>
      <c r="W1" s="6">
        <v>13.0</v>
      </c>
      <c r="X1" s="6">
        <v>14.0</v>
      </c>
      <c r="Y1" s="6">
        <v>15.0</v>
      </c>
      <c r="Z1" s="6">
        <v>16.0</v>
      </c>
      <c r="AB1" s="6"/>
      <c r="AC1" s="6"/>
      <c r="AD1" s="6"/>
      <c r="AF1" s="3"/>
    </row>
    <row r="2" ht="14.25" customHeight="1">
      <c r="A2" s="1" t="s">
        <v>26</v>
      </c>
      <c r="B2" s="3" t="s">
        <v>28</v>
      </c>
      <c r="C2" s="3"/>
      <c r="D2" s="3"/>
      <c r="E2" s="3"/>
      <c r="F2" s="3"/>
      <c r="G2" s="3"/>
      <c r="H2" s="4" t="s">
        <v>30</v>
      </c>
      <c r="I2" s="3">
        <v>3.0</v>
      </c>
      <c r="J2" s="3" t="s">
        <v>32</v>
      </c>
      <c r="K2" s="3">
        <f t="shared" ref="K2:Z2" si="1">COUNTIF($D$7:$D$301, K1)</f>
        <v>3</v>
      </c>
      <c r="L2" s="3">
        <f t="shared" si="1"/>
        <v>19</v>
      </c>
      <c r="M2" s="3">
        <f t="shared" si="1"/>
        <v>5</v>
      </c>
      <c r="N2" s="3">
        <f t="shared" si="1"/>
        <v>19</v>
      </c>
      <c r="O2" s="3">
        <f t="shared" si="1"/>
        <v>5</v>
      </c>
      <c r="P2" s="3">
        <f t="shared" si="1"/>
        <v>17</v>
      </c>
      <c r="Q2" s="3">
        <f t="shared" si="1"/>
        <v>8</v>
      </c>
      <c r="R2" s="15">
        <f t="shared" si="1"/>
        <v>0</v>
      </c>
      <c r="S2" s="3">
        <f t="shared" si="1"/>
        <v>21</v>
      </c>
      <c r="T2" s="3">
        <f t="shared" si="1"/>
        <v>3</v>
      </c>
      <c r="U2" s="3">
        <f t="shared" si="1"/>
        <v>4</v>
      </c>
      <c r="V2" s="3">
        <f t="shared" si="1"/>
        <v>1</v>
      </c>
      <c r="W2" s="3">
        <f t="shared" si="1"/>
        <v>1</v>
      </c>
      <c r="X2" s="15">
        <f t="shared" si="1"/>
        <v>0</v>
      </c>
      <c r="Y2" s="3">
        <f t="shared" si="1"/>
        <v>0</v>
      </c>
      <c r="Z2" s="3">
        <f t="shared" si="1"/>
        <v>0</v>
      </c>
      <c r="AD2" s="3"/>
      <c r="AF2" s="3"/>
    </row>
    <row r="3" ht="14.25" customHeight="1">
      <c r="B3" s="3" t="s">
        <v>41</v>
      </c>
      <c r="C3" s="3"/>
      <c r="D3" s="3"/>
      <c r="E3" s="3"/>
      <c r="F3" s="3"/>
      <c r="G3" s="3"/>
      <c r="H3" s="4" t="s">
        <v>42</v>
      </c>
      <c r="I3" s="3">
        <f>24-I2+1</f>
        <v>22</v>
      </c>
      <c r="J3" s="3" t="s">
        <v>46</v>
      </c>
      <c r="K3" s="3">
        <f>K2</f>
        <v>3</v>
      </c>
      <c r="L3" s="3">
        <f t="shared" ref="L3:Z3" si="2">K3+L2</f>
        <v>22</v>
      </c>
      <c r="M3" s="3">
        <f t="shared" si="2"/>
        <v>27</v>
      </c>
      <c r="N3" s="3">
        <f t="shared" si="2"/>
        <v>46</v>
      </c>
      <c r="O3" s="3">
        <f t="shared" si="2"/>
        <v>51</v>
      </c>
      <c r="P3" s="3">
        <f t="shared" si="2"/>
        <v>68</v>
      </c>
      <c r="Q3" s="3">
        <f t="shared" si="2"/>
        <v>76</v>
      </c>
      <c r="R3" s="3">
        <f t="shared" si="2"/>
        <v>76</v>
      </c>
      <c r="S3" s="3">
        <f t="shared" si="2"/>
        <v>97</v>
      </c>
      <c r="T3" s="3">
        <f t="shared" si="2"/>
        <v>100</v>
      </c>
      <c r="U3" s="3">
        <f t="shared" si="2"/>
        <v>104</v>
      </c>
      <c r="V3" s="3">
        <f t="shared" si="2"/>
        <v>105</v>
      </c>
      <c r="W3" s="3">
        <f t="shared" si="2"/>
        <v>106</v>
      </c>
      <c r="X3" s="3">
        <f t="shared" si="2"/>
        <v>106</v>
      </c>
      <c r="Y3" s="3">
        <f t="shared" si="2"/>
        <v>106</v>
      </c>
      <c r="Z3" s="3">
        <f t="shared" si="2"/>
        <v>106</v>
      </c>
      <c r="AD3" s="3"/>
      <c r="AF3" s="3"/>
    </row>
    <row r="4" ht="14.25" customHeight="1">
      <c r="B4" s="1" t="s">
        <v>53</v>
      </c>
      <c r="C4" s="3"/>
      <c r="D4" s="3"/>
      <c r="E4" s="3"/>
      <c r="G4" s="3"/>
      <c r="H4" s="4"/>
      <c r="I4" s="3"/>
      <c r="J4" s="3" t="s">
        <v>54</v>
      </c>
      <c r="K4" s="3">
        <f>I2</f>
        <v>3</v>
      </c>
      <c r="L4" s="3">
        <f>I3</f>
        <v>22</v>
      </c>
      <c r="M4" s="3">
        <f>L4+5</f>
        <v>27</v>
      </c>
      <c r="N4" s="3">
        <f>M4+19</f>
        <v>46</v>
      </c>
      <c r="O4" s="3">
        <f>N4+5</f>
        <v>51</v>
      </c>
      <c r="P4" s="3">
        <f>O4+19</f>
        <v>70</v>
      </c>
      <c r="Q4" s="3">
        <f>P4+5</f>
        <v>75</v>
      </c>
      <c r="R4" s="3">
        <f>Q4+19</f>
        <v>94</v>
      </c>
      <c r="S4" s="3">
        <f>R4+5</f>
        <v>99</v>
      </c>
      <c r="T4" s="3">
        <f>S4+19</f>
        <v>118</v>
      </c>
      <c r="U4" s="3">
        <f>T4+5</f>
        <v>123</v>
      </c>
      <c r="V4" s="3">
        <f>U4+19</f>
        <v>142</v>
      </c>
      <c r="W4" s="3">
        <f>V4+5</f>
        <v>147</v>
      </c>
      <c r="X4" s="3">
        <f>W4+19</f>
        <v>166</v>
      </c>
      <c r="Y4" s="3">
        <f>X4+5</f>
        <v>171</v>
      </c>
      <c r="Z4" s="3">
        <f>Y4+19</f>
        <v>190</v>
      </c>
      <c r="AD4" s="3"/>
      <c r="AF4" s="3"/>
    </row>
    <row r="5" ht="14.25" customHeight="1">
      <c r="C5" s="3"/>
      <c r="D5" s="3"/>
      <c r="E5" s="3"/>
      <c r="F5" s="3"/>
      <c r="G5" s="3"/>
      <c r="H5" s="4"/>
      <c r="I5" s="3"/>
      <c r="J5" s="3" t="s">
        <v>68</v>
      </c>
      <c r="K5" s="3">
        <f t="shared" ref="K5:Z5" si="3">K3-K4</f>
        <v>0</v>
      </c>
      <c r="L5" s="3">
        <f t="shared" si="3"/>
        <v>0</v>
      </c>
      <c r="M5" s="3">
        <f t="shared" si="3"/>
        <v>0</v>
      </c>
      <c r="N5" s="3">
        <f t="shared" si="3"/>
        <v>0</v>
      </c>
      <c r="O5" s="3">
        <f t="shared" si="3"/>
        <v>0</v>
      </c>
      <c r="P5" s="3">
        <f t="shared" si="3"/>
        <v>-2</v>
      </c>
      <c r="Q5" s="3">
        <f t="shared" si="3"/>
        <v>1</v>
      </c>
      <c r="R5" s="3">
        <f t="shared" si="3"/>
        <v>-18</v>
      </c>
      <c r="S5" s="3">
        <f t="shared" si="3"/>
        <v>-2</v>
      </c>
      <c r="T5" s="3">
        <f t="shared" si="3"/>
        <v>-18</v>
      </c>
      <c r="U5" s="3">
        <f t="shared" si="3"/>
        <v>-19</v>
      </c>
      <c r="V5" s="3">
        <f t="shared" si="3"/>
        <v>-37</v>
      </c>
      <c r="W5" s="3">
        <f t="shared" si="3"/>
        <v>-41</v>
      </c>
      <c r="X5" s="3">
        <f t="shared" si="3"/>
        <v>-60</v>
      </c>
      <c r="Y5" s="3">
        <f t="shared" si="3"/>
        <v>-65</v>
      </c>
      <c r="Z5" s="3">
        <f t="shared" si="3"/>
        <v>-84</v>
      </c>
      <c r="AD5" s="3"/>
      <c r="AF5" s="3"/>
    </row>
    <row r="6" ht="14.25" customHeight="1">
      <c r="A6" s="20" t="s">
        <v>72</v>
      </c>
      <c r="B6" s="21" t="s">
        <v>76</v>
      </c>
      <c r="C6" s="22" t="s">
        <v>77</v>
      </c>
      <c r="D6" s="22" t="s">
        <v>9</v>
      </c>
      <c r="E6" s="22" t="s">
        <v>78</v>
      </c>
      <c r="F6" s="22" t="s">
        <v>10</v>
      </c>
      <c r="G6" s="6" t="s">
        <v>5</v>
      </c>
      <c r="H6" s="6" t="s">
        <v>7</v>
      </c>
      <c r="I6" s="6" t="s">
        <v>8</v>
      </c>
      <c r="J6" s="6" t="s">
        <v>11</v>
      </c>
      <c r="K6" s="6" t="s">
        <v>12</v>
      </c>
      <c r="L6" s="23" t="s">
        <v>81</v>
      </c>
      <c r="M6" s="23" t="s">
        <v>17</v>
      </c>
      <c r="N6" s="21" t="s">
        <v>82</v>
      </c>
      <c r="O6" s="20" t="s">
        <v>16</v>
      </c>
      <c r="P6" s="24" t="s">
        <v>86</v>
      </c>
      <c r="Q6" s="20" t="s">
        <v>13</v>
      </c>
      <c r="R6" s="20" t="s">
        <v>15</v>
      </c>
      <c r="S6" s="20" t="s">
        <v>20</v>
      </c>
      <c r="T6" s="20" t="s">
        <v>27</v>
      </c>
      <c r="U6" s="20" t="s">
        <v>23</v>
      </c>
      <c r="V6" s="21" t="s">
        <v>87</v>
      </c>
      <c r="W6" s="21" t="s">
        <v>88</v>
      </c>
      <c r="X6" s="21" t="s">
        <v>89</v>
      </c>
      <c r="Y6" s="21" t="s">
        <v>90</v>
      </c>
      <c r="Z6" s="6" t="s">
        <v>14</v>
      </c>
    </row>
    <row r="7" ht="14.25" customHeight="1">
      <c r="A7" s="11"/>
      <c r="B7" s="11">
        <f t="shared" ref="B7:B262" si="4">IFERROR(INT(AVERAGE(Q7:U7)/12)+1, INT(AVERAGE(M7)/12)+1)</f>
        <v>1</v>
      </c>
      <c r="C7" s="11" t="s">
        <v>95</v>
      </c>
      <c r="D7" s="11">
        <v>1.0</v>
      </c>
      <c r="E7" s="11"/>
      <c r="F7" s="11" t="str">
        <f>VLOOKUP(G7, SeanRanks!$A$2:$E$302, 4, FALSE)</f>
        <v/>
      </c>
      <c r="G7" s="11" t="s">
        <v>57</v>
      </c>
      <c r="H7" s="11" t="str">
        <f>VLOOKUP($G7, 'ADP Data'!$C$4:$Q$300, 2, FALSE)</f>
        <v>SF</v>
      </c>
      <c r="I7" s="11">
        <f>VLOOKUP(G7, 'ADP Data'!$C$4:$R$498, 12, FALSE)</f>
        <v>7</v>
      </c>
      <c r="J7" s="26" t="str">
        <f>VLOOKUP($G7, SeanRanks!$A$2:$H$303, 5, FALSE)</f>
        <v/>
      </c>
      <c r="K7" s="11" t="str">
        <f>VLOOKUP($G7, SeanRanks!$A$2:$H$303, 6, FALSE)</f>
        <v>RB1 - 1 - Elite floor/ceiling</v>
      </c>
      <c r="L7" s="11">
        <f t="shared" ref="L7:L306" si="5">IFERROR(INT(M7/8)+1, 16)</f>
        <v>2</v>
      </c>
      <c r="M7" s="11">
        <f>VLOOKUP($G7, 'ADP Data'!$C$4:$Q$300, 9, FALSE)</f>
        <v>10</v>
      </c>
      <c r="N7" s="11">
        <f t="shared" ref="N7:N306" si="6">M7-V7</f>
        <v>2</v>
      </c>
      <c r="O7" s="11">
        <f>VLOOKUP($G7, 'ADP Data'!$C$4:$Q$300, 3, FALSE)</f>
        <v>8</v>
      </c>
      <c r="P7" s="11">
        <f t="shared" ref="P7:P306" si="7">M7-O7</f>
        <v>2</v>
      </c>
      <c r="Q7" s="11">
        <f>VLOOKUP($G7, 'ADP Data'!$C$4:$Q$300, 4, FALSE)</f>
        <v>7</v>
      </c>
      <c r="R7" s="11">
        <f>VLOOKUP($G7, 'ADP Data'!$C$4:$Q$300, 5, FALSE)</f>
        <v>7</v>
      </c>
      <c r="S7" s="11">
        <f>VLOOKUP($G7, 'ADP Data'!$C$4:$Q$300, 6, FALSE)</f>
        <v>8</v>
      </c>
      <c r="T7" s="11">
        <f>VLOOKUP($G7, 'ADP Data'!$C$4:$Q$300, 7, FALSE)</f>
        <v>7</v>
      </c>
      <c r="U7" s="11">
        <f>VLOOKUP($G7, 'ADP Data'!$C$4:$Q$300, 8, FALSE)</f>
        <v>11</v>
      </c>
      <c r="V7" s="11">
        <f t="shared" ref="V7:V306" si="8">INT(AVERAGE(M7, O7,Q7:U7))</f>
        <v>8</v>
      </c>
      <c r="W7" s="11">
        <f t="shared" ref="W7:W306" si="9">IFERROR(INT(V7/8)+1, 16)</f>
        <v>2</v>
      </c>
      <c r="X7" s="11">
        <f t="shared" ref="X7:X306" si="10">D7-W7</f>
        <v>-1</v>
      </c>
      <c r="Y7" s="11">
        <f>VLOOKUP($G7, SeanRanks!$A$2:$K$303, 10, FALSE)-V7</f>
        <v>1</v>
      </c>
      <c r="Z7" s="29">
        <f>IF(VLOOKUP($G7, SeanRanks!$A$2:$H$303, 7, FALSE)=0, "", VLOOKUP($G7, SeanRanks!$A$2:$H$303, 7, FALSE))</f>
        <v>4</v>
      </c>
    </row>
    <row r="8" ht="14.25" customHeight="1">
      <c r="A8" s="11" t="s">
        <v>106</v>
      </c>
      <c r="B8" s="11">
        <f t="shared" si="4"/>
        <v>3</v>
      </c>
      <c r="C8" s="11" t="s">
        <v>95</v>
      </c>
      <c r="D8" s="11">
        <v>1.0</v>
      </c>
      <c r="E8" s="11"/>
      <c r="F8" s="11" t="str">
        <f>VLOOKUP(G8, SeanRanks!$A$2:$E$302, 4, FALSE)</f>
        <v/>
      </c>
      <c r="G8" s="11" t="s">
        <v>132</v>
      </c>
      <c r="H8" s="11" t="str">
        <f>VLOOKUP($G8, 'ADP Data'!$C$4:$Q$300, 2, FALSE)</f>
        <v>MIA</v>
      </c>
      <c r="I8" s="11">
        <f>VLOOKUP(G8, 'ADP Data'!$C$4:$R$498, 12, FALSE)</f>
        <v>33</v>
      </c>
      <c r="J8" s="30" t="str">
        <f>VLOOKUP($G8, SeanRanks!$A$2:$H$303, 5, FALSE)</f>
        <v>Yes</v>
      </c>
      <c r="K8" s="11" t="str">
        <f>IF(VLOOKUP($G8, SeanRanks!$A$2:$H$303, 6, FALSE)=0, "", VLOOKUP($G8, SeanRanks!$A$2:$H$303, 6, FALSE))</f>
        <v>WR2 - 1 - WR1 upside</v>
      </c>
      <c r="L8" s="11">
        <f t="shared" si="5"/>
        <v>4</v>
      </c>
      <c r="M8" s="11">
        <f>VLOOKUP($G8, 'ADP Data'!$C$4:$Q$300, 9, FALSE)</f>
        <v>27</v>
      </c>
      <c r="N8" s="11">
        <f t="shared" si="6"/>
        <v>-7</v>
      </c>
      <c r="O8" s="11">
        <f>VLOOKUP($G8, 'ADP Data'!$C$4:$Q$300, 3, FALSE)</f>
        <v>39</v>
      </c>
      <c r="P8" s="11">
        <f t="shared" si="7"/>
        <v>-12</v>
      </c>
      <c r="Q8" s="11">
        <f>VLOOKUP($G8, 'ADP Data'!$C$4:$Q$300, 4, FALSE)</f>
        <v>31</v>
      </c>
      <c r="R8" s="11">
        <f>VLOOKUP($G8, 'ADP Data'!$C$4:$Q$300, 5, FALSE)</f>
        <v>36</v>
      </c>
      <c r="S8" s="11">
        <f>VLOOKUP($G8, 'ADP Data'!$C$4:$Q$300, 6, FALSE)</f>
        <v>36</v>
      </c>
      <c r="T8" s="11">
        <f>VLOOKUP($G8, 'ADP Data'!$C$4:$Q$300, 7, FALSE)</f>
        <v>33</v>
      </c>
      <c r="U8" s="11">
        <f>VLOOKUP($G8, 'ADP Data'!$C$4:$Q$300, 8, FALSE)</f>
        <v>36</v>
      </c>
      <c r="V8" s="11">
        <f t="shared" si="8"/>
        <v>34</v>
      </c>
      <c r="W8" s="11">
        <f t="shared" si="9"/>
        <v>5</v>
      </c>
      <c r="X8" s="11">
        <f t="shared" si="10"/>
        <v>-4</v>
      </c>
      <c r="Y8" s="11">
        <f>VLOOKUP($G8, SeanRanks!$A$2:$K$303, 10, FALSE)-V8</f>
        <v>8</v>
      </c>
      <c r="Z8" s="29">
        <f>IF(VLOOKUP($G8, SeanRanks!$A$2:$H$303, 7, FALSE)=0, "", VLOOKUP($G8, SeanRanks!$A$2:$H$303, 7, FALSE))</f>
        <v>16</v>
      </c>
    </row>
    <row r="9" ht="14.25" customHeight="1">
      <c r="A9" s="11"/>
      <c r="B9" s="11">
        <f t="shared" si="4"/>
        <v>1</v>
      </c>
      <c r="C9" s="11" t="s">
        <v>95</v>
      </c>
      <c r="D9" s="11">
        <v>1.0</v>
      </c>
      <c r="E9" s="11" t="s">
        <v>151</v>
      </c>
      <c r="F9" s="11" t="str">
        <f>VLOOKUP(G9, SeanRanks!$A$2:$E$302, 4, FALSE)</f>
        <v/>
      </c>
      <c r="G9" s="11" t="s">
        <v>70</v>
      </c>
      <c r="H9" s="11" t="str">
        <f>VLOOKUP($G9, 'ADP Data'!$C$4:$Q$300, 2, FALSE)</f>
        <v>DAL</v>
      </c>
      <c r="I9" s="11">
        <f>VLOOKUP(G9, 'ADP Data'!$C$4:$R$498, 12, FALSE)</f>
        <v>3</v>
      </c>
      <c r="J9" s="30" t="str">
        <f>VLOOKUP($G9, SeanRanks!$A$2:$H$303, 5, FALSE)</f>
        <v/>
      </c>
      <c r="K9" s="11" t="str">
        <f>IF(VLOOKUP($G9, SeanRanks!$A$2:$H$303, 6, FALSE)=0, "", VLOOKUP($G9, SeanRanks!$A$2:$H$303, 6, FALSE))</f>
        <v>WR1 - 1 - Elite</v>
      </c>
      <c r="L9" s="11">
        <f t="shared" si="5"/>
        <v>1</v>
      </c>
      <c r="M9" s="11">
        <f>VLOOKUP($G9, 'ADP Data'!$C$4:$Q$300, 9, FALSE)</f>
        <v>6</v>
      </c>
      <c r="N9" s="11">
        <f t="shared" si="6"/>
        <v>2</v>
      </c>
      <c r="O9" s="11">
        <f>VLOOKUP($G9, 'ADP Data'!$C$4:$Q$300, 3, FALSE)</f>
        <v>5</v>
      </c>
      <c r="P9" s="11">
        <f t="shared" si="7"/>
        <v>1</v>
      </c>
      <c r="Q9" s="11">
        <f>VLOOKUP($G9, 'ADP Data'!$C$4:$Q$300, 4, FALSE)</f>
        <v>6</v>
      </c>
      <c r="R9" s="11">
        <f>VLOOKUP($G9, 'ADP Data'!$C$4:$Q$300, 5, FALSE)</f>
        <v>5</v>
      </c>
      <c r="S9" s="11">
        <f>VLOOKUP($G9, 'ADP Data'!$C$4:$Q$300, 6, FALSE)</f>
        <v>4</v>
      </c>
      <c r="T9" s="11">
        <f>VLOOKUP($G9, 'ADP Data'!$C$4:$Q$300, 7, FALSE)</f>
        <v>4</v>
      </c>
      <c r="U9" s="11">
        <f>VLOOKUP($G9, 'ADP Data'!$C$4:$Q$300, 8, FALSE)</f>
        <v>3</v>
      </c>
      <c r="V9" s="11">
        <f t="shared" si="8"/>
        <v>4</v>
      </c>
      <c r="W9" s="11">
        <f t="shared" si="9"/>
        <v>1</v>
      </c>
      <c r="X9" s="11">
        <f t="shared" si="10"/>
        <v>0</v>
      </c>
      <c r="Y9" s="11">
        <f>VLOOKUP($G9, SeanRanks!$A$2:$K$303, 10, FALSE)-V9</f>
        <v>1</v>
      </c>
      <c r="Z9" s="29">
        <f>IF(VLOOKUP($G9, SeanRanks!$A$2:$H$303, 7, FALSE)=0, "", VLOOKUP($G9, SeanRanks!$A$2:$H$303, 7, FALSE))</f>
        <v>3</v>
      </c>
    </row>
    <row r="10" ht="14.25" customHeight="1">
      <c r="A10" s="11"/>
      <c r="B10" s="11">
        <f t="shared" si="4"/>
        <v>4</v>
      </c>
      <c r="C10" s="11" t="s">
        <v>95</v>
      </c>
      <c r="D10" s="11">
        <v>2.0</v>
      </c>
      <c r="E10" s="11"/>
      <c r="F10" s="11" t="str">
        <f>VLOOKUP(G10, SeanRanks!$A$2:$E$302, 4, FALSE)</f>
        <v/>
      </c>
      <c r="G10" s="11" t="s">
        <v>147</v>
      </c>
      <c r="H10" s="11" t="str">
        <f>VLOOKUP($G10, 'ADP Data'!$C$4:$Q$300, 2, FALSE)</f>
        <v>NYJ</v>
      </c>
      <c r="I10" s="11">
        <f>VLOOKUP(G10, 'ADP Data'!$C$4:$R$498, 12, FALSE)</f>
        <v>47</v>
      </c>
      <c r="J10" s="26" t="str">
        <f>VLOOKUP($G10, SeanRanks!$A$2:$H$303, 5, FALSE)</f>
        <v/>
      </c>
      <c r="K10" s="11" t="str">
        <f>IF(VLOOKUP($G10, SeanRanks!$A$2:$H$303, 6, FALSE)=0, "", VLOOKUP($G10, SeanRanks!$A$2:$H$303, 6, FALSE))</f>
        <v>RB2 - 1 - Clear path to spikes</v>
      </c>
      <c r="L10" s="11">
        <f t="shared" si="5"/>
        <v>5</v>
      </c>
      <c r="M10" s="11">
        <f>VLOOKUP($G10, 'ADP Data'!$C$4:$Q$300, 9, FALSE)</f>
        <v>32</v>
      </c>
      <c r="N10" s="11">
        <f t="shared" si="6"/>
        <v>-7</v>
      </c>
      <c r="O10" s="11">
        <f>VLOOKUP($G10, 'ADP Data'!$C$4:$Q$300, 3, FALSE)</f>
        <v>41</v>
      </c>
      <c r="P10" s="11">
        <f t="shared" si="7"/>
        <v>-9</v>
      </c>
      <c r="Q10" s="11">
        <f>VLOOKUP($G10, 'ADP Data'!$C$4:$Q$300, 4, FALSE)</f>
        <v>51</v>
      </c>
      <c r="R10" s="11">
        <f>VLOOKUP($G10, 'ADP Data'!$C$4:$Q$300, 5, FALSE)</f>
        <v>41</v>
      </c>
      <c r="S10" s="11">
        <f>VLOOKUP($G10, 'ADP Data'!$C$4:$Q$300, 6, FALSE)</f>
        <v>42</v>
      </c>
      <c r="T10" s="11">
        <f>VLOOKUP($G10, 'ADP Data'!$C$4:$Q$300, 7, FALSE)</f>
        <v>39</v>
      </c>
      <c r="U10" s="11">
        <f>VLOOKUP($G10, 'ADP Data'!$C$4:$Q$300, 8, FALSE)</f>
        <v>31</v>
      </c>
      <c r="V10" s="11">
        <f t="shared" si="8"/>
        <v>39</v>
      </c>
      <c r="W10" s="11">
        <f t="shared" si="9"/>
        <v>5</v>
      </c>
      <c r="X10" s="11">
        <f t="shared" si="10"/>
        <v>-3</v>
      </c>
      <c r="Y10" s="11">
        <f>VLOOKUP($G10, SeanRanks!$A$2:$K$303, 10, FALSE)-V10</f>
        <v>11</v>
      </c>
      <c r="Z10" s="29">
        <f>IF(VLOOKUP($G10, SeanRanks!$A$2:$H$303, 7, FALSE)=0, "", VLOOKUP($G10, SeanRanks!$A$2:$H$303, 7, FALSE))</f>
        <v>16</v>
      </c>
    </row>
    <row r="11" ht="14.25" customHeight="1">
      <c r="A11" s="11"/>
      <c r="B11" s="11">
        <f t="shared" si="4"/>
        <v>1</v>
      </c>
      <c r="C11" s="11" t="s">
        <v>95</v>
      </c>
      <c r="D11" s="11">
        <v>2.0</v>
      </c>
      <c r="E11" s="11"/>
      <c r="F11" s="11" t="str">
        <f>VLOOKUP(G11, SeanRanks!$A$2:$E$302, 4, FALSE)</f>
        <v/>
      </c>
      <c r="G11" s="11" t="s">
        <v>39</v>
      </c>
      <c r="H11" s="11" t="str">
        <f>VLOOKUP($G11, 'ADP Data'!$C$4:$Q$300, 2, FALSE)</f>
        <v>ATL</v>
      </c>
      <c r="I11" s="11">
        <f>VLOOKUP(G11, 'ADP Data'!$C$4:$R$498, 12, FALSE)</f>
        <v>2</v>
      </c>
      <c r="J11" s="26" t="str">
        <f>VLOOKUP($G11, SeanRanks!$A$2:$H$303, 5, FALSE)</f>
        <v/>
      </c>
      <c r="K11" s="11" t="str">
        <f>IF(VLOOKUP($G11, SeanRanks!$A$2:$H$303, 6, FALSE)=0, "", VLOOKUP($G11, SeanRanks!$A$2:$H$303, 6, FALSE))</f>
        <v>RB1 - 1 - Elite floor/ceiling</v>
      </c>
      <c r="L11" s="11">
        <f t="shared" si="5"/>
        <v>1</v>
      </c>
      <c r="M11" s="11">
        <f>VLOOKUP($G11, 'ADP Data'!$C$4:$Q$300, 9, FALSE)</f>
        <v>3</v>
      </c>
      <c r="N11" s="11">
        <f t="shared" si="6"/>
        <v>1</v>
      </c>
      <c r="O11" s="11">
        <f>VLOOKUP($G11, 'ADP Data'!$C$4:$Q$300, 3, FALSE)</f>
        <v>2</v>
      </c>
      <c r="P11" s="11">
        <f t="shared" si="7"/>
        <v>1</v>
      </c>
      <c r="Q11" s="11">
        <f>VLOOKUP($G11, 'ADP Data'!$C$4:$Q$300, 4, FALSE)</f>
        <v>2</v>
      </c>
      <c r="R11" s="11">
        <f>VLOOKUP($G11, 'ADP Data'!$C$4:$Q$300, 5, FALSE)</f>
        <v>2</v>
      </c>
      <c r="S11" s="11">
        <f>VLOOKUP($G11, 'ADP Data'!$C$4:$Q$300, 6, FALSE)</f>
        <v>2</v>
      </c>
      <c r="T11" s="11">
        <f>VLOOKUP($G11, 'ADP Data'!$C$4:$Q$300, 7, FALSE)</f>
        <v>2</v>
      </c>
      <c r="U11" s="11">
        <f>VLOOKUP($G11, 'ADP Data'!$C$4:$Q$300, 8, FALSE)</f>
        <v>2</v>
      </c>
      <c r="V11" s="11">
        <f t="shared" si="8"/>
        <v>2</v>
      </c>
      <c r="W11" s="11">
        <f t="shared" si="9"/>
        <v>1</v>
      </c>
      <c r="X11" s="11">
        <f t="shared" si="10"/>
        <v>1</v>
      </c>
      <c r="Y11" s="11">
        <f>VLOOKUP($G11, SeanRanks!$A$2:$K$303, 10, FALSE)-V11</f>
        <v>0</v>
      </c>
      <c r="Z11" s="29">
        <f>IF(VLOOKUP($G11, SeanRanks!$A$2:$H$303, 7, FALSE)=0, "", VLOOKUP($G11, SeanRanks!$A$2:$H$303, 7, FALSE))</f>
        <v>1</v>
      </c>
    </row>
    <row r="12" ht="14.25" customHeight="1">
      <c r="A12" s="11"/>
      <c r="B12" s="11">
        <f t="shared" si="4"/>
        <v>1</v>
      </c>
      <c r="C12" s="11" t="s">
        <v>95</v>
      </c>
      <c r="D12" s="11">
        <v>2.0</v>
      </c>
      <c r="E12" s="11"/>
      <c r="F12" s="11" t="str">
        <f>VLOOKUP(G12, SeanRanks!$A$2:$E$302, 4, FALSE)</f>
        <v/>
      </c>
      <c r="G12" s="11" t="s">
        <v>44</v>
      </c>
      <c r="H12" s="11" t="str">
        <f>VLOOKUP($G12, 'ADP Data'!$C$4:$Q$300, 2, FALSE)</f>
        <v>CIN</v>
      </c>
      <c r="I12" s="11">
        <f>VLOOKUP(G12, 'ADP Data'!$C$4:$R$498, 12, FALSE)</f>
        <v>1</v>
      </c>
      <c r="J12" s="30" t="str">
        <f>VLOOKUP($G12, SeanRanks!$A$2:$H$303, 5, FALSE)</f>
        <v/>
      </c>
      <c r="K12" s="11" t="str">
        <f>IF(VLOOKUP($G12, SeanRanks!$A$2:$H$303, 6, FALSE)=0, "", VLOOKUP($G12, SeanRanks!$A$2:$H$303, 6, FALSE))</f>
        <v>WR1 - 1 - Elite</v>
      </c>
      <c r="L12" s="11">
        <f t="shared" si="5"/>
        <v>1</v>
      </c>
      <c r="M12" s="11">
        <f>VLOOKUP($G12, 'ADP Data'!$C$4:$Q$300, 9, FALSE)</f>
        <v>1</v>
      </c>
      <c r="N12" s="11">
        <f t="shared" si="6"/>
        <v>0</v>
      </c>
      <c r="O12" s="11">
        <f>VLOOKUP($G12, 'ADP Data'!$C$4:$Q$300, 3, FALSE)</f>
        <v>1</v>
      </c>
      <c r="P12" s="11">
        <f t="shared" si="7"/>
        <v>0</v>
      </c>
      <c r="Q12" s="11">
        <f>VLOOKUP($G12, 'ADP Data'!$C$4:$Q$300, 4, FALSE)</f>
        <v>1</v>
      </c>
      <c r="R12" s="11">
        <f>VLOOKUP($G12, 'ADP Data'!$C$4:$Q$300, 5, FALSE)</f>
        <v>1</v>
      </c>
      <c r="S12" s="11">
        <f>VLOOKUP($G12, 'ADP Data'!$C$4:$Q$300, 6, FALSE)</f>
        <v>1</v>
      </c>
      <c r="T12" s="11">
        <f>VLOOKUP($G12, 'ADP Data'!$C$4:$Q$300, 7, FALSE)</f>
        <v>1</v>
      </c>
      <c r="U12" s="11">
        <f>VLOOKUP($G12, 'ADP Data'!$C$4:$Q$300, 8, FALSE)</f>
        <v>1</v>
      </c>
      <c r="V12" s="11">
        <f t="shared" si="8"/>
        <v>1</v>
      </c>
      <c r="W12" s="11">
        <f t="shared" si="9"/>
        <v>1</v>
      </c>
      <c r="X12" s="11">
        <f t="shared" si="10"/>
        <v>1</v>
      </c>
      <c r="Y12" s="11">
        <f>VLOOKUP($G12, SeanRanks!$A$2:$K$303, 10, FALSE)-V12</f>
        <v>0</v>
      </c>
      <c r="Z12" s="29">
        <f>IF(VLOOKUP($G12, SeanRanks!$A$2:$H$303, 7, FALSE)=0, "", VLOOKUP($G12, SeanRanks!$A$2:$H$303, 7, FALSE))</f>
        <v>1</v>
      </c>
    </row>
    <row r="13" ht="14.25" customHeight="1">
      <c r="A13" s="11"/>
      <c r="B13" s="11">
        <f t="shared" si="4"/>
        <v>2</v>
      </c>
      <c r="C13" s="11" t="s">
        <v>95</v>
      </c>
      <c r="D13" s="11"/>
      <c r="E13" s="11"/>
      <c r="F13" s="11" t="str">
        <f>VLOOKUP(G13, SeanRanks!$A$2:$E$302, 4, FALSE)</f>
        <v/>
      </c>
      <c r="G13" s="11" t="s">
        <v>113</v>
      </c>
      <c r="H13" s="11" t="str">
        <f>VLOOKUP($G13, 'ADP Data'!$C$4:$Q$300, 2, FALSE)</f>
        <v>PHI</v>
      </c>
      <c r="I13" s="11">
        <f>VLOOKUP(G13, 'ADP Data'!$C$4:$R$498, 12, FALSE)</f>
        <v>17</v>
      </c>
      <c r="J13" s="30" t="str">
        <f>VLOOKUP($G13, SeanRanks!$A$2:$H$303, 5, FALSE)</f>
        <v/>
      </c>
      <c r="K13" s="11" t="str">
        <f>IF(VLOOKUP($G13, SeanRanks!$A$2:$H$303, 6, FALSE)=0, "", VLOOKUP($G13, SeanRanks!$A$2:$H$303, 6, FALSE))</f>
        <v>WR1 - 3 - Inconsistent</v>
      </c>
      <c r="L13" s="11">
        <f t="shared" si="5"/>
        <v>3</v>
      </c>
      <c r="M13" s="11">
        <f>VLOOKUP($G13, 'ADP Data'!$C$4:$Q$300, 9, FALSE)</f>
        <v>18</v>
      </c>
      <c r="N13" s="11">
        <f t="shared" si="6"/>
        <v>-2</v>
      </c>
      <c r="O13" s="11">
        <f>VLOOKUP($G13, 'ADP Data'!$C$4:$Q$300, 3, FALSE)</f>
        <v>27</v>
      </c>
      <c r="P13" s="11">
        <f t="shared" si="7"/>
        <v>-9</v>
      </c>
      <c r="Q13" s="11">
        <f>VLOOKUP($G13, 'ADP Data'!$C$4:$Q$300, 4, FALSE)</f>
        <v>18</v>
      </c>
      <c r="R13" s="11">
        <f>VLOOKUP($G13, 'ADP Data'!$C$4:$Q$300, 5, FALSE)</f>
        <v>22</v>
      </c>
      <c r="S13" s="11">
        <f>VLOOKUP($G13, 'ADP Data'!$C$4:$Q$300, 6, FALSE)</f>
        <v>23</v>
      </c>
      <c r="T13" s="11">
        <f>VLOOKUP($G13, 'ADP Data'!$C$4:$Q$300, 7, FALSE)</f>
        <v>21</v>
      </c>
      <c r="U13" s="11">
        <f>VLOOKUP($G13, 'ADP Data'!$C$4:$Q$300, 8, FALSE)</f>
        <v>15</v>
      </c>
      <c r="V13" s="11">
        <f t="shared" si="8"/>
        <v>20</v>
      </c>
      <c r="W13" s="11">
        <f t="shared" si="9"/>
        <v>3</v>
      </c>
      <c r="X13" s="11">
        <f t="shared" si="10"/>
        <v>-3</v>
      </c>
      <c r="Y13" s="11">
        <f>VLOOKUP($G13, SeanRanks!$A$2:$K$303, 10, FALSE)-V13</f>
        <v>-2</v>
      </c>
      <c r="Z13" s="29">
        <f>IF(VLOOKUP($G13, SeanRanks!$A$2:$H$303, 7, FALSE)=0, "", VLOOKUP($G13, SeanRanks!$A$2:$H$303, 7, FALSE))</f>
        <v>11</v>
      </c>
    </row>
    <row r="14" ht="14.25" customHeight="1">
      <c r="A14" s="11"/>
      <c r="B14" s="11">
        <f t="shared" si="4"/>
        <v>1</v>
      </c>
      <c r="C14" s="11" t="s">
        <v>95</v>
      </c>
      <c r="D14" s="11"/>
      <c r="E14" s="11"/>
      <c r="F14" s="11" t="str">
        <f>VLOOKUP(G14, SeanRanks!$A$2:$E$302, 4, FALSE)</f>
        <v/>
      </c>
      <c r="G14" s="11" t="s">
        <v>74</v>
      </c>
      <c r="H14" s="11" t="str">
        <f>VLOOKUP($G14, 'ADP Data'!$C$4:$Q$300, 2, FALSE)</f>
        <v>MIN</v>
      </c>
      <c r="I14" s="11">
        <f>VLOOKUP(G14, 'ADP Data'!$C$4:$R$498, 12, FALSE)</f>
        <v>5</v>
      </c>
      <c r="J14" s="30" t="str">
        <f>VLOOKUP($G14, SeanRanks!$A$2:$H$303, 5, FALSE)</f>
        <v/>
      </c>
      <c r="K14" s="11" t="str">
        <f>IF(VLOOKUP($G14, SeanRanks!$A$2:$H$303, 6, FALSE)=0, "", VLOOKUP($G14, SeanRanks!$A$2:$H$303, 6, FALSE))</f>
        <v>WR1 - 1 - Elite</v>
      </c>
      <c r="L14" s="11">
        <f t="shared" si="5"/>
        <v>1</v>
      </c>
      <c r="M14" s="11">
        <f>VLOOKUP($G14, 'ADP Data'!$C$4:$Q$300, 9, FALSE)</f>
        <v>5</v>
      </c>
      <c r="N14" s="11">
        <f t="shared" si="6"/>
        <v>0</v>
      </c>
      <c r="O14" s="11">
        <f>VLOOKUP($G14, 'ADP Data'!$C$4:$Q$300, 3, FALSE)</f>
        <v>6</v>
      </c>
      <c r="P14" s="11">
        <f t="shared" si="7"/>
        <v>-1</v>
      </c>
      <c r="Q14" s="11">
        <f>VLOOKUP($G14, 'ADP Data'!$C$4:$Q$300, 4, FALSE)</f>
        <v>4</v>
      </c>
      <c r="R14" s="11">
        <f>VLOOKUP($G14, 'ADP Data'!$C$4:$Q$300, 5, FALSE)</f>
        <v>3</v>
      </c>
      <c r="S14" s="11">
        <f>VLOOKUP($G14, 'ADP Data'!$C$4:$Q$300, 6, FALSE)</f>
        <v>6</v>
      </c>
      <c r="T14" s="11">
        <f>VLOOKUP($G14, 'ADP Data'!$C$4:$Q$300, 7, FALSE)</f>
        <v>6</v>
      </c>
      <c r="U14" s="11">
        <f>VLOOKUP($G14, 'ADP Data'!$C$4:$Q$300, 8, FALSE)</f>
        <v>5</v>
      </c>
      <c r="V14" s="11">
        <f t="shared" si="8"/>
        <v>5</v>
      </c>
      <c r="W14" s="11">
        <f t="shared" si="9"/>
        <v>1</v>
      </c>
      <c r="X14" s="11">
        <f t="shared" si="10"/>
        <v>-1</v>
      </c>
      <c r="Y14" s="11">
        <f>VLOOKUP($G14, SeanRanks!$A$2:$K$303, 10, FALSE)-V14</f>
        <v>1</v>
      </c>
      <c r="Z14" s="29">
        <f>IF(VLOOKUP($G14, SeanRanks!$A$2:$H$303, 7, FALSE)=0, "", VLOOKUP($G14, SeanRanks!$A$2:$H$303, 7, FALSE))</f>
        <v>2</v>
      </c>
    </row>
    <row r="15" ht="14.25" customHeight="1">
      <c r="A15" s="11"/>
      <c r="B15" s="11">
        <f t="shared" si="4"/>
        <v>1</v>
      </c>
      <c r="C15" s="11" t="s">
        <v>95</v>
      </c>
      <c r="D15" s="11">
        <v>2.0</v>
      </c>
      <c r="E15" s="11"/>
      <c r="F15" s="11" t="str">
        <f>VLOOKUP(G15, SeanRanks!$A$2:$E$302, 4, FALSE)</f>
        <v/>
      </c>
      <c r="G15" s="11" t="s">
        <v>64</v>
      </c>
      <c r="H15" s="11" t="str">
        <f>VLOOKUP($G15, 'ADP Data'!$C$4:$Q$300, 2, FALSE)</f>
        <v>DET</v>
      </c>
      <c r="I15" s="11">
        <f>VLOOKUP(G15, 'ADP Data'!$C$4:$R$498, 12, FALSE)</f>
        <v>9</v>
      </c>
      <c r="J15" s="30" t="str">
        <f>VLOOKUP($G15, SeanRanks!$A$2:$H$303, 5, FALSE)</f>
        <v/>
      </c>
      <c r="K15" s="11" t="str">
        <f>IF(VLOOKUP($G15, SeanRanks!$A$2:$H$303, 6, FALSE)=0, "", VLOOKUP($G15, SeanRanks!$A$2:$H$303, 6, FALSE))</f>
        <v>WR1 - 2 - High Floor</v>
      </c>
      <c r="L15" s="11">
        <f t="shared" si="5"/>
        <v>2</v>
      </c>
      <c r="M15" s="11">
        <f>VLOOKUP($G15, 'ADP Data'!$C$4:$Q$300, 9, FALSE)</f>
        <v>8</v>
      </c>
      <c r="N15" s="11">
        <f t="shared" si="6"/>
        <v>-1</v>
      </c>
      <c r="O15" s="11">
        <f>VLOOKUP($G15, 'ADP Data'!$C$4:$Q$300, 3, FALSE)</f>
        <v>12</v>
      </c>
      <c r="P15" s="11">
        <f t="shared" si="7"/>
        <v>-4</v>
      </c>
      <c r="Q15" s="11">
        <f>VLOOKUP($G15, 'ADP Data'!$C$4:$Q$300, 4, FALSE)</f>
        <v>8</v>
      </c>
      <c r="R15" s="11">
        <f>VLOOKUP($G15, 'ADP Data'!$C$4:$Q$300, 5, FALSE)</f>
        <v>11</v>
      </c>
      <c r="S15" s="11">
        <f>VLOOKUP($G15, 'ADP Data'!$C$4:$Q$300, 6, FALSE)</f>
        <v>11</v>
      </c>
      <c r="T15" s="11">
        <f>VLOOKUP($G15, 'ADP Data'!$C$4:$Q$300, 7, FALSE)</f>
        <v>9</v>
      </c>
      <c r="U15" s="11">
        <f>VLOOKUP($G15, 'ADP Data'!$C$4:$Q$300, 8, FALSE)</f>
        <v>8</v>
      </c>
      <c r="V15" s="11">
        <f t="shared" si="8"/>
        <v>9</v>
      </c>
      <c r="W15" s="11">
        <f t="shared" si="9"/>
        <v>2</v>
      </c>
      <c r="X15" s="11">
        <f t="shared" si="10"/>
        <v>0</v>
      </c>
      <c r="Y15" s="11">
        <f>VLOOKUP($G15, SeanRanks!$A$2:$K$303, 10, FALSE)-V15</f>
        <v>-1</v>
      </c>
      <c r="Z15" s="29">
        <f>IF(VLOOKUP($G15, SeanRanks!$A$2:$H$303, 7, FALSE)=0, "", VLOOKUP($G15, SeanRanks!$A$2:$H$303, 7, FALSE))</f>
        <v>6</v>
      </c>
    </row>
    <row r="16" ht="14.25" customHeight="1">
      <c r="A16" s="11"/>
      <c r="B16" s="11">
        <f t="shared" si="4"/>
        <v>2</v>
      </c>
      <c r="C16" s="11" t="s">
        <v>95</v>
      </c>
      <c r="D16" s="11"/>
      <c r="E16" s="11"/>
      <c r="F16" s="11" t="str">
        <f>VLOOKUP(G16, SeanRanks!$A$2:$E$302, 4, FALSE)</f>
        <v/>
      </c>
      <c r="G16" s="11" t="s">
        <v>61</v>
      </c>
      <c r="H16" s="11" t="str">
        <f>VLOOKUP($G16, 'ADP Data'!$C$4:$Q$300, 2, FALSE)</f>
        <v>IND</v>
      </c>
      <c r="I16" s="11">
        <f>VLOOKUP(G16, 'ADP Data'!$C$4:$R$498, 12, FALSE)</f>
        <v>20</v>
      </c>
      <c r="J16" s="26" t="str">
        <f>VLOOKUP($G16, SeanRanks!$A$2:$H$303, 5, FALSE)</f>
        <v>No</v>
      </c>
      <c r="K16" s="11" t="str">
        <f>IF(VLOOKUP($G16, SeanRanks!$A$2:$H$303, 6, FALSE)=0, "", VLOOKUP($G16, SeanRanks!$A$2:$H$303, 6, FALSE))</f>
        <v>RB1 - 2 - Elite ceiling/questions</v>
      </c>
      <c r="L16" s="11">
        <f t="shared" si="5"/>
        <v>3</v>
      </c>
      <c r="M16" s="11">
        <f>VLOOKUP($G16, 'ADP Data'!$C$4:$Q$300, 9, FALSE)</f>
        <v>20</v>
      </c>
      <c r="N16" s="11">
        <f t="shared" si="6"/>
        <v>1</v>
      </c>
      <c r="O16" s="11">
        <f>VLOOKUP($G16, 'ADP Data'!$C$4:$Q$300, 3, FALSE)</f>
        <v>21</v>
      </c>
      <c r="P16" s="11">
        <f t="shared" si="7"/>
        <v>-1</v>
      </c>
      <c r="Q16" s="11">
        <f>VLOOKUP($G16, 'ADP Data'!$C$4:$Q$300, 4, FALSE)</f>
        <v>15</v>
      </c>
      <c r="R16" s="11">
        <f>VLOOKUP($G16, 'ADP Data'!$C$4:$Q$300, 5, FALSE)</f>
        <v>20</v>
      </c>
      <c r="S16" s="11">
        <f>VLOOKUP($G16, 'ADP Data'!$C$4:$Q$300, 6, FALSE)</f>
        <v>21</v>
      </c>
      <c r="T16" s="11">
        <f>VLOOKUP($G16, 'ADP Data'!$C$4:$Q$300, 7, FALSE)</f>
        <v>20</v>
      </c>
      <c r="U16" s="11">
        <f>VLOOKUP($G16, 'ADP Data'!$C$4:$Q$300, 8, FALSE)</f>
        <v>22</v>
      </c>
      <c r="V16" s="11">
        <f t="shared" si="8"/>
        <v>19</v>
      </c>
      <c r="W16" s="11">
        <f t="shared" si="9"/>
        <v>3</v>
      </c>
      <c r="X16" s="11">
        <f t="shared" si="10"/>
        <v>-3</v>
      </c>
      <c r="Y16" s="11">
        <f>VLOOKUP($G16, SeanRanks!$A$2:$K$303, 10, FALSE)-V16</f>
        <v>0</v>
      </c>
      <c r="Z16" s="29">
        <f>IF(VLOOKUP($G16, SeanRanks!$A$2:$H$303, 7, FALSE)=0, "", VLOOKUP($G16, SeanRanks!$A$2:$H$303, 7, FALSE))</f>
        <v>12</v>
      </c>
    </row>
    <row r="17" ht="14.25" customHeight="1">
      <c r="A17" s="11"/>
      <c r="B17" s="11">
        <f t="shared" si="4"/>
        <v>1</v>
      </c>
      <c r="C17" s="11" t="s">
        <v>95</v>
      </c>
      <c r="D17" s="11">
        <v>2.0</v>
      </c>
      <c r="E17" s="27"/>
      <c r="F17" s="11" t="str">
        <f>VLOOKUP(G17, SeanRanks!$A$2:$E$302, 4, FALSE)</f>
        <v/>
      </c>
      <c r="G17" s="11" t="s">
        <v>48</v>
      </c>
      <c r="H17" s="11" t="str">
        <f>VLOOKUP($G17, 'ADP Data'!$C$4:$Q$300, 2, FALSE)</f>
        <v>LAR</v>
      </c>
      <c r="I17" s="11">
        <f>VLOOKUP(G17, 'ADP Data'!$C$4:$R$498, 12, FALSE)</f>
        <v>13</v>
      </c>
      <c r="J17" s="33" t="str">
        <f>VLOOKUP($G17, SeanRanks!$A$2:$H$303, 5, FALSE)</f>
        <v/>
      </c>
      <c r="K17" s="11" t="str">
        <f>IF(VLOOKUP($G17, SeanRanks!$A$2:$H$303, 6, FALSE)=0, "", VLOOKUP($G17, SeanRanks!$A$2:$H$303, 6, FALSE))</f>
        <v>WR1 - 2 - High Floor</v>
      </c>
      <c r="L17" s="11">
        <f t="shared" si="5"/>
        <v>2</v>
      </c>
      <c r="M17" s="11">
        <f>VLOOKUP($G17, 'ADP Data'!$C$4:$Q$300, 9, FALSE)</f>
        <v>11</v>
      </c>
      <c r="N17" s="11">
        <f t="shared" si="6"/>
        <v>0</v>
      </c>
      <c r="O17" s="11">
        <f>VLOOKUP($G17, 'ADP Data'!$C$4:$Q$300, 3, FALSE)</f>
        <v>14</v>
      </c>
      <c r="P17" s="11">
        <f t="shared" si="7"/>
        <v>-3</v>
      </c>
      <c r="Q17" s="11">
        <f>VLOOKUP($G17, 'ADP Data'!$C$4:$Q$300, 4, FALSE)</f>
        <v>9</v>
      </c>
      <c r="R17" s="11">
        <f>VLOOKUP($G17, 'ADP Data'!$C$4:$Q$300, 5, FALSE)</f>
        <v>8</v>
      </c>
      <c r="S17" s="11">
        <f>VLOOKUP($G17, 'ADP Data'!$C$4:$Q$300, 6, FALSE)</f>
        <v>15</v>
      </c>
      <c r="T17" s="11">
        <f>VLOOKUP($G17, 'ADP Data'!$C$4:$Q$300, 7, FALSE)</f>
        <v>14</v>
      </c>
      <c r="U17" s="11">
        <f>VLOOKUP($G17, 'ADP Data'!$C$4:$Q$300, 8, FALSE)</f>
        <v>7</v>
      </c>
      <c r="V17" s="11">
        <f t="shared" si="8"/>
        <v>11</v>
      </c>
      <c r="W17" s="11">
        <f t="shared" si="9"/>
        <v>2</v>
      </c>
      <c r="X17" s="11">
        <f t="shared" si="10"/>
        <v>0</v>
      </c>
      <c r="Y17" s="11">
        <f>VLOOKUP($G17, SeanRanks!$A$2:$K$303, 10, FALSE)-V17</f>
        <v>5</v>
      </c>
      <c r="Z17" s="29">
        <f>IF(VLOOKUP($G17, SeanRanks!$A$2:$H$303, 7, FALSE)=0, "", VLOOKUP($G17, SeanRanks!$A$2:$H$303, 7, FALSE))</f>
        <v>9</v>
      </c>
    </row>
    <row r="18" ht="14.25" customHeight="1">
      <c r="A18" s="11"/>
      <c r="B18" s="11">
        <f t="shared" si="4"/>
        <v>4</v>
      </c>
      <c r="C18" s="11" t="s">
        <v>95</v>
      </c>
      <c r="D18" s="11"/>
      <c r="E18" s="11"/>
      <c r="F18" s="11" t="str">
        <f>VLOOKUP(G18, SeanRanks!$A$2:$E$302, 4, FALSE)</f>
        <v/>
      </c>
      <c r="G18" s="11" t="s">
        <v>156</v>
      </c>
      <c r="H18" s="11" t="str">
        <f>VLOOKUP($G18, 'ADP Data'!$C$4:$Q$300, 2, FALSE)</f>
        <v>NYJ</v>
      </c>
      <c r="I18" s="11">
        <f>VLOOKUP(G18, 'ADP Data'!$C$4:$R$498, 12, FALSE)</f>
        <v>28</v>
      </c>
      <c r="J18" s="33" t="str">
        <f>VLOOKUP($G18, SeanRanks!$A$2:$H$303, 5, FALSE)</f>
        <v/>
      </c>
      <c r="K18" s="11" t="str">
        <f>IF(VLOOKUP($G18, SeanRanks!$A$2:$H$303, 6, FALSE)=0, "", VLOOKUP($G18, SeanRanks!$A$2:$H$303, 6, FALSE))</f>
        <v>WR2 - 1 - WR1 upside</v>
      </c>
      <c r="L18" s="11">
        <f t="shared" si="5"/>
        <v>5</v>
      </c>
      <c r="M18" s="11">
        <f>VLOOKUP($G18, 'ADP Data'!$C$4:$Q$300, 9, FALSE)</f>
        <v>34</v>
      </c>
      <c r="N18" s="11">
        <f t="shared" si="6"/>
        <v>-4</v>
      </c>
      <c r="O18" s="11">
        <f>VLOOKUP($G18, 'ADP Data'!$C$4:$Q$300, 3, FALSE)</f>
        <v>51</v>
      </c>
      <c r="P18" s="11">
        <f t="shared" si="7"/>
        <v>-17</v>
      </c>
      <c r="Q18" s="11">
        <f>VLOOKUP($G18, 'ADP Data'!$C$4:$Q$300, 4, FALSE)</f>
        <v>41</v>
      </c>
      <c r="R18" s="11">
        <f>VLOOKUP($G18, 'ADP Data'!$C$4:$Q$300, 5, FALSE)</f>
        <v>37</v>
      </c>
      <c r="S18" s="11">
        <f>VLOOKUP($G18, 'ADP Data'!$C$4:$Q$300, 6, FALSE)</f>
        <v>39</v>
      </c>
      <c r="T18" s="11">
        <f>VLOOKUP($G18, 'ADP Data'!$C$4:$Q$300, 7, FALSE)</f>
        <v>30</v>
      </c>
      <c r="U18" s="11">
        <f>VLOOKUP($G18, 'ADP Data'!$C$4:$Q$300, 8, FALSE)</f>
        <v>37</v>
      </c>
      <c r="V18" s="11">
        <f t="shared" si="8"/>
        <v>38</v>
      </c>
      <c r="W18" s="11">
        <f t="shared" si="9"/>
        <v>5</v>
      </c>
      <c r="X18" s="11">
        <f t="shared" si="10"/>
        <v>-5</v>
      </c>
      <c r="Y18" s="11">
        <f>VLOOKUP($G18, SeanRanks!$A$2:$K$303, 10, FALSE)-V18</f>
        <v>1</v>
      </c>
      <c r="Z18" s="29">
        <f>IF(VLOOKUP($G18, SeanRanks!$A$2:$H$303, 7, FALSE)=0, "", VLOOKUP($G18, SeanRanks!$A$2:$H$303, 7, FALSE))</f>
        <v>17</v>
      </c>
    </row>
    <row r="19" ht="14.25" customHeight="1">
      <c r="A19" s="11"/>
      <c r="B19" s="11">
        <f t="shared" si="4"/>
        <v>1</v>
      </c>
      <c r="C19" s="11" t="s">
        <v>95</v>
      </c>
      <c r="D19" s="11">
        <v>2.0</v>
      </c>
      <c r="E19" s="11"/>
      <c r="F19" s="11" t="str">
        <f>VLOOKUP(G19, SeanRanks!$A$2:$E$302, 4, FALSE)</f>
        <v/>
      </c>
      <c r="G19" s="11" t="s">
        <v>84</v>
      </c>
      <c r="H19" s="11" t="str">
        <f>VLOOKUP($G19, 'ADP Data'!$C$4:$Q$300, 2, FALSE)</f>
        <v>PHI</v>
      </c>
      <c r="I19" s="11">
        <f>VLOOKUP(G19, 'ADP Data'!$C$4:$R$498, 12, FALSE)</f>
        <v>6</v>
      </c>
      <c r="J19" s="26" t="str">
        <f>VLOOKUP($G19, SeanRanks!$A$2:$H$303, 5, FALSE)</f>
        <v/>
      </c>
      <c r="K19" s="11" t="str">
        <f>IF(VLOOKUP($G19, SeanRanks!$A$2:$H$303, 6, FALSE)=0, "", VLOOKUP($G19, SeanRanks!$A$2:$H$303, 6, FALSE))</f>
        <v>RB1 - 1 - Elite floor/ceiling</v>
      </c>
      <c r="L19" s="11">
        <f t="shared" si="5"/>
        <v>1</v>
      </c>
      <c r="M19" s="11">
        <f>VLOOKUP($G19, 'ADP Data'!$C$4:$Q$300, 9, FALSE)</f>
        <v>2</v>
      </c>
      <c r="N19" s="11">
        <f t="shared" si="6"/>
        <v>-2</v>
      </c>
      <c r="O19" s="11">
        <f>VLOOKUP($G19, 'ADP Data'!$C$4:$Q$300, 3, FALSE)</f>
        <v>3</v>
      </c>
      <c r="P19" s="11">
        <f t="shared" si="7"/>
        <v>-1</v>
      </c>
      <c r="Q19" s="11">
        <f>VLOOKUP($G19, 'ADP Data'!$C$4:$Q$300, 4, FALSE)</f>
        <v>3</v>
      </c>
      <c r="R19" s="11">
        <f>VLOOKUP($G19, 'ADP Data'!$C$4:$Q$300, 5, FALSE)</f>
        <v>6</v>
      </c>
      <c r="S19" s="11">
        <f>VLOOKUP($G19, 'ADP Data'!$C$4:$Q$300, 6, FALSE)</f>
        <v>5</v>
      </c>
      <c r="T19" s="11">
        <f>VLOOKUP($G19, 'ADP Data'!$C$4:$Q$300, 7, FALSE)</f>
        <v>5</v>
      </c>
      <c r="U19" s="11">
        <f>VLOOKUP($G19, 'ADP Data'!$C$4:$Q$300, 8, FALSE)</f>
        <v>4</v>
      </c>
      <c r="V19" s="11">
        <f t="shared" si="8"/>
        <v>4</v>
      </c>
      <c r="W19" s="11">
        <f t="shared" si="9"/>
        <v>1</v>
      </c>
      <c r="X19" s="11">
        <f t="shared" si="10"/>
        <v>1</v>
      </c>
      <c r="Y19" s="11">
        <f>VLOOKUP($G19, SeanRanks!$A$2:$K$303, 10, FALSE)-V19</f>
        <v>-1</v>
      </c>
      <c r="Z19" s="29">
        <f>IF(VLOOKUP($G19, SeanRanks!$A$2:$H$303, 7, FALSE)=0, "", VLOOKUP($G19, SeanRanks!$A$2:$H$303, 7, FALSE))</f>
        <v>2</v>
      </c>
    </row>
    <row r="20" ht="14.25" customHeight="1">
      <c r="A20" s="11"/>
      <c r="B20" s="11">
        <f t="shared" si="4"/>
        <v>1</v>
      </c>
      <c r="C20" s="11" t="s">
        <v>95</v>
      </c>
      <c r="D20" s="11">
        <v>2.0</v>
      </c>
      <c r="E20" s="11"/>
      <c r="F20" s="11" t="str">
        <f>VLOOKUP(G20, SeanRanks!$A$2:$E$302, 4, FALSE)</f>
        <v/>
      </c>
      <c r="G20" s="11" t="s">
        <v>25</v>
      </c>
      <c r="H20" s="11" t="str">
        <f>VLOOKUP($G20, 'ADP Data'!$C$4:$Q$300, 2, FALSE)</f>
        <v>DET</v>
      </c>
      <c r="I20" s="11">
        <f>VLOOKUP(G20, 'ADP Data'!$C$4:$R$498, 12, FALSE)</f>
        <v>4</v>
      </c>
      <c r="J20" s="26" t="str">
        <f>VLOOKUP($G20, SeanRanks!$A$2:$H$303, 5, FALSE)</f>
        <v/>
      </c>
      <c r="K20" s="11" t="str">
        <f>IF(VLOOKUP($G20, SeanRanks!$A$2:$H$303, 6, FALSE)=0, "", VLOOKUP($G20, SeanRanks!$A$2:$H$303, 6, FALSE))</f>
        <v>RB1 - 1 - Elite floor/ceiling</v>
      </c>
      <c r="L20" s="11">
        <f t="shared" si="5"/>
        <v>1</v>
      </c>
      <c r="M20" s="11">
        <f>VLOOKUP($G20, 'ADP Data'!$C$4:$Q$300, 9, FALSE)</f>
        <v>4</v>
      </c>
      <c r="N20" s="11">
        <f t="shared" si="6"/>
        <v>0</v>
      </c>
      <c r="O20" s="11">
        <f>VLOOKUP($G20, 'ADP Data'!$C$4:$Q$300, 3, FALSE)</f>
        <v>4</v>
      </c>
      <c r="P20" s="11">
        <f t="shared" si="7"/>
        <v>0</v>
      </c>
      <c r="Q20" s="11">
        <f>VLOOKUP($G20, 'ADP Data'!$C$4:$Q$300, 4, FALSE)</f>
        <v>5</v>
      </c>
      <c r="R20" s="11">
        <f>VLOOKUP($G20, 'ADP Data'!$C$4:$Q$300, 5, FALSE)</f>
        <v>4</v>
      </c>
      <c r="S20" s="11">
        <f>VLOOKUP($G20, 'ADP Data'!$C$4:$Q$300, 6, FALSE)</f>
        <v>3</v>
      </c>
      <c r="T20" s="11">
        <f>VLOOKUP($G20, 'ADP Data'!$C$4:$Q$300, 7, FALSE)</f>
        <v>3</v>
      </c>
      <c r="U20" s="11">
        <f>VLOOKUP($G20, 'ADP Data'!$C$4:$Q$300, 8, FALSE)</f>
        <v>6</v>
      </c>
      <c r="V20" s="11">
        <f t="shared" si="8"/>
        <v>4</v>
      </c>
      <c r="W20" s="11">
        <f t="shared" si="9"/>
        <v>1</v>
      </c>
      <c r="X20" s="11">
        <f t="shared" si="10"/>
        <v>1</v>
      </c>
      <c r="Y20" s="11">
        <f>VLOOKUP($G20, SeanRanks!$A$2:$K$303, 10, FALSE)-V20</f>
        <v>0</v>
      </c>
      <c r="Z20" s="29">
        <f>IF(VLOOKUP($G20, SeanRanks!$A$2:$H$303, 7, FALSE)=0, "", VLOOKUP($G20, SeanRanks!$A$2:$H$303, 7, FALSE))</f>
        <v>3</v>
      </c>
    </row>
    <row r="21" ht="14.25" customHeight="1">
      <c r="A21" s="11"/>
      <c r="B21" s="11">
        <f t="shared" si="4"/>
        <v>4</v>
      </c>
      <c r="C21" s="11" t="s">
        <v>95</v>
      </c>
      <c r="D21" s="11">
        <v>2.0</v>
      </c>
      <c r="E21" s="11"/>
      <c r="F21" s="11" t="str">
        <f>VLOOKUP(G21, SeanRanks!$A$2:$E$302, 4, FALSE)</f>
        <v/>
      </c>
      <c r="G21" s="11" t="s">
        <v>228</v>
      </c>
      <c r="H21" s="11" t="str">
        <f>VLOOKUP($G21, 'ADP Data'!$C$4:$Q$300, 2, FALSE)</f>
        <v>ARI</v>
      </c>
      <c r="I21" s="11">
        <f>VLOOKUP(G21, 'ADP Data'!$C$4:$R$498, 12, FALSE)</f>
        <v>37</v>
      </c>
      <c r="J21" s="33" t="str">
        <f>VLOOKUP($G21, SeanRanks!$A$2:$H$303, 5, FALSE)</f>
        <v>Yes</v>
      </c>
      <c r="K21" s="11" t="str">
        <f>IF(VLOOKUP($G21, SeanRanks!$A$2:$H$303, 6, FALSE)=0, "", VLOOKUP($G21, SeanRanks!$A$2:$H$303, 6, FALSE))</f>
        <v>WR2 - 1 - WR1 upside</v>
      </c>
      <c r="L21" s="11">
        <f t="shared" si="5"/>
        <v>5</v>
      </c>
      <c r="M21" s="11">
        <f>VLOOKUP($G21, 'ADP Data'!$C$4:$Q$300, 9, FALSE)</f>
        <v>36</v>
      </c>
      <c r="N21" s="11">
        <f t="shared" si="6"/>
        <v>-4</v>
      </c>
      <c r="O21" s="11">
        <f>VLOOKUP($G21, 'ADP Data'!$C$4:$Q$300, 3, FALSE)</f>
        <v>46</v>
      </c>
      <c r="P21" s="11">
        <f t="shared" si="7"/>
        <v>-10</v>
      </c>
      <c r="Q21" s="11">
        <f>VLOOKUP($G21, 'ADP Data'!$C$4:$Q$300, 4, FALSE)</f>
        <v>44</v>
      </c>
      <c r="R21" s="11">
        <f>VLOOKUP($G21, 'ADP Data'!$C$4:$Q$300, 5, FALSE)</f>
        <v>39</v>
      </c>
      <c r="S21" s="11">
        <f>VLOOKUP($G21, 'ADP Data'!$C$4:$Q$300, 6, FALSE)</f>
        <v>41</v>
      </c>
      <c r="T21" s="11">
        <f>VLOOKUP($G21, 'ADP Data'!$C$4:$Q$300, 7, FALSE)</f>
        <v>34</v>
      </c>
      <c r="U21" s="11">
        <f>VLOOKUP($G21, 'ADP Data'!$C$4:$Q$300, 8, FALSE)</f>
        <v>41</v>
      </c>
      <c r="V21" s="11">
        <f t="shared" si="8"/>
        <v>40</v>
      </c>
      <c r="W21" s="11">
        <f t="shared" si="9"/>
        <v>6</v>
      </c>
      <c r="X21" s="11">
        <f t="shared" si="10"/>
        <v>-4</v>
      </c>
      <c r="Y21" s="11">
        <f>VLOOKUP($G21, SeanRanks!$A$2:$K$303, 10, FALSE)-V21</f>
        <v>-3</v>
      </c>
      <c r="Z21" s="29">
        <f>IF(VLOOKUP($G21, SeanRanks!$A$2:$H$303, 7, FALSE)=0, "", VLOOKUP($G21, SeanRanks!$A$2:$H$303, 7, FALSE))</f>
        <v>14</v>
      </c>
    </row>
    <row r="22" ht="14.25" customHeight="1">
      <c r="A22" s="11" t="s">
        <v>106</v>
      </c>
      <c r="B22" s="11">
        <f t="shared" si="4"/>
        <v>3</v>
      </c>
      <c r="C22" s="11" t="s">
        <v>95</v>
      </c>
      <c r="D22" s="11">
        <v>2.0</v>
      </c>
      <c r="E22" s="11"/>
      <c r="F22" s="11" t="str">
        <f>VLOOKUP(G22, SeanRanks!$A$2:$E$302, 4, FALSE)</f>
        <v/>
      </c>
      <c r="G22" s="11" t="s">
        <v>138</v>
      </c>
      <c r="H22" s="11" t="str">
        <f>VLOOKUP($G22, 'ADP Data'!$C$4:$Q$300, 2, FALSE)</f>
        <v>LAR</v>
      </c>
      <c r="I22" s="11">
        <f>VLOOKUP(G22, 'ADP Data'!$C$4:$R$498, 12, FALSE)</f>
        <v>31</v>
      </c>
      <c r="J22" s="26" t="str">
        <f>VLOOKUP($G22, SeanRanks!$A$2:$H$303, 5, FALSE)</f>
        <v/>
      </c>
      <c r="K22" s="11" t="str">
        <f>IF(VLOOKUP($G22, SeanRanks!$A$2:$H$303, 6, FALSE)=0, "", VLOOKUP($G22, SeanRanks!$A$2:$H$303, 6, FALSE))</f>
        <v>RB1 - 2 - Elite ceiling/questions</v>
      </c>
      <c r="L22" s="11">
        <f t="shared" si="5"/>
        <v>4</v>
      </c>
      <c r="M22" s="11">
        <f>VLOOKUP($G22, 'ADP Data'!$C$4:$Q$300, 9, FALSE)</f>
        <v>25</v>
      </c>
      <c r="N22" s="11">
        <f t="shared" si="6"/>
        <v>0</v>
      </c>
      <c r="O22" s="11">
        <f>VLOOKUP($G22, 'ADP Data'!$C$4:$Q$300, 3, FALSE)</f>
        <v>18</v>
      </c>
      <c r="P22" s="11">
        <f t="shared" si="7"/>
        <v>7</v>
      </c>
      <c r="Q22" s="11">
        <f>VLOOKUP($G22, 'ADP Data'!$C$4:$Q$300, 4, FALSE)</f>
        <v>29</v>
      </c>
      <c r="R22" s="11">
        <f>VLOOKUP($G22, 'ADP Data'!$C$4:$Q$300, 5, FALSE)</f>
        <v>30</v>
      </c>
      <c r="S22" s="11">
        <f>VLOOKUP($G22, 'ADP Data'!$C$4:$Q$300, 6, FALSE)</f>
        <v>26</v>
      </c>
      <c r="T22" s="11">
        <f>VLOOKUP($G22, 'ADP Data'!$C$4:$Q$300, 7, FALSE)</f>
        <v>27</v>
      </c>
      <c r="U22" s="11">
        <f>VLOOKUP($G22, 'ADP Data'!$C$4:$Q$300, 8, FALSE)</f>
        <v>25</v>
      </c>
      <c r="V22" s="11">
        <f t="shared" si="8"/>
        <v>25</v>
      </c>
      <c r="W22" s="11">
        <f t="shared" si="9"/>
        <v>4</v>
      </c>
      <c r="X22" s="11">
        <f t="shared" si="10"/>
        <v>-2</v>
      </c>
      <c r="Y22" s="11">
        <f>VLOOKUP($G22, SeanRanks!$A$2:$K$303, 10, FALSE)-V22</f>
        <v>2</v>
      </c>
      <c r="Z22" s="29">
        <f>IF(VLOOKUP($G22, SeanRanks!$A$2:$H$303, 7, FALSE)=0, "", VLOOKUP($G22, SeanRanks!$A$2:$H$303, 7, FALSE))</f>
        <v>11</v>
      </c>
    </row>
    <row r="23" ht="14.25" customHeight="1">
      <c r="A23" s="11"/>
      <c r="B23" s="11">
        <f t="shared" si="4"/>
        <v>2</v>
      </c>
      <c r="C23" s="11" t="s">
        <v>95</v>
      </c>
      <c r="D23" s="11">
        <v>2.0</v>
      </c>
      <c r="E23" s="11"/>
      <c r="F23" s="11" t="str">
        <f>VLOOKUP(G23, SeanRanks!$A$2:$E$302, 4, FALSE)</f>
        <v/>
      </c>
      <c r="G23" s="11" t="s">
        <v>108</v>
      </c>
      <c r="H23" s="11" t="str">
        <f>VLOOKUP($G23, 'ADP Data'!$C$4:$Q$300, 2, FALSE)</f>
        <v>BAL</v>
      </c>
      <c r="I23" s="11">
        <f>VLOOKUP(G23, 'ADP Data'!$C$4:$R$498, 12, FALSE)</f>
        <v>15</v>
      </c>
      <c r="J23" s="26" t="str">
        <f>VLOOKUP($G23, SeanRanks!$A$2:$H$303, 5, FALSE)</f>
        <v/>
      </c>
      <c r="K23" s="11" t="str">
        <f>IF(VLOOKUP($G23, SeanRanks!$A$2:$H$303, 6, FALSE)=0, "", VLOOKUP($G23, SeanRanks!$A$2:$H$303, 6, FALSE))</f>
        <v>RB1 - 2 - Elite ceiling/questions</v>
      </c>
      <c r="L23" s="11">
        <f t="shared" si="5"/>
        <v>1</v>
      </c>
      <c r="M23" s="11">
        <f>VLOOKUP($G23, 'ADP Data'!$C$4:$Q$300, 9, FALSE)</f>
        <v>7</v>
      </c>
      <c r="N23" s="11">
        <f t="shared" si="6"/>
        <v>-3</v>
      </c>
      <c r="O23" s="11">
        <f>VLOOKUP($G23, 'ADP Data'!$C$4:$Q$300, 3, FALSE)</f>
        <v>7</v>
      </c>
      <c r="P23" s="11">
        <f t="shared" si="7"/>
        <v>0</v>
      </c>
      <c r="Q23" s="11">
        <f>VLOOKUP($G23, 'ADP Data'!$C$4:$Q$300, 4, FALSE)</f>
        <v>12</v>
      </c>
      <c r="R23" s="11">
        <f>VLOOKUP($G23, 'ADP Data'!$C$4:$Q$300, 5, FALSE)</f>
        <v>13</v>
      </c>
      <c r="S23" s="11">
        <f>VLOOKUP($G23, 'ADP Data'!$C$4:$Q$300, 6, FALSE)</f>
        <v>14</v>
      </c>
      <c r="T23" s="11">
        <f>VLOOKUP($G23, 'ADP Data'!$C$4:$Q$300, 7, FALSE)</f>
        <v>13</v>
      </c>
      <c r="U23" s="11">
        <f>VLOOKUP($G23, 'ADP Data'!$C$4:$Q$300, 8, FALSE)</f>
        <v>10</v>
      </c>
      <c r="V23" s="11">
        <f t="shared" si="8"/>
        <v>10</v>
      </c>
      <c r="W23" s="11">
        <f t="shared" si="9"/>
        <v>2</v>
      </c>
      <c r="X23" s="11">
        <f t="shared" si="10"/>
        <v>0</v>
      </c>
      <c r="Y23" s="11">
        <f>VLOOKUP($G23, SeanRanks!$A$2:$K$303, 10, FALSE)-V23</f>
        <v>1</v>
      </c>
      <c r="Z23" s="29">
        <f>IF(VLOOKUP($G23, SeanRanks!$A$2:$H$303, 7, FALSE)=0, "", VLOOKUP($G23, SeanRanks!$A$2:$H$303, 7, FALSE))</f>
        <v>8</v>
      </c>
    </row>
    <row r="24" ht="14.25" customHeight="1">
      <c r="A24" s="11"/>
      <c r="B24" s="11">
        <f t="shared" si="4"/>
        <v>7</v>
      </c>
      <c r="C24" s="11" t="s">
        <v>95</v>
      </c>
      <c r="D24" s="11"/>
      <c r="E24" s="11"/>
      <c r="F24" s="11" t="str">
        <f>VLOOKUP(G24, SeanRanks!$A$2:$E$302, 4, FALSE)</f>
        <v/>
      </c>
      <c r="G24" s="11" t="s">
        <v>130</v>
      </c>
      <c r="H24" s="11" t="str">
        <f>VLOOKUP($G24, 'ADP Data'!$C$4:$Q$300, 2, FALSE)</f>
        <v>NO</v>
      </c>
      <c r="I24" s="11">
        <f>VLOOKUP(G24, 'ADP Data'!$C$4:$R$498, 12, FALSE)</f>
        <v>71</v>
      </c>
      <c r="J24" s="33" t="str">
        <f>VLOOKUP($G24, SeanRanks!$A$2:$H$303, 5, FALSE)</f>
        <v/>
      </c>
      <c r="K24" s="11" t="str">
        <f>IF(VLOOKUP($G24, SeanRanks!$A$2:$H$303, 6, FALSE)=0, "", VLOOKUP($G24, SeanRanks!$A$2:$H$303, 6, FALSE))</f>
        <v>WR3 - 2 - mid, but path to big upside</v>
      </c>
      <c r="L24" s="11">
        <f t="shared" si="5"/>
        <v>10</v>
      </c>
      <c r="M24" s="11">
        <f>VLOOKUP($G24, 'ADP Data'!$C$4:$Q$300, 9, FALSE)</f>
        <v>73</v>
      </c>
      <c r="N24" s="11">
        <f t="shared" si="6"/>
        <v>-9</v>
      </c>
      <c r="O24" s="11">
        <f>VLOOKUP($G24, 'ADP Data'!$C$4:$Q$300, 3, FALSE)</f>
        <v>101</v>
      </c>
      <c r="P24" s="11">
        <f t="shared" si="7"/>
        <v>-28</v>
      </c>
      <c r="Q24" s="11">
        <f>VLOOKUP($G24, 'ADP Data'!$C$4:$Q$300, 4, FALSE)</f>
        <v>84</v>
      </c>
      <c r="R24" s="11">
        <f>VLOOKUP($G24, 'ADP Data'!$C$4:$Q$300, 5, FALSE)</f>
        <v>78</v>
      </c>
      <c r="S24" s="11">
        <f>VLOOKUP($G24, 'ADP Data'!$C$4:$Q$300, 6, FALSE)</f>
        <v>82</v>
      </c>
      <c r="T24" s="11">
        <f>VLOOKUP($G24, 'ADP Data'!$C$4:$Q$300, 7, FALSE)</f>
        <v>72</v>
      </c>
      <c r="U24" s="11">
        <f>VLOOKUP($G24, 'ADP Data'!$C$4:$Q$300, 8, FALSE)</f>
        <v>87</v>
      </c>
      <c r="V24" s="11">
        <f t="shared" si="8"/>
        <v>82</v>
      </c>
      <c r="W24" s="11">
        <f t="shared" si="9"/>
        <v>11</v>
      </c>
      <c r="X24" s="11">
        <f t="shared" si="10"/>
        <v>-11</v>
      </c>
      <c r="Y24" s="11">
        <f>VLOOKUP($G24, SeanRanks!$A$2:$K$303, 10, FALSE)-V24</f>
        <v>-16</v>
      </c>
      <c r="Z24" s="29">
        <f>IF(VLOOKUP($G24, SeanRanks!$A$2:$H$303, 7, FALSE)=0, "", VLOOKUP($G24, SeanRanks!$A$2:$H$303, 7, FALSE))</f>
        <v>32</v>
      </c>
    </row>
    <row r="25" ht="14.25" customHeight="1">
      <c r="A25" s="11"/>
      <c r="B25" s="11">
        <f t="shared" si="4"/>
        <v>6</v>
      </c>
      <c r="C25" s="11" t="s">
        <v>95</v>
      </c>
      <c r="D25" s="11">
        <v>2.0</v>
      </c>
      <c r="E25" s="11"/>
      <c r="F25" s="11" t="str">
        <f>VLOOKUP(G25, SeanRanks!$A$2:$E$302, 4, FALSE)</f>
        <v/>
      </c>
      <c r="G25" s="11" t="s">
        <v>418</v>
      </c>
      <c r="H25" s="11" t="str">
        <f>VLOOKUP($G25, 'ADP Data'!$C$4:$Q$300, 2, FALSE)</f>
        <v>KC</v>
      </c>
      <c r="I25" s="11">
        <f>VLOOKUP(G25, 'ADP Data'!$C$4:$R$498, 12, FALSE)</f>
        <v>68</v>
      </c>
      <c r="J25" s="26" t="str">
        <f>VLOOKUP($G25, SeanRanks!$A$2:$H$303, 5, FALSE)</f>
        <v/>
      </c>
      <c r="K25" s="11" t="str">
        <f>IF(VLOOKUP($G25, SeanRanks!$A$2:$H$303, 6, FALSE)=0, "", VLOOKUP($G25, SeanRanks!$A$2:$H$303, 6, FALSE))</f>
        <v>RB2 - 2 - Path to spikes</v>
      </c>
      <c r="L25" s="11">
        <f t="shared" si="5"/>
        <v>8</v>
      </c>
      <c r="M25" s="11">
        <f>VLOOKUP($G25, 'ADP Data'!$C$4:$Q$300, 9, FALSE)</f>
        <v>61</v>
      </c>
      <c r="N25" s="11">
        <f t="shared" si="6"/>
        <v>-4</v>
      </c>
      <c r="O25" s="11">
        <f>VLOOKUP($G25, 'ADP Data'!$C$4:$Q$300, 3, FALSE)</f>
        <v>66</v>
      </c>
      <c r="P25" s="11">
        <f t="shared" si="7"/>
        <v>-5</v>
      </c>
      <c r="Q25" s="11">
        <f>VLOOKUP($G25, 'ADP Data'!$C$4:$Q$300, 4, FALSE)</f>
        <v>63</v>
      </c>
      <c r="R25" s="11">
        <f>VLOOKUP($G25, 'ADP Data'!$C$4:$Q$300, 5, FALSE)</f>
        <v>77</v>
      </c>
      <c r="S25" s="11">
        <f>VLOOKUP($G25, 'ADP Data'!$C$4:$Q$300, 6, FALSE)</f>
        <v>62</v>
      </c>
      <c r="T25" s="11">
        <f>VLOOKUP($G25, 'ADP Data'!$C$4:$Q$300, 7, FALSE)</f>
        <v>67</v>
      </c>
      <c r="U25" s="11">
        <f>VLOOKUP($G25, 'ADP Data'!$C$4:$Q$300, 8, FALSE)</f>
        <v>59</v>
      </c>
      <c r="V25" s="11">
        <f t="shared" si="8"/>
        <v>65</v>
      </c>
      <c r="W25" s="11">
        <f t="shared" si="9"/>
        <v>9</v>
      </c>
      <c r="X25" s="11">
        <f t="shared" si="10"/>
        <v>-7</v>
      </c>
      <c r="Y25" s="11">
        <f>VLOOKUP($G25, SeanRanks!$A$2:$K$303, 10, FALSE)-V25</f>
        <v>0</v>
      </c>
      <c r="Z25" s="29">
        <f>IF(VLOOKUP($G25, SeanRanks!$A$2:$H$303, 7, FALSE)=0, "", VLOOKUP($G25, SeanRanks!$A$2:$H$303, 7, FALSE))</f>
        <v>23</v>
      </c>
    </row>
    <row r="26" ht="14.25" customHeight="1">
      <c r="A26" s="11"/>
      <c r="B26" s="11">
        <f t="shared" si="4"/>
        <v>4</v>
      </c>
      <c r="C26" s="11" t="s">
        <v>95</v>
      </c>
      <c r="D26" s="11">
        <v>2.0</v>
      </c>
      <c r="E26" s="11"/>
      <c r="F26" s="11" t="str">
        <f>VLOOKUP(G26, SeanRanks!$A$2:$E$302, 4, FALSE)</f>
        <v/>
      </c>
      <c r="G26" s="11" t="s">
        <v>197</v>
      </c>
      <c r="H26" s="11" t="str">
        <f>VLOOKUP($G26, 'ADP Data'!$C$4:$Q$300, 2, FALSE)</f>
        <v>LAR</v>
      </c>
      <c r="I26" s="11">
        <f>VLOOKUP(G26, 'ADP Data'!$C$4:$R$498, 12, FALSE)</f>
        <v>41</v>
      </c>
      <c r="J26" s="33" t="str">
        <f>VLOOKUP($G26, SeanRanks!$A$2:$H$303, 5, FALSE)</f>
        <v/>
      </c>
      <c r="K26" s="11" t="str">
        <f>IF(VLOOKUP($G26, SeanRanks!$A$2:$H$303, 6, FALSE)=0, "", VLOOKUP($G26, SeanRanks!$A$2:$H$303, 6, FALSE))</f>
        <v>WR2 - 2 - Upside with risk</v>
      </c>
      <c r="L26" s="11">
        <f t="shared" si="5"/>
        <v>6</v>
      </c>
      <c r="M26" s="11">
        <f>VLOOKUP($G26, 'ADP Data'!$C$4:$Q$300, 9, FALSE)</f>
        <v>44</v>
      </c>
      <c r="N26" s="11">
        <f t="shared" si="6"/>
        <v>3</v>
      </c>
      <c r="O26" s="11">
        <f>VLOOKUP($G26, 'ADP Data'!$C$4:$Q$300, 3, FALSE)</f>
        <v>34</v>
      </c>
      <c r="P26" s="11">
        <f t="shared" si="7"/>
        <v>10</v>
      </c>
      <c r="Q26" s="11">
        <f>VLOOKUP($G26, 'ADP Data'!$C$4:$Q$300, 4, FALSE)</f>
        <v>34</v>
      </c>
      <c r="R26" s="11">
        <f>VLOOKUP($G26, 'ADP Data'!$C$4:$Q$300, 5, FALSE)</f>
        <v>47</v>
      </c>
      <c r="S26" s="11">
        <f>VLOOKUP($G26, 'ADP Data'!$C$4:$Q$300, 6, FALSE)</f>
        <v>43</v>
      </c>
      <c r="T26" s="11">
        <f>VLOOKUP($G26, 'ADP Data'!$C$4:$Q$300, 7, FALSE)</f>
        <v>37</v>
      </c>
      <c r="U26" s="11">
        <f>VLOOKUP($G26, 'ADP Data'!$C$4:$Q$300, 8, FALSE)</f>
        <v>48</v>
      </c>
      <c r="V26" s="11">
        <f t="shared" si="8"/>
        <v>41</v>
      </c>
      <c r="W26" s="11">
        <f t="shared" si="9"/>
        <v>6</v>
      </c>
      <c r="X26" s="11">
        <f t="shared" si="10"/>
        <v>-4</v>
      </c>
      <c r="Y26" s="11">
        <f>VLOOKUP($G26, SeanRanks!$A$2:$K$303, 10, FALSE)-V26</f>
        <v>2</v>
      </c>
      <c r="Z26" s="29">
        <f>IF(VLOOKUP($G26, SeanRanks!$A$2:$H$303, 7, FALSE)=0, "", VLOOKUP($G26, SeanRanks!$A$2:$H$303, 7, FALSE))</f>
        <v>19</v>
      </c>
    </row>
    <row r="27" ht="14.25" customHeight="1">
      <c r="A27" s="11"/>
      <c r="B27" s="11">
        <f t="shared" si="4"/>
        <v>9</v>
      </c>
      <c r="C27" s="11" t="s">
        <v>95</v>
      </c>
      <c r="D27" s="11">
        <v>2.0</v>
      </c>
      <c r="E27" s="27"/>
      <c r="F27" s="11" t="str">
        <f>VLOOKUP(G27, SeanRanks!$A$2:$E$302, 4, FALSE)</f>
        <v/>
      </c>
      <c r="G27" s="11" t="s">
        <v>168</v>
      </c>
      <c r="H27" s="11" t="str">
        <f>VLOOKUP($G27, 'ADP Data'!$C$4:$Q$300, 2, FALSE)</f>
        <v>JAX</v>
      </c>
      <c r="I27" s="11">
        <f>VLOOKUP(G27, 'ADP Data'!$C$4:$R$498, 12, FALSE)</f>
        <v>101</v>
      </c>
      <c r="J27" s="36" t="str">
        <f>VLOOKUP($G27, SeanRanks!$A$2:$H$303, 5, FALSE)</f>
        <v/>
      </c>
      <c r="K27" s="11" t="str">
        <f>IF(VLOOKUP($G27, SeanRanks!$A$2:$H$303, 6, FALSE)=0, "", VLOOKUP($G27, SeanRanks!$A$2:$H$303, 6, FALSE))</f>
        <v>RB3 - 2 - low ceiling</v>
      </c>
      <c r="L27" s="11">
        <f t="shared" si="5"/>
        <v>11</v>
      </c>
      <c r="M27" s="11">
        <f>VLOOKUP($G27, 'ADP Data'!$C$4:$Q$300, 9, FALSE)</f>
        <v>85</v>
      </c>
      <c r="N27" s="11">
        <f t="shared" si="6"/>
        <v>-14</v>
      </c>
      <c r="O27" s="11">
        <f>VLOOKUP($G27, 'ADP Data'!$C$4:$Q$300, 3, FALSE)</f>
        <v>90</v>
      </c>
      <c r="P27" s="11">
        <f t="shared" si="7"/>
        <v>-5</v>
      </c>
      <c r="Q27" s="11">
        <f>VLOOKUP($G27, 'ADP Data'!$C$4:$Q$300, 4, FALSE)</f>
        <v>116</v>
      </c>
      <c r="R27" s="11">
        <f>VLOOKUP($G27, 'ADP Data'!$C$4:$Q$300, 5, FALSE)</f>
        <v>102</v>
      </c>
      <c r="S27" s="11">
        <f>VLOOKUP($G27, 'ADP Data'!$C$4:$Q$300, 6, FALSE)</f>
        <v>94</v>
      </c>
      <c r="T27" s="11">
        <f>VLOOKUP($G27, 'ADP Data'!$C$4:$Q$300, 7, FALSE)</f>
        <v>90</v>
      </c>
      <c r="U27" s="11">
        <f>VLOOKUP($G27, 'ADP Data'!$C$4:$Q$300, 8, FALSE)</f>
        <v>121</v>
      </c>
      <c r="V27" s="11">
        <f t="shared" si="8"/>
        <v>99</v>
      </c>
      <c r="W27" s="11">
        <f t="shared" si="9"/>
        <v>13</v>
      </c>
      <c r="X27" s="11">
        <f t="shared" si="10"/>
        <v>-11</v>
      </c>
      <c r="Y27" s="11">
        <f>VLOOKUP($G27, SeanRanks!$A$2:$K$303, 10, FALSE)-V27</f>
        <v>-3</v>
      </c>
      <c r="Z27" s="29">
        <f>IF(VLOOKUP($G27, SeanRanks!$A$2:$H$303, 7, FALSE)=0, "", VLOOKUP($G27, SeanRanks!$A$2:$H$303, 7, FALSE))</f>
        <v>33</v>
      </c>
    </row>
    <row r="28" ht="14.25" customHeight="1">
      <c r="A28" s="11" t="s">
        <v>106</v>
      </c>
      <c r="B28" s="11">
        <f t="shared" si="4"/>
        <v>2</v>
      </c>
      <c r="C28" s="11" t="s">
        <v>95</v>
      </c>
      <c r="D28" s="11"/>
      <c r="E28" s="11"/>
      <c r="F28" s="11" t="str">
        <f>VLOOKUP(G28, SeanRanks!$A$2:$E$302, 4, FALSE)</f>
        <v/>
      </c>
      <c r="G28" s="11" t="s">
        <v>114</v>
      </c>
      <c r="H28" s="11" t="str">
        <f>VLOOKUP($G28, 'ADP Data'!$C$4:$Q$300, 2, FALSE)</f>
        <v>ATL</v>
      </c>
      <c r="I28" s="11">
        <f>VLOOKUP(G28, 'ADP Data'!$C$4:$R$498, 12, FALSE)</f>
        <v>14</v>
      </c>
      <c r="J28" s="37" t="str">
        <f>VLOOKUP($G28, SeanRanks!$A$2:$H$303, 5, FALSE)</f>
        <v/>
      </c>
      <c r="K28" s="11" t="str">
        <f>IF(VLOOKUP($G28, SeanRanks!$A$2:$H$303, 6, FALSE)=0, "", VLOOKUP($G28, SeanRanks!$A$2:$H$303, 6, FALSE))</f>
        <v>WR1 - 2 - High Floor</v>
      </c>
      <c r="L28" s="11">
        <f t="shared" si="5"/>
        <v>3</v>
      </c>
      <c r="M28" s="11">
        <f>VLOOKUP($G28, 'ADP Data'!$C$4:$Q$300, 9, FALSE)</f>
        <v>17</v>
      </c>
      <c r="N28" s="11">
        <f t="shared" si="6"/>
        <v>-1</v>
      </c>
      <c r="O28" s="11">
        <f>VLOOKUP($G28, 'ADP Data'!$C$4:$Q$300, 3, FALSE)</f>
        <v>23</v>
      </c>
      <c r="P28" s="11">
        <f t="shared" si="7"/>
        <v>-6</v>
      </c>
      <c r="Q28" s="11">
        <f>VLOOKUP($G28, 'ADP Data'!$C$4:$Q$300, 4, FALSE)</f>
        <v>21</v>
      </c>
      <c r="R28" s="11">
        <f>VLOOKUP($G28, 'ADP Data'!$C$4:$Q$300, 5, FALSE)</f>
        <v>16</v>
      </c>
      <c r="S28" s="11">
        <f>VLOOKUP($G28, 'ADP Data'!$C$4:$Q$300, 6, FALSE)</f>
        <v>19</v>
      </c>
      <c r="T28" s="11">
        <f>VLOOKUP($G28, 'ADP Data'!$C$4:$Q$300, 7, FALSE)</f>
        <v>15</v>
      </c>
      <c r="U28" s="11">
        <f>VLOOKUP($G28, 'ADP Data'!$C$4:$Q$300, 8, FALSE)</f>
        <v>20</v>
      </c>
      <c r="V28" s="11">
        <f t="shared" si="8"/>
        <v>18</v>
      </c>
      <c r="W28" s="11">
        <f t="shared" si="9"/>
        <v>3</v>
      </c>
      <c r="X28" s="11">
        <f t="shared" si="10"/>
        <v>-3</v>
      </c>
      <c r="Y28" s="11">
        <f>VLOOKUP($G28, SeanRanks!$A$2:$K$303, 10, FALSE)-V28</f>
        <v>-6</v>
      </c>
      <c r="Z28" s="29">
        <f>IF(VLOOKUP($G28, SeanRanks!$A$2:$H$303, 7, FALSE)=0, "", VLOOKUP($G28, SeanRanks!$A$2:$H$303, 7, FALSE))</f>
        <v>7</v>
      </c>
    </row>
    <row r="29" ht="14.25" customHeight="1">
      <c r="A29" s="11"/>
      <c r="B29" s="11">
        <f t="shared" si="4"/>
        <v>2</v>
      </c>
      <c r="C29" s="11" t="s">
        <v>95</v>
      </c>
      <c r="D29" s="11"/>
      <c r="E29" s="11"/>
      <c r="F29" s="11" t="str">
        <f>VLOOKUP(G29, SeanRanks!$A$2:$E$302, 4, FALSE)</f>
        <v/>
      </c>
      <c r="G29" s="11" t="s">
        <v>92</v>
      </c>
      <c r="H29" s="11" t="str">
        <f>VLOOKUP($G29, 'ADP Data'!$C$4:$Q$300, 2, FALSE)</f>
        <v>MIA</v>
      </c>
      <c r="I29" s="11">
        <f>VLOOKUP(G29, 'ADP Data'!$C$4:$R$498, 12, FALSE)</f>
        <v>18</v>
      </c>
      <c r="J29" s="26" t="str">
        <f>VLOOKUP($G29, SeanRanks!$A$2:$H$303, 5, FALSE)</f>
        <v/>
      </c>
      <c r="K29" s="11" t="str">
        <f>IF(VLOOKUP($G29, SeanRanks!$A$2:$H$303, 6, FALSE)=0, "", VLOOKUP($G29, SeanRanks!$A$2:$H$303, 6, FALSE))</f>
        <v>RB1 - 2 - Elite ceiling/questions</v>
      </c>
      <c r="L29" s="11">
        <f t="shared" si="5"/>
        <v>2</v>
      </c>
      <c r="M29" s="11">
        <f>VLOOKUP($G29, 'ADP Data'!$C$4:$Q$300, 9, FALSE)</f>
        <v>14</v>
      </c>
      <c r="N29" s="11">
        <f t="shared" si="6"/>
        <v>-1</v>
      </c>
      <c r="O29" s="11">
        <f>VLOOKUP($G29, 'ADP Data'!$C$4:$Q$300, 3, FALSE)</f>
        <v>16</v>
      </c>
      <c r="P29" s="11">
        <f t="shared" si="7"/>
        <v>-2</v>
      </c>
      <c r="Q29" s="11">
        <f>VLOOKUP($G29, 'ADP Data'!$C$4:$Q$300, 4, FALSE)</f>
        <v>14</v>
      </c>
      <c r="R29" s="11">
        <f>VLOOKUP($G29, 'ADP Data'!$C$4:$Q$300, 5, FALSE)</f>
        <v>15</v>
      </c>
      <c r="S29" s="11">
        <f>VLOOKUP($G29, 'ADP Data'!$C$4:$Q$300, 6, FALSE)</f>
        <v>18</v>
      </c>
      <c r="T29" s="11">
        <f>VLOOKUP($G29, 'ADP Data'!$C$4:$Q$300, 7, FALSE)</f>
        <v>16</v>
      </c>
      <c r="U29" s="11">
        <f>VLOOKUP($G29, 'ADP Data'!$C$4:$Q$300, 8, FALSE)</f>
        <v>14</v>
      </c>
      <c r="V29" s="11">
        <f t="shared" si="8"/>
        <v>15</v>
      </c>
      <c r="W29" s="11">
        <f t="shared" si="9"/>
        <v>2</v>
      </c>
      <c r="X29" s="11">
        <f t="shared" si="10"/>
        <v>-2</v>
      </c>
      <c r="Y29" s="11">
        <f>VLOOKUP($G29, SeanRanks!$A$2:$K$303, 10, FALSE)-V29</f>
        <v>5</v>
      </c>
      <c r="Z29" s="29">
        <f>IF(VLOOKUP($G29, SeanRanks!$A$2:$H$303, 7, FALSE)=0, "", VLOOKUP($G29, SeanRanks!$A$2:$H$303, 7, FALSE))</f>
        <v>6</v>
      </c>
    </row>
    <row r="30" ht="14.25" customHeight="1">
      <c r="A30" s="11" t="s">
        <v>106</v>
      </c>
      <c r="B30" s="11">
        <f t="shared" si="4"/>
        <v>6</v>
      </c>
      <c r="C30" s="11" t="s">
        <v>95</v>
      </c>
      <c r="D30" s="11">
        <v>3.0</v>
      </c>
      <c r="E30" s="11"/>
      <c r="F30" s="11" t="str">
        <f>VLOOKUP(G30, SeanRanks!$A$2:$E$302, 4, FALSE)</f>
        <v/>
      </c>
      <c r="G30" s="11" t="s">
        <v>321</v>
      </c>
      <c r="H30" s="11" t="str">
        <f>VLOOKUP($G30, 'ADP Data'!$C$4:$Q$300, 2, FALSE)</f>
        <v>KC</v>
      </c>
      <c r="I30" s="11">
        <f>VLOOKUP(G30, 'ADP Data'!$C$4:$R$498, 12, FALSE)</f>
        <v>79</v>
      </c>
      <c r="J30" s="38" t="str">
        <f>VLOOKUP($G30, SeanRanks!$A$2:$H$303, 5, FALSE)</f>
        <v>No</v>
      </c>
      <c r="K30" s="11" t="str">
        <f>IF(VLOOKUP($G30, SeanRanks!$A$2:$H$303, 6, FALSE)=0, "", VLOOKUP($G30, SeanRanks!$A$2:$H$303, 6, FALSE))</f>
        <v>TE1 - 3 - Weekly Start</v>
      </c>
      <c r="L30" s="11">
        <f t="shared" si="5"/>
        <v>9</v>
      </c>
      <c r="M30" s="11">
        <f>VLOOKUP($G30, 'ADP Data'!$C$4:$Q$300, 9, FALSE)</f>
        <v>67</v>
      </c>
      <c r="N30" s="11">
        <f t="shared" si="6"/>
        <v>-1</v>
      </c>
      <c r="O30" s="11">
        <f>VLOOKUP($G30, 'ADP Data'!$C$4:$Q$300, 3, FALSE)</f>
        <v>61</v>
      </c>
      <c r="P30" s="11">
        <f t="shared" si="7"/>
        <v>6</v>
      </c>
      <c r="Q30" s="11">
        <f>VLOOKUP($G30, 'ADP Data'!$C$4:$Q$300, 4, FALSE)</f>
        <v>57</v>
      </c>
      <c r="R30" s="11">
        <f>VLOOKUP($G30, 'ADP Data'!$C$4:$Q$300, 5, FALSE)</f>
        <v>88</v>
      </c>
      <c r="S30" s="11">
        <f>VLOOKUP($G30, 'ADP Data'!$C$4:$Q$300, 6, FALSE)</f>
        <v>63</v>
      </c>
      <c r="T30" s="11">
        <f>VLOOKUP($G30, 'ADP Data'!$C$4:$Q$300, 7, FALSE)</f>
        <v>82</v>
      </c>
      <c r="U30" s="11">
        <f>VLOOKUP($G30, 'ADP Data'!$C$4:$Q$300, 8, FALSE)</f>
        <v>58</v>
      </c>
      <c r="V30" s="11">
        <f t="shared" si="8"/>
        <v>68</v>
      </c>
      <c r="W30" s="11">
        <f t="shared" si="9"/>
        <v>9</v>
      </c>
      <c r="X30" s="11">
        <f t="shared" si="10"/>
        <v>-6</v>
      </c>
      <c r="Y30" s="11">
        <f>VLOOKUP($G30, SeanRanks!$A$2:$K$303, 10, FALSE)-V30</f>
        <v>14</v>
      </c>
      <c r="Z30" s="29">
        <f>IF(VLOOKUP($G30, SeanRanks!$A$2:$H$303, 7, FALSE)=0, "", VLOOKUP($G30, SeanRanks!$A$2:$H$303, 7, FALSE))</f>
        <v>9</v>
      </c>
    </row>
    <row r="31" ht="14.25" customHeight="1">
      <c r="A31" s="11"/>
      <c r="B31" s="11">
        <f t="shared" si="4"/>
        <v>8</v>
      </c>
      <c r="C31" s="11" t="s">
        <v>95</v>
      </c>
      <c r="D31" s="11">
        <v>2.0</v>
      </c>
      <c r="E31" s="11"/>
      <c r="F31" s="11" t="str">
        <f>VLOOKUP(G31, SeanRanks!$A$2:$E$302, 4, FALSE)</f>
        <v/>
      </c>
      <c r="G31" s="11" t="s">
        <v>364</v>
      </c>
      <c r="H31" s="11" t="str">
        <f>VLOOKUP($G31, 'ADP Data'!$C$4:$Q$300, 2, FALSE)</f>
        <v>WAS</v>
      </c>
      <c r="I31" s="11">
        <f>VLOOKUP(G31, 'ADP Data'!$C$4:$R$498, 12, FALSE)</f>
        <v>69</v>
      </c>
      <c r="J31" s="37" t="str">
        <f>VLOOKUP($G31, SeanRanks!$A$2:$H$303, 5, FALSE)</f>
        <v>Yes</v>
      </c>
      <c r="K31" s="11" t="str">
        <f>IF(VLOOKUP($G31, SeanRanks!$A$2:$H$303, 6, FALSE)=0, "", VLOOKUP($G31, SeanRanks!$A$2:$H$303, 6, FALSE))</f>
        <v>WR4 - 1 - path to WR2</v>
      </c>
      <c r="L31" s="11">
        <f t="shared" si="5"/>
        <v>11</v>
      </c>
      <c r="M31" s="11">
        <f>VLOOKUP($G31, 'ADP Data'!$C$4:$Q$300, 9, FALSE)</f>
        <v>84</v>
      </c>
      <c r="N31" s="11">
        <f t="shared" si="6"/>
        <v>0</v>
      </c>
      <c r="O31" s="11">
        <f>VLOOKUP($G31, 'ADP Data'!$C$4:$Q$300, 3, FALSE)</f>
        <v>75</v>
      </c>
      <c r="P31" s="11">
        <f t="shared" si="7"/>
        <v>9</v>
      </c>
      <c r="Q31" s="11">
        <f>VLOOKUP($G31, 'ADP Data'!$C$4:$Q$300, 4, FALSE)</f>
        <v>95</v>
      </c>
      <c r="R31" s="11">
        <f>VLOOKUP($G31, 'ADP Data'!$C$4:$Q$300, 5, FALSE)</f>
        <v>83</v>
      </c>
      <c r="S31" s="11">
        <f>VLOOKUP($G31, 'ADP Data'!$C$4:$Q$300, 6, FALSE)</f>
        <v>83</v>
      </c>
      <c r="T31" s="11">
        <f>VLOOKUP($G31, 'ADP Data'!$C$4:$Q$300, 7, FALSE)</f>
        <v>75</v>
      </c>
      <c r="U31" s="11">
        <f>VLOOKUP($G31, 'ADP Data'!$C$4:$Q$300, 8, FALSE)</f>
        <v>96</v>
      </c>
      <c r="V31" s="11">
        <f t="shared" si="8"/>
        <v>84</v>
      </c>
      <c r="W31" s="11">
        <f t="shared" si="9"/>
        <v>11</v>
      </c>
      <c r="X31" s="11">
        <f t="shared" si="10"/>
        <v>-9</v>
      </c>
      <c r="Y31" s="11">
        <f>VLOOKUP($G31, SeanRanks!$A$2:$K$303, 10, FALSE)-V31</f>
        <v>10</v>
      </c>
      <c r="Z31" s="29">
        <f>IF(VLOOKUP($G31, SeanRanks!$A$2:$H$303, 7, FALSE)=0, "", VLOOKUP($G31, SeanRanks!$A$2:$H$303, 7, FALSE))</f>
        <v>41</v>
      </c>
    </row>
    <row r="32" ht="14.25" customHeight="1">
      <c r="A32" s="11"/>
      <c r="B32" s="11">
        <f t="shared" si="4"/>
        <v>2</v>
      </c>
      <c r="C32" s="11" t="s">
        <v>95</v>
      </c>
      <c r="D32" s="11">
        <v>4.0</v>
      </c>
      <c r="E32" s="11"/>
      <c r="F32" s="11" t="str">
        <f>VLOOKUP(G32, SeanRanks!$A$2:$E$302, 4, FALSE)</f>
        <v/>
      </c>
      <c r="G32" s="11" t="s">
        <v>136</v>
      </c>
      <c r="H32" s="11" t="str">
        <f>VLOOKUP($G32, 'ADP Data'!$C$4:$Q$300, 2, FALSE)</f>
        <v>BUF</v>
      </c>
      <c r="I32" s="11">
        <f>VLOOKUP(G32, 'ADP Data'!$C$4:$R$498, 12, FALSE)</f>
        <v>26</v>
      </c>
      <c r="J32" s="39" t="str">
        <f>VLOOKUP($G32, SeanRanks!$A$2:$H$303, 5, FALSE)</f>
        <v/>
      </c>
      <c r="K32" s="11" t="str">
        <f>IF(VLOOKUP($G32, SeanRanks!$A$2:$H$303, 6, FALSE)=0, "", VLOOKUP($G32, SeanRanks!$A$2:$H$303, 6, FALSE))</f>
        <v>QB1 - 1 - Elite</v>
      </c>
      <c r="L32" s="11">
        <f t="shared" si="5"/>
        <v>3</v>
      </c>
      <c r="M32" s="11">
        <f>VLOOKUP($G32, 'ADP Data'!$C$4:$Q$300, 9, FALSE)</f>
        <v>21</v>
      </c>
      <c r="N32" s="11">
        <f t="shared" si="6"/>
        <v>-1</v>
      </c>
      <c r="O32" s="11">
        <f>VLOOKUP($G32, 'ADP Data'!$C$4:$Q$300, 3, FALSE)</f>
        <v>15</v>
      </c>
      <c r="P32" s="11">
        <f t="shared" si="7"/>
        <v>6</v>
      </c>
      <c r="Q32" s="11">
        <f>VLOOKUP($G32, 'ADP Data'!$C$4:$Q$300, 4, FALSE)</f>
        <v>19</v>
      </c>
      <c r="R32" s="11">
        <f>VLOOKUP($G32, 'ADP Data'!$C$4:$Q$300, 5, FALSE)</f>
        <v>27</v>
      </c>
      <c r="S32" s="11">
        <f>VLOOKUP($G32, 'ADP Data'!$C$4:$Q$300, 6, FALSE)</f>
        <v>27</v>
      </c>
      <c r="T32" s="11">
        <f>VLOOKUP($G32, 'ADP Data'!$C$4:$Q$300, 7, FALSE)</f>
        <v>25</v>
      </c>
      <c r="U32" s="11">
        <f>VLOOKUP($G32, 'ADP Data'!$C$4:$Q$300, 8, FALSE)</f>
        <v>21</v>
      </c>
      <c r="V32" s="11">
        <f t="shared" si="8"/>
        <v>22</v>
      </c>
      <c r="W32" s="11">
        <f t="shared" si="9"/>
        <v>3</v>
      </c>
      <c r="X32" s="11">
        <f t="shared" si="10"/>
        <v>1</v>
      </c>
      <c r="Y32" s="11">
        <f>VLOOKUP($G32, SeanRanks!$A$2:$K$303, 10, FALSE)-V32</f>
        <v>6</v>
      </c>
      <c r="Z32" s="29">
        <f>IF(VLOOKUP($G32, SeanRanks!$A$2:$H$303, 7, FALSE)=0, "", VLOOKUP($G32, SeanRanks!$A$2:$H$303, 7, FALSE))</f>
        <v>2</v>
      </c>
    </row>
    <row r="33" ht="14.25" customHeight="1">
      <c r="A33" s="11"/>
      <c r="B33" s="11">
        <f t="shared" si="4"/>
        <v>4</v>
      </c>
      <c r="C33" s="11" t="s">
        <v>95</v>
      </c>
      <c r="D33" s="11">
        <v>2.0</v>
      </c>
      <c r="E33" s="11"/>
      <c r="F33" s="11" t="str">
        <f>VLOOKUP(G33, SeanRanks!$A$2:$E$302, 4, FALSE)</f>
        <v/>
      </c>
      <c r="G33" s="11" t="s">
        <v>220</v>
      </c>
      <c r="H33" s="11" t="str">
        <f>VLOOKUP($G33, 'ADP Data'!$C$4:$Q$300, 2, FALSE)</f>
        <v>TB</v>
      </c>
      <c r="I33" s="11">
        <f>VLOOKUP(G33, 'ADP Data'!$C$4:$R$498, 12, FALSE)</f>
        <v>32</v>
      </c>
      <c r="J33" s="37" t="str">
        <f>VLOOKUP($G33, SeanRanks!$A$2:$H$303, 5, FALSE)</f>
        <v/>
      </c>
      <c r="K33" s="11" t="str">
        <f>IF(VLOOKUP($G33, SeanRanks!$A$2:$H$303, 6, FALSE)=0, "", VLOOKUP($G33, SeanRanks!$A$2:$H$303, 6, FALSE))</f>
        <v>WR2 - 1 - WR1 upside</v>
      </c>
      <c r="L33" s="11">
        <f t="shared" si="5"/>
        <v>5</v>
      </c>
      <c r="M33" s="11">
        <f>VLOOKUP($G33, 'ADP Data'!$C$4:$Q$300, 9, FALSE)</f>
        <v>39</v>
      </c>
      <c r="N33" s="11">
        <f t="shared" si="6"/>
        <v>1</v>
      </c>
      <c r="O33" s="11">
        <f>VLOOKUP($G33, 'ADP Data'!$C$4:$Q$300, 3, FALSE)</f>
        <v>36</v>
      </c>
      <c r="P33" s="11">
        <f t="shared" si="7"/>
        <v>3</v>
      </c>
      <c r="Q33" s="11">
        <f>VLOOKUP($G33, 'ADP Data'!$C$4:$Q$300, 4, FALSE)</f>
        <v>43</v>
      </c>
      <c r="R33" s="11">
        <f>VLOOKUP($G33, 'ADP Data'!$C$4:$Q$300, 5, FALSE)</f>
        <v>44</v>
      </c>
      <c r="S33" s="11">
        <f>VLOOKUP($G33, 'ADP Data'!$C$4:$Q$300, 6, FALSE)</f>
        <v>38</v>
      </c>
      <c r="T33" s="11">
        <f>VLOOKUP($G33, 'ADP Data'!$C$4:$Q$300, 7, FALSE)</f>
        <v>38</v>
      </c>
      <c r="U33" s="11">
        <f>VLOOKUP($G33, 'ADP Data'!$C$4:$Q$300, 8, FALSE)</f>
        <v>32</v>
      </c>
      <c r="V33" s="11">
        <f t="shared" si="8"/>
        <v>38</v>
      </c>
      <c r="W33" s="11">
        <f t="shared" si="9"/>
        <v>5</v>
      </c>
      <c r="X33" s="11">
        <f t="shared" si="10"/>
        <v>-3</v>
      </c>
      <c r="Y33" s="11">
        <f>VLOOKUP($G33, SeanRanks!$A$2:$K$303, 10, FALSE)-V33</f>
        <v>-6</v>
      </c>
      <c r="Z33" s="29">
        <f>IF(VLOOKUP($G33, SeanRanks!$A$2:$H$303, 7, FALSE)=0, "", VLOOKUP($G33, SeanRanks!$A$2:$H$303, 7, FALSE))</f>
        <v>15</v>
      </c>
    </row>
    <row r="34" ht="14.25" customHeight="1">
      <c r="A34" s="11"/>
      <c r="B34" s="11">
        <f t="shared" si="4"/>
        <v>5</v>
      </c>
      <c r="C34" s="11" t="s">
        <v>95</v>
      </c>
      <c r="D34" s="11">
        <v>4.0</v>
      </c>
      <c r="E34" s="11"/>
      <c r="F34" s="11" t="str">
        <f>VLOOKUP(G34, SeanRanks!$A$2:$E$302, 4, FALSE)</f>
        <v/>
      </c>
      <c r="G34" s="11" t="s">
        <v>319</v>
      </c>
      <c r="H34" s="11" t="str">
        <f>VLOOKUP($G34, 'ADP Data'!$C$4:$Q$300, 2, FALSE)</f>
        <v>KC</v>
      </c>
      <c r="I34" s="11">
        <f>VLOOKUP(G34, 'ADP Data'!$C$4:$R$498, 12, FALSE)</f>
        <v>76</v>
      </c>
      <c r="J34" s="39" t="str">
        <f>VLOOKUP($G34, SeanRanks!$A$2:$H$303, 5, FALSE)</f>
        <v/>
      </c>
      <c r="K34" s="11" t="str">
        <f>IF(VLOOKUP($G34, SeanRanks!$A$2:$H$303, 6, FALSE)=0, "", VLOOKUP($G34, SeanRanks!$A$2:$H$303, 6, FALSE))</f>
        <v>QB1 - 4 - Weekly Start</v>
      </c>
      <c r="L34" s="11">
        <f t="shared" si="5"/>
        <v>8</v>
      </c>
      <c r="M34" s="11">
        <f>VLOOKUP($G34, 'ADP Data'!$C$4:$Q$300, 9, FALSE)</f>
        <v>57</v>
      </c>
      <c r="N34" s="11">
        <f t="shared" si="6"/>
        <v>1</v>
      </c>
      <c r="O34" s="11">
        <f>VLOOKUP($G34, 'ADP Data'!$C$4:$Q$300, 3, FALSE)</f>
        <v>47</v>
      </c>
      <c r="P34" s="11">
        <f t="shared" si="7"/>
        <v>10</v>
      </c>
      <c r="Q34" s="11">
        <f>VLOOKUP($G34, 'ADP Data'!$C$4:$Q$300, 4, FALSE)</f>
        <v>42</v>
      </c>
      <c r="R34" s="11">
        <f>VLOOKUP($G34, 'ADP Data'!$C$4:$Q$300, 5, FALSE)</f>
        <v>69</v>
      </c>
      <c r="S34" s="11">
        <f>VLOOKUP($G34, 'ADP Data'!$C$4:$Q$300, 6, FALSE)</f>
        <v>73</v>
      </c>
      <c r="T34" s="11">
        <f>VLOOKUP($G34, 'ADP Data'!$C$4:$Q$300, 7, FALSE)</f>
        <v>66</v>
      </c>
      <c r="U34" s="11">
        <f>VLOOKUP($G34, 'ADP Data'!$C$4:$Q$300, 8, FALSE)</f>
        <v>42</v>
      </c>
      <c r="V34" s="11">
        <f t="shared" si="8"/>
        <v>56</v>
      </c>
      <c r="W34" s="11">
        <f t="shared" si="9"/>
        <v>8</v>
      </c>
      <c r="X34" s="11">
        <f t="shared" si="10"/>
        <v>-4</v>
      </c>
      <c r="Y34" s="11">
        <f>VLOOKUP($G34, SeanRanks!$A$2:$K$303, 10, FALSE)-V34</f>
        <v>20</v>
      </c>
      <c r="Z34" s="29">
        <f>IF(VLOOKUP($G34, SeanRanks!$A$2:$H$303, 7, FALSE)=0, "", VLOOKUP($G34, SeanRanks!$A$2:$H$303, 7, FALSE))</f>
        <v>9</v>
      </c>
    </row>
    <row r="35" ht="14.25" customHeight="1">
      <c r="A35" s="11"/>
      <c r="B35" s="11">
        <f t="shared" si="4"/>
        <v>13</v>
      </c>
      <c r="C35" s="11" t="s">
        <v>95</v>
      </c>
      <c r="D35" s="11">
        <v>2.0</v>
      </c>
      <c r="E35" s="11"/>
      <c r="F35" s="11" t="str">
        <f>VLOOKUP(G35, SeanRanks!$A$2:$E$302, 4, FALSE)</f>
        <v/>
      </c>
      <c r="G35" s="11" t="s">
        <v>624</v>
      </c>
      <c r="H35" s="11" t="str">
        <f>VLOOKUP($G35, 'ADP Data'!$C$4:$Q$300, 2, FALSE)</f>
        <v>SF</v>
      </c>
      <c r="I35" s="11">
        <f>VLOOKUP(G35, 'ADP Data'!$C$4:$R$498, 12, FALSE)</f>
        <v>152</v>
      </c>
      <c r="J35" s="37" t="str">
        <f>VLOOKUP($G35, SeanRanks!$A$2:$H$303, 5, FALSE)</f>
        <v>Yes</v>
      </c>
      <c r="K35" s="11" t="str">
        <f>IF(VLOOKUP($G35, SeanRanks!$A$2:$H$303, 6, FALSE)=0, "", VLOOKUP($G35, SeanRanks!$A$2:$H$303, 6, FALSE))</f>
        <v>WR5 - 1 - upside path</v>
      </c>
      <c r="L35" s="11">
        <f t="shared" si="5"/>
        <v>15</v>
      </c>
      <c r="M35" s="11">
        <f>VLOOKUP($G35, 'ADP Data'!$C$4:$Q$300, 9, FALSE)</f>
        <v>115</v>
      </c>
      <c r="N35" s="11">
        <f t="shared" si="6"/>
        <v>-33</v>
      </c>
      <c r="O35" s="11">
        <f>VLOOKUP($G35, 'ADP Data'!$C$4:$Q$300, 3, FALSE)</f>
        <v>162</v>
      </c>
      <c r="P35" s="11">
        <f t="shared" si="7"/>
        <v>-47</v>
      </c>
      <c r="Q35" s="11">
        <f>VLOOKUP($G35, 'ADP Data'!$C$4:$Q$300, 4, FALSE)</f>
        <v>169</v>
      </c>
      <c r="R35" s="11">
        <f>VLOOKUP($G35, 'ADP Data'!$C$4:$Q$300, 5, FALSE)</f>
        <v>165</v>
      </c>
      <c r="S35" s="11">
        <f>VLOOKUP($G35, 'ADP Data'!$C$4:$Q$300, 6, FALSE)</f>
        <v>154</v>
      </c>
      <c r="T35" s="11">
        <f>VLOOKUP($G35, 'ADP Data'!$C$4:$Q$300, 7, FALSE)</f>
        <v>148</v>
      </c>
      <c r="U35" s="11">
        <f>VLOOKUP($G35, 'ADP Data'!$C$4:$Q$300, 8, FALSE)</f>
        <v>127</v>
      </c>
      <c r="V35" s="11">
        <f t="shared" si="8"/>
        <v>148</v>
      </c>
      <c r="W35" s="11">
        <f t="shared" si="9"/>
        <v>19</v>
      </c>
      <c r="X35" s="11">
        <f t="shared" si="10"/>
        <v>-17</v>
      </c>
      <c r="Y35" s="11">
        <f>VLOOKUP($G35, SeanRanks!$A$2:$K$303, 10, FALSE)-V35</f>
        <v>-7</v>
      </c>
      <c r="Z35" s="29">
        <f>IF(VLOOKUP($G35, SeanRanks!$A$2:$H$303, 7, FALSE)=0, "", VLOOKUP($G35, SeanRanks!$A$2:$H$303, 7, FALSE))</f>
        <v>48</v>
      </c>
    </row>
    <row r="36" ht="14.25" customHeight="1">
      <c r="A36" s="11"/>
      <c r="B36" s="11">
        <f t="shared" si="4"/>
        <v>5</v>
      </c>
      <c r="C36" s="11" t="s">
        <v>95</v>
      </c>
      <c r="D36" s="11"/>
      <c r="E36" s="11"/>
      <c r="F36" s="11" t="str">
        <f>VLOOKUP(G36, SeanRanks!$A$2:$E$302, 4, FALSE)</f>
        <v/>
      </c>
      <c r="G36" s="11" t="s">
        <v>246</v>
      </c>
      <c r="H36" s="11" t="str">
        <f>VLOOKUP($G36, 'ADP Data'!$C$4:$Q$300, 2, FALSE)</f>
        <v>DET</v>
      </c>
      <c r="I36" s="11">
        <f>VLOOKUP(G36, 'ADP Data'!$C$4:$R$498, 12, FALSE)</f>
        <v>73</v>
      </c>
      <c r="J36" s="38" t="str">
        <f>VLOOKUP($G36, SeanRanks!$A$2:$H$303, 5, FALSE)</f>
        <v/>
      </c>
      <c r="K36" s="11" t="str">
        <f>IF(VLOOKUP($G36, SeanRanks!$A$2:$H$303, 6, FALSE)=0, "", VLOOKUP($G36, SeanRanks!$A$2:$H$303, 6, FALSE))</f>
        <v>TE1 - 2 - Very Good</v>
      </c>
      <c r="L36" s="11">
        <f t="shared" si="5"/>
        <v>7</v>
      </c>
      <c r="M36" s="11">
        <f>VLOOKUP($G36, 'ADP Data'!$C$4:$Q$300, 9, FALSE)</f>
        <v>51</v>
      </c>
      <c r="N36" s="11">
        <f t="shared" si="6"/>
        <v>-5</v>
      </c>
      <c r="O36" s="11">
        <f>VLOOKUP($G36, 'ADP Data'!$C$4:$Q$300, 3, FALSE)</f>
        <v>58</v>
      </c>
      <c r="P36" s="11">
        <f t="shared" si="7"/>
        <v>-7</v>
      </c>
      <c r="Q36" s="11">
        <f>VLOOKUP($G36, 'ADP Data'!$C$4:$Q$300, 4, FALSE)</f>
        <v>49</v>
      </c>
      <c r="R36" s="11">
        <f>VLOOKUP($G36, 'ADP Data'!$C$4:$Q$300, 5, FALSE)</f>
        <v>67</v>
      </c>
      <c r="S36" s="11">
        <f>VLOOKUP($G36, 'ADP Data'!$C$4:$Q$300, 6, FALSE)</f>
        <v>53</v>
      </c>
      <c r="T36" s="11">
        <f>VLOOKUP($G36, 'ADP Data'!$C$4:$Q$300, 7, FALSE)</f>
        <v>71</v>
      </c>
      <c r="U36" s="11">
        <f>VLOOKUP($G36, 'ADP Data'!$C$4:$Q$300, 8, FALSE)</f>
        <v>43</v>
      </c>
      <c r="V36" s="11">
        <f t="shared" si="8"/>
        <v>56</v>
      </c>
      <c r="W36" s="11">
        <f t="shared" si="9"/>
        <v>8</v>
      </c>
      <c r="X36" s="11">
        <f t="shared" si="10"/>
        <v>-8</v>
      </c>
      <c r="Y36" s="11">
        <f>VLOOKUP($G36, SeanRanks!$A$2:$K$303, 10, FALSE)-V36</f>
        <v>12</v>
      </c>
      <c r="Z36" s="29">
        <f>IF(VLOOKUP($G36, SeanRanks!$A$2:$H$303, 7, FALSE)=0, "", VLOOKUP($G36, SeanRanks!$A$2:$H$303, 7, FALSE))</f>
        <v>4</v>
      </c>
    </row>
    <row r="37" ht="14.25" customHeight="1">
      <c r="A37" s="11"/>
      <c r="B37" s="11">
        <f t="shared" si="4"/>
        <v>6</v>
      </c>
      <c r="C37" s="11" t="s">
        <v>95</v>
      </c>
      <c r="D37" s="11">
        <v>2.0</v>
      </c>
      <c r="E37" s="11" t="s">
        <v>151</v>
      </c>
      <c r="F37" s="11" t="str">
        <f>VLOOKUP(G37, SeanRanks!$A$2:$E$302, 4, FALSE)</f>
        <v/>
      </c>
      <c r="G37" s="11" t="s">
        <v>175</v>
      </c>
      <c r="H37" s="11" t="str">
        <f>VLOOKUP($G37, 'ADP Data'!$C$4:$Q$300, 2, FALSE)</f>
        <v>MIA</v>
      </c>
      <c r="I37" s="11">
        <f>VLOOKUP(G37, 'ADP Data'!$C$4:$R$498, 12, FALSE)</f>
        <v>57</v>
      </c>
      <c r="J37" s="37" t="str">
        <f>VLOOKUP($G37, SeanRanks!$A$2:$H$303, 5, FALSE)</f>
        <v>No</v>
      </c>
      <c r="K37" s="11" t="str">
        <f>IF(VLOOKUP($G37, SeanRanks!$A$2:$H$303, 6, FALSE)=0, "", VLOOKUP($G37, SeanRanks!$A$2:$H$303, 6, FALSE))</f>
        <v>WR3 - 2 - mid, but path to big upside</v>
      </c>
      <c r="L37" s="11">
        <f t="shared" si="5"/>
        <v>9</v>
      </c>
      <c r="M37" s="11">
        <f>VLOOKUP($G37, 'ADP Data'!$C$4:$Q$300, 9, FALSE)</f>
        <v>70</v>
      </c>
      <c r="N37" s="11">
        <f t="shared" si="6"/>
        <v>0</v>
      </c>
      <c r="O37" s="11">
        <f>VLOOKUP($G37, 'ADP Data'!$C$4:$Q$300, 3, FALSE)</f>
        <v>79</v>
      </c>
      <c r="P37" s="11">
        <f t="shared" si="7"/>
        <v>-9</v>
      </c>
      <c r="Q37" s="11">
        <f>VLOOKUP($G37, 'ADP Data'!$C$4:$Q$300, 4, FALSE)</f>
        <v>64</v>
      </c>
      <c r="R37" s="11">
        <f>VLOOKUP($G37, 'ADP Data'!$C$4:$Q$300, 5, FALSE)</f>
        <v>70</v>
      </c>
      <c r="S37" s="11">
        <f>VLOOKUP($G37, 'ADP Data'!$C$4:$Q$300, 6, FALSE)</f>
        <v>66</v>
      </c>
      <c r="T37" s="11">
        <f>VLOOKUP($G37, 'ADP Data'!$C$4:$Q$300, 7, FALSE)</f>
        <v>58</v>
      </c>
      <c r="U37" s="11">
        <f>VLOOKUP($G37, 'ADP Data'!$C$4:$Q$300, 8, FALSE)</f>
        <v>84</v>
      </c>
      <c r="V37" s="11">
        <f t="shared" si="8"/>
        <v>70</v>
      </c>
      <c r="W37" s="11">
        <f t="shared" si="9"/>
        <v>9</v>
      </c>
      <c r="X37" s="11">
        <f t="shared" si="10"/>
        <v>-7</v>
      </c>
      <c r="Y37" s="11">
        <f>VLOOKUP($G37, SeanRanks!$A$2:$K$303, 10, FALSE)-V37</f>
        <v>-22</v>
      </c>
      <c r="Z37" s="29">
        <f>IF(VLOOKUP($G37, SeanRanks!$A$2:$H$303, 7, FALSE)=0, "", VLOOKUP($G37, SeanRanks!$A$2:$H$303, 7, FALSE))</f>
        <v>31</v>
      </c>
    </row>
    <row r="38" ht="14.25" customHeight="1">
      <c r="A38" s="11"/>
      <c r="B38" s="11">
        <f t="shared" si="4"/>
        <v>2</v>
      </c>
      <c r="C38" s="11" t="s">
        <v>95</v>
      </c>
      <c r="D38" s="11"/>
      <c r="E38" s="27"/>
      <c r="F38" s="11" t="str">
        <f>VLOOKUP(G38, SeanRanks!$A$2:$E$302, 4, FALSE)</f>
        <v/>
      </c>
      <c r="G38" s="11" t="s">
        <v>118</v>
      </c>
      <c r="H38" s="11" t="str">
        <f>VLOOKUP($G38, 'ADP Data'!$C$4:$Q$300, 2, FALSE)</f>
        <v>HOU</v>
      </c>
      <c r="I38" s="11">
        <f>VLOOKUP(G38, 'ADP Data'!$C$4:$R$498, 12, FALSE)</f>
        <v>8</v>
      </c>
      <c r="J38" s="37" t="str">
        <f>VLOOKUP($G38, SeanRanks!$A$2:$H$303, 5, FALSE)</f>
        <v/>
      </c>
      <c r="K38" s="11" t="str">
        <f>IF(VLOOKUP($G38, SeanRanks!$A$2:$H$303, 6, FALSE)=0, "", VLOOKUP($G38, SeanRanks!$A$2:$H$303, 6, FALSE))</f>
        <v>WR1 - 2 - High Floor</v>
      </c>
      <c r="L38" s="11">
        <f t="shared" si="5"/>
        <v>2</v>
      </c>
      <c r="M38" s="11">
        <f>VLOOKUP($G38, 'ADP Data'!$C$4:$Q$300, 9, FALSE)</f>
        <v>13</v>
      </c>
      <c r="N38" s="11">
        <f t="shared" si="6"/>
        <v>0</v>
      </c>
      <c r="O38" s="11">
        <f>VLOOKUP($G38, 'ADP Data'!$C$4:$Q$300, 3, FALSE)</f>
        <v>13</v>
      </c>
      <c r="P38" s="11">
        <f t="shared" si="7"/>
        <v>0</v>
      </c>
      <c r="Q38" s="11">
        <f>VLOOKUP($G38, 'ADP Data'!$C$4:$Q$300, 4, FALSE)</f>
        <v>13</v>
      </c>
      <c r="R38" s="11">
        <f>VLOOKUP($G38, 'ADP Data'!$C$4:$Q$300, 5, FALSE)</f>
        <v>12</v>
      </c>
      <c r="S38" s="11">
        <f>VLOOKUP($G38, 'ADP Data'!$C$4:$Q$300, 6, FALSE)</f>
        <v>12</v>
      </c>
      <c r="T38" s="11">
        <f>VLOOKUP($G38, 'ADP Data'!$C$4:$Q$300, 7, FALSE)</f>
        <v>12</v>
      </c>
      <c r="U38" s="11">
        <f>VLOOKUP($G38, 'ADP Data'!$C$4:$Q$300, 8, FALSE)</f>
        <v>16</v>
      </c>
      <c r="V38" s="11">
        <f t="shared" si="8"/>
        <v>13</v>
      </c>
      <c r="W38" s="11">
        <f t="shared" si="9"/>
        <v>2</v>
      </c>
      <c r="X38" s="11">
        <f t="shared" si="10"/>
        <v>-2</v>
      </c>
      <c r="Y38" s="11">
        <f>VLOOKUP($G38, SeanRanks!$A$2:$K$303, 10, FALSE)-V38</f>
        <v>-6</v>
      </c>
      <c r="Z38" s="29">
        <f>IF(VLOOKUP($G38, SeanRanks!$A$2:$H$303, 7, FALSE)=0, "", VLOOKUP($G38, SeanRanks!$A$2:$H$303, 7, FALSE))</f>
        <v>4</v>
      </c>
    </row>
    <row r="39" ht="14.25" customHeight="1">
      <c r="A39" s="11" t="s">
        <v>106</v>
      </c>
      <c r="B39" s="11">
        <f t="shared" si="4"/>
        <v>4</v>
      </c>
      <c r="C39" s="11" t="s">
        <v>95</v>
      </c>
      <c r="D39" s="11">
        <v>4.0</v>
      </c>
      <c r="E39" s="11"/>
      <c r="F39" s="11" t="str">
        <f>VLOOKUP(G39, SeanRanks!$A$2:$E$302, 4, FALSE)</f>
        <v/>
      </c>
      <c r="G39" s="11" t="s">
        <v>234</v>
      </c>
      <c r="H39" s="11" t="str">
        <f>VLOOKUP($G39, 'ADP Data'!$C$4:$Q$300, 2, FALSE)</f>
        <v>PHI</v>
      </c>
      <c r="I39" s="11">
        <f>VLOOKUP(G39, 'ADP Data'!$C$4:$R$498, 12, FALSE)</f>
        <v>42</v>
      </c>
      <c r="J39" s="39" t="str">
        <f>VLOOKUP($G39, SeanRanks!$A$2:$H$303, 5, FALSE)</f>
        <v/>
      </c>
      <c r="K39" s="11" t="str">
        <f>IF(VLOOKUP($G39, SeanRanks!$A$2:$H$303, 6, FALSE)=0, "", VLOOKUP($G39, SeanRanks!$A$2:$H$303, 6, FALSE))</f>
        <v>QB1 - 2 - QB1 Upside</v>
      </c>
      <c r="L39" s="11">
        <f t="shared" si="5"/>
        <v>5</v>
      </c>
      <c r="M39" s="11">
        <f>VLOOKUP($G39, 'ADP Data'!$C$4:$Q$300, 9, FALSE)</f>
        <v>37</v>
      </c>
      <c r="N39" s="11">
        <f t="shared" si="6"/>
        <v>0</v>
      </c>
      <c r="O39" s="11">
        <f>VLOOKUP($G39, 'ADP Data'!$C$4:$Q$300, 3, FALSE)</f>
        <v>31</v>
      </c>
      <c r="P39" s="11">
        <f t="shared" si="7"/>
        <v>6</v>
      </c>
      <c r="Q39" s="11">
        <f>VLOOKUP($G39, 'ADP Data'!$C$4:$Q$300, 4, FALSE)</f>
        <v>28</v>
      </c>
      <c r="R39" s="11">
        <f>VLOOKUP($G39, 'ADP Data'!$C$4:$Q$300, 5, FALSE)</f>
        <v>51</v>
      </c>
      <c r="S39" s="11">
        <f>VLOOKUP($G39, 'ADP Data'!$C$4:$Q$300, 6, FALSE)</f>
        <v>40</v>
      </c>
      <c r="T39" s="11">
        <f>VLOOKUP($G39, 'ADP Data'!$C$4:$Q$300, 7, FALSE)</f>
        <v>43</v>
      </c>
      <c r="U39" s="11">
        <f>VLOOKUP($G39, 'ADP Data'!$C$4:$Q$300, 8, FALSE)</f>
        <v>34</v>
      </c>
      <c r="V39" s="11">
        <f t="shared" si="8"/>
        <v>37</v>
      </c>
      <c r="W39" s="11">
        <f t="shared" si="9"/>
        <v>5</v>
      </c>
      <c r="X39" s="11">
        <f t="shared" si="10"/>
        <v>-1</v>
      </c>
      <c r="Y39" s="11">
        <f>VLOOKUP($G39, SeanRanks!$A$2:$K$303, 10, FALSE)-V39</f>
        <v>-2</v>
      </c>
      <c r="Z39" s="29">
        <f>IF(VLOOKUP($G39, SeanRanks!$A$2:$H$303, 7, FALSE)=0, "", VLOOKUP($G39, SeanRanks!$A$2:$H$303, 7, FALSE))</f>
        <v>3</v>
      </c>
    </row>
    <row r="40" ht="14.25" customHeight="1">
      <c r="A40" s="11"/>
      <c r="B40" s="11">
        <f t="shared" si="4"/>
        <v>10</v>
      </c>
      <c r="C40" s="11" t="s">
        <v>95</v>
      </c>
      <c r="D40" s="11">
        <v>3.0</v>
      </c>
      <c r="E40" s="11" t="s">
        <v>151</v>
      </c>
      <c r="F40" s="11" t="str">
        <f>VLOOKUP(G40, SeanRanks!$A$2:$E$302, 4, FALSE)</f>
        <v/>
      </c>
      <c r="G40" s="11" t="s">
        <v>286</v>
      </c>
      <c r="H40" s="11" t="str">
        <f>VLOOKUP($G40, 'ADP Data'!$C$4:$Q$300, 2, FALSE)</f>
        <v>IND</v>
      </c>
      <c r="I40" s="11">
        <f>VLOOKUP(G40, 'ADP Data'!$C$4:$R$498, 12, FALSE)</f>
        <v>85</v>
      </c>
      <c r="J40" s="40" t="str">
        <f>VLOOKUP($G40, SeanRanks!$A$2:$H$303, 5, FALSE)</f>
        <v>No</v>
      </c>
      <c r="K40" s="11" t="str">
        <f>IF(VLOOKUP($G40, SeanRanks!$A$2:$H$303, 6, FALSE)=0, "", VLOOKUP($G40, SeanRanks!$A$2:$H$303, 6, FALSE))</f>
        <v>WR4 - 2 - unclear path to WR2</v>
      </c>
      <c r="L40" s="11">
        <f t="shared" si="5"/>
        <v>15</v>
      </c>
      <c r="M40" s="11">
        <f>VLOOKUP($G40, 'ADP Data'!$C$4:$Q$300, 9, FALSE)</f>
        <v>114</v>
      </c>
      <c r="N40" s="11">
        <f t="shared" si="6"/>
        <v>4</v>
      </c>
      <c r="O40" s="11">
        <f>VLOOKUP($G40, 'ADP Data'!$C$4:$Q$300, 3, FALSE)</f>
        <v>94</v>
      </c>
      <c r="P40" s="11">
        <f t="shared" si="7"/>
        <v>20</v>
      </c>
      <c r="Q40" s="11">
        <f>VLOOKUP($G40, 'ADP Data'!$C$4:$Q$300, 4, FALSE)</f>
        <v>92</v>
      </c>
      <c r="R40" s="11">
        <f>VLOOKUP($G40, 'ADP Data'!$C$4:$Q$300, 5, FALSE)</f>
        <v>113</v>
      </c>
      <c r="S40" s="11">
        <f>VLOOKUP($G40, 'ADP Data'!$C$4:$Q$300, 6, FALSE)</f>
        <v>99</v>
      </c>
      <c r="T40" s="11">
        <f>VLOOKUP($G40, 'ADP Data'!$C$4:$Q$300, 7, FALSE)</f>
        <v>97</v>
      </c>
      <c r="U40" s="11">
        <f>VLOOKUP($G40, 'ADP Data'!$C$4:$Q$300, 8, FALSE)</f>
        <v>164</v>
      </c>
      <c r="V40" s="11">
        <f t="shared" si="8"/>
        <v>110</v>
      </c>
      <c r="W40" s="11">
        <f t="shared" si="9"/>
        <v>14</v>
      </c>
      <c r="X40" s="11">
        <f t="shared" si="10"/>
        <v>-11</v>
      </c>
      <c r="Y40" s="11">
        <f>VLOOKUP($G40, SeanRanks!$A$2:$K$303, 10, FALSE)-V40</f>
        <v>4</v>
      </c>
      <c r="Z40" s="29">
        <f>IF(VLOOKUP($G40, SeanRanks!$A$2:$H$303, 7, FALSE)=0, "", VLOOKUP($G40, SeanRanks!$A$2:$H$303, 7, FALSE))</f>
        <v>47</v>
      </c>
    </row>
    <row r="41" ht="14.25" customHeight="1">
      <c r="A41" s="11"/>
      <c r="B41" s="11">
        <f t="shared" si="4"/>
        <v>2</v>
      </c>
      <c r="C41" s="11" t="s">
        <v>95</v>
      </c>
      <c r="D41" s="11">
        <v>4.0</v>
      </c>
      <c r="E41" s="11"/>
      <c r="F41" s="11" t="str">
        <f>VLOOKUP(G41, SeanRanks!$A$2:$E$302, 4, FALSE)</f>
        <v/>
      </c>
      <c r="G41" s="11" t="s">
        <v>153</v>
      </c>
      <c r="H41" s="11" t="str">
        <f>VLOOKUP($G41, 'ADP Data'!$C$4:$Q$300, 2, FALSE)</f>
        <v>GB</v>
      </c>
      <c r="I41" s="11">
        <f>VLOOKUP(G41, 'ADP Data'!$C$4:$R$498, 12, FALSE)</f>
        <v>23</v>
      </c>
      <c r="J41" s="36" t="str">
        <f>VLOOKUP($G41, SeanRanks!$A$2:$H$303, 5, FALSE)</f>
        <v/>
      </c>
      <c r="K41" s="11" t="str">
        <f>IF(VLOOKUP($G41, SeanRanks!$A$2:$H$303, 6, FALSE)=0, "", VLOOKUP($G41, SeanRanks!$A$2:$H$303, 6, FALSE))</f>
        <v>RB1 - 2 - Elite ceiling/questions</v>
      </c>
      <c r="L41" s="11">
        <f t="shared" si="5"/>
        <v>2</v>
      </c>
      <c r="M41" s="11">
        <f>VLOOKUP($G41, 'ADP Data'!$C$4:$Q$300, 9, FALSE)</f>
        <v>15</v>
      </c>
      <c r="N41" s="11">
        <f t="shared" si="6"/>
        <v>-3</v>
      </c>
      <c r="O41" s="11">
        <f>VLOOKUP($G41, 'ADP Data'!$C$4:$Q$300, 3, FALSE)</f>
        <v>10</v>
      </c>
      <c r="P41" s="11">
        <f t="shared" si="7"/>
        <v>5</v>
      </c>
      <c r="Q41" s="11">
        <f>VLOOKUP($G41, 'ADP Data'!$C$4:$Q$300, 4, FALSE)</f>
        <v>17</v>
      </c>
      <c r="R41" s="11">
        <f>VLOOKUP($G41, 'ADP Data'!$C$4:$Q$300, 5, FALSE)</f>
        <v>23</v>
      </c>
      <c r="S41" s="11">
        <f>VLOOKUP($G41, 'ADP Data'!$C$4:$Q$300, 6, FALSE)</f>
        <v>22</v>
      </c>
      <c r="T41" s="11">
        <f>VLOOKUP($G41, 'ADP Data'!$C$4:$Q$300, 7, FALSE)</f>
        <v>22</v>
      </c>
      <c r="U41" s="11">
        <f>VLOOKUP($G41, 'ADP Data'!$C$4:$Q$300, 8, FALSE)</f>
        <v>19</v>
      </c>
      <c r="V41" s="11">
        <f t="shared" si="8"/>
        <v>18</v>
      </c>
      <c r="W41" s="11">
        <f t="shared" si="9"/>
        <v>3</v>
      </c>
      <c r="X41" s="11">
        <f t="shared" si="10"/>
        <v>1</v>
      </c>
      <c r="Y41" s="11">
        <f>VLOOKUP($G41, SeanRanks!$A$2:$K$303, 10, FALSE)-V41</f>
        <v>-3</v>
      </c>
      <c r="Z41" s="29">
        <f>IF(VLOOKUP($G41, SeanRanks!$A$2:$H$303, 7, FALSE)=0, "", VLOOKUP($G41, SeanRanks!$A$2:$H$303, 7, FALSE))</f>
        <v>7</v>
      </c>
    </row>
    <row r="42" ht="14.25" customHeight="1">
      <c r="A42" s="11"/>
      <c r="B42" s="11">
        <f t="shared" si="4"/>
        <v>9</v>
      </c>
      <c r="C42" s="11" t="s">
        <v>95</v>
      </c>
      <c r="D42" s="11">
        <v>2.0</v>
      </c>
      <c r="E42" s="11"/>
      <c r="F42" s="11" t="str">
        <f>VLOOKUP(G42, SeanRanks!$A$2:$E$302, 4, FALSE)</f>
        <v/>
      </c>
      <c r="G42" s="11" t="s">
        <v>458</v>
      </c>
      <c r="H42" s="11" t="str">
        <f>VLOOKUP($G42, 'ADP Data'!$C$4:$Q$300, 2, FALSE)</f>
        <v>SEA</v>
      </c>
      <c r="I42" s="11">
        <f>VLOOKUP(G42, 'ADP Data'!$C$4:$R$498, 12, FALSE)</f>
        <v>97</v>
      </c>
      <c r="J42" s="40" t="str">
        <f>VLOOKUP($G42, SeanRanks!$A$2:$H$303, 5, FALSE)</f>
        <v/>
      </c>
      <c r="K42" s="11" t="str">
        <f>IF(VLOOKUP($G42, SeanRanks!$A$2:$H$303, 6, FALSE)=0, "", VLOOKUP($G42, SeanRanks!$A$2:$H$303, 6, FALSE))</f>
        <v>WR5 - 2 - floor play not league winner</v>
      </c>
      <c r="L42" s="11">
        <f t="shared" si="5"/>
        <v>12</v>
      </c>
      <c r="M42" s="11">
        <f>VLOOKUP($G42, 'ADP Data'!$C$4:$Q$300, 9, FALSE)</f>
        <v>88</v>
      </c>
      <c r="N42" s="11">
        <f t="shared" si="6"/>
        <v>-7</v>
      </c>
      <c r="O42" s="11">
        <f>VLOOKUP($G42, 'ADP Data'!$C$4:$Q$300, 3, FALSE)</f>
        <v>95</v>
      </c>
      <c r="P42" s="11">
        <f t="shared" si="7"/>
        <v>-7</v>
      </c>
      <c r="Q42" s="11">
        <f>VLOOKUP($G42, 'ADP Data'!$C$4:$Q$300, 4, FALSE)</f>
        <v>86</v>
      </c>
      <c r="R42" s="11">
        <f>VLOOKUP($G42, 'ADP Data'!$C$4:$Q$300, 5, FALSE)</f>
        <v>97</v>
      </c>
      <c r="S42" s="11">
        <f>VLOOKUP($G42, 'ADP Data'!$C$4:$Q$300, 6, FALSE)</f>
        <v>101</v>
      </c>
      <c r="T42" s="11">
        <f>VLOOKUP($G42, 'ADP Data'!$C$4:$Q$300, 7, FALSE)</f>
        <v>91</v>
      </c>
      <c r="U42" s="11">
        <f>VLOOKUP($G42, 'ADP Data'!$C$4:$Q$300, 8, FALSE)</f>
        <v>109</v>
      </c>
      <c r="V42" s="11">
        <f t="shared" si="8"/>
        <v>95</v>
      </c>
      <c r="W42" s="11">
        <f t="shared" si="9"/>
        <v>12</v>
      </c>
      <c r="X42" s="11">
        <f t="shared" si="10"/>
        <v>-10</v>
      </c>
      <c r="Y42" s="11">
        <f>VLOOKUP($G42, SeanRanks!$A$2:$K$303, 10, FALSE)-V42</f>
        <v>26</v>
      </c>
      <c r="Z42" s="29">
        <f>IF(VLOOKUP($G42, SeanRanks!$A$2:$H$303, 7, FALSE)=0, "", VLOOKUP($G42, SeanRanks!$A$2:$H$303, 7, FALSE))</f>
        <v>55</v>
      </c>
    </row>
    <row r="43" ht="14.25" customHeight="1">
      <c r="A43" s="11"/>
      <c r="B43" s="11">
        <f t="shared" si="4"/>
        <v>5</v>
      </c>
      <c r="C43" s="11" t="s">
        <v>95</v>
      </c>
      <c r="D43" s="11">
        <v>2.0</v>
      </c>
      <c r="E43" s="11" t="s">
        <v>151</v>
      </c>
      <c r="F43" s="11" t="str">
        <f>VLOOKUP(G43, SeanRanks!$A$2:$E$302, 4, FALSE)</f>
        <v/>
      </c>
      <c r="G43" s="11" t="s">
        <v>250</v>
      </c>
      <c r="H43" s="11" t="str">
        <f>VLOOKUP($G43, 'ADP Data'!$C$4:$Q$300, 2, FALSE)</f>
        <v>PIT</v>
      </c>
      <c r="I43" s="11">
        <f>VLOOKUP(G43, 'ADP Data'!$C$4:$R$498, 12, FALSE)</f>
        <v>56</v>
      </c>
      <c r="J43" s="37" t="str">
        <f>VLOOKUP($G43, SeanRanks!$A$2:$H$303, 5, FALSE)</f>
        <v/>
      </c>
      <c r="K43" s="11" t="str">
        <f>IF(VLOOKUP($G43, SeanRanks!$A$2:$H$303, 6, FALSE)=0, "", VLOOKUP($G43, SeanRanks!$A$2:$H$303, 6, FALSE))</f>
        <v>WR2 - 2 - Upside with risk</v>
      </c>
      <c r="L43" s="11">
        <f t="shared" si="5"/>
        <v>6</v>
      </c>
      <c r="M43" s="11">
        <f>VLOOKUP($G43, 'ADP Data'!$C$4:$Q$300, 9, FALSE)</f>
        <v>46</v>
      </c>
      <c r="N43" s="11">
        <f t="shared" si="6"/>
        <v>-4</v>
      </c>
      <c r="O43" s="11">
        <f>VLOOKUP($G43, 'ADP Data'!$C$4:$Q$300, 3, FALSE)</f>
        <v>48</v>
      </c>
      <c r="P43" s="11">
        <f t="shared" si="7"/>
        <v>-2</v>
      </c>
      <c r="Q43" s="11">
        <f>VLOOKUP($G43, 'ADP Data'!$C$4:$Q$300, 4, FALSE)</f>
        <v>45</v>
      </c>
      <c r="R43" s="11">
        <f>VLOOKUP($G43, 'ADP Data'!$C$4:$Q$300, 5, FALSE)</f>
        <v>63</v>
      </c>
      <c r="S43" s="11">
        <f>VLOOKUP($G43, 'ADP Data'!$C$4:$Q$300, 6, FALSE)</f>
        <v>52</v>
      </c>
      <c r="T43" s="11">
        <f>VLOOKUP($G43, 'ADP Data'!$C$4:$Q$300, 7, FALSE)</f>
        <v>50</v>
      </c>
      <c r="U43" s="11">
        <f>VLOOKUP($G43, 'ADP Data'!$C$4:$Q$300, 8, FALSE)</f>
        <v>52</v>
      </c>
      <c r="V43" s="11">
        <f t="shared" si="8"/>
        <v>50</v>
      </c>
      <c r="W43" s="11">
        <f t="shared" si="9"/>
        <v>7</v>
      </c>
      <c r="X43" s="11">
        <f t="shared" si="10"/>
        <v>-5</v>
      </c>
      <c r="Y43" s="11">
        <f>VLOOKUP($G43, SeanRanks!$A$2:$K$303, 10, FALSE)-V43</f>
        <v>-1</v>
      </c>
      <c r="Z43" s="29">
        <f>IF(VLOOKUP($G43, SeanRanks!$A$2:$H$303, 7, FALSE)=0, "", VLOOKUP($G43, SeanRanks!$A$2:$H$303, 7, FALSE))</f>
        <v>20</v>
      </c>
    </row>
    <row r="44" ht="14.25" customHeight="1">
      <c r="A44" s="11"/>
      <c r="B44" s="11">
        <f t="shared" si="4"/>
        <v>3</v>
      </c>
      <c r="C44" s="11" t="s">
        <v>95</v>
      </c>
      <c r="D44" s="11"/>
      <c r="E44" s="11"/>
      <c r="F44" s="11" t="str">
        <f>VLOOKUP(G44, SeanRanks!$A$2:$E$302, 4, FALSE)</f>
        <v/>
      </c>
      <c r="G44" s="11" t="s">
        <v>66</v>
      </c>
      <c r="H44" s="11" t="str">
        <f>VLOOKUP($G44, 'ADP Data'!$C$4:$Q$300, 2, FALSE)</f>
        <v>BUF</v>
      </c>
      <c r="I44" s="11">
        <f>VLOOKUP(G44, 'ADP Data'!$C$4:$R$498, 12, FALSE)</f>
        <v>44</v>
      </c>
      <c r="J44" s="36" t="str">
        <f>VLOOKUP($G44, SeanRanks!$A$2:$H$303, 5, FALSE)</f>
        <v/>
      </c>
      <c r="K44" s="11" t="str">
        <f>IF(VLOOKUP($G44, SeanRanks!$A$2:$H$303, 6, FALSE)=0, "", VLOOKUP($G44, SeanRanks!$A$2:$H$303, 6, FALSE))</f>
        <v>RB2 - 1 - Clear path to spikes</v>
      </c>
      <c r="L44" s="11">
        <f t="shared" si="5"/>
        <v>4</v>
      </c>
      <c r="M44" s="11">
        <f>VLOOKUP($G44, 'ADP Data'!$C$4:$Q$300, 9, FALSE)</f>
        <v>30</v>
      </c>
      <c r="N44" s="11">
        <f t="shared" si="6"/>
        <v>-2</v>
      </c>
      <c r="O44" s="11">
        <f>VLOOKUP($G44, 'ADP Data'!$C$4:$Q$300, 3, FALSE)</f>
        <v>26</v>
      </c>
      <c r="P44" s="11">
        <f t="shared" si="7"/>
        <v>4</v>
      </c>
      <c r="Q44" s="11">
        <f>VLOOKUP($G44, 'ADP Data'!$C$4:$Q$300, 4, FALSE)</f>
        <v>32</v>
      </c>
      <c r="R44" s="11">
        <f>VLOOKUP($G44, 'ADP Data'!$C$4:$Q$300, 5, FALSE)</f>
        <v>40</v>
      </c>
      <c r="S44" s="11">
        <f>VLOOKUP($G44, 'ADP Data'!$C$4:$Q$300, 6, FALSE)</f>
        <v>33</v>
      </c>
      <c r="T44" s="11">
        <f>VLOOKUP($G44, 'ADP Data'!$C$4:$Q$300, 7, FALSE)</f>
        <v>36</v>
      </c>
      <c r="U44" s="11">
        <f>VLOOKUP($G44, 'ADP Data'!$C$4:$Q$300, 8, FALSE)</f>
        <v>30</v>
      </c>
      <c r="V44" s="11">
        <f t="shared" si="8"/>
        <v>32</v>
      </c>
      <c r="W44" s="11">
        <f t="shared" si="9"/>
        <v>5</v>
      </c>
      <c r="X44" s="11">
        <f t="shared" si="10"/>
        <v>-5</v>
      </c>
      <c r="Y44" s="11">
        <f>VLOOKUP($G44, SeanRanks!$A$2:$K$303, 10, FALSE)-V44</f>
        <v>2</v>
      </c>
      <c r="Z44" s="29">
        <f>IF(VLOOKUP($G44, SeanRanks!$A$2:$H$303, 7, FALSE)=0, "", VLOOKUP($G44, SeanRanks!$A$2:$H$303, 7, FALSE))</f>
        <v>15</v>
      </c>
    </row>
    <row r="45" ht="14.25" customHeight="1">
      <c r="A45" s="11" t="s">
        <v>106</v>
      </c>
      <c r="B45" s="11">
        <f t="shared" si="4"/>
        <v>5</v>
      </c>
      <c r="C45" s="11" t="s">
        <v>95</v>
      </c>
      <c r="D45" s="11">
        <v>3.0</v>
      </c>
      <c r="E45" s="11"/>
      <c r="F45" s="11" t="str">
        <f>VLOOKUP(G45, SeanRanks!$A$2:$E$302, 4, FALSE)</f>
        <v/>
      </c>
      <c r="G45" s="11" t="s">
        <v>142</v>
      </c>
      <c r="H45" s="11" t="str">
        <f>VLOOKUP($G45, 'ADP Data'!$C$4:$Q$300, 2, FALSE)</f>
        <v>PHI</v>
      </c>
      <c r="I45" s="11">
        <f>VLOOKUP(G45, 'ADP Data'!$C$4:$R$498, 12, FALSE)</f>
        <v>54</v>
      </c>
      <c r="J45" s="40" t="str">
        <f>VLOOKUP($G45, SeanRanks!$A$2:$H$303, 5, FALSE)</f>
        <v/>
      </c>
      <c r="K45" s="11" t="str">
        <f>IF(VLOOKUP($G45, SeanRanks!$A$2:$H$303, 6, FALSE)=0, "", VLOOKUP($G45, SeanRanks!$A$2:$H$303, 6, FALSE))</f>
        <v>WR2 - 2 - Upside with risk</v>
      </c>
      <c r="L45" s="11">
        <f t="shared" si="5"/>
        <v>7</v>
      </c>
      <c r="M45" s="11">
        <f>VLOOKUP($G45, 'ADP Data'!$C$4:$Q$300, 9, FALSE)</f>
        <v>53</v>
      </c>
      <c r="N45" s="11">
        <f t="shared" si="6"/>
        <v>-5</v>
      </c>
      <c r="O45" s="11">
        <f>VLOOKUP($G45, 'ADP Data'!$C$4:$Q$300, 3, FALSE)</f>
        <v>60</v>
      </c>
      <c r="P45" s="11">
        <f t="shared" si="7"/>
        <v>-7</v>
      </c>
      <c r="Q45" s="11">
        <f>VLOOKUP($G45, 'ADP Data'!$C$4:$Q$300, 4, FALSE)</f>
        <v>61</v>
      </c>
      <c r="R45" s="11">
        <f>VLOOKUP($G45, 'ADP Data'!$C$4:$Q$300, 5, FALSE)</f>
        <v>62</v>
      </c>
      <c r="S45" s="11">
        <f>VLOOKUP($G45, 'ADP Data'!$C$4:$Q$300, 6, FALSE)</f>
        <v>60</v>
      </c>
      <c r="T45" s="11">
        <f>VLOOKUP($G45, 'ADP Data'!$C$4:$Q$300, 7, FALSE)</f>
        <v>56</v>
      </c>
      <c r="U45" s="11">
        <f>VLOOKUP($G45, 'ADP Data'!$C$4:$Q$300, 8, FALSE)</f>
        <v>60</v>
      </c>
      <c r="V45" s="11">
        <f t="shared" si="8"/>
        <v>58</v>
      </c>
      <c r="W45" s="11">
        <f t="shared" si="9"/>
        <v>8</v>
      </c>
      <c r="X45" s="11">
        <f t="shared" si="10"/>
        <v>-5</v>
      </c>
      <c r="Y45" s="11">
        <f>VLOOKUP($G45, SeanRanks!$A$2:$K$303, 10, FALSE)-V45</f>
        <v>-13</v>
      </c>
      <c r="Z45" s="29">
        <f>IF(VLOOKUP($G45, SeanRanks!$A$2:$H$303, 7, FALSE)=0, "", VLOOKUP($G45, SeanRanks!$A$2:$H$303, 7, FALSE))</f>
        <v>18</v>
      </c>
    </row>
    <row r="46" ht="14.25" customHeight="1">
      <c r="A46" s="11"/>
      <c r="B46" s="11">
        <f t="shared" si="4"/>
        <v>13</v>
      </c>
      <c r="C46" s="11" t="s">
        <v>95</v>
      </c>
      <c r="D46" s="11">
        <v>4.0</v>
      </c>
      <c r="E46" s="11"/>
      <c r="F46" s="11" t="str">
        <f>VLOOKUP(G46, SeanRanks!$A$2:$E$302, 4, FALSE)</f>
        <v/>
      </c>
      <c r="G46" s="11" t="s">
        <v>332</v>
      </c>
      <c r="H46" s="11" t="str">
        <f>VLOOKUP($G46, 'ADP Data'!$C$4:$Q$300, 2, FALSE)</f>
        <v>TB</v>
      </c>
      <c r="I46" s="11">
        <f>VLOOKUP(G46, 'ADP Data'!$C$4:$R$498, 12, FALSE)</f>
        <v>169</v>
      </c>
      <c r="J46" s="48" t="str">
        <f>VLOOKUP($G46, SeanRanks!$A$2:$H$303, 5, FALSE)</f>
        <v/>
      </c>
      <c r="K46" s="11" t="str">
        <f>IF(VLOOKUP($G46, SeanRanks!$A$2:$H$303, 6, FALSE)=0, "", VLOOKUP($G46, SeanRanks!$A$2:$H$303, 6, FALSE))</f>
        <v>RB4 - 2 - low ceiling</v>
      </c>
      <c r="L46" s="11">
        <f t="shared" si="5"/>
        <v>17</v>
      </c>
      <c r="M46" s="11">
        <f>VLOOKUP($G46, 'ADP Data'!$C$4:$Q$300, 9, FALSE)</f>
        <v>129</v>
      </c>
      <c r="N46" s="11">
        <f t="shared" si="6"/>
        <v>-18</v>
      </c>
      <c r="O46" s="11">
        <f>VLOOKUP($G46, 'ADP Data'!$C$4:$Q$300, 3, FALSE)</f>
        <v>133</v>
      </c>
      <c r="P46" s="11">
        <f t="shared" si="7"/>
        <v>-4</v>
      </c>
      <c r="Q46" s="11">
        <f>VLOOKUP($G46, 'ADP Data'!$C$4:$Q$300, 4, FALSE)</f>
        <v>150</v>
      </c>
      <c r="R46" s="11">
        <f>VLOOKUP($G46, 'ADP Data'!$C$4:$Q$300, 5, FALSE)</f>
        <v>167</v>
      </c>
      <c r="S46" s="11">
        <f>VLOOKUP($G46, 'ADP Data'!$C$4:$Q$300, 6, FALSE)</f>
        <v>149</v>
      </c>
      <c r="T46" s="11">
        <f>VLOOKUP($G46, 'ADP Data'!$C$4:$Q$300, 7, FALSE)</f>
        <v>153</v>
      </c>
      <c r="U46" s="11">
        <f>VLOOKUP($G46, 'ADP Data'!$C$4:$Q$300, 8, FALSE)</f>
        <v>149</v>
      </c>
      <c r="V46" s="11">
        <f t="shared" si="8"/>
        <v>147</v>
      </c>
      <c r="W46" s="11">
        <f t="shared" si="9"/>
        <v>19</v>
      </c>
      <c r="X46" s="11">
        <f t="shared" si="10"/>
        <v>-15</v>
      </c>
      <c r="Y46" s="11">
        <f>VLOOKUP($G46, SeanRanks!$A$2:$K$303, 10, FALSE)-V46</f>
        <v>-23</v>
      </c>
      <c r="Z46" s="29">
        <f>IF(VLOOKUP($G46, SeanRanks!$A$2:$H$303, 7, FALSE)=0, "", VLOOKUP($G46, SeanRanks!$A$2:$H$303, 7, FALSE))</f>
        <v>48</v>
      </c>
    </row>
    <row r="47" ht="14.25" customHeight="1">
      <c r="A47" s="11"/>
      <c r="B47" s="11">
        <f t="shared" si="4"/>
        <v>5</v>
      </c>
      <c r="C47" s="11" t="s">
        <v>95</v>
      </c>
      <c r="D47" s="11">
        <v>4.0</v>
      </c>
      <c r="E47" s="11"/>
      <c r="F47" s="11" t="str">
        <f>VLOOKUP(G47, SeanRanks!$A$2:$E$302, 4, FALSE)</f>
        <v/>
      </c>
      <c r="G47" s="11" t="s">
        <v>187</v>
      </c>
      <c r="H47" s="11" t="str">
        <f>VLOOKUP($G47, 'ADP Data'!$C$4:$Q$300, 2, FALSE)</f>
        <v>CHI</v>
      </c>
      <c r="I47" s="11">
        <f>VLOOKUP(G47, 'ADP Data'!$C$4:$R$498, 12, FALSE)</f>
        <v>50</v>
      </c>
      <c r="J47" s="49" t="str">
        <f>VLOOKUP($G47, SeanRanks!$A$2:$H$303, 5, FALSE)</f>
        <v/>
      </c>
      <c r="K47" s="11" t="str">
        <f>IF(VLOOKUP($G47, SeanRanks!$A$2:$H$303, 6, FALSE)=0, "", VLOOKUP($G47, SeanRanks!$A$2:$H$303, 6, FALSE))</f>
        <v>WR3 - 1 - </v>
      </c>
      <c r="L47" s="11">
        <f t="shared" si="5"/>
        <v>7</v>
      </c>
      <c r="M47" s="11">
        <f>VLOOKUP($G47, 'ADP Data'!$C$4:$Q$300, 9, FALSE)</f>
        <v>48</v>
      </c>
      <c r="N47" s="11">
        <f t="shared" si="6"/>
        <v>-3</v>
      </c>
      <c r="O47" s="11">
        <f>VLOOKUP($G47, 'ADP Data'!$C$4:$Q$300, 3, FALSE)</f>
        <v>52</v>
      </c>
      <c r="P47" s="11">
        <f t="shared" si="7"/>
        <v>-4</v>
      </c>
      <c r="Q47" s="11">
        <f>VLOOKUP($G47, 'ADP Data'!$C$4:$Q$300, 4, FALSE)</f>
        <v>54</v>
      </c>
      <c r="R47" s="11">
        <f>VLOOKUP($G47, 'ADP Data'!$C$4:$Q$300, 5, FALSE)</f>
        <v>54</v>
      </c>
      <c r="S47" s="11">
        <f>VLOOKUP($G47, 'ADP Data'!$C$4:$Q$300, 6, FALSE)</f>
        <v>55</v>
      </c>
      <c r="T47" s="11">
        <f>VLOOKUP($G47, 'ADP Data'!$C$4:$Q$300, 7, FALSE)</f>
        <v>48</v>
      </c>
      <c r="U47" s="11">
        <f>VLOOKUP($G47, 'ADP Data'!$C$4:$Q$300, 8, FALSE)</f>
        <v>46</v>
      </c>
      <c r="V47" s="11">
        <f t="shared" si="8"/>
        <v>51</v>
      </c>
      <c r="W47" s="11">
        <f t="shared" si="9"/>
        <v>7</v>
      </c>
      <c r="X47" s="11">
        <f t="shared" si="10"/>
        <v>-3</v>
      </c>
      <c r="Y47" s="11">
        <f>VLOOKUP($G47, SeanRanks!$A$2:$K$303, 10, FALSE)-V47</f>
        <v>9</v>
      </c>
      <c r="Z47" s="29">
        <f>IF(VLOOKUP($G47, SeanRanks!$A$2:$H$303, 7, FALSE)=0, "", VLOOKUP($G47, SeanRanks!$A$2:$H$303, 7, FALSE))</f>
        <v>28</v>
      </c>
    </row>
    <row r="48" ht="14.25" customHeight="1">
      <c r="A48" s="11"/>
      <c r="B48" s="11">
        <f t="shared" si="4"/>
        <v>3</v>
      </c>
      <c r="C48" s="11" t="s">
        <v>95</v>
      </c>
      <c r="D48" s="11">
        <v>4.0</v>
      </c>
      <c r="E48" s="11"/>
      <c r="F48" s="11" t="str">
        <f>VLOOKUP(G48, SeanRanks!$A$2:$E$302, 4, FALSE)</f>
        <v/>
      </c>
      <c r="G48" s="11" t="s">
        <v>183</v>
      </c>
      <c r="H48" s="11" t="str">
        <f>VLOOKUP($G48, 'ADP Data'!$C$4:$Q$300, 2, FALSE)</f>
        <v>BAL</v>
      </c>
      <c r="I48" s="11">
        <f>VLOOKUP(G48, 'ADP Data'!$C$4:$R$498, 12, FALSE)</f>
        <v>30</v>
      </c>
      <c r="J48" s="39" t="str">
        <f>VLOOKUP($G48, SeanRanks!$A$2:$H$303, 5, FALSE)</f>
        <v/>
      </c>
      <c r="K48" s="11" t="str">
        <f>IF(VLOOKUP($G48, SeanRanks!$A$2:$H$303, 6, FALSE)=0, "", VLOOKUP($G48, SeanRanks!$A$2:$H$303, 6, FALSE))</f>
        <v>QB1 - 1 - Elite</v>
      </c>
      <c r="L48" s="11">
        <f t="shared" si="5"/>
        <v>3</v>
      </c>
      <c r="M48" s="11">
        <f>VLOOKUP($G48, 'ADP Data'!$C$4:$Q$300, 9, FALSE)</f>
        <v>23</v>
      </c>
      <c r="N48" s="11">
        <f t="shared" si="6"/>
        <v>0</v>
      </c>
      <c r="O48" s="11">
        <f>VLOOKUP($G48, 'ADP Data'!$C$4:$Q$300, 3, FALSE)</f>
        <v>17</v>
      </c>
      <c r="P48" s="11">
        <f t="shared" si="7"/>
        <v>6</v>
      </c>
      <c r="Q48" s="11">
        <f>VLOOKUP($G48, 'ADP Data'!$C$4:$Q$300, 4, FALSE)</f>
        <v>23</v>
      </c>
      <c r="R48" s="11">
        <f>VLOOKUP($G48, 'ADP Data'!$C$4:$Q$300, 5, FALSE)</f>
        <v>31</v>
      </c>
      <c r="S48" s="11">
        <f>VLOOKUP($G48, 'ADP Data'!$C$4:$Q$300, 6, FALSE)</f>
        <v>29</v>
      </c>
      <c r="T48" s="11">
        <f>VLOOKUP($G48, 'ADP Data'!$C$4:$Q$300, 7, FALSE)</f>
        <v>24</v>
      </c>
      <c r="U48" s="11">
        <f>VLOOKUP($G48, 'ADP Data'!$C$4:$Q$300, 8, FALSE)</f>
        <v>18</v>
      </c>
      <c r="V48" s="11">
        <f t="shared" si="8"/>
        <v>23</v>
      </c>
      <c r="W48" s="11">
        <f t="shared" si="9"/>
        <v>3</v>
      </c>
      <c r="X48" s="11">
        <f t="shared" si="10"/>
        <v>1</v>
      </c>
      <c r="Y48" s="11">
        <f>VLOOKUP($G48, SeanRanks!$A$2:$K$303, 10, FALSE)-V48</f>
        <v>3</v>
      </c>
      <c r="Z48" s="29">
        <f>IF(VLOOKUP($G48, SeanRanks!$A$2:$H$303, 7, FALSE)=0, "", VLOOKUP($G48, SeanRanks!$A$2:$H$303, 7, FALSE))</f>
        <v>1</v>
      </c>
    </row>
    <row r="49" ht="14.25" customHeight="1">
      <c r="A49" s="11"/>
      <c r="B49" s="11">
        <f t="shared" si="4"/>
        <v>2</v>
      </c>
      <c r="C49" s="11" t="s">
        <v>95</v>
      </c>
      <c r="D49" s="11">
        <v>4.0</v>
      </c>
      <c r="E49" s="11"/>
      <c r="F49" s="11" t="str">
        <f>VLOOKUP(G49, SeanRanks!$A$2:$E$302, 4, FALSE)</f>
        <v/>
      </c>
      <c r="G49" s="11" t="s">
        <v>124</v>
      </c>
      <c r="H49" s="11" t="str">
        <f>VLOOKUP($G49, 'ADP Data'!$C$4:$Q$300, 2, FALSE)</f>
        <v>ARI</v>
      </c>
      <c r="I49" s="11">
        <f>VLOOKUP(G49, 'ADP Data'!$C$4:$R$498, 12, FALSE)</f>
        <v>24</v>
      </c>
      <c r="J49" s="38" t="str">
        <f>VLOOKUP($G49, SeanRanks!$A$2:$H$303, 5, FALSE)</f>
        <v/>
      </c>
      <c r="K49" s="11" t="str">
        <f>IF(VLOOKUP($G49, SeanRanks!$A$2:$H$303, 6, FALSE)=0, "", VLOOKUP($G49, SeanRanks!$A$2:$H$303, 6, FALSE))</f>
        <v>TE1 - 1 - Elite</v>
      </c>
      <c r="L49" s="11">
        <f t="shared" si="5"/>
        <v>4</v>
      </c>
      <c r="M49" s="11">
        <f>VLOOKUP($G49, 'ADP Data'!$C$4:$Q$300, 9, FALSE)</f>
        <v>26</v>
      </c>
      <c r="N49" s="11">
        <f t="shared" si="6"/>
        <v>1</v>
      </c>
      <c r="O49" s="11">
        <f>VLOOKUP($G49, 'ADP Data'!$C$4:$Q$300, 3, FALSE)</f>
        <v>35</v>
      </c>
      <c r="P49" s="11">
        <f t="shared" si="7"/>
        <v>-9</v>
      </c>
      <c r="Q49" s="11">
        <f>VLOOKUP($G49, 'ADP Data'!$C$4:$Q$300, 4, FALSE)</f>
        <v>25</v>
      </c>
      <c r="R49" s="11">
        <f>VLOOKUP($G49, 'ADP Data'!$C$4:$Q$300, 5, FALSE)</f>
        <v>28</v>
      </c>
      <c r="S49" s="11">
        <f>VLOOKUP($G49, 'ADP Data'!$C$4:$Q$300, 6, FALSE)</f>
        <v>13</v>
      </c>
      <c r="T49" s="11">
        <f>VLOOKUP($G49, 'ADP Data'!$C$4:$Q$300, 7, FALSE)</f>
        <v>26</v>
      </c>
      <c r="U49" s="11">
        <f>VLOOKUP($G49, 'ADP Data'!$C$4:$Q$300, 8, FALSE)</f>
        <v>27</v>
      </c>
      <c r="V49" s="11">
        <f t="shared" si="8"/>
        <v>25</v>
      </c>
      <c r="W49" s="11">
        <f t="shared" si="9"/>
        <v>4</v>
      </c>
      <c r="X49" s="11">
        <f t="shared" si="10"/>
        <v>0</v>
      </c>
      <c r="Y49" s="11">
        <f>VLOOKUP($G49, SeanRanks!$A$2:$K$303, 10, FALSE)-V49</f>
        <v>-1</v>
      </c>
      <c r="Z49" s="29">
        <f>IF(VLOOKUP($G49, SeanRanks!$A$2:$H$303, 7, FALSE)=0, "", VLOOKUP($G49, SeanRanks!$A$2:$H$303, 7, FALSE))</f>
        <v>2</v>
      </c>
    </row>
    <row r="50" ht="14.25" customHeight="1">
      <c r="A50" s="11"/>
      <c r="B50" s="11">
        <f t="shared" si="4"/>
        <v>1</v>
      </c>
      <c r="C50" s="11" t="s">
        <v>95</v>
      </c>
      <c r="D50" s="11">
        <v>3.0</v>
      </c>
      <c r="E50" s="11" t="s">
        <v>151</v>
      </c>
      <c r="F50" s="11" t="str">
        <f>VLOOKUP(G50, SeanRanks!$A$2:$E$302, 4, FALSE)</f>
        <v/>
      </c>
      <c r="G50" s="11" t="s">
        <v>127</v>
      </c>
      <c r="H50" s="11" t="str">
        <f>VLOOKUP($G50, 'ADP Data'!$C$4:$Q$300, 2, FALSE)</f>
        <v>NYG</v>
      </c>
      <c r="I50" s="11">
        <f>VLOOKUP(G50, 'ADP Data'!$C$4:$R$498, 12, FALSE)</f>
        <v>10</v>
      </c>
      <c r="J50" s="37" t="str">
        <f>VLOOKUP($G50, SeanRanks!$A$2:$H$303, 5, FALSE)</f>
        <v/>
      </c>
      <c r="K50" s="11" t="str">
        <f>IF(VLOOKUP($G50, SeanRanks!$A$2:$H$303, 6, FALSE)=0, "", VLOOKUP($G50, SeanRanks!$A$2:$H$303, 6, FALSE))</f>
        <v>WR1 - 2 - High Floor</v>
      </c>
      <c r="L50" s="11">
        <f t="shared" si="5"/>
        <v>2</v>
      </c>
      <c r="M50" s="11">
        <f>VLOOKUP($G50, 'ADP Data'!$C$4:$Q$300, 9, FALSE)</f>
        <v>12</v>
      </c>
      <c r="N50" s="11">
        <f t="shared" si="6"/>
        <v>3</v>
      </c>
      <c r="O50" s="11">
        <f>VLOOKUP($G50, 'ADP Data'!$C$4:$Q$300, 3, FALSE)</f>
        <v>11</v>
      </c>
      <c r="P50" s="11">
        <f t="shared" si="7"/>
        <v>1</v>
      </c>
      <c r="Q50" s="11">
        <f>VLOOKUP($G50, 'ADP Data'!$C$4:$Q$300, 4, FALSE)</f>
        <v>10</v>
      </c>
      <c r="R50" s="11">
        <f>VLOOKUP($G50, 'ADP Data'!$C$4:$Q$300, 5, FALSE)</f>
        <v>9</v>
      </c>
      <c r="S50" s="11">
        <f>VLOOKUP($G50, 'ADP Data'!$C$4:$Q$300, 6, FALSE)</f>
        <v>10</v>
      </c>
      <c r="T50" s="11">
        <f>VLOOKUP($G50, 'ADP Data'!$C$4:$Q$300, 7, FALSE)</f>
        <v>8</v>
      </c>
      <c r="U50" s="11">
        <f>VLOOKUP($G50, 'ADP Data'!$C$4:$Q$300, 8, FALSE)</f>
        <v>9</v>
      </c>
      <c r="V50" s="11">
        <f t="shared" si="8"/>
        <v>9</v>
      </c>
      <c r="W50" s="11">
        <f t="shared" si="9"/>
        <v>2</v>
      </c>
      <c r="X50" s="11">
        <f t="shared" si="10"/>
        <v>1</v>
      </c>
      <c r="Y50" s="11">
        <f>VLOOKUP($G50, SeanRanks!$A$2:$K$303, 10, FALSE)-V50</f>
        <v>1</v>
      </c>
      <c r="Z50" s="29">
        <f>IF(VLOOKUP($G50, SeanRanks!$A$2:$H$303, 7, FALSE)=0, "", VLOOKUP($G50, SeanRanks!$A$2:$H$303, 7, FALSE))</f>
        <v>5</v>
      </c>
    </row>
    <row r="51" ht="14.25" customHeight="1">
      <c r="A51" s="11"/>
      <c r="B51" s="11">
        <f t="shared" si="4"/>
        <v>7</v>
      </c>
      <c r="C51" s="11" t="s">
        <v>95</v>
      </c>
      <c r="D51" s="11">
        <v>4.0</v>
      </c>
      <c r="E51" s="11"/>
      <c r="F51" s="11" t="str">
        <f>VLOOKUP(G51, SeanRanks!$A$2:$E$302, 4, FALSE)</f>
        <v/>
      </c>
      <c r="G51" s="11" t="s">
        <v>357</v>
      </c>
      <c r="H51" s="11" t="str">
        <f>VLOOKUP($G51, 'ADP Data'!$C$4:$Q$300, 2, FALSE)</f>
        <v>BAL</v>
      </c>
      <c r="I51" s="11">
        <f>VLOOKUP(G51, 'ADP Data'!$C$4:$R$498, 12, FALSE)</f>
        <v>93</v>
      </c>
      <c r="J51" s="38" t="str">
        <f>VLOOKUP($G51, SeanRanks!$A$2:$H$303, 5, FALSE)</f>
        <v>No</v>
      </c>
      <c r="K51" s="11" t="str">
        <f>IF(VLOOKUP($G51, SeanRanks!$A$2:$H$303, 6, FALSE)=0, "", VLOOKUP($G51, SeanRanks!$A$2:$H$303, 6, FALSE))</f>
        <v>TE1 - 3 - Weekly Start</v>
      </c>
      <c r="L51" s="11">
        <f t="shared" si="5"/>
        <v>10</v>
      </c>
      <c r="M51" s="11">
        <f>VLOOKUP($G51, 'ADP Data'!$C$4:$Q$300, 9, FALSE)</f>
        <v>77</v>
      </c>
      <c r="N51" s="11">
        <f t="shared" si="6"/>
        <v>0</v>
      </c>
      <c r="O51" s="11">
        <f>VLOOKUP($G51, 'ADP Data'!$C$4:$Q$300, 3, FALSE)</f>
        <v>73</v>
      </c>
      <c r="P51" s="11">
        <f t="shared" si="7"/>
        <v>4</v>
      </c>
      <c r="Q51" s="11">
        <f>VLOOKUP($G51, 'ADP Data'!$C$4:$Q$300, 4, FALSE)</f>
        <v>73</v>
      </c>
      <c r="R51" s="11">
        <f>VLOOKUP($G51, 'ADP Data'!$C$4:$Q$300, 5, FALSE)</f>
        <v>95</v>
      </c>
      <c r="S51" s="11">
        <f>VLOOKUP($G51, 'ADP Data'!$C$4:$Q$300, 6, FALSE)</f>
        <v>79</v>
      </c>
      <c r="T51" s="11">
        <f>VLOOKUP($G51, 'ADP Data'!$C$4:$Q$300, 7, FALSE)</f>
        <v>93</v>
      </c>
      <c r="U51" s="11">
        <f>VLOOKUP($G51, 'ADP Data'!$C$4:$Q$300, 8, FALSE)</f>
        <v>53</v>
      </c>
      <c r="V51" s="11">
        <f t="shared" si="8"/>
        <v>77</v>
      </c>
      <c r="W51" s="11">
        <f t="shared" si="9"/>
        <v>10</v>
      </c>
      <c r="X51" s="11">
        <f t="shared" si="10"/>
        <v>-6</v>
      </c>
      <c r="Y51" s="11">
        <f>VLOOKUP($G51, SeanRanks!$A$2:$K$303, 10, FALSE)-V51</f>
        <v>2</v>
      </c>
      <c r="Z51" s="29">
        <f>IF(VLOOKUP($G51, SeanRanks!$A$2:$H$303, 7, FALSE)=0, "", VLOOKUP($G51, SeanRanks!$A$2:$H$303, 7, FALSE))</f>
        <v>7</v>
      </c>
    </row>
    <row r="52" ht="14.25" customHeight="1">
      <c r="A52" s="11"/>
      <c r="B52" s="11">
        <f t="shared" si="4"/>
        <v>12</v>
      </c>
      <c r="C52" s="11" t="s">
        <v>95</v>
      </c>
      <c r="D52" s="11">
        <v>4.0</v>
      </c>
      <c r="E52" s="11"/>
      <c r="F52" s="11" t="str">
        <f>VLOOKUP(G52, SeanRanks!$A$2:$E$302, 4, FALSE)</f>
        <v/>
      </c>
      <c r="G52" s="11" t="s">
        <v>789</v>
      </c>
      <c r="H52" s="11" t="str">
        <f>VLOOKUP($G52, 'ADP Data'!$C$4:$Q$300, 2, FALSE)</f>
        <v>HOU</v>
      </c>
      <c r="I52" s="11">
        <f>VLOOKUP(G52, 'ADP Data'!$C$4:$R$498, 12, FALSE)</f>
        <v>162</v>
      </c>
      <c r="J52" s="48" t="str">
        <f>VLOOKUP($G52, SeanRanks!$A$2:$H$303, 5, FALSE)</f>
        <v/>
      </c>
      <c r="K52" s="11" t="str">
        <f>IF(VLOOKUP($G52, SeanRanks!$A$2:$H$303, 6, FALSE)=0, "", VLOOKUP($G52, SeanRanks!$A$2:$H$303, 6, FALSE))</f>
        <v>RB2 - 2 - Path to spikes</v>
      </c>
      <c r="L52" s="11">
        <f t="shared" si="5"/>
        <v>8</v>
      </c>
      <c r="M52" s="11">
        <f>VLOOKUP($G52, 'ADP Data'!$C$4:$Q$300, 9, FALSE)</f>
        <v>63</v>
      </c>
      <c r="N52" s="11">
        <f t="shared" si="6"/>
        <v>-53</v>
      </c>
      <c r="O52" s="11">
        <f>VLOOKUP($G52, 'ADP Data'!$C$4:$Q$300, 3, FALSE)</f>
        <v>81</v>
      </c>
      <c r="P52" s="11">
        <f t="shared" si="7"/>
        <v>-18</v>
      </c>
      <c r="Q52" s="11">
        <f>VLOOKUP($G52, 'ADP Data'!$C$4:$Q$300, 4, FALSE)</f>
        <v>121</v>
      </c>
      <c r="R52" s="11">
        <f>VLOOKUP($G52, 'ADP Data'!$C$4:$Q$300, 5, FALSE)</f>
        <v>262</v>
      </c>
      <c r="S52" s="11">
        <f>VLOOKUP($G52, 'ADP Data'!$C$4:$Q$300, 6, FALSE)</f>
        <v>115</v>
      </c>
      <c r="T52" s="11">
        <f>VLOOKUP($G52, 'ADP Data'!$C$4:$Q$300, 7, FALSE)</f>
        <v>110</v>
      </c>
      <c r="U52" s="11">
        <f>VLOOKUP($G52, 'ADP Data'!$C$4:$Q$300, 8, FALSE)</f>
        <v>65</v>
      </c>
      <c r="V52" s="11">
        <f t="shared" si="8"/>
        <v>116</v>
      </c>
      <c r="W52" s="11">
        <f t="shared" si="9"/>
        <v>15</v>
      </c>
      <c r="X52" s="11">
        <f t="shared" si="10"/>
        <v>-11</v>
      </c>
      <c r="Y52" s="11">
        <f>VLOOKUP($G52, SeanRanks!$A$2:$K$303, 10, FALSE)-V52</f>
        <v>45</v>
      </c>
      <c r="Z52" s="29">
        <f>IF(VLOOKUP($G52, SeanRanks!$A$2:$H$303, 7, FALSE)=0, "", VLOOKUP($G52, SeanRanks!$A$2:$H$303, 7, FALSE))</f>
        <v>22</v>
      </c>
    </row>
    <row r="53" ht="14.25" customHeight="1">
      <c r="A53" s="11" t="s">
        <v>106</v>
      </c>
      <c r="B53" s="11">
        <f t="shared" si="4"/>
        <v>8</v>
      </c>
      <c r="C53" s="11" t="s">
        <v>95</v>
      </c>
      <c r="D53" s="11">
        <v>4.0</v>
      </c>
      <c r="E53" s="11"/>
      <c r="F53" s="11" t="str">
        <f>VLOOKUP(G53, SeanRanks!$A$2:$E$302, 4, FALSE)</f>
        <v/>
      </c>
      <c r="G53" s="11" t="s">
        <v>299</v>
      </c>
      <c r="H53" s="11" t="str">
        <f>VLOOKUP($G53, 'ADP Data'!$C$4:$Q$300, 2, FALSE)</f>
        <v>NE</v>
      </c>
      <c r="I53" s="11">
        <f>VLOOKUP(G53, 'ADP Data'!$C$4:$R$498, 12, FALSE)</f>
        <v>67</v>
      </c>
      <c r="J53" s="49" t="str">
        <f>VLOOKUP($G53, SeanRanks!$A$2:$H$303, 5, FALSE)</f>
        <v/>
      </c>
      <c r="K53" s="11" t="str">
        <f>IF(VLOOKUP($G53, SeanRanks!$A$2:$H$303, 6, FALSE)=0, "", VLOOKUP($G53, SeanRanks!$A$2:$H$303, 6, FALSE))</f>
        <v>WR3 - 3 - lower ceiling</v>
      </c>
      <c r="L53" s="11">
        <f t="shared" si="5"/>
        <v>12</v>
      </c>
      <c r="M53" s="11">
        <f>VLOOKUP($G53, 'ADP Data'!$C$4:$Q$300, 9, FALSE)</f>
        <v>89</v>
      </c>
      <c r="N53" s="11">
        <f t="shared" si="6"/>
        <v>2</v>
      </c>
      <c r="O53" s="11">
        <f>VLOOKUP($G53, 'ADP Data'!$C$4:$Q$300, 3, FALSE)</f>
        <v>91</v>
      </c>
      <c r="P53" s="11">
        <f t="shared" si="7"/>
        <v>-2</v>
      </c>
      <c r="Q53" s="11">
        <f>VLOOKUP($G53, 'ADP Data'!$C$4:$Q$300, 4, FALSE)</f>
        <v>88</v>
      </c>
      <c r="R53" s="11">
        <f>VLOOKUP($G53, 'ADP Data'!$C$4:$Q$300, 5, FALSE)</f>
        <v>89</v>
      </c>
      <c r="S53" s="11">
        <f>VLOOKUP($G53, 'ADP Data'!$C$4:$Q$300, 6, FALSE)</f>
        <v>85</v>
      </c>
      <c r="T53" s="11">
        <f>VLOOKUP($G53, 'ADP Data'!$C$4:$Q$300, 7, FALSE)</f>
        <v>77</v>
      </c>
      <c r="U53" s="11">
        <f>VLOOKUP($G53, 'ADP Data'!$C$4:$Q$300, 8, FALSE)</f>
        <v>95</v>
      </c>
      <c r="V53" s="11">
        <f t="shared" si="8"/>
        <v>87</v>
      </c>
      <c r="W53" s="11">
        <f t="shared" si="9"/>
        <v>11</v>
      </c>
      <c r="X53" s="11">
        <f t="shared" si="10"/>
        <v>-7</v>
      </c>
      <c r="Y53" s="11">
        <f>VLOOKUP($G53, SeanRanks!$A$2:$K$303, 10, FALSE)-V53</f>
        <v>-10</v>
      </c>
      <c r="Z53" s="29">
        <f>IF(VLOOKUP($G53, SeanRanks!$A$2:$H$303, 7, FALSE)=0, "", VLOOKUP($G53, SeanRanks!$A$2:$H$303, 7, FALSE))</f>
        <v>38</v>
      </c>
    </row>
    <row r="54" ht="14.25" customHeight="1">
      <c r="A54" s="11"/>
      <c r="B54" s="11">
        <f t="shared" si="4"/>
        <v>4</v>
      </c>
      <c r="C54" s="11" t="s">
        <v>95</v>
      </c>
      <c r="D54" s="11">
        <v>4.0</v>
      </c>
      <c r="E54" s="11" t="s">
        <v>151</v>
      </c>
      <c r="F54" s="11" t="str">
        <f>VLOOKUP(G54, SeanRanks!$A$2:$E$302, 4, FALSE)</f>
        <v/>
      </c>
      <c r="G54" s="11" t="s">
        <v>101</v>
      </c>
      <c r="H54" s="11" t="str">
        <f>VLOOKUP($G54, 'ADP Data'!$C$4:$Q$300, 2, FALSE)</f>
        <v>SEA</v>
      </c>
      <c r="I54" s="11">
        <f>VLOOKUP(G54, 'ADP Data'!$C$4:$R$498, 12, FALSE)</f>
        <v>39</v>
      </c>
      <c r="J54" s="52" t="str">
        <f>VLOOKUP($G54, SeanRanks!$A$2:$H$303, 5, FALSE)</f>
        <v/>
      </c>
      <c r="K54" s="11" t="str">
        <f>IF(VLOOKUP($G54, SeanRanks!$A$2:$H$303, 6, FALSE)=0, "", VLOOKUP($G54, SeanRanks!$A$2:$H$303, 6, FALSE))</f>
        <v>RB2 - 1 - Clear path to spikes</v>
      </c>
      <c r="L54" s="11">
        <f t="shared" si="5"/>
        <v>6</v>
      </c>
      <c r="M54" s="11">
        <f>VLOOKUP($G54, 'ADP Data'!$C$4:$Q$300, 9, FALSE)</f>
        <v>43</v>
      </c>
      <c r="N54" s="11">
        <f t="shared" si="6"/>
        <v>2</v>
      </c>
      <c r="O54" s="11">
        <f>VLOOKUP($G54, 'ADP Data'!$C$4:$Q$300, 3, FALSE)</f>
        <v>33</v>
      </c>
      <c r="P54" s="11">
        <f t="shared" si="7"/>
        <v>10</v>
      </c>
      <c r="Q54" s="11">
        <f>VLOOKUP($G54, 'ADP Data'!$C$4:$Q$300, 4, FALSE)</f>
        <v>47</v>
      </c>
      <c r="R54" s="11">
        <f>VLOOKUP($G54, 'ADP Data'!$C$4:$Q$300, 5, FALSE)</f>
        <v>55</v>
      </c>
      <c r="S54" s="11">
        <f>VLOOKUP($G54, 'ADP Data'!$C$4:$Q$300, 6, FALSE)</f>
        <v>34</v>
      </c>
      <c r="T54" s="11">
        <f>VLOOKUP($G54, 'ADP Data'!$C$4:$Q$300, 7, FALSE)</f>
        <v>41</v>
      </c>
      <c r="U54" s="11">
        <f>VLOOKUP($G54, 'ADP Data'!$C$4:$Q$300, 8, FALSE)</f>
        <v>40</v>
      </c>
      <c r="V54" s="11">
        <f t="shared" si="8"/>
        <v>41</v>
      </c>
      <c r="W54" s="11">
        <f t="shared" si="9"/>
        <v>6</v>
      </c>
      <c r="X54" s="11">
        <f t="shared" si="10"/>
        <v>-2</v>
      </c>
      <c r="Y54" s="11">
        <f>VLOOKUP($G54, SeanRanks!$A$2:$K$303, 10, FALSE)-V54</f>
        <v>-3</v>
      </c>
      <c r="Z54" s="29">
        <f>IF(VLOOKUP($G54, SeanRanks!$A$2:$H$303, 7, FALSE)=0, "", VLOOKUP($G54, SeanRanks!$A$2:$H$303, 7, FALSE))</f>
        <v>13</v>
      </c>
    </row>
    <row r="55" ht="14.25" customHeight="1">
      <c r="A55" s="11"/>
      <c r="B55" s="11">
        <f t="shared" si="4"/>
        <v>4</v>
      </c>
      <c r="C55" s="11" t="s">
        <v>95</v>
      </c>
      <c r="D55" s="11">
        <v>4.0</v>
      </c>
      <c r="E55" s="11" t="s">
        <v>151</v>
      </c>
      <c r="F55" s="11" t="str">
        <f>VLOOKUP(G55, SeanRanks!$A$2:$E$302, 4, FALSE)</f>
        <v/>
      </c>
      <c r="G55" s="11" t="s">
        <v>416</v>
      </c>
      <c r="H55" s="11" t="str">
        <f>VLOOKUP($G55, 'ADP Data'!$C$4:$Q$300, 2, FALSE)</f>
        <v>NO</v>
      </c>
      <c r="I55" s="11">
        <f>VLOOKUP(G55, 'ADP Data'!$C$4:$R$498, 12, FALSE)</f>
        <v>52</v>
      </c>
      <c r="J55" s="52" t="str">
        <f>VLOOKUP($G55, SeanRanks!$A$2:$H$303, 5, FALSE)</f>
        <v/>
      </c>
      <c r="K55" s="11" t="str">
        <f>IF(VLOOKUP($G55, SeanRanks!$A$2:$H$303, 6, FALSE)=0, "", VLOOKUP($G55, SeanRanks!$A$2:$H$303, 6, FALSE))</f>
        <v>RB2 - 1 - Clear path to spikes</v>
      </c>
      <c r="L55" s="11">
        <f t="shared" si="5"/>
        <v>6</v>
      </c>
      <c r="M55" s="11">
        <f>VLOOKUP($G55, 'ADP Data'!$C$4:$Q$300, 9, FALSE)</f>
        <v>40</v>
      </c>
      <c r="N55" s="11">
        <f t="shared" si="6"/>
        <v>-1</v>
      </c>
      <c r="O55" s="11">
        <f>VLOOKUP($G55, 'ADP Data'!$C$4:$Q$300, 3, FALSE)</f>
        <v>28</v>
      </c>
      <c r="P55" s="11">
        <f t="shared" si="7"/>
        <v>12</v>
      </c>
      <c r="Q55" s="11">
        <f>VLOOKUP($G55, 'ADP Data'!$C$4:$Q$300, 4, FALSE)</f>
        <v>38</v>
      </c>
      <c r="R55" s="11">
        <f>VLOOKUP($G55, 'ADP Data'!$C$4:$Q$300, 5, FALSE)</f>
        <v>53</v>
      </c>
      <c r="S55" s="11">
        <f>VLOOKUP($G55, 'ADP Data'!$C$4:$Q$300, 6, FALSE)</f>
        <v>37</v>
      </c>
      <c r="T55" s="11">
        <f>VLOOKUP($G55, 'ADP Data'!$C$4:$Q$300, 7, FALSE)</f>
        <v>49</v>
      </c>
      <c r="U55" s="11">
        <f>VLOOKUP($G55, 'ADP Data'!$C$4:$Q$300, 8, FALSE)</f>
        <v>44</v>
      </c>
      <c r="V55" s="11">
        <f t="shared" si="8"/>
        <v>41</v>
      </c>
      <c r="W55" s="11">
        <f t="shared" si="9"/>
        <v>6</v>
      </c>
      <c r="X55" s="11">
        <f t="shared" si="10"/>
        <v>-2</v>
      </c>
      <c r="Y55" s="11">
        <f>VLOOKUP($G55, SeanRanks!$A$2:$K$303, 10, FALSE)-V55</f>
        <v>0</v>
      </c>
      <c r="Z55" s="29">
        <f>IF(VLOOKUP($G55, SeanRanks!$A$2:$H$303, 7, FALSE)=0, "", VLOOKUP($G55, SeanRanks!$A$2:$H$303, 7, FALSE))</f>
        <v>18</v>
      </c>
    </row>
    <row r="56" ht="14.25" customHeight="1">
      <c r="A56" s="11" t="s">
        <v>106</v>
      </c>
      <c r="B56" s="11">
        <f t="shared" si="4"/>
        <v>11</v>
      </c>
      <c r="C56" s="11" t="s">
        <v>95</v>
      </c>
      <c r="D56" s="11">
        <v>5.0</v>
      </c>
      <c r="E56" s="11"/>
      <c r="F56" s="11" t="str">
        <f>VLOOKUP(G56, SeanRanks!$A$2:$E$302, 4, FALSE)</f>
        <v/>
      </c>
      <c r="G56" s="11" t="s">
        <v>334</v>
      </c>
      <c r="H56" s="11" t="str">
        <f>VLOOKUP($G56, 'ADP Data'!$C$4:$Q$300, 2, FALSE)</f>
        <v>BUF</v>
      </c>
      <c r="I56" s="11">
        <f>VLOOKUP(G56, 'ADP Data'!$C$4:$R$498, 12, FALSE)</f>
        <v>131</v>
      </c>
      <c r="J56" s="53" t="str">
        <f>VLOOKUP($G56, SeanRanks!$A$2:$H$303, 5, FALSE)</f>
        <v/>
      </c>
      <c r="K56" s="11" t="str">
        <f>IF(VLOOKUP($G56, SeanRanks!$A$2:$H$303, 6, FALSE)=0, "", VLOOKUP($G56, SeanRanks!$A$2:$H$303, 6, FALSE))</f>
        <v/>
      </c>
      <c r="L56" s="11">
        <f t="shared" si="5"/>
        <v>15</v>
      </c>
      <c r="M56" s="11">
        <f>VLOOKUP($G56, 'ADP Data'!$C$4:$Q$300, 9, FALSE)</f>
        <v>119</v>
      </c>
      <c r="N56" s="11">
        <f t="shared" si="6"/>
        <v>-9</v>
      </c>
      <c r="O56" s="11">
        <f>VLOOKUP($G56, 'ADP Data'!$C$4:$Q$300, 3, FALSE)</f>
        <v>142</v>
      </c>
      <c r="P56" s="11">
        <f t="shared" si="7"/>
        <v>-23</v>
      </c>
      <c r="Q56" s="11">
        <f>VLOOKUP($G56, 'ADP Data'!$C$4:$Q$300, 4, FALSE)</f>
        <v>126</v>
      </c>
      <c r="R56" s="11">
        <f>VLOOKUP($G56, 'ADP Data'!$C$4:$Q$300, 5, FALSE)</f>
        <v>142</v>
      </c>
      <c r="S56" s="11">
        <f>VLOOKUP($G56, 'ADP Data'!$C$4:$Q$300, 6, FALSE)</f>
        <v>107</v>
      </c>
      <c r="T56" s="11">
        <f>VLOOKUP($G56, 'ADP Data'!$C$4:$Q$300, 7, FALSE)</f>
        <v>133</v>
      </c>
      <c r="U56" s="11">
        <f>VLOOKUP($G56, 'ADP Data'!$C$4:$Q$300, 8, FALSE)</f>
        <v>128</v>
      </c>
      <c r="V56" s="11">
        <f t="shared" si="8"/>
        <v>128</v>
      </c>
      <c r="W56" s="11">
        <f t="shared" si="9"/>
        <v>17</v>
      </c>
      <c r="X56" s="11">
        <f t="shared" si="10"/>
        <v>-12</v>
      </c>
      <c r="Y56" s="11">
        <f>VLOOKUP($G56, SeanRanks!$A$2:$K$303, 10, FALSE)-V56</f>
        <v>-8</v>
      </c>
      <c r="Z56" s="29" t="str">
        <f>IF(VLOOKUP($G56, SeanRanks!$A$2:$H$303, 7, FALSE)=0, "", VLOOKUP($G56, SeanRanks!$A$2:$H$303, 7, FALSE))</f>
        <v/>
      </c>
    </row>
    <row r="57" ht="14.25" customHeight="1">
      <c r="A57" s="11" t="s">
        <v>106</v>
      </c>
      <c r="B57" s="11">
        <f t="shared" si="4"/>
        <v>21</v>
      </c>
      <c r="C57" s="11" t="s">
        <v>95</v>
      </c>
      <c r="D57" s="11">
        <v>3.0</v>
      </c>
      <c r="E57" s="11"/>
      <c r="F57" s="11" t="str">
        <f>VLOOKUP(G57, SeanRanks!$A$2:$E$302, 4, FALSE)</f>
        <v/>
      </c>
      <c r="G57" s="11" t="s">
        <v>796</v>
      </c>
      <c r="H57" s="11" t="str">
        <f>VLOOKUP($G57, 'ADP Data'!$C$4:$Q$300, 2, FALSE)</f>
        <v>LV</v>
      </c>
      <c r="I57" s="11">
        <f>VLOOKUP(G57, 'ADP Data'!$C$4:$R$498, 12, FALSE)</f>
        <v>197</v>
      </c>
      <c r="J57" s="40" t="str">
        <f>VLOOKUP($G57, SeanRanks!$A$2:$H$303, 5, FALSE)</f>
        <v/>
      </c>
      <c r="K57" s="11" t="str">
        <f>IF(VLOOKUP($G57, SeanRanks!$A$2:$H$303, 6, FALSE)=0, "", VLOOKUP($G57, SeanRanks!$A$2:$H$303, 6, FALSE))</f>
        <v/>
      </c>
      <c r="L57" s="11">
        <f t="shared" si="5"/>
        <v>32</v>
      </c>
      <c r="M57" s="11">
        <f>VLOOKUP($G57, 'ADP Data'!$C$4:$Q$300, 9, FALSE)</f>
        <v>250</v>
      </c>
      <c r="N57" s="11">
        <f t="shared" si="6"/>
        <v>17</v>
      </c>
      <c r="O57" s="11">
        <f>VLOOKUP($G57, 'ADP Data'!$C$4:$Q$300, 3, FALSE)</f>
        <v>143</v>
      </c>
      <c r="P57" s="11">
        <f t="shared" si="7"/>
        <v>107</v>
      </c>
      <c r="Q57" s="11">
        <f>VLOOKUP($G57, 'ADP Data'!$C$4:$Q$300, 4, FALSE)</f>
        <v>189</v>
      </c>
      <c r="R57" s="11">
        <f>VLOOKUP($G57, 'ADP Data'!$C$4:$Q$300, 5, FALSE)</f>
        <v>308</v>
      </c>
      <c r="S57" s="11">
        <f>VLOOKUP($G57, 'ADP Data'!$C$4:$Q$300, 6, FALSE)</f>
        <v>227</v>
      </c>
      <c r="T57" s="11">
        <f>VLOOKUP($G57, 'ADP Data'!$C$4:$Q$300, 7, FALSE)</f>
        <v>229</v>
      </c>
      <c r="U57" s="11">
        <f>VLOOKUP($G57, 'ADP Data'!$C$4:$Q$300, 8, FALSE)</f>
        <v>290</v>
      </c>
      <c r="V57" s="11">
        <f t="shared" si="8"/>
        <v>233</v>
      </c>
      <c r="W57" s="11">
        <f t="shared" si="9"/>
        <v>30</v>
      </c>
      <c r="X57" s="11">
        <f t="shared" si="10"/>
        <v>-27</v>
      </c>
      <c r="Y57" s="11">
        <f>VLOOKUP($G57, SeanRanks!$A$2:$K$303, 10, FALSE)-V57</f>
        <v>17</v>
      </c>
      <c r="Z57" s="29" t="str">
        <f>IF(VLOOKUP($G57, SeanRanks!$A$2:$H$303, 7, FALSE)=0, "", VLOOKUP($G57, SeanRanks!$A$2:$H$303, 7, FALSE))</f>
        <v/>
      </c>
    </row>
    <row r="58" ht="14.25" customHeight="1">
      <c r="A58" s="11"/>
      <c r="B58" s="11">
        <f t="shared" si="4"/>
        <v>12</v>
      </c>
      <c r="C58" s="11" t="s">
        <v>95</v>
      </c>
      <c r="D58" s="11">
        <v>6.0</v>
      </c>
      <c r="E58" s="11"/>
      <c r="F58" s="11" t="str">
        <f>VLOOKUP(G58, SeanRanks!$A$2:$E$302, 4, FALSE)</f>
        <v/>
      </c>
      <c r="G58" s="11" t="s">
        <v>424</v>
      </c>
      <c r="H58" s="11" t="str">
        <f>VLOOKUP($G58, 'ADP Data'!$C$4:$Q$300, 2, FALSE)</f>
        <v>HOU</v>
      </c>
      <c r="I58" s="11">
        <f>VLOOKUP(G58, 'ADP Data'!$C$4:$R$498, 12, FALSE)</f>
        <v>129</v>
      </c>
      <c r="J58" s="54" t="str">
        <f>VLOOKUP($G58, SeanRanks!$A$2:$H$303, 5, FALSE)</f>
        <v/>
      </c>
      <c r="K58" s="11" t="str">
        <f>IF(VLOOKUP($G58, SeanRanks!$A$2:$H$303, 6, FALSE)=0, "", VLOOKUP($G58, SeanRanks!$A$2:$H$303, 6, FALSE))</f>
        <v>QB2 - 2 - Not League Winner</v>
      </c>
      <c r="L58" s="11">
        <f t="shared" si="5"/>
        <v>16</v>
      </c>
      <c r="M58" s="11">
        <f>VLOOKUP($G58, 'ADP Data'!$C$4:$Q$300, 9, FALSE)</f>
        <v>125</v>
      </c>
      <c r="N58" s="11">
        <f t="shared" si="6"/>
        <v>-8</v>
      </c>
      <c r="O58" s="11">
        <f>VLOOKUP($G58, 'ADP Data'!$C$4:$Q$300, 3, FALSE)</f>
        <v>135</v>
      </c>
      <c r="P58" s="11">
        <f t="shared" si="7"/>
        <v>-10</v>
      </c>
      <c r="Q58" s="11">
        <f>VLOOKUP($G58, 'ADP Data'!$C$4:$Q$300, 4, FALSE)</f>
        <v>127</v>
      </c>
      <c r="R58" s="11">
        <f>VLOOKUP($G58, 'ADP Data'!$C$4:$Q$300, 5, FALSE)</f>
        <v>141</v>
      </c>
      <c r="S58" s="11">
        <f>VLOOKUP($G58, 'ADP Data'!$C$4:$Q$300, 6, FALSE)</f>
        <v>142</v>
      </c>
      <c r="T58" s="11">
        <f>VLOOKUP($G58, 'ADP Data'!$C$4:$Q$300, 7, FALSE)</f>
        <v>131</v>
      </c>
      <c r="U58" s="11">
        <f>VLOOKUP($G58, 'ADP Data'!$C$4:$Q$300, 8, FALSE)</f>
        <v>132</v>
      </c>
      <c r="V58" s="11">
        <f t="shared" si="8"/>
        <v>133</v>
      </c>
      <c r="W58" s="11">
        <f t="shared" si="9"/>
        <v>17</v>
      </c>
      <c r="X58" s="11">
        <f t="shared" si="10"/>
        <v>-11</v>
      </c>
      <c r="Y58" s="11">
        <f>VLOOKUP($G58, SeanRanks!$A$2:$K$303, 10, FALSE)-V58</f>
        <v>-4</v>
      </c>
      <c r="Z58" s="29">
        <f>IF(VLOOKUP($G58, SeanRanks!$A$2:$H$303, 7, FALSE)=0, "", VLOOKUP($G58, SeanRanks!$A$2:$H$303, 7, FALSE))</f>
        <v>18</v>
      </c>
    </row>
    <row r="59" ht="14.25" customHeight="1">
      <c r="A59" s="11"/>
      <c r="B59" s="11">
        <f t="shared" si="4"/>
        <v>21</v>
      </c>
      <c r="C59" s="11" t="s">
        <v>95</v>
      </c>
      <c r="D59" s="11"/>
      <c r="E59" s="27"/>
      <c r="F59" s="11" t="str">
        <f>VLOOKUP(G59, SeanRanks!$A$2:$E$302, 4, FALSE)</f>
        <v/>
      </c>
      <c r="G59" s="11" t="s">
        <v>798</v>
      </c>
      <c r="H59" s="11" t="str">
        <f>VLOOKUP($G59, 'ADP Data'!$C$4:$Q$300, 2, FALSE)</f>
        <v>IND</v>
      </c>
      <c r="I59" s="11">
        <f>VLOOKUP(G59, 'ADP Data'!$C$4:$R$498, 12, FALSE)</f>
        <v>227</v>
      </c>
      <c r="J59" s="54" t="str">
        <f>VLOOKUP($G59, SeanRanks!$A$2:$H$303, 5, FALSE)</f>
        <v/>
      </c>
      <c r="K59" s="11" t="str">
        <f>IF(VLOOKUP($G59, SeanRanks!$A$2:$H$303, 6, FALSE)=0, "", VLOOKUP($G59, SeanRanks!$A$2:$H$303, 6, FALSE))</f>
        <v>QB3 - League Winner?</v>
      </c>
      <c r="L59" s="11">
        <f t="shared" si="5"/>
        <v>29</v>
      </c>
      <c r="M59" s="11">
        <f>VLOOKUP($G59, 'ADP Data'!$C$4:$Q$300, 9, FALSE)</f>
        <v>224</v>
      </c>
      <c r="N59" s="11">
        <f t="shared" si="6"/>
        <v>-18</v>
      </c>
      <c r="O59" s="11" t="str">
        <f>VLOOKUP($G59, 'ADP Data'!$C$4:$Q$300, 3, FALSE)</f>
        <v>-</v>
      </c>
      <c r="P59" s="11" t="str">
        <f t="shared" si="7"/>
        <v>#VALUE!</v>
      </c>
      <c r="Q59" s="11">
        <f>VLOOKUP($G59, 'ADP Data'!$C$4:$Q$300, 4, FALSE)</f>
        <v>241</v>
      </c>
      <c r="R59" s="11">
        <f>VLOOKUP($G59, 'ADP Data'!$C$4:$Q$300, 5, FALSE)</f>
        <v>284</v>
      </c>
      <c r="S59" s="11">
        <f>VLOOKUP($G59, 'ADP Data'!$C$4:$Q$300, 6, FALSE)</f>
        <v>248</v>
      </c>
      <c r="T59" s="11">
        <f>VLOOKUP($G59, 'ADP Data'!$C$4:$Q$300, 7, FALSE)</f>
        <v>230</v>
      </c>
      <c r="U59" s="11">
        <f>VLOOKUP($G59, 'ADP Data'!$C$4:$Q$300, 8, FALSE)</f>
        <v>228</v>
      </c>
      <c r="V59" s="11">
        <f t="shared" si="8"/>
        <v>242</v>
      </c>
      <c r="W59" s="11">
        <f t="shared" si="9"/>
        <v>31</v>
      </c>
      <c r="X59" s="11">
        <f t="shared" si="10"/>
        <v>-31</v>
      </c>
      <c r="Y59" s="11" t="str">
        <f>VLOOKUP($G59, SeanRanks!$A$2:$K$303, 10, FALSE)-V59</f>
        <v>#VALUE!</v>
      </c>
      <c r="Z59" s="29" t="str">
        <f>IF(VLOOKUP($G59, SeanRanks!$A$2:$H$303, 7, FALSE)=0, "", VLOOKUP($G59, SeanRanks!$A$2:$H$303, 7, FALSE))</f>
        <v/>
      </c>
    </row>
    <row r="60" ht="14.25" customHeight="1">
      <c r="A60" s="11"/>
      <c r="B60" s="11" t="str">
        <f t="shared" si="4"/>
        <v>#N/A</v>
      </c>
      <c r="C60" s="11" t="s">
        <v>95</v>
      </c>
      <c r="D60" s="11"/>
      <c r="E60" s="11"/>
      <c r="F60" s="11" t="str">
        <f>VLOOKUP(G60, SeanRanks!$A$2:$E$302, 4, FALSE)</f>
        <v>#N/A</v>
      </c>
      <c r="G60" s="11" t="s">
        <v>472</v>
      </c>
      <c r="H60" s="11" t="str">
        <f>VLOOKUP($G60, 'ADP Data'!$C$4:$Q$300, 2, FALSE)</f>
        <v>#N/A</v>
      </c>
      <c r="I60" s="11" t="str">
        <f>VLOOKUP(G60, 'ADP Data'!$C$4:$R$498, 12, FALSE)</f>
        <v>#N/A</v>
      </c>
      <c r="J60" s="49" t="str">
        <f>VLOOKUP($G60, SeanRanks!$A$2:$H$303, 5, FALSE)</f>
        <v>#N/A</v>
      </c>
      <c r="K60" s="11" t="str">
        <f>IF(VLOOKUP($G60, SeanRanks!$A$2:$H$303, 6, FALSE)=0, "", VLOOKUP($G60, SeanRanks!$A$2:$H$303, 6, FALSE))</f>
        <v>#N/A</v>
      </c>
      <c r="L60" s="11">
        <f t="shared" si="5"/>
        <v>16</v>
      </c>
      <c r="M60" s="11" t="str">
        <f>VLOOKUP($G60, 'ADP Data'!$C$4:$Q$300, 9, FALSE)</f>
        <v>#N/A</v>
      </c>
      <c r="N60" s="11" t="str">
        <f t="shared" si="6"/>
        <v>#N/A</v>
      </c>
      <c r="O60" s="11" t="str">
        <f>VLOOKUP($G60, 'ADP Data'!$C$4:$Q$300, 3, FALSE)</f>
        <v>#N/A</v>
      </c>
      <c r="P60" s="11" t="str">
        <f t="shared" si="7"/>
        <v>#N/A</v>
      </c>
      <c r="Q60" s="11" t="str">
        <f>VLOOKUP($G60, 'ADP Data'!$C$4:$Q$300, 4, FALSE)</f>
        <v>#N/A</v>
      </c>
      <c r="R60" s="11" t="str">
        <f>VLOOKUP($G60, 'ADP Data'!$C$4:$Q$300, 5, FALSE)</f>
        <v>#N/A</v>
      </c>
      <c r="S60" s="11" t="str">
        <f>VLOOKUP($G60, 'ADP Data'!$C$4:$Q$300, 6, FALSE)</f>
        <v>#N/A</v>
      </c>
      <c r="T60" s="11" t="str">
        <f>VLOOKUP($G60, 'ADP Data'!$C$4:$Q$300, 7, FALSE)</f>
        <v>#N/A</v>
      </c>
      <c r="U60" s="11" t="str">
        <f>VLOOKUP($G60, 'ADP Data'!$C$4:$Q$300, 8, FALSE)</f>
        <v>#N/A</v>
      </c>
      <c r="V60" s="11" t="str">
        <f t="shared" si="8"/>
        <v>#N/A</v>
      </c>
      <c r="W60" s="11">
        <f t="shared" si="9"/>
        <v>16</v>
      </c>
      <c r="X60" s="11">
        <f t="shared" si="10"/>
        <v>-16</v>
      </c>
      <c r="Y60" s="11" t="str">
        <f>VLOOKUP($G60, SeanRanks!$A$2:$K$303, 10, FALSE)-V60</f>
        <v>#N/A</v>
      </c>
      <c r="Z60" s="29" t="str">
        <f>IF(VLOOKUP($G60, SeanRanks!$A$2:$H$303, 7, FALSE)=0, "", VLOOKUP($G60, SeanRanks!$A$2:$H$303, 7, FALSE))</f>
        <v>#N/A</v>
      </c>
    </row>
    <row r="61" ht="14.25" customHeight="1">
      <c r="A61" s="11"/>
      <c r="B61" s="11">
        <f t="shared" si="4"/>
        <v>4</v>
      </c>
      <c r="C61" s="11" t="s">
        <v>95</v>
      </c>
      <c r="D61" s="11">
        <v>5.0</v>
      </c>
      <c r="E61" s="11"/>
      <c r="F61" s="11" t="str">
        <f>VLOOKUP(G61, SeanRanks!$A$2:$E$302, 4, FALSE)</f>
        <v/>
      </c>
      <c r="G61" s="11" t="s">
        <v>284</v>
      </c>
      <c r="H61" s="11" t="str">
        <f>VLOOKUP($G61, 'ADP Data'!$C$4:$Q$300, 2, FALSE)</f>
        <v>SF</v>
      </c>
      <c r="I61" s="11">
        <f>VLOOKUP(G61, 'ADP Data'!$C$4:$R$498, 12, FALSE)</f>
        <v>34</v>
      </c>
      <c r="J61" s="53" t="str">
        <f>VLOOKUP($G61, SeanRanks!$A$2:$H$303, 5, FALSE)</f>
        <v/>
      </c>
      <c r="K61" s="11" t="str">
        <f>IF(VLOOKUP($G61, SeanRanks!$A$2:$H$303, 6, FALSE)=0, "", VLOOKUP($G61, SeanRanks!$A$2:$H$303, 6, FALSE))</f>
        <v>TE1 - 1 - Elite</v>
      </c>
      <c r="L61" s="11">
        <f t="shared" si="5"/>
        <v>5</v>
      </c>
      <c r="M61" s="11">
        <f>VLOOKUP($G61, 'ADP Data'!$C$4:$Q$300, 9, FALSE)</f>
        <v>38</v>
      </c>
      <c r="N61" s="11">
        <f t="shared" si="6"/>
        <v>1</v>
      </c>
      <c r="O61" s="11">
        <f>VLOOKUP($G61, 'ADP Data'!$C$4:$Q$300, 3, FALSE)</f>
        <v>38</v>
      </c>
      <c r="P61" s="11">
        <f t="shared" si="7"/>
        <v>0</v>
      </c>
      <c r="Q61" s="11">
        <f>VLOOKUP($G61, 'ADP Data'!$C$4:$Q$300, 4, FALSE)</f>
        <v>35</v>
      </c>
      <c r="R61" s="11">
        <f>VLOOKUP($G61, 'ADP Data'!$C$4:$Q$300, 5, FALSE)</f>
        <v>49</v>
      </c>
      <c r="S61" s="11">
        <f>VLOOKUP($G61, 'ADP Data'!$C$4:$Q$300, 6, FALSE)</f>
        <v>24</v>
      </c>
      <c r="T61" s="11">
        <f>VLOOKUP($G61, 'ADP Data'!$C$4:$Q$300, 7, FALSE)</f>
        <v>40</v>
      </c>
      <c r="U61" s="11">
        <f>VLOOKUP($G61, 'ADP Data'!$C$4:$Q$300, 8, FALSE)</f>
        <v>38</v>
      </c>
      <c r="V61" s="11">
        <f t="shared" si="8"/>
        <v>37</v>
      </c>
      <c r="W61" s="11">
        <f t="shared" si="9"/>
        <v>5</v>
      </c>
      <c r="X61" s="11">
        <f t="shared" si="10"/>
        <v>0</v>
      </c>
      <c r="Y61" s="11">
        <f>VLOOKUP($G61, SeanRanks!$A$2:$K$303, 10, FALSE)-V61</f>
        <v>-12</v>
      </c>
      <c r="Z61" s="29">
        <f>IF(VLOOKUP($G61, SeanRanks!$A$2:$H$303, 7, FALSE)=0, "", VLOOKUP($G61, SeanRanks!$A$2:$H$303, 7, FALSE))</f>
        <v>3</v>
      </c>
    </row>
    <row r="62" ht="14.25" customHeight="1">
      <c r="A62" s="11"/>
      <c r="B62" s="11">
        <f t="shared" si="4"/>
        <v>6</v>
      </c>
      <c r="C62" s="11" t="s">
        <v>95</v>
      </c>
      <c r="D62" s="11">
        <v>4.0</v>
      </c>
      <c r="E62" s="11"/>
      <c r="F62" s="11" t="str">
        <f>VLOOKUP(G62, SeanRanks!$A$2:$E$302, 4, FALSE)</f>
        <v/>
      </c>
      <c r="G62" s="11" t="s">
        <v>150</v>
      </c>
      <c r="H62" s="11" t="str">
        <f>VLOOKUP($G62, 'ADP Data'!$C$4:$Q$300, 2, FALSE)</f>
        <v>BAL</v>
      </c>
      <c r="I62" s="11">
        <f>VLOOKUP(G62, 'ADP Data'!$C$4:$R$498, 12, FALSE)</f>
        <v>59</v>
      </c>
      <c r="J62" s="49" t="str">
        <f>VLOOKUP($G62, SeanRanks!$A$2:$H$303, 5, FALSE)</f>
        <v/>
      </c>
      <c r="K62" s="11" t="str">
        <f>IF(VLOOKUP($G62, SeanRanks!$A$2:$H$303, 6, FALSE)=0, "", VLOOKUP($G62, SeanRanks!$A$2:$H$303, 6, FALSE))</f>
        <v>WR3 - 1 - </v>
      </c>
      <c r="L62" s="11">
        <f t="shared" si="5"/>
        <v>7</v>
      </c>
      <c r="M62" s="11">
        <f>VLOOKUP($G62, 'ADP Data'!$C$4:$Q$300, 9, FALSE)</f>
        <v>55</v>
      </c>
      <c r="N62" s="11">
        <f t="shared" si="6"/>
        <v>-7</v>
      </c>
      <c r="O62" s="11">
        <f>VLOOKUP($G62, 'ADP Data'!$C$4:$Q$300, 3, FALSE)</f>
        <v>63</v>
      </c>
      <c r="P62" s="11">
        <f t="shared" si="7"/>
        <v>-8</v>
      </c>
      <c r="Q62" s="11">
        <f>VLOOKUP($G62, 'ADP Data'!$C$4:$Q$300, 4, FALSE)</f>
        <v>55</v>
      </c>
      <c r="R62" s="11">
        <f>VLOOKUP($G62, 'ADP Data'!$C$4:$Q$300, 5, FALSE)</f>
        <v>66</v>
      </c>
      <c r="S62" s="11">
        <f>VLOOKUP($G62, 'ADP Data'!$C$4:$Q$300, 6, FALSE)</f>
        <v>65</v>
      </c>
      <c r="T62" s="11">
        <f>VLOOKUP($G62, 'ADP Data'!$C$4:$Q$300, 7, FALSE)</f>
        <v>57</v>
      </c>
      <c r="U62" s="11">
        <f>VLOOKUP($G62, 'ADP Data'!$C$4:$Q$300, 8, FALSE)</f>
        <v>73</v>
      </c>
      <c r="V62" s="11">
        <f t="shared" si="8"/>
        <v>62</v>
      </c>
      <c r="W62" s="11">
        <f t="shared" si="9"/>
        <v>8</v>
      </c>
      <c r="X62" s="11">
        <f t="shared" si="10"/>
        <v>-4</v>
      </c>
      <c r="Y62" s="11">
        <f>VLOOKUP($G62, SeanRanks!$A$2:$K$303, 10, FALSE)-V62</f>
        <v>-10</v>
      </c>
      <c r="Z62" s="29">
        <f>IF(VLOOKUP($G62, SeanRanks!$A$2:$H$303, 7, FALSE)=0, "", VLOOKUP($G62, SeanRanks!$A$2:$H$303, 7, FALSE))</f>
        <v>27</v>
      </c>
    </row>
    <row r="63" ht="14.25" customHeight="1">
      <c r="A63" s="11"/>
      <c r="B63" s="11">
        <f t="shared" si="4"/>
        <v>3</v>
      </c>
      <c r="C63" s="11" t="s">
        <v>95</v>
      </c>
      <c r="D63" s="11">
        <v>4.0</v>
      </c>
      <c r="E63" s="11"/>
      <c r="F63" s="11" t="str">
        <f>VLOOKUP(G63, SeanRanks!$A$2:$E$302, 4, FALSE)</f>
        <v/>
      </c>
      <c r="G63" s="11" t="s">
        <v>158</v>
      </c>
      <c r="H63" s="11" t="str">
        <f>VLOOKUP($G63, 'ADP Data'!$C$4:$Q$300, 2, FALSE)</f>
        <v>CIN</v>
      </c>
      <c r="I63" s="11">
        <f>VLOOKUP(G63, 'ADP Data'!$C$4:$R$498, 12, FALSE)</f>
        <v>25</v>
      </c>
      <c r="J63" s="30" t="str">
        <f>VLOOKUP($G63, SeanRanks!$A$2:$H$303, 5, FALSE)</f>
        <v/>
      </c>
      <c r="K63" s="11" t="str">
        <f>IF(VLOOKUP($G63, SeanRanks!$A$2:$H$303, 6, FALSE)=0, "", VLOOKUP($G63, SeanRanks!$A$2:$H$303, 6, FALSE))</f>
        <v>WR1 - 3 - Inconsistent</v>
      </c>
      <c r="L63" s="11">
        <f t="shared" si="5"/>
        <v>4</v>
      </c>
      <c r="M63" s="11">
        <f>VLOOKUP($G63, 'ADP Data'!$C$4:$Q$300, 9, FALSE)</f>
        <v>31</v>
      </c>
      <c r="N63" s="11">
        <f t="shared" si="6"/>
        <v>1</v>
      </c>
      <c r="O63" s="11">
        <f>VLOOKUP($G63, 'ADP Data'!$C$4:$Q$300, 3, FALSE)</f>
        <v>32</v>
      </c>
      <c r="P63" s="11">
        <f t="shared" si="7"/>
        <v>-1</v>
      </c>
      <c r="Q63" s="11">
        <f>VLOOKUP($G63, 'ADP Data'!$C$4:$Q$300, 4, FALSE)</f>
        <v>26</v>
      </c>
      <c r="R63" s="11">
        <f>VLOOKUP($G63, 'ADP Data'!$C$4:$Q$300, 5, FALSE)</f>
        <v>33</v>
      </c>
      <c r="S63" s="11">
        <f>VLOOKUP($G63, 'ADP Data'!$C$4:$Q$300, 6, FALSE)</f>
        <v>30</v>
      </c>
      <c r="T63" s="11">
        <f>VLOOKUP($G63, 'ADP Data'!$C$4:$Q$300, 7, FALSE)</f>
        <v>29</v>
      </c>
      <c r="U63" s="11">
        <f>VLOOKUP($G63, 'ADP Data'!$C$4:$Q$300, 8, FALSE)</f>
        <v>33</v>
      </c>
      <c r="V63" s="11">
        <f t="shared" si="8"/>
        <v>30</v>
      </c>
      <c r="W63" s="11">
        <f t="shared" si="9"/>
        <v>4</v>
      </c>
      <c r="X63" s="11">
        <f t="shared" si="10"/>
        <v>0</v>
      </c>
      <c r="Y63" s="11">
        <f>VLOOKUP($G63, SeanRanks!$A$2:$K$303, 10, FALSE)-V63</f>
        <v>-1</v>
      </c>
      <c r="Z63" s="29">
        <f>IF(VLOOKUP($G63, SeanRanks!$A$2:$H$303, 7, FALSE)=0, "", VLOOKUP($G63, SeanRanks!$A$2:$H$303, 7, FALSE))</f>
        <v>12</v>
      </c>
    </row>
    <row r="64" ht="14.25" customHeight="1">
      <c r="A64" s="11"/>
      <c r="B64" s="11">
        <f t="shared" si="4"/>
        <v>6</v>
      </c>
      <c r="C64" s="11" t="s">
        <v>95</v>
      </c>
      <c r="D64" s="11">
        <v>4.0</v>
      </c>
      <c r="E64" s="11"/>
      <c r="F64" s="11" t="str">
        <f>VLOOKUP(G64, SeanRanks!$A$2:$E$302, 4, FALSE)</f>
        <v/>
      </c>
      <c r="G64" s="11" t="s">
        <v>121</v>
      </c>
      <c r="H64" s="11" t="str">
        <f>VLOOKUP($G64, 'ADP Data'!$C$4:$Q$300, 2, FALSE)</f>
        <v>DAL</v>
      </c>
      <c r="I64" s="11">
        <f>VLOOKUP(G64, 'ADP Data'!$C$4:$R$498, 12, FALSE)</f>
        <v>45</v>
      </c>
      <c r="J64" s="49" t="str">
        <f>VLOOKUP($G64, SeanRanks!$A$2:$H$303, 5, FALSE)</f>
        <v>Yes</v>
      </c>
      <c r="K64" s="11" t="str">
        <f>IF(VLOOKUP($G64, SeanRanks!$A$2:$H$303, 6, FALSE)=0, "", VLOOKUP($G64, SeanRanks!$A$2:$H$303, 6, FALSE))</f>
        <v>WR2 - 2 - Upside with risk</v>
      </c>
      <c r="L64" s="11">
        <f t="shared" si="5"/>
        <v>8</v>
      </c>
      <c r="M64" s="11">
        <f>VLOOKUP($G64, 'ADP Data'!$C$4:$Q$300, 9, FALSE)</f>
        <v>62</v>
      </c>
      <c r="N64" s="11">
        <f t="shared" si="6"/>
        <v>-1</v>
      </c>
      <c r="O64" s="11">
        <f>VLOOKUP($G64, 'ADP Data'!$C$4:$Q$300, 3, FALSE)</f>
        <v>62</v>
      </c>
      <c r="P64" s="11">
        <f t="shared" si="7"/>
        <v>0</v>
      </c>
      <c r="Q64" s="11">
        <f>VLOOKUP($G64, 'ADP Data'!$C$4:$Q$300, 4, FALSE)</f>
        <v>67</v>
      </c>
      <c r="R64" s="11">
        <f>VLOOKUP($G64, 'ADP Data'!$C$4:$Q$300, 5, FALSE)</f>
        <v>73</v>
      </c>
      <c r="S64" s="11">
        <f>VLOOKUP($G64, 'ADP Data'!$C$4:$Q$300, 6, FALSE)</f>
        <v>54</v>
      </c>
      <c r="T64" s="11">
        <f>VLOOKUP($G64, 'ADP Data'!$C$4:$Q$300, 7, FALSE)</f>
        <v>52</v>
      </c>
      <c r="U64" s="11">
        <f>VLOOKUP($G64, 'ADP Data'!$C$4:$Q$300, 8, FALSE)</f>
        <v>75</v>
      </c>
      <c r="V64" s="11">
        <f t="shared" si="8"/>
        <v>63</v>
      </c>
      <c r="W64" s="11">
        <f t="shared" si="9"/>
        <v>8</v>
      </c>
      <c r="X64" s="11">
        <f t="shared" si="10"/>
        <v>-4</v>
      </c>
      <c r="Y64" s="11">
        <f>VLOOKUP($G64, SeanRanks!$A$2:$K$303, 10, FALSE)-V64</f>
        <v>-16</v>
      </c>
      <c r="Z64" s="29">
        <f>IF(VLOOKUP($G64, SeanRanks!$A$2:$H$303, 7, FALSE)=0, "", VLOOKUP($G64, SeanRanks!$A$2:$H$303, 7, FALSE))</f>
        <v>21</v>
      </c>
    </row>
    <row r="65" ht="14.25" customHeight="1">
      <c r="A65" s="11"/>
      <c r="B65" s="11">
        <f t="shared" si="4"/>
        <v>6</v>
      </c>
      <c r="C65" s="11" t="s">
        <v>95</v>
      </c>
      <c r="D65" s="11">
        <v>4.0</v>
      </c>
      <c r="E65" s="11"/>
      <c r="F65" s="11" t="str">
        <f>VLOOKUP(G65, SeanRanks!$A$2:$E$302, 4, FALSE)</f>
        <v/>
      </c>
      <c r="G65" s="11" t="s">
        <v>134</v>
      </c>
      <c r="H65" s="11" t="str">
        <f>VLOOKUP($G65, 'ADP Data'!$C$4:$Q$300, 2, FALSE)</f>
        <v>KC</v>
      </c>
      <c r="I65" s="11">
        <f>VLOOKUP(G65, 'ADP Data'!$C$4:$R$498, 12, FALSE)</f>
        <v>70</v>
      </c>
      <c r="J65" s="49" t="str">
        <f>VLOOKUP($G65, SeanRanks!$A$2:$H$303, 5, FALSE)</f>
        <v>Yes</v>
      </c>
      <c r="K65" s="11" t="str">
        <f>IF(VLOOKUP($G65, SeanRanks!$A$2:$H$303, 6, FALSE)=0, "", VLOOKUP($G65, SeanRanks!$A$2:$H$303, 6, FALSE))</f>
        <v>WR3 - 1 - </v>
      </c>
      <c r="L65" s="11">
        <f t="shared" si="5"/>
        <v>7</v>
      </c>
      <c r="M65" s="11">
        <f>VLOOKUP($G65, 'ADP Data'!$C$4:$Q$300, 9, FALSE)</f>
        <v>49</v>
      </c>
      <c r="N65" s="11">
        <f t="shared" si="6"/>
        <v>-19</v>
      </c>
      <c r="O65" s="11">
        <f>VLOOKUP($G65, 'ADP Data'!$C$4:$Q$300, 3, FALSE)</f>
        <v>84</v>
      </c>
      <c r="P65" s="11">
        <f t="shared" si="7"/>
        <v>-35</v>
      </c>
      <c r="Q65" s="11">
        <f>VLOOKUP($G65, 'ADP Data'!$C$4:$Q$300, 4, FALSE)</f>
        <v>71</v>
      </c>
      <c r="R65" s="11">
        <f>VLOOKUP($G65, 'ADP Data'!$C$4:$Q$300, 5, FALSE)</f>
        <v>98</v>
      </c>
      <c r="S65" s="11">
        <f>VLOOKUP($G65, 'ADP Data'!$C$4:$Q$300, 6, FALSE)</f>
        <v>72</v>
      </c>
      <c r="T65" s="11">
        <f>VLOOKUP($G65, 'ADP Data'!$C$4:$Q$300, 7, FALSE)</f>
        <v>60</v>
      </c>
      <c r="U65" s="11">
        <f>VLOOKUP($G65, 'ADP Data'!$C$4:$Q$300, 8, FALSE)</f>
        <v>47</v>
      </c>
      <c r="V65" s="11">
        <f t="shared" si="8"/>
        <v>68</v>
      </c>
      <c r="W65" s="11">
        <f t="shared" si="9"/>
        <v>9</v>
      </c>
      <c r="X65" s="11">
        <f t="shared" si="10"/>
        <v>-5</v>
      </c>
      <c r="Y65" s="11">
        <f>VLOOKUP($G65, SeanRanks!$A$2:$K$303, 10, FALSE)-V65</f>
        <v>6</v>
      </c>
      <c r="Z65" s="29">
        <f>IF(VLOOKUP($G65, SeanRanks!$A$2:$H$303, 7, FALSE)=0, "", VLOOKUP($G65, SeanRanks!$A$2:$H$303, 7, FALSE))</f>
        <v>29</v>
      </c>
    </row>
    <row r="66" ht="14.25" customHeight="1">
      <c r="A66" s="11"/>
      <c r="B66" s="11">
        <f t="shared" si="4"/>
        <v>12</v>
      </c>
      <c r="C66" s="11" t="s">
        <v>95</v>
      </c>
      <c r="D66" s="11">
        <v>6.0</v>
      </c>
      <c r="E66" s="11"/>
      <c r="F66" s="11" t="str">
        <f>VLOOKUP(G66, SeanRanks!$A$2:$E$302, 4, FALSE)</f>
        <v/>
      </c>
      <c r="G66" s="11" t="s">
        <v>248</v>
      </c>
      <c r="H66" s="11" t="str">
        <f>VLOOKUP($G66, 'ADP Data'!$C$4:$Q$300, 2, FALSE)</f>
        <v>ATL</v>
      </c>
      <c r="I66" s="11">
        <f>VLOOKUP(G66, 'ADP Data'!$C$4:$R$498, 12, FALSE)</f>
        <v>137</v>
      </c>
      <c r="J66" s="55" t="str">
        <f>VLOOKUP($G66, SeanRanks!$A$2:$H$303, 5, FALSE)</f>
        <v>Yes</v>
      </c>
      <c r="K66" s="11" t="str">
        <f>IF(VLOOKUP($G66, SeanRanks!$A$2:$H$303, 6, FALSE)=0, "", VLOOKUP($G66, SeanRanks!$A$2:$H$303, 6, FALSE))</f>
        <v>TE2 - 1 - Big Upside</v>
      </c>
      <c r="L66" s="11">
        <f t="shared" si="5"/>
        <v>16</v>
      </c>
      <c r="M66" s="11">
        <f>VLOOKUP($G66, 'ADP Data'!$C$4:$Q$300, 9, FALSE)</f>
        <v>121</v>
      </c>
      <c r="N66" s="11">
        <f t="shared" si="6"/>
        <v>-15</v>
      </c>
      <c r="O66" s="11">
        <f>VLOOKUP($G66, 'ADP Data'!$C$4:$Q$300, 3, FALSE)</f>
        <v>148</v>
      </c>
      <c r="P66" s="11">
        <f t="shared" si="7"/>
        <v>-27</v>
      </c>
      <c r="Q66" s="11">
        <f>VLOOKUP($G66, 'ADP Data'!$C$4:$Q$300, 4, FALSE)</f>
        <v>141</v>
      </c>
      <c r="R66" s="11">
        <f>VLOOKUP($G66, 'ADP Data'!$C$4:$Q$300, 5, FALSE)</f>
        <v>166</v>
      </c>
      <c r="S66" s="11">
        <f>VLOOKUP($G66, 'ADP Data'!$C$4:$Q$300, 6, FALSE)</f>
        <v>114</v>
      </c>
      <c r="T66" s="11">
        <f>VLOOKUP($G66, 'ADP Data'!$C$4:$Q$300, 7, FALSE)</f>
        <v>136</v>
      </c>
      <c r="U66" s="11">
        <f>VLOOKUP($G66, 'ADP Data'!$C$4:$Q$300, 8, FALSE)</f>
        <v>129</v>
      </c>
      <c r="V66" s="11">
        <f t="shared" si="8"/>
        <v>136</v>
      </c>
      <c r="W66" s="11">
        <f t="shared" si="9"/>
        <v>18</v>
      </c>
      <c r="X66" s="11">
        <f t="shared" si="10"/>
        <v>-12</v>
      </c>
      <c r="Y66" s="11">
        <f>VLOOKUP($G66, SeanRanks!$A$2:$K$303, 10, FALSE)-V66</f>
        <v>23</v>
      </c>
      <c r="Z66" s="29">
        <f>IF(VLOOKUP($G66, SeanRanks!$A$2:$H$303, 7, FALSE)=0, "", VLOOKUP($G66, SeanRanks!$A$2:$H$303, 7, FALSE))</f>
        <v>15</v>
      </c>
    </row>
    <row r="67" ht="14.25" customHeight="1">
      <c r="A67" s="11"/>
      <c r="B67" s="11">
        <f t="shared" si="4"/>
        <v>6</v>
      </c>
      <c r="C67" s="11" t="s">
        <v>95</v>
      </c>
      <c r="D67" s="11">
        <v>4.0</v>
      </c>
      <c r="E67" s="11"/>
      <c r="F67" s="11" t="str">
        <f>VLOOKUP(G67, SeanRanks!$A$2:$E$302, 4, FALSE)</f>
        <v/>
      </c>
      <c r="G67" s="11" t="s">
        <v>185</v>
      </c>
      <c r="H67" s="11" t="str">
        <f>VLOOKUP($G67, 'ADP Data'!$C$4:$Q$300, 2, FALSE)</f>
        <v>DET</v>
      </c>
      <c r="I67" s="11">
        <f>VLOOKUP(G67, 'ADP Data'!$C$4:$R$498, 12, FALSE)</f>
        <v>74</v>
      </c>
      <c r="J67" s="52" t="str">
        <f>VLOOKUP($G67, SeanRanks!$A$2:$H$303, 5, FALSE)</f>
        <v/>
      </c>
      <c r="K67" s="11" t="str">
        <f>IF(VLOOKUP($G67, SeanRanks!$A$2:$H$303, 6, FALSE)=0, "", VLOOKUP($G67, SeanRanks!$A$2:$H$303, 6, FALSE))</f>
        <v>RB2 - 2 - Path to spikes</v>
      </c>
      <c r="L67" s="11">
        <f t="shared" si="5"/>
        <v>7</v>
      </c>
      <c r="M67" s="11">
        <f>VLOOKUP($G67, 'ADP Data'!$C$4:$Q$300, 9, FALSE)</f>
        <v>52</v>
      </c>
      <c r="N67" s="11">
        <f t="shared" si="6"/>
        <v>-11</v>
      </c>
      <c r="O67" s="11">
        <f>VLOOKUP($G67, 'ADP Data'!$C$4:$Q$300, 3, FALSE)</f>
        <v>57</v>
      </c>
      <c r="P67" s="11">
        <f t="shared" si="7"/>
        <v>-5</v>
      </c>
      <c r="Q67" s="11">
        <f>VLOOKUP($G67, 'ADP Data'!$C$4:$Q$300, 4, FALSE)</f>
        <v>59</v>
      </c>
      <c r="R67" s="11">
        <f>VLOOKUP($G67, 'ADP Data'!$C$4:$Q$300, 5, FALSE)</f>
        <v>74</v>
      </c>
      <c r="S67" s="11">
        <f>VLOOKUP($G67, 'ADP Data'!$C$4:$Q$300, 6, FALSE)</f>
        <v>68</v>
      </c>
      <c r="T67" s="11">
        <f>VLOOKUP($G67, 'ADP Data'!$C$4:$Q$300, 7, FALSE)</f>
        <v>70</v>
      </c>
      <c r="U67" s="11">
        <f>VLOOKUP($G67, 'ADP Data'!$C$4:$Q$300, 8, FALSE)</f>
        <v>67</v>
      </c>
      <c r="V67" s="11">
        <f t="shared" si="8"/>
        <v>63</v>
      </c>
      <c r="W67" s="11">
        <f t="shared" si="9"/>
        <v>8</v>
      </c>
      <c r="X67" s="11">
        <f t="shared" si="10"/>
        <v>-4</v>
      </c>
      <c r="Y67" s="11">
        <f>VLOOKUP($G67, SeanRanks!$A$2:$K$303, 10, FALSE)-V67</f>
        <v>-2</v>
      </c>
      <c r="Z67" s="29">
        <f>IF(VLOOKUP($G67, SeanRanks!$A$2:$H$303, 7, FALSE)=0, "", VLOOKUP($G67, SeanRanks!$A$2:$H$303, 7, FALSE))</f>
        <v>21</v>
      </c>
    </row>
    <row r="68" ht="14.25" customHeight="1">
      <c r="A68" s="11"/>
      <c r="B68" s="11">
        <f t="shared" si="4"/>
        <v>5</v>
      </c>
      <c r="C68" s="11" t="s">
        <v>95</v>
      </c>
      <c r="D68" s="11">
        <v>5.0</v>
      </c>
      <c r="E68" s="11" t="s">
        <v>151</v>
      </c>
      <c r="F68" s="11" t="str">
        <f>VLOOKUP(G68, SeanRanks!$A$2:$E$302, 4, FALSE)</f>
        <v/>
      </c>
      <c r="G68" s="11" t="s">
        <v>498</v>
      </c>
      <c r="H68" s="11" t="str">
        <f>VLOOKUP($G68, 'ADP Data'!$C$4:$Q$300, 2, FALSE)</f>
        <v>ARI</v>
      </c>
      <c r="I68" s="11">
        <f>VLOOKUP(G68, 'ADP Data'!$C$4:$R$498, 12, FALSE)</f>
        <v>61</v>
      </c>
      <c r="J68" s="52" t="str">
        <f>VLOOKUP($G68, SeanRanks!$A$2:$H$303, 5, FALSE)</f>
        <v/>
      </c>
      <c r="K68" s="11" t="str">
        <f>IF(VLOOKUP($G68, SeanRanks!$A$2:$H$303, 6, FALSE)=0, "", VLOOKUP($G68, SeanRanks!$A$2:$H$303, 6, FALSE))</f>
        <v>RB2 - 1 - Clear path to spikes</v>
      </c>
      <c r="L68" s="11">
        <f t="shared" si="5"/>
        <v>6</v>
      </c>
      <c r="M68" s="11">
        <f>VLOOKUP($G68, 'ADP Data'!$C$4:$Q$300, 9, FALSE)</f>
        <v>47</v>
      </c>
      <c r="N68" s="11">
        <f t="shared" si="6"/>
        <v>-3</v>
      </c>
      <c r="O68" s="11">
        <f>VLOOKUP($G68, 'ADP Data'!$C$4:$Q$300, 3, FALSE)</f>
        <v>42</v>
      </c>
      <c r="P68" s="11">
        <f t="shared" si="7"/>
        <v>5</v>
      </c>
      <c r="Q68" s="11">
        <f>VLOOKUP($G68, 'ADP Data'!$C$4:$Q$300, 4, FALSE)</f>
        <v>46</v>
      </c>
      <c r="R68" s="11">
        <f>VLOOKUP($G68, 'ADP Data'!$C$4:$Q$300, 5, FALSE)</f>
        <v>65</v>
      </c>
      <c r="S68" s="11">
        <f>VLOOKUP($G68, 'ADP Data'!$C$4:$Q$300, 6, FALSE)</f>
        <v>49</v>
      </c>
      <c r="T68" s="11">
        <f>VLOOKUP($G68, 'ADP Data'!$C$4:$Q$300, 7, FALSE)</f>
        <v>55</v>
      </c>
      <c r="U68" s="11">
        <f>VLOOKUP($G68, 'ADP Data'!$C$4:$Q$300, 8, FALSE)</f>
        <v>49</v>
      </c>
      <c r="V68" s="11">
        <f t="shared" si="8"/>
        <v>50</v>
      </c>
      <c r="W68" s="11">
        <f t="shared" si="9"/>
        <v>7</v>
      </c>
      <c r="X68" s="11">
        <f t="shared" si="10"/>
        <v>-2</v>
      </c>
      <c r="Y68" s="11">
        <f>VLOOKUP($G68, SeanRanks!$A$2:$K$303, 10, FALSE)-V68</f>
        <v>-6</v>
      </c>
      <c r="Z68" s="29">
        <f>IF(VLOOKUP($G68, SeanRanks!$A$2:$H$303, 7, FALSE)=0, "", VLOOKUP($G68, SeanRanks!$A$2:$H$303, 7, FALSE))</f>
        <v>19</v>
      </c>
    </row>
    <row r="69" ht="14.25" customHeight="1">
      <c r="A69" s="11"/>
      <c r="B69" s="11">
        <f t="shared" si="4"/>
        <v>8</v>
      </c>
      <c r="C69" s="11" t="s">
        <v>95</v>
      </c>
      <c r="D69" s="11">
        <v>7.0</v>
      </c>
      <c r="E69" s="11"/>
      <c r="F69" s="11" t="str">
        <f>VLOOKUP(G69, SeanRanks!$A$2:$E$302, 4, FALSE)</f>
        <v/>
      </c>
      <c r="G69" s="11" t="s">
        <v>666</v>
      </c>
      <c r="H69" s="11" t="str">
        <f>VLOOKUP($G69, 'ADP Data'!$C$4:$Q$300, 2, FALSE)</f>
        <v>DEN</v>
      </c>
      <c r="I69" s="11">
        <f>VLOOKUP(G69, 'ADP Data'!$C$4:$R$498, 12, FALSE)</f>
        <v>100</v>
      </c>
      <c r="J69" s="55" t="str">
        <f>VLOOKUP($G69, SeanRanks!$A$2:$H$303, 5, FALSE)</f>
        <v>No</v>
      </c>
      <c r="K69" s="11" t="str">
        <f>IF(VLOOKUP($G69, SeanRanks!$A$2:$H$303, 6, FALSE)=0, "", VLOOKUP($G69, SeanRanks!$A$2:$H$303, 6, FALSE))</f>
        <v>TE1 - 3 - Weekly Start</v>
      </c>
      <c r="L69" s="11">
        <f t="shared" si="5"/>
        <v>11</v>
      </c>
      <c r="M69" s="11">
        <f>VLOOKUP($G69, 'ADP Data'!$C$4:$Q$300, 9, FALSE)</f>
        <v>87</v>
      </c>
      <c r="N69" s="11">
        <f t="shared" si="6"/>
        <v>0</v>
      </c>
      <c r="O69" s="11">
        <f>VLOOKUP($G69, 'ADP Data'!$C$4:$Q$300, 3, FALSE)</f>
        <v>97</v>
      </c>
      <c r="P69" s="11">
        <f t="shared" si="7"/>
        <v>-10</v>
      </c>
      <c r="Q69" s="11">
        <f>VLOOKUP($G69, 'ADP Data'!$C$4:$Q$300, 4, FALSE)</f>
        <v>78</v>
      </c>
      <c r="R69" s="11">
        <f>VLOOKUP($G69, 'ADP Data'!$C$4:$Q$300, 5, FALSE)</f>
        <v>103</v>
      </c>
      <c r="S69" s="11">
        <f>VLOOKUP($G69, 'ADP Data'!$C$4:$Q$300, 6, FALSE)</f>
        <v>75</v>
      </c>
      <c r="T69" s="11">
        <f>VLOOKUP($G69, 'ADP Data'!$C$4:$Q$300, 7, FALSE)</f>
        <v>95</v>
      </c>
      <c r="U69" s="11">
        <f>VLOOKUP($G69, 'ADP Data'!$C$4:$Q$300, 8, FALSE)</f>
        <v>74</v>
      </c>
      <c r="V69" s="11">
        <f t="shared" si="8"/>
        <v>87</v>
      </c>
      <c r="W69" s="11">
        <f t="shared" si="9"/>
        <v>11</v>
      </c>
      <c r="X69" s="11">
        <f t="shared" si="10"/>
        <v>-4</v>
      </c>
      <c r="Y69" s="11">
        <f>VLOOKUP($G69, SeanRanks!$A$2:$K$303, 10, FALSE)-V69</f>
        <v>5</v>
      </c>
      <c r="Z69" s="29">
        <f>IF(VLOOKUP($G69, SeanRanks!$A$2:$H$303, 7, FALSE)=0, "", VLOOKUP($G69, SeanRanks!$A$2:$H$303, 7, FALSE))</f>
        <v>8</v>
      </c>
    </row>
    <row r="70" ht="14.25" customHeight="1">
      <c r="A70" s="11"/>
      <c r="B70" s="11">
        <f t="shared" si="4"/>
        <v>4</v>
      </c>
      <c r="C70" s="11" t="s">
        <v>95</v>
      </c>
      <c r="D70" s="11">
        <v>4.0</v>
      </c>
      <c r="E70" s="11"/>
      <c r="F70" s="11" t="str">
        <f>VLOOKUP(G70, SeanRanks!$A$2:$E$302, 4, FALSE)</f>
        <v/>
      </c>
      <c r="G70" s="11" t="s">
        <v>191</v>
      </c>
      <c r="H70" s="11" t="str">
        <f>VLOOKUP($G70, 'ADP Data'!$C$4:$Q$300, 2, FALSE)</f>
        <v>WAS</v>
      </c>
      <c r="I70" s="11">
        <f>VLOOKUP(G70, 'ADP Data'!$C$4:$R$498, 12, FALSE)</f>
        <v>40</v>
      </c>
      <c r="J70" s="49" t="str">
        <f>VLOOKUP($G70, SeanRanks!$A$2:$H$303, 5, FALSE)</f>
        <v/>
      </c>
      <c r="K70" s="11" t="str">
        <f>IF(VLOOKUP($G70, SeanRanks!$A$2:$H$303, 6, FALSE)=0, "", VLOOKUP($G70, SeanRanks!$A$2:$H$303, 6, FALSE))</f>
        <v>WR2 - 2 - Upside with risk</v>
      </c>
      <c r="L70" s="11">
        <f t="shared" si="5"/>
        <v>6</v>
      </c>
      <c r="M70" s="11">
        <f>VLOOKUP($G70, 'ADP Data'!$C$4:$Q$300, 9, FALSE)</f>
        <v>42</v>
      </c>
      <c r="N70" s="11">
        <f t="shared" si="6"/>
        <v>0</v>
      </c>
      <c r="O70" s="11">
        <f>VLOOKUP($G70, 'ADP Data'!$C$4:$Q$300, 3, FALSE)</f>
        <v>45</v>
      </c>
      <c r="P70" s="11">
        <f t="shared" si="7"/>
        <v>-3</v>
      </c>
      <c r="Q70" s="11">
        <f>VLOOKUP($G70, 'ADP Data'!$C$4:$Q$300, 4, FALSE)</f>
        <v>36</v>
      </c>
      <c r="R70" s="11">
        <f>VLOOKUP($G70, 'ADP Data'!$C$4:$Q$300, 5, FALSE)</f>
        <v>56</v>
      </c>
      <c r="S70" s="11">
        <f>VLOOKUP($G70, 'ADP Data'!$C$4:$Q$300, 6, FALSE)</f>
        <v>46</v>
      </c>
      <c r="T70" s="11">
        <f>VLOOKUP($G70, 'ADP Data'!$C$4:$Q$300, 7, FALSE)</f>
        <v>44</v>
      </c>
      <c r="U70" s="11">
        <f>VLOOKUP($G70, 'ADP Data'!$C$4:$Q$300, 8, FALSE)</f>
        <v>28</v>
      </c>
      <c r="V70" s="11">
        <f t="shared" si="8"/>
        <v>42</v>
      </c>
      <c r="W70" s="11">
        <f t="shared" si="9"/>
        <v>6</v>
      </c>
      <c r="X70" s="11">
        <f t="shared" si="10"/>
        <v>-2</v>
      </c>
      <c r="Y70" s="11">
        <f>VLOOKUP($G70, SeanRanks!$A$2:$K$303, 10, FALSE)-V70</f>
        <v>-6</v>
      </c>
      <c r="Z70" s="29">
        <f>IF(VLOOKUP($G70, SeanRanks!$A$2:$H$303, 7, FALSE)=0, "", VLOOKUP($G70, SeanRanks!$A$2:$H$303, 7, FALSE))</f>
        <v>17</v>
      </c>
    </row>
    <row r="71" ht="14.25" customHeight="1">
      <c r="A71" s="11"/>
      <c r="B71" s="11">
        <f t="shared" si="4"/>
        <v>7</v>
      </c>
      <c r="C71" s="11" t="s">
        <v>95</v>
      </c>
      <c r="D71" s="11">
        <v>5.0</v>
      </c>
      <c r="E71" s="11"/>
      <c r="F71" s="11" t="str">
        <f>VLOOKUP(G71, SeanRanks!$A$2:$E$302, 4, FALSE)</f>
        <v/>
      </c>
      <c r="G71" s="11" t="s">
        <v>350</v>
      </c>
      <c r="H71" s="11" t="str">
        <f>VLOOKUP($G71, 'ADP Data'!$C$4:$Q$300, 2, FALSE)</f>
        <v>MIN</v>
      </c>
      <c r="I71" s="11">
        <f>VLOOKUP(G71, 'ADP Data'!$C$4:$R$498, 12, FALSE)</f>
        <v>75</v>
      </c>
      <c r="J71" s="48" t="str">
        <f>VLOOKUP($G71, SeanRanks!$A$2:$H$303, 5, FALSE)</f>
        <v/>
      </c>
      <c r="K71" s="11" t="str">
        <f>IF(VLOOKUP($G71, SeanRanks!$A$2:$H$303, 6, FALSE)=0, "", VLOOKUP($G71, SeanRanks!$A$2:$H$303, 6, FALSE))</f>
        <v>RB2 - 2 - Path to spikes</v>
      </c>
      <c r="L71" s="11">
        <f t="shared" si="5"/>
        <v>9</v>
      </c>
      <c r="M71" s="11">
        <f>VLOOKUP($G71, 'ADP Data'!$C$4:$Q$300, 9, FALSE)</f>
        <v>65</v>
      </c>
      <c r="N71" s="11">
        <f t="shared" si="6"/>
        <v>-4</v>
      </c>
      <c r="O71" s="11">
        <f>VLOOKUP($G71, 'ADP Data'!$C$4:$Q$300, 3, FALSE)</f>
        <v>56</v>
      </c>
      <c r="P71" s="11">
        <f t="shared" si="7"/>
        <v>9</v>
      </c>
      <c r="Q71" s="11">
        <f>VLOOKUP($G71, 'ADP Data'!$C$4:$Q$300, 4, FALSE)</f>
        <v>70</v>
      </c>
      <c r="R71" s="11">
        <f>VLOOKUP($G71, 'ADP Data'!$C$4:$Q$300, 5, FALSE)</f>
        <v>76</v>
      </c>
      <c r="S71" s="11">
        <f>VLOOKUP($G71, 'ADP Data'!$C$4:$Q$300, 6, FALSE)</f>
        <v>70</v>
      </c>
      <c r="T71" s="11">
        <f>VLOOKUP($G71, 'ADP Data'!$C$4:$Q$300, 7, FALSE)</f>
        <v>74</v>
      </c>
      <c r="U71" s="11">
        <f>VLOOKUP($G71, 'ADP Data'!$C$4:$Q$300, 8, FALSE)</f>
        <v>77</v>
      </c>
      <c r="V71" s="11">
        <f t="shared" si="8"/>
        <v>69</v>
      </c>
      <c r="W71" s="11">
        <f t="shared" si="9"/>
        <v>9</v>
      </c>
      <c r="X71" s="11">
        <f t="shared" si="10"/>
        <v>-4</v>
      </c>
      <c r="Y71" s="11">
        <f>VLOOKUP($G71, SeanRanks!$A$2:$K$303, 10, FALSE)-V71</f>
        <v>1</v>
      </c>
      <c r="Z71" s="29">
        <f>IF(VLOOKUP($G71, SeanRanks!$A$2:$H$303, 7, FALSE)=0, "", VLOOKUP($G71, SeanRanks!$A$2:$H$303, 7, FALSE))</f>
        <v>25</v>
      </c>
    </row>
    <row r="72" ht="14.25" customHeight="1">
      <c r="A72" s="11"/>
      <c r="B72" s="11">
        <f t="shared" si="4"/>
        <v>4</v>
      </c>
      <c r="C72" s="11" t="s">
        <v>95</v>
      </c>
      <c r="D72" s="11">
        <v>6.0</v>
      </c>
      <c r="E72" s="11"/>
      <c r="F72" s="11" t="str">
        <f>VLOOKUP(G72, SeanRanks!$A$2:$E$302, 4, FALSE)</f>
        <v/>
      </c>
      <c r="G72" s="11" t="s">
        <v>212</v>
      </c>
      <c r="H72" s="11" t="str">
        <f>VLOOKUP($G72, 'ADP Data'!$C$4:$Q$300, 2, FALSE)</f>
        <v>CIN</v>
      </c>
      <c r="I72" s="11">
        <f>VLOOKUP(G72, 'ADP Data'!$C$4:$R$498, 12, FALSE)</f>
        <v>53</v>
      </c>
      <c r="J72" s="54" t="str">
        <f>VLOOKUP($G72, SeanRanks!$A$2:$H$303, 5, FALSE)</f>
        <v/>
      </c>
      <c r="K72" s="11" t="str">
        <f>IF(VLOOKUP($G72, SeanRanks!$A$2:$H$303, 6, FALSE)=0, "", VLOOKUP($G72, SeanRanks!$A$2:$H$303, 6, FALSE))</f>
        <v>QB1 - 2 - QB1 Upside</v>
      </c>
      <c r="L72" s="11">
        <f t="shared" si="5"/>
        <v>6</v>
      </c>
      <c r="M72" s="11">
        <f>VLOOKUP($G72, 'ADP Data'!$C$4:$Q$300, 9, FALSE)</f>
        <v>41</v>
      </c>
      <c r="N72" s="11">
        <f t="shared" si="6"/>
        <v>5</v>
      </c>
      <c r="O72" s="11">
        <f>VLOOKUP($G72, 'ADP Data'!$C$4:$Q$300, 3, FALSE)</f>
        <v>25</v>
      </c>
      <c r="P72" s="11">
        <f t="shared" si="7"/>
        <v>16</v>
      </c>
      <c r="Q72" s="11">
        <f>VLOOKUP($G72, 'ADP Data'!$C$4:$Q$300, 4, FALSE)</f>
        <v>33</v>
      </c>
      <c r="R72" s="11">
        <f>VLOOKUP($G72, 'ADP Data'!$C$4:$Q$300, 5, FALSE)</f>
        <v>45</v>
      </c>
      <c r="S72" s="11">
        <f>VLOOKUP($G72, 'ADP Data'!$C$4:$Q$300, 6, FALSE)</f>
        <v>45</v>
      </c>
      <c r="T72" s="11">
        <f>VLOOKUP($G72, 'ADP Data'!$C$4:$Q$300, 7, FALSE)</f>
        <v>32</v>
      </c>
      <c r="U72" s="11">
        <f>VLOOKUP($G72, 'ADP Data'!$C$4:$Q$300, 8, FALSE)</f>
        <v>35</v>
      </c>
      <c r="V72" s="11">
        <f t="shared" si="8"/>
        <v>36</v>
      </c>
      <c r="W72" s="11">
        <f t="shared" si="9"/>
        <v>5</v>
      </c>
      <c r="X72" s="11">
        <f t="shared" si="10"/>
        <v>1</v>
      </c>
      <c r="Y72" s="11">
        <f>VLOOKUP($G72, SeanRanks!$A$2:$K$303, 10, FALSE)-V72</f>
        <v>17</v>
      </c>
      <c r="Z72" s="29">
        <f>IF(VLOOKUP($G72, SeanRanks!$A$2:$H$303, 7, FALSE)=0, "", VLOOKUP($G72, SeanRanks!$A$2:$H$303, 7, FALSE))</f>
        <v>5</v>
      </c>
    </row>
    <row r="73" ht="14.25" customHeight="1">
      <c r="A73" s="11"/>
      <c r="B73" s="11">
        <f t="shared" si="4"/>
        <v>8</v>
      </c>
      <c r="C73" s="11" t="s">
        <v>95</v>
      </c>
      <c r="D73" s="11">
        <v>5.0</v>
      </c>
      <c r="E73" s="11"/>
      <c r="F73" s="11" t="str">
        <f>VLOOKUP(G73, SeanRanks!$A$2:$E$302, 4, FALSE)</f>
        <v/>
      </c>
      <c r="G73" s="11" t="s">
        <v>361</v>
      </c>
      <c r="H73" s="11" t="str">
        <f>VLOOKUP($G73, 'ADP Data'!$C$4:$Q$300, 2, FALSE)</f>
        <v>ARI</v>
      </c>
      <c r="I73" s="11">
        <f>VLOOKUP(G73, 'ADP Data'!$C$4:$R$498, 12, FALSE)</f>
        <v>104</v>
      </c>
      <c r="J73" s="54" t="str">
        <f>VLOOKUP($G73, SeanRanks!$A$2:$H$303, 5, FALSE)</f>
        <v/>
      </c>
      <c r="K73" s="11" t="str">
        <f>IF(VLOOKUP($G73, SeanRanks!$A$2:$H$303, 6, FALSE)=0, "", VLOOKUP($G73, SeanRanks!$A$2:$H$303, 6, FALSE))</f>
        <v>QB1 - 3 - Top 5 Ceiling</v>
      </c>
      <c r="L73" s="11">
        <f t="shared" si="5"/>
        <v>12</v>
      </c>
      <c r="M73" s="11">
        <f>VLOOKUP($G73, 'ADP Data'!$C$4:$Q$300, 9, FALSE)</f>
        <v>91</v>
      </c>
      <c r="N73" s="11">
        <f t="shared" si="6"/>
        <v>0</v>
      </c>
      <c r="O73" s="11">
        <f>VLOOKUP($G73, 'ADP Data'!$C$4:$Q$300, 3, FALSE)</f>
        <v>82</v>
      </c>
      <c r="P73" s="11">
        <f t="shared" si="7"/>
        <v>9</v>
      </c>
      <c r="Q73" s="11">
        <f>VLOOKUP($G73, 'ADP Data'!$C$4:$Q$300, 4, FALSE)</f>
        <v>77</v>
      </c>
      <c r="R73" s="11">
        <f>VLOOKUP($G73, 'ADP Data'!$C$4:$Q$300, 5, FALSE)</f>
        <v>101</v>
      </c>
      <c r="S73" s="11">
        <f>VLOOKUP($G73, 'ADP Data'!$C$4:$Q$300, 6, FALSE)</f>
        <v>105</v>
      </c>
      <c r="T73" s="11">
        <f>VLOOKUP($G73, 'ADP Data'!$C$4:$Q$300, 7, FALSE)</f>
        <v>104</v>
      </c>
      <c r="U73" s="11">
        <f>VLOOKUP($G73, 'ADP Data'!$C$4:$Q$300, 8, FALSE)</f>
        <v>81</v>
      </c>
      <c r="V73" s="11">
        <f t="shared" si="8"/>
        <v>91</v>
      </c>
      <c r="W73" s="11">
        <f t="shared" si="9"/>
        <v>12</v>
      </c>
      <c r="X73" s="11">
        <f t="shared" si="10"/>
        <v>-7</v>
      </c>
      <c r="Y73" s="11">
        <f>VLOOKUP($G73, SeanRanks!$A$2:$K$303, 10, FALSE)-V73</f>
        <v>7</v>
      </c>
      <c r="Z73" s="29">
        <f>IF(VLOOKUP($G73, SeanRanks!$A$2:$H$303, 7, FALSE)=0, "", VLOOKUP($G73, SeanRanks!$A$2:$H$303, 7, FALSE))</f>
        <v>8</v>
      </c>
    </row>
    <row r="74" ht="14.25" customHeight="1">
      <c r="A74" s="11"/>
      <c r="B74" s="11">
        <f t="shared" si="4"/>
        <v>6</v>
      </c>
      <c r="C74" s="11" t="s">
        <v>95</v>
      </c>
      <c r="D74" s="11">
        <v>6.0</v>
      </c>
      <c r="E74" s="11"/>
      <c r="F74" s="11" t="str">
        <f>VLOOKUP(G74, SeanRanks!$A$2:$E$302, 4, FALSE)</f>
        <v/>
      </c>
      <c r="G74" s="11" t="s">
        <v>444</v>
      </c>
      <c r="H74" s="11" t="str">
        <f>VLOOKUP($G74, 'ADP Data'!$C$4:$Q$300, 2, FALSE)</f>
        <v>TEN</v>
      </c>
      <c r="I74" s="11">
        <f>VLOOKUP(G74, 'ADP Data'!$C$4:$R$498, 12, FALSE)</f>
        <v>51</v>
      </c>
      <c r="J74" s="49" t="str">
        <f>VLOOKUP($G74, SeanRanks!$A$2:$H$303, 5, FALSE)</f>
        <v>Yes</v>
      </c>
      <c r="K74" s="11" t="str">
        <f>IF(VLOOKUP($G74, SeanRanks!$A$2:$H$303, 6, FALSE)=0, "", VLOOKUP($G74, SeanRanks!$A$2:$H$303, 6, FALSE))</f>
        <v>WR3 - 1 - </v>
      </c>
      <c r="L74" s="11">
        <f t="shared" si="5"/>
        <v>10</v>
      </c>
      <c r="M74" s="11">
        <f>VLOOKUP($G74, 'ADP Data'!$C$4:$Q$300, 9, FALSE)</f>
        <v>72</v>
      </c>
      <c r="N74" s="11">
        <f t="shared" si="6"/>
        <v>8</v>
      </c>
      <c r="O74" s="11">
        <f>VLOOKUP($G74, 'ADP Data'!$C$4:$Q$300, 3, FALSE)</f>
        <v>67</v>
      </c>
      <c r="P74" s="11">
        <f t="shared" si="7"/>
        <v>5</v>
      </c>
      <c r="Q74" s="11">
        <f>VLOOKUP($G74, 'ADP Data'!$C$4:$Q$300, 4, FALSE)</f>
        <v>60</v>
      </c>
      <c r="R74" s="11">
        <f>VLOOKUP($G74, 'ADP Data'!$C$4:$Q$300, 5, FALSE)</f>
        <v>72</v>
      </c>
      <c r="S74" s="11">
        <f>VLOOKUP($G74, 'ADP Data'!$C$4:$Q$300, 6, FALSE)</f>
        <v>59</v>
      </c>
      <c r="T74" s="11">
        <f>VLOOKUP($G74, 'ADP Data'!$C$4:$Q$300, 7, FALSE)</f>
        <v>54</v>
      </c>
      <c r="U74" s="11">
        <f>VLOOKUP($G74, 'ADP Data'!$C$4:$Q$300, 8, FALSE)</f>
        <v>66</v>
      </c>
      <c r="V74" s="11">
        <f t="shared" si="8"/>
        <v>64</v>
      </c>
      <c r="W74" s="11">
        <f t="shared" si="9"/>
        <v>9</v>
      </c>
      <c r="X74" s="11">
        <f t="shared" si="10"/>
        <v>-3</v>
      </c>
      <c r="Y74" s="11">
        <f>VLOOKUP($G74, SeanRanks!$A$2:$K$303, 10, FALSE)-V74</f>
        <v>-6</v>
      </c>
      <c r="Z74" s="29">
        <f>IF(VLOOKUP($G74, SeanRanks!$A$2:$H$303, 7, FALSE)=0, "", VLOOKUP($G74, SeanRanks!$A$2:$H$303, 7, FALSE))</f>
        <v>25</v>
      </c>
    </row>
    <row r="75" ht="14.25" customHeight="1">
      <c r="A75" s="11"/>
      <c r="B75" s="11">
        <f t="shared" si="4"/>
        <v>11</v>
      </c>
      <c r="C75" s="11" t="s">
        <v>95</v>
      </c>
      <c r="D75" s="11">
        <v>6.0</v>
      </c>
      <c r="E75" s="11"/>
      <c r="F75" s="11" t="str">
        <f>VLOOKUP(G75, SeanRanks!$A$2:$E$302, 4, FALSE)</f>
        <v/>
      </c>
      <c r="G75" s="11" t="s">
        <v>226</v>
      </c>
      <c r="H75" s="11" t="str">
        <f>VLOOKUP($G75, 'ADP Data'!$C$4:$Q$300, 2, FALSE)</f>
        <v>NE</v>
      </c>
      <c r="I75" s="11">
        <f>VLOOKUP(G75, 'ADP Data'!$C$4:$R$498, 12, FALSE)</f>
        <v>135</v>
      </c>
      <c r="J75" s="48" t="str">
        <f>VLOOKUP($G75, SeanRanks!$A$2:$H$303, 5, FALSE)</f>
        <v/>
      </c>
      <c r="K75" s="11" t="str">
        <f>IF(VLOOKUP($G75, SeanRanks!$A$2:$H$303, 6, FALSE)=0, "", VLOOKUP($G75, SeanRanks!$A$2:$H$303, 6, FALSE))</f>
        <v>RB3 - 2 - low ceiling</v>
      </c>
      <c r="L75" s="11">
        <f t="shared" si="5"/>
        <v>14</v>
      </c>
      <c r="M75" s="11">
        <f>VLOOKUP($G75, 'ADP Data'!$C$4:$Q$300, 9, FALSE)</f>
        <v>111</v>
      </c>
      <c r="N75" s="11">
        <f t="shared" si="6"/>
        <v>-6</v>
      </c>
      <c r="O75" s="11">
        <f>VLOOKUP($G75, 'ADP Data'!$C$4:$Q$300, 3, FALSE)</f>
        <v>109</v>
      </c>
      <c r="P75" s="11">
        <f t="shared" si="7"/>
        <v>2</v>
      </c>
      <c r="Q75" s="11">
        <f>VLOOKUP($G75, 'ADP Data'!$C$4:$Q$300, 4, FALSE)</f>
        <v>107</v>
      </c>
      <c r="R75" s="11">
        <f>VLOOKUP($G75, 'ADP Data'!$C$4:$Q$300, 5, FALSE)</f>
        <v>118</v>
      </c>
      <c r="S75" s="11">
        <f>VLOOKUP($G75, 'ADP Data'!$C$4:$Q$300, 6, FALSE)</f>
        <v>126</v>
      </c>
      <c r="T75" s="11">
        <f>VLOOKUP($G75, 'ADP Data'!$C$4:$Q$300, 7, FALSE)</f>
        <v>121</v>
      </c>
      <c r="U75" s="11">
        <f>VLOOKUP($G75, 'ADP Data'!$C$4:$Q$300, 8, FALSE)</f>
        <v>130</v>
      </c>
      <c r="V75" s="11">
        <f t="shared" si="8"/>
        <v>117</v>
      </c>
      <c r="W75" s="11">
        <f t="shared" si="9"/>
        <v>15</v>
      </c>
      <c r="X75" s="11">
        <f t="shared" si="10"/>
        <v>-9</v>
      </c>
      <c r="Y75" s="11">
        <f>VLOOKUP($G75, SeanRanks!$A$2:$K$303, 10, FALSE)-V75</f>
        <v>-1</v>
      </c>
      <c r="Z75" s="29">
        <f>IF(VLOOKUP($G75, SeanRanks!$A$2:$H$303, 7, FALSE)=0, "", VLOOKUP($G75, SeanRanks!$A$2:$H$303, 7, FALSE))</f>
        <v>37</v>
      </c>
    </row>
    <row r="76" ht="14.25" customHeight="1">
      <c r="A76" s="11"/>
      <c r="B76" s="11">
        <f t="shared" si="4"/>
        <v>9</v>
      </c>
      <c r="C76" s="11" t="s">
        <v>95</v>
      </c>
      <c r="D76" s="11">
        <v>7.0</v>
      </c>
      <c r="E76" s="11"/>
      <c r="F76" s="11" t="str">
        <f>VLOOKUP(G76, SeanRanks!$A$2:$E$302, 4, FALSE)</f>
        <v/>
      </c>
      <c r="G76" s="11" t="s">
        <v>259</v>
      </c>
      <c r="H76" s="11" t="str">
        <f>VLOOKUP($G76, 'ADP Data'!$C$4:$Q$300, 2, FALSE)</f>
        <v>DAL</v>
      </c>
      <c r="I76" s="11">
        <f>VLOOKUP(G76, 'ADP Data'!$C$4:$R$498, 12, FALSE)</f>
        <v>94</v>
      </c>
      <c r="J76" s="56" t="str">
        <f>VLOOKUP($G76, SeanRanks!$A$2:$H$303, 5, FALSE)</f>
        <v/>
      </c>
      <c r="K76" s="11" t="str">
        <f>IF(VLOOKUP($G76, SeanRanks!$A$2:$H$303, 6, FALSE)=0, "", VLOOKUP($G76, SeanRanks!$A$2:$H$303, 6, FALSE))</f>
        <v>QB1 - 4 - Weekly Start</v>
      </c>
      <c r="L76" s="11">
        <f t="shared" si="5"/>
        <v>15</v>
      </c>
      <c r="M76" s="11">
        <f>VLOOKUP($G76, 'ADP Data'!$C$4:$Q$300, 9, FALSE)</f>
        <v>117</v>
      </c>
      <c r="N76" s="11">
        <f t="shared" si="6"/>
        <v>15</v>
      </c>
      <c r="O76" s="11">
        <f>VLOOKUP($G76, 'ADP Data'!$C$4:$Q$300, 3, FALSE)</f>
        <v>77</v>
      </c>
      <c r="P76" s="11">
        <f t="shared" si="7"/>
        <v>40</v>
      </c>
      <c r="Q76" s="11">
        <f>VLOOKUP($G76, 'ADP Data'!$C$4:$Q$300, 4, FALSE)</f>
        <v>99</v>
      </c>
      <c r="R76" s="11">
        <f>VLOOKUP($G76, 'ADP Data'!$C$4:$Q$300, 5, FALSE)</f>
        <v>120</v>
      </c>
      <c r="S76" s="11">
        <f>VLOOKUP($G76, 'ADP Data'!$C$4:$Q$300, 6, FALSE)</f>
        <v>97</v>
      </c>
      <c r="T76" s="11">
        <f>VLOOKUP($G76, 'ADP Data'!$C$4:$Q$300, 7, FALSE)</f>
        <v>87</v>
      </c>
      <c r="U76" s="11">
        <f>VLOOKUP($G76, 'ADP Data'!$C$4:$Q$300, 8, FALSE)</f>
        <v>117</v>
      </c>
      <c r="V76" s="11">
        <f t="shared" si="8"/>
        <v>102</v>
      </c>
      <c r="W76" s="11">
        <f t="shared" si="9"/>
        <v>13</v>
      </c>
      <c r="X76" s="11">
        <f t="shared" si="10"/>
        <v>-6</v>
      </c>
      <c r="Y76" s="11">
        <f>VLOOKUP($G76, SeanRanks!$A$2:$K$303, 10, FALSE)-V76</f>
        <v>-14</v>
      </c>
      <c r="Z76" s="29">
        <f>IF(VLOOKUP($G76, SeanRanks!$A$2:$H$303, 7, FALSE)=0, "", VLOOKUP($G76, SeanRanks!$A$2:$H$303, 7, FALSE))</f>
        <v>11</v>
      </c>
    </row>
    <row r="77" ht="14.25" customHeight="1">
      <c r="A77" s="11"/>
      <c r="B77" s="11">
        <f t="shared" si="4"/>
        <v>6</v>
      </c>
      <c r="C77" s="11" t="s">
        <v>95</v>
      </c>
      <c r="D77" s="11">
        <v>6.0</v>
      </c>
      <c r="E77" s="11"/>
      <c r="F77" s="11" t="str">
        <f>VLOOKUP(G77, SeanRanks!$A$2:$E$302, 4, FALSE)</f>
        <v/>
      </c>
      <c r="G77" s="11" t="s">
        <v>181</v>
      </c>
      <c r="H77" s="11" t="str">
        <f>VLOOKUP($G77, 'ADP Data'!$C$4:$Q$300, 2, FALSE)</f>
        <v>CHI</v>
      </c>
      <c r="I77" s="11">
        <f>VLOOKUP(G77, 'ADP Data'!$C$4:$R$498, 12, FALSE)</f>
        <v>58</v>
      </c>
      <c r="J77" s="52" t="str">
        <f>VLOOKUP($G77, SeanRanks!$A$2:$H$303, 5, FALSE)</f>
        <v>No</v>
      </c>
      <c r="K77" s="11" t="str">
        <f>IF(VLOOKUP($G77, SeanRanks!$A$2:$H$303, 6, FALSE)=0, "", VLOOKUP($G77, SeanRanks!$A$2:$H$303, 6, FALSE))</f>
        <v>RB2 - 2 - Path to spikes</v>
      </c>
      <c r="L77" s="11">
        <f t="shared" si="5"/>
        <v>9</v>
      </c>
      <c r="M77" s="11">
        <f>VLOOKUP($G77, 'ADP Data'!$C$4:$Q$300, 9, FALSE)</f>
        <v>68</v>
      </c>
      <c r="N77" s="11">
        <f t="shared" si="6"/>
        <v>8</v>
      </c>
      <c r="O77" s="11">
        <f>VLOOKUP($G77, 'ADP Data'!$C$4:$Q$300, 3, FALSE)</f>
        <v>49</v>
      </c>
      <c r="P77" s="11">
        <f t="shared" si="7"/>
        <v>19</v>
      </c>
      <c r="Q77" s="11">
        <f>VLOOKUP($G77, 'ADP Data'!$C$4:$Q$300, 4, FALSE)</f>
        <v>53</v>
      </c>
      <c r="R77" s="11">
        <f>VLOOKUP($G77, 'ADP Data'!$C$4:$Q$300, 5, FALSE)</f>
        <v>80</v>
      </c>
      <c r="S77" s="11">
        <f>VLOOKUP($G77, 'ADP Data'!$C$4:$Q$300, 6, FALSE)</f>
        <v>56</v>
      </c>
      <c r="T77" s="11">
        <f>VLOOKUP($G77, 'ADP Data'!$C$4:$Q$300, 7, FALSE)</f>
        <v>59</v>
      </c>
      <c r="U77" s="11">
        <f>VLOOKUP($G77, 'ADP Data'!$C$4:$Q$300, 8, FALSE)</f>
        <v>57</v>
      </c>
      <c r="V77" s="11">
        <f t="shared" si="8"/>
        <v>60</v>
      </c>
      <c r="W77" s="11">
        <f t="shared" si="9"/>
        <v>8</v>
      </c>
      <c r="X77" s="11">
        <f t="shared" si="10"/>
        <v>-2</v>
      </c>
      <c r="Y77" s="11">
        <f>VLOOKUP($G77, SeanRanks!$A$2:$K$303, 10, FALSE)-V77</f>
        <v>4</v>
      </c>
      <c r="Z77" s="29">
        <f>IF(VLOOKUP($G77, SeanRanks!$A$2:$H$303, 7, FALSE)=0, "", VLOOKUP($G77, SeanRanks!$A$2:$H$303, 7, FALSE))</f>
        <v>26</v>
      </c>
    </row>
    <row r="78" ht="14.25" customHeight="1">
      <c r="A78" s="11"/>
      <c r="B78" s="11" t="str">
        <f t="shared" si="4"/>
        <v>#N/A</v>
      </c>
      <c r="C78" s="11" t="s">
        <v>95</v>
      </c>
      <c r="D78" s="11">
        <v>7.0</v>
      </c>
      <c r="E78" s="11"/>
      <c r="F78" s="11" t="str">
        <f>VLOOKUP(G78, SeanRanks!$A$2:$E$302, 4, FALSE)</f>
        <v>#N/A</v>
      </c>
      <c r="G78" s="11" t="s">
        <v>816</v>
      </c>
      <c r="H78" s="11" t="str">
        <f>VLOOKUP($G78, 'ADP Data'!$C$4:$Q$300, 2, FALSE)</f>
        <v>#N/A</v>
      </c>
      <c r="I78" s="11" t="str">
        <f>VLOOKUP(G78, 'ADP Data'!$C$4:$R$498, 12, FALSE)</f>
        <v>#N/A</v>
      </c>
      <c r="J78" s="48" t="str">
        <f>VLOOKUP($G78, SeanRanks!$A$2:$H$303, 5, FALSE)</f>
        <v>#N/A</v>
      </c>
      <c r="K78" s="11" t="str">
        <f>IF(VLOOKUP($G78, SeanRanks!$A$2:$H$303, 6, FALSE)=0, "", VLOOKUP($G78, SeanRanks!$A$2:$H$303, 6, FALSE))</f>
        <v>#N/A</v>
      </c>
      <c r="L78" s="11">
        <f t="shared" si="5"/>
        <v>16</v>
      </c>
      <c r="M78" s="11" t="str">
        <f>VLOOKUP($G78, 'ADP Data'!$C$4:$Q$300, 9, FALSE)</f>
        <v>#N/A</v>
      </c>
      <c r="N78" s="11" t="str">
        <f t="shared" si="6"/>
        <v>#N/A</v>
      </c>
      <c r="O78" s="11" t="str">
        <f>VLOOKUP($G78, 'ADP Data'!$C$4:$Q$300, 3, FALSE)</f>
        <v>#N/A</v>
      </c>
      <c r="P78" s="11" t="str">
        <f t="shared" si="7"/>
        <v>#N/A</v>
      </c>
      <c r="Q78" s="11" t="str">
        <f>VLOOKUP($G78, 'ADP Data'!$C$4:$Q$300, 4, FALSE)</f>
        <v>#N/A</v>
      </c>
      <c r="R78" s="11" t="str">
        <f>VLOOKUP($G78, 'ADP Data'!$C$4:$Q$300, 5, FALSE)</f>
        <v>#N/A</v>
      </c>
      <c r="S78" s="11" t="str">
        <f>VLOOKUP($G78, 'ADP Data'!$C$4:$Q$300, 6, FALSE)</f>
        <v>#N/A</v>
      </c>
      <c r="T78" s="11" t="str">
        <f>VLOOKUP($G78, 'ADP Data'!$C$4:$Q$300, 7, FALSE)</f>
        <v>#N/A</v>
      </c>
      <c r="U78" s="11" t="str">
        <f>VLOOKUP($G78, 'ADP Data'!$C$4:$Q$300, 8, FALSE)</f>
        <v>#N/A</v>
      </c>
      <c r="V78" s="11" t="str">
        <f t="shared" si="8"/>
        <v>#N/A</v>
      </c>
      <c r="W78" s="11">
        <f t="shared" si="9"/>
        <v>16</v>
      </c>
      <c r="X78" s="11">
        <f t="shared" si="10"/>
        <v>-9</v>
      </c>
      <c r="Y78" s="11" t="str">
        <f>VLOOKUP($G78, SeanRanks!$A$2:$K$303, 10, FALSE)-V78</f>
        <v>#N/A</v>
      </c>
      <c r="Z78" s="29" t="str">
        <f>IF(VLOOKUP($G78, SeanRanks!$A$2:$H$303, 7, FALSE)=0, "", VLOOKUP($G78, SeanRanks!$A$2:$H$303, 7, FALSE))</f>
        <v>#N/A</v>
      </c>
    </row>
    <row r="79" ht="14.25" customHeight="1">
      <c r="A79" s="11"/>
      <c r="B79" s="11">
        <f t="shared" si="4"/>
        <v>12</v>
      </c>
      <c r="C79" s="11" t="s">
        <v>95</v>
      </c>
      <c r="D79" s="11">
        <v>6.0</v>
      </c>
      <c r="E79" s="11"/>
      <c r="F79" s="11" t="str">
        <f>VLOOKUP(G79, SeanRanks!$A$2:$E$302, 4, FALSE)</f>
        <v/>
      </c>
      <c r="G79" s="11" t="s">
        <v>653</v>
      </c>
      <c r="H79" s="11" t="str">
        <f>VLOOKUP($G79, 'ADP Data'!$C$4:$Q$300, 2, FALSE)</f>
        <v>HOU</v>
      </c>
      <c r="I79" s="11">
        <f>VLOOKUP(G79, 'ADP Data'!$C$4:$R$498, 12, FALSE)</f>
        <v>103</v>
      </c>
      <c r="J79" s="30" t="str">
        <f>VLOOKUP($G79, SeanRanks!$A$2:$H$303, 5, FALSE)</f>
        <v/>
      </c>
      <c r="K79" s="11" t="str">
        <f>IF(VLOOKUP($G79, SeanRanks!$A$2:$H$303, 6, FALSE)=0, "", VLOOKUP($G79, SeanRanks!$A$2:$H$303, 6, FALSE))</f>
        <v>WR5 - 2 - floor play not league winner</v>
      </c>
      <c r="L79" s="11">
        <f t="shared" si="5"/>
        <v>19</v>
      </c>
      <c r="M79" s="11">
        <f>VLOOKUP($G79, 'ADP Data'!$C$4:$Q$300, 9, FALSE)</f>
        <v>148</v>
      </c>
      <c r="N79" s="11">
        <f t="shared" si="6"/>
        <v>6</v>
      </c>
      <c r="O79" s="11">
        <f>VLOOKUP($G79, 'ADP Data'!$C$4:$Q$300, 3, FALSE)</f>
        <v>137</v>
      </c>
      <c r="P79" s="11">
        <f t="shared" si="7"/>
        <v>11</v>
      </c>
      <c r="Q79" s="11">
        <f>VLOOKUP($G79, 'ADP Data'!$C$4:$Q$300, 4, FALSE)</f>
        <v>178</v>
      </c>
      <c r="R79" s="11">
        <f>VLOOKUP($G79, 'ADP Data'!$C$4:$Q$300, 5, FALSE)</f>
        <v>124</v>
      </c>
      <c r="S79" s="11">
        <f>VLOOKUP($G79, 'ADP Data'!$C$4:$Q$300, 6, FALSE)</f>
        <v>131</v>
      </c>
      <c r="T79" s="11">
        <f>VLOOKUP($G79, 'ADP Data'!$C$4:$Q$300, 7, FALSE)</f>
        <v>108</v>
      </c>
      <c r="U79" s="11">
        <f>VLOOKUP($G79, 'ADP Data'!$C$4:$Q$300, 8, FALSE)</f>
        <v>172</v>
      </c>
      <c r="V79" s="11">
        <f t="shared" si="8"/>
        <v>142</v>
      </c>
      <c r="W79" s="11">
        <f t="shared" si="9"/>
        <v>18</v>
      </c>
      <c r="X79" s="11">
        <f t="shared" si="10"/>
        <v>-12</v>
      </c>
      <c r="Y79" s="11">
        <f>VLOOKUP($G79, SeanRanks!$A$2:$K$303, 10, FALSE)-V79</f>
        <v>-9</v>
      </c>
      <c r="Z79" s="29">
        <f>IF(VLOOKUP($G79, SeanRanks!$A$2:$H$303, 7, FALSE)=0, "", VLOOKUP($G79, SeanRanks!$A$2:$H$303, 7, FALSE))</f>
        <v>57</v>
      </c>
    </row>
    <row r="80" ht="14.25" customHeight="1">
      <c r="A80" s="11"/>
      <c r="B80" s="11">
        <f t="shared" si="4"/>
        <v>12</v>
      </c>
      <c r="C80" s="11" t="s">
        <v>95</v>
      </c>
      <c r="D80" s="11" t="s">
        <v>817</v>
      </c>
      <c r="E80" s="11"/>
      <c r="F80" s="11" t="str">
        <f>VLOOKUP(G80, SeanRanks!$A$2:$E$302, 4, FALSE)</f>
        <v/>
      </c>
      <c r="G80" s="11" t="s">
        <v>661</v>
      </c>
      <c r="H80" s="11" t="str">
        <f>VLOOKUP($G80, 'ADP Data'!$C$4:$Q$300, 2, FALSE)</f>
        <v>LAC</v>
      </c>
      <c r="I80" s="11">
        <f>VLOOKUP(G80, 'ADP Data'!$C$4:$R$498, 12, FALSE)</f>
        <v>157</v>
      </c>
      <c r="J80" s="48" t="str">
        <f>VLOOKUP($G80, SeanRanks!$A$2:$H$303, 5, FALSE)</f>
        <v/>
      </c>
      <c r="K80" s="11" t="str">
        <f>IF(VLOOKUP($G80, SeanRanks!$A$2:$H$303, 6, FALSE)=0, "", VLOOKUP($G80, SeanRanks!$A$2:$H$303, 6, FALSE))</f>
        <v>RB4 - 1 - Path to spikes</v>
      </c>
      <c r="L80" s="11">
        <f t="shared" si="5"/>
        <v>14</v>
      </c>
      <c r="M80" s="11">
        <f>VLOOKUP($G80, 'ADP Data'!$C$4:$Q$300, 9, FALSE)</f>
        <v>108</v>
      </c>
      <c r="N80" s="11">
        <f t="shared" si="6"/>
        <v>-29</v>
      </c>
      <c r="O80" s="11">
        <f>VLOOKUP($G80, 'ADP Data'!$C$4:$Q$300, 3, FALSE)</f>
        <v>138</v>
      </c>
      <c r="P80" s="11">
        <f t="shared" si="7"/>
        <v>-30</v>
      </c>
      <c r="Q80" s="11">
        <f>VLOOKUP($G80, 'ADP Data'!$C$4:$Q$300, 4, FALSE)</f>
        <v>162</v>
      </c>
      <c r="R80" s="11">
        <f>VLOOKUP($G80, 'ADP Data'!$C$4:$Q$300, 5, FALSE)</f>
        <v>150</v>
      </c>
      <c r="S80" s="11">
        <f>VLOOKUP($G80, 'ADP Data'!$C$4:$Q$300, 6, FALSE)</f>
        <v>148</v>
      </c>
      <c r="T80" s="11">
        <f>VLOOKUP($G80, 'ADP Data'!$C$4:$Q$300, 7, FALSE)</f>
        <v>137</v>
      </c>
      <c r="U80" s="11">
        <f>VLOOKUP($G80, 'ADP Data'!$C$4:$Q$300, 8, FALSE)</f>
        <v>118</v>
      </c>
      <c r="V80" s="11">
        <f t="shared" si="8"/>
        <v>137</v>
      </c>
      <c r="W80" s="11">
        <f t="shared" si="9"/>
        <v>18</v>
      </c>
      <c r="X80" s="11" t="str">
        <f t="shared" si="10"/>
        <v>#VALUE!</v>
      </c>
      <c r="Y80" s="11">
        <f>VLOOKUP($G80, SeanRanks!$A$2:$K$303, 10, FALSE)-V80</f>
        <v>18</v>
      </c>
      <c r="Z80" s="29">
        <f>IF(VLOOKUP($G80, SeanRanks!$A$2:$H$303, 7, FALSE)=0, "", VLOOKUP($G80, SeanRanks!$A$2:$H$303, 7, FALSE))</f>
        <v>39</v>
      </c>
    </row>
    <row r="81" ht="14.25" customHeight="1">
      <c r="A81" s="11"/>
      <c r="B81" s="11">
        <f t="shared" si="4"/>
        <v>9</v>
      </c>
      <c r="C81" s="11" t="s">
        <v>95</v>
      </c>
      <c r="D81" s="11">
        <v>6.0</v>
      </c>
      <c r="E81" s="11"/>
      <c r="F81" s="11" t="str">
        <f>VLOOKUP(G81, SeanRanks!$A$2:$E$302, 4, FALSE)</f>
        <v/>
      </c>
      <c r="G81" s="11" t="s">
        <v>270</v>
      </c>
      <c r="H81" s="11" t="str">
        <f>VLOOKUP($G81, 'ADP Data'!$C$4:$Q$300, 2, FALSE)</f>
        <v>TB</v>
      </c>
      <c r="I81" s="11">
        <f>VLOOKUP(G81, 'ADP Data'!$C$4:$R$498, 12, FALSE)</f>
        <v>117</v>
      </c>
      <c r="J81" s="30" t="str">
        <f>VLOOKUP($G81, SeanRanks!$A$2:$H$303, 5, FALSE)</f>
        <v/>
      </c>
      <c r="K81" s="11" t="str">
        <f>IF(VLOOKUP($G81, SeanRanks!$A$2:$H$303, 6, FALSE)=0, "", VLOOKUP($G81, SeanRanks!$A$2:$H$303, 6, FALSE))</f>
        <v>WR4 - 1 - path to WR2</v>
      </c>
      <c r="L81" s="11">
        <f t="shared" si="5"/>
        <v>12</v>
      </c>
      <c r="M81" s="11">
        <f>VLOOKUP($G81, 'ADP Data'!$C$4:$Q$300, 9, FALSE)</f>
        <v>90</v>
      </c>
      <c r="N81" s="11">
        <f t="shared" si="6"/>
        <v>-14</v>
      </c>
      <c r="O81" s="11">
        <f>VLOOKUP($G81, 'ADP Data'!$C$4:$Q$300, 3, FALSE)</f>
        <v>107</v>
      </c>
      <c r="P81" s="11">
        <f t="shared" si="7"/>
        <v>-17</v>
      </c>
      <c r="Q81" s="11">
        <f>VLOOKUP($G81, 'ADP Data'!$C$4:$Q$300, 4, FALSE)</f>
        <v>102</v>
      </c>
      <c r="R81" s="11">
        <f>VLOOKUP($G81, 'ADP Data'!$C$4:$Q$300, 5, FALSE)</f>
        <v>127</v>
      </c>
      <c r="S81" s="11">
        <f>VLOOKUP($G81, 'ADP Data'!$C$4:$Q$300, 6, FALSE)</f>
        <v>118</v>
      </c>
      <c r="T81" s="11">
        <f>VLOOKUP($G81, 'ADP Data'!$C$4:$Q$300, 7, FALSE)</f>
        <v>100</v>
      </c>
      <c r="U81" s="11">
        <f>VLOOKUP($G81, 'ADP Data'!$C$4:$Q$300, 8, FALSE)</f>
        <v>90</v>
      </c>
      <c r="V81" s="11">
        <f t="shared" si="8"/>
        <v>104</v>
      </c>
      <c r="W81" s="11">
        <f t="shared" si="9"/>
        <v>14</v>
      </c>
      <c r="X81" s="11">
        <f t="shared" si="10"/>
        <v>-8</v>
      </c>
      <c r="Y81" s="11">
        <f>VLOOKUP($G81, SeanRanks!$A$2:$K$303, 10, FALSE)-V81</f>
        <v>23</v>
      </c>
      <c r="Z81" s="29">
        <f>IF(VLOOKUP($G81, SeanRanks!$A$2:$H$303, 7, FALSE)=0, "", VLOOKUP($G81, SeanRanks!$A$2:$H$303, 7, FALSE))</f>
        <v>42</v>
      </c>
    </row>
    <row r="82" ht="14.25" customHeight="1">
      <c r="A82" s="11"/>
      <c r="B82" s="11">
        <f t="shared" si="4"/>
        <v>12</v>
      </c>
      <c r="C82" s="11" t="s">
        <v>95</v>
      </c>
      <c r="D82" s="11"/>
      <c r="E82" s="11"/>
      <c r="F82" s="11" t="str">
        <f>VLOOKUP(G82, SeanRanks!$A$2:$E$302, 4, FALSE)</f>
        <v/>
      </c>
      <c r="G82" s="11" t="s">
        <v>376</v>
      </c>
      <c r="H82" s="11" t="str">
        <f>VLOOKUP($G82, 'ADP Data'!$C$4:$Q$300, 2, FALSE)</f>
        <v>GB</v>
      </c>
      <c r="I82" s="11">
        <f>VLOOKUP(G82, 'ADP Data'!$C$4:$R$498, 12, FALSE)</f>
        <v>133</v>
      </c>
      <c r="J82" s="56" t="str">
        <f>VLOOKUP($G82, SeanRanks!$A$2:$H$303, 5, FALSE)</f>
        <v/>
      </c>
      <c r="K82" s="11" t="str">
        <f>IF(VLOOKUP($G82, SeanRanks!$A$2:$H$303, 6, FALSE)=0, "", VLOOKUP($G82, SeanRanks!$A$2:$H$303, 6, FALSE))</f>
        <v>QB2 - 1 - League Winner</v>
      </c>
      <c r="L82" s="11">
        <f t="shared" si="5"/>
        <v>18</v>
      </c>
      <c r="M82" s="11">
        <f>VLOOKUP($G82, 'ADP Data'!$C$4:$Q$300, 9, FALSE)</f>
        <v>142</v>
      </c>
      <c r="N82" s="11">
        <f t="shared" si="6"/>
        <v>5</v>
      </c>
      <c r="O82" s="11">
        <f>VLOOKUP($G82, 'ADP Data'!$C$4:$Q$300, 3, FALSE)</f>
        <v>123</v>
      </c>
      <c r="P82" s="11">
        <f t="shared" si="7"/>
        <v>19</v>
      </c>
      <c r="Q82" s="11">
        <f>VLOOKUP($G82, 'ADP Data'!$C$4:$Q$300, 4, FALSE)</f>
        <v>125</v>
      </c>
      <c r="R82" s="11">
        <f>VLOOKUP($G82, 'ADP Data'!$C$4:$Q$300, 5, FALSE)</f>
        <v>160</v>
      </c>
      <c r="S82" s="11">
        <f>VLOOKUP($G82, 'ADP Data'!$C$4:$Q$300, 6, FALSE)</f>
        <v>147</v>
      </c>
      <c r="T82" s="11">
        <f>VLOOKUP($G82, 'ADP Data'!$C$4:$Q$300, 7, FALSE)</f>
        <v>127</v>
      </c>
      <c r="U82" s="11">
        <f>VLOOKUP($G82, 'ADP Data'!$C$4:$Q$300, 8, FALSE)</f>
        <v>140</v>
      </c>
      <c r="V82" s="11">
        <f t="shared" si="8"/>
        <v>137</v>
      </c>
      <c r="W82" s="11">
        <f t="shared" si="9"/>
        <v>18</v>
      </c>
      <c r="X82" s="11">
        <f t="shared" si="10"/>
        <v>-18</v>
      </c>
      <c r="Y82" s="11">
        <f>VLOOKUP($G82, SeanRanks!$A$2:$K$303, 10, FALSE)-V82</f>
        <v>-26</v>
      </c>
      <c r="Z82" s="29">
        <f>IF(VLOOKUP($G82, SeanRanks!$A$2:$H$303, 7, FALSE)=0, "", VLOOKUP($G82, SeanRanks!$A$2:$H$303, 7, FALSE))</f>
        <v>15</v>
      </c>
    </row>
    <row r="83" ht="14.25" customHeight="1">
      <c r="A83" s="11"/>
      <c r="B83" s="11">
        <f t="shared" si="4"/>
        <v>21</v>
      </c>
      <c r="C83" s="11" t="s">
        <v>95</v>
      </c>
      <c r="D83" s="11">
        <v>6.0</v>
      </c>
      <c r="E83" s="11"/>
      <c r="F83" s="11" t="str">
        <f>VLOOKUP(G83, SeanRanks!$A$2:$E$302, 4, FALSE)</f>
        <v/>
      </c>
      <c r="G83" s="11" t="s">
        <v>819</v>
      </c>
      <c r="H83" s="11" t="str">
        <f>VLOOKUP($G83, 'ADP Data'!$C$4:$Q$300, 2, FALSE)</f>
        <v>LV</v>
      </c>
      <c r="I83" s="11">
        <f>VLOOKUP(G83, 'ADP Data'!$C$4:$R$498, 12, FALSE)</f>
        <v>245</v>
      </c>
      <c r="J83" s="52" t="str">
        <f>VLOOKUP($G83, SeanRanks!$A$2:$H$303, 5, FALSE)</f>
        <v/>
      </c>
      <c r="K83" s="11" t="str">
        <f>IF(VLOOKUP($G83, SeanRanks!$A$2:$H$303, 6, FALSE)=0, "", VLOOKUP($G83, SeanRanks!$A$2:$H$303, 6, FALSE))</f>
        <v/>
      </c>
      <c r="L83" s="11">
        <f t="shared" si="5"/>
        <v>33</v>
      </c>
      <c r="M83" s="11">
        <f>VLOOKUP($G83, 'ADP Data'!$C$4:$Q$300, 9, FALSE)</f>
        <v>260</v>
      </c>
      <c r="N83" s="11">
        <f t="shared" si="6"/>
        <v>19</v>
      </c>
      <c r="O83" s="11">
        <f>VLOOKUP($G83, 'ADP Data'!$C$4:$Q$300, 3, FALSE)</f>
        <v>191</v>
      </c>
      <c r="P83" s="11">
        <f t="shared" si="7"/>
        <v>69</v>
      </c>
      <c r="Q83" s="11" t="str">
        <f>VLOOKUP($G83, 'ADP Data'!$C$4:$Q$300, 4, FALSE)</f>
        <v>-</v>
      </c>
      <c r="R83" s="11">
        <f>VLOOKUP($G83, 'ADP Data'!$C$4:$Q$300, 5, FALSE)</f>
        <v>288</v>
      </c>
      <c r="S83" s="11">
        <f>VLOOKUP($G83, 'ADP Data'!$C$4:$Q$300, 6, FALSE)</f>
        <v>221</v>
      </c>
      <c r="T83" s="11">
        <f>VLOOKUP($G83, 'ADP Data'!$C$4:$Q$300, 7, FALSE)</f>
        <v>242</v>
      </c>
      <c r="U83" s="11">
        <f>VLOOKUP($G83, 'ADP Data'!$C$4:$Q$300, 8, FALSE)</f>
        <v>247</v>
      </c>
      <c r="V83" s="11">
        <f t="shared" si="8"/>
        <v>241</v>
      </c>
      <c r="W83" s="11">
        <f t="shared" si="9"/>
        <v>31</v>
      </c>
      <c r="X83" s="11">
        <f t="shared" si="10"/>
        <v>-25</v>
      </c>
      <c r="Y83" s="11" t="str">
        <f>VLOOKUP($G83, SeanRanks!$A$2:$K$303, 10, FALSE)-V83</f>
        <v>#VALUE!</v>
      </c>
      <c r="Z83" s="29" t="str">
        <f>IF(VLOOKUP($G83, SeanRanks!$A$2:$H$303, 7, FALSE)=0, "", VLOOKUP($G83, SeanRanks!$A$2:$H$303, 7, FALSE))</f>
        <v/>
      </c>
    </row>
    <row r="84" ht="14.25" customHeight="1">
      <c r="A84" s="11"/>
      <c r="B84" s="11">
        <f t="shared" si="4"/>
        <v>13</v>
      </c>
      <c r="C84" s="11" t="s">
        <v>95</v>
      </c>
      <c r="D84" s="11">
        <v>6.0</v>
      </c>
      <c r="E84" s="11"/>
      <c r="F84" s="11" t="str">
        <f>VLOOKUP(G84, SeanRanks!$A$2:$E$302, 4, FALSE)</f>
        <v/>
      </c>
      <c r="G84" s="11" t="s">
        <v>428</v>
      </c>
      <c r="H84" s="11" t="str">
        <f>VLOOKUP($G84, 'ADP Data'!$C$4:$Q$300, 2, FALSE)</f>
        <v>LAC</v>
      </c>
      <c r="I84" s="11">
        <f>VLOOKUP(G84, 'ADP Data'!$C$4:$R$498, 12, FALSE)</f>
        <v>113</v>
      </c>
      <c r="J84" s="30" t="str">
        <f>VLOOKUP($G84, SeanRanks!$A$2:$H$303, 5, FALSE)</f>
        <v/>
      </c>
      <c r="K84" s="11" t="str">
        <f>IF(VLOOKUP($G84, SeanRanks!$A$2:$H$303, 6, FALSE)=0, "", VLOOKUP($G84, SeanRanks!$A$2:$H$303, 6, FALSE))</f>
        <v>WR5 - 2 - floor play not league winner</v>
      </c>
      <c r="L84" s="11">
        <f t="shared" si="5"/>
        <v>21</v>
      </c>
      <c r="M84" s="11">
        <f>VLOOKUP($G84, 'ADP Data'!$C$4:$Q$300, 9, FALSE)</f>
        <v>164</v>
      </c>
      <c r="N84" s="11">
        <f t="shared" si="6"/>
        <v>15</v>
      </c>
      <c r="O84" s="11">
        <f>VLOOKUP($G84, 'ADP Data'!$C$4:$Q$300, 3, FALSE)</f>
        <v>150</v>
      </c>
      <c r="P84" s="11">
        <f t="shared" si="7"/>
        <v>14</v>
      </c>
      <c r="Q84" s="11">
        <f>VLOOKUP($G84, 'ADP Data'!$C$4:$Q$300, 4, FALSE)</f>
        <v>118</v>
      </c>
      <c r="R84" s="11">
        <f>VLOOKUP($G84, 'ADP Data'!$C$4:$Q$300, 5, FALSE)</f>
        <v>136</v>
      </c>
      <c r="S84" s="11">
        <f>VLOOKUP($G84, 'ADP Data'!$C$4:$Q$300, 6, FALSE)</f>
        <v>134</v>
      </c>
      <c r="T84" s="11">
        <f>VLOOKUP($G84, 'ADP Data'!$C$4:$Q$300, 7, FALSE)</f>
        <v>122</v>
      </c>
      <c r="U84" s="11">
        <f>VLOOKUP($G84, 'ADP Data'!$C$4:$Q$300, 8, FALSE)</f>
        <v>222</v>
      </c>
      <c r="V84" s="11">
        <f t="shared" si="8"/>
        <v>149</v>
      </c>
      <c r="W84" s="11">
        <f t="shared" si="9"/>
        <v>19</v>
      </c>
      <c r="X84" s="11">
        <f t="shared" si="10"/>
        <v>-13</v>
      </c>
      <c r="Y84" s="11">
        <f>VLOOKUP($G84, SeanRanks!$A$2:$K$303, 10, FALSE)-V84</f>
        <v>-9</v>
      </c>
      <c r="Z84" s="29">
        <f>IF(VLOOKUP($G84, SeanRanks!$A$2:$H$303, 7, FALSE)=0, "", VLOOKUP($G84, SeanRanks!$A$2:$H$303, 7, FALSE))</f>
        <v>58</v>
      </c>
    </row>
    <row r="85" ht="14.25" customHeight="1">
      <c r="A85" s="11"/>
      <c r="B85" s="11">
        <f t="shared" si="4"/>
        <v>12</v>
      </c>
      <c r="C85" s="11" t="s">
        <v>95</v>
      </c>
      <c r="D85" s="11">
        <v>9.0</v>
      </c>
      <c r="E85" s="11"/>
      <c r="F85" s="11" t="str">
        <f>VLOOKUP(G85, SeanRanks!$A$2:$E$302, 4, FALSE)</f>
        <v/>
      </c>
      <c r="G85" s="11" t="s">
        <v>348</v>
      </c>
      <c r="H85" s="11" t="str">
        <f>VLOOKUP($G85, 'ADP Data'!$C$4:$Q$300, 2, FALSE)</f>
        <v>DAL</v>
      </c>
      <c r="I85" s="11">
        <f>VLOOKUP(G85, 'ADP Data'!$C$4:$R$498, 12, FALSE)</f>
        <v>138</v>
      </c>
      <c r="J85" s="57" t="str">
        <f>VLOOKUP($G85, SeanRanks!$A$2:$H$303, 5, FALSE)</f>
        <v>Yes</v>
      </c>
      <c r="K85" s="11" t="str">
        <f>IF(VLOOKUP($G85, SeanRanks!$A$2:$H$303, 6, FALSE)=0, "", VLOOKUP($G85, SeanRanks!$A$2:$H$303, 6, FALSE))</f>
        <v>TE2 - 1 - Big Upside</v>
      </c>
      <c r="L85" s="11">
        <f t="shared" si="5"/>
        <v>18</v>
      </c>
      <c r="M85" s="11">
        <f>VLOOKUP($G85, 'ADP Data'!$C$4:$Q$300, 9, FALSE)</f>
        <v>137</v>
      </c>
      <c r="N85" s="11">
        <f t="shared" si="6"/>
        <v>0</v>
      </c>
      <c r="O85" s="11">
        <f>VLOOKUP($G85, 'ADP Data'!$C$4:$Q$300, 3, FALSE)</f>
        <v>139</v>
      </c>
      <c r="P85" s="11">
        <f t="shared" si="7"/>
        <v>-2</v>
      </c>
      <c r="Q85" s="11">
        <f>VLOOKUP($G85, 'ADP Data'!$C$4:$Q$300, 4, FALSE)</f>
        <v>137</v>
      </c>
      <c r="R85" s="11">
        <f>VLOOKUP($G85, 'ADP Data'!$C$4:$Q$300, 5, FALSE)</f>
        <v>163</v>
      </c>
      <c r="S85" s="11">
        <f>VLOOKUP($G85, 'ADP Data'!$C$4:$Q$300, 6, FALSE)</f>
        <v>100</v>
      </c>
      <c r="T85" s="11">
        <f>VLOOKUP($G85, 'ADP Data'!$C$4:$Q$300, 7, FALSE)</f>
        <v>130</v>
      </c>
      <c r="U85" s="11">
        <f>VLOOKUP($G85, 'ADP Data'!$C$4:$Q$300, 8, FALSE)</f>
        <v>159</v>
      </c>
      <c r="V85" s="11">
        <f t="shared" si="8"/>
        <v>137</v>
      </c>
      <c r="W85" s="11">
        <f t="shared" si="9"/>
        <v>18</v>
      </c>
      <c r="X85" s="11">
        <f t="shared" si="10"/>
        <v>-9</v>
      </c>
      <c r="Y85" s="11">
        <f>VLOOKUP($G85, SeanRanks!$A$2:$K$303, 10, FALSE)-V85</f>
        <v>-22</v>
      </c>
      <c r="Z85" s="29">
        <f>IF(VLOOKUP($G85, SeanRanks!$A$2:$H$303, 7, FALSE)=0, "", VLOOKUP($G85, SeanRanks!$A$2:$H$303, 7, FALSE))</f>
        <v>14</v>
      </c>
    </row>
    <row r="86" ht="14.25" customHeight="1">
      <c r="A86" s="11" t="s">
        <v>106</v>
      </c>
      <c r="B86" s="11" t="str">
        <f t="shared" si="4"/>
        <v>#N/A</v>
      </c>
      <c r="C86" s="11" t="s">
        <v>95</v>
      </c>
      <c r="D86" s="11">
        <v>6.0</v>
      </c>
      <c r="E86" s="11"/>
      <c r="F86" s="11" t="str">
        <f>VLOOKUP(G86, SeanRanks!$A$2:$E$302, 4, FALSE)</f>
        <v/>
      </c>
      <c r="G86" s="11" t="s">
        <v>831</v>
      </c>
      <c r="H86" s="11" t="str">
        <f>VLOOKUP($G86, 'ADP Data'!$C$4:$Q$300, 2, FALSE)</f>
        <v>#N/A</v>
      </c>
      <c r="I86" s="11" t="str">
        <f>VLOOKUP(G86, 'ADP Data'!$C$4:$R$498, 12, FALSE)</f>
        <v>#N/A</v>
      </c>
      <c r="J86" s="30" t="str">
        <f>VLOOKUP($G86, SeanRanks!$A$2:$H$303, 5, FALSE)</f>
        <v/>
      </c>
      <c r="K86" s="11" t="str">
        <f>IF(VLOOKUP($G86, SeanRanks!$A$2:$H$303, 6, FALSE)=0, "", VLOOKUP($G86, SeanRanks!$A$2:$H$303, 6, FALSE))</f>
        <v/>
      </c>
      <c r="L86" s="11">
        <f t="shared" si="5"/>
        <v>16</v>
      </c>
      <c r="M86" s="11" t="str">
        <f>VLOOKUP($G86, 'ADP Data'!$C$4:$Q$300, 9, FALSE)</f>
        <v>#N/A</v>
      </c>
      <c r="N86" s="11" t="str">
        <f t="shared" si="6"/>
        <v>#N/A</v>
      </c>
      <c r="O86" s="11" t="str">
        <f>VLOOKUP($G86, 'ADP Data'!$C$4:$Q$300, 3, FALSE)</f>
        <v>#N/A</v>
      </c>
      <c r="P86" s="11" t="str">
        <f t="shared" si="7"/>
        <v>#N/A</v>
      </c>
      <c r="Q86" s="11" t="str">
        <f>VLOOKUP($G86, 'ADP Data'!$C$4:$Q$300, 4, FALSE)</f>
        <v>#N/A</v>
      </c>
      <c r="R86" s="11" t="str">
        <f>VLOOKUP($G86, 'ADP Data'!$C$4:$Q$300, 5, FALSE)</f>
        <v>#N/A</v>
      </c>
      <c r="S86" s="11" t="str">
        <f>VLOOKUP($G86, 'ADP Data'!$C$4:$Q$300, 6, FALSE)</f>
        <v>#N/A</v>
      </c>
      <c r="T86" s="11" t="str">
        <f>VLOOKUP($G86, 'ADP Data'!$C$4:$Q$300, 7, FALSE)</f>
        <v>#N/A</v>
      </c>
      <c r="U86" s="11" t="str">
        <f>VLOOKUP($G86, 'ADP Data'!$C$4:$Q$300, 8, FALSE)</f>
        <v>#N/A</v>
      </c>
      <c r="V86" s="11" t="str">
        <f t="shared" si="8"/>
        <v>#N/A</v>
      </c>
      <c r="W86" s="11">
        <f t="shared" si="9"/>
        <v>16</v>
      </c>
      <c r="X86" s="11">
        <f t="shared" si="10"/>
        <v>-10</v>
      </c>
      <c r="Y86" s="11" t="str">
        <f>VLOOKUP($G86, SeanRanks!$A$2:$K$303, 10, FALSE)-V86</f>
        <v>#N/A</v>
      </c>
      <c r="Z86" s="29" t="str">
        <f>IF(VLOOKUP($G86, SeanRanks!$A$2:$H$303, 7, FALSE)=0, "", VLOOKUP($G86, SeanRanks!$A$2:$H$303, 7, FALSE))</f>
        <v/>
      </c>
    </row>
    <row r="87" ht="14.25" customHeight="1">
      <c r="A87" s="11"/>
      <c r="B87" s="11">
        <f t="shared" si="4"/>
        <v>11</v>
      </c>
      <c r="C87" s="11" t="s">
        <v>95</v>
      </c>
      <c r="D87" s="11">
        <v>6.0</v>
      </c>
      <c r="E87" s="27"/>
      <c r="F87" s="11" t="str">
        <f>VLOOKUP(G87, SeanRanks!$A$2:$E$302, 4, FALSE)</f>
        <v/>
      </c>
      <c r="G87" s="11" t="s">
        <v>301</v>
      </c>
      <c r="H87" s="11" t="str">
        <f>VLOOKUP($G87, 'ADP Data'!$C$4:$Q$300, 2, FALSE)</f>
        <v>GB</v>
      </c>
      <c r="I87" s="11">
        <f>VLOOKUP(G87, 'ADP Data'!$C$4:$R$498, 12, FALSE)</f>
        <v>107</v>
      </c>
      <c r="J87" s="49" t="str">
        <f>VLOOKUP($G87, SeanRanks!$A$2:$H$303, 5, FALSE)</f>
        <v/>
      </c>
      <c r="K87" s="11" t="str">
        <f>IF(VLOOKUP($G87, SeanRanks!$A$2:$H$303, 6, FALSE)=0, "", VLOOKUP($G87, SeanRanks!$A$2:$H$303, 6, FALSE))</f>
        <v>WR4 - 2 - unclear path to WR2</v>
      </c>
      <c r="L87" s="11">
        <f t="shared" si="5"/>
        <v>13</v>
      </c>
      <c r="M87" s="11">
        <f>VLOOKUP($G87, 'ADP Data'!$C$4:$Q$300, 9, FALSE)</f>
        <v>99</v>
      </c>
      <c r="N87" s="11">
        <f t="shared" si="6"/>
        <v>-24</v>
      </c>
      <c r="O87" s="11">
        <f>VLOOKUP($G87, 'ADP Data'!$C$4:$Q$300, 3, FALSE)</f>
        <v>134</v>
      </c>
      <c r="P87" s="11">
        <f t="shared" si="7"/>
        <v>-35</v>
      </c>
      <c r="Q87" s="11">
        <f>VLOOKUP($G87, 'ADP Data'!$C$4:$Q$300, 4, FALSE)</f>
        <v>128</v>
      </c>
      <c r="R87" s="11">
        <f>VLOOKUP($G87, 'ADP Data'!$C$4:$Q$300, 5, FALSE)</f>
        <v>145</v>
      </c>
      <c r="S87" s="11">
        <f>VLOOKUP($G87, 'ADP Data'!$C$4:$Q$300, 6, FALSE)</f>
        <v>116</v>
      </c>
      <c r="T87" s="11">
        <f>VLOOKUP($G87, 'ADP Data'!$C$4:$Q$300, 7, FALSE)</f>
        <v>105</v>
      </c>
      <c r="U87" s="11">
        <f>VLOOKUP($G87, 'ADP Data'!$C$4:$Q$300, 8, FALSE)</f>
        <v>134</v>
      </c>
      <c r="V87" s="11">
        <f t="shared" si="8"/>
        <v>123</v>
      </c>
      <c r="W87" s="11">
        <f t="shared" si="9"/>
        <v>16</v>
      </c>
      <c r="X87" s="11">
        <f t="shared" si="10"/>
        <v>-10</v>
      </c>
      <c r="Y87" s="11">
        <f>VLOOKUP($G87, SeanRanks!$A$2:$K$303, 10, FALSE)-V87</f>
        <v>-13</v>
      </c>
      <c r="Z87" s="29">
        <f>IF(VLOOKUP($G87, SeanRanks!$A$2:$H$303, 7, FALSE)=0, "", VLOOKUP($G87, SeanRanks!$A$2:$H$303, 7, FALSE))</f>
        <v>43</v>
      </c>
    </row>
    <row r="88" ht="14.25" customHeight="1">
      <c r="A88" s="11"/>
      <c r="B88" s="11">
        <f t="shared" si="4"/>
        <v>6</v>
      </c>
      <c r="C88" s="11" t="s">
        <v>131</v>
      </c>
      <c r="D88" s="11">
        <v>6.0</v>
      </c>
      <c r="E88" s="11"/>
      <c r="F88" s="11" t="str">
        <f>VLOOKUP(G88, SeanRanks!$A$2:$E$302, 4, FALSE)</f>
        <v/>
      </c>
      <c r="G88" s="11" t="s">
        <v>255</v>
      </c>
      <c r="H88" s="11" t="str">
        <f>VLOOKUP($G88, 'ADP Data'!$C$4:$Q$300, 2, FALSE)</f>
        <v>TEN</v>
      </c>
      <c r="I88" s="11">
        <f>VLOOKUP(G88, 'ADP Data'!$C$4:$R$498, 12, FALSE)</f>
        <v>62</v>
      </c>
      <c r="J88" s="58" t="str">
        <f>VLOOKUP($G88, SeanRanks!$A$2:$H$303, 5, FALSE)</f>
        <v/>
      </c>
      <c r="K88" s="11" t="str">
        <f>IF(VLOOKUP($G88, SeanRanks!$A$2:$H$303, 6, FALSE)=0, "", VLOOKUP($G88, SeanRanks!$A$2:$H$303, 6, FALSE))</f>
        <v>RB2 - 2 - Path to spikes</v>
      </c>
      <c r="L88" s="11">
        <f t="shared" si="5"/>
        <v>9</v>
      </c>
      <c r="M88" s="11">
        <f>VLOOKUP($G88, 'ADP Data'!$C$4:$Q$300, 9, FALSE)</f>
        <v>69</v>
      </c>
      <c r="N88" s="11">
        <f t="shared" si="6"/>
        <v>1</v>
      </c>
      <c r="O88" s="11">
        <f>VLOOKUP($G88, 'ADP Data'!$C$4:$Q$300, 3, FALSE)</f>
        <v>59</v>
      </c>
      <c r="P88" s="11">
        <f t="shared" si="7"/>
        <v>10</v>
      </c>
      <c r="Q88" s="11">
        <f>VLOOKUP($G88, 'ADP Data'!$C$4:$Q$300, 4, FALSE)</f>
        <v>69</v>
      </c>
      <c r="R88" s="11">
        <f>VLOOKUP($G88, 'ADP Data'!$C$4:$Q$300, 5, FALSE)</f>
        <v>79</v>
      </c>
      <c r="S88" s="11">
        <f>VLOOKUP($G88, 'ADP Data'!$C$4:$Q$300, 6, FALSE)</f>
        <v>58</v>
      </c>
      <c r="T88" s="11">
        <f>VLOOKUP($G88, 'ADP Data'!$C$4:$Q$300, 7, FALSE)</f>
        <v>69</v>
      </c>
      <c r="U88" s="11">
        <f>VLOOKUP($G88, 'ADP Data'!$C$4:$Q$300, 8, FALSE)</f>
        <v>78</v>
      </c>
      <c r="V88" s="11">
        <f t="shared" si="8"/>
        <v>68</v>
      </c>
      <c r="W88" s="11">
        <f t="shared" si="9"/>
        <v>9</v>
      </c>
      <c r="X88" s="11">
        <f t="shared" si="10"/>
        <v>-3</v>
      </c>
      <c r="Y88" s="11">
        <f>VLOOKUP($G88, SeanRanks!$A$2:$K$303, 10, FALSE)-V88</f>
        <v>-14</v>
      </c>
      <c r="Z88" s="29">
        <f>IF(VLOOKUP($G88, SeanRanks!$A$2:$H$303, 7, FALSE)=0, "", VLOOKUP($G88, SeanRanks!$A$2:$H$303, 7, FALSE))</f>
        <v>24</v>
      </c>
    </row>
    <row r="89" ht="14.25" customHeight="1">
      <c r="A89" s="11"/>
      <c r="B89" s="11">
        <f t="shared" si="4"/>
        <v>5</v>
      </c>
      <c r="C89" s="11" t="s">
        <v>95</v>
      </c>
      <c r="D89" s="11">
        <v>7.0</v>
      </c>
      <c r="E89" s="11"/>
      <c r="F89" s="11" t="str">
        <f>VLOOKUP(G89, SeanRanks!$A$2:$E$302, 4, FALSE)</f>
        <v/>
      </c>
      <c r="G89" s="11" t="s">
        <v>353</v>
      </c>
      <c r="H89" s="11" t="str">
        <f>VLOOKUP($G89, 'ADP Data'!$C$4:$Q$300, 2, FALSE)</f>
        <v>KC</v>
      </c>
      <c r="I89" s="11">
        <f>VLOOKUP(G89, 'ADP Data'!$C$4:$R$498, 12, FALSE)</f>
        <v>43</v>
      </c>
      <c r="J89" s="33" t="str">
        <f>VLOOKUP($G89, SeanRanks!$A$2:$H$303, 5, FALSE)</f>
        <v/>
      </c>
      <c r="K89" s="11" t="str">
        <f>IF(VLOOKUP($G89, SeanRanks!$A$2:$H$303, 6, FALSE)=0, "", VLOOKUP($G89, SeanRanks!$A$2:$H$303, 6, FALSE))</f>
        <v>WR2 - 2 - Upside with risk</v>
      </c>
      <c r="L89" s="11">
        <f t="shared" si="5"/>
        <v>8</v>
      </c>
      <c r="M89" s="11">
        <f>VLOOKUP($G89, 'ADP Data'!$C$4:$Q$300, 9, FALSE)</f>
        <v>58</v>
      </c>
      <c r="N89" s="11">
        <f t="shared" si="6"/>
        <v>5</v>
      </c>
      <c r="O89" s="11">
        <f>VLOOKUP($G89, 'ADP Data'!$C$4:$Q$300, 3, FALSE)</f>
        <v>50</v>
      </c>
      <c r="P89" s="11">
        <f t="shared" si="7"/>
        <v>8</v>
      </c>
      <c r="Q89" s="11">
        <f>VLOOKUP($G89, 'ADP Data'!$C$4:$Q$300, 4, FALSE)</f>
        <v>50</v>
      </c>
      <c r="R89" s="11">
        <f>VLOOKUP($G89, 'ADP Data'!$C$4:$Q$300, 5, FALSE)</f>
        <v>57</v>
      </c>
      <c r="S89" s="11">
        <f>VLOOKUP($G89, 'ADP Data'!$C$4:$Q$300, 6, FALSE)</f>
        <v>48</v>
      </c>
      <c r="T89" s="11">
        <f>VLOOKUP($G89, 'ADP Data'!$C$4:$Q$300, 7, FALSE)</f>
        <v>45</v>
      </c>
      <c r="U89" s="11">
        <f>VLOOKUP($G89, 'ADP Data'!$C$4:$Q$300, 8, FALSE)</f>
        <v>68</v>
      </c>
      <c r="V89" s="11">
        <f t="shared" si="8"/>
        <v>53</v>
      </c>
      <c r="W89" s="11">
        <f t="shared" si="9"/>
        <v>7</v>
      </c>
      <c r="X89" s="11">
        <f t="shared" si="10"/>
        <v>0</v>
      </c>
      <c r="Y89" s="11">
        <f>VLOOKUP($G89, SeanRanks!$A$2:$K$303, 10, FALSE)-V89</f>
        <v>-2</v>
      </c>
      <c r="Z89" s="29">
        <f>IF(VLOOKUP($G89, SeanRanks!$A$2:$H$303, 7, FALSE)=0, "", VLOOKUP($G89, SeanRanks!$A$2:$H$303, 7, FALSE))</f>
        <v>22</v>
      </c>
    </row>
    <row r="90" ht="14.25" customHeight="1">
      <c r="A90" s="11"/>
      <c r="B90" s="11">
        <f t="shared" si="4"/>
        <v>8</v>
      </c>
      <c r="C90" s="11" t="s">
        <v>95</v>
      </c>
      <c r="D90" s="11">
        <v>9.0</v>
      </c>
      <c r="E90" s="11"/>
      <c r="F90" s="11" t="str">
        <f>VLOOKUP(G90, SeanRanks!$A$2:$E$302, 4, FALSE)</f>
        <v/>
      </c>
      <c r="G90" s="11" t="s">
        <v>578</v>
      </c>
      <c r="H90" s="11" t="str">
        <f>VLOOKUP($G90, 'ADP Data'!$C$4:$Q$300, 2, FALSE)</f>
        <v>CLE</v>
      </c>
      <c r="I90" s="11">
        <f>VLOOKUP(G90, 'ADP Data'!$C$4:$R$498, 12, FALSE)</f>
        <v>105</v>
      </c>
      <c r="J90" s="57" t="str">
        <f>VLOOKUP($G90, SeanRanks!$A$2:$H$303, 5, FALSE)</f>
        <v/>
      </c>
      <c r="K90" s="11" t="str">
        <f>IF(VLOOKUP($G90, SeanRanks!$A$2:$H$303, 6, FALSE)=0, "", VLOOKUP($G90, SeanRanks!$A$2:$H$303, 6, FALSE))</f>
        <v>TE1 - 3 - Weekly Start</v>
      </c>
      <c r="L90" s="11">
        <f t="shared" si="5"/>
        <v>12</v>
      </c>
      <c r="M90" s="11">
        <f>VLOOKUP($G90, 'ADP Data'!$C$4:$Q$300, 9, FALSE)</f>
        <v>92</v>
      </c>
      <c r="N90" s="11">
        <f t="shared" si="6"/>
        <v>6</v>
      </c>
      <c r="O90" s="11">
        <f>VLOOKUP($G90, 'ADP Data'!$C$4:$Q$300, 3, FALSE)</f>
        <v>74</v>
      </c>
      <c r="P90" s="11">
        <f t="shared" si="7"/>
        <v>18</v>
      </c>
      <c r="Q90" s="11">
        <f>VLOOKUP($G90, 'ADP Data'!$C$4:$Q$300, 4, FALSE)</f>
        <v>72</v>
      </c>
      <c r="R90" s="11">
        <f>VLOOKUP($G90, 'ADP Data'!$C$4:$Q$300, 5, FALSE)</f>
        <v>108</v>
      </c>
      <c r="S90" s="11">
        <f>VLOOKUP($G90, 'ADP Data'!$C$4:$Q$300, 6, FALSE)</f>
        <v>76</v>
      </c>
      <c r="T90" s="11">
        <f>VLOOKUP($G90, 'ADP Data'!$C$4:$Q$300, 7, FALSE)</f>
        <v>101</v>
      </c>
      <c r="U90" s="11">
        <f>VLOOKUP($G90, 'ADP Data'!$C$4:$Q$300, 8, FALSE)</f>
        <v>85</v>
      </c>
      <c r="V90" s="11">
        <f t="shared" si="8"/>
        <v>86</v>
      </c>
      <c r="W90" s="11">
        <f t="shared" si="9"/>
        <v>11</v>
      </c>
      <c r="X90" s="11">
        <f t="shared" si="10"/>
        <v>-2</v>
      </c>
      <c r="Y90" s="11">
        <f>VLOOKUP($G90, SeanRanks!$A$2:$K$303, 10, FALSE)-V90</f>
        <v>11</v>
      </c>
      <c r="Z90" s="29">
        <f>IF(VLOOKUP($G90, SeanRanks!$A$2:$H$303, 7, FALSE)=0, "", VLOOKUP($G90, SeanRanks!$A$2:$H$303, 7, FALSE))</f>
        <v>10</v>
      </c>
    </row>
    <row r="91" ht="14.25" customHeight="1">
      <c r="A91" s="11"/>
      <c r="B91" s="11">
        <f t="shared" si="4"/>
        <v>10</v>
      </c>
      <c r="C91" s="11" t="s">
        <v>95</v>
      </c>
      <c r="D91" s="11">
        <v>7.0</v>
      </c>
      <c r="E91" s="11"/>
      <c r="F91" s="11" t="str">
        <f>VLOOKUP(G91, SeanRanks!$A$2:$E$302, 4, FALSE)</f>
        <v/>
      </c>
      <c r="G91" s="11" t="s">
        <v>144</v>
      </c>
      <c r="H91" s="11" t="str">
        <f>VLOOKUP($G91, 'ADP Data'!$C$4:$Q$300, 2, FALSE)</f>
        <v>DAL</v>
      </c>
      <c r="I91" s="11">
        <f>VLOOKUP(G91, 'ADP Data'!$C$4:$R$498, 12, FALSE)</f>
        <v>122</v>
      </c>
      <c r="J91" s="59" t="str">
        <f>VLOOKUP($G91, SeanRanks!$A$2:$H$303, 5, FALSE)</f>
        <v>No</v>
      </c>
      <c r="K91" s="11" t="str">
        <f>IF(VLOOKUP($G91, SeanRanks!$A$2:$H$303, 6, FALSE)=0, "", VLOOKUP($G91, SeanRanks!$A$2:$H$303, 6, FALSE))</f>
        <v>RB4 - 2 - low ceiling</v>
      </c>
      <c r="L91" s="11">
        <f t="shared" si="5"/>
        <v>13</v>
      </c>
      <c r="M91" s="11">
        <f>VLOOKUP($G91, 'ADP Data'!$C$4:$Q$300, 9, FALSE)</f>
        <v>100</v>
      </c>
      <c r="N91" s="11">
        <f t="shared" si="6"/>
        <v>-12</v>
      </c>
      <c r="O91" s="11">
        <f>VLOOKUP($G91, 'ADP Data'!$C$4:$Q$300, 3, FALSE)</f>
        <v>108</v>
      </c>
      <c r="P91" s="11">
        <f t="shared" si="7"/>
        <v>-8</v>
      </c>
      <c r="Q91" s="11">
        <f>VLOOKUP($G91, 'ADP Data'!$C$4:$Q$300, 4, FALSE)</f>
        <v>103</v>
      </c>
      <c r="R91" s="11">
        <f>VLOOKUP($G91, 'ADP Data'!$C$4:$Q$300, 5, FALSE)</f>
        <v>117</v>
      </c>
      <c r="S91" s="11">
        <f>VLOOKUP($G91, 'ADP Data'!$C$4:$Q$300, 6, FALSE)</f>
        <v>106</v>
      </c>
      <c r="T91" s="11">
        <f>VLOOKUP($G91, 'ADP Data'!$C$4:$Q$300, 7, FALSE)</f>
        <v>106</v>
      </c>
      <c r="U91" s="11">
        <f>VLOOKUP($G91, 'ADP Data'!$C$4:$Q$300, 8, FALSE)</f>
        <v>150</v>
      </c>
      <c r="V91" s="11">
        <f t="shared" si="8"/>
        <v>112</v>
      </c>
      <c r="W91" s="11">
        <f t="shared" si="9"/>
        <v>15</v>
      </c>
      <c r="X91" s="11">
        <f t="shared" si="10"/>
        <v>-8</v>
      </c>
      <c r="Y91" s="11">
        <f>VLOOKUP($G91, SeanRanks!$A$2:$K$303, 10, FALSE)-V91</f>
        <v>0</v>
      </c>
      <c r="Z91" s="29">
        <f>IF(VLOOKUP($G91, SeanRanks!$A$2:$H$303, 7, FALSE)=0, "", VLOOKUP($G91, SeanRanks!$A$2:$H$303, 7, FALSE))</f>
        <v>52</v>
      </c>
    </row>
    <row r="92" ht="14.25" customHeight="1">
      <c r="A92" s="11" t="s">
        <v>106</v>
      </c>
      <c r="B92" s="11">
        <f t="shared" si="4"/>
        <v>8</v>
      </c>
      <c r="C92" s="11" t="s">
        <v>95</v>
      </c>
      <c r="D92" s="11">
        <v>6.0</v>
      </c>
      <c r="E92" s="11"/>
      <c r="F92" s="11" t="str">
        <f>VLOOKUP(G92, SeanRanks!$A$2:$E$302, 4, FALSE)</f>
        <v/>
      </c>
      <c r="G92" s="11" t="s">
        <v>236</v>
      </c>
      <c r="H92" s="11" t="str">
        <f>VLOOKUP($G92, 'ADP Data'!$C$4:$Q$300, 2, FALSE)</f>
        <v>PIT</v>
      </c>
      <c r="I92" s="11">
        <f>VLOOKUP(G92, 'ADP Data'!$C$4:$R$498, 12, FALSE)</f>
        <v>86</v>
      </c>
      <c r="J92" s="48" t="str">
        <f>VLOOKUP($G92, SeanRanks!$A$2:$H$303, 5, FALSE)</f>
        <v/>
      </c>
      <c r="K92" s="11" t="str">
        <f>IF(VLOOKUP($G92, SeanRanks!$A$2:$H$303, 6, FALSE)=0, "", VLOOKUP($G92, SeanRanks!$A$2:$H$303, 6, FALSE))</f>
        <v>RB3 - 2 - low ceiling</v>
      </c>
      <c r="L92" s="11">
        <f t="shared" si="5"/>
        <v>11</v>
      </c>
      <c r="M92" s="11">
        <f>VLOOKUP($G92, 'ADP Data'!$C$4:$Q$300, 9, FALSE)</f>
        <v>86</v>
      </c>
      <c r="N92" s="11">
        <f t="shared" si="6"/>
        <v>-4</v>
      </c>
      <c r="O92" s="11">
        <f>VLOOKUP($G92, 'ADP Data'!$C$4:$Q$300, 3, FALSE)</f>
        <v>88</v>
      </c>
      <c r="P92" s="11">
        <f t="shared" si="7"/>
        <v>-2</v>
      </c>
      <c r="Q92" s="11">
        <f>VLOOKUP($G92, 'ADP Data'!$C$4:$Q$300, 4, FALSE)</f>
        <v>85</v>
      </c>
      <c r="R92" s="11">
        <f>VLOOKUP($G92, 'ADP Data'!$C$4:$Q$300, 5, FALSE)</f>
        <v>96</v>
      </c>
      <c r="S92" s="11">
        <f>VLOOKUP($G92, 'ADP Data'!$C$4:$Q$300, 6, FALSE)</f>
        <v>84</v>
      </c>
      <c r="T92" s="11">
        <f>VLOOKUP($G92, 'ADP Data'!$C$4:$Q$300, 7, FALSE)</f>
        <v>86</v>
      </c>
      <c r="U92" s="11">
        <f>VLOOKUP($G92, 'ADP Data'!$C$4:$Q$300, 8, FALSE)</f>
        <v>107</v>
      </c>
      <c r="V92" s="11">
        <f t="shared" si="8"/>
        <v>90</v>
      </c>
      <c r="W92" s="11">
        <f t="shared" si="9"/>
        <v>12</v>
      </c>
      <c r="X92" s="11">
        <f t="shared" si="10"/>
        <v>-6</v>
      </c>
      <c r="Y92" s="11">
        <f>VLOOKUP($G92, SeanRanks!$A$2:$K$303, 10, FALSE)-V92</f>
        <v>-15</v>
      </c>
      <c r="Z92" s="29">
        <f>IF(VLOOKUP($G92, SeanRanks!$A$2:$H$303, 7, FALSE)=0, "", VLOOKUP($G92, SeanRanks!$A$2:$H$303, 7, FALSE))</f>
        <v>35</v>
      </c>
    </row>
    <row r="93" ht="14.25" customHeight="1">
      <c r="A93" s="11"/>
      <c r="B93" s="11">
        <f t="shared" si="4"/>
        <v>7</v>
      </c>
      <c r="C93" s="11" t="s">
        <v>95</v>
      </c>
      <c r="D93" s="11">
        <v>9.0</v>
      </c>
      <c r="E93" s="11"/>
      <c r="F93" s="11" t="str">
        <f>VLOOKUP(G93, SeanRanks!$A$2:$E$302, 4, FALSE)</f>
        <v/>
      </c>
      <c r="G93" s="11" t="s">
        <v>208</v>
      </c>
      <c r="H93" s="11" t="str">
        <f>VLOOKUP($G93, 'ADP Data'!$C$4:$Q$300, 2, FALSE)</f>
        <v>CHI</v>
      </c>
      <c r="I93" s="11">
        <f>VLOOKUP(G93, 'ADP Data'!$C$4:$R$498, 12, FALSE)</f>
        <v>66</v>
      </c>
      <c r="J93" s="33" t="str">
        <f>VLOOKUP($G93, SeanRanks!$A$2:$H$303, 5, FALSE)</f>
        <v/>
      </c>
      <c r="K93" s="11" t="str">
        <f>IF(VLOOKUP($G93, SeanRanks!$A$2:$H$303, 6, FALSE)=0, "", VLOOKUP($G93, SeanRanks!$A$2:$H$303, 6, FALSE))</f>
        <v>WR3 - 2 - mid, but path to big upside</v>
      </c>
      <c r="L93" s="11">
        <f t="shared" si="5"/>
        <v>11</v>
      </c>
      <c r="M93" s="11">
        <f>VLOOKUP($G93, 'ADP Data'!$C$4:$Q$300, 9, FALSE)</f>
        <v>80</v>
      </c>
      <c r="N93" s="11">
        <f t="shared" si="6"/>
        <v>0</v>
      </c>
      <c r="O93" s="11">
        <f>VLOOKUP($G93, 'ADP Data'!$C$4:$Q$300, 3, FALSE)</f>
        <v>99</v>
      </c>
      <c r="P93" s="11">
        <f t="shared" si="7"/>
        <v>-19</v>
      </c>
      <c r="Q93" s="11">
        <f>VLOOKUP($G93, 'ADP Data'!$C$4:$Q$300, 4, FALSE)</f>
        <v>76</v>
      </c>
      <c r="R93" s="11">
        <f>VLOOKUP($G93, 'ADP Data'!$C$4:$Q$300, 5, FALSE)</f>
        <v>75</v>
      </c>
      <c r="S93" s="11">
        <f>VLOOKUP($G93, 'ADP Data'!$C$4:$Q$300, 6, FALSE)</f>
        <v>77</v>
      </c>
      <c r="T93" s="11">
        <f>VLOOKUP($G93, 'ADP Data'!$C$4:$Q$300, 7, FALSE)</f>
        <v>64</v>
      </c>
      <c r="U93" s="11">
        <f>VLOOKUP($G93, 'ADP Data'!$C$4:$Q$300, 8, FALSE)</f>
        <v>89</v>
      </c>
      <c r="V93" s="11">
        <f t="shared" si="8"/>
        <v>80</v>
      </c>
      <c r="W93" s="11">
        <f t="shared" si="9"/>
        <v>11</v>
      </c>
      <c r="X93" s="11">
        <f t="shared" si="10"/>
        <v>-2</v>
      </c>
      <c r="Y93" s="11">
        <f>VLOOKUP($G93, SeanRanks!$A$2:$K$303, 10, FALSE)-V93</f>
        <v>-17</v>
      </c>
      <c r="Z93" s="29">
        <f>IF(VLOOKUP($G93, SeanRanks!$A$2:$H$303, 7, FALSE)=0, "", VLOOKUP($G93, SeanRanks!$A$2:$H$303, 7, FALSE))</f>
        <v>33</v>
      </c>
    </row>
    <row r="94" ht="14.25" customHeight="1">
      <c r="A94" s="11"/>
      <c r="B94" s="11">
        <f t="shared" si="4"/>
        <v>3</v>
      </c>
      <c r="C94" s="11" t="s">
        <v>95</v>
      </c>
      <c r="D94" s="11">
        <v>6.0</v>
      </c>
      <c r="E94" s="11"/>
      <c r="F94" s="11" t="str">
        <f>VLOOKUP(G94, SeanRanks!$A$2:$E$302, 4, FALSE)</f>
        <v/>
      </c>
      <c r="G94" s="11" t="s">
        <v>51</v>
      </c>
      <c r="H94" s="11" t="str">
        <f>VLOOKUP($G94, 'ADP Data'!$C$4:$Q$300, 2, FALSE)</f>
        <v>SEA</v>
      </c>
      <c r="I94" s="11">
        <f>VLOOKUP(G94, 'ADP Data'!$C$4:$R$498, 12, FALSE)</f>
        <v>29</v>
      </c>
      <c r="J94" s="33" t="str">
        <f>VLOOKUP($G94, SeanRanks!$A$2:$H$303, 5, FALSE)</f>
        <v/>
      </c>
      <c r="K94" s="11" t="str">
        <f>IF(VLOOKUP($G94, SeanRanks!$A$2:$H$303, 6, FALSE)=0, "", VLOOKUP($G94, SeanRanks!$A$2:$H$303, 6, FALSE))</f>
        <v>WR2 - 1 - WR1 upside</v>
      </c>
      <c r="L94" s="11">
        <f t="shared" si="5"/>
        <v>4</v>
      </c>
      <c r="M94" s="11">
        <f>VLOOKUP($G94, 'ADP Data'!$C$4:$Q$300, 9, FALSE)</f>
        <v>29</v>
      </c>
      <c r="N94" s="11">
        <f t="shared" si="6"/>
        <v>-4</v>
      </c>
      <c r="O94" s="11">
        <f>VLOOKUP($G94, 'ADP Data'!$C$4:$Q$300, 3, FALSE)</f>
        <v>40</v>
      </c>
      <c r="P94" s="11">
        <f t="shared" si="7"/>
        <v>-11</v>
      </c>
      <c r="Q94" s="11">
        <f>VLOOKUP($G94, 'ADP Data'!$C$4:$Q$300, 4, FALSE)</f>
        <v>37</v>
      </c>
      <c r="R94" s="11">
        <f>VLOOKUP($G94, 'ADP Data'!$C$4:$Q$300, 5, FALSE)</f>
        <v>32</v>
      </c>
      <c r="S94" s="11">
        <f>VLOOKUP($G94, 'ADP Data'!$C$4:$Q$300, 6, FALSE)</f>
        <v>31</v>
      </c>
      <c r="T94" s="11">
        <f>VLOOKUP($G94, 'ADP Data'!$C$4:$Q$300, 7, FALSE)</f>
        <v>28</v>
      </c>
      <c r="U94" s="11">
        <f>VLOOKUP($G94, 'ADP Data'!$C$4:$Q$300, 8, FALSE)</f>
        <v>39</v>
      </c>
      <c r="V94" s="11">
        <f t="shared" si="8"/>
        <v>33</v>
      </c>
      <c r="W94" s="11">
        <f t="shared" si="9"/>
        <v>5</v>
      </c>
      <c r="X94" s="11">
        <f t="shared" si="10"/>
        <v>1</v>
      </c>
      <c r="Y94" s="11">
        <f>VLOOKUP($G94, SeanRanks!$A$2:$K$303, 10, FALSE)-V94</f>
        <v>0</v>
      </c>
      <c r="Z94" s="29">
        <f>IF(VLOOKUP($G94, SeanRanks!$A$2:$H$303, 7, FALSE)=0, "", VLOOKUP($G94, SeanRanks!$A$2:$H$303, 7, FALSE))</f>
        <v>13</v>
      </c>
    </row>
    <row r="95" ht="14.25" customHeight="1">
      <c r="A95" s="11"/>
      <c r="B95" s="11" t="str">
        <f t="shared" si="4"/>
        <v>#N/A</v>
      </c>
      <c r="C95" s="11" t="s">
        <v>95</v>
      </c>
      <c r="D95" s="11">
        <v>6.0</v>
      </c>
      <c r="E95" s="11"/>
      <c r="F95" s="11" t="str">
        <f>VLOOKUP(G95, SeanRanks!$A$2:$E$302, 4, FALSE)</f>
        <v>#N/A</v>
      </c>
      <c r="G95" s="11" t="s">
        <v>218</v>
      </c>
      <c r="H95" s="11" t="str">
        <f>VLOOKUP($G95, 'ADP Data'!$C$4:$Q$300, 2, FALSE)</f>
        <v>#N/A</v>
      </c>
      <c r="I95" s="11" t="str">
        <f>VLOOKUP(G95, 'ADP Data'!$C$4:$R$498, 12, FALSE)</f>
        <v>#N/A</v>
      </c>
      <c r="J95" s="33" t="str">
        <f>VLOOKUP($G95, SeanRanks!$A$2:$H$303, 5, FALSE)</f>
        <v>#N/A</v>
      </c>
      <c r="K95" s="11" t="str">
        <f>IF(VLOOKUP($G95, SeanRanks!$A$2:$H$303, 6, FALSE)=0, "", VLOOKUP($G95, SeanRanks!$A$2:$H$303, 6, FALSE))</f>
        <v>#N/A</v>
      </c>
      <c r="L95" s="11">
        <f t="shared" si="5"/>
        <v>16</v>
      </c>
      <c r="M95" s="11" t="str">
        <f>VLOOKUP($G95, 'ADP Data'!$C$4:$Q$300, 9, FALSE)</f>
        <v>#N/A</v>
      </c>
      <c r="N95" s="11" t="str">
        <f t="shared" si="6"/>
        <v>#N/A</v>
      </c>
      <c r="O95" s="11" t="str">
        <f>VLOOKUP($G95, 'ADP Data'!$C$4:$Q$300, 3, FALSE)</f>
        <v>#N/A</v>
      </c>
      <c r="P95" s="11" t="str">
        <f t="shared" si="7"/>
        <v>#N/A</v>
      </c>
      <c r="Q95" s="11" t="str">
        <f>VLOOKUP($G95, 'ADP Data'!$C$4:$Q$300, 4, FALSE)</f>
        <v>#N/A</v>
      </c>
      <c r="R95" s="11" t="str">
        <f>VLOOKUP($G95, 'ADP Data'!$C$4:$Q$300, 5, FALSE)</f>
        <v>#N/A</v>
      </c>
      <c r="S95" s="11" t="str">
        <f>VLOOKUP($G95, 'ADP Data'!$C$4:$Q$300, 6, FALSE)</f>
        <v>#N/A</v>
      </c>
      <c r="T95" s="11" t="str">
        <f>VLOOKUP($G95, 'ADP Data'!$C$4:$Q$300, 7, FALSE)</f>
        <v>#N/A</v>
      </c>
      <c r="U95" s="11" t="str">
        <f>VLOOKUP($G95, 'ADP Data'!$C$4:$Q$300, 8, FALSE)</f>
        <v>#N/A</v>
      </c>
      <c r="V95" s="11" t="str">
        <f t="shared" si="8"/>
        <v>#N/A</v>
      </c>
      <c r="W95" s="11">
        <f t="shared" si="9"/>
        <v>16</v>
      </c>
      <c r="X95" s="11">
        <f t="shared" si="10"/>
        <v>-10</v>
      </c>
      <c r="Y95" s="11" t="str">
        <f>VLOOKUP($G95, SeanRanks!$A$2:$K$303, 10, FALSE)-V95</f>
        <v>#N/A</v>
      </c>
      <c r="Z95" s="29" t="str">
        <f>IF(VLOOKUP($G95, SeanRanks!$A$2:$H$303, 7, FALSE)=0, "", VLOOKUP($G95, SeanRanks!$A$2:$H$303, 7, FALSE))</f>
        <v>#N/A</v>
      </c>
    </row>
    <row r="96" ht="14.25" customHeight="1">
      <c r="A96" s="11"/>
      <c r="B96" s="11">
        <f t="shared" si="4"/>
        <v>9</v>
      </c>
      <c r="C96" s="11" t="s">
        <v>106</v>
      </c>
      <c r="D96" s="11">
        <v>7.0</v>
      </c>
      <c r="E96" s="11"/>
      <c r="F96" s="11" t="str">
        <f>VLOOKUP(G96, SeanRanks!$A$2:$E$302, 4, FALSE)</f>
        <v/>
      </c>
      <c r="G96" s="11" t="s">
        <v>315</v>
      </c>
      <c r="H96" s="11" t="str">
        <f>VLOOKUP($G96, 'ADP Data'!$C$4:$Q$300, 2, FALSE)</f>
        <v>SF</v>
      </c>
      <c r="I96" s="11">
        <f>VLOOKUP(G96, 'ADP Data'!$C$4:$R$498, 12, FALSE)</f>
        <v>106</v>
      </c>
      <c r="J96" s="60" t="str">
        <f>VLOOKUP($G96, SeanRanks!$A$2:$H$303, 5, FALSE)</f>
        <v/>
      </c>
      <c r="K96" s="11" t="str">
        <f>IF(VLOOKUP($G96, SeanRanks!$A$2:$H$303, 6, FALSE)=0, "", VLOOKUP($G96, SeanRanks!$A$2:$H$303, 6, FALSE))</f>
        <v>QB1 - 4 - Weekly Start</v>
      </c>
      <c r="L96" s="11">
        <f t="shared" si="5"/>
        <v>15</v>
      </c>
      <c r="M96" s="11">
        <f>VLOOKUP($G96, 'ADP Data'!$C$4:$Q$300, 9, FALSE)</f>
        <v>112</v>
      </c>
      <c r="N96" s="11">
        <f t="shared" si="6"/>
        <v>10</v>
      </c>
      <c r="O96" s="11">
        <f>VLOOKUP($G96, 'ADP Data'!$C$4:$Q$300, 3, FALSE)</f>
        <v>89</v>
      </c>
      <c r="P96" s="11">
        <f t="shared" si="7"/>
        <v>23</v>
      </c>
      <c r="Q96" s="11">
        <f>VLOOKUP($G96, 'ADP Data'!$C$4:$Q$300, 4, FALSE)</f>
        <v>79</v>
      </c>
      <c r="R96" s="11">
        <f>VLOOKUP($G96, 'ADP Data'!$C$4:$Q$300, 5, FALSE)</f>
        <v>111</v>
      </c>
      <c r="S96" s="11">
        <f>VLOOKUP($G96, 'ADP Data'!$C$4:$Q$300, 6, FALSE)</f>
        <v>110</v>
      </c>
      <c r="T96" s="11">
        <f>VLOOKUP($G96, 'ADP Data'!$C$4:$Q$300, 7, FALSE)</f>
        <v>107</v>
      </c>
      <c r="U96" s="11">
        <f>VLOOKUP($G96, 'ADP Data'!$C$4:$Q$300, 8, FALSE)</f>
        <v>106</v>
      </c>
      <c r="V96" s="11">
        <f t="shared" si="8"/>
        <v>102</v>
      </c>
      <c r="W96" s="11">
        <f t="shared" si="9"/>
        <v>13</v>
      </c>
      <c r="X96" s="11">
        <f t="shared" si="10"/>
        <v>-6</v>
      </c>
      <c r="Y96" s="11">
        <f>VLOOKUP($G96, SeanRanks!$A$2:$K$303, 10, FALSE)-V96</f>
        <v>-16</v>
      </c>
      <c r="Z96" s="29">
        <f>IF(VLOOKUP($G96, SeanRanks!$A$2:$H$303, 7, FALSE)=0, "", VLOOKUP($G96, SeanRanks!$A$2:$H$303, 7, FALSE))</f>
        <v>12</v>
      </c>
    </row>
    <row r="97" ht="14.25" customHeight="1">
      <c r="A97" s="11"/>
      <c r="B97" s="11">
        <f t="shared" si="4"/>
        <v>3</v>
      </c>
      <c r="C97" s="11" t="s">
        <v>95</v>
      </c>
      <c r="D97" s="11">
        <v>7.0</v>
      </c>
      <c r="E97" s="11"/>
      <c r="F97" s="11" t="str">
        <f>VLOOKUP(G97, SeanRanks!$A$2:$E$302, 4, FALSE)</f>
        <v/>
      </c>
      <c r="G97" s="11" t="s">
        <v>224</v>
      </c>
      <c r="H97" s="11" t="str">
        <f>VLOOKUP($G97, 'ADP Data'!$C$4:$Q$300, 2, FALSE)</f>
        <v>WAS</v>
      </c>
      <c r="I97" s="11">
        <f>VLOOKUP(G97, 'ADP Data'!$C$4:$R$498, 12, FALSE)</f>
        <v>36</v>
      </c>
      <c r="J97" s="60" t="str">
        <f>VLOOKUP($G97, SeanRanks!$A$2:$H$303, 5, FALSE)</f>
        <v/>
      </c>
      <c r="K97" s="11" t="str">
        <f>IF(VLOOKUP($G97, SeanRanks!$A$2:$H$303, 6, FALSE)=0, "", VLOOKUP($G97, SeanRanks!$A$2:$H$303, 6, FALSE))</f>
        <v>QB1 - 2 - QB1 Upside</v>
      </c>
      <c r="L97" s="11">
        <f t="shared" si="5"/>
        <v>5</v>
      </c>
      <c r="M97" s="11">
        <f>VLOOKUP($G97, 'ADP Data'!$C$4:$Q$300, 9, FALSE)</f>
        <v>33</v>
      </c>
      <c r="N97" s="11">
        <f t="shared" si="6"/>
        <v>0</v>
      </c>
      <c r="O97" s="11">
        <f>VLOOKUP($G97, 'ADP Data'!$C$4:$Q$300, 3, FALSE)</f>
        <v>30</v>
      </c>
      <c r="P97" s="11">
        <f t="shared" si="7"/>
        <v>3</v>
      </c>
      <c r="Q97" s="11">
        <f>VLOOKUP($G97, 'ADP Data'!$C$4:$Q$300, 4, FALSE)</f>
        <v>27</v>
      </c>
      <c r="R97" s="11">
        <f>VLOOKUP($G97, 'ADP Data'!$C$4:$Q$300, 5, FALSE)</f>
        <v>42</v>
      </c>
      <c r="S97" s="11">
        <f>VLOOKUP($G97, 'ADP Data'!$C$4:$Q$300, 6, FALSE)</f>
        <v>35</v>
      </c>
      <c r="T97" s="11">
        <f>VLOOKUP($G97, 'ADP Data'!$C$4:$Q$300, 7, FALSE)</f>
        <v>35</v>
      </c>
      <c r="U97" s="11">
        <f>VLOOKUP($G97, 'ADP Data'!$C$4:$Q$300, 8, FALSE)</f>
        <v>29</v>
      </c>
      <c r="V97" s="11">
        <f t="shared" si="8"/>
        <v>33</v>
      </c>
      <c r="W97" s="11">
        <f t="shared" si="9"/>
        <v>5</v>
      </c>
      <c r="X97" s="11">
        <f t="shared" si="10"/>
        <v>2</v>
      </c>
      <c r="Y97" s="11">
        <f>VLOOKUP($G97, SeanRanks!$A$2:$K$303, 10, FALSE)-V97</f>
        <v>-3</v>
      </c>
      <c r="Z97" s="29">
        <f>IF(VLOOKUP($G97, SeanRanks!$A$2:$H$303, 7, FALSE)=0, "", VLOOKUP($G97, SeanRanks!$A$2:$H$303, 7, FALSE))</f>
        <v>4</v>
      </c>
    </row>
    <row r="98" ht="14.25" customHeight="1">
      <c r="A98" s="11"/>
      <c r="B98" s="11">
        <f t="shared" si="4"/>
        <v>12</v>
      </c>
      <c r="C98" s="11" t="s">
        <v>95</v>
      </c>
      <c r="D98" s="11">
        <v>6.0</v>
      </c>
      <c r="E98" s="11"/>
      <c r="F98" s="11" t="str">
        <f>VLOOKUP(G98, SeanRanks!$A$2:$E$302, 4, FALSE)</f>
        <v/>
      </c>
      <c r="G98" s="11" t="s">
        <v>422</v>
      </c>
      <c r="H98" s="11" t="str">
        <f>VLOOKUP($G98, 'ADP Data'!$C$4:$Q$300, 2, FALSE)</f>
        <v>SF</v>
      </c>
      <c r="I98" s="11">
        <f>VLOOKUP(G98, 'ADP Data'!$C$4:$R$498, 12, FALSE)</f>
        <v>148</v>
      </c>
      <c r="J98" s="58" t="str">
        <f>VLOOKUP($G98, SeanRanks!$A$2:$H$303, 5, FALSE)</f>
        <v/>
      </c>
      <c r="K98" s="11" t="str">
        <f>IF(VLOOKUP($G98, SeanRanks!$A$2:$H$303, 6, FALSE)=0, "", VLOOKUP($G98, SeanRanks!$A$2:$H$303, 6, FALSE))</f>
        <v>RB3 - 2 - low ceiling</v>
      </c>
      <c r="L98" s="11">
        <f t="shared" si="5"/>
        <v>10</v>
      </c>
      <c r="M98" s="11">
        <f>VLOOKUP($G98, 'ADP Data'!$C$4:$Q$300, 9, FALSE)</f>
        <v>78</v>
      </c>
      <c r="N98" s="11">
        <f t="shared" si="6"/>
        <v>-47</v>
      </c>
      <c r="O98" s="11">
        <f>VLOOKUP($G98, 'ADP Data'!$C$4:$Q$300, 3, FALSE)</f>
        <v>125</v>
      </c>
      <c r="P98" s="11">
        <f t="shared" si="7"/>
        <v>-47</v>
      </c>
      <c r="Q98" s="11">
        <f>VLOOKUP($G98, 'ADP Data'!$C$4:$Q$300, 4, FALSE)</f>
        <v>168</v>
      </c>
      <c r="R98" s="11">
        <f>VLOOKUP($G98, 'ADP Data'!$C$4:$Q$300, 5, FALSE)</f>
        <v>177</v>
      </c>
      <c r="S98" s="11">
        <f>VLOOKUP($G98, 'ADP Data'!$C$4:$Q$300, 6, FALSE)</f>
        <v>125</v>
      </c>
      <c r="T98" s="11">
        <f>VLOOKUP($G98, 'ADP Data'!$C$4:$Q$300, 7, FALSE)</f>
        <v>102</v>
      </c>
      <c r="U98" s="11">
        <f>VLOOKUP($G98, 'ADP Data'!$C$4:$Q$300, 8, FALSE)</f>
        <v>103</v>
      </c>
      <c r="V98" s="11">
        <f t="shared" si="8"/>
        <v>125</v>
      </c>
      <c r="W98" s="11">
        <f t="shared" si="9"/>
        <v>16</v>
      </c>
      <c r="X98" s="11">
        <f t="shared" si="10"/>
        <v>-10</v>
      </c>
      <c r="Y98" s="11">
        <f>VLOOKUP($G98, SeanRanks!$A$2:$K$303, 10, FALSE)-V98</f>
        <v>22</v>
      </c>
      <c r="Z98" s="29">
        <f>IF(VLOOKUP($G98, SeanRanks!$A$2:$H$303, 7, FALSE)=0, "", VLOOKUP($G98, SeanRanks!$A$2:$H$303, 7, FALSE))</f>
        <v>36</v>
      </c>
    </row>
    <row r="99" ht="14.25" customHeight="1">
      <c r="A99" s="11"/>
      <c r="B99" s="11">
        <f t="shared" si="4"/>
        <v>16</v>
      </c>
      <c r="C99" s="11" t="s">
        <v>95</v>
      </c>
      <c r="D99" s="11"/>
      <c r="E99" s="11"/>
      <c r="F99" s="11" t="str">
        <f>VLOOKUP(G99, SeanRanks!$A$2:$E$302, 4, FALSE)</f>
        <v/>
      </c>
      <c r="G99" s="11" t="s">
        <v>393</v>
      </c>
      <c r="H99" s="11" t="str">
        <f>VLOOKUP($G99, 'ADP Data'!$C$4:$Q$300, 2, FALSE)</f>
        <v>TEN</v>
      </c>
      <c r="I99" s="11">
        <f>VLOOKUP(G99, 'ADP Data'!$C$4:$R$498, 12, FALSE)</f>
        <v>181</v>
      </c>
      <c r="J99" s="58" t="str">
        <f>VLOOKUP($G99, SeanRanks!$A$2:$H$303, 5, FALSE)</f>
        <v/>
      </c>
      <c r="K99" s="11" t="str">
        <f>IF(VLOOKUP($G99, SeanRanks!$A$2:$H$303, 6, FALSE)=0, "", VLOOKUP($G99, SeanRanks!$A$2:$H$303, 6, FALSE))</f>
        <v>RB4 - 1 - Path to spikes</v>
      </c>
      <c r="L99" s="11">
        <f t="shared" si="5"/>
        <v>16</v>
      </c>
      <c r="M99" s="11">
        <f>VLOOKUP($G99, 'ADP Data'!$C$4:$Q$300, 9, FALSE)</f>
        <v>123</v>
      </c>
      <c r="N99" s="11">
        <f t="shared" si="6"/>
        <v>-48</v>
      </c>
      <c r="O99" s="11">
        <f>VLOOKUP($G99, 'ADP Data'!$C$4:$Q$300, 3, FALSE)</f>
        <v>163</v>
      </c>
      <c r="P99" s="11">
        <f t="shared" si="7"/>
        <v>-40</v>
      </c>
      <c r="Q99" s="11">
        <f>VLOOKUP($G99, 'ADP Data'!$C$4:$Q$300, 4, FALSE)</f>
        <v>165</v>
      </c>
      <c r="R99" s="11">
        <f>VLOOKUP($G99, 'ADP Data'!$C$4:$Q$300, 5, FALSE)</f>
        <v>253</v>
      </c>
      <c r="S99" s="11">
        <f>VLOOKUP($G99, 'ADP Data'!$C$4:$Q$300, 6, FALSE)</f>
        <v>152</v>
      </c>
      <c r="T99" s="11">
        <f>VLOOKUP($G99, 'ADP Data'!$C$4:$Q$300, 7, FALSE)</f>
        <v>149</v>
      </c>
      <c r="U99" s="11">
        <f>VLOOKUP($G99, 'ADP Data'!$C$4:$Q$300, 8, FALSE)</f>
        <v>198</v>
      </c>
      <c r="V99" s="11">
        <f t="shared" si="8"/>
        <v>171</v>
      </c>
      <c r="W99" s="11">
        <f t="shared" si="9"/>
        <v>22</v>
      </c>
      <c r="X99" s="11">
        <f t="shared" si="10"/>
        <v>-22</v>
      </c>
      <c r="Y99" s="11">
        <f>VLOOKUP($G99, SeanRanks!$A$2:$K$303, 10, FALSE)-V99</f>
        <v>-40</v>
      </c>
      <c r="Z99" s="29">
        <f>IF(VLOOKUP($G99, SeanRanks!$A$2:$H$303, 7, FALSE)=0, "", VLOOKUP($G99, SeanRanks!$A$2:$H$303, 7, FALSE))</f>
        <v>40</v>
      </c>
    </row>
    <row r="100" ht="14.25" customHeight="1">
      <c r="A100" s="11"/>
      <c r="B100" s="11">
        <f t="shared" si="4"/>
        <v>12</v>
      </c>
      <c r="C100" s="11" t="s">
        <v>106</v>
      </c>
      <c r="D100" s="11">
        <v>9.0</v>
      </c>
      <c r="E100" s="11"/>
      <c r="F100" s="11" t="str">
        <f>VLOOKUP(G100, SeanRanks!$A$2:$E$302, 4, FALSE)</f>
        <v/>
      </c>
      <c r="G100" s="11" t="s">
        <v>848</v>
      </c>
      <c r="H100" s="11" t="str">
        <f>VLOOKUP($G100, 'ADP Data'!$C$4:$Q$300, 2, FALSE)</f>
        <v>WAS</v>
      </c>
      <c r="I100" s="11">
        <f>VLOOKUP(G100, 'ADP Data'!$C$4:$R$498, 12, FALSE)</f>
        <v>124</v>
      </c>
      <c r="J100" s="58" t="str">
        <f>VLOOKUP($G100, SeanRanks!$A$2:$H$303, 5, FALSE)</f>
        <v/>
      </c>
      <c r="K100" s="11" t="str">
        <f>IF(VLOOKUP($G100, SeanRanks!$A$2:$H$303, 6, FALSE)=0, "", VLOOKUP($G100, SeanRanks!$A$2:$H$303, 6, FALSE))</f>
        <v>RB4 - 2 - low ceiling</v>
      </c>
      <c r="L100" s="11">
        <f t="shared" si="5"/>
        <v>17</v>
      </c>
      <c r="M100" s="11">
        <f>VLOOKUP($G100, 'ADP Data'!$C$4:$Q$300, 9, FALSE)</f>
        <v>130</v>
      </c>
      <c r="N100" s="11">
        <f t="shared" si="6"/>
        <v>5</v>
      </c>
      <c r="O100" s="11">
        <f>VLOOKUP($G100, 'ADP Data'!$C$4:$Q$300, 3, FALSE)</f>
        <v>86</v>
      </c>
      <c r="P100" s="11">
        <f t="shared" si="7"/>
        <v>44</v>
      </c>
      <c r="Q100" s="11">
        <f>VLOOKUP($G100, 'ADP Data'!$C$4:$Q$300, 4, FALSE)</f>
        <v>96</v>
      </c>
      <c r="R100" s="11">
        <f>VLOOKUP($G100, 'ADP Data'!$C$4:$Q$300, 5, FALSE)</f>
        <v>172</v>
      </c>
      <c r="S100" s="11">
        <f>VLOOKUP($G100, 'ADP Data'!$C$4:$Q$300, 6, FALSE)</f>
        <v>109</v>
      </c>
      <c r="T100" s="11">
        <f>VLOOKUP($G100, 'ADP Data'!$C$4:$Q$300, 7, FALSE)</f>
        <v>142</v>
      </c>
      <c r="U100" s="11">
        <f>VLOOKUP($G100, 'ADP Data'!$C$4:$Q$300, 8, FALSE)</f>
        <v>143</v>
      </c>
      <c r="V100" s="11">
        <f t="shared" si="8"/>
        <v>125</v>
      </c>
      <c r="W100" s="11">
        <f t="shared" si="9"/>
        <v>16</v>
      </c>
      <c r="X100" s="11">
        <f t="shared" si="10"/>
        <v>-7</v>
      </c>
      <c r="Y100" s="11">
        <f>VLOOKUP($G100, SeanRanks!$A$2:$K$303, 10, FALSE)-V100</f>
        <v>-21</v>
      </c>
      <c r="Z100" s="29">
        <f>IF(VLOOKUP($G100, SeanRanks!$A$2:$H$303, 7, FALSE)=0, "", VLOOKUP($G100, SeanRanks!$A$2:$H$303, 7, FALSE))</f>
        <v>49</v>
      </c>
    </row>
    <row r="101" ht="14.25" customHeight="1">
      <c r="A101" s="11"/>
      <c r="B101" s="11" t="str">
        <f t="shared" si="4"/>
        <v>#N/A</v>
      </c>
      <c r="C101" s="11" t="s">
        <v>95</v>
      </c>
      <c r="D101" s="11">
        <v>7.0</v>
      </c>
      <c r="E101" s="11"/>
      <c r="F101" s="11" t="str">
        <f>VLOOKUP(G101, SeanRanks!$A$2:$E$302, 4, FALSE)</f>
        <v>#N/A</v>
      </c>
      <c r="G101" s="11" t="s">
        <v>850</v>
      </c>
      <c r="H101" s="11" t="str">
        <f>VLOOKUP($G101, 'ADP Data'!$C$4:$Q$300, 2, FALSE)</f>
        <v>#N/A</v>
      </c>
      <c r="I101" s="11" t="str">
        <f>VLOOKUP(G101, 'ADP Data'!$C$4:$R$498, 12, FALSE)</f>
        <v>#N/A</v>
      </c>
      <c r="J101" s="59" t="str">
        <f>VLOOKUP($G101, SeanRanks!$A$2:$H$303, 5, FALSE)</f>
        <v>#N/A</v>
      </c>
      <c r="K101" s="11" t="str">
        <f>IF(VLOOKUP($G101, SeanRanks!$A$2:$H$303, 6, FALSE)=0, "", VLOOKUP($G101, SeanRanks!$A$2:$H$303, 6, FALSE))</f>
        <v>#N/A</v>
      </c>
      <c r="L101" s="11">
        <f t="shared" si="5"/>
        <v>16</v>
      </c>
      <c r="M101" s="11" t="str">
        <f>VLOOKUP($G101, 'ADP Data'!$C$4:$Q$300, 9, FALSE)</f>
        <v>#N/A</v>
      </c>
      <c r="N101" s="11" t="str">
        <f t="shared" si="6"/>
        <v>#N/A</v>
      </c>
      <c r="O101" s="11" t="str">
        <f>VLOOKUP($G101, 'ADP Data'!$C$4:$Q$300, 3, FALSE)</f>
        <v>#N/A</v>
      </c>
      <c r="P101" s="11" t="str">
        <f t="shared" si="7"/>
        <v>#N/A</v>
      </c>
      <c r="Q101" s="11" t="str">
        <f>VLOOKUP($G101, 'ADP Data'!$C$4:$Q$300, 4, FALSE)</f>
        <v>#N/A</v>
      </c>
      <c r="R101" s="11" t="str">
        <f>VLOOKUP($G101, 'ADP Data'!$C$4:$Q$300, 5, FALSE)</f>
        <v>#N/A</v>
      </c>
      <c r="S101" s="11" t="str">
        <f>VLOOKUP($G101, 'ADP Data'!$C$4:$Q$300, 6, FALSE)</f>
        <v>#N/A</v>
      </c>
      <c r="T101" s="11" t="str">
        <f>VLOOKUP($G101, 'ADP Data'!$C$4:$Q$300, 7, FALSE)</f>
        <v>#N/A</v>
      </c>
      <c r="U101" s="11" t="str">
        <f>VLOOKUP($G101, 'ADP Data'!$C$4:$Q$300, 8, FALSE)</f>
        <v>#N/A</v>
      </c>
      <c r="V101" s="11" t="str">
        <f t="shared" si="8"/>
        <v>#N/A</v>
      </c>
      <c r="W101" s="11">
        <f t="shared" si="9"/>
        <v>16</v>
      </c>
      <c r="X101" s="11">
        <f t="shared" si="10"/>
        <v>-9</v>
      </c>
      <c r="Y101" s="11" t="str">
        <f>VLOOKUP($G101, SeanRanks!$A$2:$K$303, 10, FALSE)-V101</f>
        <v>#N/A</v>
      </c>
      <c r="Z101" s="29" t="str">
        <f>IF(VLOOKUP($G101, SeanRanks!$A$2:$H$303, 7, FALSE)=0, "", VLOOKUP($G101, SeanRanks!$A$2:$H$303, 7, FALSE))</f>
        <v>#N/A</v>
      </c>
    </row>
    <row r="102" ht="14.25" customHeight="1">
      <c r="A102" s="11"/>
      <c r="B102" s="11">
        <f t="shared" si="4"/>
        <v>14</v>
      </c>
      <c r="C102" s="11" t="s">
        <v>106</v>
      </c>
      <c r="D102" s="11">
        <v>9.0</v>
      </c>
      <c r="E102" s="11"/>
      <c r="F102" s="11" t="str">
        <f>VLOOKUP(G102, SeanRanks!$A$2:$E$302, 4, FALSE)</f>
        <v/>
      </c>
      <c r="G102" s="11" t="s">
        <v>826</v>
      </c>
      <c r="H102" s="11" t="str">
        <f>VLOOKUP($G102, 'ADP Data'!$C$4:$Q$300, 2, FALSE)</f>
        <v>KC</v>
      </c>
      <c r="I102" s="11">
        <f>VLOOKUP(G102, 'ADP Data'!$C$4:$R$498, 12, FALSE)</f>
        <v>151</v>
      </c>
      <c r="J102" s="37" t="str">
        <f>VLOOKUP($G102, SeanRanks!$A$2:$H$303, 5, FALSE)</f>
        <v/>
      </c>
      <c r="K102" s="11" t="str">
        <f>IF(VLOOKUP($G102, SeanRanks!$A$2:$H$303, 6, FALSE)=0, "", VLOOKUP($G102, SeanRanks!$A$2:$H$303, 6, FALSE))</f>
        <v/>
      </c>
      <c r="L102" s="11">
        <f t="shared" si="5"/>
        <v>24</v>
      </c>
      <c r="M102" s="11">
        <f>VLOOKUP($G102, 'ADP Data'!$C$4:$Q$300, 9, FALSE)</f>
        <v>190</v>
      </c>
      <c r="N102" s="11">
        <f t="shared" si="6"/>
        <v>16</v>
      </c>
      <c r="O102" s="11">
        <f>VLOOKUP($G102, 'ADP Data'!$C$4:$Q$300, 3, FALSE)</f>
        <v>214</v>
      </c>
      <c r="P102" s="11">
        <f t="shared" si="7"/>
        <v>-24</v>
      </c>
      <c r="Q102" s="11">
        <f>VLOOKUP($G102, 'ADP Data'!$C$4:$Q$300, 4, FALSE)</f>
        <v>170</v>
      </c>
      <c r="R102" s="11">
        <f>VLOOKUP($G102, 'ADP Data'!$C$4:$Q$300, 5, FALSE)</f>
        <v>211</v>
      </c>
      <c r="S102" s="11">
        <f>VLOOKUP($G102, 'ADP Data'!$C$4:$Q$300, 6, FALSE)</f>
        <v>162</v>
      </c>
      <c r="T102" s="11">
        <f>VLOOKUP($G102, 'ADP Data'!$C$4:$Q$300, 7, FALSE)</f>
        <v>150</v>
      </c>
      <c r="U102" s="11">
        <f>VLOOKUP($G102, 'ADP Data'!$C$4:$Q$300, 8, FALSE)</f>
        <v>126</v>
      </c>
      <c r="V102" s="11">
        <f t="shared" si="8"/>
        <v>174</v>
      </c>
      <c r="W102" s="11">
        <f t="shared" si="9"/>
        <v>22</v>
      </c>
      <c r="X102" s="11">
        <f t="shared" si="10"/>
        <v>-13</v>
      </c>
      <c r="Y102" s="11">
        <f>VLOOKUP($G102, SeanRanks!$A$2:$K$303, 10, FALSE)-V102</f>
        <v>0</v>
      </c>
      <c r="Z102" s="29" t="str">
        <f>IF(VLOOKUP($G102, SeanRanks!$A$2:$H$303, 7, FALSE)=0, "", VLOOKUP($G102, SeanRanks!$A$2:$H$303, 7, FALSE))</f>
        <v/>
      </c>
    </row>
    <row r="103" ht="14.25" customHeight="1">
      <c r="A103" s="11" t="s">
        <v>106</v>
      </c>
      <c r="B103" s="11" t="str">
        <f t="shared" si="4"/>
        <v>#N/A</v>
      </c>
      <c r="C103" s="11" t="s">
        <v>95</v>
      </c>
      <c r="D103" s="11">
        <v>9.0</v>
      </c>
      <c r="E103" s="11"/>
      <c r="F103" s="11" t="str">
        <f>VLOOKUP(G103, SeanRanks!$A$2:$E$302, 4, FALSE)</f>
        <v>#N/A</v>
      </c>
      <c r="G103" s="11" t="s">
        <v>253</v>
      </c>
      <c r="H103" s="11" t="str">
        <f>VLOOKUP($G103, 'ADP Data'!$C$4:$Q$300, 2, FALSE)</f>
        <v>#N/A</v>
      </c>
      <c r="I103" s="11" t="str">
        <f>VLOOKUP(G103, 'ADP Data'!$C$4:$R$498, 12, FALSE)</f>
        <v>#N/A</v>
      </c>
      <c r="J103" s="48" t="str">
        <f>VLOOKUP($G103, SeanRanks!$A$2:$H$303, 5, FALSE)</f>
        <v>#N/A</v>
      </c>
      <c r="K103" s="11" t="str">
        <f>IF(VLOOKUP($G103, SeanRanks!$A$2:$H$303, 6, FALSE)=0, "", VLOOKUP($G103, SeanRanks!$A$2:$H$303, 6, FALSE))</f>
        <v>#N/A</v>
      </c>
      <c r="L103" s="11">
        <f t="shared" si="5"/>
        <v>16</v>
      </c>
      <c r="M103" s="11" t="str">
        <f>VLOOKUP($G103, 'ADP Data'!$C$4:$Q$300, 9, FALSE)</f>
        <v>#N/A</v>
      </c>
      <c r="N103" s="11" t="str">
        <f t="shared" si="6"/>
        <v>#N/A</v>
      </c>
      <c r="O103" s="11" t="str">
        <f>VLOOKUP($G103, 'ADP Data'!$C$4:$Q$300, 3, FALSE)</f>
        <v>#N/A</v>
      </c>
      <c r="P103" s="11" t="str">
        <f t="shared" si="7"/>
        <v>#N/A</v>
      </c>
      <c r="Q103" s="11" t="str">
        <f>VLOOKUP($G103, 'ADP Data'!$C$4:$Q$300, 4, FALSE)</f>
        <v>#N/A</v>
      </c>
      <c r="R103" s="11" t="str">
        <f>VLOOKUP($G103, 'ADP Data'!$C$4:$Q$300, 5, FALSE)</f>
        <v>#N/A</v>
      </c>
      <c r="S103" s="11" t="str">
        <f>VLOOKUP($G103, 'ADP Data'!$C$4:$Q$300, 6, FALSE)</f>
        <v>#N/A</v>
      </c>
      <c r="T103" s="11" t="str">
        <f>VLOOKUP($G103, 'ADP Data'!$C$4:$Q$300, 7, FALSE)</f>
        <v>#N/A</v>
      </c>
      <c r="U103" s="11" t="str">
        <f>VLOOKUP($G103, 'ADP Data'!$C$4:$Q$300, 8, FALSE)</f>
        <v>#N/A</v>
      </c>
      <c r="V103" s="11" t="str">
        <f t="shared" si="8"/>
        <v>#N/A</v>
      </c>
      <c r="W103" s="11">
        <f t="shared" si="9"/>
        <v>16</v>
      </c>
      <c r="X103" s="11">
        <f t="shared" si="10"/>
        <v>-7</v>
      </c>
      <c r="Y103" s="11" t="str">
        <f>VLOOKUP($G103, SeanRanks!$A$2:$K$303, 10, FALSE)-V103</f>
        <v>#N/A</v>
      </c>
      <c r="Z103" s="29" t="str">
        <f>IF(VLOOKUP($G103, SeanRanks!$A$2:$H$303, 7, FALSE)=0, "", VLOOKUP($G103, SeanRanks!$A$2:$H$303, 7, FALSE))</f>
        <v>#N/A</v>
      </c>
    </row>
    <row r="104" ht="14.25" customHeight="1">
      <c r="A104" s="11"/>
      <c r="B104" s="11" t="str">
        <f t="shared" si="4"/>
        <v>#N/A</v>
      </c>
      <c r="C104" s="11" t="s">
        <v>95</v>
      </c>
      <c r="D104" s="11">
        <v>9.0</v>
      </c>
      <c r="E104" s="11"/>
      <c r="F104" s="11" t="str">
        <f>VLOOKUP(G104, SeanRanks!$A$2:$E$302, 4, FALSE)</f>
        <v>#N/A</v>
      </c>
      <c r="G104" s="11" t="s">
        <v>859</v>
      </c>
      <c r="H104" s="11" t="str">
        <f>VLOOKUP($G104, 'ADP Data'!$C$4:$Q$300, 2, FALSE)</f>
        <v>#N/A</v>
      </c>
      <c r="I104" s="11" t="str">
        <f>VLOOKUP(G104, 'ADP Data'!$C$4:$R$498, 12, FALSE)</f>
        <v>#N/A</v>
      </c>
      <c r="J104" s="58" t="str">
        <f>VLOOKUP($G104, SeanRanks!$A$2:$H$303, 5, FALSE)</f>
        <v>#N/A</v>
      </c>
      <c r="K104" s="11" t="str">
        <f>IF(VLOOKUP($G104, SeanRanks!$A$2:$H$303, 6, FALSE)=0, "", VLOOKUP($G104, SeanRanks!$A$2:$H$303, 6, FALSE))</f>
        <v>#N/A</v>
      </c>
      <c r="L104" s="11">
        <f t="shared" si="5"/>
        <v>16</v>
      </c>
      <c r="M104" s="11" t="str">
        <f>VLOOKUP($G104, 'ADP Data'!$C$4:$Q$300, 9, FALSE)</f>
        <v>#N/A</v>
      </c>
      <c r="N104" s="11" t="str">
        <f t="shared" si="6"/>
        <v>#N/A</v>
      </c>
      <c r="O104" s="11" t="str">
        <f>VLOOKUP($G104, 'ADP Data'!$C$4:$Q$300, 3, FALSE)</f>
        <v>#N/A</v>
      </c>
      <c r="P104" s="11" t="str">
        <f t="shared" si="7"/>
        <v>#N/A</v>
      </c>
      <c r="Q104" s="11" t="str">
        <f>VLOOKUP($G104, 'ADP Data'!$C$4:$Q$300, 4, FALSE)</f>
        <v>#N/A</v>
      </c>
      <c r="R104" s="11" t="str">
        <f>VLOOKUP($G104, 'ADP Data'!$C$4:$Q$300, 5, FALSE)</f>
        <v>#N/A</v>
      </c>
      <c r="S104" s="11" t="str">
        <f>VLOOKUP($G104, 'ADP Data'!$C$4:$Q$300, 6, FALSE)</f>
        <v>#N/A</v>
      </c>
      <c r="T104" s="11" t="str">
        <f>VLOOKUP($G104, 'ADP Data'!$C$4:$Q$300, 7, FALSE)</f>
        <v>#N/A</v>
      </c>
      <c r="U104" s="11" t="str">
        <f>VLOOKUP($G104, 'ADP Data'!$C$4:$Q$300, 8, FALSE)</f>
        <v>#N/A</v>
      </c>
      <c r="V104" s="11" t="str">
        <f t="shared" si="8"/>
        <v>#N/A</v>
      </c>
      <c r="W104" s="11">
        <f t="shared" si="9"/>
        <v>16</v>
      </c>
      <c r="X104" s="11">
        <f t="shared" si="10"/>
        <v>-7</v>
      </c>
      <c r="Y104" s="11" t="str">
        <f>VLOOKUP($G104, SeanRanks!$A$2:$K$303, 10, FALSE)-V104</f>
        <v>#N/A</v>
      </c>
      <c r="Z104" s="29" t="str">
        <f>IF(VLOOKUP($G104, SeanRanks!$A$2:$H$303, 7, FALSE)=0, "", VLOOKUP($G104, SeanRanks!$A$2:$H$303, 7, FALSE))</f>
        <v>#N/A</v>
      </c>
    </row>
    <row r="105" ht="14.25" customHeight="1">
      <c r="A105" s="11"/>
      <c r="B105" s="11">
        <f t="shared" si="4"/>
        <v>2</v>
      </c>
      <c r="C105" s="11" t="s">
        <v>95</v>
      </c>
      <c r="D105" s="11">
        <v>10.0</v>
      </c>
      <c r="E105" s="11"/>
      <c r="F105" s="11" t="str">
        <f>VLOOKUP(G105, SeanRanks!$A$2:$E$302, 4, FALSE)</f>
        <v/>
      </c>
      <c r="G105" s="11" t="s">
        <v>111</v>
      </c>
      <c r="H105" s="11" t="str">
        <f>VLOOKUP($G105, 'ADP Data'!$C$4:$Q$300, 2, FALSE)</f>
        <v>LV</v>
      </c>
      <c r="I105" s="11">
        <f>VLOOKUP(G105, 'ADP Data'!$C$4:$R$498, 12, FALSE)</f>
        <v>19</v>
      </c>
      <c r="J105" s="57" t="str">
        <f>VLOOKUP($G105, SeanRanks!$A$2:$H$303, 5, FALSE)</f>
        <v/>
      </c>
      <c r="K105" s="11" t="str">
        <f>IF(VLOOKUP($G105, SeanRanks!$A$2:$H$303, 6, FALSE)=0, "", VLOOKUP($G105, SeanRanks!$A$2:$H$303, 6, FALSE))</f>
        <v>TE1 - 1 - Elite</v>
      </c>
      <c r="L105" s="11">
        <f t="shared" si="5"/>
        <v>3</v>
      </c>
      <c r="M105" s="11">
        <f>VLOOKUP($G105, 'ADP Data'!$C$4:$Q$300, 9, FALSE)</f>
        <v>19</v>
      </c>
      <c r="N105" s="11">
        <f t="shared" si="6"/>
        <v>2</v>
      </c>
      <c r="O105" s="11">
        <f>VLOOKUP($G105, 'ADP Data'!$C$4:$Q$300, 3, FALSE)</f>
        <v>24</v>
      </c>
      <c r="P105" s="11">
        <f t="shared" si="7"/>
        <v>-5</v>
      </c>
      <c r="Q105" s="11">
        <f>VLOOKUP($G105, 'ADP Data'!$C$4:$Q$300, 4, FALSE)</f>
        <v>20</v>
      </c>
      <c r="R105" s="11">
        <f>VLOOKUP($G105, 'ADP Data'!$C$4:$Q$300, 5, FALSE)</f>
        <v>19</v>
      </c>
      <c r="S105" s="11">
        <f>VLOOKUP($G105, 'ADP Data'!$C$4:$Q$300, 6, FALSE)</f>
        <v>7</v>
      </c>
      <c r="T105" s="11">
        <f>VLOOKUP($G105, 'ADP Data'!$C$4:$Q$300, 7, FALSE)</f>
        <v>18</v>
      </c>
      <c r="U105" s="11">
        <f>VLOOKUP($G105, 'ADP Data'!$C$4:$Q$300, 8, FALSE)</f>
        <v>17</v>
      </c>
      <c r="V105" s="11">
        <f t="shared" si="8"/>
        <v>17</v>
      </c>
      <c r="W105" s="11">
        <f t="shared" si="9"/>
        <v>3</v>
      </c>
      <c r="X105" s="11">
        <f t="shared" si="10"/>
        <v>7</v>
      </c>
      <c r="Y105" s="11">
        <f>VLOOKUP($G105, SeanRanks!$A$2:$K$303, 10, FALSE)-V105</f>
        <v>6</v>
      </c>
      <c r="Z105" s="29">
        <f>IF(VLOOKUP($G105, SeanRanks!$A$2:$H$303, 7, FALSE)=0, "", VLOOKUP($G105, SeanRanks!$A$2:$H$303, 7, FALSE))</f>
        <v>1</v>
      </c>
    </row>
    <row r="106" ht="14.25" customHeight="1">
      <c r="A106" s="11"/>
      <c r="B106" s="11">
        <f t="shared" si="4"/>
        <v>3</v>
      </c>
      <c r="C106" s="11" t="s">
        <v>106</v>
      </c>
      <c r="D106" s="11">
        <v>9.0</v>
      </c>
      <c r="E106" s="11"/>
      <c r="F106" s="11" t="str">
        <f>VLOOKUP(G106, SeanRanks!$A$2:$E$302, 4, FALSE)</f>
        <v/>
      </c>
      <c r="G106" s="11" t="s">
        <v>173</v>
      </c>
      <c r="H106" s="11" t="str">
        <f>VLOOKUP($G106, 'ADP Data'!$C$4:$Q$300, 2, FALSE)</f>
        <v>LAC</v>
      </c>
      <c r="I106" s="11">
        <f>VLOOKUP(G106, 'ADP Data'!$C$4:$R$498, 12, FALSE)</f>
        <v>22</v>
      </c>
      <c r="J106" s="33" t="str">
        <f>VLOOKUP($G106, SeanRanks!$A$2:$H$303, 5, FALSE)</f>
        <v/>
      </c>
      <c r="K106" s="11" t="str">
        <f>IF(VLOOKUP($G106, SeanRanks!$A$2:$H$303, 6, FALSE)=0, "", VLOOKUP($G106, SeanRanks!$A$2:$H$303, 6, FALSE))</f>
        <v>WR1 - 3 - Inconsistent</v>
      </c>
      <c r="L106" s="11">
        <f t="shared" si="5"/>
        <v>4</v>
      </c>
      <c r="M106" s="11">
        <f>VLOOKUP($G106, 'ADP Data'!$C$4:$Q$300, 9, FALSE)</f>
        <v>24</v>
      </c>
      <c r="N106" s="11">
        <f t="shared" si="6"/>
        <v>-1</v>
      </c>
      <c r="O106" s="11">
        <f>VLOOKUP($G106, 'ADP Data'!$C$4:$Q$300, 3, FALSE)</f>
        <v>29</v>
      </c>
      <c r="P106" s="11">
        <f t="shared" si="7"/>
        <v>-5</v>
      </c>
      <c r="Q106" s="11">
        <f>VLOOKUP($G106, 'ADP Data'!$C$4:$Q$300, 4, FALSE)</f>
        <v>30</v>
      </c>
      <c r="R106" s="11">
        <f>VLOOKUP($G106, 'ADP Data'!$C$4:$Q$300, 5, FALSE)</f>
        <v>24</v>
      </c>
      <c r="S106" s="11">
        <f>VLOOKUP($G106, 'ADP Data'!$C$4:$Q$300, 6, FALSE)</f>
        <v>25</v>
      </c>
      <c r="T106" s="11">
        <f>VLOOKUP($G106, 'ADP Data'!$C$4:$Q$300, 7, FALSE)</f>
        <v>23</v>
      </c>
      <c r="U106" s="11">
        <f>VLOOKUP($G106, 'ADP Data'!$C$4:$Q$300, 8, FALSE)</f>
        <v>23</v>
      </c>
      <c r="V106" s="11">
        <f t="shared" si="8"/>
        <v>25</v>
      </c>
      <c r="W106" s="11">
        <f t="shared" si="9"/>
        <v>4</v>
      </c>
      <c r="X106" s="11">
        <f t="shared" si="10"/>
        <v>5</v>
      </c>
      <c r="Y106" s="11">
        <f>VLOOKUP($G106, SeanRanks!$A$2:$K$303, 10, FALSE)-V106</f>
        <v>-3</v>
      </c>
      <c r="Z106" s="29">
        <f>IF(VLOOKUP($G106, SeanRanks!$A$2:$H$303, 7, FALSE)=0, "", VLOOKUP($G106, SeanRanks!$A$2:$H$303, 7, FALSE))</f>
        <v>10</v>
      </c>
    </row>
    <row r="107" ht="14.25" customHeight="1">
      <c r="A107" s="11"/>
      <c r="B107" s="11">
        <f t="shared" si="4"/>
        <v>5</v>
      </c>
      <c r="C107" s="11" t="s">
        <v>95</v>
      </c>
      <c r="D107" s="11">
        <v>9.0</v>
      </c>
      <c r="E107" s="11"/>
      <c r="F107" s="11" t="str">
        <f>VLOOKUP(G107, SeanRanks!$A$2:$E$302, 4, FALSE)</f>
        <v/>
      </c>
      <c r="G107" s="11" t="s">
        <v>261</v>
      </c>
      <c r="H107" s="11" t="str">
        <f>VLOOKUP($G107, 'ADP Data'!$C$4:$Q$300, 2, FALSE)</f>
        <v>DEN</v>
      </c>
      <c r="I107" s="11">
        <f>VLOOKUP(G107, 'ADP Data'!$C$4:$R$498, 12, FALSE)</f>
        <v>46</v>
      </c>
      <c r="J107" s="37" t="str">
        <f>VLOOKUP($G107, SeanRanks!$A$2:$H$303, 5, FALSE)</f>
        <v>Yes</v>
      </c>
      <c r="K107" s="11" t="str">
        <f>IF(VLOOKUP($G107, SeanRanks!$A$2:$H$303, 6, FALSE)=0, "", VLOOKUP($G107, SeanRanks!$A$2:$H$303, 6, FALSE))</f>
        <v>WR3 - 1 - </v>
      </c>
      <c r="L107" s="11">
        <f t="shared" si="5"/>
        <v>7</v>
      </c>
      <c r="M107" s="11">
        <f>VLOOKUP($G107, 'ADP Data'!$C$4:$Q$300, 9, FALSE)</f>
        <v>50</v>
      </c>
      <c r="N107" s="11">
        <f t="shared" si="6"/>
        <v>-3</v>
      </c>
      <c r="O107" s="11">
        <f>VLOOKUP($G107, 'ADP Data'!$C$4:$Q$300, 3, FALSE)</f>
        <v>53</v>
      </c>
      <c r="P107" s="11">
        <f t="shared" si="7"/>
        <v>-3</v>
      </c>
      <c r="Q107" s="11">
        <f>VLOOKUP($G107, 'ADP Data'!$C$4:$Q$300, 4, FALSE)</f>
        <v>58</v>
      </c>
      <c r="R107" s="11">
        <f>VLOOKUP($G107, 'ADP Data'!$C$4:$Q$300, 5, FALSE)</f>
        <v>59</v>
      </c>
      <c r="S107" s="11">
        <f>VLOOKUP($G107, 'ADP Data'!$C$4:$Q$300, 6, FALSE)</f>
        <v>50</v>
      </c>
      <c r="T107" s="11">
        <f>VLOOKUP($G107, 'ADP Data'!$C$4:$Q$300, 7, FALSE)</f>
        <v>47</v>
      </c>
      <c r="U107" s="11">
        <f>VLOOKUP($G107, 'ADP Data'!$C$4:$Q$300, 8, FALSE)</f>
        <v>56</v>
      </c>
      <c r="V107" s="11">
        <f t="shared" si="8"/>
        <v>53</v>
      </c>
      <c r="W107" s="11">
        <f t="shared" si="9"/>
        <v>7</v>
      </c>
      <c r="X107" s="11">
        <f t="shared" si="10"/>
        <v>2</v>
      </c>
      <c r="Y107" s="11">
        <f>VLOOKUP($G107, SeanRanks!$A$2:$K$303, 10, FALSE)-V107</f>
        <v>6</v>
      </c>
      <c r="Z107" s="29">
        <f>IF(VLOOKUP($G107, SeanRanks!$A$2:$H$303, 7, FALSE)=0, "", VLOOKUP($G107, SeanRanks!$A$2:$H$303, 7, FALSE))</f>
        <v>26</v>
      </c>
    </row>
    <row r="108" ht="14.25" customHeight="1">
      <c r="A108" s="11"/>
      <c r="B108" s="11">
        <f t="shared" si="4"/>
        <v>2</v>
      </c>
      <c r="C108" s="11" t="s">
        <v>95</v>
      </c>
      <c r="D108" s="11">
        <v>9.0</v>
      </c>
      <c r="E108" s="11"/>
      <c r="F108" s="11" t="str">
        <f>VLOOKUP(G108, SeanRanks!$A$2:$E$302, 4, FALSE)</f>
        <v/>
      </c>
      <c r="G108" s="11" t="s">
        <v>242</v>
      </c>
      <c r="H108" s="11" t="str">
        <f>VLOOKUP($G108, 'ADP Data'!$C$4:$Q$300, 2, FALSE)</f>
        <v>JAX</v>
      </c>
      <c r="I108" s="11">
        <f>VLOOKUP(G108, 'ADP Data'!$C$4:$R$498, 12, FALSE)</f>
        <v>11</v>
      </c>
      <c r="J108" s="33" t="str">
        <f>VLOOKUP($G108, SeanRanks!$A$2:$H$303, 5, FALSE)</f>
        <v/>
      </c>
      <c r="K108" s="11" t="str">
        <f>IF(VLOOKUP($G108, SeanRanks!$A$2:$H$303, 6, FALSE)=0, "", VLOOKUP($G108, SeanRanks!$A$2:$H$303, 6, FALSE))</f>
        <v>WR1 - 2 - High Floor</v>
      </c>
      <c r="L108" s="11">
        <f t="shared" si="5"/>
        <v>3</v>
      </c>
      <c r="M108" s="11">
        <f>VLOOKUP($G108, 'ADP Data'!$C$4:$Q$300, 9, FALSE)</f>
        <v>16</v>
      </c>
      <c r="N108" s="11">
        <f t="shared" si="6"/>
        <v>1</v>
      </c>
      <c r="O108" s="11">
        <f>VLOOKUP($G108, 'ADP Data'!$C$4:$Q$300, 3, FALSE)</f>
        <v>20</v>
      </c>
      <c r="P108" s="11">
        <f t="shared" si="7"/>
        <v>-4</v>
      </c>
      <c r="Q108" s="11">
        <f>VLOOKUP($G108, 'ADP Data'!$C$4:$Q$300, 4, FALSE)</f>
        <v>16</v>
      </c>
      <c r="R108" s="11">
        <f>VLOOKUP($G108, 'ADP Data'!$C$4:$Q$300, 5, FALSE)</f>
        <v>14</v>
      </c>
      <c r="S108" s="11">
        <f>VLOOKUP($G108, 'ADP Data'!$C$4:$Q$300, 6, FALSE)</f>
        <v>16</v>
      </c>
      <c r="T108" s="11">
        <f>VLOOKUP($G108, 'ADP Data'!$C$4:$Q$300, 7, FALSE)</f>
        <v>11</v>
      </c>
      <c r="U108" s="11">
        <f>VLOOKUP($G108, 'ADP Data'!$C$4:$Q$300, 8, FALSE)</f>
        <v>13</v>
      </c>
      <c r="V108" s="11">
        <f t="shared" si="8"/>
        <v>15</v>
      </c>
      <c r="W108" s="11">
        <f t="shared" si="9"/>
        <v>2</v>
      </c>
      <c r="X108" s="11">
        <f t="shared" si="10"/>
        <v>7</v>
      </c>
      <c r="Y108" s="11">
        <f>VLOOKUP($G108, SeanRanks!$A$2:$K$303, 10, FALSE)-V108</f>
        <v>-2</v>
      </c>
      <c r="Z108" s="29">
        <f>IF(VLOOKUP($G108, SeanRanks!$A$2:$H$303, 7, FALSE)=0, "", VLOOKUP($G108, SeanRanks!$A$2:$H$303, 7, FALSE))</f>
        <v>8</v>
      </c>
    </row>
    <row r="109" ht="14.25" customHeight="1">
      <c r="A109" s="11"/>
      <c r="B109" s="11">
        <f t="shared" si="4"/>
        <v>10</v>
      </c>
      <c r="C109" s="11" t="s">
        <v>106</v>
      </c>
      <c r="D109" s="11">
        <v>9.0</v>
      </c>
      <c r="E109" s="27"/>
      <c r="F109" s="11" t="str">
        <f>VLOOKUP(G109, SeanRanks!$A$2:$E$302, 4, FALSE)</f>
        <v/>
      </c>
      <c r="G109" s="11" t="s">
        <v>672</v>
      </c>
      <c r="H109" s="11" t="str">
        <f>VLOOKUP($G109, 'ADP Data'!$C$4:$Q$300, 2, FALSE)</f>
        <v>BUF</v>
      </c>
      <c r="I109" s="11">
        <f>VLOOKUP(G109, 'ADP Data'!$C$4:$R$498, 12, FALSE)</f>
        <v>78</v>
      </c>
      <c r="J109" s="37" t="str">
        <f>VLOOKUP($G109, SeanRanks!$A$2:$H$303, 5, FALSE)</f>
        <v/>
      </c>
      <c r="K109" s="11" t="str">
        <f>IF(VLOOKUP($G109, SeanRanks!$A$2:$H$303, 6, FALSE)=0, "", VLOOKUP($G109, SeanRanks!$A$2:$H$303, 6, FALSE))</f>
        <v>WR5 - 1 - upside path</v>
      </c>
      <c r="L109" s="11">
        <f t="shared" si="5"/>
        <v>15</v>
      </c>
      <c r="M109" s="11">
        <f>VLOOKUP($G109, 'ADP Data'!$C$4:$Q$300, 9, FALSE)</f>
        <v>118</v>
      </c>
      <c r="N109" s="11">
        <f t="shared" si="6"/>
        <v>3</v>
      </c>
      <c r="O109" s="11">
        <f>VLOOKUP($G109, 'ADP Data'!$C$4:$Q$300, 3, FALSE)</f>
        <v>113</v>
      </c>
      <c r="P109" s="11">
        <f t="shared" si="7"/>
        <v>5</v>
      </c>
      <c r="Q109" s="11">
        <f>VLOOKUP($G109, 'ADP Data'!$C$4:$Q$300, 4, FALSE)</f>
        <v>111</v>
      </c>
      <c r="R109" s="11">
        <f>VLOOKUP($G109, 'ADP Data'!$C$4:$Q$300, 5, FALSE)</f>
        <v>126</v>
      </c>
      <c r="S109" s="11">
        <f>VLOOKUP($G109, 'ADP Data'!$C$4:$Q$300, 6, FALSE)</f>
        <v>102</v>
      </c>
      <c r="T109" s="11">
        <f>VLOOKUP($G109, 'ADP Data'!$C$4:$Q$300, 7, FALSE)</f>
        <v>99</v>
      </c>
      <c r="U109" s="11">
        <f>VLOOKUP($G109, 'ADP Data'!$C$4:$Q$300, 8, FALSE)</f>
        <v>139</v>
      </c>
      <c r="V109" s="11">
        <f t="shared" si="8"/>
        <v>115</v>
      </c>
      <c r="W109" s="11">
        <f t="shared" si="9"/>
        <v>15</v>
      </c>
      <c r="X109" s="11">
        <f t="shared" si="10"/>
        <v>-6</v>
      </c>
      <c r="Y109" s="11">
        <f>VLOOKUP($G109, SeanRanks!$A$2:$K$303, 10, FALSE)-V109</f>
        <v>7</v>
      </c>
      <c r="Z109" s="29">
        <f>IF(VLOOKUP($G109, SeanRanks!$A$2:$H$303, 7, FALSE)=0, "", VLOOKUP($G109, SeanRanks!$A$2:$H$303, 7, FALSE))</f>
        <v>51</v>
      </c>
    </row>
    <row r="110" ht="14.25" customHeight="1">
      <c r="A110" s="11"/>
      <c r="B110" s="11">
        <f t="shared" si="4"/>
        <v>20</v>
      </c>
      <c r="C110" s="11" t="s">
        <v>106</v>
      </c>
      <c r="D110" s="11">
        <v>9.0</v>
      </c>
      <c r="E110" s="11"/>
      <c r="F110" s="11" t="str">
        <f>VLOOKUP(G110, SeanRanks!$A$2:$E$302, 4, FALSE)</f>
        <v/>
      </c>
      <c r="G110" s="11" t="s">
        <v>869</v>
      </c>
      <c r="H110" s="11" t="str">
        <f>VLOOKUP($G110, 'ADP Data'!$C$4:$Q$300, 2, FALSE)</f>
        <v>BAL</v>
      </c>
      <c r="I110" s="11">
        <f>VLOOKUP(G110, 'ADP Data'!$C$4:$R$498, 12, FALSE)</f>
        <v>225</v>
      </c>
      <c r="J110" s="37" t="str">
        <f>VLOOKUP($G110, SeanRanks!$A$2:$H$303, 5, FALSE)</f>
        <v/>
      </c>
      <c r="K110" s="11" t="str">
        <f>IF(VLOOKUP($G110, SeanRanks!$A$2:$H$303, 6, FALSE)=0, "", VLOOKUP($G110, SeanRanks!$A$2:$H$303, 6, FALSE))</f>
        <v/>
      </c>
      <c r="L110" s="11">
        <f t="shared" si="5"/>
        <v>26</v>
      </c>
      <c r="M110" s="11">
        <f>VLOOKUP($G110, 'ADP Data'!$C$4:$Q$300, 9, FALSE)</f>
        <v>205</v>
      </c>
      <c r="N110" s="11">
        <f t="shared" si="6"/>
        <v>-27</v>
      </c>
      <c r="O110" s="11" t="str">
        <f>VLOOKUP($G110, 'ADP Data'!$C$4:$Q$300, 3, FALSE)</f>
        <v>-</v>
      </c>
      <c r="P110" s="11" t="str">
        <f t="shared" si="7"/>
        <v>#VALUE!</v>
      </c>
      <c r="Q110" s="11" t="str">
        <f>VLOOKUP($G110, 'ADP Data'!$C$4:$Q$300, 4, FALSE)</f>
        <v>-</v>
      </c>
      <c r="R110" s="11">
        <f>VLOOKUP($G110, 'ADP Data'!$C$4:$Q$300, 5, FALSE)</f>
        <v>319</v>
      </c>
      <c r="S110" s="11">
        <f>VLOOKUP($G110, 'ADP Data'!$C$4:$Q$300, 6, FALSE)</f>
        <v>229</v>
      </c>
      <c r="T110" s="11">
        <f>VLOOKUP($G110, 'ADP Data'!$C$4:$Q$300, 7, FALSE)</f>
        <v>218</v>
      </c>
      <c r="U110" s="11">
        <f>VLOOKUP($G110, 'ADP Data'!$C$4:$Q$300, 8, FALSE)</f>
        <v>191</v>
      </c>
      <c r="V110" s="11">
        <f t="shared" si="8"/>
        <v>232</v>
      </c>
      <c r="W110" s="11">
        <f t="shared" si="9"/>
        <v>30</v>
      </c>
      <c r="X110" s="11">
        <f t="shared" si="10"/>
        <v>-21</v>
      </c>
      <c r="Y110" s="11">
        <f>VLOOKUP($G110, SeanRanks!$A$2:$K$303, 10, FALSE)-V110</f>
        <v>11</v>
      </c>
      <c r="Z110" s="29" t="str">
        <f>IF(VLOOKUP($G110, SeanRanks!$A$2:$H$303, 7, FALSE)=0, "", VLOOKUP($G110, SeanRanks!$A$2:$H$303, 7, FALSE))</f>
        <v/>
      </c>
    </row>
    <row r="111" ht="14.25" customHeight="1">
      <c r="A111" s="11"/>
      <c r="B111" s="11">
        <f t="shared" si="4"/>
        <v>11</v>
      </c>
      <c r="C111" s="11" t="s">
        <v>106</v>
      </c>
      <c r="D111" s="11">
        <v>10.0</v>
      </c>
      <c r="E111" s="11"/>
      <c r="F111" s="11" t="str">
        <f>VLOOKUP(G111, SeanRanks!$A$2:$E$302, 4, FALSE)</f>
        <v/>
      </c>
      <c r="G111" s="11" t="s">
        <v>244</v>
      </c>
      <c r="H111" s="11" t="str">
        <f>VLOOKUP($G111, 'ADP Data'!$C$4:$Q$300, 2, FALSE)</f>
        <v>CHI</v>
      </c>
      <c r="I111" s="11">
        <f>VLOOKUP(G111, 'ADP Data'!$C$4:$R$498, 12, FALSE)</f>
        <v>108</v>
      </c>
      <c r="J111" s="59" t="str">
        <f>VLOOKUP($G111, SeanRanks!$A$2:$H$303, 5, FALSE)</f>
        <v/>
      </c>
      <c r="K111" s="11" t="str">
        <f>IF(VLOOKUP($G111, SeanRanks!$A$2:$H$303, 6, FALSE)=0, "", VLOOKUP($G111, SeanRanks!$A$2:$H$303, 6, FALSE))</f>
        <v>QB2 - 1 - League Winner</v>
      </c>
      <c r="L111" s="11">
        <f t="shared" si="5"/>
        <v>16</v>
      </c>
      <c r="M111" s="11">
        <f>VLOOKUP($G111, 'ADP Data'!$C$4:$Q$300, 9, FALSE)</f>
        <v>126</v>
      </c>
      <c r="N111" s="11">
        <f t="shared" si="6"/>
        <v>4</v>
      </c>
      <c r="O111" s="11">
        <f>VLOOKUP($G111, 'ADP Data'!$C$4:$Q$300, 3, FALSE)</f>
        <v>120</v>
      </c>
      <c r="P111" s="11">
        <f t="shared" si="7"/>
        <v>6</v>
      </c>
      <c r="Q111" s="11">
        <f>VLOOKUP($G111, 'ADP Data'!$C$4:$Q$300, 4, FALSE)</f>
        <v>112</v>
      </c>
      <c r="R111" s="11">
        <f>VLOOKUP($G111, 'ADP Data'!$C$4:$Q$300, 5, FALSE)</f>
        <v>155</v>
      </c>
      <c r="S111" s="11">
        <f>VLOOKUP($G111, 'ADP Data'!$C$4:$Q$300, 6, FALSE)</f>
        <v>124</v>
      </c>
      <c r="T111" s="11">
        <f>VLOOKUP($G111, 'ADP Data'!$C$4:$Q$300, 7, FALSE)</f>
        <v>109</v>
      </c>
      <c r="U111" s="11">
        <f>VLOOKUP($G111, 'ADP Data'!$C$4:$Q$300, 8, FALSE)</f>
        <v>114</v>
      </c>
      <c r="V111" s="11">
        <f t="shared" si="8"/>
        <v>122</v>
      </c>
      <c r="W111" s="11">
        <f t="shared" si="9"/>
        <v>16</v>
      </c>
      <c r="X111" s="11">
        <f t="shared" si="10"/>
        <v>-6</v>
      </c>
      <c r="Y111" s="11">
        <f>VLOOKUP($G111, SeanRanks!$A$2:$K$303, 10, FALSE)-V111</f>
        <v>-19</v>
      </c>
      <c r="Z111" s="29">
        <f>IF(VLOOKUP($G111, SeanRanks!$A$2:$H$303, 7, FALSE)=0, "", VLOOKUP($G111, SeanRanks!$A$2:$H$303, 7, FALSE))</f>
        <v>13</v>
      </c>
    </row>
    <row r="112" ht="14.25" customHeight="1">
      <c r="A112" s="11"/>
      <c r="B112" s="11">
        <f t="shared" si="4"/>
        <v>8</v>
      </c>
      <c r="C112" s="11" t="s">
        <v>106</v>
      </c>
      <c r="D112" s="11">
        <v>9.0</v>
      </c>
      <c r="E112" s="11"/>
      <c r="F112" s="11" t="str">
        <f>VLOOKUP(G112, SeanRanks!$A$2:$E$302, 4, FALSE)</f>
        <v/>
      </c>
      <c r="G112" s="11" t="s">
        <v>303</v>
      </c>
      <c r="H112" s="11" t="str">
        <f>VLOOKUP($G112, 'ADP Data'!$C$4:$Q$300, 2, FALSE)</f>
        <v>MIN</v>
      </c>
      <c r="I112" s="11">
        <f>VLOOKUP(G112, 'ADP Data'!$C$4:$R$498, 12, FALSE)</f>
        <v>82</v>
      </c>
      <c r="J112" s="37" t="str">
        <f>VLOOKUP($G112, SeanRanks!$A$2:$H$303, 5, FALSE)</f>
        <v/>
      </c>
      <c r="K112" s="11" t="str">
        <f>IF(VLOOKUP($G112, SeanRanks!$A$2:$H$303, 6, FALSE)=0, "", VLOOKUP($G112, SeanRanks!$A$2:$H$303, 6, FALSE))</f>
        <v>WR3 - 3 - lower ceiling</v>
      </c>
      <c r="L112" s="11">
        <f t="shared" si="5"/>
        <v>11</v>
      </c>
      <c r="M112" s="11">
        <f>VLOOKUP($G112, 'ADP Data'!$C$4:$Q$300, 9, FALSE)</f>
        <v>81</v>
      </c>
      <c r="N112" s="11">
        <f t="shared" si="6"/>
        <v>-13</v>
      </c>
      <c r="O112" s="11">
        <f>VLOOKUP($G112, 'ADP Data'!$C$4:$Q$300, 3, FALSE)</f>
        <v>103</v>
      </c>
      <c r="P112" s="11">
        <f t="shared" si="7"/>
        <v>-22</v>
      </c>
      <c r="Q112" s="11">
        <f>VLOOKUP($G112, 'ADP Data'!$C$4:$Q$300, 4, FALSE)</f>
        <v>110</v>
      </c>
      <c r="R112" s="11">
        <f>VLOOKUP($G112, 'ADP Data'!$C$4:$Q$300, 5, FALSE)</f>
        <v>93</v>
      </c>
      <c r="S112" s="11">
        <f>VLOOKUP($G112, 'ADP Data'!$C$4:$Q$300, 6, FALSE)</f>
        <v>95</v>
      </c>
      <c r="T112" s="11">
        <f>VLOOKUP($G112, 'ADP Data'!$C$4:$Q$300, 7, FALSE)</f>
        <v>84</v>
      </c>
      <c r="U112" s="11">
        <f>VLOOKUP($G112, 'ADP Data'!$C$4:$Q$300, 8, FALSE)</f>
        <v>94</v>
      </c>
      <c r="V112" s="11">
        <f t="shared" si="8"/>
        <v>94</v>
      </c>
      <c r="W112" s="11">
        <f t="shared" si="9"/>
        <v>12</v>
      </c>
      <c r="X112" s="11">
        <f t="shared" si="10"/>
        <v>-3</v>
      </c>
      <c r="Y112" s="11">
        <f>VLOOKUP($G112, SeanRanks!$A$2:$K$303, 10, FALSE)-V112</f>
        <v>-10</v>
      </c>
      <c r="Z112" s="29">
        <f>IF(VLOOKUP($G112, SeanRanks!$A$2:$H$303, 7, FALSE)=0, "", VLOOKUP($G112, SeanRanks!$A$2:$H$303, 7, FALSE))</f>
        <v>36</v>
      </c>
    </row>
    <row r="113" ht="14.25" customHeight="1">
      <c r="A113" s="11"/>
      <c r="B113" s="11">
        <f t="shared" si="4"/>
        <v>12</v>
      </c>
      <c r="C113" s="11" t="s">
        <v>106</v>
      </c>
      <c r="D113" s="11">
        <v>9.0</v>
      </c>
      <c r="E113" s="11"/>
      <c r="F113" s="11" t="str">
        <f>VLOOKUP(G113, SeanRanks!$A$2:$E$302, 4, FALSE)</f>
        <v/>
      </c>
      <c r="G113" s="11" t="s">
        <v>328</v>
      </c>
      <c r="H113" s="11" t="str">
        <f>VLOOKUP($G113, 'ADP Data'!$C$4:$Q$300, 2, FALSE)</f>
        <v>PHI</v>
      </c>
      <c r="I113" s="11">
        <f>VLOOKUP(G113, 'ADP Data'!$C$4:$R$498, 12, FALSE)</f>
        <v>144</v>
      </c>
      <c r="J113" s="57" t="str">
        <f>VLOOKUP($G113, SeanRanks!$A$2:$H$303, 5, FALSE)</f>
        <v/>
      </c>
      <c r="K113" s="11" t="str">
        <f>IF(VLOOKUP($G113, SeanRanks!$A$2:$H$303, 6, FALSE)=0, "", VLOOKUP($G113, SeanRanks!$A$2:$H$303, 6, FALSE))</f>
        <v/>
      </c>
      <c r="L113" s="11">
        <f t="shared" si="5"/>
        <v>18</v>
      </c>
      <c r="M113" s="11">
        <f>VLOOKUP($G113, 'ADP Data'!$C$4:$Q$300, 9, FALSE)</f>
        <v>138</v>
      </c>
      <c r="N113" s="11">
        <f t="shared" si="6"/>
        <v>-2</v>
      </c>
      <c r="O113" s="11">
        <f>VLOOKUP($G113, 'ADP Data'!$C$4:$Q$300, 3, FALSE)</f>
        <v>124</v>
      </c>
      <c r="P113" s="11">
        <f t="shared" si="7"/>
        <v>14</v>
      </c>
      <c r="Q113" s="11">
        <f>VLOOKUP($G113, 'ADP Data'!$C$4:$Q$300, 4, FALSE)</f>
        <v>131</v>
      </c>
      <c r="R113" s="11">
        <f>VLOOKUP($G113, 'ADP Data'!$C$4:$Q$300, 5, FALSE)</f>
        <v>170</v>
      </c>
      <c r="S113" s="11">
        <f>VLOOKUP($G113, 'ADP Data'!$C$4:$Q$300, 6, FALSE)</f>
        <v>123</v>
      </c>
      <c r="T113" s="11">
        <f>VLOOKUP($G113, 'ADP Data'!$C$4:$Q$300, 7, FALSE)</f>
        <v>152</v>
      </c>
      <c r="U113" s="11">
        <f>VLOOKUP($G113, 'ADP Data'!$C$4:$Q$300, 8, FALSE)</f>
        <v>142</v>
      </c>
      <c r="V113" s="11">
        <f t="shared" si="8"/>
        <v>140</v>
      </c>
      <c r="W113" s="11">
        <f t="shared" si="9"/>
        <v>18</v>
      </c>
      <c r="X113" s="11">
        <f t="shared" si="10"/>
        <v>-9</v>
      </c>
      <c r="Y113" s="11">
        <f>VLOOKUP($G113, SeanRanks!$A$2:$K$303, 10, FALSE)-V113</f>
        <v>-22</v>
      </c>
      <c r="Z113" s="29" t="str">
        <f>IF(VLOOKUP($G113, SeanRanks!$A$2:$H$303, 7, FALSE)=0, "", VLOOKUP($G113, SeanRanks!$A$2:$H$303, 7, FALSE))</f>
        <v/>
      </c>
    </row>
    <row r="114" ht="14.25" customHeight="1">
      <c r="A114" s="11"/>
      <c r="B114" s="11">
        <f t="shared" si="4"/>
        <v>2</v>
      </c>
      <c r="C114" s="11" t="s">
        <v>95</v>
      </c>
      <c r="D114" s="11">
        <v>9.0</v>
      </c>
      <c r="E114" s="11"/>
      <c r="F114" s="11" t="str">
        <f>VLOOKUP(G114, SeanRanks!$A$2:$E$302, 4, FALSE)</f>
        <v/>
      </c>
      <c r="G114" s="11" t="s">
        <v>80</v>
      </c>
      <c r="H114" s="11" t="str">
        <f>VLOOKUP($G114, 'ADP Data'!$C$4:$Q$300, 2, FALSE)</f>
        <v>CIN</v>
      </c>
      <c r="I114" s="11">
        <f>VLOOKUP(G114, 'ADP Data'!$C$4:$R$498, 12, FALSE)</f>
        <v>16</v>
      </c>
      <c r="J114" s="58" t="str">
        <f>VLOOKUP($G114, SeanRanks!$A$2:$H$303, 5, FALSE)</f>
        <v>Yes</v>
      </c>
      <c r="K114" s="11" t="str">
        <f>IF(VLOOKUP($G114, SeanRanks!$A$2:$H$303, 6, FALSE)=0, "", VLOOKUP($G114, SeanRanks!$A$2:$H$303, 6, FALSE))</f>
        <v>RB1 - 2 - Elite ceiling/questions</v>
      </c>
      <c r="L114" s="11">
        <f t="shared" si="5"/>
        <v>4</v>
      </c>
      <c r="M114" s="11">
        <f>VLOOKUP($G114, 'ADP Data'!$C$4:$Q$300, 9, FALSE)</f>
        <v>28</v>
      </c>
      <c r="N114" s="11">
        <f t="shared" si="6"/>
        <v>7</v>
      </c>
      <c r="O114" s="11">
        <f>VLOOKUP($G114, 'ADP Data'!$C$4:$Q$300, 3, FALSE)</f>
        <v>19</v>
      </c>
      <c r="P114" s="11">
        <f t="shared" si="7"/>
        <v>9</v>
      </c>
      <c r="Q114" s="11">
        <f>VLOOKUP($G114, 'ADP Data'!$C$4:$Q$300, 4, FALSE)</f>
        <v>24</v>
      </c>
      <c r="R114" s="11">
        <f>VLOOKUP($G114, 'ADP Data'!$C$4:$Q$300, 5, FALSE)</f>
        <v>18</v>
      </c>
      <c r="S114" s="11">
        <f>VLOOKUP($G114, 'ADP Data'!$C$4:$Q$300, 6, FALSE)</f>
        <v>17</v>
      </c>
      <c r="T114" s="11">
        <f>VLOOKUP($G114, 'ADP Data'!$C$4:$Q$300, 7, FALSE)</f>
        <v>17</v>
      </c>
      <c r="U114" s="11">
        <f>VLOOKUP($G114, 'ADP Data'!$C$4:$Q$300, 8, FALSE)</f>
        <v>26</v>
      </c>
      <c r="V114" s="11">
        <f t="shared" si="8"/>
        <v>21</v>
      </c>
      <c r="W114" s="11">
        <f t="shared" si="9"/>
        <v>3</v>
      </c>
      <c r="X114" s="11">
        <f t="shared" si="10"/>
        <v>6</v>
      </c>
      <c r="Y114" s="11">
        <f>VLOOKUP($G114, SeanRanks!$A$2:$K$303, 10, FALSE)-V114</f>
        <v>0</v>
      </c>
      <c r="Z114" s="29">
        <f>IF(VLOOKUP($G114, SeanRanks!$A$2:$H$303, 7, FALSE)=0, "", VLOOKUP($G114, SeanRanks!$A$2:$H$303, 7, FALSE))</f>
        <v>10</v>
      </c>
    </row>
    <row r="115" ht="14.25" customHeight="1">
      <c r="A115" s="11"/>
      <c r="B115" s="11">
        <f t="shared" si="4"/>
        <v>5</v>
      </c>
      <c r="C115" s="11" t="s">
        <v>95</v>
      </c>
      <c r="D115" s="11">
        <v>9.0</v>
      </c>
      <c r="E115" s="11"/>
      <c r="F115" s="11" t="str">
        <f>VLOOKUP(G115, SeanRanks!$A$2:$E$302, 4, FALSE)</f>
        <v/>
      </c>
      <c r="G115" s="11" t="s">
        <v>203</v>
      </c>
      <c r="H115" s="11" t="str">
        <f>VLOOKUP($G115, 'ADP Data'!$C$4:$Q$300, 2, FALSE)</f>
        <v>DET</v>
      </c>
      <c r="I115" s="11">
        <f>VLOOKUP(G115, 'ADP Data'!$C$4:$R$498, 12, FALSE)</f>
        <v>48</v>
      </c>
      <c r="J115" s="40" t="str">
        <f>VLOOKUP($G115, SeanRanks!$A$2:$H$303, 5, FALSE)</f>
        <v/>
      </c>
      <c r="K115" s="11" t="str">
        <f>IF(VLOOKUP($G115, SeanRanks!$A$2:$H$303, 6, FALSE)=0, "", VLOOKUP($G115, SeanRanks!$A$2:$H$303, 6, FALSE))</f>
        <v>WR3 - 1 - </v>
      </c>
      <c r="L115" s="11">
        <f t="shared" si="5"/>
        <v>8</v>
      </c>
      <c r="M115" s="11">
        <f>VLOOKUP($G115, 'ADP Data'!$C$4:$Q$300, 9, FALSE)</f>
        <v>60</v>
      </c>
      <c r="N115" s="11">
        <f t="shared" si="6"/>
        <v>1</v>
      </c>
      <c r="O115" s="11">
        <f>VLOOKUP($G115, 'ADP Data'!$C$4:$Q$300, 3, FALSE)</f>
        <v>64</v>
      </c>
      <c r="P115" s="11">
        <f t="shared" si="7"/>
        <v>-4</v>
      </c>
      <c r="Q115" s="11">
        <f>VLOOKUP($G115, 'ADP Data'!$C$4:$Q$300, 4, FALSE)</f>
        <v>65</v>
      </c>
      <c r="R115" s="11">
        <f>VLOOKUP($G115, 'ADP Data'!$C$4:$Q$300, 5, FALSE)</f>
        <v>64</v>
      </c>
      <c r="S115" s="11">
        <f>VLOOKUP($G115, 'ADP Data'!$C$4:$Q$300, 6, FALSE)</f>
        <v>57</v>
      </c>
      <c r="T115" s="11">
        <f>VLOOKUP($G115, 'ADP Data'!$C$4:$Q$300, 7, FALSE)</f>
        <v>53</v>
      </c>
      <c r="U115" s="11">
        <f>VLOOKUP($G115, 'ADP Data'!$C$4:$Q$300, 8, FALSE)</f>
        <v>51</v>
      </c>
      <c r="V115" s="11">
        <f t="shared" si="8"/>
        <v>59</v>
      </c>
      <c r="W115" s="11">
        <f t="shared" si="9"/>
        <v>8</v>
      </c>
      <c r="X115" s="11">
        <f t="shared" si="10"/>
        <v>1</v>
      </c>
      <c r="Y115" s="11">
        <f>VLOOKUP($G115, SeanRanks!$A$2:$K$303, 10, FALSE)-V115</f>
        <v>-2</v>
      </c>
      <c r="Z115" s="29">
        <f>IF(VLOOKUP($G115, SeanRanks!$A$2:$H$303, 7, FALSE)=0, "", VLOOKUP($G115, SeanRanks!$A$2:$H$303, 7, FALSE))</f>
        <v>23</v>
      </c>
    </row>
    <row r="116" ht="14.25" customHeight="1">
      <c r="A116" s="11"/>
      <c r="B116" s="11">
        <f t="shared" si="4"/>
        <v>13</v>
      </c>
      <c r="C116" s="11" t="s">
        <v>95</v>
      </c>
      <c r="D116" s="11">
        <v>11.0</v>
      </c>
      <c r="E116" s="11"/>
      <c r="F116" s="11" t="str">
        <f>VLOOKUP(G116, SeanRanks!$A$2:$E$302, 4, FALSE)</f>
        <v/>
      </c>
      <c r="G116" s="11" t="s">
        <v>874</v>
      </c>
      <c r="H116" s="11" t="str">
        <f>VLOOKUP($G116, 'ADP Data'!$C$4:$Q$300, 2, FALSE)</f>
        <v>HOU</v>
      </c>
      <c r="I116" s="11">
        <f>VLOOKUP(G116, 'ADP Data'!$C$4:$R$498, 12, FALSE)</f>
        <v>145</v>
      </c>
      <c r="J116" s="59" t="str">
        <f>VLOOKUP($G116, SeanRanks!$A$2:$H$303, 5, FALSE)</f>
        <v/>
      </c>
      <c r="K116" s="11" t="str">
        <f>IF(VLOOKUP($G116, SeanRanks!$A$2:$H$303, 6, FALSE)=0, "", VLOOKUP($G116, SeanRanks!$A$2:$H$303, 6, FALSE))</f>
        <v>RB4 - 2 - low ceiling</v>
      </c>
      <c r="L116" s="11">
        <f t="shared" si="5"/>
        <v>18</v>
      </c>
      <c r="M116" s="11">
        <f>VLOOKUP($G116, 'ADP Data'!$C$4:$Q$300, 9, FALSE)</f>
        <v>141</v>
      </c>
      <c r="N116" s="11">
        <f t="shared" si="6"/>
        <v>-6</v>
      </c>
      <c r="O116" s="11">
        <f>VLOOKUP($G116, 'ADP Data'!$C$4:$Q$300, 3, FALSE)</f>
        <v>111</v>
      </c>
      <c r="P116" s="11">
        <f t="shared" si="7"/>
        <v>30</v>
      </c>
      <c r="Q116" s="11">
        <f>VLOOKUP($G116, 'ADP Data'!$C$4:$Q$300, 4, FALSE)</f>
        <v>133</v>
      </c>
      <c r="R116" s="11">
        <f>VLOOKUP($G116, 'ADP Data'!$C$4:$Q$300, 5, FALSE)</f>
        <v>194</v>
      </c>
      <c r="S116" s="11">
        <f>VLOOKUP($G116, 'ADP Data'!$C$4:$Q$300, 6, FALSE)</f>
        <v>128</v>
      </c>
      <c r="T116" s="11">
        <f>VLOOKUP($G116, 'ADP Data'!$C$4:$Q$300, 7, FALSE)</f>
        <v>147</v>
      </c>
      <c r="U116" s="11">
        <f>VLOOKUP($G116, 'ADP Data'!$C$4:$Q$300, 8, FALSE)</f>
        <v>175</v>
      </c>
      <c r="V116" s="11">
        <f t="shared" si="8"/>
        <v>147</v>
      </c>
      <c r="W116" s="11">
        <f t="shared" si="9"/>
        <v>19</v>
      </c>
      <c r="X116" s="11">
        <f t="shared" si="10"/>
        <v>-8</v>
      </c>
      <c r="Y116" s="11">
        <f>VLOOKUP($G116, SeanRanks!$A$2:$K$303, 10, FALSE)-V116</f>
        <v>-8</v>
      </c>
      <c r="Z116" s="29">
        <f>IF(VLOOKUP($G116, SeanRanks!$A$2:$H$303, 7, FALSE)=0, "", VLOOKUP($G116, SeanRanks!$A$2:$H$303, 7, FALSE))</f>
        <v>47</v>
      </c>
    </row>
    <row r="117" ht="14.25" customHeight="1">
      <c r="A117" s="11"/>
      <c r="B117" s="11">
        <f t="shared" si="4"/>
        <v>16</v>
      </c>
      <c r="C117" s="11" t="s">
        <v>106</v>
      </c>
      <c r="D117" s="11">
        <v>9.0</v>
      </c>
      <c r="E117" s="11"/>
      <c r="F117" s="11" t="str">
        <f>VLOOKUP(G117, SeanRanks!$A$2:$E$302, 4, FALSE)</f>
        <v/>
      </c>
      <c r="G117" s="11" t="s">
        <v>639</v>
      </c>
      <c r="H117" s="11" t="str">
        <f>VLOOKUP($G117, 'ADP Data'!$C$4:$Q$300, 2, FALSE)</f>
        <v>MIA</v>
      </c>
      <c r="I117" s="11">
        <f>VLOOKUP(G117, 'ADP Data'!$C$4:$R$498, 12, FALSE)</f>
        <v>153</v>
      </c>
      <c r="J117" s="60" t="str">
        <f>VLOOKUP($G117, SeanRanks!$A$2:$H$303, 5, FALSE)</f>
        <v/>
      </c>
      <c r="K117" s="11" t="str">
        <f>IF(VLOOKUP($G117, SeanRanks!$A$2:$H$303, 6, FALSE)=0, "", VLOOKUP($G117, SeanRanks!$A$2:$H$303, 6, FALSE))</f>
        <v>Don’t Draft - Streamer</v>
      </c>
      <c r="L117" s="11">
        <f t="shared" si="5"/>
        <v>25</v>
      </c>
      <c r="M117" s="11">
        <f>VLOOKUP($G117, 'ADP Data'!$C$4:$Q$300, 9, FALSE)</f>
        <v>198</v>
      </c>
      <c r="N117" s="11">
        <f t="shared" si="6"/>
        <v>15</v>
      </c>
      <c r="O117" s="11">
        <f>VLOOKUP($G117, 'ADP Data'!$C$4:$Q$300, 3, FALSE)</f>
        <v>154</v>
      </c>
      <c r="P117" s="11">
        <f t="shared" si="7"/>
        <v>44</v>
      </c>
      <c r="Q117" s="11">
        <f>VLOOKUP($G117, 'ADP Data'!$C$4:$Q$300, 4, FALSE)</f>
        <v>166</v>
      </c>
      <c r="R117" s="11">
        <f>VLOOKUP($G117, 'ADP Data'!$C$4:$Q$300, 5, FALSE)</f>
        <v>217</v>
      </c>
      <c r="S117" s="11">
        <f>VLOOKUP($G117, 'ADP Data'!$C$4:$Q$300, 6, FALSE)</f>
        <v>183</v>
      </c>
      <c r="T117" s="11">
        <f>VLOOKUP($G117, 'ADP Data'!$C$4:$Q$300, 7, FALSE)</f>
        <v>174</v>
      </c>
      <c r="U117" s="11">
        <f>VLOOKUP($G117, 'ADP Data'!$C$4:$Q$300, 8, FALSE)</f>
        <v>193</v>
      </c>
      <c r="V117" s="11">
        <f t="shared" si="8"/>
        <v>183</v>
      </c>
      <c r="W117" s="11">
        <f t="shared" si="9"/>
        <v>23</v>
      </c>
      <c r="X117" s="11">
        <f t="shared" si="10"/>
        <v>-14</v>
      </c>
      <c r="Y117" s="11">
        <f>VLOOKUP($G117, SeanRanks!$A$2:$K$303, 10, FALSE)-V117</f>
        <v>-31</v>
      </c>
      <c r="Z117" s="29">
        <f>IF(VLOOKUP($G117, SeanRanks!$A$2:$H$303, 7, FALSE)=0, "", VLOOKUP($G117, SeanRanks!$A$2:$H$303, 7, FALSE))</f>
        <v>20</v>
      </c>
    </row>
    <row r="118" ht="14.25" customHeight="1">
      <c r="A118" s="11"/>
      <c r="B118" s="11">
        <f t="shared" si="4"/>
        <v>10</v>
      </c>
      <c r="C118" s="11" t="s">
        <v>106</v>
      </c>
      <c r="D118" s="11">
        <v>9.0</v>
      </c>
      <c r="E118" s="11"/>
      <c r="F118" s="11" t="str">
        <f>VLOOKUP(G118, SeanRanks!$A$2:$E$302, 4, FALSE)</f>
        <v/>
      </c>
      <c r="G118" s="11" t="s">
        <v>346</v>
      </c>
      <c r="H118" s="11" t="str">
        <f>VLOOKUP($G118, 'ADP Data'!$C$4:$Q$300, 2, FALSE)</f>
        <v>DET</v>
      </c>
      <c r="I118" s="11">
        <f>VLOOKUP(G118, 'ADP Data'!$C$4:$R$498, 12, FALSE)</f>
        <v>119</v>
      </c>
      <c r="J118" s="60" t="str">
        <f>VLOOKUP($G118, SeanRanks!$A$2:$H$303, 5, FALSE)</f>
        <v/>
      </c>
      <c r="K118" s="11" t="str">
        <f>IF(VLOOKUP($G118, SeanRanks!$A$2:$H$303, 6, FALSE)=0, "", VLOOKUP($G118, SeanRanks!$A$2:$H$303, 6, FALSE))</f>
        <v>QB2 - 2 - Not League Winner</v>
      </c>
      <c r="L118" s="11">
        <f t="shared" si="5"/>
        <v>13</v>
      </c>
      <c r="M118" s="11">
        <f>VLOOKUP($G118, 'ADP Data'!$C$4:$Q$300, 9, FALSE)</f>
        <v>97</v>
      </c>
      <c r="N118" s="11">
        <f t="shared" si="6"/>
        <v>-12</v>
      </c>
      <c r="O118" s="11">
        <f>VLOOKUP($G118, 'ADP Data'!$C$4:$Q$300, 3, FALSE)</f>
        <v>93</v>
      </c>
      <c r="P118" s="11">
        <f t="shared" si="7"/>
        <v>4</v>
      </c>
      <c r="Q118" s="11">
        <f>VLOOKUP($G118, 'ADP Data'!$C$4:$Q$300, 4, FALSE)</f>
        <v>123</v>
      </c>
      <c r="R118" s="11">
        <f>VLOOKUP($G118, 'ADP Data'!$C$4:$Q$300, 5, FALSE)</f>
        <v>115</v>
      </c>
      <c r="S118" s="11">
        <f>VLOOKUP($G118, 'ADP Data'!$C$4:$Q$300, 6, FALSE)</f>
        <v>132</v>
      </c>
      <c r="T118" s="11">
        <f>VLOOKUP($G118, 'ADP Data'!$C$4:$Q$300, 7, FALSE)</f>
        <v>103</v>
      </c>
      <c r="U118" s="11">
        <f>VLOOKUP($G118, 'ADP Data'!$C$4:$Q$300, 8, FALSE)</f>
        <v>105</v>
      </c>
      <c r="V118" s="11">
        <f t="shared" si="8"/>
        <v>109</v>
      </c>
      <c r="W118" s="11">
        <f t="shared" si="9"/>
        <v>14</v>
      </c>
      <c r="X118" s="11">
        <f t="shared" si="10"/>
        <v>-5</v>
      </c>
      <c r="Y118" s="11">
        <f>VLOOKUP($G118, SeanRanks!$A$2:$K$303, 10, FALSE)-V118</f>
        <v>4</v>
      </c>
      <c r="Z118" s="29">
        <f>IF(VLOOKUP($G118, SeanRanks!$A$2:$H$303, 7, FALSE)=0, "", VLOOKUP($G118, SeanRanks!$A$2:$H$303, 7, FALSE))</f>
        <v>16</v>
      </c>
    </row>
    <row r="119" ht="14.25" customHeight="1">
      <c r="A119" s="11"/>
      <c r="B119" s="11" t="str">
        <f t="shared" si="4"/>
        <v>#N/A</v>
      </c>
      <c r="C119" s="11" t="s">
        <v>106</v>
      </c>
      <c r="D119" s="11"/>
      <c r="E119" s="11"/>
      <c r="F119" s="11" t="str">
        <f>VLOOKUP(G119, SeanRanks!$A$2:$E$302, 4, FALSE)</f>
        <v>#N/A</v>
      </c>
      <c r="G119" s="11" t="s">
        <v>875</v>
      </c>
      <c r="H119" s="11" t="str">
        <f>VLOOKUP($G119, 'ADP Data'!$C$4:$Q$300, 2, FALSE)</f>
        <v>#N/A</v>
      </c>
      <c r="I119" s="11" t="str">
        <f>VLOOKUP(G119, 'ADP Data'!$C$4:$R$498, 12, FALSE)</f>
        <v>#N/A</v>
      </c>
      <c r="J119" s="58" t="str">
        <f>VLOOKUP($G119, SeanRanks!$A$2:$H$303, 5, FALSE)</f>
        <v>#N/A</v>
      </c>
      <c r="K119" s="11" t="str">
        <f>IF(VLOOKUP($G119, SeanRanks!$A$2:$H$303, 6, FALSE)=0, "", VLOOKUP($G119, SeanRanks!$A$2:$H$303, 6, FALSE))</f>
        <v>#N/A</v>
      </c>
      <c r="L119" s="11">
        <f t="shared" si="5"/>
        <v>16</v>
      </c>
      <c r="M119" s="11" t="str">
        <f>VLOOKUP($G119, 'ADP Data'!$C$4:$Q$300, 9, FALSE)</f>
        <v>#N/A</v>
      </c>
      <c r="N119" s="11" t="str">
        <f t="shared" si="6"/>
        <v>#N/A</v>
      </c>
      <c r="O119" s="11" t="str">
        <f>VLOOKUP($G119, 'ADP Data'!$C$4:$Q$300, 3, FALSE)</f>
        <v>#N/A</v>
      </c>
      <c r="P119" s="11" t="str">
        <f t="shared" si="7"/>
        <v>#N/A</v>
      </c>
      <c r="Q119" s="11" t="str">
        <f>VLOOKUP($G119, 'ADP Data'!$C$4:$Q$300, 4, FALSE)</f>
        <v>#N/A</v>
      </c>
      <c r="R119" s="11" t="str">
        <f>VLOOKUP($G119, 'ADP Data'!$C$4:$Q$300, 5, FALSE)</f>
        <v>#N/A</v>
      </c>
      <c r="S119" s="11" t="str">
        <f>VLOOKUP($G119, 'ADP Data'!$C$4:$Q$300, 6, FALSE)</f>
        <v>#N/A</v>
      </c>
      <c r="T119" s="11" t="str">
        <f>VLOOKUP($G119, 'ADP Data'!$C$4:$Q$300, 7, FALSE)</f>
        <v>#N/A</v>
      </c>
      <c r="U119" s="11" t="str">
        <f>VLOOKUP($G119, 'ADP Data'!$C$4:$Q$300, 8, FALSE)</f>
        <v>#N/A</v>
      </c>
      <c r="V119" s="11" t="str">
        <f t="shared" si="8"/>
        <v>#N/A</v>
      </c>
      <c r="W119" s="11">
        <f t="shared" si="9"/>
        <v>16</v>
      </c>
      <c r="X119" s="11">
        <f t="shared" si="10"/>
        <v>-16</v>
      </c>
      <c r="Y119" s="11" t="str">
        <f>VLOOKUP($G119, SeanRanks!$A$2:$K$303, 10, FALSE)-V119</f>
        <v>#N/A</v>
      </c>
      <c r="Z119" s="29" t="str">
        <f>IF(VLOOKUP($G119, SeanRanks!$A$2:$H$303, 7, FALSE)=0, "", VLOOKUP($G119, SeanRanks!$A$2:$H$303, 7, FALSE))</f>
        <v>#N/A</v>
      </c>
    </row>
    <row r="120" ht="14.25" customHeight="1">
      <c r="A120" s="11" t="s">
        <v>106</v>
      </c>
      <c r="B120" s="11">
        <f t="shared" si="4"/>
        <v>15</v>
      </c>
      <c r="C120" s="11" t="s">
        <v>95</v>
      </c>
      <c r="D120" s="11">
        <v>9.0</v>
      </c>
      <c r="E120" s="11"/>
      <c r="F120" s="11" t="str">
        <f>VLOOKUP(G120, SeanRanks!$A$2:$E$302, 4, FALSE)</f>
        <v/>
      </c>
      <c r="G120" s="11" t="s">
        <v>876</v>
      </c>
      <c r="H120" s="11" t="str">
        <f>VLOOKUP($G120, 'ADP Data'!$C$4:$Q$300, 2, FALSE)</f>
        <v>CLE</v>
      </c>
      <c r="I120" s="11">
        <f>VLOOKUP(G120, 'ADP Data'!$C$4:$R$498, 12, FALSE)</f>
        <v>168</v>
      </c>
      <c r="J120" s="59" t="str">
        <f>VLOOKUP($G120, SeanRanks!$A$2:$H$303, 5, FALSE)</f>
        <v/>
      </c>
      <c r="K120" s="11" t="str">
        <f>IF(VLOOKUP($G120, SeanRanks!$A$2:$H$303, 6, FALSE)=0, "", VLOOKUP($G120, SeanRanks!$A$2:$H$303, 6, FALSE))</f>
        <v>Don’t draft - replacement value</v>
      </c>
      <c r="L120" s="11">
        <f t="shared" si="5"/>
        <v>20</v>
      </c>
      <c r="M120" s="11">
        <f>VLOOKUP($G120, 'ADP Data'!$C$4:$Q$300, 9, FALSE)</f>
        <v>157</v>
      </c>
      <c r="N120" s="11">
        <f t="shared" si="6"/>
        <v>-10</v>
      </c>
      <c r="O120" s="11">
        <f>VLOOKUP($G120, 'ADP Data'!$C$4:$Q$300, 3, FALSE)</f>
        <v>147</v>
      </c>
      <c r="P120" s="11">
        <f t="shared" si="7"/>
        <v>10</v>
      </c>
      <c r="Q120" s="11">
        <f>VLOOKUP($G120, 'ADP Data'!$C$4:$Q$300, 4, FALSE)</f>
        <v>147</v>
      </c>
      <c r="R120" s="11">
        <f>VLOOKUP($G120, 'ADP Data'!$C$4:$Q$300, 5, FALSE)</f>
        <v>181</v>
      </c>
      <c r="S120" s="11">
        <f>VLOOKUP($G120, 'ADP Data'!$C$4:$Q$300, 6, FALSE)</f>
        <v>146</v>
      </c>
      <c r="T120" s="11">
        <f>VLOOKUP($G120, 'ADP Data'!$C$4:$Q$300, 7, FALSE)</f>
        <v>151</v>
      </c>
      <c r="U120" s="11">
        <f>VLOOKUP($G120, 'ADP Data'!$C$4:$Q$300, 8, FALSE)</f>
        <v>244</v>
      </c>
      <c r="V120" s="11">
        <f t="shared" si="8"/>
        <v>167</v>
      </c>
      <c r="W120" s="11">
        <f t="shared" si="9"/>
        <v>21</v>
      </c>
      <c r="X120" s="11">
        <f t="shared" si="10"/>
        <v>-12</v>
      </c>
      <c r="Y120" s="11">
        <f>VLOOKUP($G120, SeanRanks!$A$2:$K$303, 10, FALSE)-V120</f>
        <v>-44</v>
      </c>
      <c r="Z120" s="29">
        <f>IF(VLOOKUP($G120, SeanRanks!$A$2:$H$303, 7, FALSE)=0, "", VLOOKUP($G120, SeanRanks!$A$2:$H$303, 7, FALSE))</f>
        <v>56</v>
      </c>
    </row>
    <row r="121" ht="14.25" customHeight="1">
      <c r="A121" s="11"/>
      <c r="B121" s="11" t="str">
        <f t="shared" si="4"/>
        <v>#N/A</v>
      </c>
      <c r="C121" s="11" t="s">
        <v>106</v>
      </c>
      <c r="D121" s="11">
        <v>9.0</v>
      </c>
      <c r="E121" s="11"/>
      <c r="F121" s="11" t="str">
        <f>VLOOKUP(G121, SeanRanks!$A$2:$E$302, 4, FALSE)</f>
        <v>#N/A</v>
      </c>
      <c r="G121" s="11" t="s">
        <v>877</v>
      </c>
      <c r="H121" s="11" t="str">
        <f>VLOOKUP($G121, 'ADP Data'!$C$4:$Q$300, 2, FALSE)</f>
        <v>#N/A</v>
      </c>
      <c r="I121" s="11" t="str">
        <f>VLOOKUP(G121, 'ADP Data'!$C$4:$R$498, 12, FALSE)</f>
        <v>#N/A</v>
      </c>
      <c r="J121" s="58" t="str">
        <f>VLOOKUP($G121, SeanRanks!$A$2:$H$303, 5, FALSE)</f>
        <v>#N/A</v>
      </c>
      <c r="K121" s="11" t="str">
        <f>IF(VLOOKUP($G121, SeanRanks!$A$2:$H$303, 6, FALSE)=0, "", VLOOKUP($G121, SeanRanks!$A$2:$H$303, 6, FALSE))</f>
        <v>#N/A</v>
      </c>
      <c r="L121" s="11">
        <f t="shared" si="5"/>
        <v>16</v>
      </c>
      <c r="M121" s="11" t="str">
        <f>VLOOKUP($G121, 'ADP Data'!$C$4:$Q$300, 9, FALSE)</f>
        <v>#N/A</v>
      </c>
      <c r="N121" s="11" t="str">
        <f t="shared" si="6"/>
        <v>#N/A</v>
      </c>
      <c r="O121" s="11" t="str">
        <f>VLOOKUP($G121, 'ADP Data'!$C$4:$Q$300, 3, FALSE)</f>
        <v>#N/A</v>
      </c>
      <c r="P121" s="11" t="str">
        <f t="shared" si="7"/>
        <v>#N/A</v>
      </c>
      <c r="Q121" s="11" t="str">
        <f>VLOOKUP($G121, 'ADP Data'!$C$4:$Q$300, 4, FALSE)</f>
        <v>#N/A</v>
      </c>
      <c r="R121" s="11" t="str">
        <f>VLOOKUP($G121, 'ADP Data'!$C$4:$Q$300, 5, FALSE)</f>
        <v>#N/A</v>
      </c>
      <c r="S121" s="11" t="str">
        <f>VLOOKUP($G121, 'ADP Data'!$C$4:$Q$300, 6, FALSE)</f>
        <v>#N/A</v>
      </c>
      <c r="T121" s="11" t="str">
        <f>VLOOKUP($G121, 'ADP Data'!$C$4:$Q$300, 7, FALSE)</f>
        <v>#N/A</v>
      </c>
      <c r="U121" s="11" t="str">
        <f>VLOOKUP($G121, 'ADP Data'!$C$4:$Q$300, 8, FALSE)</f>
        <v>#N/A</v>
      </c>
      <c r="V121" s="11" t="str">
        <f t="shared" si="8"/>
        <v>#N/A</v>
      </c>
      <c r="W121" s="11">
        <f t="shared" si="9"/>
        <v>16</v>
      </c>
      <c r="X121" s="11">
        <f t="shared" si="10"/>
        <v>-7</v>
      </c>
      <c r="Y121" s="11" t="str">
        <f>VLOOKUP($G121, SeanRanks!$A$2:$K$303, 10, FALSE)-V121</f>
        <v>#N/A</v>
      </c>
      <c r="Z121" s="29" t="str">
        <f>IF(VLOOKUP($G121, SeanRanks!$A$2:$H$303, 7, FALSE)=0, "", VLOOKUP($G121, SeanRanks!$A$2:$H$303, 7, FALSE))</f>
        <v>#N/A</v>
      </c>
    </row>
    <row r="122" ht="14.25" customHeight="1">
      <c r="A122" s="11"/>
      <c r="B122" s="11">
        <f t="shared" si="4"/>
        <v>14</v>
      </c>
      <c r="C122" s="11" t="s">
        <v>106</v>
      </c>
      <c r="D122" s="11">
        <v>10.0</v>
      </c>
      <c r="E122" s="11"/>
      <c r="F122" s="11" t="str">
        <f>VLOOKUP(G122, SeanRanks!$A$2:$E$302, 4, FALSE)</f>
        <v/>
      </c>
      <c r="G122" s="11" t="s">
        <v>268</v>
      </c>
      <c r="H122" s="11" t="str">
        <f>VLOOKUP($G122, 'ADP Data'!$C$4:$Q$300, 2, FALSE)</f>
        <v>JAX</v>
      </c>
      <c r="I122" s="11">
        <f>VLOOKUP(G122, 'ADP Data'!$C$4:$R$498, 12, FALSE)</f>
        <v>132</v>
      </c>
      <c r="J122" s="59" t="str">
        <f>VLOOKUP($G122, SeanRanks!$A$2:$H$303, 5, FALSE)</f>
        <v/>
      </c>
      <c r="K122" s="11" t="str">
        <f>IF(VLOOKUP($G122, SeanRanks!$A$2:$H$303, 6, FALSE)=0, "", VLOOKUP($G122, SeanRanks!$A$2:$H$303, 6, FALSE))</f>
        <v>QB2 - 2 - Not League Winner</v>
      </c>
      <c r="L122" s="11">
        <f t="shared" si="5"/>
        <v>22</v>
      </c>
      <c r="M122" s="11">
        <f>VLOOKUP($G122, 'ADP Data'!$C$4:$Q$300, 9, FALSE)</f>
        <v>168</v>
      </c>
      <c r="N122" s="11">
        <f t="shared" si="6"/>
        <v>9</v>
      </c>
      <c r="O122" s="11">
        <f>VLOOKUP($G122, 'ADP Data'!$C$4:$Q$300, 3, FALSE)</f>
        <v>151</v>
      </c>
      <c r="P122" s="11">
        <f t="shared" si="7"/>
        <v>17</v>
      </c>
      <c r="Q122" s="11">
        <f>VLOOKUP($G122, 'ADP Data'!$C$4:$Q$300, 4, FALSE)</f>
        <v>172</v>
      </c>
      <c r="R122" s="11">
        <f>VLOOKUP($G122, 'ADP Data'!$C$4:$Q$300, 5, FALSE)</f>
        <v>162</v>
      </c>
      <c r="S122" s="11">
        <f>VLOOKUP($G122, 'ADP Data'!$C$4:$Q$300, 6, FALSE)</f>
        <v>144</v>
      </c>
      <c r="T122" s="11">
        <f>VLOOKUP($G122, 'ADP Data'!$C$4:$Q$300, 7, FALSE)</f>
        <v>138</v>
      </c>
      <c r="U122" s="11">
        <f>VLOOKUP($G122, 'ADP Data'!$C$4:$Q$300, 8, FALSE)</f>
        <v>178</v>
      </c>
      <c r="V122" s="11">
        <f t="shared" si="8"/>
        <v>159</v>
      </c>
      <c r="W122" s="11">
        <f t="shared" si="9"/>
        <v>20</v>
      </c>
      <c r="X122" s="11">
        <f t="shared" si="10"/>
        <v>-10</v>
      </c>
      <c r="Y122" s="11">
        <f>VLOOKUP($G122, SeanRanks!$A$2:$K$303, 10, FALSE)-V122</f>
        <v>-27</v>
      </c>
      <c r="Z122" s="29">
        <f>IF(VLOOKUP($G122, SeanRanks!$A$2:$H$303, 7, FALSE)=0, "", VLOOKUP($G122, SeanRanks!$A$2:$H$303, 7, FALSE))</f>
        <v>19</v>
      </c>
    </row>
    <row r="123" ht="14.25" customHeight="1">
      <c r="A123" s="11"/>
      <c r="B123" s="11">
        <f t="shared" si="4"/>
        <v>9</v>
      </c>
      <c r="C123" s="11" t="s">
        <v>106</v>
      </c>
      <c r="D123" s="11"/>
      <c r="E123" s="11"/>
      <c r="F123" s="11" t="str">
        <f>VLOOKUP(G123, SeanRanks!$A$2:$E$302, 4, FALSE)</f>
        <v/>
      </c>
      <c r="G123" s="11" t="s">
        <v>374</v>
      </c>
      <c r="H123" s="11" t="str">
        <f>VLOOKUP($G123, 'ADP Data'!$C$4:$Q$300, 2, FALSE)</f>
        <v>BUF</v>
      </c>
      <c r="I123" s="11">
        <f>VLOOKUP(G123, 'ADP Data'!$C$4:$R$498, 12, FALSE)</f>
        <v>92</v>
      </c>
      <c r="J123" s="49" t="str">
        <f>VLOOKUP($G123, SeanRanks!$A$2:$H$303, 5, FALSE)</f>
        <v/>
      </c>
      <c r="K123" s="11" t="str">
        <f>IF(VLOOKUP($G123, SeanRanks!$A$2:$H$303, 6, FALSE)=0, "", VLOOKUP($G123, SeanRanks!$A$2:$H$303, 6, FALSE))</f>
        <v>WR4 - 2 - unclear path to WR2</v>
      </c>
      <c r="L123" s="11">
        <f t="shared" si="5"/>
        <v>12</v>
      </c>
      <c r="M123" s="11">
        <f>VLOOKUP($G123, 'ADP Data'!$C$4:$Q$300, 9, FALSE)</f>
        <v>93</v>
      </c>
      <c r="N123" s="11">
        <f t="shared" si="6"/>
        <v>-11</v>
      </c>
      <c r="O123" s="11">
        <f>VLOOKUP($G123, 'ADP Data'!$C$4:$Q$300, 3, FALSE)</f>
        <v>118</v>
      </c>
      <c r="P123" s="11">
        <f t="shared" si="7"/>
        <v>-25</v>
      </c>
      <c r="Q123" s="11">
        <f>VLOOKUP($G123, 'ADP Data'!$C$4:$Q$300, 4, FALSE)</f>
        <v>108</v>
      </c>
      <c r="R123" s="11">
        <f>VLOOKUP($G123, 'ADP Data'!$C$4:$Q$300, 5, FALSE)</f>
        <v>116</v>
      </c>
      <c r="S123" s="11">
        <f>VLOOKUP($G123, 'ADP Data'!$C$4:$Q$300, 6, FALSE)</f>
        <v>103</v>
      </c>
      <c r="T123" s="11">
        <f>VLOOKUP($G123, 'ADP Data'!$C$4:$Q$300, 7, FALSE)</f>
        <v>88</v>
      </c>
      <c r="U123" s="11">
        <f>VLOOKUP($G123, 'ADP Data'!$C$4:$Q$300, 8, FALSE)</f>
        <v>102</v>
      </c>
      <c r="V123" s="11">
        <f t="shared" si="8"/>
        <v>104</v>
      </c>
      <c r="W123" s="11">
        <f t="shared" si="9"/>
        <v>14</v>
      </c>
      <c r="X123" s="11">
        <f t="shared" si="10"/>
        <v>-14</v>
      </c>
      <c r="Y123" s="11">
        <f>VLOOKUP($G123, SeanRanks!$A$2:$K$303, 10, FALSE)-V123</f>
        <v>2</v>
      </c>
      <c r="Z123" s="29">
        <f>IF(VLOOKUP($G123, SeanRanks!$A$2:$H$303, 7, FALSE)=0, "", VLOOKUP($G123, SeanRanks!$A$2:$H$303, 7, FALSE))</f>
        <v>45</v>
      </c>
    </row>
    <row r="124" ht="14.25" customHeight="1">
      <c r="A124" s="11"/>
      <c r="B124" s="11">
        <f t="shared" si="4"/>
        <v>21</v>
      </c>
      <c r="C124" s="11" t="s">
        <v>106</v>
      </c>
      <c r="D124" s="11"/>
      <c r="E124" s="11"/>
      <c r="F124" s="11" t="str">
        <f>VLOOKUP(G124, SeanRanks!$A$2:$E$302, 4, FALSE)</f>
        <v/>
      </c>
      <c r="G124" s="11" t="s">
        <v>420</v>
      </c>
      <c r="H124" s="11" t="str">
        <f>VLOOKUP($G124, 'ADP Data'!$C$4:$Q$300, 2, FALSE)</f>
        <v>HOU</v>
      </c>
      <c r="I124" s="11">
        <f>VLOOKUP(G124, 'ADP Data'!$C$4:$R$498, 12, FALSE)</f>
        <v>226</v>
      </c>
      <c r="J124" s="61" t="str">
        <f>VLOOKUP($G124, SeanRanks!$A$2:$H$303, 5, FALSE)</f>
        <v/>
      </c>
      <c r="K124" s="11" t="str">
        <f>IF(VLOOKUP($G124, SeanRanks!$A$2:$H$303, 6, FALSE)=0, "", VLOOKUP($G124, SeanRanks!$A$2:$H$303, 6, FALSE))</f>
        <v/>
      </c>
      <c r="L124" s="11">
        <f t="shared" si="5"/>
        <v>31</v>
      </c>
      <c r="M124" s="11">
        <f>VLOOKUP($G124, 'ADP Data'!$C$4:$Q$300, 9, FALSE)</f>
        <v>241</v>
      </c>
      <c r="N124" s="11">
        <f t="shared" si="6"/>
        <v>-3</v>
      </c>
      <c r="O124" s="11" t="str">
        <f>VLOOKUP($G124, 'ADP Data'!$C$4:$Q$300, 3, FALSE)</f>
        <v>-</v>
      </c>
      <c r="P124" s="11" t="str">
        <f t="shared" si="7"/>
        <v>#VALUE!</v>
      </c>
      <c r="Q124" s="11">
        <f>VLOOKUP($G124, 'ADP Data'!$C$4:$Q$300, 4, FALSE)</f>
        <v>267</v>
      </c>
      <c r="R124" s="11">
        <f>VLOOKUP($G124, 'ADP Data'!$C$4:$Q$300, 5, FALSE)</f>
        <v>287</v>
      </c>
      <c r="S124" s="11">
        <f>VLOOKUP($G124, 'ADP Data'!$C$4:$Q$300, 6, FALSE)</f>
        <v>210</v>
      </c>
      <c r="T124" s="11">
        <f>VLOOKUP($G124, 'ADP Data'!$C$4:$Q$300, 7, FALSE)</f>
        <v>248</v>
      </c>
      <c r="U124" s="11">
        <f>VLOOKUP($G124, 'ADP Data'!$C$4:$Q$300, 8, FALSE)</f>
        <v>216</v>
      </c>
      <c r="V124" s="11">
        <f t="shared" si="8"/>
        <v>244</v>
      </c>
      <c r="W124" s="11">
        <f t="shared" si="9"/>
        <v>31</v>
      </c>
      <c r="X124" s="11">
        <f t="shared" si="10"/>
        <v>-31</v>
      </c>
      <c r="Y124" s="11">
        <f>VLOOKUP($G124, SeanRanks!$A$2:$K$303, 10, FALSE)-V124</f>
        <v>-14</v>
      </c>
      <c r="Z124" s="29" t="str">
        <f>IF(VLOOKUP($G124, SeanRanks!$A$2:$H$303, 7, FALSE)=0, "", VLOOKUP($G124, SeanRanks!$A$2:$H$303, 7, FALSE))</f>
        <v/>
      </c>
    </row>
    <row r="125" ht="14.25" customHeight="1">
      <c r="A125" s="11"/>
      <c r="B125" s="11">
        <f t="shared" si="4"/>
        <v>18</v>
      </c>
      <c r="C125" s="11" t="s">
        <v>106</v>
      </c>
      <c r="D125" s="11"/>
      <c r="E125" s="11"/>
      <c r="F125" s="11" t="str">
        <f>VLOOKUP(G125, SeanRanks!$A$2:$E$302, 4, FALSE)</f>
        <v/>
      </c>
      <c r="G125" s="11" t="s">
        <v>282</v>
      </c>
      <c r="H125" s="11" t="str">
        <f>VLOOKUP($G125, 'ADP Data'!$C$4:$Q$300, 2, FALSE)</f>
        <v>LAR</v>
      </c>
      <c r="I125" s="11">
        <f>VLOOKUP(G125, 'ADP Data'!$C$4:$R$498, 12, FALSE)</f>
        <v>216</v>
      </c>
      <c r="J125" s="59" t="str">
        <f>VLOOKUP($G125, SeanRanks!$A$2:$H$303, 5, FALSE)</f>
        <v/>
      </c>
      <c r="K125" s="11" t="str">
        <f>IF(VLOOKUP($G125, SeanRanks!$A$2:$H$303, 6, FALSE)=0, "", VLOOKUP($G125, SeanRanks!$A$2:$H$303, 6, FALSE))</f>
        <v/>
      </c>
      <c r="L125" s="11">
        <f t="shared" si="5"/>
        <v>26</v>
      </c>
      <c r="M125" s="11">
        <f>VLOOKUP($G125, 'ADP Data'!$C$4:$Q$300, 9, FALSE)</f>
        <v>200</v>
      </c>
      <c r="N125" s="11">
        <f t="shared" si="6"/>
        <v>-10</v>
      </c>
      <c r="O125" s="11" t="str">
        <f>VLOOKUP($G125, 'ADP Data'!$C$4:$Q$300, 3, FALSE)</f>
        <v>-</v>
      </c>
      <c r="P125" s="11" t="str">
        <f t="shared" si="7"/>
        <v>#VALUE!</v>
      </c>
      <c r="Q125" s="11" t="str">
        <f>VLOOKUP($G125, 'ADP Data'!$C$4:$Q$300, 4, FALSE)</f>
        <v>-</v>
      </c>
      <c r="R125" s="11">
        <f>VLOOKUP($G125, 'ADP Data'!$C$4:$Q$300, 5, FALSE)</f>
        <v>248</v>
      </c>
      <c r="S125" s="11">
        <f>VLOOKUP($G125, 'ADP Data'!$C$4:$Q$300, 6, FALSE)</f>
        <v>176</v>
      </c>
      <c r="T125" s="11">
        <f>VLOOKUP($G125, 'ADP Data'!$C$4:$Q$300, 7, FALSE)</f>
        <v>181</v>
      </c>
      <c r="U125" s="11">
        <f>VLOOKUP($G125, 'ADP Data'!$C$4:$Q$300, 8, FALSE)</f>
        <v>245</v>
      </c>
      <c r="V125" s="11">
        <f t="shared" si="8"/>
        <v>210</v>
      </c>
      <c r="W125" s="11">
        <f t="shared" si="9"/>
        <v>27</v>
      </c>
      <c r="X125" s="11">
        <f t="shared" si="10"/>
        <v>-27</v>
      </c>
      <c r="Y125" s="11">
        <f>VLOOKUP($G125, SeanRanks!$A$2:$K$303, 10, FALSE)-V125</f>
        <v>-31</v>
      </c>
      <c r="Z125" s="29" t="str">
        <f>IF(VLOOKUP($G125, SeanRanks!$A$2:$H$303, 7, FALSE)=0, "", VLOOKUP($G125, SeanRanks!$A$2:$H$303, 7, FALSE))</f>
        <v/>
      </c>
    </row>
    <row r="126" ht="14.25" customHeight="1">
      <c r="A126" s="11"/>
      <c r="B126" s="11">
        <f t="shared" si="4"/>
        <v>18</v>
      </c>
      <c r="C126" s="11" t="s">
        <v>106</v>
      </c>
      <c r="D126" s="11">
        <v>11.0</v>
      </c>
      <c r="E126" s="11"/>
      <c r="F126" s="11" t="str">
        <f>VLOOKUP(G126, SeanRanks!$A$2:$E$302, 4, FALSE)</f>
        <v/>
      </c>
      <c r="G126" s="11" t="s">
        <v>552</v>
      </c>
      <c r="H126" s="11" t="str">
        <f>VLOOKUP($G126, 'ADP Data'!$C$4:$Q$300, 2, FALSE)</f>
        <v>PIT</v>
      </c>
      <c r="I126" s="11">
        <f>VLOOKUP(G126, 'ADP Data'!$C$4:$R$498, 12, FALSE)</f>
        <v>228</v>
      </c>
      <c r="J126" s="57" t="str">
        <f>VLOOKUP($G126, SeanRanks!$A$2:$H$303, 5, FALSE)</f>
        <v/>
      </c>
      <c r="K126" s="11" t="str">
        <f>IF(VLOOKUP($G126, SeanRanks!$A$2:$H$303, 6, FALSE)=0, "", VLOOKUP($G126, SeanRanks!$A$2:$H$303, 6, FALSE))</f>
        <v/>
      </c>
      <c r="L126" s="11">
        <f t="shared" si="5"/>
        <v>26</v>
      </c>
      <c r="M126" s="11">
        <f>VLOOKUP($G126, 'ADP Data'!$C$4:$Q$300, 9, FALSE)</f>
        <v>202</v>
      </c>
      <c r="N126" s="11">
        <f t="shared" si="6"/>
        <v>-3</v>
      </c>
      <c r="O126" s="11" t="str">
        <f>VLOOKUP($G126, 'ADP Data'!$C$4:$Q$300, 3, FALSE)</f>
        <v>-</v>
      </c>
      <c r="P126" s="11" t="str">
        <f t="shared" si="7"/>
        <v>#VALUE!</v>
      </c>
      <c r="Q126" s="11">
        <f>VLOOKUP($G126, 'ADP Data'!$C$4:$Q$300, 4, FALSE)</f>
        <v>198</v>
      </c>
      <c r="R126" s="11">
        <f>VLOOKUP($G126, 'ADP Data'!$C$4:$Q$300, 5, FALSE)</f>
        <v>239</v>
      </c>
      <c r="S126" s="11">
        <f>VLOOKUP($G126, 'ADP Data'!$C$4:$Q$300, 6, FALSE)</f>
        <v>196</v>
      </c>
      <c r="T126" s="11">
        <f>VLOOKUP($G126, 'ADP Data'!$C$4:$Q$300, 7, FALSE)</f>
        <v>221</v>
      </c>
      <c r="U126" s="11">
        <f>VLOOKUP($G126, 'ADP Data'!$C$4:$Q$300, 8, FALSE)</f>
        <v>176</v>
      </c>
      <c r="V126" s="11">
        <f t="shared" si="8"/>
        <v>205</v>
      </c>
      <c r="W126" s="11">
        <f t="shared" si="9"/>
        <v>26</v>
      </c>
      <c r="X126" s="11">
        <f t="shared" si="10"/>
        <v>-15</v>
      </c>
      <c r="Y126" s="11">
        <f>VLOOKUP($G126, SeanRanks!$A$2:$K$303, 10, FALSE)-V126</f>
        <v>23</v>
      </c>
      <c r="Z126" s="29" t="str">
        <f>IF(VLOOKUP($G126, SeanRanks!$A$2:$H$303, 7, FALSE)=0, "", VLOOKUP($G126, SeanRanks!$A$2:$H$303, 7, FALSE))</f>
        <v/>
      </c>
    </row>
    <row r="127" ht="14.25" customHeight="1">
      <c r="A127" s="11"/>
      <c r="B127" s="11">
        <f t="shared" si="4"/>
        <v>21</v>
      </c>
      <c r="C127" s="11" t="s">
        <v>106</v>
      </c>
      <c r="D127" s="11">
        <v>11.0</v>
      </c>
      <c r="E127" s="11"/>
      <c r="F127" s="11" t="str">
        <f>VLOOKUP(G127, SeanRanks!$A$2:$E$302, 4, FALSE)</f>
        <v/>
      </c>
      <c r="G127" s="11" t="s">
        <v>880</v>
      </c>
      <c r="H127" s="11" t="str">
        <f>VLOOKUP($G127, 'ADP Data'!$C$4:$Q$300, 2, FALSE)</f>
        <v>TEN</v>
      </c>
      <c r="I127" s="11">
        <f>VLOOKUP(G127, 'ADP Data'!$C$4:$R$498, 12, FALSE)</f>
        <v>223</v>
      </c>
      <c r="J127" s="49" t="str">
        <f>VLOOKUP($G127, SeanRanks!$A$2:$H$303, 5, FALSE)</f>
        <v/>
      </c>
      <c r="K127" s="11" t="str">
        <f>IF(VLOOKUP($G127, SeanRanks!$A$2:$H$303, 6, FALSE)=0, "", VLOOKUP($G127, SeanRanks!$A$2:$H$303, 6, FALSE))</f>
        <v/>
      </c>
      <c r="L127" s="11">
        <f t="shared" si="5"/>
        <v>30</v>
      </c>
      <c r="M127" s="11">
        <f>VLOOKUP($G127, 'ADP Data'!$C$4:$Q$300, 9, FALSE)</f>
        <v>235</v>
      </c>
      <c r="N127" s="11">
        <f t="shared" si="6"/>
        <v>-8</v>
      </c>
      <c r="O127" s="11" t="str">
        <f>VLOOKUP($G127, 'ADP Data'!$C$4:$Q$300, 3, FALSE)</f>
        <v>-</v>
      </c>
      <c r="P127" s="11" t="str">
        <f t="shared" si="7"/>
        <v>#VALUE!</v>
      </c>
      <c r="Q127" s="11" t="str">
        <f>VLOOKUP($G127, 'ADP Data'!$C$4:$Q$300, 4, FALSE)</f>
        <v>-</v>
      </c>
      <c r="R127" s="11">
        <f>VLOOKUP($G127, 'ADP Data'!$C$4:$Q$300, 5, FALSE)</f>
        <v>316</v>
      </c>
      <c r="S127" s="11">
        <f>VLOOKUP($G127, 'ADP Data'!$C$4:$Q$300, 6, FALSE)</f>
        <v>202</v>
      </c>
      <c r="T127" s="11">
        <f>VLOOKUP($G127, 'ADP Data'!$C$4:$Q$300, 7, FALSE)</f>
        <v>228</v>
      </c>
      <c r="U127" s="11">
        <f>VLOOKUP($G127, 'ADP Data'!$C$4:$Q$300, 8, FALSE)</f>
        <v>238</v>
      </c>
      <c r="V127" s="11">
        <f t="shared" si="8"/>
        <v>243</v>
      </c>
      <c r="W127" s="11">
        <f t="shared" si="9"/>
        <v>31</v>
      </c>
      <c r="X127" s="11">
        <f t="shared" si="10"/>
        <v>-20</v>
      </c>
      <c r="Y127" s="11" t="str">
        <f>VLOOKUP($G127, SeanRanks!$A$2:$K$303, 10, FALSE)-V127</f>
        <v>#VALUE!</v>
      </c>
      <c r="Z127" s="29" t="str">
        <f>IF(VLOOKUP($G127, SeanRanks!$A$2:$H$303, 7, FALSE)=0, "", VLOOKUP($G127, SeanRanks!$A$2:$H$303, 7, FALSE))</f>
        <v/>
      </c>
    </row>
    <row r="128" ht="14.25" customHeight="1">
      <c r="A128" s="11"/>
      <c r="B128" s="11">
        <f t="shared" si="4"/>
        <v>17</v>
      </c>
      <c r="C128" s="11" t="s">
        <v>106</v>
      </c>
      <c r="D128" s="11">
        <v>12.0</v>
      </c>
      <c r="E128" s="11"/>
      <c r="F128" s="11" t="str">
        <f>VLOOKUP(G128, SeanRanks!$A$2:$E$302, 4, FALSE)</f>
        <v/>
      </c>
      <c r="G128" s="11" t="s">
        <v>359</v>
      </c>
      <c r="H128" s="11" t="str">
        <f>VLOOKUP($G128, 'ADP Data'!$C$4:$Q$300, 2, FALSE)</f>
        <v>GB</v>
      </c>
      <c r="I128" s="11">
        <f>VLOOKUP(G128, 'ADP Data'!$C$4:$R$498, 12, FALSE)</f>
        <v>142</v>
      </c>
      <c r="J128" s="49" t="str">
        <f>VLOOKUP($G128, SeanRanks!$A$2:$H$303, 5, FALSE)</f>
        <v/>
      </c>
      <c r="K128" s="11" t="str">
        <f>IF(VLOOKUP($G128, SeanRanks!$A$2:$H$303, 6, FALSE)=0, "", VLOOKUP($G128, SeanRanks!$A$2:$H$303, 6, FALSE))</f>
        <v/>
      </c>
      <c r="L128" s="11">
        <f t="shared" si="5"/>
        <v>27</v>
      </c>
      <c r="M128" s="11">
        <f>VLOOKUP($G128, 'ADP Data'!$C$4:$Q$300, 9, FALSE)</f>
        <v>210</v>
      </c>
      <c r="N128" s="11">
        <f t="shared" si="6"/>
        <v>12</v>
      </c>
      <c r="O128" s="11">
        <f>VLOOKUP($G128, 'ADP Data'!$C$4:$Q$300, 3, FALSE)</f>
        <v>205</v>
      </c>
      <c r="P128" s="11">
        <f t="shared" si="7"/>
        <v>5</v>
      </c>
      <c r="Q128" s="11" t="str">
        <f>VLOOKUP($G128, 'ADP Data'!$C$4:$Q$300, 4, FALSE)</f>
        <v>-</v>
      </c>
      <c r="R128" s="11">
        <f>VLOOKUP($G128, 'ADP Data'!$C$4:$Q$300, 5, FALSE)</f>
        <v>219</v>
      </c>
      <c r="S128" s="11">
        <f>VLOOKUP($G128, 'ADP Data'!$C$4:$Q$300, 6, FALSE)</f>
        <v>172</v>
      </c>
      <c r="T128" s="11">
        <f>VLOOKUP($G128, 'ADP Data'!$C$4:$Q$300, 7, FALSE)</f>
        <v>163</v>
      </c>
      <c r="U128" s="11">
        <f>VLOOKUP($G128, 'ADP Data'!$C$4:$Q$300, 8, FALSE)</f>
        <v>223</v>
      </c>
      <c r="V128" s="11">
        <f t="shared" si="8"/>
        <v>198</v>
      </c>
      <c r="W128" s="11">
        <f t="shared" si="9"/>
        <v>25</v>
      </c>
      <c r="X128" s="11">
        <f t="shared" si="10"/>
        <v>-13</v>
      </c>
      <c r="Y128" s="11">
        <f>VLOOKUP($G128, SeanRanks!$A$2:$K$303, 10, FALSE)-V128</f>
        <v>-20</v>
      </c>
      <c r="Z128" s="29" t="str">
        <f>IF(VLOOKUP($G128, SeanRanks!$A$2:$H$303, 7, FALSE)=0, "", VLOOKUP($G128, SeanRanks!$A$2:$H$303, 7, FALSE))</f>
        <v/>
      </c>
    </row>
    <row r="129" ht="14.25" customHeight="1">
      <c r="A129" s="11"/>
      <c r="B129" s="11">
        <f t="shared" si="4"/>
        <v>16</v>
      </c>
      <c r="C129" s="11" t="s">
        <v>106</v>
      </c>
      <c r="D129" s="11"/>
      <c r="E129" s="11"/>
      <c r="F129" s="11" t="str">
        <f>VLOOKUP(G129, SeanRanks!$A$2:$E$302, 4, FALSE)</f>
        <v/>
      </c>
      <c r="G129" s="11" t="s">
        <v>676</v>
      </c>
      <c r="H129" s="11" t="str">
        <f>VLOOKUP($G129, 'ADP Data'!$C$4:$Q$300, 2, FALSE)</f>
        <v>SF</v>
      </c>
      <c r="I129" s="11" t="str">
        <f>VLOOKUP(G129, 'ADP Data'!$C$4:$R$498, 12, FALSE)</f>
        <v>-</v>
      </c>
      <c r="J129" s="11" t="str">
        <f>VLOOKUP($G129, SeanRanks!$A$2:$H$303, 5, FALSE)</f>
        <v/>
      </c>
      <c r="K129" s="11" t="str">
        <f>IF(VLOOKUP($G129, SeanRanks!$A$2:$H$303, 6, FALSE)=0, "", VLOOKUP($G129, SeanRanks!$A$2:$H$303, 6, FALSE))</f>
        <v/>
      </c>
      <c r="L129" s="11">
        <f t="shared" si="5"/>
        <v>20</v>
      </c>
      <c r="M129" s="11">
        <f>VLOOKUP($G129, 'ADP Data'!$C$4:$Q$300, 9, FALSE)</f>
        <v>156</v>
      </c>
      <c r="N129" s="11">
        <f t="shared" si="6"/>
        <v>-21</v>
      </c>
      <c r="O129" s="11">
        <f>VLOOKUP($G129, 'ADP Data'!$C$4:$Q$300, 3, FALSE)</f>
        <v>181</v>
      </c>
      <c r="P129" s="11">
        <f t="shared" si="7"/>
        <v>-25</v>
      </c>
      <c r="Q129" s="11">
        <f>VLOOKUP($G129, 'ADP Data'!$C$4:$Q$300, 4, FALSE)</f>
        <v>188</v>
      </c>
      <c r="R129" s="11">
        <f>VLOOKUP($G129, 'ADP Data'!$C$4:$Q$300, 5, FALSE)</f>
        <v>229</v>
      </c>
      <c r="S129" s="11">
        <f>VLOOKUP($G129, 'ADP Data'!$C$4:$Q$300, 6, FALSE)</f>
        <v>230</v>
      </c>
      <c r="T129" s="11">
        <f>VLOOKUP($G129, 'ADP Data'!$C$4:$Q$300, 7, FALSE)</f>
        <v>185</v>
      </c>
      <c r="U129" s="11">
        <f>VLOOKUP($G129, 'ADP Data'!$C$4:$Q$300, 8, FALSE)</f>
        <v>76</v>
      </c>
      <c r="V129" s="11">
        <f t="shared" si="8"/>
        <v>177</v>
      </c>
      <c r="W129" s="11">
        <f t="shared" si="9"/>
        <v>23</v>
      </c>
      <c r="X129" s="11">
        <f t="shared" si="10"/>
        <v>-23</v>
      </c>
      <c r="Y129" s="11" t="str">
        <f>VLOOKUP($G129, SeanRanks!$A$2:$K$303, 10, FALSE)-V129</f>
        <v>#VALUE!</v>
      </c>
      <c r="Z129" s="29" t="str">
        <f>IF(VLOOKUP($G129, SeanRanks!$A$2:$H$303, 7, FALSE)=0, "", VLOOKUP($G129, SeanRanks!$A$2:$H$303, 7, FALSE))</f>
        <v/>
      </c>
    </row>
    <row r="130" ht="14.25" customHeight="1">
      <c r="A130" s="11"/>
      <c r="B130" s="11">
        <f t="shared" si="4"/>
        <v>10</v>
      </c>
      <c r="C130" s="11" t="s">
        <v>106</v>
      </c>
      <c r="D130" s="11"/>
      <c r="E130" s="11"/>
      <c r="F130" s="11" t="str">
        <f>VLOOKUP(G130, SeanRanks!$A$2:$E$302, 4, FALSE)</f>
        <v/>
      </c>
      <c r="G130" s="11" t="s">
        <v>266</v>
      </c>
      <c r="H130" s="11" t="str">
        <f>VLOOKUP($G130, 'ADP Data'!$C$4:$Q$300, 2, FALSE)</f>
        <v>LAC</v>
      </c>
      <c r="I130" s="11">
        <f>VLOOKUP(G130, 'ADP Data'!$C$4:$R$498, 12, FALSE)</f>
        <v>128</v>
      </c>
      <c r="J130" s="58" t="str">
        <f>VLOOKUP($G130, SeanRanks!$A$2:$H$303, 5, FALSE)</f>
        <v/>
      </c>
      <c r="K130" s="11" t="str">
        <f>IF(VLOOKUP($G130, SeanRanks!$A$2:$H$303, 6, FALSE)=0, "", VLOOKUP($G130, SeanRanks!$A$2:$H$303, 6, FALSE))</f>
        <v>QB2 - 2 - Not League Winner</v>
      </c>
      <c r="L130" s="11">
        <f t="shared" si="5"/>
        <v>14</v>
      </c>
      <c r="M130" s="11">
        <f>VLOOKUP($G130, 'ADP Data'!$C$4:$Q$300, 9, FALSE)</f>
        <v>109</v>
      </c>
      <c r="N130" s="11">
        <f t="shared" si="6"/>
        <v>-8</v>
      </c>
      <c r="O130" s="11">
        <f>VLOOKUP($G130, 'ADP Data'!$C$4:$Q$300, 3, FALSE)</f>
        <v>122</v>
      </c>
      <c r="P130" s="11">
        <f t="shared" si="7"/>
        <v>-13</v>
      </c>
      <c r="Q130" s="11">
        <f>VLOOKUP($G130, 'ADP Data'!$C$4:$Q$300, 4, FALSE)</f>
        <v>91</v>
      </c>
      <c r="R130" s="11">
        <f>VLOOKUP($G130, 'ADP Data'!$C$4:$Q$300, 5, FALSE)</f>
        <v>122</v>
      </c>
      <c r="S130" s="11">
        <f>VLOOKUP($G130, 'ADP Data'!$C$4:$Q$300, 6, FALSE)</f>
        <v>135</v>
      </c>
      <c r="T130" s="11">
        <f>VLOOKUP($G130, 'ADP Data'!$C$4:$Q$300, 7, FALSE)</f>
        <v>120</v>
      </c>
      <c r="U130" s="11">
        <f>VLOOKUP($G130, 'ADP Data'!$C$4:$Q$300, 8, FALSE)</f>
        <v>124</v>
      </c>
      <c r="V130" s="11">
        <f t="shared" si="8"/>
        <v>117</v>
      </c>
      <c r="W130" s="11">
        <f t="shared" si="9"/>
        <v>15</v>
      </c>
      <c r="X130" s="11">
        <f t="shared" si="10"/>
        <v>-15</v>
      </c>
      <c r="Y130" s="11">
        <f>VLOOKUP($G130, SeanRanks!$A$2:$K$303, 10, FALSE)-V130</f>
        <v>-12</v>
      </c>
      <c r="Z130" s="29">
        <f>IF(VLOOKUP($G130, SeanRanks!$A$2:$H$303, 7, FALSE)=0, "", VLOOKUP($G130, SeanRanks!$A$2:$H$303, 7, FALSE))</f>
        <v>17</v>
      </c>
    </row>
    <row r="131" ht="14.25" customHeight="1">
      <c r="A131" s="11"/>
      <c r="B131" s="11">
        <f t="shared" si="4"/>
        <v>14</v>
      </c>
      <c r="C131" s="11" t="s">
        <v>95</v>
      </c>
      <c r="D131" s="11"/>
      <c r="E131" s="11"/>
      <c r="F131" s="11" t="str">
        <f>VLOOKUP(G131, SeanRanks!$A$2:$E$302, 4, FALSE)</f>
        <v/>
      </c>
      <c r="G131" s="11" t="s">
        <v>829</v>
      </c>
      <c r="H131" s="11" t="str">
        <f>VLOOKUP($G131, 'ADP Data'!$C$4:$Q$300, 2, FALSE)</f>
        <v>ARI</v>
      </c>
      <c r="I131" s="11">
        <f>VLOOKUP(G131, 'ADP Data'!$C$4:$R$498, 12, FALSE)</f>
        <v>139</v>
      </c>
      <c r="J131" s="59" t="str">
        <f>VLOOKUP($G131, SeanRanks!$A$2:$H$303, 5, FALSE)</f>
        <v/>
      </c>
      <c r="K131" s="11" t="str">
        <f>IF(VLOOKUP($G131, SeanRanks!$A$2:$H$303, 6, FALSE)=0, "", VLOOKUP($G131, SeanRanks!$A$2:$H$303, 6, FALSE))</f>
        <v>RB4 - 1 - Path to spikes</v>
      </c>
      <c r="L131" s="11">
        <f t="shared" si="5"/>
        <v>18</v>
      </c>
      <c r="M131" s="11">
        <f>VLOOKUP($G131, 'ADP Data'!$C$4:$Q$300, 9, FALSE)</f>
        <v>143</v>
      </c>
      <c r="N131" s="11">
        <f t="shared" si="6"/>
        <v>-10</v>
      </c>
      <c r="O131" s="11">
        <f>VLOOKUP($G131, 'ADP Data'!$C$4:$Q$300, 3, FALSE)</f>
        <v>149</v>
      </c>
      <c r="P131" s="11">
        <f t="shared" si="7"/>
        <v>-6</v>
      </c>
      <c r="Q131" s="11">
        <f>VLOOKUP($G131, 'ADP Data'!$C$4:$Q$300, 4, FALSE)</f>
        <v>151</v>
      </c>
      <c r="R131" s="11">
        <f>VLOOKUP($G131, 'ADP Data'!$C$4:$Q$300, 5, FALSE)</f>
        <v>159</v>
      </c>
      <c r="S131" s="11">
        <f>VLOOKUP($G131, 'ADP Data'!$C$4:$Q$300, 6, FALSE)</f>
        <v>121</v>
      </c>
      <c r="T131" s="11">
        <f>VLOOKUP($G131, 'ADP Data'!$C$4:$Q$300, 7, FALSE)</f>
        <v>123</v>
      </c>
      <c r="U131" s="11">
        <f>VLOOKUP($G131, 'ADP Data'!$C$4:$Q$300, 8, FALSE)</f>
        <v>227</v>
      </c>
      <c r="V131" s="11">
        <f t="shared" si="8"/>
        <v>153</v>
      </c>
      <c r="W131" s="11">
        <f t="shared" si="9"/>
        <v>20</v>
      </c>
      <c r="X131" s="11">
        <f t="shared" si="10"/>
        <v>-20</v>
      </c>
      <c r="Y131" s="11">
        <f>VLOOKUP($G131, SeanRanks!$A$2:$K$303, 10, FALSE)-V131</f>
        <v>-16</v>
      </c>
      <c r="Z131" s="29">
        <f>IF(VLOOKUP($G131, SeanRanks!$A$2:$H$303, 7, FALSE)=0, "", VLOOKUP($G131, SeanRanks!$A$2:$H$303, 7, FALSE))</f>
        <v>44</v>
      </c>
    </row>
    <row r="132" ht="14.25" customHeight="1">
      <c r="A132" s="11"/>
      <c r="B132" s="11">
        <f t="shared" si="4"/>
        <v>8</v>
      </c>
      <c r="C132" s="11" t="s">
        <v>106</v>
      </c>
      <c r="D132" s="11"/>
      <c r="E132" s="11"/>
      <c r="F132" s="11" t="str">
        <f>VLOOKUP(G132, SeanRanks!$A$2:$E$302, 4, FALSE)</f>
        <v/>
      </c>
      <c r="G132" s="11" t="s">
        <v>342</v>
      </c>
      <c r="H132" s="11" t="str">
        <f>VLOOKUP($G132, 'ADP Data'!$C$4:$Q$300, 2, FALSE)</f>
        <v>LV</v>
      </c>
      <c r="I132" s="11">
        <f>VLOOKUP(G132, 'ADP Data'!$C$4:$R$498, 12, FALSE)</f>
        <v>77</v>
      </c>
      <c r="J132" s="49" t="str">
        <f>VLOOKUP($G132, SeanRanks!$A$2:$H$303, 5, FALSE)</f>
        <v/>
      </c>
      <c r="K132" s="11" t="str">
        <f>IF(VLOOKUP($G132, SeanRanks!$A$2:$H$303, 6, FALSE)=0, "", VLOOKUP($G132, SeanRanks!$A$2:$H$303, 6, FALSE))</f>
        <v>WR3 - 3 - lower ceiling</v>
      </c>
      <c r="L132" s="11">
        <f t="shared" si="5"/>
        <v>11</v>
      </c>
      <c r="M132" s="11">
        <f>VLOOKUP($G132, 'ADP Data'!$C$4:$Q$300, 9, FALSE)</f>
        <v>83</v>
      </c>
      <c r="N132" s="11">
        <f t="shared" si="6"/>
        <v>-4</v>
      </c>
      <c r="O132" s="11">
        <f>VLOOKUP($G132, 'ADP Data'!$C$4:$Q$300, 3, FALSE)</f>
        <v>85</v>
      </c>
      <c r="P132" s="11">
        <f t="shared" si="7"/>
        <v>-2</v>
      </c>
      <c r="Q132" s="11">
        <f>VLOOKUP($G132, 'ADP Data'!$C$4:$Q$300, 4, FALSE)</f>
        <v>82</v>
      </c>
      <c r="R132" s="11">
        <f>VLOOKUP($G132, 'ADP Data'!$C$4:$Q$300, 5, FALSE)</f>
        <v>86</v>
      </c>
      <c r="S132" s="11">
        <f>VLOOKUP($G132, 'ADP Data'!$C$4:$Q$300, 6, FALSE)</f>
        <v>87</v>
      </c>
      <c r="T132" s="11">
        <f>VLOOKUP($G132, 'ADP Data'!$C$4:$Q$300, 7, FALSE)</f>
        <v>73</v>
      </c>
      <c r="U132" s="11">
        <f>VLOOKUP($G132, 'ADP Data'!$C$4:$Q$300, 8, FALSE)</f>
        <v>119</v>
      </c>
      <c r="V132" s="11">
        <f t="shared" si="8"/>
        <v>87</v>
      </c>
      <c r="W132" s="11">
        <f t="shared" si="9"/>
        <v>11</v>
      </c>
      <c r="X132" s="11">
        <f t="shared" si="10"/>
        <v>-11</v>
      </c>
      <c r="Y132" s="11">
        <f>VLOOKUP($G132, SeanRanks!$A$2:$K$303, 10, FALSE)-V132</f>
        <v>0</v>
      </c>
      <c r="Z132" s="29">
        <f>IF(VLOOKUP($G132, SeanRanks!$A$2:$H$303, 7, FALSE)=0, "", VLOOKUP($G132, SeanRanks!$A$2:$H$303, 7, FALSE))</f>
        <v>35</v>
      </c>
    </row>
    <row r="133" ht="14.25" customHeight="1">
      <c r="A133" s="11"/>
      <c r="B133" s="11" t="str">
        <f t="shared" si="4"/>
        <v>#N/A</v>
      </c>
      <c r="C133" s="11" t="s">
        <v>106</v>
      </c>
      <c r="D133" s="11"/>
      <c r="E133" s="11"/>
      <c r="F133" s="11" t="str">
        <f>VLOOKUP(G133, SeanRanks!$A$2:$E$302, 4, FALSE)</f>
        <v>#N/A</v>
      </c>
      <c r="G133" s="11" t="s">
        <v>881</v>
      </c>
      <c r="H133" s="11" t="str">
        <f>VLOOKUP($G133, 'ADP Data'!$C$4:$Q$300, 2, FALSE)</f>
        <v>#N/A</v>
      </c>
      <c r="I133" s="11" t="str">
        <f>VLOOKUP(G133, 'ADP Data'!$C$4:$R$498, 12, FALSE)</f>
        <v>#N/A</v>
      </c>
      <c r="J133" s="49" t="str">
        <f>VLOOKUP($G133, SeanRanks!$A$2:$H$303, 5, FALSE)</f>
        <v>#N/A</v>
      </c>
      <c r="K133" s="11" t="str">
        <f>IF(VLOOKUP($G133, SeanRanks!$A$2:$H$303, 6, FALSE)=0, "", VLOOKUP($G133, SeanRanks!$A$2:$H$303, 6, FALSE))</f>
        <v>#N/A</v>
      </c>
      <c r="L133" s="11">
        <f t="shared" si="5"/>
        <v>16</v>
      </c>
      <c r="M133" s="11" t="str">
        <f>VLOOKUP($G133, 'ADP Data'!$C$4:$Q$300, 9, FALSE)</f>
        <v>#N/A</v>
      </c>
      <c r="N133" s="11" t="str">
        <f t="shared" si="6"/>
        <v>#N/A</v>
      </c>
      <c r="O133" s="11" t="str">
        <f>VLOOKUP($G133, 'ADP Data'!$C$4:$Q$300, 3, FALSE)</f>
        <v>#N/A</v>
      </c>
      <c r="P133" s="11" t="str">
        <f t="shared" si="7"/>
        <v>#N/A</v>
      </c>
      <c r="Q133" s="11" t="str">
        <f>VLOOKUP($G133, 'ADP Data'!$C$4:$Q$300, 4, FALSE)</f>
        <v>#N/A</v>
      </c>
      <c r="R133" s="11" t="str">
        <f>VLOOKUP($G133, 'ADP Data'!$C$4:$Q$300, 5, FALSE)</f>
        <v>#N/A</v>
      </c>
      <c r="S133" s="11" t="str">
        <f>VLOOKUP($G133, 'ADP Data'!$C$4:$Q$300, 6, FALSE)</f>
        <v>#N/A</v>
      </c>
      <c r="T133" s="11" t="str">
        <f>VLOOKUP($G133, 'ADP Data'!$C$4:$Q$300, 7, FALSE)</f>
        <v>#N/A</v>
      </c>
      <c r="U133" s="11" t="str">
        <f>VLOOKUP($G133, 'ADP Data'!$C$4:$Q$300, 8, FALSE)</f>
        <v>#N/A</v>
      </c>
      <c r="V133" s="11" t="str">
        <f t="shared" si="8"/>
        <v>#N/A</v>
      </c>
      <c r="W133" s="11">
        <f t="shared" si="9"/>
        <v>16</v>
      </c>
      <c r="X133" s="11">
        <f t="shared" si="10"/>
        <v>-16</v>
      </c>
      <c r="Y133" s="11" t="str">
        <f>VLOOKUP($G133, SeanRanks!$A$2:$K$303, 10, FALSE)-V133</f>
        <v>#N/A</v>
      </c>
      <c r="Z133" s="29" t="str">
        <f>IF(VLOOKUP($G133, SeanRanks!$A$2:$H$303, 7, FALSE)=0, "", VLOOKUP($G133, SeanRanks!$A$2:$H$303, 7, FALSE))</f>
        <v>#N/A</v>
      </c>
    </row>
    <row r="134" ht="14.25" customHeight="1">
      <c r="A134" s="11"/>
      <c r="B134" s="11">
        <f t="shared" si="4"/>
        <v>6</v>
      </c>
      <c r="C134" s="11" t="s">
        <v>106</v>
      </c>
      <c r="D134" s="11">
        <v>13.0</v>
      </c>
      <c r="E134" s="11"/>
      <c r="F134" s="11" t="str">
        <f>VLOOKUP(G134, SeanRanks!$A$2:$E$302, 4, FALSE)</f>
        <v/>
      </c>
      <c r="G134" s="11" t="s">
        <v>426</v>
      </c>
      <c r="H134" s="11" t="str">
        <f>VLOOKUP($G134, 'ADP Data'!$C$4:$Q$300, 2, FALSE)</f>
        <v>MIN</v>
      </c>
      <c r="I134" s="11">
        <f>VLOOKUP(G134, 'ADP Data'!$C$4:$R$498, 12, FALSE)</f>
        <v>87</v>
      </c>
      <c r="J134" s="61" t="str">
        <f>VLOOKUP($G134, SeanRanks!$A$2:$H$303, 5, FALSE)</f>
        <v/>
      </c>
      <c r="K134" s="11" t="str">
        <f>IF(VLOOKUP($G134, SeanRanks!$A$2:$H$303, 6, FALSE)=0, "", VLOOKUP($G134, SeanRanks!$A$2:$H$303, 6, FALSE))</f>
        <v>TE1 - 2 - Very Good</v>
      </c>
      <c r="L134" s="11">
        <f t="shared" si="5"/>
        <v>9</v>
      </c>
      <c r="M134" s="11">
        <f>VLOOKUP($G134, 'ADP Data'!$C$4:$Q$300, 9, FALSE)</f>
        <v>64</v>
      </c>
      <c r="N134" s="11">
        <f t="shared" si="6"/>
        <v>-2</v>
      </c>
      <c r="O134" s="11">
        <f>VLOOKUP($G134, 'ADP Data'!$C$4:$Q$300, 3, FALSE)</f>
        <v>71</v>
      </c>
      <c r="P134" s="11">
        <f t="shared" si="7"/>
        <v>-7</v>
      </c>
      <c r="Q134" s="11">
        <f>VLOOKUP($G134, 'ADP Data'!$C$4:$Q$300, 4, FALSE)</f>
        <v>56</v>
      </c>
      <c r="R134" s="11">
        <f>VLOOKUP($G134, 'ADP Data'!$C$4:$Q$300, 5, FALSE)</f>
        <v>82</v>
      </c>
      <c r="S134" s="11">
        <f>VLOOKUP($G134, 'ADP Data'!$C$4:$Q$300, 6, FALSE)</f>
        <v>64</v>
      </c>
      <c r="T134" s="11">
        <f>VLOOKUP($G134, 'ADP Data'!$C$4:$Q$300, 7, FALSE)</f>
        <v>80</v>
      </c>
      <c r="U134" s="11">
        <f>VLOOKUP($G134, 'ADP Data'!$C$4:$Q$300, 8, FALSE)</f>
        <v>50</v>
      </c>
      <c r="V134" s="11">
        <f t="shared" si="8"/>
        <v>66</v>
      </c>
      <c r="W134" s="11">
        <f t="shared" si="9"/>
        <v>9</v>
      </c>
      <c r="X134" s="11">
        <f t="shared" si="10"/>
        <v>4</v>
      </c>
      <c r="Y134" s="11">
        <f>VLOOKUP($G134, SeanRanks!$A$2:$K$303, 10, FALSE)-V134</f>
        <v>7</v>
      </c>
      <c r="Z134" s="29">
        <f>IF(VLOOKUP($G134, SeanRanks!$A$2:$H$303, 7, FALSE)=0, "", VLOOKUP($G134, SeanRanks!$A$2:$H$303, 7, FALSE))</f>
        <v>5</v>
      </c>
    </row>
    <row r="135" ht="14.25" customHeight="1">
      <c r="A135" s="11"/>
      <c r="B135" s="11">
        <f t="shared" si="4"/>
        <v>13</v>
      </c>
      <c r="C135" s="11" t="s">
        <v>106</v>
      </c>
      <c r="D135" s="11"/>
      <c r="E135" s="11"/>
      <c r="F135" s="11" t="str">
        <f>VLOOKUP(G135, SeanRanks!$A$2:$E$302, 4, FALSE)</f>
        <v/>
      </c>
      <c r="G135" s="11" t="s">
        <v>513</v>
      </c>
      <c r="H135" s="11" t="str">
        <f>VLOOKUP($G135, 'ADP Data'!$C$4:$Q$300, 2, FALSE)</f>
        <v>BAL</v>
      </c>
      <c r="I135" s="11" t="str">
        <f>VLOOKUP(G135, 'ADP Data'!$C$4:$R$498, 12, FALSE)</f>
        <v>-</v>
      </c>
      <c r="J135" s="11" t="str">
        <f>VLOOKUP($G135, SeanRanks!$A$2:$H$303, 5, FALSE)</f>
        <v/>
      </c>
      <c r="K135" s="11" t="str">
        <f>IF(VLOOKUP($G135, SeanRanks!$A$2:$H$303, 6, FALSE)=0, "", VLOOKUP($G135, SeanRanks!$A$2:$H$303, 6, FALSE))</f>
        <v/>
      </c>
      <c r="L135" s="11">
        <f t="shared" si="5"/>
        <v>23</v>
      </c>
      <c r="M135" s="11">
        <f>VLOOKUP($G135, 'ADP Data'!$C$4:$Q$300, 9, FALSE)</f>
        <v>181</v>
      </c>
      <c r="N135" s="11">
        <f t="shared" si="6"/>
        <v>34</v>
      </c>
      <c r="O135" s="11">
        <f>VLOOKUP($G135, 'ADP Data'!$C$4:$Q$300, 3, FALSE)</f>
        <v>112</v>
      </c>
      <c r="P135" s="11">
        <f t="shared" si="7"/>
        <v>69</v>
      </c>
      <c r="Q135" s="11">
        <f>VLOOKUP($G135, 'ADP Data'!$C$4:$Q$300, 4, FALSE)</f>
        <v>109</v>
      </c>
      <c r="R135" s="11">
        <f>VLOOKUP($G135, 'ADP Data'!$C$4:$Q$300, 5, FALSE)</f>
        <v>129</v>
      </c>
      <c r="S135" s="11">
        <f>VLOOKUP($G135, 'ADP Data'!$C$4:$Q$300, 6, FALSE)</f>
        <v>212</v>
      </c>
      <c r="T135" s="11">
        <f>VLOOKUP($G135, 'ADP Data'!$C$4:$Q$300, 7, FALSE)</f>
        <v>166</v>
      </c>
      <c r="U135" s="11">
        <f>VLOOKUP($G135, 'ADP Data'!$C$4:$Q$300, 8, FALSE)</f>
        <v>123</v>
      </c>
      <c r="V135" s="11">
        <f t="shared" si="8"/>
        <v>147</v>
      </c>
      <c r="W135" s="11">
        <f t="shared" si="9"/>
        <v>19</v>
      </c>
      <c r="X135" s="11">
        <f t="shared" si="10"/>
        <v>-19</v>
      </c>
      <c r="Y135" s="11">
        <f>VLOOKUP($G135, SeanRanks!$A$2:$K$303, 10, FALSE)-V135</f>
        <v>22</v>
      </c>
      <c r="Z135" s="29" t="str">
        <f>IF(VLOOKUP($G135, SeanRanks!$A$2:$H$303, 7, FALSE)=0, "", VLOOKUP($G135, SeanRanks!$A$2:$H$303, 7, FALSE))</f>
        <v/>
      </c>
    </row>
    <row r="136" ht="14.25" customHeight="1">
      <c r="A136" s="11"/>
      <c r="B136" s="11">
        <f t="shared" si="4"/>
        <v>23</v>
      </c>
      <c r="C136" s="11" t="s">
        <v>106</v>
      </c>
      <c r="D136" s="11"/>
      <c r="E136" s="11"/>
      <c r="F136" s="11" t="str">
        <f>VLOOKUP(G136, SeanRanks!$A$2:$E$302, 4, FALSE)</f>
        <v/>
      </c>
      <c r="G136" s="11" t="s">
        <v>651</v>
      </c>
      <c r="H136" s="11" t="str">
        <f>VLOOKUP($G136, 'ADP Data'!$C$4:$Q$300, 2, FALSE)</f>
        <v>ATL</v>
      </c>
      <c r="I136" s="11">
        <f>VLOOKUP(G136, 'ADP Data'!$C$4:$R$498, 12, FALSE)</f>
        <v>248</v>
      </c>
      <c r="J136" s="59" t="str">
        <f>VLOOKUP($G136, SeanRanks!$A$2:$H$303, 5, FALSE)</f>
        <v/>
      </c>
      <c r="K136" s="11" t="str">
        <f>IF(VLOOKUP($G136, SeanRanks!$A$2:$H$303, 6, FALSE)=0, "", VLOOKUP($G136, SeanRanks!$A$2:$H$303, 6, FALSE))</f>
        <v/>
      </c>
      <c r="L136" s="11">
        <f t="shared" si="5"/>
        <v>16</v>
      </c>
      <c r="M136" s="11" t="str">
        <f>VLOOKUP($G136, 'ADP Data'!$C$4:$Q$300, 9, FALSE)</f>
        <v>-</v>
      </c>
      <c r="N136" s="11" t="str">
        <f t="shared" si="6"/>
        <v>#VALUE!</v>
      </c>
      <c r="O136" s="11" t="str">
        <f>VLOOKUP($G136, 'ADP Data'!$C$4:$Q$300, 3, FALSE)</f>
        <v>-</v>
      </c>
      <c r="P136" s="11" t="str">
        <f t="shared" si="7"/>
        <v>#VALUE!</v>
      </c>
      <c r="Q136" s="11">
        <f>VLOOKUP($G136, 'ADP Data'!$C$4:$Q$300, 4, FALSE)</f>
        <v>231</v>
      </c>
      <c r="R136" s="11" t="str">
        <f>VLOOKUP($G136, 'ADP Data'!$C$4:$Q$300, 5, FALSE)</f>
        <v>-</v>
      </c>
      <c r="S136" s="11">
        <f>VLOOKUP($G136, 'ADP Data'!$C$4:$Q$300, 6, FALSE)</f>
        <v>312</v>
      </c>
      <c r="T136" s="11" t="str">
        <f>VLOOKUP($G136, 'ADP Data'!$C$4:$Q$300, 7, FALSE)</f>
        <v>-</v>
      </c>
      <c r="U136" s="11">
        <f>VLOOKUP($G136, 'ADP Data'!$C$4:$Q$300, 8, FALSE)</f>
        <v>281</v>
      </c>
      <c r="V136" s="11">
        <f t="shared" si="8"/>
        <v>274</v>
      </c>
      <c r="W136" s="11">
        <f t="shared" si="9"/>
        <v>35</v>
      </c>
      <c r="X136" s="11">
        <f t="shared" si="10"/>
        <v>-35</v>
      </c>
      <c r="Y136" s="11" t="str">
        <f>VLOOKUP($G136, SeanRanks!$A$2:$K$303, 10, FALSE)-V136</f>
        <v>#VALUE!</v>
      </c>
      <c r="Z136" s="29" t="str">
        <f>IF(VLOOKUP($G136, SeanRanks!$A$2:$H$303, 7, FALSE)=0, "", VLOOKUP($G136, SeanRanks!$A$2:$H$303, 7, FALSE))</f>
        <v/>
      </c>
    </row>
    <row r="137" ht="14.25" customHeight="1">
      <c r="A137" s="11"/>
      <c r="B137" s="11">
        <f t="shared" si="4"/>
        <v>5</v>
      </c>
      <c r="C137" s="11" t="s">
        <v>106</v>
      </c>
      <c r="D137" s="11"/>
      <c r="E137" s="11"/>
      <c r="F137" s="11" t="str">
        <f>VLOOKUP(G137, SeanRanks!$A$2:$E$302, 4, FALSE)</f>
        <v/>
      </c>
      <c r="G137" s="11" t="s">
        <v>288</v>
      </c>
      <c r="H137" s="11" t="str">
        <f>VLOOKUP($G137, 'ADP Data'!$C$4:$Q$300, 2, FALSE)</f>
        <v>CAR</v>
      </c>
      <c r="I137" s="11">
        <f>VLOOKUP(G137, 'ADP Data'!$C$4:$R$498, 12, FALSE)</f>
        <v>60</v>
      </c>
      <c r="J137" s="36" t="str">
        <f>VLOOKUP($G137, SeanRanks!$A$2:$H$303, 5, FALSE)</f>
        <v/>
      </c>
      <c r="K137" s="11" t="str">
        <f>IF(VLOOKUP($G137, SeanRanks!$A$2:$H$303, 6, FALSE)=0, "", VLOOKUP($G137, SeanRanks!$A$2:$H$303, 6, FALSE))</f>
        <v>RB2 - 1 - Clear path to spikes</v>
      </c>
      <c r="L137" s="11">
        <f t="shared" si="5"/>
        <v>6</v>
      </c>
      <c r="M137" s="11">
        <f>VLOOKUP($G137, 'ADP Data'!$C$4:$Q$300, 9, FALSE)</f>
        <v>45</v>
      </c>
      <c r="N137" s="11">
        <f t="shared" si="6"/>
        <v>-3</v>
      </c>
      <c r="O137" s="11">
        <f>VLOOKUP($G137, 'ADP Data'!$C$4:$Q$300, 3, FALSE)</f>
        <v>44</v>
      </c>
      <c r="P137" s="11">
        <f t="shared" si="7"/>
        <v>1</v>
      </c>
      <c r="Q137" s="11">
        <f>VLOOKUP($G137, 'ADP Data'!$C$4:$Q$300, 4, FALSE)</f>
        <v>40</v>
      </c>
      <c r="R137" s="11">
        <f>VLOOKUP($G137, 'ADP Data'!$C$4:$Q$300, 5, FALSE)</f>
        <v>60</v>
      </c>
      <c r="S137" s="11">
        <f>VLOOKUP($G137, 'ADP Data'!$C$4:$Q$300, 6, FALSE)</f>
        <v>47</v>
      </c>
      <c r="T137" s="11">
        <f>VLOOKUP($G137, 'ADP Data'!$C$4:$Q$300, 7, FALSE)</f>
        <v>51</v>
      </c>
      <c r="U137" s="11">
        <f>VLOOKUP($G137, 'ADP Data'!$C$4:$Q$300, 8, FALSE)</f>
        <v>55</v>
      </c>
      <c r="V137" s="11">
        <f t="shared" si="8"/>
        <v>48</v>
      </c>
      <c r="W137" s="11">
        <f t="shared" si="9"/>
        <v>7</v>
      </c>
      <c r="X137" s="11">
        <f t="shared" si="10"/>
        <v>-7</v>
      </c>
      <c r="Y137" s="11">
        <f>VLOOKUP($G137, SeanRanks!$A$2:$K$303, 10, FALSE)-V137</f>
        <v>-8</v>
      </c>
      <c r="Z137" s="29">
        <f>IF(VLOOKUP($G137, SeanRanks!$A$2:$H$303, 7, FALSE)=0, "", VLOOKUP($G137, SeanRanks!$A$2:$H$303, 7, FALSE))</f>
        <v>17</v>
      </c>
    </row>
    <row r="138" ht="14.25" customHeight="1">
      <c r="A138" s="11"/>
      <c r="B138" s="11">
        <f t="shared" si="4"/>
        <v>18</v>
      </c>
      <c r="C138" s="11" t="s">
        <v>106</v>
      </c>
      <c r="D138" s="11"/>
      <c r="E138" s="11"/>
      <c r="F138" s="11" t="str">
        <f>VLOOKUP(G138, SeanRanks!$A$2:$E$302, 4, FALSE)</f>
        <v/>
      </c>
      <c r="G138" s="11" t="s">
        <v>550</v>
      </c>
      <c r="H138" s="11" t="str">
        <f>VLOOKUP($G138, 'ADP Data'!$C$4:$Q$300, 2, FALSE)</f>
        <v>PIT</v>
      </c>
      <c r="I138" s="11">
        <f>VLOOKUP(G138, 'ADP Data'!$C$4:$R$498, 12, FALSE)</f>
        <v>191</v>
      </c>
      <c r="J138" s="11" t="str">
        <f>VLOOKUP($G138, SeanRanks!$A$2:$H$303, 5, FALSE)</f>
        <v/>
      </c>
      <c r="K138" s="11" t="str">
        <f>IF(VLOOKUP($G138, SeanRanks!$A$2:$H$303, 6, FALSE)=0, "", VLOOKUP($G138, SeanRanks!$A$2:$H$303, 6, FALSE))</f>
        <v>Don’t Draft - Streamer</v>
      </c>
      <c r="L138" s="11">
        <f t="shared" si="5"/>
        <v>29</v>
      </c>
      <c r="M138" s="11">
        <f>VLOOKUP($G138, 'ADP Data'!$C$4:$Q$300, 9, FALSE)</f>
        <v>229</v>
      </c>
      <c r="N138" s="11">
        <f t="shared" si="6"/>
        <v>13</v>
      </c>
      <c r="O138" s="11" t="str">
        <f>VLOOKUP($G138, 'ADP Data'!$C$4:$Q$300, 3, FALSE)</f>
        <v>-</v>
      </c>
      <c r="P138" s="11" t="str">
        <f t="shared" si="7"/>
        <v>#VALUE!</v>
      </c>
      <c r="Q138" s="11">
        <f>VLOOKUP($G138, 'ADP Data'!$C$4:$Q$300, 4, FALSE)</f>
        <v>192</v>
      </c>
      <c r="R138" s="11">
        <f>VLOOKUP($G138, 'ADP Data'!$C$4:$Q$300, 5, FALSE)</f>
        <v>240</v>
      </c>
      <c r="S138" s="11">
        <f>VLOOKUP($G138, 'ADP Data'!$C$4:$Q$300, 6, FALSE)</f>
        <v>222</v>
      </c>
      <c r="T138" s="11">
        <f>VLOOKUP($G138, 'ADP Data'!$C$4:$Q$300, 7, FALSE)</f>
        <v>222</v>
      </c>
      <c r="U138" s="11">
        <f>VLOOKUP($G138, 'ADP Data'!$C$4:$Q$300, 8, FALSE)</f>
        <v>192</v>
      </c>
      <c r="V138" s="11">
        <f t="shared" si="8"/>
        <v>216</v>
      </c>
      <c r="W138" s="11">
        <f t="shared" si="9"/>
        <v>28</v>
      </c>
      <c r="X138" s="11">
        <f t="shared" si="10"/>
        <v>-28</v>
      </c>
      <c r="Y138" s="11">
        <f>VLOOKUP($G138, SeanRanks!$A$2:$K$303, 10, FALSE)-V138</f>
        <v>-18</v>
      </c>
      <c r="Z138" s="29" t="str">
        <f>IF(VLOOKUP($G138, SeanRanks!$A$2:$H$303, 7, FALSE)=0, "", VLOOKUP($G138, SeanRanks!$A$2:$H$303, 7, FALSE))</f>
        <v/>
      </c>
    </row>
    <row r="139" ht="14.25" customHeight="1">
      <c r="A139" s="11"/>
      <c r="B139" s="11">
        <f t="shared" si="4"/>
        <v>10</v>
      </c>
      <c r="C139" s="11" t="s">
        <v>106</v>
      </c>
      <c r="D139" s="11"/>
      <c r="E139" s="11"/>
      <c r="F139" s="11" t="str">
        <f>VLOOKUP(G139, SeanRanks!$A$2:$E$302, 4, FALSE)</f>
        <v/>
      </c>
      <c r="G139" s="11" t="s">
        <v>278</v>
      </c>
      <c r="H139" s="11" t="str">
        <f>VLOOKUP($G139, 'ADP Data'!$C$4:$Q$300, 2, FALSE)</f>
        <v>DEN</v>
      </c>
      <c r="I139" s="11">
        <f>VLOOKUP(G139, 'ADP Data'!$C$4:$R$498, 12, FALSE)</f>
        <v>95</v>
      </c>
      <c r="J139" s="59" t="str">
        <f>VLOOKUP($G139, SeanRanks!$A$2:$H$303, 5, FALSE)</f>
        <v/>
      </c>
      <c r="K139" s="11" t="str">
        <f>IF(VLOOKUP($G139, SeanRanks!$A$2:$H$303, 6, FALSE)=0, "", VLOOKUP($G139, SeanRanks!$A$2:$H$303, 6, FALSE))</f>
        <v>RB3 - 1 - Upside</v>
      </c>
      <c r="L139" s="11">
        <f t="shared" si="5"/>
        <v>14</v>
      </c>
      <c r="M139" s="11">
        <f>VLOOKUP($G139, 'ADP Data'!$C$4:$Q$300, 9, FALSE)</f>
        <v>107</v>
      </c>
      <c r="N139" s="11">
        <f t="shared" si="6"/>
        <v>0</v>
      </c>
      <c r="O139" s="11">
        <f>VLOOKUP($G139, 'ADP Data'!$C$4:$Q$300, 3, FALSE)</f>
        <v>102</v>
      </c>
      <c r="P139" s="11">
        <f t="shared" si="7"/>
        <v>5</v>
      </c>
      <c r="Q139" s="11">
        <f>VLOOKUP($G139, 'ADP Data'!$C$4:$Q$300, 4, FALSE)</f>
        <v>98</v>
      </c>
      <c r="R139" s="11">
        <f>VLOOKUP($G139, 'ADP Data'!$C$4:$Q$300, 5, FALSE)</f>
        <v>119</v>
      </c>
      <c r="S139" s="11">
        <f>VLOOKUP($G139, 'ADP Data'!$C$4:$Q$300, 6, FALSE)</f>
        <v>93</v>
      </c>
      <c r="T139" s="11">
        <f>VLOOKUP($G139, 'ADP Data'!$C$4:$Q$300, 7, FALSE)</f>
        <v>98</v>
      </c>
      <c r="U139" s="11">
        <f>VLOOKUP($G139, 'ADP Data'!$C$4:$Q$300, 8, FALSE)</f>
        <v>136</v>
      </c>
      <c r="V139" s="11">
        <f t="shared" si="8"/>
        <v>107</v>
      </c>
      <c r="W139" s="11">
        <f t="shared" si="9"/>
        <v>14</v>
      </c>
      <c r="X139" s="11">
        <f t="shared" si="10"/>
        <v>-14</v>
      </c>
      <c r="Y139" s="11">
        <f>VLOOKUP($G139, SeanRanks!$A$2:$K$303, 10, FALSE)-V139</f>
        <v>-27</v>
      </c>
      <c r="Z139" s="29">
        <f>IF(VLOOKUP($G139, SeanRanks!$A$2:$H$303, 7, FALSE)=0, "", VLOOKUP($G139, SeanRanks!$A$2:$H$303, 7, FALSE))</f>
        <v>29</v>
      </c>
    </row>
    <row r="140" ht="14.25" customHeight="1">
      <c r="A140" s="11"/>
      <c r="B140" s="11">
        <f t="shared" si="4"/>
        <v>17</v>
      </c>
      <c r="C140" s="11" t="s">
        <v>106</v>
      </c>
      <c r="D140" s="11"/>
      <c r="E140" s="11"/>
      <c r="F140" s="11" t="str">
        <f>VLOOKUP(G140, SeanRanks!$A$2:$E$302, 4, FALSE)</f>
        <v/>
      </c>
      <c r="G140" s="11" t="s">
        <v>883</v>
      </c>
      <c r="H140" s="11" t="str">
        <f>VLOOKUP($G140, 'ADP Data'!$C$4:$Q$300, 2, FALSE)</f>
        <v>BUF</v>
      </c>
      <c r="I140" s="11">
        <f>VLOOKUP(G140, 'ADP Data'!$C$4:$R$498, 12, FALSE)</f>
        <v>127</v>
      </c>
      <c r="J140" s="11" t="str">
        <f>VLOOKUP($G140, SeanRanks!$A$2:$H$303, 5, FALSE)</f>
        <v/>
      </c>
      <c r="K140" s="11" t="str">
        <f>IF(VLOOKUP($G140, SeanRanks!$A$2:$H$303, 6, FALSE)=0, "", VLOOKUP($G140, SeanRanks!$A$2:$H$303, 6, FALSE))</f>
        <v>WR6 - dart throw upside</v>
      </c>
      <c r="L140" s="11">
        <f t="shared" si="5"/>
        <v>22</v>
      </c>
      <c r="M140" s="11">
        <f>VLOOKUP($G140, 'ADP Data'!$C$4:$Q$300, 9, FALSE)</f>
        <v>174</v>
      </c>
      <c r="N140" s="11">
        <f t="shared" si="6"/>
        <v>-14</v>
      </c>
      <c r="O140" s="11" t="str">
        <f>VLOOKUP($G140, 'ADP Data'!$C$4:$Q$300, 3, FALSE)</f>
        <v>-</v>
      </c>
      <c r="P140" s="11" t="str">
        <f t="shared" si="7"/>
        <v>#VALUE!</v>
      </c>
      <c r="Q140" s="11" t="str">
        <f>VLOOKUP($G140, 'ADP Data'!$C$4:$Q$300, 4, FALSE)</f>
        <v>-</v>
      </c>
      <c r="R140" s="11">
        <f>VLOOKUP($G140, 'ADP Data'!$C$4:$Q$300, 5, FALSE)</f>
        <v>221</v>
      </c>
      <c r="S140" s="11">
        <f>VLOOKUP($G140, 'ADP Data'!$C$4:$Q$300, 6, FALSE)</f>
        <v>158</v>
      </c>
      <c r="T140" s="11">
        <f>VLOOKUP($G140, 'ADP Data'!$C$4:$Q$300, 7, FALSE)</f>
        <v>155</v>
      </c>
      <c r="U140" s="11">
        <f>VLOOKUP($G140, 'ADP Data'!$C$4:$Q$300, 8, FALSE)</f>
        <v>235</v>
      </c>
      <c r="V140" s="11">
        <f t="shared" si="8"/>
        <v>188</v>
      </c>
      <c r="W140" s="11">
        <f t="shared" si="9"/>
        <v>24</v>
      </c>
      <c r="X140" s="11">
        <f t="shared" si="10"/>
        <v>-24</v>
      </c>
      <c r="Y140" s="11">
        <f>VLOOKUP($G140, SeanRanks!$A$2:$K$303, 10, FALSE)-V140</f>
        <v>-38</v>
      </c>
      <c r="Z140" s="29">
        <f>IF(VLOOKUP($G140, SeanRanks!$A$2:$H$303, 7, FALSE)=0, "", VLOOKUP($G140, SeanRanks!$A$2:$H$303, 7, FALSE))</f>
        <v>61</v>
      </c>
    </row>
    <row r="141" ht="14.25" customHeight="1">
      <c r="A141" s="11"/>
      <c r="B141" s="11">
        <f t="shared" si="4"/>
        <v>21</v>
      </c>
      <c r="C141" s="11" t="s">
        <v>106</v>
      </c>
      <c r="D141" s="11"/>
      <c r="E141" s="11"/>
      <c r="F141" s="11" t="str">
        <f>VLOOKUP(G141, SeanRanks!$A$2:$E$302, 4, FALSE)</f>
        <v/>
      </c>
      <c r="G141" s="11" t="s">
        <v>588</v>
      </c>
      <c r="H141" s="11" t="str">
        <f>VLOOKUP($G141, 'ADP Data'!$C$4:$Q$300, 2, FALSE)</f>
        <v>DAL</v>
      </c>
      <c r="I141" s="11" t="str">
        <f>VLOOKUP(G141, 'ADP Data'!$C$4:$R$498, 12, FALSE)</f>
        <v>-</v>
      </c>
      <c r="J141" s="11" t="str">
        <f>VLOOKUP($G141, SeanRanks!$A$2:$H$303, 5, FALSE)</f>
        <v/>
      </c>
      <c r="K141" s="11" t="str">
        <f>IF(VLOOKUP($G141, SeanRanks!$A$2:$H$303, 6, FALSE)=0, "", VLOOKUP($G141, SeanRanks!$A$2:$H$303, 6, FALSE))</f>
        <v/>
      </c>
      <c r="L141" s="11">
        <f t="shared" si="5"/>
        <v>36</v>
      </c>
      <c r="M141" s="11">
        <f>VLOOKUP($G141, 'ADP Data'!$C$4:$Q$300, 9, FALSE)</f>
        <v>285</v>
      </c>
      <c r="N141" s="11">
        <f t="shared" si="6"/>
        <v>45</v>
      </c>
      <c r="O141" s="11">
        <f>VLOOKUP($G141, 'ADP Data'!$C$4:$Q$300, 3, FALSE)</f>
        <v>173</v>
      </c>
      <c r="P141" s="11">
        <f t="shared" si="7"/>
        <v>112</v>
      </c>
      <c r="Q141" s="11">
        <f>VLOOKUP($G141, 'ADP Data'!$C$4:$Q$300, 4, FALSE)</f>
        <v>201</v>
      </c>
      <c r="R141" s="11">
        <f>VLOOKUP($G141, 'ADP Data'!$C$4:$Q$300, 5, FALSE)</f>
        <v>344</v>
      </c>
      <c r="S141" s="11">
        <f>VLOOKUP($G141, 'ADP Data'!$C$4:$Q$300, 6, FALSE)</f>
        <v>278</v>
      </c>
      <c r="T141" s="11">
        <f>VLOOKUP($G141, 'ADP Data'!$C$4:$Q$300, 7, FALSE)</f>
        <v>239</v>
      </c>
      <c r="U141" s="11">
        <f>VLOOKUP($G141, 'ADP Data'!$C$4:$Q$300, 8, FALSE)</f>
        <v>165</v>
      </c>
      <c r="V141" s="11">
        <f t="shared" si="8"/>
        <v>240</v>
      </c>
      <c r="W141" s="11">
        <f t="shared" si="9"/>
        <v>31</v>
      </c>
      <c r="X141" s="11">
        <f t="shared" si="10"/>
        <v>-31</v>
      </c>
      <c r="Y141" s="11">
        <f>VLOOKUP($G141, SeanRanks!$A$2:$K$303, 10, FALSE)-V141</f>
        <v>0</v>
      </c>
      <c r="Z141" s="29" t="str">
        <f>IF(VLOOKUP($G141, SeanRanks!$A$2:$H$303, 7, FALSE)=0, "", VLOOKUP($G141, SeanRanks!$A$2:$H$303, 7, FALSE))</f>
        <v/>
      </c>
    </row>
    <row r="142" ht="14.25" customHeight="1">
      <c r="A142" s="11"/>
      <c r="B142" s="11">
        <f t="shared" si="4"/>
        <v>16</v>
      </c>
      <c r="C142" s="11" t="s">
        <v>106</v>
      </c>
      <c r="D142" s="11"/>
      <c r="E142" s="11"/>
      <c r="F142" s="11" t="str">
        <f>VLOOKUP(G142, SeanRanks!$A$2:$E$302, 4, FALSE)</f>
        <v/>
      </c>
      <c r="G142" s="11" t="s">
        <v>310</v>
      </c>
      <c r="H142" s="11" t="str">
        <f>VLOOKUP($G142, 'ADP Data'!$C$4:$Q$300, 2, FALSE)</f>
        <v>LAR</v>
      </c>
      <c r="I142" s="11">
        <f>VLOOKUP(G142, 'ADP Data'!$C$4:$R$498, 12, FALSE)</f>
        <v>176</v>
      </c>
      <c r="J142" s="59" t="str">
        <f>VLOOKUP($G142, SeanRanks!$A$2:$H$303, 5, FALSE)</f>
        <v/>
      </c>
      <c r="K142" s="11" t="str">
        <f>IF(VLOOKUP($G142, SeanRanks!$A$2:$H$303, 6, FALSE)=0, "", VLOOKUP($G142, SeanRanks!$A$2:$H$303, 6, FALSE))</f>
        <v>Don’t Draft - Streamer</v>
      </c>
      <c r="L142" s="11">
        <f t="shared" si="5"/>
        <v>26</v>
      </c>
      <c r="M142" s="11">
        <f>VLOOKUP($G142, 'ADP Data'!$C$4:$Q$300, 9, FALSE)</f>
        <v>207</v>
      </c>
      <c r="N142" s="11">
        <f t="shared" si="6"/>
        <v>18</v>
      </c>
      <c r="O142" s="11">
        <f>VLOOKUP($G142, 'ADP Data'!$C$4:$Q$300, 3, FALSE)</f>
        <v>168</v>
      </c>
      <c r="P142" s="11">
        <f t="shared" si="7"/>
        <v>39</v>
      </c>
      <c r="Q142" s="11">
        <f>VLOOKUP($G142, 'ADP Data'!$C$4:$Q$300, 4, FALSE)</f>
        <v>160</v>
      </c>
      <c r="R142" s="11">
        <f>VLOOKUP($G142, 'ADP Data'!$C$4:$Q$300, 5, FALSE)</f>
        <v>232</v>
      </c>
      <c r="S142" s="11">
        <f>VLOOKUP($G142, 'ADP Data'!$C$4:$Q$300, 6, FALSE)</f>
        <v>197</v>
      </c>
      <c r="T142" s="11">
        <f>VLOOKUP($G142, 'ADP Data'!$C$4:$Q$300, 7, FALSE)</f>
        <v>195</v>
      </c>
      <c r="U142" s="11">
        <f>VLOOKUP($G142, 'ADP Data'!$C$4:$Q$300, 8, FALSE)</f>
        <v>167</v>
      </c>
      <c r="V142" s="11">
        <f t="shared" si="8"/>
        <v>189</v>
      </c>
      <c r="W142" s="11">
        <f t="shared" si="9"/>
        <v>24</v>
      </c>
      <c r="X142" s="11">
        <f t="shared" si="10"/>
        <v>-24</v>
      </c>
      <c r="Y142" s="11">
        <f>VLOOKUP($G142, SeanRanks!$A$2:$K$303, 10, FALSE)-V142</f>
        <v>-38</v>
      </c>
      <c r="Z142" s="29" t="str">
        <f>IF(VLOOKUP($G142, SeanRanks!$A$2:$H$303, 7, FALSE)=0, "", VLOOKUP($G142, SeanRanks!$A$2:$H$303, 7, FALSE))</f>
        <v/>
      </c>
    </row>
    <row r="143" ht="14.25" customHeight="1">
      <c r="A143" s="11"/>
      <c r="B143" s="11">
        <f t="shared" si="4"/>
        <v>16</v>
      </c>
      <c r="C143" s="11" t="s">
        <v>106</v>
      </c>
      <c r="D143" s="11">
        <v>9.0</v>
      </c>
      <c r="E143" s="11"/>
      <c r="F143" s="11" t="str">
        <f>VLOOKUP(G143, SeanRanks!$A$2:$E$302, 4, FALSE)</f>
        <v/>
      </c>
      <c r="G143" s="11" t="s">
        <v>263</v>
      </c>
      <c r="H143" s="11" t="str">
        <f>VLOOKUP($G143, 'ADP Data'!$C$4:$Q$300, 2, FALSE)</f>
        <v>CAR</v>
      </c>
      <c r="I143" s="11">
        <f>VLOOKUP(G143, 'ADP Data'!$C$4:$R$498, 12, FALSE)</f>
        <v>178</v>
      </c>
      <c r="J143" s="11" t="str">
        <f>VLOOKUP($G143, SeanRanks!$A$2:$H$303, 5, FALSE)</f>
        <v/>
      </c>
      <c r="K143" s="11" t="str">
        <f>IF(VLOOKUP($G143, SeanRanks!$A$2:$H$303, 6, FALSE)=0, "", VLOOKUP($G143, SeanRanks!$A$2:$H$303, 6, FALSE))</f>
        <v>RB5 - 1 - upside</v>
      </c>
      <c r="L143" s="11">
        <f t="shared" si="5"/>
        <v>20</v>
      </c>
      <c r="M143" s="11">
        <f>VLOOKUP($G143, 'ADP Data'!$C$4:$Q$300, 9, FALSE)</f>
        <v>158</v>
      </c>
      <c r="N143" s="11">
        <f t="shared" si="6"/>
        <v>-28</v>
      </c>
      <c r="O143" s="11">
        <f>VLOOKUP($G143, 'ADP Data'!$C$4:$Q$300, 3, FALSE)</f>
        <v>210</v>
      </c>
      <c r="P143" s="11">
        <f t="shared" si="7"/>
        <v>-52</v>
      </c>
      <c r="Q143" s="11" t="str">
        <f>VLOOKUP($G143, 'ADP Data'!$C$4:$Q$300, 4, FALSE)</f>
        <v>-</v>
      </c>
      <c r="R143" s="11">
        <f>VLOOKUP($G143, 'ADP Data'!$C$4:$Q$300, 5, FALSE)</f>
        <v>201</v>
      </c>
      <c r="S143" s="11">
        <f>VLOOKUP($G143, 'ADP Data'!$C$4:$Q$300, 6, FALSE)</f>
        <v>165</v>
      </c>
      <c r="T143" s="11">
        <f>VLOOKUP($G143, 'ADP Data'!$C$4:$Q$300, 7, FALSE)</f>
        <v>164</v>
      </c>
      <c r="U143" s="11">
        <f>VLOOKUP($G143, 'ADP Data'!$C$4:$Q$300, 8, FALSE)</f>
        <v>220</v>
      </c>
      <c r="V143" s="11">
        <f t="shared" si="8"/>
        <v>186</v>
      </c>
      <c r="W143" s="11">
        <f t="shared" si="9"/>
        <v>24</v>
      </c>
      <c r="X143" s="11">
        <f t="shared" si="10"/>
        <v>-15</v>
      </c>
      <c r="Y143" s="11">
        <f>VLOOKUP($G143, SeanRanks!$A$2:$K$303, 10, FALSE)-V143</f>
        <v>-29</v>
      </c>
      <c r="Z143" s="29">
        <f>IF(VLOOKUP($G143, SeanRanks!$A$2:$H$303, 7, FALSE)=0, "", VLOOKUP($G143, SeanRanks!$A$2:$H$303, 7, FALSE))</f>
        <v>55</v>
      </c>
    </row>
    <row r="144" ht="14.25" customHeight="1">
      <c r="A144" s="11"/>
      <c r="B144" s="11">
        <f t="shared" si="4"/>
        <v>21</v>
      </c>
      <c r="C144" s="11" t="s">
        <v>106</v>
      </c>
      <c r="D144" s="11"/>
      <c r="E144" s="11"/>
      <c r="F144" s="11" t="str">
        <f>VLOOKUP(G144, SeanRanks!$A$2:$E$302, 4, FALSE)</f>
        <v/>
      </c>
      <c r="G144" s="11" t="s">
        <v>886</v>
      </c>
      <c r="H144" s="11" t="str">
        <f>VLOOKUP($G144, 'ADP Data'!$C$4:$Q$300, 2, FALSE)</f>
        <v>NYJ</v>
      </c>
      <c r="I144" s="11" t="str">
        <f>VLOOKUP(G144, 'ADP Data'!$C$4:$R$498, 12, FALSE)</f>
        <v>-</v>
      </c>
      <c r="J144" s="11" t="str">
        <f>VLOOKUP($G144, SeanRanks!$A$2:$H$303, 5, FALSE)</f>
        <v/>
      </c>
      <c r="K144" s="11" t="str">
        <f>IF(VLOOKUP($G144, SeanRanks!$A$2:$H$303, 6, FALSE)=0, "", VLOOKUP($G144, SeanRanks!$A$2:$H$303, 6, FALSE))</f>
        <v/>
      </c>
      <c r="L144" s="11">
        <f t="shared" si="5"/>
        <v>30</v>
      </c>
      <c r="M144" s="11">
        <f>VLOOKUP($G144, 'ADP Data'!$C$4:$Q$300, 9, FALSE)</f>
        <v>236</v>
      </c>
      <c r="N144" s="11">
        <f t="shared" si="6"/>
        <v>-4</v>
      </c>
      <c r="O144" s="11">
        <f>VLOOKUP($G144, 'ADP Data'!$C$4:$Q$300, 3, FALSE)</f>
        <v>192</v>
      </c>
      <c r="P144" s="11">
        <f t="shared" si="7"/>
        <v>44</v>
      </c>
      <c r="Q144" s="11">
        <f>VLOOKUP($G144, 'ADP Data'!$C$4:$Q$300, 4, FALSE)</f>
        <v>206</v>
      </c>
      <c r="R144" s="11">
        <f>VLOOKUP($G144, 'ADP Data'!$C$4:$Q$300, 5, FALSE)</f>
        <v>329</v>
      </c>
      <c r="S144" s="11">
        <f>VLOOKUP($G144, 'ADP Data'!$C$4:$Q$300, 6, FALSE)</f>
        <v>272</v>
      </c>
      <c r="T144" s="11">
        <f>VLOOKUP($G144, 'ADP Data'!$C$4:$Q$300, 7, FALSE)</f>
        <v>234</v>
      </c>
      <c r="U144" s="11">
        <f>VLOOKUP($G144, 'ADP Data'!$C$4:$Q$300, 8, FALSE)</f>
        <v>213</v>
      </c>
      <c r="V144" s="11">
        <f t="shared" si="8"/>
        <v>240</v>
      </c>
      <c r="W144" s="11">
        <f t="shared" si="9"/>
        <v>31</v>
      </c>
      <c r="X144" s="11">
        <f t="shared" si="10"/>
        <v>-31</v>
      </c>
      <c r="Y144" s="11">
        <f>VLOOKUP($G144, SeanRanks!$A$2:$K$303, 10, FALSE)-V144</f>
        <v>-46</v>
      </c>
      <c r="Z144" s="29" t="str">
        <f>IF(VLOOKUP($G144, SeanRanks!$A$2:$H$303, 7, FALSE)=0, "", VLOOKUP($G144, SeanRanks!$A$2:$H$303, 7, FALSE))</f>
        <v/>
      </c>
    </row>
    <row r="145" ht="14.25" customHeight="1">
      <c r="A145" s="11"/>
      <c r="B145" s="11" t="str">
        <f t="shared" si="4"/>
        <v>#N/A</v>
      </c>
      <c r="C145" s="11" t="s">
        <v>106</v>
      </c>
      <c r="D145" s="11"/>
      <c r="E145" s="11"/>
      <c r="F145" s="11" t="str">
        <f>VLOOKUP(G145, SeanRanks!$A$2:$E$302, 4, FALSE)</f>
        <v>#N/A</v>
      </c>
      <c r="G145" s="11" t="s">
        <v>887</v>
      </c>
      <c r="H145" s="11" t="str">
        <f>VLOOKUP($G145, 'ADP Data'!$C$4:$Q$300, 2, FALSE)</f>
        <v>#N/A</v>
      </c>
      <c r="I145" s="11" t="str">
        <f>VLOOKUP(G145, 'ADP Data'!$C$4:$R$498, 12, FALSE)</f>
        <v>#N/A</v>
      </c>
      <c r="J145" s="11" t="str">
        <f>VLOOKUP($G145, SeanRanks!$A$2:$H$303, 5, FALSE)</f>
        <v>#N/A</v>
      </c>
      <c r="K145" s="11" t="str">
        <f>IF(VLOOKUP($G145, SeanRanks!$A$2:$H$303, 6, FALSE)=0, "", VLOOKUP($G145, SeanRanks!$A$2:$H$303, 6, FALSE))</f>
        <v>#N/A</v>
      </c>
      <c r="L145" s="11">
        <f t="shared" si="5"/>
        <v>16</v>
      </c>
      <c r="M145" s="11" t="str">
        <f>VLOOKUP($G145, 'ADP Data'!$C$4:$Q$300, 9, FALSE)</f>
        <v>#N/A</v>
      </c>
      <c r="N145" s="11" t="str">
        <f t="shared" si="6"/>
        <v>#N/A</v>
      </c>
      <c r="O145" s="11" t="str">
        <f>VLOOKUP($G145, 'ADP Data'!$C$4:$Q$300, 3, FALSE)</f>
        <v>#N/A</v>
      </c>
      <c r="P145" s="11" t="str">
        <f t="shared" si="7"/>
        <v>#N/A</v>
      </c>
      <c r="Q145" s="11" t="str">
        <f>VLOOKUP($G145, 'ADP Data'!$C$4:$Q$300, 4, FALSE)</f>
        <v>#N/A</v>
      </c>
      <c r="R145" s="11" t="str">
        <f>VLOOKUP($G145, 'ADP Data'!$C$4:$Q$300, 5, FALSE)</f>
        <v>#N/A</v>
      </c>
      <c r="S145" s="11" t="str">
        <f>VLOOKUP($G145, 'ADP Data'!$C$4:$Q$300, 6, FALSE)</f>
        <v>#N/A</v>
      </c>
      <c r="T145" s="11" t="str">
        <f>VLOOKUP($G145, 'ADP Data'!$C$4:$Q$300, 7, FALSE)</f>
        <v>#N/A</v>
      </c>
      <c r="U145" s="11" t="str">
        <f>VLOOKUP($G145, 'ADP Data'!$C$4:$Q$300, 8, FALSE)</f>
        <v>#N/A</v>
      </c>
      <c r="V145" s="11" t="str">
        <f t="shared" si="8"/>
        <v>#N/A</v>
      </c>
      <c r="W145" s="11">
        <f t="shared" si="9"/>
        <v>16</v>
      </c>
      <c r="X145" s="11">
        <f t="shared" si="10"/>
        <v>-16</v>
      </c>
      <c r="Y145" s="11" t="str">
        <f>VLOOKUP($G145, SeanRanks!$A$2:$K$303, 10, FALSE)-V145</f>
        <v>#N/A</v>
      </c>
      <c r="Z145" s="29" t="str">
        <f>IF(VLOOKUP($G145, SeanRanks!$A$2:$H$303, 7, FALSE)=0, "", VLOOKUP($G145, SeanRanks!$A$2:$H$303, 7, FALSE))</f>
        <v>#N/A</v>
      </c>
    </row>
    <row r="146" ht="14.25" customHeight="1">
      <c r="A146" s="11"/>
      <c r="B146" s="11">
        <f t="shared" si="4"/>
        <v>10</v>
      </c>
      <c r="C146" s="11" t="s">
        <v>106</v>
      </c>
      <c r="D146" s="11"/>
      <c r="E146" s="11"/>
      <c r="F146" s="11" t="str">
        <f>VLOOKUP(G146, SeanRanks!$A$2:$E$302, 4, FALSE)</f>
        <v/>
      </c>
      <c r="G146" s="11" t="s">
        <v>391</v>
      </c>
      <c r="H146" s="11" t="str">
        <f>VLOOKUP($G146, 'ADP Data'!$C$4:$Q$300, 2, FALSE)</f>
        <v>SEA</v>
      </c>
      <c r="I146" s="11">
        <f>VLOOKUP(G146, 'ADP Data'!$C$4:$R$498, 12, FALSE)</f>
        <v>90</v>
      </c>
      <c r="J146" s="59" t="str">
        <f>VLOOKUP($G146, SeanRanks!$A$2:$H$303, 5, FALSE)</f>
        <v/>
      </c>
      <c r="K146" s="11" t="str">
        <f>IF(VLOOKUP($G146, SeanRanks!$A$2:$H$303, 6, FALSE)=0, "", VLOOKUP($G146, SeanRanks!$A$2:$H$303, 6, FALSE))</f>
        <v>RB3 - 1 - Upside</v>
      </c>
      <c r="L146" s="11">
        <f t="shared" si="5"/>
        <v>14</v>
      </c>
      <c r="M146" s="11">
        <f>VLOOKUP($G146, 'ADP Data'!$C$4:$Q$300, 9, FALSE)</f>
        <v>104</v>
      </c>
      <c r="N146" s="11">
        <f t="shared" si="6"/>
        <v>-6</v>
      </c>
      <c r="O146" s="11">
        <f>VLOOKUP($G146, 'ADP Data'!$C$4:$Q$300, 3, FALSE)</f>
        <v>92</v>
      </c>
      <c r="P146" s="11">
        <f t="shared" si="7"/>
        <v>12</v>
      </c>
      <c r="Q146" s="11">
        <f>VLOOKUP($G146, 'ADP Data'!$C$4:$Q$300, 4, FALSE)</f>
        <v>129</v>
      </c>
      <c r="R146" s="11">
        <f>VLOOKUP($G146, 'ADP Data'!$C$4:$Q$300, 5, FALSE)</f>
        <v>114</v>
      </c>
      <c r="S146" s="11">
        <f>VLOOKUP($G146, 'ADP Data'!$C$4:$Q$300, 6, FALSE)</f>
        <v>86</v>
      </c>
      <c r="T146" s="11">
        <f>VLOOKUP($G146, 'ADP Data'!$C$4:$Q$300, 7, FALSE)</f>
        <v>92</v>
      </c>
      <c r="U146" s="11">
        <f>VLOOKUP($G146, 'ADP Data'!$C$4:$Q$300, 8, FALSE)</f>
        <v>153</v>
      </c>
      <c r="V146" s="11">
        <f t="shared" si="8"/>
        <v>110</v>
      </c>
      <c r="W146" s="11">
        <f t="shared" si="9"/>
        <v>14</v>
      </c>
      <c r="X146" s="11">
        <f t="shared" si="10"/>
        <v>-14</v>
      </c>
      <c r="Y146" s="11">
        <f>VLOOKUP($G146, SeanRanks!$A$2:$K$303, 10, FALSE)-V146</f>
        <v>-32</v>
      </c>
      <c r="Z146" s="29">
        <f>IF(VLOOKUP($G146, SeanRanks!$A$2:$H$303, 7, FALSE)=0, "", VLOOKUP($G146, SeanRanks!$A$2:$H$303, 7, FALSE))</f>
        <v>31</v>
      </c>
    </row>
    <row r="147" ht="14.25" customHeight="1">
      <c r="A147" s="11"/>
      <c r="B147" s="11">
        <f t="shared" si="4"/>
        <v>20</v>
      </c>
      <c r="C147" s="11" t="s">
        <v>106</v>
      </c>
      <c r="D147" s="11"/>
      <c r="E147" s="11"/>
      <c r="F147" s="11" t="str">
        <f>VLOOKUP(G147, SeanRanks!$A$2:$E$302, 4, FALSE)</f>
        <v/>
      </c>
      <c r="G147" s="11" t="s">
        <v>664</v>
      </c>
      <c r="H147" s="11" t="str">
        <f>VLOOKUP($G147, 'ADP Data'!$C$4:$Q$300, 2, FALSE)</f>
        <v>CLE</v>
      </c>
      <c r="I147" s="11" t="str">
        <f>VLOOKUP(G147, 'ADP Data'!$C$4:$R$498, 12, FALSE)</f>
        <v>-</v>
      </c>
      <c r="J147" s="11" t="str">
        <f>VLOOKUP($G147, SeanRanks!$A$2:$H$303, 5, FALSE)</f>
        <v/>
      </c>
      <c r="K147" s="11" t="str">
        <f>IF(VLOOKUP($G147, SeanRanks!$A$2:$H$303, 6, FALSE)=0, "", VLOOKUP($G147, SeanRanks!$A$2:$H$303, 6, FALSE))</f>
        <v/>
      </c>
      <c r="L147" s="11">
        <f t="shared" si="5"/>
        <v>16</v>
      </c>
      <c r="M147" s="11" t="str">
        <f>VLOOKUP($G147, 'ADP Data'!$C$4:$Q$300, 9, FALSE)</f>
        <v>-</v>
      </c>
      <c r="N147" s="11" t="str">
        <f t="shared" si="6"/>
        <v>#VALUE!</v>
      </c>
      <c r="O147" s="11" t="str">
        <f>VLOOKUP($G147, 'ADP Data'!$C$4:$Q$300, 3, FALSE)</f>
        <v>-</v>
      </c>
      <c r="P147" s="11" t="str">
        <f t="shared" si="7"/>
        <v>#VALUE!</v>
      </c>
      <c r="Q147" s="11">
        <f>VLOOKUP($G147, 'ADP Data'!$C$4:$Q$300, 4, FALSE)</f>
        <v>215</v>
      </c>
      <c r="R147" s="11" t="str">
        <f>VLOOKUP($G147, 'ADP Data'!$C$4:$Q$300, 5, FALSE)</f>
        <v>-</v>
      </c>
      <c r="S147" s="11">
        <f>VLOOKUP($G147, 'ADP Data'!$C$4:$Q$300, 6, FALSE)</f>
        <v>318</v>
      </c>
      <c r="T147" s="11">
        <f>VLOOKUP($G147, 'ADP Data'!$C$4:$Q$300, 7, FALSE)</f>
        <v>261</v>
      </c>
      <c r="U147" s="11">
        <f>VLOOKUP($G147, 'ADP Data'!$C$4:$Q$300, 8, FALSE)</f>
        <v>125</v>
      </c>
      <c r="V147" s="11">
        <f t="shared" si="8"/>
        <v>229</v>
      </c>
      <c r="W147" s="11">
        <f t="shared" si="9"/>
        <v>29</v>
      </c>
      <c r="X147" s="11">
        <f t="shared" si="10"/>
        <v>-29</v>
      </c>
      <c r="Y147" s="11">
        <f>VLOOKUP($G147, SeanRanks!$A$2:$K$303, 10, FALSE)-V147</f>
        <v>-12</v>
      </c>
      <c r="Z147" s="29" t="str">
        <f>IF(VLOOKUP($G147, SeanRanks!$A$2:$H$303, 7, FALSE)=0, "", VLOOKUP($G147, SeanRanks!$A$2:$H$303, 7, FALSE))</f>
        <v/>
      </c>
    </row>
    <row r="148" ht="14.25" customHeight="1">
      <c r="A148" s="11"/>
      <c r="B148" s="11">
        <f t="shared" si="4"/>
        <v>22</v>
      </c>
      <c r="C148" s="11" t="s">
        <v>106</v>
      </c>
      <c r="D148" s="11"/>
      <c r="E148" s="11"/>
      <c r="F148" s="11" t="str">
        <f>VLOOKUP(G148, SeanRanks!$A$2:$E$302, 4, FALSE)</f>
        <v/>
      </c>
      <c r="G148" s="11" t="s">
        <v>811</v>
      </c>
      <c r="H148" s="11" t="str">
        <f>VLOOKUP($G148, 'ADP Data'!$C$4:$Q$300, 2, FALSE)</f>
        <v>CHI</v>
      </c>
      <c r="I148" s="11">
        <f>VLOOKUP(G148, 'ADP Data'!$C$4:$R$498, 12, FALSE)</f>
        <v>258</v>
      </c>
      <c r="J148" s="61" t="str">
        <f>VLOOKUP($G148, SeanRanks!$A$2:$H$303, 5, FALSE)</f>
        <v/>
      </c>
      <c r="K148" s="11" t="str">
        <f>IF(VLOOKUP($G148, SeanRanks!$A$2:$H$303, 6, FALSE)=0, "", VLOOKUP($G148, SeanRanks!$A$2:$H$303, 6, FALSE))</f>
        <v/>
      </c>
      <c r="L148" s="11">
        <f t="shared" si="5"/>
        <v>34</v>
      </c>
      <c r="M148" s="11">
        <f>VLOOKUP($G148, 'ADP Data'!$C$4:$Q$300, 9, FALSE)</f>
        <v>271</v>
      </c>
      <c r="N148" s="11">
        <f t="shared" si="6"/>
        <v>15</v>
      </c>
      <c r="O148" s="11" t="str">
        <f>VLOOKUP($G148, 'ADP Data'!$C$4:$Q$300, 3, FALSE)</f>
        <v>-</v>
      </c>
      <c r="P148" s="11" t="str">
        <f t="shared" si="7"/>
        <v>#VALUE!</v>
      </c>
      <c r="Q148" s="11">
        <f>VLOOKUP($G148, 'ADP Data'!$C$4:$Q$300, 4, FALSE)</f>
        <v>225</v>
      </c>
      <c r="R148" s="11">
        <f>VLOOKUP($G148, 'ADP Data'!$C$4:$Q$300, 5, FALSE)</f>
        <v>290</v>
      </c>
      <c r="S148" s="11">
        <f>VLOOKUP($G148, 'ADP Data'!$C$4:$Q$300, 6, FALSE)</f>
        <v>259</v>
      </c>
      <c r="T148" s="11">
        <f>VLOOKUP($G148, 'ADP Data'!$C$4:$Q$300, 7, FALSE)</f>
        <v>266</v>
      </c>
      <c r="U148" s="11">
        <f>VLOOKUP($G148, 'ADP Data'!$C$4:$Q$300, 8, FALSE)</f>
        <v>229</v>
      </c>
      <c r="V148" s="11">
        <f t="shared" si="8"/>
        <v>256</v>
      </c>
      <c r="W148" s="11">
        <f t="shared" si="9"/>
        <v>33</v>
      </c>
      <c r="X148" s="11">
        <f t="shared" si="10"/>
        <v>-33</v>
      </c>
      <c r="Y148" s="11" t="str">
        <f>VLOOKUP($G148, SeanRanks!$A$2:$K$303, 10, FALSE)-V148</f>
        <v>#VALUE!</v>
      </c>
      <c r="Z148" s="29" t="str">
        <f>IF(VLOOKUP($G148, SeanRanks!$A$2:$H$303, 7, FALSE)=0, "", VLOOKUP($G148, SeanRanks!$A$2:$H$303, 7, FALSE))</f>
        <v/>
      </c>
    </row>
    <row r="149" ht="14.25" customHeight="1">
      <c r="A149" s="11"/>
      <c r="B149" s="11">
        <f t="shared" si="4"/>
        <v>7</v>
      </c>
      <c r="C149" s="11" t="s">
        <v>106</v>
      </c>
      <c r="D149" s="11"/>
      <c r="E149" s="11"/>
      <c r="F149" s="11" t="str">
        <f>VLOOKUP(G149, SeanRanks!$A$2:$E$302, 4, FALSE)</f>
        <v/>
      </c>
      <c r="G149" s="11" t="s">
        <v>437</v>
      </c>
      <c r="H149" s="11" t="str">
        <f>VLOOKUP($G149, 'ADP Data'!$C$4:$Q$300, 2, FALSE)</f>
        <v>CLE</v>
      </c>
      <c r="I149" s="11">
        <f>VLOOKUP(G149, 'ADP Data'!$C$4:$R$498, 12, FALSE)</f>
        <v>72</v>
      </c>
      <c r="J149" s="11" t="str">
        <f>VLOOKUP($G149, SeanRanks!$A$2:$H$303, 5, FALSE)</f>
        <v/>
      </c>
      <c r="K149" s="11" t="str">
        <f>IF(VLOOKUP($G149, SeanRanks!$A$2:$H$303, 6, FALSE)=0, "", VLOOKUP($G149, SeanRanks!$A$2:$H$303, 6, FALSE))</f>
        <v>WR3 - 3 - lower ceiling</v>
      </c>
      <c r="L149" s="11">
        <f t="shared" si="5"/>
        <v>10</v>
      </c>
      <c r="M149" s="11">
        <f>VLOOKUP($G149, 'ADP Data'!$C$4:$Q$300, 9, FALSE)</f>
        <v>75</v>
      </c>
      <c r="N149" s="11">
        <f t="shared" si="6"/>
        <v>0</v>
      </c>
      <c r="O149" s="11">
        <f>VLOOKUP($G149, 'ADP Data'!$C$4:$Q$300, 3, FALSE)</f>
        <v>69</v>
      </c>
      <c r="P149" s="11">
        <f t="shared" si="7"/>
        <v>6</v>
      </c>
      <c r="Q149" s="11">
        <f>VLOOKUP($G149, 'ADP Data'!$C$4:$Q$300, 4, FALSE)</f>
        <v>68</v>
      </c>
      <c r="R149" s="11">
        <f>VLOOKUP($G149, 'ADP Data'!$C$4:$Q$300, 5, FALSE)</f>
        <v>81</v>
      </c>
      <c r="S149" s="11">
        <f>VLOOKUP($G149, 'ADP Data'!$C$4:$Q$300, 6, FALSE)</f>
        <v>74</v>
      </c>
      <c r="T149" s="11">
        <f>VLOOKUP($G149, 'ADP Data'!$C$4:$Q$300, 7, FALSE)</f>
        <v>62</v>
      </c>
      <c r="U149" s="11">
        <f>VLOOKUP($G149, 'ADP Data'!$C$4:$Q$300, 8, FALSE)</f>
        <v>98</v>
      </c>
      <c r="V149" s="11">
        <f t="shared" si="8"/>
        <v>75</v>
      </c>
      <c r="W149" s="11">
        <f t="shared" si="9"/>
        <v>10</v>
      </c>
      <c r="X149" s="11">
        <f t="shared" si="10"/>
        <v>-10</v>
      </c>
      <c r="Y149" s="11">
        <f>VLOOKUP($G149, SeanRanks!$A$2:$K$303, 10, FALSE)-V149</f>
        <v>6</v>
      </c>
      <c r="Z149" s="29">
        <f>IF(VLOOKUP($G149, SeanRanks!$A$2:$H$303, 7, FALSE)=0, "", VLOOKUP($G149, SeanRanks!$A$2:$H$303, 7, FALSE))</f>
        <v>37</v>
      </c>
    </row>
    <row r="150" ht="14.25" customHeight="1">
      <c r="A150" s="11"/>
      <c r="B150" s="11" t="str">
        <f t="shared" si="4"/>
        <v>#N/A</v>
      </c>
      <c r="C150" s="11" t="s">
        <v>106</v>
      </c>
      <c r="D150" s="11"/>
      <c r="E150" s="11"/>
      <c r="F150" s="11" t="str">
        <f>VLOOKUP(G150, SeanRanks!$A$2:$E$302, 4, FALSE)</f>
        <v>#N/A</v>
      </c>
      <c r="G150" s="11" t="s">
        <v>888</v>
      </c>
      <c r="H150" s="11" t="str">
        <f>VLOOKUP($G150, 'ADP Data'!$C$4:$Q$300, 2, FALSE)</f>
        <v>#N/A</v>
      </c>
      <c r="I150" s="11" t="str">
        <f>VLOOKUP(G150, 'ADP Data'!$C$4:$R$498, 12, FALSE)</f>
        <v>#N/A</v>
      </c>
      <c r="J150" s="49" t="str">
        <f>VLOOKUP($G150, SeanRanks!$A$2:$H$303, 5, FALSE)</f>
        <v>#N/A</v>
      </c>
      <c r="K150" s="11" t="str">
        <f>IF(VLOOKUP($G150, SeanRanks!$A$2:$H$303, 6, FALSE)=0, "", VLOOKUP($G150, SeanRanks!$A$2:$H$303, 6, FALSE))</f>
        <v>#N/A</v>
      </c>
      <c r="L150" s="11">
        <f t="shared" si="5"/>
        <v>16</v>
      </c>
      <c r="M150" s="11" t="str">
        <f>VLOOKUP($G150, 'ADP Data'!$C$4:$Q$300, 9, FALSE)</f>
        <v>#N/A</v>
      </c>
      <c r="N150" s="11" t="str">
        <f t="shared" si="6"/>
        <v>#N/A</v>
      </c>
      <c r="O150" s="11" t="str">
        <f>VLOOKUP($G150, 'ADP Data'!$C$4:$Q$300, 3, FALSE)</f>
        <v>#N/A</v>
      </c>
      <c r="P150" s="11" t="str">
        <f t="shared" si="7"/>
        <v>#N/A</v>
      </c>
      <c r="Q150" s="11" t="str">
        <f>VLOOKUP($G150, 'ADP Data'!$C$4:$Q$300, 4, FALSE)</f>
        <v>#N/A</v>
      </c>
      <c r="R150" s="11" t="str">
        <f>VLOOKUP($G150, 'ADP Data'!$C$4:$Q$300, 5, FALSE)</f>
        <v>#N/A</v>
      </c>
      <c r="S150" s="11" t="str">
        <f>VLOOKUP($G150, 'ADP Data'!$C$4:$Q$300, 6, FALSE)</f>
        <v>#N/A</v>
      </c>
      <c r="T150" s="11" t="str">
        <f>VLOOKUP($G150, 'ADP Data'!$C$4:$Q$300, 7, FALSE)</f>
        <v>#N/A</v>
      </c>
      <c r="U150" s="11" t="str">
        <f>VLOOKUP($G150, 'ADP Data'!$C$4:$Q$300, 8, FALSE)</f>
        <v>#N/A</v>
      </c>
      <c r="V150" s="11" t="str">
        <f t="shared" si="8"/>
        <v>#N/A</v>
      </c>
      <c r="W150" s="11">
        <f t="shared" si="9"/>
        <v>16</v>
      </c>
      <c r="X150" s="11">
        <f t="shared" si="10"/>
        <v>-16</v>
      </c>
      <c r="Y150" s="11" t="str">
        <f>VLOOKUP($G150, SeanRanks!$A$2:$K$303, 10, FALSE)-V150</f>
        <v>#N/A</v>
      </c>
      <c r="Z150" s="29" t="str">
        <f>IF(VLOOKUP($G150, SeanRanks!$A$2:$H$303, 7, FALSE)=0, "", VLOOKUP($G150, SeanRanks!$A$2:$H$303, 7, FALSE))</f>
        <v>#N/A</v>
      </c>
    </row>
    <row r="151" ht="14.25" customHeight="1">
      <c r="A151" s="11"/>
      <c r="B151" s="11" t="str">
        <f t="shared" si="4"/>
        <v>#N/A</v>
      </c>
      <c r="C151" s="11" t="s">
        <v>106</v>
      </c>
      <c r="D151" s="11"/>
      <c r="E151" s="11"/>
      <c r="F151" s="11" t="str">
        <f>VLOOKUP(G151, SeanRanks!$A$2:$E$302, 4, FALSE)</f>
        <v>#N/A</v>
      </c>
      <c r="G151" s="11" t="s">
        <v>686</v>
      </c>
      <c r="H151" s="11" t="str">
        <f>VLOOKUP($G151, 'ADP Data'!$C$4:$Q$300, 2, FALSE)</f>
        <v>#N/A</v>
      </c>
      <c r="I151" s="11" t="str">
        <f>VLOOKUP(G151, 'ADP Data'!$C$4:$R$498, 12, FALSE)</f>
        <v>#N/A</v>
      </c>
      <c r="J151" s="11" t="str">
        <f>VLOOKUP($G151, SeanRanks!$A$2:$H$303, 5, FALSE)</f>
        <v>#N/A</v>
      </c>
      <c r="K151" s="11" t="str">
        <f>IF(VLOOKUP($G151, SeanRanks!$A$2:$H$303, 6, FALSE)=0, "", VLOOKUP($G151, SeanRanks!$A$2:$H$303, 6, FALSE))</f>
        <v>#N/A</v>
      </c>
      <c r="L151" s="11">
        <f t="shared" si="5"/>
        <v>16</v>
      </c>
      <c r="M151" s="11" t="str">
        <f>VLOOKUP($G151, 'ADP Data'!$C$4:$Q$300, 9, FALSE)</f>
        <v>#N/A</v>
      </c>
      <c r="N151" s="11" t="str">
        <f t="shared" si="6"/>
        <v>#N/A</v>
      </c>
      <c r="O151" s="11" t="str">
        <f>VLOOKUP($G151, 'ADP Data'!$C$4:$Q$300, 3, FALSE)</f>
        <v>#N/A</v>
      </c>
      <c r="P151" s="11" t="str">
        <f t="shared" si="7"/>
        <v>#N/A</v>
      </c>
      <c r="Q151" s="11" t="str">
        <f>VLOOKUP($G151, 'ADP Data'!$C$4:$Q$300, 4, FALSE)</f>
        <v>#N/A</v>
      </c>
      <c r="R151" s="11" t="str">
        <f>VLOOKUP($G151, 'ADP Data'!$C$4:$Q$300, 5, FALSE)</f>
        <v>#N/A</v>
      </c>
      <c r="S151" s="11" t="str">
        <f>VLOOKUP($G151, 'ADP Data'!$C$4:$Q$300, 6, FALSE)</f>
        <v>#N/A</v>
      </c>
      <c r="T151" s="11" t="str">
        <f>VLOOKUP($G151, 'ADP Data'!$C$4:$Q$300, 7, FALSE)</f>
        <v>#N/A</v>
      </c>
      <c r="U151" s="11" t="str">
        <f>VLOOKUP($G151, 'ADP Data'!$C$4:$Q$300, 8, FALSE)</f>
        <v>#N/A</v>
      </c>
      <c r="V151" s="11" t="str">
        <f t="shared" si="8"/>
        <v>#N/A</v>
      </c>
      <c r="W151" s="11">
        <f t="shared" si="9"/>
        <v>16</v>
      </c>
      <c r="X151" s="11">
        <f t="shared" si="10"/>
        <v>-16</v>
      </c>
      <c r="Y151" s="11" t="str">
        <f>VLOOKUP($G151, SeanRanks!$A$2:$K$303, 10, FALSE)-V151</f>
        <v>#N/A</v>
      </c>
      <c r="Z151" s="29" t="str">
        <f>IF(VLOOKUP($G151, SeanRanks!$A$2:$H$303, 7, FALSE)=0, "", VLOOKUP($G151, SeanRanks!$A$2:$H$303, 7, FALSE))</f>
        <v>#N/A</v>
      </c>
    </row>
    <row r="152" ht="14.25" customHeight="1">
      <c r="A152" s="11"/>
      <c r="B152" s="11">
        <f t="shared" si="4"/>
        <v>15</v>
      </c>
      <c r="C152" s="11" t="s">
        <v>106</v>
      </c>
      <c r="D152" s="11"/>
      <c r="E152" s="11"/>
      <c r="F152" s="11" t="str">
        <f>VLOOKUP(G152, SeanRanks!$A$2:$E$302, 4, FALSE)</f>
        <v/>
      </c>
      <c r="G152" s="11" t="s">
        <v>380</v>
      </c>
      <c r="H152" s="11" t="str">
        <f>VLOOKUP($G152, 'ADP Data'!$C$4:$Q$300, 2, FALSE)</f>
        <v>ATL</v>
      </c>
      <c r="I152" s="11">
        <f>VLOOKUP(G152, 'ADP Data'!$C$4:$R$498, 12, FALSE)</f>
        <v>156</v>
      </c>
      <c r="J152" s="59" t="str">
        <f>VLOOKUP($G152, SeanRanks!$A$2:$H$303, 5, FALSE)</f>
        <v/>
      </c>
      <c r="K152" s="11" t="str">
        <f>IF(VLOOKUP($G152, SeanRanks!$A$2:$H$303, 6, FALSE)=0, "", VLOOKUP($G152, SeanRanks!$A$2:$H$303, 6, FALSE))</f>
        <v>RB4 - 1 - Path to spikes</v>
      </c>
      <c r="L152" s="11">
        <f t="shared" si="5"/>
        <v>21</v>
      </c>
      <c r="M152" s="11">
        <f>VLOOKUP($G152, 'ADP Data'!$C$4:$Q$300, 9, FALSE)</f>
        <v>167</v>
      </c>
      <c r="N152" s="11">
        <f t="shared" si="6"/>
        <v>-2</v>
      </c>
      <c r="O152" s="11">
        <f>VLOOKUP($G152, 'ADP Data'!$C$4:$Q$300, 3, FALSE)</f>
        <v>172</v>
      </c>
      <c r="P152" s="11">
        <f t="shared" si="7"/>
        <v>-5</v>
      </c>
      <c r="Q152" s="11">
        <f>VLOOKUP($G152, 'ADP Data'!$C$4:$Q$300, 4, FALSE)</f>
        <v>161</v>
      </c>
      <c r="R152" s="11">
        <f>VLOOKUP($G152, 'ADP Data'!$C$4:$Q$300, 5, FALSE)</f>
        <v>199</v>
      </c>
      <c r="S152" s="11">
        <f>VLOOKUP($G152, 'ADP Data'!$C$4:$Q$300, 6, FALSE)</f>
        <v>151</v>
      </c>
      <c r="T152" s="11">
        <f>VLOOKUP($G152, 'ADP Data'!$C$4:$Q$300, 7, FALSE)</f>
        <v>154</v>
      </c>
      <c r="U152" s="11">
        <f>VLOOKUP($G152, 'ADP Data'!$C$4:$Q$300, 8, FALSE)</f>
        <v>184</v>
      </c>
      <c r="V152" s="11">
        <f t="shared" si="8"/>
        <v>169</v>
      </c>
      <c r="W152" s="11">
        <f t="shared" si="9"/>
        <v>22</v>
      </c>
      <c r="X152" s="11">
        <f t="shared" si="10"/>
        <v>-22</v>
      </c>
      <c r="Y152" s="11">
        <f>VLOOKUP($G152, SeanRanks!$A$2:$K$303, 10, FALSE)-V152</f>
        <v>-23</v>
      </c>
      <c r="Z152" s="29">
        <f>IF(VLOOKUP($G152, SeanRanks!$A$2:$H$303, 7, FALSE)=0, "", VLOOKUP($G152, SeanRanks!$A$2:$H$303, 7, FALSE))</f>
        <v>46</v>
      </c>
    </row>
    <row r="153" ht="14.25" customHeight="1">
      <c r="A153" s="11"/>
      <c r="B153" s="11">
        <f t="shared" si="4"/>
        <v>12</v>
      </c>
      <c r="C153" s="11" t="s">
        <v>106</v>
      </c>
      <c r="D153" s="11">
        <v>11.0</v>
      </c>
      <c r="E153" s="11"/>
      <c r="F153" s="11" t="str">
        <f>VLOOKUP(G153, SeanRanks!$A$2:$E$302, 4, FALSE)</f>
        <v/>
      </c>
      <c r="G153" s="11" t="s">
        <v>385</v>
      </c>
      <c r="H153" s="11" t="str">
        <f>VLOOKUP($G153, 'ADP Data'!$C$4:$Q$300, 2, FALSE)</f>
        <v>NO</v>
      </c>
      <c r="I153" s="11">
        <f>VLOOKUP(G153, 'ADP Data'!$C$4:$R$498, 12, FALSE)</f>
        <v>102</v>
      </c>
      <c r="J153" s="40" t="str">
        <f>VLOOKUP($G153, SeanRanks!$A$2:$H$303, 5, FALSE)</f>
        <v/>
      </c>
      <c r="K153" s="11" t="str">
        <f>IF(VLOOKUP($G153, SeanRanks!$A$2:$H$303, 6, FALSE)=0, "", VLOOKUP($G153, SeanRanks!$A$2:$H$303, 6, FALSE))</f>
        <v>WR4 - 2 - unclear path to WR2</v>
      </c>
      <c r="L153" s="11">
        <f t="shared" si="5"/>
        <v>16</v>
      </c>
      <c r="M153" s="11">
        <f>VLOOKUP($G153, 'ADP Data'!$C$4:$Q$300, 9, FALSE)</f>
        <v>124</v>
      </c>
      <c r="N153" s="11">
        <f t="shared" si="6"/>
        <v>-15</v>
      </c>
      <c r="O153" s="11">
        <f>VLOOKUP($G153, 'ADP Data'!$C$4:$Q$300, 3, FALSE)</f>
        <v>161</v>
      </c>
      <c r="P153" s="11">
        <f t="shared" si="7"/>
        <v>-37</v>
      </c>
      <c r="Q153" s="11">
        <f>VLOOKUP($G153, 'ADP Data'!$C$4:$Q$300, 4, FALSE)</f>
        <v>134</v>
      </c>
      <c r="R153" s="11">
        <f>VLOOKUP($G153, 'ADP Data'!$C$4:$Q$300, 5, FALSE)</f>
        <v>133</v>
      </c>
      <c r="S153" s="11">
        <f>VLOOKUP($G153, 'ADP Data'!$C$4:$Q$300, 6, FALSE)</f>
        <v>127</v>
      </c>
      <c r="T153" s="11">
        <f>VLOOKUP($G153, 'ADP Data'!$C$4:$Q$300, 7, FALSE)</f>
        <v>117</v>
      </c>
      <c r="U153" s="11">
        <f>VLOOKUP($G153, 'ADP Data'!$C$4:$Q$300, 8, FALSE)</f>
        <v>177</v>
      </c>
      <c r="V153" s="11">
        <f t="shared" si="8"/>
        <v>139</v>
      </c>
      <c r="W153" s="11">
        <f t="shared" si="9"/>
        <v>18</v>
      </c>
      <c r="X153" s="11">
        <f t="shared" si="10"/>
        <v>-7</v>
      </c>
      <c r="Y153" s="11">
        <f>VLOOKUP($G153, SeanRanks!$A$2:$K$303, 10, FALSE)-V153</f>
        <v>-31</v>
      </c>
      <c r="Z153" s="29">
        <f>IF(VLOOKUP($G153, SeanRanks!$A$2:$H$303, 7, FALSE)=0, "", VLOOKUP($G153, SeanRanks!$A$2:$H$303, 7, FALSE))</f>
        <v>44</v>
      </c>
    </row>
    <row r="154" ht="14.25" customHeight="1">
      <c r="A154" s="11"/>
      <c r="B154" s="11" t="str">
        <f t="shared" si="4"/>
        <v>#N/A</v>
      </c>
      <c r="C154" s="11" t="s">
        <v>106</v>
      </c>
      <c r="D154" s="11"/>
      <c r="E154" s="11"/>
      <c r="F154" s="11" t="str">
        <f>VLOOKUP(G154, SeanRanks!$A$2:$E$302, 4, FALSE)</f>
        <v>#N/A</v>
      </c>
      <c r="G154" s="11" t="s">
        <v>889</v>
      </c>
      <c r="H154" s="11" t="str">
        <f>VLOOKUP($G154, 'ADP Data'!$C$4:$Q$300, 2, FALSE)</f>
        <v>#N/A</v>
      </c>
      <c r="I154" s="11" t="str">
        <f>VLOOKUP(G154, 'ADP Data'!$C$4:$R$498, 12, FALSE)</f>
        <v>#N/A</v>
      </c>
      <c r="J154" s="11" t="str">
        <f>VLOOKUP($G154, SeanRanks!$A$2:$H$303, 5, FALSE)</f>
        <v>#N/A</v>
      </c>
      <c r="K154" s="11" t="str">
        <f>IF(VLOOKUP($G154, SeanRanks!$A$2:$H$303, 6, FALSE)=0, "", VLOOKUP($G154, SeanRanks!$A$2:$H$303, 6, FALSE))</f>
        <v>#N/A</v>
      </c>
      <c r="L154" s="11">
        <f t="shared" si="5"/>
        <v>16</v>
      </c>
      <c r="M154" s="11" t="str">
        <f>VLOOKUP($G154, 'ADP Data'!$C$4:$Q$300, 9, FALSE)</f>
        <v>#N/A</v>
      </c>
      <c r="N154" s="11" t="str">
        <f t="shared" si="6"/>
        <v>#N/A</v>
      </c>
      <c r="O154" s="11" t="str">
        <f>VLOOKUP($G154, 'ADP Data'!$C$4:$Q$300, 3, FALSE)</f>
        <v>#N/A</v>
      </c>
      <c r="P154" s="11" t="str">
        <f t="shared" si="7"/>
        <v>#N/A</v>
      </c>
      <c r="Q154" s="11" t="str">
        <f>VLOOKUP($G154, 'ADP Data'!$C$4:$Q$300, 4, FALSE)</f>
        <v>#N/A</v>
      </c>
      <c r="R154" s="11" t="str">
        <f>VLOOKUP($G154, 'ADP Data'!$C$4:$Q$300, 5, FALSE)</f>
        <v>#N/A</v>
      </c>
      <c r="S154" s="11" t="str">
        <f>VLOOKUP($G154, 'ADP Data'!$C$4:$Q$300, 6, FALSE)</f>
        <v>#N/A</v>
      </c>
      <c r="T154" s="11" t="str">
        <f>VLOOKUP($G154, 'ADP Data'!$C$4:$Q$300, 7, FALSE)</f>
        <v>#N/A</v>
      </c>
      <c r="U154" s="11" t="str">
        <f>VLOOKUP($G154, 'ADP Data'!$C$4:$Q$300, 8, FALSE)</f>
        <v>#N/A</v>
      </c>
      <c r="V154" s="11" t="str">
        <f t="shared" si="8"/>
        <v>#N/A</v>
      </c>
      <c r="W154" s="11">
        <f t="shared" si="9"/>
        <v>16</v>
      </c>
      <c r="X154" s="11">
        <f t="shared" si="10"/>
        <v>-16</v>
      </c>
      <c r="Y154" s="11" t="str">
        <f>VLOOKUP($G154, SeanRanks!$A$2:$K$303, 10, FALSE)-V154</f>
        <v>#N/A</v>
      </c>
      <c r="Z154" s="29" t="str">
        <f>IF(VLOOKUP($G154, SeanRanks!$A$2:$H$303, 7, FALSE)=0, "", VLOOKUP($G154, SeanRanks!$A$2:$H$303, 7, FALSE))</f>
        <v>#N/A</v>
      </c>
    </row>
    <row r="155" ht="14.25" customHeight="1">
      <c r="A155" s="11"/>
      <c r="B155" s="11" t="str">
        <f t="shared" si="4"/>
        <v>#N/A</v>
      </c>
      <c r="C155" s="11" t="s">
        <v>106</v>
      </c>
      <c r="D155" s="11"/>
      <c r="E155" s="11"/>
      <c r="F155" s="11" t="str">
        <f>VLOOKUP(G155, SeanRanks!$A$2:$E$302, 4, FALSE)</f>
        <v/>
      </c>
      <c r="G155" s="11" t="s">
        <v>890</v>
      </c>
      <c r="H155" s="11" t="str">
        <f>VLOOKUP($G155, 'ADP Data'!$C$4:$Q$300, 2, FALSE)</f>
        <v>#N/A</v>
      </c>
      <c r="I155" s="11" t="str">
        <f>VLOOKUP(G155, 'ADP Data'!$C$4:$R$498, 12, FALSE)</f>
        <v>#N/A</v>
      </c>
      <c r="J155" s="11" t="str">
        <f>VLOOKUP($G155, SeanRanks!$A$2:$H$303, 5, FALSE)</f>
        <v/>
      </c>
      <c r="K155" s="11" t="str">
        <f>IF(VLOOKUP($G155, SeanRanks!$A$2:$H$303, 6, FALSE)=0, "", VLOOKUP($G155, SeanRanks!$A$2:$H$303, 6, FALSE))</f>
        <v/>
      </c>
      <c r="L155" s="11">
        <f t="shared" si="5"/>
        <v>16</v>
      </c>
      <c r="M155" s="11" t="str">
        <f>VLOOKUP($G155, 'ADP Data'!$C$4:$Q$300, 9, FALSE)</f>
        <v>#N/A</v>
      </c>
      <c r="N155" s="11" t="str">
        <f t="shared" si="6"/>
        <v>#N/A</v>
      </c>
      <c r="O155" s="11" t="str">
        <f>VLOOKUP($G155, 'ADP Data'!$C$4:$Q$300, 3, FALSE)</f>
        <v>#N/A</v>
      </c>
      <c r="P155" s="11" t="str">
        <f t="shared" si="7"/>
        <v>#N/A</v>
      </c>
      <c r="Q155" s="11" t="str">
        <f>VLOOKUP($G155, 'ADP Data'!$C$4:$Q$300, 4, FALSE)</f>
        <v>#N/A</v>
      </c>
      <c r="R155" s="11" t="str">
        <f>VLOOKUP($G155, 'ADP Data'!$C$4:$Q$300, 5, FALSE)</f>
        <v>#N/A</v>
      </c>
      <c r="S155" s="11" t="str">
        <f>VLOOKUP($G155, 'ADP Data'!$C$4:$Q$300, 6, FALSE)</f>
        <v>#N/A</v>
      </c>
      <c r="T155" s="11" t="str">
        <f>VLOOKUP($G155, 'ADP Data'!$C$4:$Q$300, 7, FALSE)</f>
        <v>#N/A</v>
      </c>
      <c r="U155" s="11" t="str">
        <f>VLOOKUP($G155, 'ADP Data'!$C$4:$Q$300, 8, FALSE)</f>
        <v>#N/A</v>
      </c>
      <c r="V155" s="11" t="str">
        <f t="shared" si="8"/>
        <v>#N/A</v>
      </c>
      <c r="W155" s="11">
        <f t="shared" si="9"/>
        <v>16</v>
      </c>
      <c r="X155" s="11">
        <f t="shared" si="10"/>
        <v>-16</v>
      </c>
      <c r="Y155" s="11" t="str">
        <f>VLOOKUP($G155, SeanRanks!$A$2:$K$303, 10, FALSE)-V155</f>
        <v>#N/A</v>
      </c>
      <c r="Z155" s="29" t="str">
        <f>IF(VLOOKUP($G155, SeanRanks!$A$2:$H$303, 7, FALSE)=0, "", VLOOKUP($G155, SeanRanks!$A$2:$H$303, 7, FALSE))</f>
        <v/>
      </c>
    </row>
    <row r="156" ht="14.25" customHeight="1">
      <c r="A156" s="11"/>
      <c r="B156" s="11" t="str">
        <f t="shared" si="4"/>
        <v>#N/A</v>
      </c>
      <c r="C156" s="11" t="s">
        <v>106</v>
      </c>
      <c r="D156" s="11"/>
      <c r="E156" s="11"/>
      <c r="F156" s="11" t="str">
        <f>VLOOKUP(G156, SeanRanks!$A$2:$E$302, 4, FALSE)</f>
        <v>#N/A</v>
      </c>
      <c r="G156" s="11" t="s">
        <v>891</v>
      </c>
      <c r="H156" s="11" t="str">
        <f>VLOOKUP($G156, 'ADP Data'!$C$4:$Q$300, 2, FALSE)</f>
        <v>#N/A</v>
      </c>
      <c r="I156" s="11" t="str">
        <f>VLOOKUP(G156, 'ADP Data'!$C$4:$R$498, 12, FALSE)</f>
        <v>#N/A</v>
      </c>
      <c r="J156" s="11" t="str">
        <f>VLOOKUP($G156, SeanRanks!$A$2:$H$303, 5, FALSE)</f>
        <v>#N/A</v>
      </c>
      <c r="K156" s="11" t="str">
        <f>IF(VLOOKUP($G156, SeanRanks!$A$2:$H$303, 6, FALSE)=0, "", VLOOKUP($G156, SeanRanks!$A$2:$H$303, 6, FALSE))</f>
        <v>#N/A</v>
      </c>
      <c r="L156" s="11">
        <f t="shared" si="5"/>
        <v>16</v>
      </c>
      <c r="M156" s="11" t="str">
        <f>VLOOKUP($G156, 'ADP Data'!$C$4:$Q$300, 9, FALSE)</f>
        <v>#N/A</v>
      </c>
      <c r="N156" s="11" t="str">
        <f t="shared" si="6"/>
        <v>#N/A</v>
      </c>
      <c r="O156" s="11" t="str">
        <f>VLOOKUP($G156, 'ADP Data'!$C$4:$Q$300, 3, FALSE)</f>
        <v>#N/A</v>
      </c>
      <c r="P156" s="11" t="str">
        <f t="shared" si="7"/>
        <v>#N/A</v>
      </c>
      <c r="Q156" s="11" t="str">
        <f>VLOOKUP($G156, 'ADP Data'!$C$4:$Q$300, 4, FALSE)</f>
        <v>#N/A</v>
      </c>
      <c r="R156" s="11" t="str">
        <f>VLOOKUP($G156, 'ADP Data'!$C$4:$Q$300, 5, FALSE)</f>
        <v>#N/A</v>
      </c>
      <c r="S156" s="11" t="str">
        <f>VLOOKUP($G156, 'ADP Data'!$C$4:$Q$300, 6, FALSE)</f>
        <v>#N/A</v>
      </c>
      <c r="T156" s="11" t="str">
        <f>VLOOKUP($G156, 'ADP Data'!$C$4:$Q$300, 7, FALSE)</f>
        <v>#N/A</v>
      </c>
      <c r="U156" s="11" t="str">
        <f>VLOOKUP($G156, 'ADP Data'!$C$4:$Q$300, 8, FALSE)</f>
        <v>#N/A</v>
      </c>
      <c r="V156" s="11" t="str">
        <f t="shared" si="8"/>
        <v>#N/A</v>
      </c>
      <c r="W156" s="11">
        <f t="shared" si="9"/>
        <v>16</v>
      </c>
      <c r="X156" s="11">
        <f t="shared" si="10"/>
        <v>-16</v>
      </c>
      <c r="Y156" s="11" t="str">
        <f>VLOOKUP($G156, SeanRanks!$A$2:$K$303, 10, FALSE)-V156</f>
        <v>#N/A</v>
      </c>
      <c r="Z156" s="29" t="str">
        <f>IF(VLOOKUP($G156, SeanRanks!$A$2:$H$303, 7, FALSE)=0, "", VLOOKUP($G156, SeanRanks!$A$2:$H$303, 7, FALSE))</f>
        <v>#N/A</v>
      </c>
    </row>
    <row r="157" ht="14.25" customHeight="1">
      <c r="A157" s="11"/>
      <c r="B157" s="11">
        <f t="shared" si="4"/>
        <v>15</v>
      </c>
      <c r="C157" s="11" t="s">
        <v>106</v>
      </c>
      <c r="D157" s="11"/>
      <c r="E157" s="11"/>
      <c r="F157" s="11" t="str">
        <f>VLOOKUP(G157, SeanRanks!$A$2:$E$302, 4, FALSE)</f>
        <v/>
      </c>
      <c r="G157" s="11" t="s">
        <v>892</v>
      </c>
      <c r="H157" s="11" t="str">
        <f>VLOOKUP($G157, 'ADP Data'!$C$4:$Q$300, 2, FALSE)</f>
        <v>MIN</v>
      </c>
      <c r="I157" s="11">
        <f>VLOOKUP(G157, 'ADP Data'!$C$4:$R$498, 12, FALSE)</f>
        <v>164</v>
      </c>
      <c r="J157" s="11" t="str">
        <f>VLOOKUP($G157, SeanRanks!$A$2:$H$303, 5, FALSE)</f>
        <v/>
      </c>
      <c r="K157" s="11" t="str">
        <f>IF(VLOOKUP($G157, SeanRanks!$A$2:$H$303, 6, FALSE)=0, "", VLOOKUP($G157, SeanRanks!$A$2:$H$303, 6, FALSE))</f>
        <v>WR6 - dart throw upside</v>
      </c>
      <c r="L157" s="11">
        <f t="shared" si="5"/>
        <v>22</v>
      </c>
      <c r="M157" s="11">
        <f>VLOOKUP($G157, 'ADP Data'!$C$4:$Q$300, 9, FALSE)</f>
        <v>171</v>
      </c>
      <c r="N157" s="11">
        <f t="shared" si="6"/>
        <v>0</v>
      </c>
      <c r="O157" s="11">
        <f>VLOOKUP($G157, 'ADP Data'!$C$4:$Q$300, 3, FALSE)</f>
        <v>167</v>
      </c>
      <c r="P157" s="11">
        <f t="shared" si="7"/>
        <v>4</v>
      </c>
      <c r="Q157" s="11">
        <f>VLOOKUP($G157, 'ADP Data'!$C$4:$Q$300, 4, FALSE)</f>
        <v>159</v>
      </c>
      <c r="R157" s="11">
        <f>VLOOKUP($G157, 'ADP Data'!$C$4:$Q$300, 5, FALSE)</f>
        <v>175</v>
      </c>
      <c r="S157" s="11">
        <f>VLOOKUP($G157, 'ADP Data'!$C$4:$Q$300, 6, FALSE)</f>
        <v>168</v>
      </c>
      <c r="T157" s="11">
        <f>VLOOKUP($G157, 'ADP Data'!$C$4:$Q$300, 7, FALSE)</f>
        <v>156</v>
      </c>
      <c r="U157" s="11">
        <f>VLOOKUP($G157, 'ADP Data'!$C$4:$Q$300, 8, FALSE)</f>
        <v>203</v>
      </c>
      <c r="V157" s="11">
        <f t="shared" si="8"/>
        <v>171</v>
      </c>
      <c r="W157" s="11">
        <f t="shared" si="9"/>
        <v>22</v>
      </c>
      <c r="X157" s="11">
        <f t="shared" si="10"/>
        <v>-22</v>
      </c>
      <c r="Y157" s="11">
        <f>VLOOKUP($G157, SeanRanks!$A$2:$K$303, 10, FALSE)-V157</f>
        <v>20</v>
      </c>
      <c r="Z157" s="29">
        <f>IF(VLOOKUP($G157, SeanRanks!$A$2:$H$303, 7, FALSE)=0, "", VLOOKUP($G157, SeanRanks!$A$2:$H$303, 7, FALSE))</f>
        <v>65</v>
      </c>
    </row>
    <row r="158" ht="14.25" customHeight="1">
      <c r="A158" s="11"/>
      <c r="B158" s="11">
        <f t="shared" si="4"/>
        <v>26</v>
      </c>
      <c r="C158" s="11" t="s">
        <v>106</v>
      </c>
      <c r="D158" s="11"/>
      <c r="E158" s="11"/>
      <c r="F158" s="11" t="str">
        <f>VLOOKUP(G158, SeanRanks!$A$2:$E$302, 4, FALSE)</f>
        <v/>
      </c>
      <c r="G158" s="11" t="s">
        <v>508</v>
      </c>
      <c r="H158" s="11" t="str">
        <f>VLOOKUP($G158, 'ADP Data'!$C$4:$Q$300, 2, FALSE)</f>
        <v>GB</v>
      </c>
      <c r="I158" s="11">
        <f>VLOOKUP(G158, 'ADP Data'!$C$4:$R$498, 12, FALSE)</f>
        <v>246</v>
      </c>
      <c r="J158" s="40" t="str">
        <f>VLOOKUP($G158, SeanRanks!$A$2:$H$303, 5, FALSE)</f>
        <v/>
      </c>
      <c r="K158" s="11" t="str">
        <f>IF(VLOOKUP($G158, SeanRanks!$A$2:$H$303, 6, FALSE)=0, "", VLOOKUP($G158, SeanRanks!$A$2:$H$303, 6, FALSE))</f>
        <v/>
      </c>
      <c r="L158" s="11">
        <f t="shared" si="5"/>
        <v>36</v>
      </c>
      <c r="M158" s="11">
        <f>VLOOKUP($G158, 'ADP Data'!$C$4:$Q$300, 9, FALSE)</f>
        <v>284</v>
      </c>
      <c r="N158" s="11">
        <f t="shared" si="6"/>
        <v>-16</v>
      </c>
      <c r="O158" s="11" t="str">
        <f>VLOOKUP($G158, 'ADP Data'!$C$4:$Q$300, 3, FALSE)</f>
        <v>-</v>
      </c>
      <c r="P158" s="11" t="str">
        <f t="shared" si="7"/>
        <v>#VALUE!</v>
      </c>
      <c r="Q158" s="11" t="str">
        <f>VLOOKUP($G158, 'ADP Data'!$C$4:$Q$300, 4, FALSE)</f>
        <v>-</v>
      </c>
      <c r="R158" s="11">
        <f>VLOOKUP($G158, 'ADP Data'!$C$4:$Q$300, 5, FALSE)</f>
        <v>291</v>
      </c>
      <c r="S158" s="11">
        <f>VLOOKUP($G158, 'ADP Data'!$C$4:$Q$300, 6, FALSE)</f>
        <v>322</v>
      </c>
      <c r="T158" s="11">
        <f>VLOOKUP($G158, 'ADP Data'!$C$4:$Q$300, 7, FALSE)</f>
        <v>277</v>
      </c>
      <c r="U158" s="11">
        <f>VLOOKUP($G158, 'ADP Data'!$C$4:$Q$300, 8, FALSE)</f>
        <v>326</v>
      </c>
      <c r="V158" s="11">
        <f t="shared" si="8"/>
        <v>300</v>
      </c>
      <c r="W158" s="11">
        <f t="shared" si="9"/>
        <v>38</v>
      </c>
      <c r="X158" s="11">
        <f t="shared" si="10"/>
        <v>-38</v>
      </c>
      <c r="Y158" s="11" t="str">
        <f>VLOOKUP($G158, SeanRanks!$A$2:$K$303, 10, FALSE)-V158</f>
        <v>#VALUE!</v>
      </c>
      <c r="Z158" s="29" t="str">
        <f>IF(VLOOKUP($G158, SeanRanks!$A$2:$H$303, 7, FALSE)=0, "", VLOOKUP($G158, SeanRanks!$A$2:$H$303, 7, FALSE))</f>
        <v/>
      </c>
    </row>
    <row r="159" ht="14.25" customHeight="1">
      <c r="A159" s="11"/>
      <c r="B159" s="11">
        <f t="shared" si="4"/>
        <v>7</v>
      </c>
      <c r="C159" s="11" t="s">
        <v>106</v>
      </c>
      <c r="D159" s="11"/>
      <c r="E159" s="11"/>
      <c r="F159" s="11" t="str">
        <f>VLOOKUP(G159, SeanRanks!$A$2:$E$302, 4, FALSE)</f>
        <v/>
      </c>
      <c r="G159" s="11" t="s">
        <v>369</v>
      </c>
      <c r="H159" s="11" t="str">
        <f>VLOOKUP($G159, 'ADP Data'!$C$4:$Q$300, 2, FALSE)</f>
        <v>TB</v>
      </c>
      <c r="I159" s="11">
        <f>VLOOKUP(G159, 'ADP Data'!$C$4:$R$498, 12, FALSE)</f>
        <v>99</v>
      </c>
      <c r="J159" s="11" t="str">
        <f>VLOOKUP($G159, SeanRanks!$A$2:$H$303, 5, FALSE)</f>
        <v/>
      </c>
      <c r="K159" s="11" t="str">
        <f>IF(VLOOKUP($G159, SeanRanks!$A$2:$H$303, 6, FALSE)=0, "", VLOOKUP($G159, SeanRanks!$A$2:$H$303, 6, FALSE))</f>
        <v>QB1 - 3 - Top 5 Ceiling</v>
      </c>
      <c r="L159" s="11">
        <f t="shared" si="5"/>
        <v>9</v>
      </c>
      <c r="M159" s="11">
        <f>VLOOKUP($G159, 'ADP Data'!$C$4:$Q$300, 9, FALSE)</f>
        <v>71</v>
      </c>
      <c r="N159" s="11">
        <f t="shared" si="6"/>
        <v>1</v>
      </c>
      <c r="O159" s="11">
        <f>VLOOKUP($G159, 'ADP Data'!$C$4:$Q$300, 3, FALSE)</f>
        <v>54</v>
      </c>
      <c r="P159" s="11">
        <f t="shared" si="7"/>
        <v>17</v>
      </c>
      <c r="Q159" s="11">
        <f>VLOOKUP($G159, 'ADP Data'!$C$4:$Q$300, 4, FALSE)</f>
        <v>52</v>
      </c>
      <c r="R159" s="11">
        <f>VLOOKUP($G159, 'ADP Data'!$C$4:$Q$300, 5, FALSE)</f>
        <v>85</v>
      </c>
      <c r="S159" s="11">
        <f>VLOOKUP($G159, 'ADP Data'!$C$4:$Q$300, 6, FALSE)</f>
        <v>92</v>
      </c>
      <c r="T159" s="11">
        <f>VLOOKUP($G159, 'ADP Data'!$C$4:$Q$300, 7, FALSE)</f>
        <v>78</v>
      </c>
      <c r="U159" s="11">
        <f>VLOOKUP($G159, 'ADP Data'!$C$4:$Q$300, 8, FALSE)</f>
        <v>61</v>
      </c>
      <c r="V159" s="11">
        <f t="shared" si="8"/>
        <v>70</v>
      </c>
      <c r="W159" s="11">
        <f t="shared" si="9"/>
        <v>9</v>
      </c>
      <c r="X159" s="11">
        <f t="shared" si="10"/>
        <v>-9</v>
      </c>
      <c r="Y159" s="11">
        <f>VLOOKUP($G159, SeanRanks!$A$2:$K$303, 10, FALSE)-V159</f>
        <v>20</v>
      </c>
      <c r="Z159" s="29">
        <f>IF(VLOOKUP($G159, SeanRanks!$A$2:$H$303, 7, FALSE)=0, "", VLOOKUP($G159, SeanRanks!$A$2:$H$303, 7, FALSE))</f>
        <v>6</v>
      </c>
    </row>
    <row r="160" ht="14.25" customHeight="1">
      <c r="A160" s="11"/>
      <c r="B160" s="11" t="str">
        <f t="shared" si="4"/>
        <v>#N/A</v>
      </c>
      <c r="C160" s="11" t="s">
        <v>106</v>
      </c>
      <c r="D160" s="11"/>
      <c r="E160" s="11"/>
      <c r="F160" s="11" t="str">
        <f>VLOOKUP(G160, SeanRanks!$A$2:$E$302, 4, FALSE)</f>
        <v>#N/A</v>
      </c>
      <c r="G160" s="11" t="s">
        <v>893</v>
      </c>
      <c r="H160" s="11" t="str">
        <f>VLOOKUP($G160, 'ADP Data'!$C$4:$Q$300, 2, FALSE)</f>
        <v>#N/A</v>
      </c>
      <c r="I160" s="11" t="str">
        <f>VLOOKUP(G160, 'ADP Data'!$C$4:$R$498, 12, FALSE)</f>
        <v>#N/A</v>
      </c>
      <c r="J160" s="61" t="str">
        <f>VLOOKUP($G160, SeanRanks!$A$2:$H$303, 5, FALSE)</f>
        <v>#N/A</v>
      </c>
      <c r="K160" s="11" t="str">
        <f>IF(VLOOKUP($G160, SeanRanks!$A$2:$H$303, 6, FALSE)=0, "", VLOOKUP($G160, SeanRanks!$A$2:$H$303, 6, FALSE))</f>
        <v>#N/A</v>
      </c>
      <c r="L160" s="11">
        <f t="shared" si="5"/>
        <v>16</v>
      </c>
      <c r="M160" s="11" t="str">
        <f>VLOOKUP($G160, 'ADP Data'!$C$4:$Q$300, 9, FALSE)</f>
        <v>#N/A</v>
      </c>
      <c r="N160" s="11" t="str">
        <f t="shared" si="6"/>
        <v>#N/A</v>
      </c>
      <c r="O160" s="11" t="str">
        <f>VLOOKUP($G160, 'ADP Data'!$C$4:$Q$300, 3, FALSE)</f>
        <v>#N/A</v>
      </c>
      <c r="P160" s="11" t="str">
        <f t="shared" si="7"/>
        <v>#N/A</v>
      </c>
      <c r="Q160" s="11" t="str">
        <f>VLOOKUP($G160, 'ADP Data'!$C$4:$Q$300, 4, FALSE)</f>
        <v>#N/A</v>
      </c>
      <c r="R160" s="11" t="str">
        <f>VLOOKUP($G160, 'ADP Data'!$C$4:$Q$300, 5, FALSE)</f>
        <v>#N/A</v>
      </c>
      <c r="S160" s="11" t="str">
        <f>VLOOKUP($G160, 'ADP Data'!$C$4:$Q$300, 6, FALSE)</f>
        <v>#N/A</v>
      </c>
      <c r="T160" s="11" t="str">
        <f>VLOOKUP($G160, 'ADP Data'!$C$4:$Q$300, 7, FALSE)</f>
        <v>#N/A</v>
      </c>
      <c r="U160" s="11" t="str">
        <f>VLOOKUP($G160, 'ADP Data'!$C$4:$Q$300, 8, FALSE)</f>
        <v>#N/A</v>
      </c>
      <c r="V160" s="11" t="str">
        <f t="shared" si="8"/>
        <v>#N/A</v>
      </c>
      <c r="W160" s="11">
        <f t="shared" si="9"/>
        <v>16</v>
      </c>
      <c r="X160" s="11">
        <f t="shared" si="10"/>
        <v>-16</v>
      </c>
      <c r="Y160" s="11" t="str">
        <f>VLOOKUP($G160, SeanRanks!$A$2:$K$303, 10, FALSE)-V160</f>
        <v>#N/A</v>
      </c>
      <c r="Z160" s="29" t="str">
        <f>IF(VLOOKUP($G160, SeanRanks!$A$2:$H$303, 7, FALSE)=0, "", VLOOKUP($G160, SeanRanks!$A$2:$H$303, 7, FALSE))</f>
        <v>#N/A</v>
      </c>
    </row>
    <row r="161" ht="14.25" customHeight="1">
      <c r="A161" s="11"/>
      <c r="B161" s="11">
        <f t="shared" si="4"/>
        <v>23</v>
      </c>
      <c r="C161" s="11" t="s">
        <v>106</v>
      </c>
      <c r="D161" s="11"/>
      <c r="E161" s="11"/>
      <c r="F161" s="11" t="str">
        <f>VLOOKUP(G161, SeanRanks!$A$2:$E$302, 4, FALSE)</f>
        <v/>
      </c>
      <c r="G161" s="11" t="s">
        <v>477</v>
      </c>
      <c r="H161" s="11" t="str">
        <f>VLOOKUP($G161, 'ADP Data'!$C$4:$Q$300, 2, FALSE)</f>
        <v>IND</v>
      </c>
      <c r="I161" s="11">
        <f>VLOOKUP(G161, 'ADP Data'!$C$4:$R$498, 12, FALSE)</f>
        <v>224</v>
      </c>
      <c r="J161" s="11" t="str">
        <f>VLOOKUP($G161, SeanRanks!$A$2:$H$303, 5, FALSE)</f>
        <v/>
      </c>
      <c r="K161" s="11" t="str">
        <f>IF(VLOOKUP($G161, SeanRanks!$A$2:$H$303, 6, FALSE)=0, "", VLOOKUP($G161, SeanRanks!$A$2:$H$303, 6, FALSE))</f>
        <v/>
      </c>
      <c r="L161" s="11">
        <f t="shared" si="5"/>
        <v>32</v>
      </c>
      <c r="M161" s="11">
        <f>VLOOKUP($G161, 'ADP Data'!$C$4:$Q$300, 9, FALSE)</f>
        <v>251</v>
      </c>
      <c r="N161" s="11">
        <f t="shared" si="6"/>
        <v>-14</v>
      </c>
      <c r="O161" s="11" t="str">
        <f>VLOOKUP($G161, 'ADP Data'!$C$4:$Q$300, 3, FALSE)</f>
        <v>-</v>
      </c>
      <c r="P161" s="11" t="str">
        <f t="shared" si="7"/>
        <v>#VALUE!</v>
      </c>
      <c r="Q161" s="11" t="str">
        <f>VLOOKUP($G161, 'ADP Data'!$C$4:$Q$300, 4, FALSE)</f>
        <v>-</v>
      </c>
      <c r="R161" s="11">
        <f>VLOOKUP($G161, 'ADP Data'!$C$4:$Q$300, 5, FALSE)</f>
        <v>307</v>
      </c>
      <c r="S161" s="11">
        <f>VLOOKUP($G161, 'ADP Data'!$C$4:$Q$300, 6, FALSE)</f>
        <v>252</v>
      </c>
      <c r="T161" s="11">
        <f>VLOOKUP($G161, 'ADP Data'!$C$4:$Q$300, 7, FALSE)</f>
        <v>252</v>
      </c>
      <c r="U161" s="11" t="str">
        <f>VLOOKUP($G161, 'ADP Data'!$C$4:$Q$300, 8, FALSE)</f>
        <v>-</v>
      </c>
      <c r="V161" s="11">
        <f t="shared" si="8"/>
        <v>265</v>
      </c>
      <c r="W161" s="11">
        <f t="shared" si="9"/>
        <v>34</v>
      </c>
      <c r="X161" s="11">
        <f t="shared" si="10"/>
        <v>-34</v>
      </c>
      <c r="Y161" s="11">
        <f>VLOOKUP($G161, SeanRanks!$A$2:$K$303, 10, FALSE)-V161</f>
        <v>-18</v>
      </c>
      <c r="Z161" s="29" t="str">
        <f>IF(VLOOKUP($G161, SeanRanks!$A$2:$H$303, 7, FALSE)=0, "", VLOOKUP($G161, SeanRanks!$A$2:$H$303, 7, FALSE))</f>
        <v/>
      </c>
    </row>
    <row r="162" ht="14.25" customHeight="1">
      <c r="A162" s="11"/>
      <c r="B162" s="11">
        <f t="shared" si="4"/>
        <v>18</v>
      </c>
      <c r="C162" s="11" t="s">
        <v>106</v>
      </c>
      <c r="D162" s="11"/>
      <c r="E162" s="11"/>
      <c r="F162" s="11" t="str">
        <f>VLOOKUP(G162, SeanRanks!$A$2:$E$302, 4, FALSE)</f>
        <v/>
      </c>
      <c r="G162" s="11" t="s">
        <v>634</v>
      </c>
      <c r="H162" s="11" t="str">
        <f>VLOOKUP($G162, 'ADP Data'!$C$4:$Q$300, 2, FALSE)</f>
        <v>MIA</v>
      </c>
      <c r="I162" s="11">
        <f>VLOOKUP(G162, 'ADP Data'!$C$4:$R$498, 12, FALSE)</f>
        <v>230</v>
      </c>
      <c r="J162" s="11" t="str">
        <f>VLOOKUP($G162, SeanRanks!$A$2:$H$303, 5, FALSE)</f>
        <v>Yes</v>
      </c>
      <c r="K162" s="11" t="str">
        <f>IF(VLOOKUP($G162, SeanRanks!$A$2:$H$303, 6, FALSE)=0, "", VLOOKUP($G162, SeanRanks!$A$2:$H$303, 6, FALSE))</f>
        <v>RB5 - 1 - upside</v>
      </c>
      <c r="L162" s="11">
        <f t="shared" si="5"/>
        <v>22</v>
      </c>
      <c r="M162" s="11">
        <f>VLOOKUP($G162, 'ADP Data'!$C$4:$Q$300, 9, FALSE)</f>
        <v>172</v>
      </c>
      <c r="N162" s="11">
        <f t="shared" si="6"/>
        <v>-26</v>
      </c>
      <c r="O162" s="11" t="str">
        <f>VLOOKUP($G162, 'ADP Data'!$C$4:$Q$300, 3, FALSE)</f>
        <v>-</v>
      </c>
      <c r="P162" s="11" t="str">
        <f t="shared" si="7"/>
        <v>#VALUE!</v>
      </c>
      <c r="Q162" s="11">
        <f>VLOOKUP($G162, 'ADP Data'!$C$4:$Q$300, 4, FALSE)</f>
        <v>194</v>
      </c>
      <c r="R162" s="11">
        <f>VLOOKUP($G162, 'ADP Data'!$C$4:$Q$300, 5, FALSE)</f>
        <v>226</v>
      </c>
      <c r="S162" s="11">
        <f>VLOOKUP($G162, 'ADP Data'!$C$4:$Q$300, 6, FALSE)</f>
        <v>185</v>
      </c>
      <c r="T162" s="11">
        <f>VLOOKUP($G162, 'ADP Data'!$C$4:$Q$300, 7, FALSE)</f>
        <v>175</v>
      </c>
      <c r="U162" s="11">
        <f>VLOOKUP($G162, 'ADP Data'!$C$4:$Q$300, 8, FALSE)</f>
        <v>241</v>
      </c>
      <c r="V162" s="11">
        <f t="shared" si="8"/>
        <v>198</v>
      </c>
      <c r="W162" s="11">
        <f t="shared" si="9"/>
        <v>25</v>
      </c>
      <c r="X162" s="11">
        <f t="shared" si="10"/>
        <v>-25</v>
      </c>
      <c r="Y162" s="11">
        <f>VLOOKUP($G162, SeanRanks!$A$2:$K$303, 10, FALSE)-V162</f>
        <v>-9</v>
      </c>
      <c r="Z162" s="29">
        <f>IF(VLOOKUP($G162, SeanRanks!$A$2:$H$303, 7, FALSE)=0, "", VLOOKUP($G162, SeanRanks!$A$2:$H$303, 7, FALSE))</f>
        <v>54</v>
      </c>
    </row>
    <row r="163" ht="14.25" customHeight="1">
      <c r="A163" s="11"/>
      <c r="B163" s="11">
        <f t="shared" si="4"/>
        <v>17</v>
      </c>
      <c r="C163" s="11" t="s">
        <v>106</v>
      </c>
      <c r="D163" s="11"/>
      <c r="E163" s="11"/>
      <c r="F163" s="11" t="str">
        <f>VLOOKUP(G163, SeanRanks!$A$2:$E$302, 4, FALSE)</f>
        <v/>
      </c>
      <c r="G163" s="11" t="s">
        <v>572</v>
      </c>
      <c r="H163" s="11" t="str">
        <f>VLOOKUP($G163, 'ADP Data'!$C$4:$Q$300, 2, FALSE)</f>
        <v>KC</v>
      </c>
      <c r="I163" s="11" t="str">
        <f>VLOOKUP(G163, 'ADP Data'!$C$4:$R$498, 12, FALSE)</f>
        <v>-</v>
      </c>
      <c r="J163" s="11" t="str">
        <f>VLOOKUP($G163, SeanRanks!$A$2:$H$303, 5, FALSE)</f>
        <v/>
      </c>
      <c r="K163" s="11" t="str">
        <f>IF(VLOOKUP($G163, SeanRanks!$A$2:$H$303, 6, FALSE)=0, "", VLOOKUP($G163, SeanRanks!$A$2:$H$303, 6, FALSE))</f>
        <v/>
      </c>
      <c r="L163" s="11">
        <f t="shared" si="5"/>
        <v>24</v>
      </c>
      <c r="M163" s="11">
        <f>VLOOKUP($G163, 'ADP Data'!$C$4:$Q$300, 9, FALSE)</f>
        <v>191</v>
      </c>
      <c r="N163" s="11">
        <f t="shared" si="6"/>
        <v>-4</v>
      </c>
      <c r="O163" s="11">
        <f>VLOOKUP($G163, 'ADP Data'!$C$4:$Q$300, 3, FALSE)</f>
        <v>179</v>
      </c>
      <c r="P163" s="11">
        <f t="shared" si="7"/>
        <v>12</v>
      </c>
      <c r="Q163" s="11">
        <f>VLOOKUP($G163, 'ADP Data'!$C$4:$Q$300, 4, FALSE)</f>
        <v>187</v>
      </c>
      <c r="R163" s="11">
        <f>VLOOKUP($G163, 'ADP Data'!$C$4:$Q$300, 5, FALSE)</f>
        <v>235</v>
      </c>
      <c r="S163" s="11">
        <f>VLOOKUP($G163, 'ADP Data'!$C$4:$Q$300, 6, FALSE)</f>
        <v>239</v>
      </c>
      <c r="T163" s="11">
        <f>VLOOKUP($G163, 'ADP Data'!$C$4:$Q$300, 7, FALSE)</f>
        <v>202</v>
      </c>
      <c r="U163" s="11">
        <f>VLOOKUP($G163, 'ADP Data'!$C$4:$Q$300, 8, FALSE)</f>
        <v>137</v>
      </c>
      <c r="V163" s="11">
        <f t="shared" si="8"/>
        <v>195</v>
      </c>
      <c r="W163" s="11">
        <f t="shared" si="9"/>
        <v>25</v>
      </c>
      <c r="X163" s="11">
        <f t="shared" si="10"/>
        <v>-25</v>
      </c>
      <c r="Y163" s="11">
        <f>VLOOKUP($G163, SeanRanks!$A$2:$K$303, 10, FALSE)-V163</f>
        <v>-22</v>
      </c>
      <c r="Z163" s="29" t="str">
        <f>IF(VLOOKUP($G163, SeanRanks!$A$2:$H$303, 7, FALSE)=0, "", VLOOKUP($G163, SeanRanks!$A$2:$H$303, 7, FALSE))</f>
        <v/>
      </c>
    </row>
    <row r="164" ht="14.25" customHeight="1">
      <c r="A164" s="11"/>
      <c r="B164" s="11">
        <f t="shared" si="4"/>
        <v>11</v>
      </c>
      <c r="C164" s="11" t="s">
        <v>106</v>
      </c>
      <c r="D164" s="11"/>
      <c r="E164" s="11"/>
      <c r="F164" s="11" t="str">
        <f>VLOOKUP(G164, SeanRanks!$A$2:$E$302, 4, FALSE)</f>
        <v/>
      </c>
      <c r="G164" s="11" t="s">
        <v>292</v>
      </c>
      <c r="H164" s="11" t="str">
        <f>VLOOKUP($G164, 'ADP Data'!$C$4:$Q$300, 2, FALSE)</f>
        <v>IND</v>
      </c>
      <c r="I164" s="11">
        <f>VLOOKUP(G164, 'ADP Data'!$C$4:$R$498, 12, FALSE)</f>
        <v>96</v>
      </c>
      <c r="J164" s="11" t="str">
        <f>VLOOKUP($G164, SeanRanks!$A$2:$H$303, 5, FALSE)</f>
        <v>No</v>
      </c>
      <c r="K164" s="11" t="str">
        <f>IF(VLOOKUP($G164, SeanRanks!$A$2:$H$303, 6, FALSE)=0, "", VLOOKUP($G164, SeanRanks!$A$2:$H$303, 6, FALSE))</f>
        <v>WR4 - 2 - unclear path to WR2</v>
      </c>
      <c r="L164" s="11">
        <f t="shared" si="5"/>
        <v>14</v>
      </c>
      <c r="M164" s="11">
        <f>VLOOKUP($G164, 'ADP Data'!$C$4:$Q$300, 9, FALSE)</f>
        <v>106</v>
      </c>
      <c r="N164" s="11">
        <f t="shared" si="6"/>
        <v>-15</v>
      </c>
      <c r="O164" s="11">
        <f>VLOOKUP($G164, 'ADP Data'!$C$4:$Q$300, 3, FALSE)</f>
        <v>129</v>
      </c>
      <c r="P164" s="11">
        <f t="shared" si="7"/>
        <v>-23</v>
      </c>
      <c r="Q164" s="11">
        <f>VLOOKUP($G164, 'ADP Data'!$C$4:$Q$300, 4, FALSE)</f>
        <v>135</v>
      </c>
      <c r="R164" s="11">
        <f>VLOOKUP($G164, 'ADP Data'!$C$4:$Q$300, 5, FALSE)</f>
        <v>128</v>
      </c>
      <c r="S164" s="11">
        <f>VLOOKUP($G164, 'ADP Data'!$C$4:$Q$300, 6, FALSE)</f>
        <v>112</v>
      </c>
      <c r="T164" s="11">
        <f>VLOOKUP($G164, 'ADP Data'!$C$4:$Q$300, 7, FALSE)</f>
        <v>96</v>
      </c>
      <c r="U164" s="11">
        <f>VLOOKUP($G164, 'ADP Data'!$C$4:$Q$300, 8, FALSE)</f>
        <v>141</v>
      </c>
      <c r="V164" s="11">
        <f t="shared" si="8"/>
        <v>121</v>
      </c>
      <c r="W164" s="11">
        <f t="shared" si="9"/>
        <v>16</v>
      </c>
      <c r="X164" s="11">
        <f t="shared" si="10"/>
        <v>-16</v>
      </c>
      <c r="Y164" s="11">
        <f>VLOOKUP($G164, SeanRanks!$A$2:$K$303, 10, FALSE)-V164</f>
        <v>-14</v>
      </c>
      <c r="Z164" s="29">
        <f>IF(VLOOKUP($G164, SeanRanks!$A$2:$H$303, 7, FALSE)=0, "", VLOOKUP($G164, SeanRanks!$A$2:$H$303, 7, FALSE))</f>
        <v>46</v>
      </c>
    </row>
    <row r="165" ht="14.25" customHeight="1">
      <c r="A165" s="11"/>
      <c r="B165" s="11">
        <f t="shared" si="4"/>
        <v>12</v>
      </c>
      <c r="C165" s="11" t="s">
        <v>106</v>
      </c>
      <c r="D165" s="11"/>
      <c r="E165" s="11"/>
      <c r="F165" s="11" t="str">
        <f>VLOOKUP(G165, SeanRanks!$A$2:$E$302, 4, FALSE)</f>
        <v/>
      </c>
      <c r="G165" s="11" t="s">
        <v>590</v>
      </c>
      <c r="H165" s="11" t="str">
        <f>VLOOKUP($G165, 'ADP Data'!$C$4:$Q$300, 2, FALSE)</f>
        <v>ATL</v>
      </c>
      <c r="I165" s="11">
        <f>VLOOKUP(G165, 'ADP Data'!$C$4:$R$498, 12, FALSE)</f>
        <v>118</v>
      </c>
      <c r="J165" s="11" t="str">
        <f>VLOOKUP($G165, SeanRanks!$A$2:$H$303, 5, FALSE)</f>
        <v/>
      </c>
      <c r="K165" s="11" t="str">
        <f>IF(VLOOKUP($G165, SeanRanks!$A$2:$H$303, 6, FALSE)=0, "", VLOOKUP($G165, SeanRanks!$A$2:$H$303, 6, FALSE))</f>
        <v>WR5 - 2 - floor play not league winner</v>
      </c>
      <c r="L165" s="11">
        <f t="shared" si="5"/>
        <v>16</v>
      </c>
      <c r="M165" s="11">
        <f>VLOOKUP($G165, 'ADP Data'!$C$4:$Q$300, 9, FALSE)</f>
        <v>120</v>
      </c>
      <c r="N165" s="11">
        <f t="shared" si="6"/>
        <v>-15</v>
      </c>
      <c r="O165" s="11">
        <f>VLOOKUP($G165, 'ADP Data'!$C$4:$Q$300, 3, FALSE)</f>
        <v>121</v>
      </c>
      <c r="P165" s="11">
        <f t="shared" si="7"/>
        <v>-1</v>
      </c>
      <c r="Q165" s="11">
        <f>VLOOKUP($G165, 'ADP Data'!$C$4:$Q$300, 4, FALSE)</f>
        <v>139</v>
      </c>
      <c r="R165" s="11">
        <f>VLOOKUP($G165, 'ADP Data'!$C$4:$Q$300, 5, FALSE)</f>
        <v>132</v>
      </c>
      <c r="S165" s="11">
        <f>VLOOKUP($G165, 'ADP Data'!$C$4:$Q$300, 6, FALSE)</f>
        <v>137</v>
      </c>
      <c r="T165" s="11">
        <f>VLOOKUP($G165, 'ADP Data'!$C$4:$Q$300, 7, FALSE)</f>
        <v>119</v>
      </c>
      <c r="U165" s="11">
        <f>VLOOKUP($G165, 'ADP Data'!$C$4:$Q$300, 8, FALSE)</f>
        <v>183</v>
      </c>
      <c r="V165" s="11">
        <f t="shared" si="8"/>
        <v>135</v>
      </c>
      <c r="W165" s="11">
        <f t="shared" si="9"/>
        <v>17</v>
      </c>
      <c r="X165" s="11">
        <f t="shared" si="10"/>
        <v>-17</v>
      </c>
      <c r="Y165" s="11">
        <f>VLOOKUP($G165, SeanRanks!$A$2:$K$303, 10, FALSE)-V165</f>
        <v>-5</v>
      </c>
      <c r="Z165" s="29">
        <f>IF(VLOOKUP($G165, SeanRanks!$A$2:$H$303, 7, FALSE)=0, "", VLOOKUP($G165, SeanRanks!$A$2:$H$303, 7, FALSE))</f>
        <v>56</v>
      </c>
    </row>
    <row r="166" ht="14.25" customHeight="1">
      <c r="A166" s="11"/>
      <c r="B166" s="11" t="str">
        <f t="shared" si="4"/>
        <v>#N/A</v>
      </c>
      <c r="C166" s="11" t="s">
        <v>106</v>
      </c>
      <c r="D166" s="11"/>
      <c r="E166" s="11"/>
      <c r="F166" s="11" t="str">
        <f>VLOOKUP(G166, SeanRanks!$A$2:$E$302, 4, FALSE)</f>
        <v>#N/A</v>
      </c>
      <c r="G166" s="11" t="s">
        <v>894</v>
      </c>
      <c r="H166" s="11" t="str">
        <f>VLOOKUP($G166, 'ADP Data'!$C$4:$Q$300, 2, FALSE)</f>
        <v>#N/A</v>
      </c>
      <c r="I166" s="11" t="str">
        <f>VLOOKUP(G166, 'ADP Data'!$C$4:$R$498, 12, FALSE)</f>
        <v>#N/A</v>
      </c>
      <c r="J166" s="11" t="str">
        <f>VLOOKUP($G166, SeanRanks!$A$2:$H$303, 5, FALSE)</f>
        <v>#N/A</v>
      </c>
      <c r="K166" s="11" t="str">
        <f>IF(VLOOKUP($G166, SeanRanks!$A$2:$H$303, 6, FALSE)=0, "", VLOOKUP($G166, SeanRanks!$A$2:$H$303, 6, FALSE))</f>
        <v>#N/A</v>
      </c>
      <c r="L166" s="11">
        <f t="shared" si="5"/>
        <v>16</v>
      </c>
      <c r="M166" s="11" t="str">
        <f>VLOOKUP($G166, 'ADP Data'!$C$4:$Q$300, 9, FALSE)</f>
        <v>#N/A</v>
      </c>
      <c r="N166" s="11" t="str">
        <f t="shared" si="6"/>
        <v>#N/A</v>
      </c>
      <c r="O166" s="11" t="str">
        <f>VLOOKUP($G166, 'ADP Data'!$C$4:$Q$300, 3, FALSE)</f>
        <v>#N/A</v>
      </c>
      <c r="P166" s="11" t="str">
        <f t="shared" si="7"/>
        <v>#N/A</v>
      </c>
      <c r="Q166" s="11" t="str">
        <f>VLOOKUP($G166, 'ADP Data'!$C$4:$Q$300, 4, FALSE)</f>
        <v>#N/A</v>
      </c>
      <c r="R166" s="11" t="str">
        <f>VLOOKUP($G166, 'ADP Data'!$C$4:$Q$300, 5, FALSE)</f>
        <v>#N/A</v>
      </c>
      <c r="S166" s="11" t="str">
        <f>VLOOKUP($G166, 'ADP Data'!$C$4:$Q$300, 6, FALSE)</f>
        <v>#N/A</v>
      </c>
      <c r="T166" s="11" t="str">
        <f>VLOOKUP($G166, 'ADP Data'!$C$4:$Q$300, 7, FALSE)</f>
        <v>#N/A</v>
      </c>
      <c r="U166" s="11" t="str">
        <f>VLOOKUP($G166, 'ADP Data'!$C$4:$Q$300, 8, FALSE)</f>
        <v>#N/A</v>
      </c>
      <c r="V166" s="11" t="str">
        <f t="shared" si="8"/>
        <v>#N/A</v>
      </c>
      <c r="W166" s="11">
        <f t="shared" si="9"/>
        <v>16</v>
      </c>
      <c r="X166" s="11">
        <f t="shared" si="10"/>
        <v>-16</v>
      </c>
      <c r="Y166" s="11" t="str">
        <f>VLOOKUP($G166, SeanRanks!$A$2:$K$303, 10, FALSE)-V166</f>
        <v>#N/A</v>
      </c>
      <c r="Z166" s="29" t="str">
        <f>IF(VLOOKUP($G166, SeanRanks!$A$2:$H$303, 7, FALSE)=0, "", VLOOKUP($G166, SeanRanks!$A$2:$H$303, 7, FALSE))</f>
        <v>#N/A</v>
      </c>
    </row>
    <row r="167" ht="14.25" customHeight="1">
      <c r="A167" s="11"/>
      <c r="B167" s="11">
        <f t="shared" si="4"/>
        <v>14</v>
      </c>
      <c r="C167" s="11" t="s">
        <v>106</v>
      </c>
      <c r="D167" s="11"/>
      <c r="E167" s="11"/>
      <c r="F167" s="11" t="str">
        <f>VLOOKUP(G167, SeanRanks!$A$2:$E$302, 4, FALSE)</f>
        <v/>
      </c>
      <c r="G167" s="11" t="s">
        <v>502</v>
      </c>
      <c r="H167" s="11" t="str">
        <f>VLOOKUP($G167, 'ADP Data'!$C$4:$Q$300, 2, FALSE)</f>
        <v>PIT</v>
      </c>
      <c r="I167" s="11" t="str">
        <f>VLOOKUP(G167, 'ADP Data'!$C$4:$R$498, 12, FALSE)</f>
        <v>-</v>
      </c>
      <c r="J167" s="11" t="str">
        <f>VLOOKUP($G167, SeanRanks!$A$2:$H$303, 5, FALSE)</f>
        <v/>
      </c>
      <c r="K167" s="11" t="str">
        <f>IF(VLOOKUP($G167, SeanRanks!$A$2:$H$303, 6, FALSE)=0, "", VLOOKUP($G167, SeanRanks!$A$2:$H$303, 6, FALSE))</f>
        <v/>
      </c>
      <c r="L167" s="11">
        <f t="shared" si="5"/>
        <v>20</v>
      </c>
      <c r="M167" s="11">
        <f>VLOOKUP($G167, 'ADP Data'!$C$4:$Q$300, 9, FALSE)</f>
        <v>154</v>
      </c>
      <c r="N167" s="11">
        <f t="shared" si="6"/>
        <v>-3</v>
      </c>
      <c r="O167" s="11">
        <f>VLOOKUP($G167, 'ADP Data'!$C$4:$Q$300, 3, FALSE)</f>
        <v>132</v>
      </c>
      <c r="P167" s="11">
        <f t="shared" si="7"/>
        <v>22</v>
      </c>
      <c r="Q167" s="11">
        <f>VLOOKUP($G167, 'ADP Data'!$C$4:$Q$300, 4, FALSE)</f>
        <v>90</v>
      </c>
      <c r="R167" s="11">
        <f>VLOOKUP($G167, 'ADP Data'!$C$4:$Q$300, 5, FALSE)</f>
        <v>213</v>
      </c>
      <c r="S167" s="11">
        <f>VLOOKUP($G167, 'ADP Data'!$C$4:$Q$300, 6, FALSE)</f>
        <v>215</v>
      </c>
      <c r="T167" s="11">
        <f>VLOOKUP($G167, 'ADP Data'!$C$4:$Q$300, 7, FALSE)</f>
        <v>167</v>
      </c>
      <c r="U167" s="11">
        <f>VLOOKUP($G167, 'ADP Data'!$C$4:$Q$300, 8, FALSE)</f>
        <v>131</v>
      </c>
      <c r="V167" s="11">
        <f t="shared" si="8"/>
        <v>157</v>
      </c>
      <c r="W167" s="11">
        <f t="shared" si="9"/>
        <v>20</v>
      </c>
      <c r="X167" s="11">
        <f t="shared" si="10"/>
        <v>-20</v>
      </c>
      <c r="Y167" s="11">
        <f>VLOOKUP($G167, SeanRanks!$A$2:$K$303, 10, FALSE)-V167</f>
        <v>9</v>
      </c>
      <c r="Z167" s="29" t="str">
        <f>IF(VLOOKUP($G167, SeanRanks!$A$2:$H$303, 7, FALSE)=0, "", VLOOKUP($G167, SeanRanks!$A$2:$H$303, 7, FALSE))</f>
        <v/>
      </c>
    </row>
    <row r="168" ht="14.25" customHeight="1">
      <c r="A168" s="11"/>
      <c r="B168" s="11">
        <f t="shared" si="4"/>
        <v>18</v>
      </c>
      <c r="C168" s="11" t="s">
        <v>106</v>
      </c>
      <c r="D168" s="11"/>
      <c r="E168" s="11"/>
      <c r="F168" s="11" t="str">
        <f>VLOOKUP(G168, SeanRanks!$A$2:$E$302, 4, FALSE)</f>
        <v/>
      </c>
      <c r="G168" s="11" t="s">
        <v>623</v>
      </c>
      <c r="H168" s="11" t="str">
        <f>VLOOKUP($G168, 'ADP Data'!$C$4:$Q$300, 2, FALSE)</f>
        <v>LV</v>
      </c>
      <c r="I168" s="11">
        <f>VLOOKUP(G168, 'ADP Data'!$C$4:$R$498, 12, FALSE)</f>
        <v>163</v>
      </c>
      <c r="J168" s="11" t="str">
        <f>VLOOKUP($G168, SeanRanks!$A$2:$H$303, 5, FALSE)</f>
        <v/>
      </c>
      <c r="K168" s="11" t="str">
        <f>IF(VLOOKUP($G168, SeanRanks!$A$2:$H$303, 6, FALSE)=0, "", VLOOKUP($G168, SeanRanks!$A$2:$H$303, 6, FALSE))</f>
        <v>Don’t Draft - Streamer</v>
      </c>
      <c r="L168" s="11">
        <f t="shared" si="5"/>
        <v>29</v>
      </c>
      <c r="M168" s="11">
        <f>VLOOKUP($G168, 'ADP Data'!$C$4:$Q$300, 9, FALSE)</f>
        <v>228</v>
      </c>
      <c r="N168" s="11">
        <f t="shared" si="6"/>
        <v>22</v>
      </c>
      <c r="O168" s="11">
        <f>VLOOKUP($G168, 'ADP Data'!$C$4:$Q$300, 3, FALSE)</f>
        <v>176</v>
      </c>
      <c r="P168" s="11">
        <f t="shared" si="7"/>
        <v>52</v>
      </c>
      <c r="Q168" s="11">
        <f>VLOOKUP($G168, 'ADP Data'!$C$4:$Q$300, 4, FALSE)</f>
        <v>207</v>
      </c>
      <c r="R168" s="11">
        <f>VLOOKUP($G168, 'ADP Data'!$C$4:$Q$300, 5, FALSE)</f>
        <v>238</v>
      </c>
      <c r="S168" s="11">
        <f>VLOOKUP($G168, 'ADP Data'!$C$4:$Q$300, 6, FALSE)</f>
        <v>198</v>
      </c>
      <c r="T168" s="11">
        <f>VLOOKUP($G168, 'ADP Data'!$C$4:$Q$300, 7, FALSE)</f>
        <v>191</v>
      </c>
      <c r="U168" s="11">
        <f>VLOOKUP($G168, 'ADP Data'!$C$4:$Q$300, 8, FALSE)</f>
        <v>205</v>
      </c>
      <c r="V168" s="11">
        <f t="shared" si="8"/>
        <v>206</v>
      </c>
      <c r="W168" s="11">
        <f t="shared" si="9"/>
        <v>26</v>
      </c>
      <c r="X168" s="11">
        <f t="shared" si="10"/>
        <v>-26</v>
      </c>
      <c r="Y168" s="11">
        <f>VLOOKUP($G168, SeanRanks!$A$2:$K$303, 10, FALSE)-V168</f>
        <v>-61</v>
      </c>
      <c r="Z168" s="29" t="str">
        <f>IF(VLOOKUP($G168, SeanRanks!$A$2:$H$303, 7, FALSE)=0, "", VLOOKUP($G168, SeanRanks!$A$2:$H$303, 7, FALSE))</f>
        <v/>
      </c>
    </row>
    <row r="169" ht="14.25" customHeight="1">
      <c r="A169" s="11"/>
      <c r="B169" s="11">
        <f t="shared" si="4"/>
        <v>25</v>
      </c>
      <c r="C169" s="11" t="s">
        <v>106</v>
      </c>
      <c r="D169" s="11"/>
      <c r="E169" s="11"/>
      <c r="F169" s="11" t="str">
        <f>VLOOKUP(G169, SeanRanks!$A$2:$E$302, 4, FALSE)</f>
        <v/>
      </c>
      <c r="G169" s="11" t="s">
        <v>895</v>
      </c>
      <c r="H169" s="11" t="str">
        <f>VLOOKUP($G169, 'ADP Data'!$C$4:$Q$300, 2, FALSE)</f>
        <v>LAC</v>
      </c>
      <c r="I169" s="11">
        <f>VLOOKUP(G169, 'ADP Data'!$C$4:$R$498, 12, FALSE)</f>
        <v>270</v>
      </c>
      <c r="J169" s="11" t="str">
        <f>VLOOKUP($G169, SeanRanks!$A$2:$H$303, 5, FALSE)</f>
        <v/>
      </c>
      <c r="K169" s="11" t="str">
        <f>IF(VLOOKUP($G169, SeanRanks!$A$2:$H$303, 6, FALSE)=0, "", VLOOKUP($G169, SeanRanks!$A$2:$H$303, 6, FALSE))</f>
        <v/>
      </c>
      <c r="L169" s="11">
        <f t="shared" si="5"/>
        <v>39</v>
      </c>
      <c r="M169" s="11">
        <f>VLOOKUP($G169, 'ADP Data'!$C$4:$Q$300, 9, FALSE)</f>
        <v>311</v>
      </c>
      <c r="N169" s="11">
        <f t="shared" si="6"/>
        <v>14</v>
      </c>
      <c r="O169" s="11" t="str">
        <f>VLOOKUP($G169, 'ADP Data'!$C$4:$Q$300, 3, FALSE)</f>
        <v>-</v>
      </c>
      <c r="P169" s="11" t="str">
        <f t="shared" si="7"/>
        <v>#VALUE!</v>
      </c>
      <c r="Q169" s="11">
        <f>VLOOKUP($G169, 'ADP Data'!$C$4:$Q$300, 4, FALSE)</f>
        <v>326</v>
      </c>
      <c r="R169" s="11" t="str">
        <f>VLOOKUP($G169, 'ADP Data'!$C$4:$Q$300, 5, FALSE)</f>
        <v>-</v>
      </c>
      <c r="S169" s="11">
        <f>VLOOKUP($G169, 'ADP Data'!$C$4:$Q$300, 6, FALSE)</f>
        <v>291</v>
      </c>
      <c r="T169" s="11" t="str">
        <f>VLOOKUP($G169, 'ADP Data'!$C$4:$Q$300, 7, FALSE)</f>
        <v>-</v>
      </c>
      <c r="U169" s="11">
        <f>VLOOKUP($G169, 'ADP Data'!$C$4:$Q$300, 8, FALSE)</f>
        <v>262</v>
      </c>
      <c r="V169" s="11">
        <f t="shared" si="8"/>
        <v>297</v>
      </c>
      <c r="W169" s="11">
        <f t="shared" si="9"/>
        <v>38</v>
      </c>
      <c r="X169" s="11">
        <f t="shared" si="10"/>
        <v>-38</v>
      </c>
      <c r="Y169" s="11" t="str">
        <f>VLOOKUP($G169, SeanRanks!$A$2:$K$303, 10, FALSE)-V169</f>
        <v>#VALUE!</v>
      </c>
      <c r="Z169" s="29" t="str">
        <f>IF(VLOOKUP($G169, SeanRanks!$A$2:$H$303, 7, FALSE)=0, "", VLOOKUP($G169, SeanRanks!$A$2:$H$303, 7, FALSE))</f>
        <v/>
      </c>
    </row>
    <row r="170" ht="14.25" customHeight="1">
      <c r="A170" s="11"/>
      <c r="B170" s="11" t="str">
        <f t="shared" si="4"/>
        <v>#N/A</v>
      </c>
      <c r="C170" s="11" t="s">
        <v>106</v>
      </c>
      <c r="D170" s="11"/>
      <c r="E170" s="11"/>
      <c r="F170" s="11" t="str">
        <f>VLOOKUP(G170, SeanRanks!$A$2:$E$302, 4, FALSE)</f>
        <v>#N/A</v>
      </c>
      <c r="G170" s="11" t="s">
        <v>896</v>
      </c>
      <c r="H170" s="11" t="str">
        <f>VLOOKUP($G170, 'ADP Data'!$C$4:$Q$300, 2, FALSE)</f>
        <v>#N/A</v>
      </c>
      <c r="I170" s="11" t="str">
        <f>VLOOKUP(G170, 'ADP Data'!$C$4:$R$498, 12, FALSE)</f>
        <v>#N/A</v>
      </c>
      <c r="J170" s="11" t="str">
        <f>VLOOKUP($G170, SeanRanks!$A$2:$H$303, 5, FALSE)</f>
        <v>#N/A</v>
      </c>
      <c r="K170" s="11" t="str">
        <f>IF(VLOOKUP($G170, SeanRanks!$A$2:$H$303, 6, FALSE)=0, "", VLOOKUP($G170, SeanRanks!$A$2:$H$303, 6, FALSE))</f>
        <v>#N/A</v>
      </c>
      <c r="L170" s="11">
        <f t="shared" si="5"/>
        <v>16</v>
      </c>
      <c r="M170" s="11" t="str">
        <f>VLOOKUP($G170, 'ADP Data'!$C$4:$Q$300, 9, FALSE)</f>
        <v>#N/A</v>
      </c>
      <c r="N170" s="11" t="str">
        <f t="shared" si="6"/>
        <v>#N/A</v>
      </c>
      <c r="O170" s="11" t="str">
        <f>VLOOKUP($G170, 'ADP Data'!$C$4:$Q$300, 3, FALSE)</f>
        <v>#N/A</v>
      </c>
      <c r="P170" s="11" t="str">
        <f t="shared" si="7"/>
        <v>#N/A</v>
      </c>
      <c r="Q170" s="11" t="str">
        <f>VLOOKUP($G170, 'ADP Data'!$C$4:$Q$300, 4, FALSE)</f>
        <v>#N/A</v>
      </c>
      <c r="R170" s="11" t="str">
        <f>VLOOKUP($G170, 'ADP Data'!$C$4:$Q$300, 5, FALSE)</f>
        <v>#N/A</v>
      </c>
      <c r="S170" s="11" t="str">
        <f>VLOOKUP($G170, 'ADP Data'!$C$4:$Q$300, 6, FALSE)</f>
        <v>#N/A</v>
      </c>
      <c r="T170" s="11" t="str">
        <f>VLOOKUP($G170, 'ADP Data'!$C$4:$Q$300, 7, FALSE)</f>
        <v>#N/A</v>
      </c>
      <c r="U170" s="11" t="str">
        <f>VLOOKUP($G170, 'ADP Data'!$C$4:$Q$300, 8, FALSE)</f>
        <v>#N/A</v>
      </c>
      <c r="V170" s="11" t="str">
        <f t="shared" si="8"/>
        <v>#N/A</v>
      </c>
      <c r="W170" s="11">
        <f t="shared" si="9"/>
        <v>16</v>
      </c>
      <c r="X170" s="11">
        <f t="shared" si="10"/>
        <v>-16</v>
      </c>
      <c r="Y170" s="11" t="str">
        <f>VLOOKUP($G170, SeanRanks!$A$2:$K$303, 10, FALSE)-V170</f>
        <v>#N/A</v>
      </c>
      <c r="Z170" s="29" t="str">
        <f>IF(VLOOKUP($G170, SeanRanks!$A$2:$H$303, 7, FALSE)=0, "", VLOOKUP($G170, SeanRanks!$A$2:$H$303, 7, FALSE))</f>
        <v>#N/A</v>
      </c>
    </row>
    <row r="171" ht="14.25" customHeight="1">
      <c r="A171" s="11"/>
      <c r="B171" s="11" t="str">
        <f t="shared" si="4"/>
        <v>#N/A</v>
      </c>
      <c r="C171" s="11" t="s">
        <v>106</v>
      </c>
      <c r="D171" s="11"/>
      <c r="E171" s="11"/>
      <c r="F171" s="11" t="str">
        <f>VLOOKUP(G171, SeanRanks!$A$2:$E$302, 4, FALSE)</f>
        <v>#N/A</v>
      </c>
      <c r="G171" s="11" t="s">
        <v>813</v>
      </c>
      <c r="H171" s="11" t="str">
        <f>VLOOKUP($G171, 'ADP Data'!$C$4:$Q$300, 2, FALSE)</f>
        <v>#N/A</v>
      </c>
      <c r="I171" s="11" t="str">
        <f>VLOOKUP(G171, 'ADP Data'!$C$4:$R$498, 12, FALSE)</f>
        <v>#N/A</v>
      </c>
      <c r="J171" s="11" t="str">
        <f>VLOOKUP($G171, SeanRanks!$A$2:$H$303, 5, FALSE)</f>
        <v>#N/A</v>
      </c>
      <c r="K171" s="11" t="str">
        <f>IF(VLOOKUP($G171, SeanRanks!$A$2:$H$303, 6, FALSE)=0, "", VLOOKUP($G171, SeanRanks!$A$2:$H$303, 6, FALSE))</f>
        <v>#N/A</v>
      </c>
      <c r="L171" s="11">
        <f t="shared" si="5"/>
        <v>16</v>
      </c>
      <c r="M171" s="11" t="str">
        <f>VLOOKUP($G171, 'ADP Data'!$C$4:$Q$300, 9, FALSE)</f>
        <v>#N/A</v>
      </c>
      <c r="N171" s="11" t="str">
        <f t="shared" si="6"/>
        <v>#N/A</v>
      </c>
      <c r="O171" s="11" t="str">
        <f>VLOOKUP($G171, 'ADP Data'!$C$4:$Q$300, 3, FALSE)</f>
        <v>#N/A</v>
      </c>
      <c r="P171" s="11" t="str">
        <f t="shared" si="7"/>
        <v>#N/A</v>
      </c>
      <c r="Q171" s="11" t="str">
        <f>VLOOKUP($G171, 'ADP Data'!$C$4:$Q$300, 4, FALSE)</f>
        <v>#N/A</v>
      </c>
      <c r="R171" s="11" t="str">
        <f>VLOOKUP($G171, 'ADP Data'!$C$4:$Q$300, 5, FALSE)</f>
        <v>#N/A</v>
      </c>
      <c r="S171" s="11" t="str">
        <f>VLOOKUP($G171, 'ADP Data'!$C$4:$Q$300, 6, FALSE)</f>
        <v>#N/A</v>
      </c>
      <c r="T171" s="11" t="str">
        <f>VLOOKUP($G171, 'ADP Data'!$C$4:$Q$300, 7, FALSE)</f>
        <v>#N/A</v>
      </c>
      <c r="U171" s="11" t="str">
        <f>VLOOKUP($G171, 'ADP Data'!$C$4:$Q$300, 8, FALSE)</f>
        <v>#N/A</v>
      </c>
      <c r="V171" s="11" t="str">
        <f t="shared" si="8"/>
        <v>#N/A</v>
      </c>
      <c r="W171" s="11">
        <f t="shared" si="9"/>
        <v>16</v>
      </c>
      <c r="X171" s="11">
        <f t="shared" si="10"/>
        <v>-16</v>
      </c>
      <c r="Y171" s="11" t="str">
        <f>VLOOKUP($G171, SeanRanks!$A$2:$K$303, 10, FALSE)-V171</f>
        <v>#N/A</v>
      </c>
      <c r="Z171" s="29" t="str">
        <f>IF(VLOOKUP($G171, SeanRanks!$A$2:$H$303, 7, FALSE)=0, "", VLOOKUP($G171, SeanRanks!$A$2:$H$303, 7, FALSE))</f>
        <v>#N/A</v>
      </c>
    </row>
    <row r="172" ht="14.25" customHeight="1">
      <c r="A172" s="11"/>
      <c r="B172" s="11">
        <f t="shared" si="4"/>
        <v>15</v>
      </c>
      <c r="C172" s="11" t="s">
        <v>106</v>
      </c>
      <c r="D172" s="11"/>
      <c r="E172" s="11"/>
      <c r="F172" s="11" t="str">
        <f>VLOOKUP(G172, SeanRanks!$A$2:$E$302, 4, FALSE)</f>
        <v/>
      </c>
      <c r="G172" s="11" t="s">
        <v>626</v>
      </c>
      <c r="H172" s="11" t="str">
        <f>VLOOKUP($G172, 'ADP Data'!$C$4:$Q$300, 2, FALSE)</f>
        <v>BUF</v>
      </c>
      <c r="I172" s="11" t="str">
        <f>VLOOKUP(G172, 'ADP Data'!$C$4:$R$498, 12, FALSE)</f>
        <v>-</v>
      </c>
      <c r="J172" s="11" t="str">
        <f>VLOOKUP($G172, SeanRanks!$A$2:$H$303, 5, FALSE)</f>
        <v/>
      </c>
      <c r="K172" s="11" t="str">
        <f>IF(VLOOKUP($G172, SeanRanks!$A$2:$H$303, 6, FALSE)=0, "", VLOOKUP($G172, SeanRanks!$A$2:$H$303, 6, FALSE))</f>
        <v/>
      </c>
      <c r="L172" s="11">
        <f t="shared" si="5"/>
        <v>29</v>
      </c>
      <c r="M172" s="11">
        <f>VLOOKUP($G172, 'ADP Data'!$C$4:$Q$300, 9, FALSE)</f>
        <v>231</v>
      </c>
      <c r="N172" s="11">
        <f t="shared" si="6"/>
        <v>56</v>
      </c>
      <c r="O172" s="11">
        <f>VLOOKUP($G172, 'ADP Data'!$C$4:$Q$300, 3, FALSE)</f>
        <v>128</v>
      </c>
      <c r="P172" s="11">
        <f t="shared" si="7"/>
        <v>103</v>
      </c>
      <c r="Q172" s="11">
        <f>VLOOKUP($G172, 'ADP Data'!$C$4:$Q$300, 4, FALSE)</f>
        <v>153</v>
      </c>
      <c r="R172" s="11">
        <f>VLOOKUP($G172, 'ADP Data'!$C$4:$Q$300, 5, FALSE)</f>
        <v>218</v>
      </c>
      <c r="S172" s="11">
        <f>VLOOKUP($G172, 'ADP Data'!$C$4:$Q$300, 6, FALSE)</f>
        <v>224</v>
      </c>
      <c r="T172" s="11">
        <f>VLOOKUP($G172, 'ADP Data'!$C$4:$Q$300, 7, FALSE)</f>
        <v>179</v>
      </c>
      <c r="U172" s="11">
        <f>VLOOKUP($G172, 'ADP Data'!$C$4:$Q$300, 8, FALSE)</f>
        <v>92</v>
      </c>
      <c r="V172" s="11">
        <f t="shared" si="8"/>
        <v>175</v>
      </c>
      <c r="W172" s="11">
        <f t="shared" si="9"/>
        <v>22</v>
      </c>
      <c r="X172" s="11">
        <f t="shared" si="10"/>
        <v>-22</v>
      </c>
      <c r="Y172" s="11">
        <f>VLOOKUP($G172, SeanRanks!$A$2:$K$303, 10, FALSE)-V172</f>
        <v>15</v>
      </c>
      <c r="Z172" s="29" t="str">
        <f>IF(VLOOKUP($G172, SeanRanks!$A$2:$H$303, 7, FALSE)=0, "", VLOOKUP($G172, SeanRanks!$A$2:$H$303, 7, FALSE))</f>
        <v/>
      </c>
    </row>
    <row r="173" ht="14.25" customHeight="1">
      <c r="A173" s="11"/>
      <c r="B173" s="11">
        <f t="shared" si="4"/>
        <v>17</v>
      </c>
      <c r="C173" s="11" t="s">
        <v>106</v>
      </c>
      <c r="D173" s="11"/>
      <c r="E173" s="11"/>
      <c r="F173" s="11" t="str">
        <f>VLOOKUP(G173, SeanRanks!$A$2:$E$302, 4, FALSE)</f>
        <v/>
      </c>
      <c r="G173" s="11" t="s">
        <v>337</v>
      </c>
      <c r="H173" s="11" t="str">
        <f>VLOOKUP($G173, 'ADP Data'!$C$4:$Q$300, 2, FALSE)</f>
        <v>BAL</v>
      </c>
      <c r="I173" s="11">
        <f>VLOOKUP(G173, 'ADP Data'!$C$4:$R$498, 12, FALSE)</f>
        <v>186</v>
      </c>
      <c r="J173" s="11" t="str">
        <f>VLOOKUP($G173, SeanRanks!$A$2:$H$303, 5, FALSE)</f>
        <v/>
      </c>
      <c r="K173" s="11" t="str">
        <f>IF(VLOOKUP($G173, SeanRanks!$A$2:$H$303, 6, FALSE)=0, "", VLOOKUP($G173, SeanRanks!$A$2:$H$303, 6, FALSE))</f>
        <v/>
      </c>
      <c r="L173" s="11">
        <f t="shared" si="5"/>
        <v>22</v>
      </c>
      <c r="M173" s="11">
        <f>VLOOKUP($G173, 'ADP Data'!$C$4:$Q$300, 9, FALSE)</f>
        <v>175</v>
      </c>
      <c r="N173" s="11">
        <f t="shared" si="6"/>
        <v>-14</v>
      </c>
      <c r="O173" s="11">
        <f>VLOOKUP($G173, 'ADP Data'!$C$4:$Q$300, 3, FALSE)</f>
        <v>187</v>
      </c>
      <c r="P173" s="11">
        <f t="shared" si="7"/>
        <v>-12</v>
      </c>
      <c r="Q173" s="11">
        <f>VLOOKUP($G173, 'ADP Data'!$C$4:$Q$300, 4, FALSE)</f>
        <v>203</v>
      </c>
      <c r="R173" s="11">
        <f>VLOOKUP($G173, 'ADP Data'!$C$4:$Q$300, 5, FALSE)</f>
        <v>261</v>
      </c>
      <c r="S173" s="11">
        <f>VLOOKUP($G173, 'ADP Data'!$C$4:$Q$300, 6, FALSE)</f>
        <v>157</v>
      </c>
      <c r="T173" s="11">
        <f>VLOOKUP($G173, 'ADP Data'!$C$4:$Q$300, 7, FALSE)</f>
        <v>182</v>
      </c>
      <c r="U173" s="11">
        <f>VLOOKUP($G173, 'ADP Data'!$C$4:$Q$300, 8, FALSE)</f>
        <v>160</v>
      </c>
      <c r="V173" s="11">
        <f t="shared" si="8"/>
        <v>189</v>
      </c>
      <c r="W173" s="11">
        <f t="shared" si="9"/>
        <v>24</v>
      </c>
      <c r="X173" s="11">
        <f t="shared" si="10"/>
        <v>-24</v>
      </c>
      <c r="Y173" s="11">
        <f>VLOOKUP($G173, SeanRanks!$A$2:$K$303, 10, FALSE)-V173</f>
        <v>53</v>
      </c>
      <c r="Z173" s="29" t="str">
        <f>IF(VLOOKUP($G173, SeanRanks!$A$2:$H$303, 7, FALSE)=0, "", VLOOKUP($G173, SeanRanks!$A$2:$H$303, 7, FALSE))</f>
        <v/>
      </c>
    </row>
    <row r="174" ht="14.25" customHeight="1">
      <c r="A174" s="11"/>
      <c r="B174" s="11" t="str">
        <f t="shared" si="4"/>
        <v>#N/A</v>
      </c>
      <c r="C174" s="11" t="s">
        <v>106</v>
      </c>
      <c r="D174" s="11"/>
      <c r="E174" s="11"/>
      <c r="F174" s="11" t="str">
        <f>VLOOKUP(G174, SeanRanks!$A$2:$E$302, 4, FALSE)</f>
        <v>#N/A</v>
      </c>
      <c r="G174" s="11" t="s">
        <v>897</v>
      </c>
      <c r="H174" s="11" t="str">
        <f>VLOOKUP($G174, 'ADP Data'!$C$4:$Q$300, 2, FALSE)</f>
        <v>#N/A</v>
      </c>
      <c r="I174" s="11" t="str">
        <f>VLOOKUP(G174, 'ADP Data'!$C$4:$R$498, 12, FALSE)</f>
        <v>#N/A</v>
      </c>
      <c r="J174" s="11" t="str">
        <f>VLOOKUP($G174, SeanRanks!$A$2:$H$303, 5, FALSE)</f>
        <v>#N/A</v>
      </c>
      <c r="K174" s="11" t="str">
        <f>IF(VLOOKUP($G174, SeanRanks!$A$2:$H$303, 6, FALSE)=0, "", VLOOKUP($G174, SeanRanks!$A$2:$H$303, 6, FALSE))</f>
        <v>#N/A</v>
      </c>
      <c r="L174" s="11">
        <f t="shared" si="5"/>
        <v>16</v>
      </c>
      <c r="M174" s="11" t="str">
        <f>VLOOKUP($G174, 'ADP Data'!$C$4:$Q$300, 9, FALSE)</f>
        <v>#N/A</v>
      </c>
      <c r="N174" s="11" t="str">
        <f t="shared" si="6"/>
        <v>#N/A</v>
      </c>
      <c r="O174" s="11" t="str">
        <f>VLOOKUP($G174, 'ADP Data'!$C$4:$Q$300, 3, FALSE)</f>
        <v>#N/A</v>
      </c>
      <c r="P174" s="11" t="str">
        <f t="shared" si="7"/>
        <v>#N/A</v>
      </c>
      <c r="Q174" s="11"/>
      <c r="R174" s="11"/>
      <c r="S174" s="11"/>
      <c r="T174" s="11"/>
      <c r="U174" s="11"/>
      <c r="V174" s="11" t="str">
        <f t="shared" si="8"/>
        <v>#N/A</v>
      </c>
      <c r="W174" s="11">
        <f t="shared" si="9"/>
        <v>16</v>
      </c>
      <c r="X174" s="11">
        <f t="shared" si="10"/>
        <v>-16</v>
      </c>
      <c r="Y174" s="11" t="str">
        <f>VLOOKUP($G174, SeanRanks!$A$2:$K$303, 10, FALSE)-V174</f>
        <v>#N/A</v>
      </c>
      <c r="Z174" s="29" t="str">
        <f>IF(VLOOKUP($G174, SeanRanks!$A$2:$H$303, 7, FALSE)=0, "", VLOOKUP($G174, SeanRanks!$A$2:$H$303, 7, FALSE))</f>
        <v>#N/A</v>
      </c>
    </row>
    <row r="175" ht="14.25" customHeight="1">
      <c r="A175" s="11"/>
      <c r="B175" s="11">
        <f t="shared" si="4"/>
        <v>18</v>
      </c>
      <c r="C175" s="11" t="s">
        <v>106</v>
      </c>
      <c r="D175" s="11"/>
      <c r="E175" s="11"/>
      <c r="F175" s="11" t="str">
        <f>VLOOKUP(G175, SeanRanks!$A$2:$E$302, 4, FALSE)</f>
        <v/>
      </c>
      <c r="G175" s="11" t="s">
        <v>556</v>
      </c>
      <c r="H175" s="11" t="str">
        <f>VLOOKUP($G175, 'ADP Data'!$C$4:$Q$300, 2, FALSE)</f>
        <v>TB</v>
      </c>
      <c r="I175" s="11">
        <f>VLOOKUP(G175, 'ADP Data'!$C$4:$R$498, 12, FALSE)</f>
        <v>190</v>
      </c>
      <c r="J175" s="11" t="str">
        <f>VLOOKUP($G175, SeanRanks!$A$2:$H$303, 5, FALSE)</f>
        <v/>
      </c>
      <c r="K175" s="11" t="str">
        <f>IF(VLOOKUP($G175, SeanRanks!$A$2:$H$303, 6, FALSE)=0, "", VLOOKUP($G175, SeanRanks!$A$2:$H$303, 6, FALSE))</f>
        <v/>
      </c>
      <c r="L175" s="11">
        <f t="shared" si="5"/>
        <v>29</v>
      </c>
      <c r="M175" s="11">
        <f>VLOOKUP($G175, 'ADP Data'!$C$4:$Q$300, 9, FALSE)</f>
        <v>227</v>
      </c>
      <c r="N175" s="11">
        <f t="shared" si="6"/>
        <v>17</v>
      </c>
      <c r="O175" s="11" t="str">
        <f>VLOOKUP($G175, 'ADP Data'!$C$4:$Q$300, 3, FALSE)</f>
        <v>-</v>
      </c>
      <c r="P175" s="11" t="str">
        <f t="shared" si="7"/>
        <v>#VALUE!</v>
      </c>
      <c r="Q175" s="11">
        <f>VLOOKUP($G175, 'ADP Data'!$C$4:$Q$300, 4, FALSE)</f>
        <v>200</v>
      </c>
      <c r="R175" s="11">
        <f>VLOOKUP($G175, 'ADP Data'!$C$4:$Q$300, 5, FALSE)</f>
        <v>242</v>
      </c>
      <c r="S175" s="11">
        <f>VLOOKUP($G175, 'ADP Data'!$C$4:$Q$300, 6, FALSE)</f>
        <v>167</v>
      </c>
      <c r="T175" s="11">
        <f>VLOOKUP($G175, 'ADP Data'!$C$4:$Q$300, 7, FALSE)</f>
        <v>215</v>
      </c>
      <c r="U175" s="11">
        <f>VLOOKUP($G175, 'ADP Data'!$C$4:$Q$300, 8, FALSE)</f>
        <v>211</v>
      </c>
      <c r="V175" s="11">
        <f t="shared" si="8"/>
        <v>210</v>
      </c>
      <c r="W175" s="11">
        <f t="shared" si="9"/>
        <v>27</v>
      </c>
      <c r="X175" s="11">
        <f t="shared" si="10"/>
        <v>-27</v>
      </c>
      <c r="Y175" s="11" t="str">
        <f>VLOOKUP($G175, SeanRanks!$A$2:$K$303, 10, FALSE)-V175</f>
        <v>#VALUE!</v>
      </c>
      <c r="Z175" s="29" t="str">
        <f>IF(VLOOKUP($G175, SeanRanks!$A$2:$H$303, 7, FALSE)=0, "", VLOOKUP($G175, SeanRanks!$A$2:$H$303, 7, FALSE))</f>
        <v/>
      </c>
    </row>
    <row r="176" ht="14.25" customHeight="1">
      <c r="A176" s="11"/>
      <c r="B176" s="11" t="str">
        <f t="shared" si="4"/>
        <v>#N/A</v>
      </c>
      <c r="C176" s="11" t="s">
        <v>106</v>
      </c>
      <c r="D176" s="11"/>
      <c r="E176" s="11"/>
      <c r="F176" s="11" t="str">
        <f>VLOOKUP(G176, SeanRanks!$A$2:$E$302, 4, FALSE)</f>
        <v>#N/A</v>
      </c>
      <c r="G176" s="11" t="s">
        <v>898</v>
      </c>
      <c r="H176" s="11" t="str">
        <f>VLOOKUP($G176, 'ADP Data'!$C$4:$Q$300, 2, FALSE)</f>
        <v>#N/A</v>
      </c>
      <c r="I176" s="11" t="str">
        <f>VLOOKUP(G176, 'ADP Data'!$C$4:$R$498, 12, FALSE)</f>
        <v>#N/A</v>
      </c>
      <c r="J176" s="11" t="str">
        <f>VLOOKUP($G176, SeanRanks!$A$2:$H$303, 5, FALSE)</f>
        <v>#N/A</v>
      </c>
      <c r="K176" s="11" t="str">
        <f>IF(VLOOKUP($G176, SeanRanks!$A$2:$H$303, 6, FALSE)=0, "", VLOOKUP($G176, SeanRanks!$A$2:$H$303, 6, FALSE))</f>
        <v>#N/A</v>
      </c>
      <c r="L176" s="11">
        <f t="shared" si="5"/>
        <v>16</v>
      </c>
      <c r="M176" s="11" t="str">
        <f>VLOOKUP($G176, 'ADP Data'!$C$4:$Q$300, 9, FALSE)</f>
        <v>#N/A</v>
      </c>
      <c r="N176" s="11" t="str">
        <f t="shared" si="6"/>
        <v>#N/A</v>
      </c>
      <c r="O176" s="11" t="str">
        <f>VLOOKUP($G176, 'ADP Data'!$C$4:$Q$300, 3, FALSE)</f>
        <v>#N/A</v>
      </c>
      <c r="P176" s="11" t="str">
        <f t="shared" si="7"/>
        <v>#N/A</v>
      </c>
      <c r="Q176" s="11" t="str">
        <f>VLOOKUP($G176, 'ADP Data'!$C$4:$Q$300, 4, FALSE)</f>
        <v>#N/A</v>
      </c>
      <c r="R176" s="11" t="str">
        <f>VLOOKUP($G176, 'ADP Data'!$C$4:$Q$300, 5, FALSE)</f>
        <v>#N/A</v>
      </c>
      <c r="S176" s="11" t="str">
        <f>VLOOKUP($G176, 'ADP Data'!$C$4:$Q$300, 6, FALSE)</f>
        <v>#N/A</v>
      </c>
      <c r="T176" s="11" t="str">
        <f>VLOOKUP($G176, 'ADP Data'!$C$4:$Q$300, 7, FALSE)</f>
        <v>#N/A</v>
      </c>
      <c r="U176" s="11" t="str">
        <f>VLOOKUP($G176, 'ADP Data'!$C$4:$Q$300, 8, FALSE)</f>
        <v>#N/A</v>
      </c>
      <c r="V176" s="11" t="str">
        <f t="shared" si="8"/>
        <v>#N/A</v>
      </c>
      <c r="W176" s="11">
        <f t="shared" si="9"/>
        <v>16</v>
      </c>
      <c r="X176" s="11">
        <f t="shared" si="10"/>
        <v>-16</v>
      </c>
      <c r="Y176" s="11" t="str">
        <f>VLOOKUP($G176, SeanRanks!$A$2:$K$303, 10, FALSE)-V176</f>
        <v>#N/A</v>
      </c>
      <c r="Z176" s="29" t="str">
        <f>IF(VLOOKUP($G176, SeanRanks!$A$2:$H$303, 7, FALSE)=0, "", VLOOKUP($G176, SeanRanks!$A$2:$H$303, 7, FALSE))</f>
        <v>#N/A</v>
      </c>
    </row>
    <row r="177" ht="14.25" customHeight="1">
      <c r="A177" s="11"/>
      <c r="B177" s="11">
        <f t="shared" si="4"/>
        <v>23</v>
      </c>
      <c r="C177" s="11" t="s">
        <v>106</v>
      </c>
      <c r="D177" s="11"/>
      <c r="E177" s="11"/>
      <c r="F177" s="11" t="str">
        <f>VLOOKUP(G177, SeanRanks!$A$2:$E$302, 4, FALSE)</f>
        <v/>
      </c>
      <c r="G177" s="11" t="s">
        <v>273</v>
      </c>
      <c r="H177" s="11" t="str">
        <f>VLOOKUP($G177, 'ADP Data'!$C$4:$Q$300, 2, FALSE)</f>
        <v>ARI</v>
      </c>
      <c r="I177" s="11">
        <f>VLOOKUP(G177, 'ADP Data'!$C$4:$R$498, 12, FALSE)</f>
        <v>219</v>
      </c>
      <c r="J177" s="11" t="str">
        <f>VLOOKUP($G177, SeanRanks!$A$2:$H$303, 5, FALSE)</f>
        <v/>
      </c>
      <c r="K177" s="11" t="str">
        <f>IF(VLOOKUP($G177, SeanRanks!$A$2:$H$303, 6, FALSE)=0, "", VLOOKUP($G177, SeanRanks!$A$2:$H$303, 6, FALSE))</f>
        <v/>
      </c>
      <c r="L177" s="11">
        <f t="shared" si="5"/>
        <v>32</v>
      </c>
      <c r="M177" s="11">
        <f>VLOOKUP($G177, 'ADP Data'!$C$4:$Q$300, 9, FALSE)</f>
        <v>252</v>
      </c>
      <c r="N177" s="11">
        <f t="shared" si="6"/>
        <v>-12</v>
      </c>
      <c r="O177" s="11" t="str">
        <f>VLOOKUP($G177, 'ADP Data'!$C$4:$Q$300, 3, FALSE)</f>
        <v>-</v>
      </c>
      <c r="P177" s="11" t="str">
        <f t="shared" si="7"/>
        <v>#VALUE!</v>
      </c>
      <c r="Q177" s="11" t="str">
        <f>VLOOKUP($G177, 'ADP Data'!$C$4:$Q$300, 4, FALSE)</f>
        <v>-</v>
      </c>
      <c r="R177" s="11">
        <f>VLOOKUP($G177, 'ADP Data'!$C$4:$Q$300, 5, FALSE)</f>
        <v>304</v>
      </c>
      <c r="S177" s="11">
        <f>VLOOKUP($G177, 'ADP Data'!$C$4:$Q$300, 6, FALSE)</f>
        <v>218</v>
      </c>
      <c r="T177" s="11">
        <f>VLOOKUP($G177, 'ADP Data'!$C$4:$Q$300, 7, FALSE)</f>
        <v>213</v>
      </c>
      <c r="U177" s="11">
        <f>VLOOKUP($G177, 'ADP Data'!$C$4:$Q$300, 8, FALSE)</f>
        <v>335</v>
      </c>
      <c r="V177" s="11">
        <f t="shared" si="8"/>
        <v>264</v>
      </c>
      <c r="W177" s="11">
        <f t="shared" si="9"/>
        <v>34</v>
      </c>
      <c r="X177" s="11">
        <f t="shared" si="10"/>
        <v>-34</v>
      </c>
      <c r="Y177" s="11">
        <f>VLOOKUP($G177, SeanRanks!$A$2:$K$303, 10, FALSE)-V177</f>
        <v>-23</v>
      </c>
      <c r="Z177" s="29" t="str">
        <f>IF(VLOOKUP($G177, SeanRanks!$A$2:$H$303, 7, FALSE)=0, "", VLOOKUP($G177, SeanRanks!$A$2:$H$303, 7, FALSE))</f>
        <v/>
      </c>
    </row>
    <row r="178" ht="14.25" customHeight="1">
      <c r="A178" s="11"/>
      <c r="B178" s="11">
        <f t="shared" si="4"/>
        <v>15</v>
      </c>
      <c r="C178" s="11" t="s">
        <v>106</v>
      </c>
      <c r="D178" s="11"/>
      <c r="E178" s="11"/>
      <c r="F178" s="11" t="str">
        <f>VLOOKUP(G178, SeanRanks!$A$2:$E$302, 4, FALSE)</f>
        <v/>
      </c>
      <c r="G178" s="11" t="s">
        <v>405</v>
      </c>
      <c r="H178" s="11" t="str">
        <f>VLOOKUP($G178, 'ADP Data'!$C$4:$Q$300, 2, FALSE)</f>
        <v>NE</v>
      </c>
      <c r="I178" s="11">
        <f>VLOOKUP(G178, 'ADP Data'!$C$4:$R$498, 12, FALSE)</f>
        <v>160</v>
      </c>
      <c r="J178" s="11" t="str">
        <f>VLOOKUP($G178, SeanRanks!$A$2:$H$303, 5, FALSE)</f>
        <v/>
      </c>
      <c r="K178" s="11" t="str">
        <f>IF(VLOOKUP($G178, SeanRanks!$A$2:$H$303, 6, FALSE)=0, "", VLOOKUP($G178, SeanRanks!$A$2:$H$303, 6, FALSE))</f>
        <v/>
      </c>
      <c r="L178" s="11">
        <f t="shared" si="5"/>
        <v>22</v>
      </c>
      <c r="M178" s="11">
        <f>VLOOKUP($G178, 'ADP Data'!$C$4:$Q$300, 9, FALSE)</f>
        <v>169</v>
      </c>
      <c r="N178" s="11">
        <f t="shared" si="6"/>
        <v>0</v>
      </c>
      <c r="O178" s="11">
        <f>VLOOKUP($G178, 'ADP Data'!$C$4:$Q$300, 3, FALSE)</f>
        <v>155</v>
      </c>
      <c r="P178" s="11">
        <f t="shared" si="7"/>
        <v>14</v>
      </c>
      <c r="Q178" s="11">
        <f>VLOOKUP($G178, 'ADP Data'!$C$4:$Q$300, 4, FALSE)</f>
        <v>155</v>
      </c>
      <c r="R178" s="11">
        <f>VLOOKUP($G178, 'ADP Data'!$C$4:$Q$300, 5, FALSE)</f>
        <v>225</v>
      </c>
      <c r="S178" s="11">
        <f>VLOOKUP($G178, 'ADP Data'!$C$4:$Q$300, 6, FALSE)</f>
        <v>140</v>
      </c>
      <c r="T178" s="11">
        <f>VLOOKUP($G178, 'ADP Data'!$C$4:$Q$300, 7, FALSE)</f>
        <v>168</v>
      </c>
      <c r="U178" s="11">
        <f>VLOOKUP($G178, 'ADP Data'!$C$4:$Q$300, 8, FALSE)</f>
        <v>173</v>
      </c>
      <c r="V178" s="11">
        <f t="shared" si="8"/>
        <v>169</v>
      </c>
      <c r="W178" s="11">
        <f t="shared" si="9"/>
        <v>22</v>
      </c>
      <c r="X178" s="11">
        <f t="shared" si="10"/>
        <v>-22</v>
      </c>
      <c r="Y178" s="11">
        <f>VLOOKUP($G178, SeanRanks!$A$2:$K$303, 10, FALSE)-V178</f>
        <v>-35</v>
      </c>
      <c r="Z178" s="29" t="str">
        <f>IF(VLOOKUP($G178, SeanRanks!$A$2:$H$303, 7, FALSE)=0, "", VLOOKUP($G178, SeanRanks!$A$2:$H$303, 7, FALSE))</f>
        <v/>
      </c>
    </row>
    <row r="179" ht="14.25" customHeight="1">
      <c r="A179" s="11"/>
      <c r="B179" s="11">
        <f t="shared" si="4"/>
        <v>23</v>
      </c>
      <c r="C179" s="11" t="s">
        <v>106</v>
      </c>
      <c r="D179" s="11"/>
      <c r="E179" s="11"/>
      <c r="F179" s="11" t="str">
        <f>VLOOKUP(G179, SeanRanks!$A$2:$E$302, 4, FALSE)</f>
        <v/>
      </c>
      <c r="G179" s="11" t="s">
        <v>439</v>
      </c>
      <c r="H179" s="11" t="str">
        <f>VLOOKUP($G179, 'ADP Data'!$C$4:$Q$300, 2, FALSE)</f>
        <v>GB</v>
      </c>
      <c r="I179" s="11">
        <f>VLOOKUP(G179, 'ADP Data'!$C$4:$R$498, 12, FALSE)</f>
        <v>280</v>
      </c>
      <c r="J179" s="59" t="str">
        <f>VLOOKUP($G179, SeanRanks!$A$2:$H$303, 5, FALSE)</f>
        <v/>
      </c>
      <c r="K179" s="11" t="str">
        <f>IF(VLOOKUP($G179, SeanRanks!$A$2:$H$303, 6, FALSE)=0, "", VLOOKUP($G179, SeanRanks!$A$2:$H$303, 6, FALSE))</f>
        <v>RB5 - 1 - upside</v>
      </c>
      <c r="L179" s="11">
        <f t="shared" si="5"/>
        <v>31</v>
      </c>
      <c r="M179" s="11">
        <f>VLOOKUP($G179, 'ADP Data'!$C$4:$Q$300, 9, FALSE)</f>
        <v>247</v>
      </c>
      <c r="N179" s="11">
        <f t="shared" si="6"/>
        <v>-22</v>
      </c>
      <c r="O179" s="11" t="str">
        <f>VLOOKUP($G179, 'ADP Data'!$C$4:$Q$300, 3, FALSE)</f>
        <v>-</v>
      </c>
      <c r="P179" s="11" t="str">
        <f t="shared" si="7"/>
        <v>#VALUE!</v>
      </c>
      <c r="Q179" s="11" t="str">
        <f>VLOOKUP($G179, 'ADP Data'!$C$4:$Q$300, 4, FALSE)</f>
        <v>-</v>
      </c>
      <c r="R179" s="11">
        <f>VLOOKUP($G179, 'ADP Data'!$C$4:$Q$300, 5, FALSE)</f>
        <v>296</v>
      </c>
      <c r="S179" s="11">
        <f>VLOOKUP($G179, 'ADP Data'!$C$4:$Q$300, 6, FALSE)</f>
        <v>255</v>
      </c>
      <c r="T179" s="11">
        <f>VLOOKUP($G179, 'ADP Data'!$C$4:$Q$300, 7, FALSE)</f>
        <v>235</v>
      </c>
      <c r="U179" s="11">
        <f>VLOOKUP($G179, 'ADP Data'!$C$4:$Q$300, 8, FALSE)</f>
        <v>315</v>
      </c>
      <c r="V179" s="11">
        <f t="shared" si="8"/>
        <v>269</v>
      </c>
      <c r="W179" s="11">
        <f t="shared" si="9"/>
        <v>34</v>
      </c>
      <c r="X179" s="11">
        <f t="shared" si="10"/>
        <v>-34</v>
      </c>
      <c r="Y179" s="11">
        <f>VLOOKUP($G179, SeanRanks!$A$2:$K$303, 10, FALSE)-V179</f>
        <v>-62</v>
      </c>
      <c r="Z179" s="29">
        <f>IF(VLOOKUP($G179, SeanRanks!$A$2:$H$303, 7, FALSE)=0, "", VLOOKUP($G179, SeanRanks!$A$2:$H$303, 7, FALSE))</f>
        <v>53</v>
      </c>
    </row>
    <row r="180" ht="14.25" customHeight="1">
      <c r="A180" s="11"/>
      <c r="B180" s="11">
        <f t="shared" si="4"/>
        <v>11</v>
      </c>
      <c r="C180" s="11" t="s">
        <v>106</v>
      </c>
      <c r="D180" s="11"/>
      <c r="E180" s="11"/>
      <c r="F180" s="11" t="str">
        <f>VLOOKUP(G180, SeanRanks!$A$2:$E$302, 4, FALSE)</f>
        <v/>
      </c>
      <c r="G180" s="11" t="s">
        <v>543</v>
      </c>
      <c r="H180" s="11" t="str">
        <f>VLOOKUP($G180, 'ADP Data'!$C$4:$Q$300, 2, FALSE)</f>
        <v>DAL</v>
      </c>
      <c r="I180" s="11" t="str">
        <f>VLOOKUP(G180, 'ADP Data'!$C$4:$R$498, 12, FALSE)</f>
        <v>-</v>
      </c>
      <c r="J180" s="11" t="str">
        <f>VLOOKUP($G180, SeanRanks!$A$2:$H$303, 5, FALSE)</f>
        <v/>
      </c>
      <c r="K180" s="11" t="str">
        <f>IF(VLOOKUP($G180, SeanRanks!$A$2:$H$303, 6, FALSE)=0, "", VLOOKUP($G180, SeanRanks!$A$2:$H$303, 6, FALSE))</f>
        <v/>
      </c>
      <c r="L180" s="11">
        <f t="shared" si="5"/>
        <v>17</v>
      </c>
      <c r="M180" s="11">
        <f>VLOOKUP($G180, 'ADP Data'!$C$4:$Q$300, 9, FALSE)</f>
        <v>131</v>
      </c>
      <c r="N180" s="11">
        <f t="shared" si="6"/>
        <v>14</v>
      </c>
      <c r="O180" s="11">
        <f>VLOOKUP($G180, 'ADP Data'!$C$4:$Q$300, 3, FALSE)</f>
        <v>104</v>
      </c>
      <c r="P180" s="11">
        <f t="shared" si="7"/>
        <v>27</v>
      </c>
      <c r="Q180" s="11"/>
      <c r="R180" s="11"/>
      <c r="S180" s="11"/>
      <c r="T180" s="11"/>
      <c r="U180" s="11"/>
      <c r="V180" s="11">
        <f t="shared" si="8"/>
        <v>117</v>
      </c>
      <c r="W180" s="11">
        <f t="shared" si="9"/>
        <v>15</v>
      </c>
      <c r="X180" s="11">
        <f t="shared" si="10"/>
        <v>-15</v>
      </c>
      <c r="Y180" s="11">
        <f>VLOOKUP($G180, SeanRanks!$A$2:$K$303, 10, FALSE)-V180</f>
        <v>64</v>
      </c>
      <c r="Z180" s="29" t="str">
        <f>IF(VLOOKUP($G180, SeanRanks!$A$2:$H$303, 7, FALSE)=0, "", VLOOKUP($G180, SeanRanks!$A$2:$H$303, 7, FALSE))</f>
        <v/>
      </c>
    </row>
    <row r="181" ht="14.25" customHeight="1">
      <c r="A181" s="11"/>
      <c r="B181" s="11">
        <f t="shared" si="4"/>
        <v>18</v>
      </c>
      <c r="C181" s="11" t="s">
        <v>106</v>
      </c>
      <c r="D181" s="11"/>
      <c r="E181" s="11"/>
      <c r="F181" s="11" t="str">
        <f>VLOOKUP(G181, SeanRanks!$A$2:$E$302, 4, FALSE)</f>
        <v/>
      </c>
      <c r="G181" s="11" t="s">
        <v>630</v>
      </c>
      <c r="H181" s="11" t="str">
        <f>VLOOKUP($G181, 'ADP Data'!$C$4:$Q$300, 2, FALSE)</f>
        <v>CHI</v>
      </c>
      <c r="I181" s="11" t="str">
        <f>VLOOKUP(G181, 'ADP Data'!$C$4:$R$498, 12, FALSE)</f>
        <v>-</v>
      </c>
      <c r="J181" s="11" t="str">
        <f>VLOOKUP($G181, SeanRanks!$A$2:$H$303, 5, FALSE)</f>
        <v/>
      </c>
      <c r="K181" s="11" t="str">
        <f>IF(VLOOKUP($G181, SeanRanks!$A$2:$H$303, 6, FALSE)=0, "", VLOOKUP($G181, SeanRanks!$A$2:$H$303, 6, FALSE))</f>
        <v/>
      </c>
      <c r="L181" s="11">
        <f t="shared" si="5"/>
        <v>16</v>
      </c>
      <c r="M181" s="11" t="str">
        <f>VLOOKUP($G181, 'ADP Data'!$C$4:$Q$300, 9, FALSE)</f>
        <v>-</v>
      </c>
      <c r="N181" s="11" t="str">
        <f t="shared" si="6"/>
        <v>#VALUE!</v>
      </c>
      <c r="O181" s="11">
        <f>VLOOKUP($G181, 'ADP Data'!$C$4:$Q$300, 3, FALSE)</f>
        <v>212</v>
      </c>
      <c r="P181" s="11" t="str">
        <f t="shared" si="7"/>
        <v>#VALUE!</v>
      </c>
      <c r="Q181" s="11">
        <f>VLOOKUP($G181, 'ADP Data'!$C$4:$Q$300, 4, FALSE)</f>
        <v>220</v>
      </c>
      <c r="R181" s="11" t="str">
        <f>VLOOKUP($G181, 'ADP Data'!$C$4:$Q$300, 5, FALSE)</f>
        <v>-</v>
      </c>
      <c r="S181" s="11">
        <f>VLOOKUP($G181, 'ADP Data'!$C$4:$Q$300, 6, FALSE)</f>
        <v>296</v>
      </c>
      <c r="T181" s="11">
        <f>VLOOKUP($G181, 'ADP Data'!$C$4:$Q$300, 7, FALSE)</f>
        <v>246</v>
      </c>
      <c r="U181" s="11">
        <f>VLOOKUP($G181, 'ADP Data'!$C$4:$Q$300, 8, FALSE)</f>
        <v>83</v>
      </c>
      <c r="V181" s="11">
        <f t="shared" si="8"/>
        <v>211</v>
      </c>
      <c r="W181" s="11">
        <f t="shared" si="9"/>
        <v>27</v>
      </c>
      <c r="X181" s="11">
        <f t="shared" si="10"/>
        <v>-27</v>
      </c>
      <c r="Y181" s="11" t="str">
        <f>VLOOKUP($G181, SeanRanks!$A$2:$K$303, 10, FALSE)-V181</f>
        <v>#VALUE!</v>
      </c>
      <c r="Z181" s="29" t="str">
        <f>IF(VLOOKUP($G181, SeanRanks!$A$2:$H$303, 7, FALSE)=0, "", VLOOKUP($G181, SeanRanks!$A$2:$H$303, 7, FALSE))</f>
        <v/>
      </c>
    </row>
    <row r="182" ht="14.25" customHeight="1">
      <c r="A182" s="11"/>
      <c r="B182" s="11">
        <f t="shared" si="4"/>
        <v>2</v>
      </c>
      <c r="C182" s="11" t="s">
        <v>106</v>
      </c>
      <c r="D182" s="11"/>
      <c r="E182" s="11"/>
      <c r="F182" s="11" t="str">
        <f>VLOOKUP(G182, SeanRanks!$A$2:$E$302, 4, FALSE)</f>
        <v/>
      </c>
      <c r="G182" s="11" t="s">
        <v>199</v>
      </c>
      <c r="H182" s="11" t="str">
        <f>VLOOKUP($G182, 'ADP Data'!$C$4:$Q$300, 2, FALSE)</f>
        <v>TB</v>
      </c>
      <c r="I182" s="11">
        <f>VLOOKUP(G182, 'ADP Data'!$C$4:$R$498, 12, FALSE)</f>
        <v>21</v>
      </c>
      <c r="J182" s="11" t="str">
        <f>VLOOKUP($G182, SeanRanks!$A$2:$H$303, 5, FALSE)</f>
        <v/>
      </c>
      <c r="K182" s="11" t="str">
        <f>IF(VLOOKUP($G182, SeanRanks!$A$2:$H$303, 6, FALSE)=0, "", VLOOKUP($G182, SeanRanks!$A$2:$H$303, 6, FALSE))</f>
        <v>RB1 - 2 - Elite ceiling/questions</v>
      </c>
      <c r="L182" s="11">
        <f t="shared" si="5"/>
        <v>3</v>
      </c>
      <c r="M182" s="11">
        <f>VLOOKUP($G182, 'ADP Data'!$C$4:$Q$300, 9, FALSE)</f>
        <v>22</v>
      </c>
      <c r="N182" s="11">
        <f t="shared" si="6"/>
        <v>0</v>
      </c>
      <c r="O182" s="11">
        <f>VLOOKUP($G182, 'ADP Data'!$C$4:$Q$300, 3, FALSE)</f>
        <v>22</v>
      </c>
      <c r="P182" s="11">
        <f t="shared" si="7"/>
        <v>0</v>
      </c>
      <c r="Q182" s="11">
        <f>VLOOKUP($G182, 'ADP Data'!$C$4:$Q$300, 4, FALSE)</f>
        <v>22</v>
      </c>
      <c r="R182" s="11">
        <f>VLOOKUP($G182, 'ADP Data'!$C$4:$Q$300, 5, FALSE)</f>
        <v>25</v>
      </c>
      <c r="S182" s="11">
        <f>VLOOKUP($G182, 'ADP Data'!$C$4:$Q$300, 6, FALSE)</f>
        <v>20</v>
      </c>
      <c r="T182" s="11">
        <f>VLOOKUP($G182, 'ADP Data'!$C$4:$Q$300, 7, FALSE)</f>
        <v>19</v>
      </c>
      <c r="U182" s="11">
        <f>VLOOKUP($G182, 'ADP Data'!$C$4:$Q$300, 8, FALSE)</f>
        <v>24</v>
      </c>
      <c r="V182" s="11">
        <f t="shared" si="8"/>
        <v>22</v>
      </c>
      <c r="W182" s="11">
        <f t="shared" si="9"/>
        <v>3</v>
      </c>
      <c r="X182" s="11">
        <f t="shared" si="10"/>
        <v>-3</v>
      </c>
      <c r="Y182" s="11">
        <f>VLOOKUP($G182, SeanRanks!$A$2:$K$303, 10, FALSE)-V182</f>
        <v>-5</v>
      </c>
      <c r="Z182" s="29">
        <f>IF(VLOOKUP($G182, SeanRanks!$A$2:$H$303, 7, FALSE)=0, "", VLOOKUP($G182, SeanRanks!$A$2:$H$303, 7, FALSE))</f>
        <v>9</v>
      </c>
    </row>
    <row r="183" ht="14.25" customHeight="1">
      <c r="A183" s="11"/>
      <c r="B183" s="11">
        <f t="shared" si="4"/>
        <v>15</v>
      </c>
      <c r="C183" s="11" t="s">
        <v>106</v>
      </c>
      <c r="D183" s="11"/>
      <c r="E183" s="11"/>
      <c r="F183" s="11" t="str">
        <f>VLOOKUP(G183, SeanRanks!$A$2:$E$302, 4, FALSE)</f>
        <v/>
      </c>
      <c r="G183" s="11" t="s">
        <v>584</v>
      </c>
      <c r="H183" s="11" t="str">
        <f>VLOOKUP($G183, 'ADP Data'!$C$4:$Q$300, 2, FALSE)</f>
        <v>BAL</v>
      </c>
      <c r="I183" s="11">
        <f>VLOOKUP(G183, 'ADP Data'!$C$4:$R$498, 12, FALSE)</f>
        <v>123</v>
      </c>
      <c r="J183" s="11" t="str">
        <f>VLOOKUP($G183, SeanRanks!$A$2:$H$303, 5, FALSE)</f>
        <v/>
      </c>
      <c r="K183" s="11" t="str">
        <f>IF(VLOOKUP($G183, SeanRanks!$A$2:$H$303, 6, FALSE)=0, "", VLOOKUP($G183, SeanRanks!$A$2:$H$303, 6, FALSE))</f>
        <v>WR5 - 1 - upside path</v>
      </c>
      <c r="L183" s="11">
        <f t="shared" si="5"/>
        <v>20</v>
      </c>
      <c r="M183" s="11">
        <f>VLOOKUP($G183, 'ADP Data'!$C$4:$Q$300, 9, FALSE)</f>
        <v>152</v>
      </c>
      <c r="N183" s="11">
        <f t="shared" si="6"/>
        <v>-10</v>
      </c>
      <c r="O183" s="11">
        <f>VLOOKUP($G183, 'ADP Data'!$C$4:$Q$300, 3, FALSE)</f>
        <v>144</v>
      </c>
      <c r="P183" s="11">
        <f t="shared" si="7"/>
        <v>8</v>
      </c>
      <c r="Q183" s="11">
        <f>VLOOKUP($G183, 'ADP Data'!$C$4:$Q$300, 4, FALSE)</f>
        <v>176</v>
      </c>
      <c r="R183" s="11">
        <f>VLOOKUP($G183, 'ADP Data'!$C$4:$Q$300, 5, FALSE)</f>
        <v>198</v>
      </c>
      <c r="S183" s="11">
        <f>VLOOKUP($G183, 'ADP Data'!$C$4:$Q$300, 6, FALSE)</f>
        <v>153</v>
      </c>
      <c r="T183" s="11">
        <f>VLOOKUP($G183, 'ADP Data'!$C$4:$Q$300, 7, FALSE)</f>
        <v>128</v>
      </c>
      <c r="U183" s="11">
        <f>VLOOKUP($G183, 'ADP Data'!$C$4:$Q$300, 8, FALSE)</f>
        <v>185</v>
      </c>
      <c r="V183" s="11">
        <f t="shared" si="8"/>
        <v>162</v>
      </c>
      <c r="W183" s="11">
        <f t="shared" si="9"/>
        <v>21</v>
      </c>
      <c r="X183" s="11">
        <f t="shared" si="10"/>
        <v>-21</v>
      </c>
      <c r="Y183" s="11">
        <f>VLOOKUP($G183, SeanRanks!$A$2:$K$303, 10, FALSE)-V183</f>
        <v>-36</v>
      </c>
      <c r="Z183" s="29">
        <f>IF(VLOOKUP($G183, SeanRanks!$A$2:$H$303, 7, FALSE)=0, "", VLOOKUP($G183, SeanRanks!$A$2:$H$303, 7, FALSE))</f>
        <v>52</v>
      </c>
    </row>
    <row r="184" ht="14.25" customHeight="1">
      <c r="A184" s="11"/>
      <c r="B184" s="11">
        <f t="shared" si="4"/>
        <v>15</v>
      </c>
      <c r="C184" s="11" t="s">
        <v>106</v>
      </c>
      <c r="D184" s="11"/>
      <c r="E184" s="11"/>
      <c r="F184" s="11" t="str">
        <f>VLOOKUP(G184, SeanRanks!$A$2:$E$302, 4, FALSE)</f>
        <v/>
      </c>
      <c r="G184" s="11" t="s">
        <v>899</v>
      </c>
      <c r="H184" s="11" t="str">
        <f>VLOOKUP($G184, 'ADP Data'!$C$4:$Q$300, 2, FALSE)</f>
        <v>CAR</v>
      </c>
      <c r="I184" s="11">
        <f>VLOOKUP(G184, 'ADP Data'!$C$4:$R$498, 12, FALSE)</f>
        <v>161</v>
      </c>
      <c r="J184" s="11" t="str">
        <f>VLOOKUP($G184, SeanRanks!$A$2:$H$303, 5, FALSE)</f>
        <v/>
      </c>
      <c r="K184" s="11" t="str">
        <f>IF(VLOOKUP($G184, SeanRanks!$A$2:$H$303, 6, FALSE)=0, "", VLOOKUP($G184, SeanRanks!$A$2:$H$303, 6, FALSE))</f>
        <v>WR5 - 1 - upside path</v>
      </c>
      <c r="L184" s="11">
        <f t="shared" si="5"/>
        <v>25</v>
      </c>
      <c r="M184" s="11">
        <f>VLOOKUP($G184, 'ADP Data'!$C$4:$Q$300, 9, FALSE)</f>
        <v>196</v>
      </c>
      <c r="N184" s="11">
        <f t="shared" si="6"/>
        <v>13</v>
      </c>
      <c r="O184" s="11">
        <f>VLOOKUP($G184, 'ADP Data'!$C$4:$Q$300, 3, FALSE)</f>
        <v>203</v>
      </c>
      <c r="P184" s="11">
        <f t="shared" si="7"/>
        <v>-7</v>
      </c>
      <c r="Q184" s="11">
        <f>VLOOKUP($G184, 'ADP Data'!$C$4:$Q$300, 4, FALSE)</f>
        <v>148</v>
      </c>
      <c r="R184" s="11">
        <f>VLOOKUP($G184, 'ADP Data'!$C$4:$Q$300, 5, FALSE)</f>
        <v>197</v>
      </c>
      <c r="S184" s="11">
        <f>VLOOKUP($G184, 'ADP Data'!$C$4:$Q$300, 6, FALSE)</f>
        <v>171</v>
      </c>
      <c r="T184" s="11">
        <f>VLOOKUP($G184, 'ADP Data'!$C$4:$Q$300, 7, FALSE)</f>
        <v>161</v>
      </c>
      <c r="U184" s="11">
        <f>VLOOKUP($G184, 'ADP Data'!$C$4:$Q$300, 8, FALSE)</f>
        <v>208</v>
      </c>
      <c r="V184" s="11">
        <f t="shared" si="8"/>
        <v>183</v>
      </c>
      <c r="W184" s="11">
        <f t="shared" si="9"/>
        <v>23</v>
      </c>
      <c r="X184" s="11">
        <f t="shared" si="10"/>
        <v>-23</v>
      </c>
      <c r="Y184" s="11">
        <f>VLOOKUP($G184, SeanRanks!$A$2:$K$303, 10, FALSE)-V184</f>
        <v>-13</v>
      </c>
      <c r="Z184" s="29">
        <f>IF(VLOOKUP($G184, SeanRanks!$A$2:$H$303, 7, FALSE)=0, "", VLOOKUP($G184, SeanRanks!$A$2:$H$303, 7, FALSE))</f>
        <v>54</v>
      </c>
    </row>
    <row r="185" ht="14.25" customHeight="1">
      <c r="A185" s="11"/>
      <c r="B185" s="11" t="str">
        <f t="shared" si="4"/>
        <v>#N/A</v>
      </c>
      <c r="C185" s="11" t="s">
        <v>106</v>
      </c>
      <c r="D185" s="11"/>
      <c r="E185" s="11"/>
      <c r="F185" s="11" t="str">
        <f>VLOOKUP(G185, SeanRanks!$A$2:$E$302, 4, FALSE)</f>
        <v>#N/A</v>
      </c>
      <c r="G185" s="11" t="s">
        <v>900</v>
      </c>
      <c r="H185" s="11" t="str">
        <f>VLOOKUP($G185, 'ADP Data'!$C$4:$Q$300, 2, FALSE)</f>
        <v>#N/A</v>
      </c>
      <c r="I185" s="11" t="str">
        <f>VLOOKUP(G185, 'ADP Data'!$C$4:$R$498, 12, FALSE)</f>
        <v>#N/A</v>
      </c>
      <c r="J185" s="11" t="str">
        <f>VLOOKUP($G185, SeanRanks!$A$2:$H$303, 5, FALSE)</f>
        <v>#N/A</v>
      </c>
      <c r="K185" s="11" t="str">
        <f>IF(VLOOKUP($G185, SeanRanks!$A$2:$H$303, 6, FALSE)=0, "", VLOOKUP($G185, SeanRanks!$A$2:$H$303, 6, FALSE))</f>
        <v>#N/A</v>
      </c>
      <c r="L185" s="11">
        <f t="shared" si="5"/>
        <v>16</v>
      </c>
      <c r="M185" s="11" t="str">
        <f>VLOOKUP($G185, 'ADP Data'!$C$4:$Q$300, 9, FALSE)</f>
        <v>#N/A</v>
      </c>
      <c r="N185" s="11" t="str">
        <f t="shared" si="6"/>
        <v>#N/A</v>
      </c>
      <c r="O185" s="11" t="str">
        <f>VLOOKUP($G185, 'ADP Data'!$C$4:$Q$300, 3, FALSE)</f>
        <v>#N/A</v>
      </c>
      <c r="P185" s="11" t="str">
        <f t="shared" si="7"/>
        <v>#N/A</v>
      </c>
      <c r="Q185" s="11" t="str">
        <f>VLOOKUP($G185, 'ADP Data'!$C$4:$Q$300, 4, FALSE)</f>
        <v>#N/A</v>
      </c>
      <c r="R185" s="11" t="str">
        <f>VLOOKUP($G185, 'ADP Data'!$C$4:$Q$300, 5, FALSE)</f>
        <v>#N/A</v>
      </c>
      <c r="S185" s="11" t="str">
        <f>VLOOKUP($G185, 'ADP Data'!$C$4:$Q$300, 6, FALSE)</f>
        <v>#N/A</v>
      </c>
      <c r="T185" s="11" t="str">
        <f>VLOOKUP($G185, 'ADP Data'!$C$4:$Q$300, 7, FALSE)</f>
        <v>#N/A</v>
      </c>
      <c r="U185" s="11" t="str">
        <f>VLOOKUP($G185, 'ADP Data'!$C$4:$Q$300, 8, FALSE)</f>
        <v>#N/A</v>
      </c>
      <c r="V185" s="11" t="str">
        <f t="shared" si="8"/>
        <v>#N/A</v>
      </c>
      <c r="W185" s="11">
        <f t="shared" si="9"/>
        <v>16</v>
      </c>
      <c r="X185" s="11">
        <f t="shared" si="10"/>
        <v>-16</v>
      </c>
      <c r="Y185" s="11" t="str">
        <f>VLOOKUP($G185, SeanRanks!$A$2:$K$303, 10, FALSE)-V185</f>
        <v>#N/A</v>
      </c>
      <c r="Z185" s="29" t="str">
        <f>IF(VLOOKUP($G185, SeanRanks!$A$2:$H$303, 7, FALSE)=0, "", VLOOKUP($G185, SeanRanks!$A$2:$H$303, 7, FALSE))</f>
        <v>#N/A</v>
      </c>
    </row>
    <row r="186" ht="14.25" customHeight="1">
      <c r="A186" s="11"/>
      <c r="B186" s="11">
        <f t="shared" si="4"/>
        <v>12</v>
      </c>
      <c r="C186" s="11" t="s">
        <v>106</v>
      </c>
      <c r="D186" s="11"/>
      <c r="E186" s="11"/>
      <c r="F186" s="11" t="str">
        <f>VLOOKUP(G186, SeanRanks!$A$2:$E$302, 4, FALSE)</f>
        <v/>
      </c>
      <c r="G186" s="11" t="s">
        <v>460</v>
      </c>
      <c r="H186" s="11" t="str">
        <f>VLOOKUP($G186, 'ADP Data'!$C$4:$Q$300, 2, FALSE)</f>
        <v>NYJ</v>
      </c>
      <c r="I186" s="11">
        <f>VLOOKUP(G186, 'ADP Data'!$C$4:$R$498, 12, FALSE)</f>
        <v>109</v>
      </c>
      <c r="J186" s="11" t="str">
        <f>VLOOKUP($G186, SeanRanks!$A$2:$H$303, 5, FALSE)</f>
        <v/>
      </c>
      <c r="K186" s="11" t="str">
        <f>IF(VLOOKUP($G186, SeanRanks!$A$2:$H$303, 6, FALSE)=0, "", VLOOKUP($G186, SeanRanks!$A$2:$H$303, 6, FALSE))</f>
        <v>RB4 - 2 - low ceiling</v>
      </c>
      <c r="L186" s="11">
        <f t="shared" si="5"/>
        <v>20</v>
      </c>
      <c r="M186" s="11">
        <f>VLOOKUP($G186, 'ADP Data'!$C$4:$Q$300, 9, FALSE)</f>
        <v>153</v>
      </c>
      <c r="N186" s="11">
        <f t="shared" si="6"/>
        <v>13</v>
      </c>
      <c r="O186" s="11">
        <f>VLOOKUP($G186, 'ADP Data'!$C$4:$Q$300, 3, FALSE)</f>
        <v>127</v>
      </c>
      <c r="P186" s="11">
        <f t="shared" si="7"/>
        <v>26</v>
      </c>
      <c r="Q186" s="11">
        <f>VLOOKUP($G186, 'ADP Data'!$C$4:$Q$300, 4, FALSE)</f>
        <v>156</v>
      </c>
      <c r="R186" s="11">
        <f>VLOOKUP($G186, 'ADP Data'!$C$4:$Q$300, 5, FALSE)</f>
        <v>109</v>
      </c>
      <c r="S186" s="11">
        <f>VLOOKUP($G186, 'ADP Data'!$C$4:$Q$300, 6, FALSE)</f>
        <v>108</v>
      </c>
      <c r="T186" s="11">
        <f>VLOOKUP($G186, 'ADP Data'!$C$4:$Q$300, 7, FALSE)</f>
        <v>132</v>
      </c>
      <c r="U186" s="11">
        <f>VLOOKUP($G186, 'ADP Data'!$C$4:$Q$300, 8, FALSE)</f>
        <v>197</v>
      </c>
      <c r="V186" s="11">
        <f t="shared" si="8"/>
        <v>140</v>
      </c>
      <c r="W186" s="11">
        <f t="shared" si="9"/>
        <v>18</v>
      </c>
      <c r="X186" s="11">
        <f t="shared" si="10"/>
        <v>-18</v>
      </c>
      <c r="Y186" s="11">
        <f>VLOOKUP($G186, SeanRanks!$A$2:$K$303, 10, FALSE)-V186</f>
        <v>-51</v>
      </c>
      <c r="Z186" s="29">
        <f>IF(VLOOKUP($G186, SeanRanks!$A$2:$H$303, 7, FALSE)=0, "", VLOOKUP($G186, SeanRanks!$A$2:$H$303, 7, FALSE))</f>
        <v>50</v>
      </c>
    </row>
    <row r="187" ht="14.25" customHeight="1">
      <c r="A187" s="11"/>
      <c r="B187" s="11">
        <f t="shared" si="4"/>
        <v>7</v>
      </c>
      <c r="C187" s="11" t="s">
        <v>106</v>
      </c>
      <c r="D187" s="11"/>
      <c r="E187" s="11"/>
      <c r="F187" s="11" t="str">
        <f>VLOOKUP(G187, SeanRanks!$A$2:$E$302, 4, FALSE)</f>
        <v/>
      </c>
      <c r="G187" s="11" t="s">
        <v>326</v>
      </c>
      <c r="H187" s="11" t="str">
        <f>VLOOKUP($G187, 'ADP Data'!$C$4:$Q$300, 2, FALSE)</f>
        <v>DEN</v>
      </c>
      <c r="I187" s="11">
        <f>VLOOKUP(G187, 'ADP Data'!$C$4:$R$498, 12, FALSE)</f>
        <v>91</v>
      </c>
      <c r="J187" s="11" t="str">
        <f>VLOOKUP($G187, SeanRanks!$A$2:$H$303, 5, FALSE)</f>
        <v/>
      </c>
      <c r="K187" s="11" t="str">
        <f>IF(VLOOKUP($G187, SeanRanks!$A$2:$H$303, 6, FALSE)=0, "", VLOOKUP($G187, SeanRanks!$A$2:$H$303, 6, FALSE))</f>
        <v>QB1 - 3 - Top 5 Ceiling</v>
      </c>
      <c r="L187" s="11">
        <f t="shared" si="5"/>
        <v>10</v>
      </c>
      <c r="M187" s="11">
        <f>VLOOKUP($G187, 'ADP Data'!$C$4:$Q$300, 9, FALSE)</f>
        <v>79</v>
      </c>
      <c r="N187" s="11">
        <f t="shared" si="6"/>
        <v>3</v>
      </c>
      <c r="O187" s="11">
        <f>VLOOKUP($G187, 'ADP Data'!$C$4:$Q$300, 3, FALSE)</f>
        <v>68</v>
      </c>
      <c r="P187" s="11">
        <f t="shared" si="7"/>
        <v>11</v>
      </c>
      <c r="Q187" s="11">
        <f>VLOOKUP($G187, 'ADP Data'!$C$4:$Q$300, 4, FALSE)</f>
        <v>66</v>
      </c>
      <c r="R187" s="11">
        <f>VLOOKUP($G187, 'ADP Data'!$C$4:$Q$300, 5, FALSE)</f>
        <v>87</v>
      </c>
      <c r="S187" s="11">
        <f>VLOOKUP($G187, 'ADP Data'!$C$4:$Q$300, 6, FALSE)</f>
        <v>89</v>
      </c>
      <c r="T187" s="11">
        <f>VLOOKUP($G187, 'ADP Data'!$C$4:$Q$300, 7, FALSE)</f>
        <v>83</v>
      </c>
      <c r="U187" s="11">
        <f>VLOOKUP($G187, 'ADP Data'!$C$4:$Q$300, 8, FALSE)</f>
        <v>64</v>
      </c>
      <c r="V187" s="11">
        <f t="shared" si="8"/>
        <v>76</v>
      </c>
      <c r="W187" s="11">
        <f t="shared" si="9"/>
        <v>10</v>
      </c>
      <c r="X187" s="11">
        <f t="shared" si="10"/>
        <v>-10</v>
      </c>
      <c r="Y187" s="11">
        <f>VLOOKUP($G187, SeanRanks!$A$2:$K$303, 10, FALSE)-V187</f>
        <v>7</v>
      </c>
      <c r="Z187" s="29">
        <f>IF(VLOOKUP($G187, SeanRanks!$A$2:$H$303, 7, FALSE)=0, "", VLOOKUP($G187, SeanRanks!$A$2:$H$303, 7, FALSE))</f>
        <v>7</v>
      </c>
    </row>
    <row r="188" ht="14.25" customHeight="1">
      <c r="A188" s="11"/>
      <c r="B188" s="11">
        <f t="shared" si="4"/>
        <v>18</v>
      </c>
      <c r="C188" s="11" t="s">
        <v>106</v>
      </c>
      <c r="D188" s="11"/>
      <c r="E188" s="11"/>
      <c r="F188" s="11" t="str">
        <f>VLOOKUP(G188, SeanRanks!$A$2:$E$302, 4, FALSE)</f>
        <v/>
      </c>
      <c r="G188" s="11" t="s">
        <v>901</v>
      </c>
      <c r="H188" s="11" t="str">
        <f>VLOOKUP($G188, 'ADP Data'!$C$4:$Q$300, 2, FALSE)</f>
        <v>NE</v>
      </c>
      <c r="I188" s="11">
        <f>VLOOKUP(G188, 'ADP Data'!$C$4:$R$498, 12, FALSE)</f>
        <v>141</v>
      </c>
      <c r="J188" s="11" t="str">
        <f>VLOOKUP($G188, SeanRanks!$A$2:$H$303, 5, FALSE)</f>
        <v/>
      </c>
      <c r="K188" s="11" t="str">
        <f>IF(VLOOKUP($G188, SeanRanks!$A$2:$H$303, 6, FALSE)=0, "", VLOOKUP($G188, SeanRanks!$A$2:$H$303, 6, FALSE))</f>
        <v>WR5 - 2 - floor play not league winner</v>
      </c>
      <c r="L188" s="11">
        <f t="shared" si="5"/>
        <v>25</v>
      </c>
      <c r="M188" s="11">
        <f>VLOOKUP($G188, 'ADP Data'!$C$4:$Q$300, 9, FALSE)</f>
        <v>199</v>
      </c>
      <c r="N188" s="11">
        <f t="shared" si="6"/>
        <v>-3</v>
      </c>
      <c r="O188" s="11">
        <f>VLOOKUP($G188, 'ADP Data'!$C$4:$Q$300, 3, FALSE)</f>
        <v>199</v>
      </c>
      <c r="P188" s="11">
        <f t="shared" si="7"/>
        <v>0</v>
      </c>
      <c r="Q188" s="11">
        <f>VLOOKUP($G188, 'ADP Data'!$C$4:$Q$300, 4, FALSE)</f>
        <v>224</v>
      </c>
      <c r="R188" s="11">
        <f>VLOOKUP($G188, 'ADP Data'!$C$4:$Q$300, 5, FALSE)</f>
        <v>231</v>
      </c>
      <c r="S188" s="11">
        <f>VLOOKUP($G188, 'ADP Data'!$C$4:$Q$300, 6, FALSE)</f>
        <v>159</v>
      </c>
      <c r="T188" s="11">
        <f>VLOOKUP($G188, 'ADP Data'!$C$4:$Q$300, 7, FALSE)</f>
        <v>145</v>
      </c>
      <c r="U188" s="11">
        <f>VLOOKUP($G188, 'ADP Data'!$C$4:$Q$300, 8, FALSE)</f>
        <v>263</v>
      </c>
      <c r="V188" s="11">
        <f t="shared" si="8"/>
        <v>202</v>
      </c>
      <c r="W188" s="11">
        <f t="shared" si="9"/>
        <v>26</v>
      </c>
      <c r="X188" s="11">
        <f t="shared" si="10"/>
        <v>-26</v>
      </c>
      <c r="Y188" s="11">
        <f>VLOOKUP($G188, SeanRanks!$A$2:$K$303, 10, FALSE)-V188</f>
        <v>-46</v>
      </c>
      <c r="Z188" s="29">
        <f>IF(VLOOKUP($G188, SeanRanks!$A$2:$H$303, 7, FALSE)=0, "", VLOOKUP($G188, SeanRanks!$A$2:$H$303, 7, FALSE))</f>
        <v>59</v>
      </c>
    </row>
    <row r="189" ht="14.25" customHeight="1">
      <c r="A189" s="11"/>
      <c r="B189" s="11">
        <f t="shared" si="4"/>
        <v>14</v>
      </c>
      <c r="C189" s="11" t="s">
        <v>106</v>
      </c>
      <c r="D189" s="11"/>
      <c r="E189" s="11"/>
      <c r="F189" s="11" t="str">
        <f>VLOOKUP(G189, SeanRanks!$A$2:$E$302, 4, FALSE)</f>
        <v/>
      </c>
      <c r="G189" s="11" t="s">
        <v>659</v>
      </c>
      <c r="H189" s="11" t="str">
        <f>VLOOKUP($G189, 'ADP Data'!$C$4:$Q$300, 2, FALSE)</f>
        <v>KC</v>
      </c>
      <c r="I189" s="11" t="str">
        <f>VLOOKUP(G189, 'ADP Data'!$C$4:$R$498, 12, FALSE)</f>
        <v>-</v>
      </c>
      <c r="J189" s="11" t="str">
        <f>VLOOKUP($G189, SeanRanks!$A$2:$H$303, 5, FALSE)</f>
        <v/>
      </c>
      <c r="K189" s="11" t="str">
        <f>IF(VLOOKUP($G189, SeanRanks!$A$2:$H$303, 6, FALSE)=0, "", VLOOKUP($G189, SeanRanks!$A$2:$H$303, 6, FALSE))</f>
        <v/>
      </c>
      <c r="L189" s="11">
        <f t="shared" si="5"/>
        <v>21</v>
      </c>
      <c r="M189" s="11">
        <f>VLOOKUP($G189, 'ADP Data'!$C$4:$Q$300, 9, FALSE)</f>
        <v>161</v>
      </c>
      <c r="N189" s="11">
        <f t="shared" si="6"/>
        <v>-12</v>
      </c>
      <c r="O189" s="11">
        <f>VLOOKUP($G189, 'ADP Data'!$C$4:$Q$300, 3, FALSE)</f>
        <v>185</v>
      </c>
      <c r="P189" s="11">
        <f t="shared" si="7"/>
        <v>-24</v>
      </c>
      <c r="Q189" s="11"/>
      <c r="R189" s="11"/>
      <c r="S189" s="11"/>
      <c r="T189" s="11"/>
      <c r="U189" s="11"/>
      <c r="V189" s="11">
        <f t="shared" si="8"/>
        <v>173</v>
      </c>
      <c r="W189" s="11">
        <f t="shared" si="9"/>
        <v>22</v>
      </c>
      <c r="X189" s="11">
        <f t="shared" si="10"/>
        <v>-22</v>
      </c>
      <c r="Y189" s="11">
        <f>VLOOKUP($G189, SeanRanks!$A$2:$K$303, 10, FALSE)-V189</f>
        <v>53</v>
      </c>
      <c r="Z189" s="29" t="str">
        <f>IF(VLOOKUP($G189, SeanRanks!$A$2:$H$303, 7, FALSE)=0, "", VLOOKUP($G189, SeanRanks!$A$2:$H$303, 7, FALSE))</f>
        <v/>
      </c>
    </row>
    <row r="190" ht="14.25" customHeight="1">
      <c r="A190" s="11"/>
      <c r="B190" s="11">
        <f t="shared" si="4"/>
        <v>24</v>
      </c>
      <c r="C190" s="11" t="s">
        <v>106</v>
      </c>
      <c r="D190" s="11"/>
      <c r="E190" s="11"/>
      <c r="F190" s="11" t="str">
        <f>VLOOKUP(G190, SeanRanks!$A$2:$E$302, 4, FALSE)</f>
        <v>#N/A</v>
      </c>
      <c r="G190" s="11" t="s">
        <v>902</v>
      </c>
      <c r="H190" s="11" t="str">
        <f>VLOOKUP($G190, 'ADP Data'!$C$4:$Q$300, 2, FALSE)</f>
        <v>MIA</v>
      </c>
      <c r="I190" s="11" t="str">
        <f>VLOOKUP(G190, 'ADP Data'!$C$4:$R$498, 12, FALSE)</f>
        <v>-</v>
      </c>
      <c r="J190" s="11" t="str">
        <f>VLOOKUP($G190, SeanRanks!$A$2:$H$303, 5, FALSE)</f>
        <v>#N/A</v>
      </c>
      <c r="K190" s="11" t="str">
        <f>IF(VLOOKUP($G190, SeanRanks!$A$2:$H$303, 6, FALSE)=0, "", VLOOKUP($G190, SeanRanks!$A$2:$H$303, 6, FALSE))</f>
        <v>#N/A</v>
      </c>
      <c r="L190" s="11">
        <f t="shared" si="5"/>
        <v>31</v>
      </c>
      <c r="M190" s="11">
        <f>VLOOKUP($G190, 'ADP Data'!$C$4:$Q$300, 9, FALSE)</f>
        <v>245</v>
      </c>
      <c r="N190" s="11">
        <f t="shared" si="6"/>
        <v>-31</v>
      </c>
      <c r="O190" s="11" t="str">
        <f>VLOOKUP($G190, 'ADP Data'!$C$4:$Q$300, 3, FALSE)</f>
        <v>-</v>
      </c>
      <c r="P190" s="11" t="str">
        <f t="shared" si="7"/>
        <v>#VALUE!</v>
      </c>
      <c r="Q190" s="11">
        <f>VLOOKUP($G190, 'ADP Data'!$C$4:$Q$300, 4, FALSE)</f>
        <v>248</v>
      </c>
      <c r="R190" s="11">
        <f>VLOOKUP($G190, 'ADP Data'!$C$4:$Q$300, 5, FALSE)</f>
        <v>343</v>
      </c>
      <c r="S190" s="11">
        <f>VLOOKUP($G190, 'ADP Data'!$C$4:$Q$300, 6, FALSE)</f>
        <v>333</v>
      </c>
      <c r="T190" s="11">
        <f>VLOOKUP($G190, 'ADP Data'!$C$4:$Q$300, 7, FALSE)</f>
        <v>273</v>
      </c>
      <c r="U190" s="11">
        <f>VLOOKUP($G190, 'ADP Data'!$C$4:$Q$300, 8, FALSE)</f>
        <v>217</v>
      </c>
      <c r="V190" s="11">
        <f t="shared" si="8"/>
        <v>276</v>
      </c>
      <c r="W190" s="11">
        <f t="shared" si="9"/>
        <v>35</v>
      </c>
      <c r="X190" s="11">
        <f t="shared" si="10"/>
        <v>-35</v>
      </c>
      <c r="Y190" s="11" t="str">
        <f>VLOOKUP($G190, SeanRanks!$A$2:$K$303, 10, FALSE)-V190</f>
        <v>#N/A</v>
      </c>
      <c r="Z190" s="29" t="str">
        <f>IF(VLOOKUP($G190, SeanRanks!$A$2:$H$303, 7, FALSE)=0, "", VLOOKUP($G190, SeanRanks!$A$2:$H$303, 7, FALSE))</f>
        <v>#N/A</v>
      </c>
    </row>
    <row r="191" ht="14.25" customHeight="1">
      <c r="A191" s="11"/>
      <c r="B191" s="11">
        <f t="shared" si="4"/>
        <v>13</v>
      </c>
      <c r="C191" s="11" t="s">
        <v>106</v>
      </c>
      <c r="D191" s="11"/>
      <c r="E191" s="11"/>
      <c r="F191" s="11" t="str">
        <f>VLOOKUP(G191, SeanRanks!$A$2:$E$302, 4, FALSE)</f>
        <v/>
      </c>
      <c r="G191" s="11" t="s">
        <v>495</v>
      </c>
      <c r="H191" s="11" t="str">
        <f>VLOOKUP($G191, 'ADP Data'!$C$4:$Q$300, 2, FALSE)</f>
        <v>PHI</v>
      </c>
      <c r="I191" s="11" t="str">
        <f>VLOOKUP(G191, 'ADP Data'!$C$4:$R$498, 12, FALSE)</f>
        <v>-</v>
      </c>
      <c r="J191" s="11" t="str">
        <f>VLOOKUP($G191, SeanRanks!$A$2:$H$303, 5, FALSE)</f>
        <v/>
      </c>
      <c r="K191" s="11" t="str">
        <f>IF(VLOOKUP($G191, SeanRanks!$A$2:$H$303, 6, FALSE)=0, "", VLOOKUP($G191, SeanRanks!$A$2:$H$303, 6, FALSE))</f>
        <v/>
      </c>
      <c r="L191" s="11">
        <f t="shared" si="5"/>
        <v>19</v>
      </c>
      <c r="M191" s="11">
        <f>VLOOKUP($G191, 'ADP Data'!$C$4:$Q$300, 9, FALSE)</f>
        <v>144</v>
      </c>
      <c r="N191" s="11">
        <f t="shared" si="6"/>
        <v>3</v>
      </c>
      <c r="O191" s="11">
        <f>VLOOKUP($G191, 'ADP Data'!$C$4:$Q$300, 3, FALSE)</f>
        <v>87</v>
      </c>
      <c r="P191" s="11">
        <f t="shared" si="7"/>
        <v>57</v>
      </c>
      <c r="Q191" s="11">
        <f>VLOOKUP($G191, 'ADP Data'!$C$4:$Q$300, 4, FALSE)</f>
        <v>130</v>
      </c>
      <c r="R191" s="11">
        <f>VLOOKUP($G191, 'ADP Data'!$C$4:$Q$300, 5, FALSE)</f>
        <v>164</v>
      </c>
      <c r="S191" s="11">
        <f>VLOOKUP($G191, 'ADP Data'!$C$4:$Q$300, 6, FALSE)</f>
        <v>214</v>
      </c>
      <c r="T191" s="11">
        <f>VLOOKUP($G191, 'ADP Data'!$C$4:$Q$300, 7, FALSE)</f>
        <v>160</v>
      </c>
      <c r="U191" s="11">
        <f>VLOOKUP($G191, 'ADP Data'!$C$4:$Q$300, 8, FALSE)</f>
        <v>93</v>
      </c>
      <c r="V191" s="11">
        <f t="shared" si="8"/>
        <v>141</v>
      </c>
      <c r="W191" s="11">
        <f t="shared" si="9"/>
        <v>18</v>
      </c>
      <c r="X191" s="11">
        <f t="shared" si="10"/>
        <v>-18</v>
      </c>
      <c r="Y191" s="11">
        <f>VLOOKUP($G191, SeanRanks!$A$2:$K$303, 10, FALSE)-V191</f>
        <v>24</v>
      </c>
      <c r="Z191" s="29" t="str">
        <f>IF(VLOOKUP($G191, SeanRanks!$A$2:$H$303, 7, FALSE)=0, "", VLOOKUP($G191, SeanRanks!$A$2:$H$303, 7, FALSE))</f>
        <v/>
      </c>
    </row>
    <row r="192" ht="14.25" customHeight="1">
      <c r="A192" s="11"/>
      <c r="B192" s="11">
        <f t="shared" si="4"/>
        <v>15</v>
      </c>
      <c r="C192" s="11" t="s">
        <v>106</v>
      </c>
      <c r="D192" s="11"/>
      <c r="E192" s="11"/>
      <c r="F192" s="11" t="str">
        <f>VLOOKUP(G192, SeanRanks!$A$2:$E$302, 4, FALSE)</f>
        <v/>
      </c>
      <c r="G192" s="11" t="s">
        <v>521</v>
      </c>
      <c r="H192" s="11" t="str">
        <f>VLOOKUP($G192, 'ADP Data'!$C$4:$Q$300, 2, FALSE)</f>
        <v>BUF</v>
      </c>
      <c r="I192" s="11">
        <f>VLOOKUP(G192, 'ADP Data'!$C$4:$R$498, 12, FALSE)</f>
        <v>150</v>
      </c>
      <c r="J192" s="11" t="str">
        <f>VLOOKUP($G192, SeanRanks!$A$2:$H$303, 5, FALSE)</f>
        <v/>
      </c>
      <c r="K192" s="11" t="str">
        <f>IF(VLOOKUP($G192, SeanRanks!$A$2:$H$303, 6, FALSE)=0, "", VLOOKUP($G192, SeanRanks!$A$2:$H$303, 6, FALSE))</f>
        <v>Handcuff only</v>
      </c>
      <c r="L192" s="11">
        <f t="shared" si="5"/>
        <v>19</v>
      </c>
      <c r="M192" s="11">
        <f>VLOOKUP($G192, 'ADP Data'!$C$4:$Q$300, 9, FALSE)</f>
        <v>149</v>
      </c>
      <c r="N192" s="11">
        <f t="shared" si="6"/>
        <v>-18</v>
      </c>
      <c r="O192" s="11">
        <f>VLOOKUP($G192, 'ADP Data'!$C$4:$Q$300, 3, FALSE)</f>
        <v>164</v>
      </c>
      <c r="P192" s="11">
        <f t="shared" si="7"/>
        <v>-15</v>
      </c>
      <c r="Q192" s="11">
        <f>VLOOKUP($G192, 'ADP Data'!$C$4:$Q$300, 4, FALSE)</f>
        <v>190</v>
      </c>
      <c r="R192" s="11">
        <f>VLOOKUP($G192, 'ADP Data'!$C$4:$Q$300, 5, FALSE)</f>
        <v>171</v>
      </c>
      <c r="S192" s="11">
        <f>VLOOKUP($G192, 'ADP Data'!$C$4:$Q$300, 6, FALSE)</f>
        <v>143</v>
      </c>
      <c r="T192" s="11">
        <f>VLOOKUP($G192, 'ADP Data'!$C$4:$Q$300, 7, FALSE)</f>
        <v>141</v>
      </c>
      <c r="U192" s="11">
        <f>VLOOKUP($G192, 'ADP Data'!$C$4:$Q$300, 8, FALSE)</f>
        <v>215</v>
      </c>
      <c r="V192" s="11">
        <f t="shared" si="8"/>
        <v>167</v>
      </c>
      <c r="W192" s="11">
        <f t="shared" si="9"/>
        <v>21</v>
      </c>
      <c r="X192" s="11">
        <f t="shared" si="10"/>
        <v>-21</v>
      </c>
      <c r="Y192" s="11">
        <f>VLOOKUP($G192, SeanRanks!$A$2:$K$303, 10, FALSE)-V192</f>
        <v>-29</v>
      </c>
      <c r="Z192" s="29">
        <f>IF(VLOOKUP($G192, SeanRanks!$A$2:$H$303, 7, FALSE)=0, "", VLOOKUP($G192, SeanRanks!$A$2:$H$303, 7, FALSE))</f>
        <v>57</v>
      </c>
    </row>
    <row r="193" ht="14.25" customHeight="1">
      <c r="A193" s="11"/>
      <c r="B193" s="11">
        <f t="shared" si="4"/>
        <v>14</v>
      </c>
      <c r="C193" s="11" t="s">
        <v>106</v>
      </c>
      <c r="D193" s="11"/>
      <c r="E193" s="11"/>
      <c r="F193" s="11" t="str">
        <f>VLOOKUP(G193, SeanRanks!$A$2:$E$302, 4, FALSE)</f>
        <v/>
      </c>
      <c r="G193" s="11" t="s">
        <v>475</v>
      </c>
      <c r="H193" s="11" t="str">
        <f>VLOOKUP($G193, 'ADP Data'!$C$4:$Q$300, 2, FALSE)</f>
        <v>HOU</v>
      </c>
      <c r="I193" s="11" t="str">
        <f>VLOOKUP(G193, 'ADP Data'!$C$4:$R$498, 12, FALSE)</f>
        <v>-</v>
      </c>
      <c r="J193" s="11" t="str">
        <f>VLOOKUP($G193, SeanRanks!$A$2:$H$303, 5, FALSE)</f>
        <v/>
      </c>
      <c r="K193" s="11" t="str">
        <f>IF(VLOOKUP($G193, SeanRanks!$A$2:$H$303, 6, FALSE)=0, "", VLOOKUP($G193, SeanRanks!$A$2:$H$303, 6, FALSE))</f>
        <v/>
      </c>
      <c r="L193" s="11">
        <f t="shared" si="5"/>
        <v>24</v>
      </c>
      <c r="M193" s="11">
        <f>VLOOKUP($G193, 'ADP Data'!$C$4:$Q$300, 9, FALSE)</f>
        <v>188</v>
      </c>
      <c r="N193" s="11">
        <f t="shared" si="6"/>
        <v>23</v>
      </c>
      <c r="O193" s="11">
        <f>VLOOKUP($G193, 'ADP Data'!$C$4:$Q$300, 3, FALSE)</f>
        <v>145</v>
      </c>
      <c r="P193" s="11">
        <f t="shared" si="7"/>
        <v>43</v>
      </c>
      <c r="Q193" s="11">
        <f>VLOOKUP($G193, 'ADP Data'!$C$4:$Q$300, 4, FALSE)</f>
        <v>100</v>
      </c>
      <c r="R193" s="11">
        <f>VLOOKUP($G193, 'ADP Data'!$C$4:$Q$300, 5, FALSE)</f>
        <v>190</v>
      </c>
      <c r="S193" s="11">
        <f>VLOOKUP($G193, 'ADP Data'!$C$4:$Q$300, 6, FALSE)</f>
        <v>216</v>
      </c>
      <c r="T193" s="11">
        <f>VLOOKUP($G193, 'ADP Data'!$C$4:$Q$300, 7, FALSE)</f>
        <v>176</v>
      </c>
      <c r="U193" s="11">
        <f>VLOOKUP($G193, 'ADP Data'!$C$4:$Q$300, 8, FALSE)</f>
        <v>145</v>
      </c>
      <c r="V193" s="11">
        <f t="shared" si="8"/>
        <v>165</v>
      </c>
      <c r="W193" s="11">
        <f t="shared" si="9"/>
        <v>21</v>
      </c>
      <c r="X193" s="11">
        <f t="shared" si="10"/>
        <v>-21</v>
      </c>
      <c r="Y193" s="11">
        <f>VLOOKUP($G193, SeanRanks!$A$2:$K$303, 10, FALSE)-V193</f>
        <v>23</v>
      </c>
      <c r="Z193" s="29" t="str">
        <f>IF(VLOOKUP($G193, SeanRanks!$A$2:$H$303, 7, FALSE)=0, "", VLOOKUP($G193, SeanRanks!$A$2:$H$303, 7, FALSE))</f>
        <v/>
      </c>
    </row>
    <row r="194" ht="14.25" customHeight="1">
      <c r="A194" s="11"/>
      <c r="B194" s="11">
        <f t="shared" si="4"/>
        <v>9</v>
      </c>
      <c r="C194" s="11" t="s">
        <v>106</v>
      </c>
      <c r="D194" s="11"/>
      <c r="E194" s="11"/>
      <c r="F194" s="11" t="str">
        <f>VLOOKUP(G194, SeanRanks!$A$2:$E$302, 4, FALSE)</f>
        <v/>
      </c>
      <c r="G194" s="11" t="s">
        <v>313</v>
      </c>
      <c r="H194" s="11" t="str">
        <f>VLOOKUP($G194, 'ADP Data'!$C$4:$Q$300, 2, FALSE)</f>
        <v>MIN</v>
      </c>
      <c r="I194" s="11">
        <f>VLOOKUP(G194, 'ADP Data'!$C$4:$R$498, 12, FALSE)</f>
        <v>83</v>
      </c>
      <c r="J194" s="11" t="str">
        <f>VLOOKUP($G194, SeanRanks!$A$2:$H$303, 5, FALSE)</f>
        <v>Yes</v>
      </c>
      <c r="K194" s="11" t="str">
        <f>IF(VLOOKUP($G194, SeanRanks!$A$2:$H$303, 6, FALSE)=0, "", VLOOKUP($G194, SeanRanks!$A$2:$H$303, 6, FALSE))</f>
        <v>RB3 - 1 - Upside</v>
      </c>
      <c r="L194" s="11">
        <f t="shared" si="5"/>
        <v>13</v>
      </c>
      <c r="M194" s="11">
        <f>VLOOKUP($G194, 'ADP Data'!$C$4:$Q$300, 9, FALSE)</f>
        <v>103</v>
      </c>
      <c r="N194" s="11">
        <f t="shared" si="6"/>
        <v>-1</v>
      </c>
      <c r="O194" s="11">
        <f>VLOOKUP($G194, 'ADP Data'!$C$4:$Q$300, 3, FALSE)</f>
        <v>98</v>
      </c>
      <c r="P194" s="11">
        <f t="shared" si="7"/>
        <v>5</v>
      </c>
      <c r="Q194" s="11">
        <f>VLOOKUP($G194, 'ADP Data'!$C$4:$Q$300, 4, FALSE)</f>
        <v>122</v>
      </c>
      <c r="R194" s="11">
        <f>VLOOKUP($G194, 'ADP Data'!$C$4:$Q$300, 5, FALSE)</f>
        <v>107</v>
      </c>
      <c r="S194" s="11">
        <f>VLOOKUP($G194, 'ADP Data'!$C$4:$Q$300, 6, FALSE)</f>
        <v>88</v>
      </c>
      <c r="T194" s="11">
        <f>VLOOKUP($G194, 'ADP Data'!$C$4:$Q$300, 7, FALSE)</f>
        <v>89</v>
      </c>
      <c r="U194" s="11">
        <f>VLOOKUP($G194, 'ADP Data'!$C$4:$Q$300, 8, FALSE)</f>
        <v>122</v>
      </c>
      <c r="V194" s="11">
        <f t="shared" si="8"/>
        <v>104</v>
      </c>
      <c r="W194" s="11">
        <f t="shared" si="9"/>
        <v>14</v>
      </c>
      <c r="X194" s="11">
        <f t="shared" si="10"/>
        <v>-14</v>
      </c>
      <c r="Y194" s="11">
        <f>VLOOKUP($G194, SeanRanks!$A$2:$K$303, 10, FALSE)-V194</f>
        <v>-33</v>
      </c>
      <c r="Z194" s="29">
        <f>IF(VLOOKUP($G194, SeanRanks!$A$2:$H$303, 7, FALSE)=0, "", VLOOKUP($G194, SeanRanks!$A$2:$H$303, 7, FALSE))</f>
        <v>28</v>
      </c>
    </row>
    <row r="195" ht="14.25" customHeight="1">
      <c r="A195" s="11"/>
      <c r="B195" s="11">
        <f t="shared" si="4"/>
        <v>19</v>
      </c>
      <c r="C195" s="11" t="s">
        <v>106</v>
      </c>
      <c r="D195" s="11"/>
      <c r="E195" s="11"/>
      <c r="F195" s="11" t="str">
        <f>VLOOKUP(G195, SeanRanks!$A$2:$E$302, 4, FALSE)</f>
        <v>#N/A</v>
      </c>
      <c r="G195" s="11" t="s">
        <v>904</v>
      </c>
      <c r="H195" s="11" t="str">
        <f>VLOOKUP($G195, 'ADP Data'!$C$4:$Q$300, 2, FALSE)</f>
        <v>CIN</v>
      </c>
      <c r="I195" s="11" t="str">
        <f>VLOOKUP(G195, 'ADP Data'!$C$4:$R$498, 12, FALSE)</f>
        <v>-</v>
      </c>
      <c r="J195" s="11" t="str">
        <f>VLOOKUP($G195, SeanRanks!$A$2:$H$303, 5, FALSE)</f>
        <v>#N/A</v>
      </c>
      <c r="K195" s="11" t="str">
        <f>IF(VLOOKUP($G195, SeanRanks!$A$2:$H$303, 6, FALSE)=0, "", VLOOKUP($G195, SeanRanks!$A$2:$H$303, 6, FALSE))</f>
        <v>#N/A</v>
      </c>
      <c r="L195" s="11">
        <f t="shared" si="5"/>
        <v>16</v>
      </c>
      <c r="M195" s="11" t="str">
        <f>VLOOKUP($G195, 'ADP Data'!$C$4:$Q$300, 9, FALSE)</f>
        <v>-</v>
      </c>
      <c r="N195" s="11" t="str">
        <f t="shared" si="6"/>
        <v>#VALUE!</v>
      </c>
      <c r="O195" s="11" t="str">
        <f>VLOOKUP($G195, 'ADP Data'!$C$4:$Q$300, 3, FALSE)</f>
        <v>-</v>
      </c>
      <c r="P195" s="11" t="str">
        <f t="shared" si="7"/>
        <v>#VALUE!</v>
      </c>
      <c r="Q195" s="11">
        <f>VLOOKUP($G195, 'ADP Data'!$C$4:$Q$300, 4, FALSE)</f>
        <v>223</v>
      </c>
      <c r="R195" s="11" t="str">
        <f>VLOOKUP($G195, 'ADP Data'!$C$4:$Q$300, 5, FALSE)</f>
        <v>-</v>
      </c>
      <c r="S195" s="11">
        <f>VLOOKUP($G195, 'ADP Data'!$C$4:$Q$300, 6, FALSE)</f>
        <v>323</v>
      </c>
      <c r="T195" s="11">
        <f>VLOOKUP($G195, 'ADP Data'!$C$4:$Q$300, 7, FALSE)</f>
        <v>267</v>
      </c>
      <c r="U195" s="11">
        <f>VLOOKUP($G195, 'ADP Data'!$C$4:$Q$300, 8, FALSE)</f>
        <v>97</v>
      </c>
      <c r="V195" s="11">
        <f t="shared" si="8"/>
        <v>227</v>
      </c>
      <c r="W195" s="11">
        <f t="shared" si="9"/>
        <v>29</v>
      </c>
      <c r="X195" s="11">
        <f t="shared" si="10"/>
        <v>-29</v>
      </c>
      <c r="Y195" s="11" t="str">
        <f>VLOOKUP($G195, SeanRanks!$A$2:$K$303, 10, FALSE)-V195</f>
        <v>#N/A</v>
      </c>
      <c r="Z195" s="29" t="str">
        <f>IF(VLOOKUP($G195, SeanRanks!$A$2:$H$303, 7, FALSE)=0, "", VLOOKUP($G195, SeanRanks!$A$2:$H$303, 7, FALSE))</f>
        <v>#N/A</v>
      </c>
    </row>
    <row r="196" ht="14.25" customHeight="1">
      <c r="A196" s="11"/>
      <c r="B196" s="11">
        <f t="shared" si="4"/>
        <v>8</v>
      </c>
      <c r="C196" s="11" t="s">
        <v>106</v>
      </c>
      <c r="D196" s="11"/>
      <c r="E196" s="11"/>
      <c r="F196" s="11" t="str">
        <f>VLOOKUP(G196, SeanRanks!$A$2:$E$302, 4, FALSE)</f>
        <v/>
      </c>
      <c r="G196" s="11" t="s">
        <v>621</v>
      </c>
      <c r="H196" s="11" t="str">
        <f>VLOOKUP($G196, 'ADP Data'!$C$4:$Q$300, 2, FALSE)</f>
        <v>SF</v>
      </c>
      <c r="I196" s="11">
        <f>VLOOKUP(G196, 'ADP Data'!$C$4:$R$498, 12, FALSE)</f>
        <v>55</v>
      </c>
      <c r="J196" s="11" t="str">
        <f>VLOOKUP($G196, SeanRanks!$A$2:$H$303, 5, FALSE)</f>
        <v/>
      </c>
      <c r="K196" s="11" t="str">
        <f>IF(VLOOKUP($G196, SeanRanks!$A$2:$H$303, 6, FALSE)=0, "", VLOOKUP($G196, SeanRanks!$A$2:$H$303, 6, FALSE))</f>
        <v>WR3 - 2 - mid, but path to big upside</v>
      </c>
      <c r="L196" s="11">
        <f t="shared" si="5"/>
        <v>12</v>
      </c>
      <c r="M196" s="11">
        <f>VLOOKUP($G196, 'ADP Data'!$C$4:$Q$300, 9, FALSE)</f>
        <v>94</v>
      </c>
      <c r="N196" s="11">
        <f t="shared" si="6"/>
        <v>8</v>
      </c>
      <c r="O196" s="11">
        <f>VLOOKUP($G196, 'ADP Data'!$C$4:$Q$300, 3, FALSE)</f>
        <v>72</v>
      </c>
      <c r="P196" s="11">
        <f t="shared" si="7"/>
        <v>22</v>
      </c>
      <c r="Q196" s="11">
        <f>VLOOKUP($G196, 'ADP Data'!$C$4:$Q$300, 4, FALSE)</f>
        <v>93</v>
      </c>
      <c r="R196" s="11">
        <f>VLOOKUP($G196, 'ADP Data'!$C$4:$Q$300, 5, FALSE)</f>
        <v>106</v>
      </c>
      <c r="S196" s="11">
        <f>VLOOKUP($G196, 'ADP Data'!$C$4:$Q$300, 6, FALSE)</f>
        <v>67</v>
      </c>
      <c r="T196" s="11">
        <f>VLOOKUP($G196, 'ADP Data'!$C$4:$Q$300, 7, FALSE)</f>
        <v>65</v>
      </c>
      <c r="U196" s="11">
        <f>VLOOKUP($G196, 'ADP Data'!$C$4:$Q$300, 8, FALSE)</f>
        <v>110</v>
      </c>
      <c r="V196" s="11">
        <f t="shared" si="8"/>
        <v>86</v>
      </c>
      <c r="W196" s="11">
        <f t="shared" si="9"/>
        <v>11</v>
      </c>
      <c r="X196" s="11">
        <f t="shared" si="10"/>
        <v>-11</v>
      </c>
      <c r="Y196" s="11">
        <f>VLOOKUP($G196, SeanRanks!$A$2:$K$303, 10, FALSE)-V196</f>
        <v>-17</v>
      </c>
      <c r="Z196" s="29">
        <f>IF(VLOOKUP($G196, SeanRanks!$A$2:$H$303, 7, FALSE)=0, "", VLOOKUP($G196, SeanRanks!$A$2:$H$303, 7, FALSE))</f>
        <v>32</v>
      </c>
    </row>
    <row r="197" ht="14.25" customHeight="1">
      <c r="A197" s="11"/>
      <c r="B197" s="11">
        <f t="shared" si="4"/>
        <v>17</v>
      </c>
      <c r="C197" s="11" t="s">
        <v>106</v>
      </c>
      <c r="D197" s="11"/>
      <c r="E197" s="11"/>
      <c r="F197" s="11" t="str">
        <f>VLOOKUP(G197, SeanRanks!$A$2:$E$302, 4, FALSE)</f>
        <v/>
      </c>
      <c r="G197" s="11" t="s">
        <v>409</v>
      </c>
      <c r="H197" s="11" t="str">
        <f>VLOOKUP($G197, 'ADP Data'!$C$4:$Q$300, 2, FALSE)</f>
        <v>TEN</v>
      </c>
      <c r="I197" s="11">
        <f>VLOOKUP(G197, 'ADP Data'!$C$4:$R$498, 12, FALSE)</f>
        <v>165</v>
      </c>
      <c r="J197" s="11" t="str">
        <f>VLOOKUP($G197, SeanRanks!$A$2:$H$303, 5, FALSE)</f>
        <v/>
      </c>
      <c r="K197" s="11" t="str">
        <f>IF(VLOOKUP($G197, SeanRanks!$A$2:$H$303, 6, FALSE)=0, "", VLOOKUP($G197, SeanRanks!$A$2:$H$303, 6, FALSE))</f>
        <v/>
      </c>
      <c r="L197" s="11">
        <f t="shared" si="5"/>
        <v>27</v>
      </c>
      <c r="M197" s="11">
        <f>VLOOKUP($G197, 'ADP Data'!$C$4:$Q$300, 9, FALSE)</f>
        <v>208</v>
      </c>
      <c r="N197" s="11">
        <f t="shared" si="6"/>
        <v>6</v>
      </c>
      <c r="O197" s="11" t="str">
        <f>VLOOKUP($G197, 'ADP Data'!$C$4:$Q$300, 3, FALSE)</f>
        <v>-</v>
      </c>
      <c r="P197" s="11" t="str">
        <f t="shared" si="7"/>
        <v>#VALUE!</v>
      </c>
      <c r="Q197" s="11" t="str">
        <f>VLOOKUP($G197, 'ADP Data'!$C$4:$Q$300, 4, FALSE)</f>
        <v>-</v>
      </c>
      <c r="R197" s="11">
        <f>VLOOKUP($G197, 'ADP Data'!$C$4:$Q$300, 5, FALSE)</f>
        <v>249</v>
      </c>
      <c r="S197" s="11">
        <f>VLOOKUP($G197, 'ADP Data'!$C$4:$Q$300, 6, FALSE)</f>
        <v>150</v>
      </c>
      <c r="T197" s="11">
        <f>VLOOKUP($G197, 'ADP Data'!$C$4:$Q$300, 7, FALSE)</f>
        <v>187</v>
      </c>
      <c r="U197" s="11">
        <f>VLOOKUP($G197, 'ADP Data'!$C$4:$Q$300, 8, FALSE)</f>
        <v>218</v>
      </c>
      <c r="V197" s="11">
        <f t="shared" si="8"/>
        <v>202</v>
      </c>
      <c r="W197" s="11">
        <f t="shared" si="9"/>
        <v>26</v>
      </c>
      <c r="X197" s="11">
        <f t="shared" si="10"/>
        <v>-26</v>
      </c>
      <c r="Y197" s="11">
        <f>VLOOKUP($G197, SeanRanks!$A$2:$K$303, 10, FALSE)-V197</f>
        <v>-58</v>
      </c>
      <c r="Z197" s="29" t="str">
        <f>IF(VLOOKUP($G197, SeanRanks!$A$2:$H$303, 7, FALSE)=0, "", VLOOKUP($G197, SeanRanks!$A$2:$H$303, 7, FALSE))</f>
        <v/>
      </c>
    </row>
    <row r="198" ht="14.25" customHeight="1">
      <c r="A198" s="11"/>
      <c r="B198" s="11" t="str">
        <f t="shared" si="4"/>
        <v>#N/A</v>
      </c>
      <c r="C198" s="11" t="s">
        <v>106</v>
      </c>
      <c r="D198" s="11"/>
      <c r="E198" s="11"/>
      <c r="F198" s="11" t="str">
        <f>VLOOKUP(G198, SeanRanks!$A$2:$E$302, 4, FALSE)</f>
        <v/>
      </c>
      <c r="G198" s="11" t="s">
        <v>905</v>
      </c>
      <c r="H198" s="11" t="str">
        <f>VLOOKUP($G198, 'ADP Data'!$C$4:$Q$300, 2, FALSE)</f>
        <v>#N/A</v>
      </c>
      <c r="I198" s="11" t="str">
        <f>VLOOKUP(G198, 'ADP Data'!$C$4:$R$498, 12, FALSE)</f>
        <v>#N/A</v>
      </c>
      <c r="J198" s="11" t="str">
        <f>VLOOKUP($G198, SeanRanks!$A$2:$H$303, 5, FALSE)</f>
        <v/>
      </c>
      <c r="K198" s="11" t="str">
        <f>IF(VLOOKUP($G198, SeanRanks!$A$2:$H$303, 6, FALSE)=0, "", VLOOKUP($G198, SeanRanks!$A$2:$H$303, 6, FALSE))</f>
        <v/>
      </c>
      <c r="L198" s="11">
        <f t="shared" si="5"/>
        <v>16</v>
      </c>
      <c r="M198" s="11" t="str">
        <f>VLOOKUP($G198, 'ADP Data'!$C$4:$Q$300, 9, FALSE)</f>
        <v>#N/A</v>
      </c>
      <c r="N198" s="11" t="str">
        <f t="shared" si="6"/>
        <v>#N/A</v>
      </c>
      <c r="O198" s="11" t="str">
        <f>VLOOKUP($G198, 'ADP Data'!$C$4:$Q$300, 3, FALSE)</f>
        <v>#N/A</v>
      </c>
      <c r="P198" s="11" t="str">
        <f t="shared" si="7"/>
        <v>#N/A</v>
      </c>
      <c r="Q198" s="11" t="str">
        <f>VLOOKUP($G198, 'ADP Data'!$C$4:$Q$300, 4, FALSE)</f>
        <v>#N/A</v>
      </c>
      <c r="R198" s="11" t="str">
        <f>VLOOKUP($G198, 'ADP Data'!$C$4:$Q$300, 5, FALSE)</f>
        <v>#N/A</v>
      </c>
      <c r="S198" s="11" t="str">
        <f>VLOOKUP($G198, 'ADP Data'!$C$4:$Q$300, 6, FALSE)</f>
        <v>#N/A</v>
      </c>
      <c r="T198" s="11" t="str">
        <f>VLOOKUP($G198, 'ADP Data'!$C$4:$Q$300, 7, FALSE)</f>
        <v>#N/A</v>
      </c>
      <c r="U198" s="11" t="str">
        <f>VLOOKUP($G198, 'ADP Data'!$C$4:$Q$300, 8, FALSE)</f>
        <v>#N/A</v>
      </c>
      <c r="V198" s="11" t="str">
        <f t="shared" si="8"/>
        <v>#N/A</v>
      </c>
      <c r="W198" s="11">
        <f t="shared" si="9"/>
        <v>16</v>
      </c>
      <c r="X198" s="11">
        <f t="shared" si="10"/>
        <v>-16</v>
      </c>
      <c r="Y198" s="11" t="str">
        <f>VLOOKUP($G198, SeanRanks!$A$2:$K$303, 10, FALSE)-V198</f>
        <v>#N/A</v>
      </c>
      <c r="Z198" s="29" t="str">
        <f>IF(VLOOKUP($G198, SeanRanks!$A$2:$H$303, 7, FALSE)=0, "", VLOOKUP($G198, SeanRanks!$A$2:$H$303, 7, FALSE))</f>
        <v/>
      </c>
    </row>
    <row r="199" ht="14.25" customHeight="1">
      <c r="A199" s="11"/>
      <c r="B199" s="11" t="str">
        <f t="shared" si="4"/>
        <v>#N/A</v>
      </c>
      <c r="C199" s="11" t="s">
        <v>106</v>
      </c>
      <c r="D199" s="11"/>
      <c r="E199" s="11"/>
      <c r="F199" s="11" t="str">
        <f>VLOOKUP(G199, SeanRanks!$A$2:$E$302, 4, FALSE)</f>
        <v>#N/A</v>
      </c>
      <c r="G199" s="11" t="s">
        <v>540</v>
      </c>
      <c r="H199" s="11" t="str">
        <f>VLOOKUP($G199, 'ADP Data'!$C$4:$Q$300, 2, FALSE)</f>
        <v>#N/A</v>
      </c>
      <c r="I199" s="11" t="str">
        <f>VLOOKUP(G199, 'ADP Data'!$C$4:$R$498, 12, FALSE)</f>
        <v>#N/A</v>
      </c>
      <c r="J199" s="11" t="str">
        <f>VLOOKUP($G199, SeanRanks!$A$2:$H$303, 5, FALSE)</f>
        <v>#N/A</v>
      </c>
      <c r="K199" s="11" t="str">
        <f>IF(VLOOKUP($G199, SeanRanks!$A$2:$H$303, 6, FALSE)=0, "", VLOOKUP($G199, SeanRanks!$A$2:$H$303, 6, FALSE))</f>
        <v>#N/A</v>
      </c>
      <c r="L199" s="11">
        <f t="shared" si="5"/>
        <v>16</v>
      </c>
      <c r="M199" s="11" t="str">
        <f>VLOOKUP($G199, 'ADP Data'!$C$4:$Q$300, 9, FALSE)</f>
        <v>#N/A</v>
      </c>
      <c r="N199" s="11" t="str">
        <f t="shared" si="6"/>
        <v>#N/A</v>
      </c>
      <c r="O199" s="11" t="str">
        <f>VLOOKUP($G199, 'ADP Data'!$C$4:$Q$300, 3, FALSE)</f>
        <v>#N/A</v>
      </c>
      <c r="P199" s="11" t="str">
        <f t="shared" si="7"/>
        <v>#N/A</v>
      </c>
      <c r="Q199" s="11" t="str">
        <f>VLOOKUP($G199, 'ADP Data'!$C$4:$Q$300, 4, FALSE)</f>
        <v>#N/A</v>
      </c>
      <c r="R199" s="11" t="str">
        <f>VLOOKUP($G199, 'ADP Data'!$C$4:$Q$300, 5, FALSE)</f>
        <v>#N/A</v>
      </c>
      <c r="S199" s="11" t="str">
        <f>VLOOKUP($G199, 'ADP Data'!$C$4:$Q$300, 6, FALSE)</f>
        <v>#N/A</v>
      </c>
      <c r="T199" s="11" t="str">
        <f>VLOOKUP($G199, 'ADP Data'!$C$4:$Q$300, 7, FALSE)</f>
        <v>#N/A</v>
      </c>
      <c r="U199" s="11" t="str">
        <f>VLOOKUP($G199, 'ADP Data'!$C$4:$Q$300, 8, FALSE)</f>
        <v>#N/A</v>
      </c>
      <c r="V199" s="11" t="str">
        <f t="shared" si="8"/>
        <v>#N/A</v>
      </c>
      <c r="W199" s="11">
        <f t="shared" si="9"/>
        <v>16</v>
      </c>
      <c r="X199" s="11">
        <f t="shared" si="10"/>
        <v>-16</v>
      </c>
      <c r="Y199" s="11" t="str">
        <f>VLOOKUP($G199, SeanRanks!$A$2:$K$303, 10, FALSE)-V199</f>
        <v>#N/A</v>
      </c>
      <c r="Z199" s="29" t="str">
        <f>IF(VLOOKUP($G199, SeanRanks!$A$2:$H$303, 7, FALSE)=0, "", VLOOKUP($G199, SeanRanks!$A$2:$H$303, 7, FALSE))</f>
        <v>#N/A</v>
      </c>
    </row>
    <row r="200" ht="14.25" customHeight="1">
      <c r="A200" s="11"/>
      <c r="B200" s="11">
        <f t="shared" si="4"/>
        <v>13</v>
      </c>
      <c r="C200" s="11" t="s">
        <v>106</v>
      </c>
      <c r="D200" s="11"/>
      <c r="E200" s="11"/>
      <c r="F200" s="11" t="str">
        <f>VLOOKUP(G200, SeanRanks!$A$2:$E$302, 4, FALSE)</f>
        <v/>
      </c>
      <c r="G200" s="11" t="s">
        <v>906</v>
      </c>
      <c r="H200" s="11" t="str">
        <f>VLOOKUP($G200, 'ADP Data'!$C$4:$Q$300, 2, FALSE)</f>
        <v>DEN</v>
      </c>
      <c r="I200" s="11">
        <f>VLOOKUP(G200, 'ADP Data'!$C$4:$R$498, 12, FALSE)</f>
        <v>115</v>
      </c>
      <c r="J200" s="11" t="str">
        <f>VLOOKUP($G200, SeanRanks!$A$2:$H$303, 5, FALSE)</f>
        <v/>
      </c>
      <c r="K200" s="11" t="str">
        <f>IF(VLOOKUP($G200, SeanRanks!$A$2:$H$303, 6, FALSE)=0, "", VLOOKUP($G200, SeanRanks!$A$2:$H$303, 6, FALSE))</f>
        <v>WR6 - dart throw upside</v>
      </c>
      <c r="L200" s="11">
        <f t="shared" si="5"/>
        <v>18</v>
      </c>
      <c r="M200" s="11">
        <f>VLOOKUP($G200, 'ADP Data'!$C$4:$Q$300, 9, FALSE)</f>
        <v>140</v>
      </c>
      <c r="N200" s="11">
        <f t="shared" si="6"/>
        <v>-7</v>
      </c>
      <c r="O200" s="11">
        <f>VLOOKUP($G200, 'ADP Data'!$C$4:$Q$300, 3, FALSE)</f>
        <v>171</v>
      </c>
      <c r="P200" s="11">
        <f t="shared" si="7"/>
        <v>-31</v>
      </c>
      <c r="Q200" s="11">
        <f>VLOOKUP($G200, 'ADP Data'!$C$4:$Q$300, 4, FALSE)</f>
        <v>167</v>
      </c>
      <c r="R200" s="11">
        <f>VLOOKUP($G200, 'ADP Data'!$C$4:$Q$300, 5, FALSE)</f>
        <v>131</v>
      </c>
      <c r="S200" s="11">
        <f>VLOOKUP($G200, 'ADP Data'!$C$4:$Q$300, 6, FALSE)</f>
        <v>136</v>
      </c>
      <c r="T200" s="11">
        <f>VLOOKUP($G200, 'ADP Data'!$C$4:$Q$300, 7, FALSE)</f>
        <v>113</v>
      </c>
      <c r="U200" s="11">
        <f>VLOOKUP($G200, 'ADP Data'!$C$4:$Q$300, 8, FALSE)</f>
        <v>174</v>
      </c>
      <c r="V200" s="11">
        <f t="shared" si="8"/>
        <v>147</v>
      </c>
      <c r="W200" s="11">
        <f t="shared" si="9"/>
        <v>19</v>
      </c>
      <c r="X200" s="11">
        <f t="shared" si="10"/>
        <v>-19</v>
      </c>
      <c r="Y200" s="11">
        <f>VLOOKUP($G200, SeanRanks!$A$2:$K$303, 10, FALSE)-V200</f>
        <v>7</v>
      </c>
      <c r="Z200" s="29">
        <f>IF(VLOOKUP($G200, SeanRanks!$A$2:$H$303, 7, FALSE)=0, "", VLOOKUP($G200, SeanRanks!$A$2:$H$303, 7, FALSE))</f>
        <v>60</v>
      </c>
    </row>
    <row r="201" ht="14.25" customHeight="1">
      <c r="A201" s="11"/>
      <c r="B201" s="11" t="str">
        <f t="shared" si="4"/>
        <v>#N/A</v>
      </c>
      <c r="C201" s="11" t="s">
        <v>106</v>
      </c>
      <c r="D201" s="11"/>
      <c r="E201" s="11"/>
      <c r="F201" s="11" t="str">
        <f>VLOOKUP(G201, SeanRanks!$A$2:$E$302, 4, FALSE)</f>
        <v>#N/A</v>
      </c>
      <c r="G201" s="11" t="s">
        <v>907</v>
      </c>
      <c r="H201" s="11" t="str">
        <f>VLOOKUP($G201, 'ADP Data'!$C$4:$Q$300, 2, FALSE)</f>
        <v>#N/A</v>
      </c>
      <c r="I201" s="11" t="str">
        <f>VLOOKUP(G201, 'ADP Data'!$C$4:$R$498, 12, FALSE)</f>
        <v>#N/A</v>
      </c>
      <c r="J201" s="61" t="str">
        <f>VLOOKUP($G201, SeanRanks!$A$2:$H$303, 5, FALSE)</f>
        <v>#N/A</v>
      </c>
      <c r="K201" s="11" t="str">
        <f>IF(VLOOKUP($G201, SeanRanks!$A$2:$H$303, 6, FALSE)=0, "", VLOOKUP($G201, SeanRanks!$A$2:$H$303, 6, FALSE))</f>
        <v>#N/A</v>
      </c>
      <c r="L201" s="11">
        <f t="shared" si="5"/>
        <v>16</v>
      </c>
      <c r="M201" s="11" t="str">
        <f>VLOOKUP($G201, 'ADP Data'!$C$4:$Q$300, 9, FALSE)</f>
        <v>#N/A</v>
      </c>
      <c r="N201" s="11" t="str">
        <f t="shared" si="6"/>
        <v>#N/A</v>
      </c>
      <c r="O201" s="11" t="str">
        <f>VLOOKUP($G201, 'ADP Data'!$C$4:$Q$300, 3, FALSE)</f>
        <v>#N/A</v>
      </c>
      <c r="P201" s="11" t="str">
        <f t="shared" si="7"/>
        <v>#N/A</v>
      </c>
      <c r="Q201" s="11" t="str">
        <f>VLOOKUP($G201, 'ADP Data'!$C$4:$Q$300, 4, FALSE)</f>
        <v>#N/A</v>
      </c>
      <c r="R201" s="11" t="str">
        <f>VLOOKUP($G201, 'ADP Data'!$C$4:$Q$300, 5, FALSE)</f>
        <v>#N/A</v>
      </c>
      <c r="S201" s="11" t="str">
        <f>VLOOKUP($G201, 'ADP Data'!$C$4:$Q$300, 6, FALSE)</f>
        <v>#N/A</v>
      </c>
      <c r="T201" s="11" t="str">
        <f>VLOOKUP($G201, 'ADP Data'!$C$4:$Q$300, 7, FALSE)</f>
        <v>#N/A</v>
      </c>
      <c r="U201" s="11" t="str">
        <f>VLOOKUP($G201, 'ADP Data'!$C$4:$Q$300, 8, FALSE)</f>
        <v>#N/A</v>
      </c>
      <c r="V201" s="11" t="str">
        <f t="shared" si="8"/>
        <v>#N/A</v>
      </c>
      <c r="W201" s="11">
        <f t="shared" si="9"/>
        <v>16</v>
      </c>
      <c r="X201" s="11">
        <f t="shared" si="10"/>
        <v>-16</v>
      </c>
      <c r="Y201" s="11" t="str">
        <f>VLOOKUP($G201, SeanRanks!$A$2:$K$303, 10, FALSE)-V201</f>
        <v>#N/A</v>
      </c>
      <c r="Z201" s="29" t="str">
        <f>IF(VLOOKUP($G201, SeanRanks!$A$2:$H$303, 7, FALSE)=0, "", VLOOKUP($G201, SeanRanks!$A$2:$H$303, 7, FALSE))</f>
        <v>#N/A</v>
      </c>
    </row>
    <row r="202" ht="14.25" customHeight="1">
      <c r="A202" s="11"/>
      <c r="B202" s="11" t="str">
        <f t="shared" si="4"/>
        <v>#N/A</v>
      </c>
      <c r="C202" s="11" t="s">
        <v>106</v>
      </c>
      <c r="D202" s="11"/>
      <c r="E202" s="11"/>
      <c r="F202" s="11" t="str">
        <f>VLOOKUP(G202, SeanRanks!$A$2:$E$302, 4, FALSE)</f>
        <v>#N/A</v>
      </c>
      <c r="G202" s="11" t="s">
        <v>908</v>
      </c>
      <c r="H202" s="11" t="str">
        <f>VLOOKUP($G202, 'ADP Data'!$C$4:$Q$300, 2, FALSE)</f>
        <v>#N/A</v>
      </c>
      <c r="I202" s="11" t="str">
        <f>VLOOKUP(G202, 'ADP Data'!$C$4:$R$498, 12, FALSE)</f>
        <v>#N/A</v>
      </c>
      <c r="J202" s="11" t="str">
        <f>VLOOKUP($G202, SeanRanks!$A$2:$H$303, 5, FALSE)</f>
        <v>#N/A</v>
      </c>
      <c r="K202" s="11" t="str">
        <f>IF(VLOOKUP($G202, SeanRanks!$A$2:$H$303, 6, FALSE)=0, "", VLOOKUP($G202, SeanRanks!$A$2:$H$303, 6, FALSE))</f>
        <v>#N/A</v>
      </c>
      <c r="L202" s="11">
        <f t="shared" si="5"/>
        <v>16</v>
      </c>
      <c r="M202" s="11" t="str">
        <f>VLOOKUP($G202, 'ADP Data'!$C$4:$Q$300, 9, FALSE)</f>
        <v>#N/A</v>
      </c>
      <c r="N202" s="11" t="str">
        <f t="shared" si="6"/>
        <v>#N/A</v>
      </c>
      <c r="O202" s="11" t="str">
        <f>VLOOKUP($G202, 'ADP Data'!$C$4:$Q$300, 3, FALSE)</f>
        <v>#N/A</v>
      </c>
      <c r="P202" s="11" t="str">
        <f t="shared" si="7"/>
        <v>#N/A</v>
      </c>
      <c r="Q202" s="11" t="str">
        <f>VLOOKUP($G202, 'ADP Data'!$C$4:$Q$300, 4, FALSE)</f>
        <v>#N/A</v>
      </c>
      <c r="R202" s="11" t="str">
        <f>VLOOKUP($G202, 'ADP Data'!$C$4:$Q$300, 5, FALSE)</f>
        <v>#N/A</v>
      </c>
      <c r="S202" s="11" t="str">
        <f>VLOOKUP($G202, 'ADP Data'!$C$4:$Q$300, 6, FALSE)</f>
        <v>#N/A</v>
      </c>
      <c r="T202" s="11" t="str">
        <f>VLOOKUP($G202, 'ADP Data'!$C$4:$Q$300, 7, FALSE)</f>
        <v>#N/A</v>
      </c>
      <c r="U202" s="11" t="str">
        <f>VLOOKUP($G202, 'ADP Data'!$C$4:$Q$300, 8, FALSE)</f>
        <v>#N/A</v>
      </c>
      <c r="V202" s="11" t="str">
        <f t="shared" si="8"/>
        <v>#N/A</v>
      </c>
      <c r="W202" s="11">
        <f t="shared" si="9"/>
        <v>16</v>
      </c>
      <c r="X202" s="11">
        <f t="shared" si="10"/>
        <v>-16</v>
      </c>
      <c r="Y202" s="11" t="str">
        <f>VLOOKUP($G202, SeanRanks!$A$2:$K$303, 10, FALSE)-V202</f>
        <v>#N/A</v>
      </c>
      <c r="Z202" s="29" t="str">
        <f>IF(VLOOKUP($G202, SeanRanks!$A$2:$H$303, 7, FALSE)=0, "", VLOOKUP($G202, SeanRanks!$A$2:$H$303, 7, FALSE))</f>
        <v>#N/A</v>
      </c>
    </row>
    <row r="203" ht="14.25" customHeight="1">
      <c r="A203" s="11"/>
      <c r="B203" s="11">
        <f t="shared" si="4"/>
        <v>16</v>
      </c>
      <c r="C203" s="11" t="s">
        <v>106</v>
      </c>
      <c r="D203" s="11"/>
      <c r="E203" s="11"/>
      <c r="F203" s="11" t="str">
        <f>VLOOKUP(G203, SeanRanks!$A$2:$E$302, 4, FALSE)</f>
        <v/>
      </c>
      <c r="G203" s="11" t="s">
        <v>308</v>
      </c>
      <c r="H203" s="11" t="str">
        <f>VLOOKUP($G203, 'ADP Data'!$C$4:$Q$300, 2, FALSE)</f>
        <v>NYG</v>
      </c>
      <c r="I203" s="11">
        <f>VLOOKUP(G203, 'ADP Data'!$C$4:$R$498, 12, FALSE)</f>
        <v>166</v>
      </c>
      <c r="J203" s="11" t="str">
        <f>VLOOKUP($G203, SeanRanks!$A$2:$H$303, 5, FALSE)</f>
        <v/>
      </c>
      <c r="K203" s="11" t="str">
        <f>IF(VLOOKUP($G203, SeanRanks!$A$2:$H$303, 6, FALSE)=0, "", VLOOKUP($G203, SeanRanks!$A$2:$H$303, 6, FALSE))</f>
        <v/>
      </c>
      <c r="L203" s="11">
        <f t="shared" si="5"/>
        <v>26</v>
      </c>
      <c r="M203" s="11">
        <f>VLOOKUP($G203, 'ADP Data'!$C$4:$Q$300, 9, FALSE)</f>
        <v>206</v>
      </c>
      <c r="N203" s="11">
        <f t="shared" si="6"/>
        <v>19</v>
      </c>
      <c r="O203" s="11">
        <f>VLOOKUP($G203, 'ADP Data'!$C$4:$Q$300, 3, FALSE)</f>
        <v>165</v>
      </c>
      <c r="P203" s="11">
        <f t="shared" si="7"/>
        <v>41</v>
      </c>
      <c r="Q203" s="11">
        <f>VLOOKUP($G203, 'ADP Data'!$C$4:$Q$300, 4, FALSE)</f>
        <v>174</v>
      </c>
      <c r="R203" s="11">
        <f>VLOOKUP($G203, 'ADP Data'!$C$4:$Q$300, 5, FALSE)</f>
        <v>206</v>
      </c>
      <c r="S203" s="11">
        <f>VLOOKUP($G203, 'ADP Data'!$C$4:$Q$300, 6, FALSE)</f>
        <v>169</v>
      </c>
      <c r="T203" s="11">
        <f>VLOOKUP($G203, 'ADP Data'!$C$4:$Q$300, 7, FALSE)</f>
        <v>146</v>
      </c>
      <c r="U203" s="11">
        <f>VLOOKUP($G203, 'ADP Data'!$C$4:$Q$300, 8, FALSE)</f>
        <v>249</v>
      </c>
      <c r="V203" s="11">
        <f t="shared" si="8"/>
        <v>187</v>
      </c>
      <c r="W203" s="11">
        <f t="shared" si="9"/>
        <v>24</v>
      </c>
      <c r="X203" s="11">
        <f t="shared" si="10"/>
        <v>-24</v>
      </c>
      <c r="Y203" s="11">
        <f>VLOOKUP($G203, SeanRanks!$A$2:$K$303, 10, FALSE)-V203</f>
        <v>-19</v>
      </c>
      <c r="Z203" s="29" t="str">
        <f>IF(VLOOKUP($G203, SeanRanks!$A$2:$H$303, 7, FALSE)=0, "", VLOOKUP($G203, SeanRanks!$A$2:$H$303, 7, FALSE))</f>
        <v/>
      </c>
    </row>
    <row r="204" ht="14.25" customHeight="1">
      <c r="A204" s="11"/>
      <c r="B204" s="11">
        <f t="shared" si="4"/>
        <v>19</v>
      </c>
      <c r="C204" s="11" t="s">
        <v>106</v>
      </c>
      <c r="D204" s="11"/>
      <c r="E204" s="11"/>
      <c r="F204" s="11" t="str">
        <f>VLOOKUP(G204, SeanRanks!$A$2:$E$302, 4, FALSE)</f>
        <v/>
      </c>
      <c r="G204" s="11" t="s">
        <v>280</v>
      </c>
      <c r="H204" s="11" t="str">
        <f>VLOOKUP($G204, 'ADP Data'!$C$4:$Q$300, 2, FALSE)</f>
        <v>LAC</v>
      </c>
      <c r="I204" s="11">
        <f>VLOOKUP(G204, 'ADP Data'!$C$4:$R$498, 12, FALSE)</f>
        <v>204</v>
      </c>
      <c r="J204" s="11" t="str">
        <f>VLOOKUP($G204, SeanRanks!$A$2:$H$303, 5, FALSE)</f>
        <v/>
      </c>
      <c r="K204" s="11" t="str">
        <f>IF(VLOOKUP($G204, SeanRanks!$A$2:$H$303, 6, FALSE)=0, "", VLOOKUP($G204, SeanRanks!$A$2:$H$303, 6, FALSE))</f>
        <v/>
      </c>
      <c r="L204" s="11">
        <f t="shared" si="5"/>
        <v>27</v>
      </c>
      <c r="M204" s="11">
        <f>VLOOKUP($G204, 'ADP Data'!$C$4:$Q$300, 9, FALSE)</f>
        <v>212</v>
      </c>
      <c r="N204" s="11">
        <f t="shared" si="6"/>
        <v>-8</v>
      </c>
      <c r="O204" s="11">
        <f>VLOOKUP($G204, 'ADP Data'!$C$4:$Q$300, 3, FALSE)</f>
        <v>197</v>
      </c>
      <c r="P204" s="11">
        <f t="shared" si="7"/>
        <v>15</v>
      </c>
      <c r="Q204" s="11" t="str">
        <f>VLOOKUP($G204, 'ADP Data'!$C$4:$Q$300, 4, FALSE)</f>
        <v>-</v>
      </c>
      <c r="R204" s="11">
        <f>VLOOKUP($G204, 'ADP Data'!$C$4:$Q$300, 5, FALSE)</f>
        <v>227</v>
      </c>
      <c r="S204" s="11">
        <f>VLOOKUP($G204, 'ADP Data'!$C$4:$Q$300, 6, FALSE)</f>
        <v>226</v>
      </c>
      <c r="T204" s="11">
        <f>VLOOKUP($G204, 'ADP Data'!$C$4:$Q$300, 7, FALSE)</f>
        <v>180</v>
      </c>
      <c r="U204" s="11">
        <f>VLOOKUP($G204, 'ADP Data'!$C$4:$Q$300, 8, FALSE)</f>
        <v>278</v>
      </c>
      <c r="V204" s="11">
        <f t="shared" si="8"/>
        <v>220</v>
      </c>
      <c r="W204" s="11">
        <f t="shared" si="9"/>
        <v>28</v>
      </c>
      <c r="X204" s="11">
        <f t="shared" si="10"/>
        <v>-28</v>
      </c>
      <c r="Y204" s="11">
        <f>VLOOKUP($G204, SeanRanks!$A$2:$K$303, 10, FALSE)-V204</f>
        <v>16</v>
      </c>
      <c r="Z204" s="29" t="str">
        <f>IF(VLOOKUP($G204, SeanRanks!$A$2:$H$303, 7, FALSE)=0, "", VLOOKUP($G204, SeanRanks!$A$2:$H$303, 7, FALSE))</f>
        <v/>
      </c>
    </row>
    <row r="205" ht="14.25" customHeight="1">
      <c r="A205" s="11"/>
      <c r="B205" s="11" t="str">
        <f t="shared" si="4"/>
        <v>#N/A</v>
      </c>
      <c r="C205" s="11" t="s">
        <v>106</v>
      </c>
      <c r="D205" s="11"/>
      <c r="E205" s="11"/>
      <c r="F205" s="11" t="str">
        <f>VLOOKUP(G205, SeanRanks!$A$2:$E$302, 4, FALSE)</f>
        <v>#N/A</v>
      </c>
      <c r="G205" s="11" t="s">
        <v>909</v>
      </c>
      <c r="H205" s="11" t="str">
        <f>VLOOKUP($G205, 'ADP Data'!$C$4:$Q$300, 2, FALSE)</f>
        <v>#N/A</v>
      </c>
      <c r="I205" s="11" t="str">
        <f>VLOOKUP(G205, 'ADP Data'!$C$4:$R$498, 12, FALSE)</f>
        <v>#N/A</v>
      </c>
      <c r="J205" s="11" t="str">
        <f>VLOOKUP($G205, SeanRanks!$A$2:$H$303, 5, FALSE)</f>
        <v>#N/A</v>
      </c>
      <c r="K205" s="11" t="str">
        <f>IF(VLOOKUP($G205, SeanRanks!$A$2:$H$303, 6, FALSE)=0, "", VLOOKUP($G205, SeanRanks!$A$2:$H$303, 6, FALSE))</f>
        <v>#N/A</v>
      </c>
      <c r="L205" s="11">
        <f t="shared" si="5"/>
        <v>16</v>
      </c>
      <c r="M205" s="11" t="str">
        <f>VLOOKUP($G205, 'ADP Data'!$C$4:$Q$300, 9, FALSE)</f>
        <v>#N/A</v>
      </c>
      <c r="N205" s="11" t="str">
        <f t="shared" si="6"/>
        <v>#N/A</v>
      </c>
      <c r="O205" s="11" t="str">
        <f>VLOOKUP($G205, 'ADP Data'!$C$4:$Q$300, 3, FALSE)</f>
        <v>#N/A</v>
      </c>
      <c r="P205" s="11" t="str">
        <f t="shared" si="7"/>
        <v>#N/A</v>
      </c>
      <c r="Q205" s="11" t="str">
        <f>VLOOKUP($G205, 'ADP Data'!$C$4:$Q$300, 4, FALSE)</f>
        <v>#N/A</v>
      </c>
      <c r="R205" s="11" t="str">
        <f>VLOOKUP($G205, 'ADP Data'!$C$4:$Q$300, 5, FALSE)</f>
        <v>#N/A</v>
      </c>
      <c r="S205" s="11" t="str">
        <f>VLOOKUP($G205, 'ADP Data'!$C$4:$Q$300, 6, FALSE)</f>
        <v>#N/A</v>
      </c>
      <c r="T205" s="11" t="str">
        <f>VLOOKUP($G205, 'ADP Data'!$C$4:$Q$300, 7, FALSE)</f>
        <v>#N/A</v>
      </c>
      <c r="U205" s="11" t="str">
        <f>VLOOKUP($G205, 'ADP Data'!$C$4:$Q$300, 8, FALSE)</f>
        <v>#N/A</v>
      </c>
      <c r="V205" s="11" t="str">
        <f t="shared" si="8"/>
        <v>#N/A</v>
      </c>
      <c r="W205" s="11">
        <f t="shared" si="9"/>
        <v>16</v>
      </c>
      <c r="X205" s="11">
        <f t="shared" si="10"/>
        <v>-16</v>
      </c>
      <c r="Y205" s="11" t="str">
        <f>VLOOKUP($G205, SeanRanks!$A$2:$K$303, 10, FALSE)-V205</f>
        <v>#N/A</v>
      </c>
      <c r="Z205" s="29" t="str">
        <f>IF(VLOOKUP($G205, SeanRanks!$A$2:$H$303, 7, FALSE)=0, "", VLOOKUP($G205, SeanRanks!$A$2:$H$303, 7, FALSE))</f>
        <v>#N/A</v>
      </c>
    </row>
    <row r="206" ht="14.25" customHeight="1">
      <c r="A206" s="11"/>
      <c r="B206" s="11">
        <f t="shared" si="4"/>
        <v>17</v>
      </c>
      <c r="C206" s="11" t="s">
        <v>106</v>
      </c>
      <c r="D206" s="11"/>
      <c r="E206" s="11"/>
      <c r="F206" s="11" t="str">
        <f>VLOOKUP(G206, SeanRanks!$A$2:$E$302, 4, FALSE)</f>
        <v/>
      </c>
      <c r="G206" s="11" t="s">
        <v>538</v>
      </c>
      <c r="H206" s="11" t="str">
        <f>VLOOKUP($G206, 'ADP Data'!$C$4:$Q$300, 2, FALSE)</f>
        <v>DET</v>
      </c>
      <c r="I206" s="11" t="str">
        <f>VLOOKUP(G206, 'ADP Data'!$C$4:$R$498, 12, FALSE)</f>
        <v>-</v>
      </c>
      <c r="J206" s="11" t="str">
        <f>VLOOKUP($G206, SeanRanks!$A$2:$H$303, 5, FALSE)</f>
        <v/>
      </c>
      <c r="K206" s="11" t="str">
        <f>IF(VLOOKUP($G206, SeanRanks!$A$2:$H$303, 6, FALSE)=0, "", VLOOKUP($G206, SeanRanks!$A$2:$H$303, 6, FALSE))</f>
        <v/>
      </c>
      <c r="L206" s="11">
        <f t="shared" si="5"/>
        <v>24</v>
      </c>
      <c r="M206" s="11">
        <f>VLOOKUP($G206, 'ADP Data'!$C$4:$Q$300, 9, FALSE)</f>
        <v>187</v>
      </c>
      <c r="N206" s="11">
        <f t="shared" si="6"/>
        <v>-8</v>
      </c>
      <c r="O206" s="11">
        <f>VLOOKUP($G206, 'ADP Data'!$C$4:$Q$300, 3, FALSE)</f>
        <v>178</v>
      </c>
      <c r="P206" s="11">
        <f t="shared" si="7"/>
        <v>9</v>
      </c>
      <c r="Q206" s="11">
        <f>VLOOKUP($G206, 'ADP Data'!$C$4:$Q$300, 4, FALSE)</f>
        <v>136</v>
      </c>
      <c r="R206" s="11">
        <f>VLOOKUP($G206, 'ADP Data'!$C$4:$Q$300, 5, FALSE)</f>
        <v>257</v>
      </c>
      <c r="S206" s="11">
        <f>VLOOKUP($G206, 'ADP Data'!$C$4:$Q$300, 6, FALSE)</f>
        <v>254</v>
      </c>
      <c r="T206" s="11">
        <f>VLOOKUP($G206, 'ADP Data'!$C$4:$Q$300, 7, FALSE)</f>
        <v>201</v>
      </c>
      <c r="U206" s="11">
        <f>VLOOKUP($G206, 'ADP Data'!$C$4:$Q$300, 8, FALSE)</f>
        <v>152</v>
      </c>
      <c r="V206" s="11">
        <f t="shared" si="8"/>
        <v>195</v>
      </c>
      <c r="W206" s="11">
        <f t="shared" si="9"/>
        <v>25</v>
      </c>
      <c r="X206" s="11">
        <f t="shared" si="10"/>
        <v>-25</v>
      </c>
      <c r="Y206" s="11">
        <f>VLOOKUP($G206, SeanRanks!$A$2:$K$303, 10, FALSE)-V206</f>
        <v>-9</v>
      </c>
      <c r="Z206" s="29" t="str">
        <f>IF(VLOOKUP($G206, SeanRanks!$A$2:$H$303, 7, FALSE)=0, "", VLOOKUP($G206, SeanRanks!$A$2:$H$303, 7, FALSE))</f>
        <v/>
      </c>
    </row>
    <row r="207" ht="14.25" customHeight="1">
      <c r="A207" s="11"/>
      <c r="B207" s="11">
        <f t="shared" si="4"/>
        <v>16</v>
      </c>
      <c r="C207" s="11" t="s">
        <v>106</v>
      </c>
      <c r="D207" s="11"/>
      <c r="E207" s="11"/>
      <c r="F207" s="11" t="str">
        <f>VLOOKUP(G207, SeanRanks!$A$2:$E$302, 4, FALSE)</f>
        <v/>
      </c>
      <c r="G207" s="11" t="s">
        <v>481</v>
      </c>
      <c r="H207" s="11" t="str">
        <f>VLOOKUP($G207, 'ADP Data'!$C$4:$Q$300, 2, FALSE)</f>
        <v>CAR</v>
      </c>
      <c r="I207" s="11">
        <f>VLOOKUP(G207, 'ADP Data'!$C$4:$R$498, 12, FALSE)</f>
        <v>146</v>
      </c>
      <c r="J207" s="11" t="str">
        <f>VLOOKUP($G207, SeanRanks!$A$2:$H$303, 5, FALSE)</f>
        <v/>
      </c>
      <c r="K207" s="11" t="str">
        <f>IF(VLOOKUP($G207, SeanRanks!$A$2:$H$303, 6, FALSE)=0, "", VLOOKUP($G207, SeanRanks!$A$2:$H$303, 6, FALSE))</f>
        <v>QB3 - League Winner?</v>
      </c>
      <c r="L207" s="11">
        <f t="shared" si="5"/>
        <v>26</v>
      </c>
      <c r="M207" s="11">
        <f>VLOOKUP($G207, 'ADP Data'!$C$4:$Q$300, 9, FALSE)</f>
        <v>201</v>
      </c>
      <c r="N207" s="11">
        <f t="shared" si="6"/>
        <v>17</v>
      </c>
      <c r="O207" s="11">
        <f>VLOOKUP($G207, 'ADP Data'!$C$4:$Q$300, 3, FALSE)</f>
        <v>190</v>
      </c>
      <c r="P207" s="11">
        <f t="shared" si="7"/>
        <v>11</v>
      </c>
      <c r="Q207" s="11">
        <f>VLOOKUP($G207, 'ADP Data'!$C$4:$Q$300, 4, FALSE)</f>
        <v>193</v>
      </c>
      <c r="R207" s="11">
        <f>VLOOKUP($G207, 'ADP Data'!$C$4:$Q$300, 5, FALSE)</f>
        <v>187</v>
      </c>
      <c r="S207" s="11">
        <f>VLOOKUP($G207, 'ADP Data'!$C$4:$Q$300, 6, FALSE)</f>
        <v>170</v>
      </c>
      <c r="T207" s="11">
        <f>VLOOKUP($G207, 'ADP Data'!$C$4:$Q$300, 7, FALSE)</f>
        <v>157</v>
      </c>
      <c r="U207" s="11">
        <f>VLOOKUP($G207, 'ADP Data'!$C$4:$Q$300, 8, FALSE)</f>
        <v>194</v>
      </c>
      <c r="V207" s="11">
        <f t="shared" si="8"/>
        <v>184</v>
      </c>
      <c r="W207" s="11">
        <f t="shared" si="9"/>
        <v>24</v>
      </c>
      <c r="X207" s="11">
        <f t="shared" si="10"/>
        <v>-24</v>
      </c>
      <c r="Y207" s="11">
        <f>VLOOKUP($G207, SeanRanks!$A$2:$K$303, 10, FALSE)-V207</f>
        <v>-48</v>
      </c>
      <c r="Z207" s="29">
        <f>IF(VLOOKUP($G207, SeanRanks!$A$2:$H$303, 7, FALSE)=0, "", VLOOKUP($G207, SeanRanks!$A$2:$H$303, 7, FALSE))</f>
        <v>21</v>
      </c>
    </row>
    <row r="208" ht="14.25" customHeight="1">
      <c r="A208" s="11"/>
      <c r="B208" s="11" t="str">
        <f t="shared" si="4"/>
        <v>#N/A</v>
      </c>
      <c r="C208" s="11" t="s">
        <v>106</v>
      </c>
      <c r="D208" s="11"/>
      <c r="E208" s="11"/>
      <c r="F208" s="11" t="str">
        <f>VLOOKUP(G208, SeanRanks!$A$2:$E$302, 4, FALSE)</f>
        <v>#N/A</v>
      </c>
      <c r="G208" s="11" t="s">
        <v>732</v>
      </c>
      <c r="H208" s="11" t="str">
        <f>VLOOKUP($G208, 'ADP Data'!$C$4:$Q$300, 2, FALSE)</f>
        <v>#N/A</v>
      </c>
      <c r="I208" s="11" t="str">
        <f>VLOOKUP(G208, 'ADP Data'!$C$4:$R$498, 12, FALSE)</f>
        <v>#N/A</v>
      </c>
      <c r="J208" s="11" t="str">
        <f>VLOOKUP($G208, SeanRanks!$A$2:$H$303, 5, FALSE)</f>
        <v>#N/A</v>
      </c>
      <c r="K208" s="11" t="str">
        <f>IF(VLOOKUP($G208, SeanRanks!$A$2:$H$303, 6, FALSE)=0, "", VLOOKUP($G208, SeanRanks!$A$2:$H$303, 6, FALSE))</f>
        <v>#N/A</v>
      </c>
      <c r="L208" s="11">
        <f t="shared" si="5"/>
        <v>16</v>
      </c>
      <c r="M208" s="11" t="str">
        <f>VLOOKUP($G208, 'ADP Data'!$C$4:$Q$300, 9, FALSE)</f>
        <v>#N/A</v>
      </c>
      <c r="N208" s="11" t="str">
        <f t="shared" si="6"/>
        <v>#N/A</v>
      </c>
      <c r="O208" s="11" t="str">
        <f>VLOOKUP($G208, 'ADP Data'!$C$4:$Q$300, 3, FALSE)</f>
        <v>#N/A</v>
      </c>
      <c r="P208" s="11" t="str">
        <f t="shared" si="7"/>
        <v>#N/A</v>
      </c>
      <c r="Q208" s="11" t="str">
        <f>VLOOKUP($G208, 'ADP Data'!$C$4:$Q$300, 4, FALSE)</f>
        <v>#N/A</v>
      </c>
      <c r="R208" s="11" t="str">
        <f>VLOOKUP($G208, 'ADP Data'!$C$4:$Q$300, 5, FALSE)</f>
        <v>#N/A</v>
      </c>
      <c r="S208" s="11" t="str">
        <f>VLOOKUP($G208, 'ADP Data'!$C$4:$Q$300, 6, FALSE)</f>
        <v>#N/A</v>
      </c>
      <c r="T208" s="11" t="str">
        <f>VLOOKUP($G208, 'ADP Data'!$C$4:$Q$300, 7, FALSE)</f>
        <v>#N/A</v>
      </c>
      <c r="U208" s="11" t="str">
        <f>VLOOKUP($G208, 'ADP Data'!$C$4:$Q$300, 8, FALSE)</f>
        <v>#N/A</v>
      </c>
      <c r="V208" s="11" t="str">
        <f t="shared" si="8"/>
        <v>#N/A</v>
      </c>
      <c r="W208" s="11">
        <f t="shared" si="9"/>
        <v>16</v>
      </c>
      <c r="X208" s="11">
        <f t="shared" si="10"/>
        <v>-16</v>
      </c>
      <c r="Y208" s="11" t="str">
        <f>VLOOKUP($G208, SeanRanks!$A$2:$K$303, 10, FALSE)-V208</f>
        <v>#N/A</v>
      </c>
      <c r="Z208" s="29" t="str">
        <f>IF(VLOOKUP($G208, SeanRanks!$A$2:$H$303, 7, FALSE)=0, "", VLOOKUP($G208, SeanRanks!$A$2:$H$303, 7, FALSE))</f>
        <v>#N/A</v>
      </c>
    </row>
    <row r="209" ht="14.25" customHeight="1">
      <c r="A209" s="11"/>
      <c r="B209" s="11">
        <f t="shared" si="4"/>
        <v>14</v>
      </c>
      <c r="C209" s="11" t="s">
        <v>106</v>
      </c>
      <c r="D209" s="11"/>
      <c r="E209" s="11"/>
      <c r="F209" s="11" t="str">
        <f>VLOOKUP(G209, SeanRanks!$A$2:$E$302, 4, FALSE)</f>
        <v/>
      </c>
      <c r="G209" s="11" t="s">
        <v>910</v>
      </c>
      <c r="H209" s="11" t="str">
        <f>VLOOKUP($G209, 'ADP Data'!$C$4:$Q$300, 2, FALSE)</f>
        <v>PIT</v>
      </c>
      <c r="I209" s="11">
        <f>VLOOKUP(G209, 'ADP Data'!$C$4:$R$498, 12, FALSE)</f>
        <v>189</v>
      </c>
      <c r="J209" s="11" t="str">
        <f>VLOOKUP($G209, SeanRanks!$A$2:$H$303, 5, FALSE)</f>
        <v/>
      </c>
      <c r="K209" s="11" t="str">
        <f>IF(VLOOKUP($G209, SeanRanks!$A$2:$H$303, 6, FALSE)=0, "", VLOOKUP($G209, SeanRanks!$A$2:$H$303, 6, FALSE))</f>
        <v/>
      </c>
      <c r="L209" s="11">
        <f t="shared" si="5"/>
        <v>14</v>
      </c>
      <c r="M209" s="11">
        <f>VLOOKUP($G209, 'ADP Data'!$C$4:$Q$300, 9, FALSE)</f>
        <v>110</v>
      </c>
      <c r="N209" s="11">
        <f t="shared" si="6"/>
        <v>-47</v>
      </c>
      <c r="O209" s="11">
        <f>VLOOKUP($G209, 'ADP Data'!$C$4:$Q$300, 3, FALSE)</f>
        <v>183</v>
      </c>
      <c r="P209" s="11">
        <f t="shared" si="7"/>
        <v>-73</v>
      </c>
      <c r="Q209" s="11">
        <f>VLOOKUP($G209, 'ADP Data'!$C$4:$Q$300, 4, FALSE)</f>
        <v>186</v>
      </c>
      <c r="R209" s="11">
        <f>VLOOKUP($G209, 'ADP Data'!$C$4:$Q$300, 5, FALSE)</f>
        <v>203</v>
      </c>
      <c r="S209" s="11">
        <f>VLOOKUP($G209, 'ADP Data'!$C$4:$Q$300, 6, FALSE)</f>
        <v>161</v>
      </c>
      <c r="T209" s="11">
        <f>VLOOKUP($G209, 'ADP Data'!$C$4:$Q$300, 7, FALSE)</f>
        <v>169</v>
      </c>
      <c r="U209" s="11">
        <f>VLOOKUP($G209, 'ADP Data'!$C$4:$Q$300, 8, FALSE)</f>
        <v>91</v>
      </c>
      <c r="V209" s="11">
        <f t="shared" si="8"/>
        <v>157</v>
      </c>
      <c r="W209" s="11">
        <f t="shared" si="9"/>
        <v>20</v>
      </c>
      <c r="X209" s="11">
        <f t="shared" si="10"/>
        <v>-20</v>
      </c>
      <c r="Y209" s="11">
        <f>VLOOKUP($G209, SeanRanks!$A$2:$K$303, 10, FALSE)-V209</f>
        <v>3</v>
      </c>
      <c r="Z209" s="29" t="str">
        <f>IF(VLOOKUP($G209, SeanRanks!$A$2:$H$303, 7, FALSE)=0, "", VLOOKUP($G209, SeanRanks!$A$2:$H$303, 7, FALSE))</f>
        <v/>
      </c>
    </row>
    <row r="210" ht="14.25" customHeight="1">
      <c r="A210" s="11"/>
      <c r="B210" s="11">
        <f t="shared" si="4"/>
        <v>9</v>
      </c>
      <c r="C210" s="11" t="s">
        <v>106</v>
      </c>
      <c r="D210" s="11"/>
      <c r="E210" s="11"/>
      <c r="F210" s="11" t="str">
        <f>VLOOKUP(G210, SeanRanks!$A$2:$E$302, 4, FALSE)</f>
        <v/>
      </c>
      <c r="G210" s="11" t="s">
        <v>812</v>
      </c>
      <c r="H210" s="11" t="str">
        <f>VLOOKUP($G210, 'ADP Data'!$C$4:$Q$300, 2, FALSE)</f>
        <v>NYJ</v>
      </c>
      <c r="I210" s="11">
        <f>VLOOKUP(G210, 'ADP Data'!$C$4:$R$498, 12, FALSE)</f>
        <v>98</v>
      </c>
      <c r="J210" s="11" t="str">
        <f>VLOOKUP($G210, SeanRanks!$A$2:$H$303, 5, FALSE)</f>
        <v/>
      </c>
      <c r="K210" s="11" t="str">
        <f>IF(VLOOKUP($G210, SeanRanks!$A$2:$H$303, 6, FALSE)=0, "", VLOOKUP($G210, SeanRanks!$A$2:$H$303, 6, FALSE))</f>
        <v>QB1 - 4 - Weekly Start</v>
      </c>
      <c r="L210" s="11">
        <f t="shared" si="5"/>
        <v>18</v>
      </c>
      <c r="M210" s="11">
        <f>VLOOKUP($G210, 'ADP Data'!$C$4:$Q$300, 9, FALSE)</f>
        <v>136</v>
      </c>
      <c r="N210" s="11">
        <f t="shared" si="6"/>
        <v>24</v>
      </c>
      <c r="O210" s="11">
        <f>VLOOKUP($G210, 'ADP Data'!$C$4:$Q$300, 3, FALSE)</f>
        <v>116</v>
      </c>
      <c r="P210" s="11">
        <f t="shared" si="7"/>
        <v>20</v>
      </c>
      <c r="Q210" s="11">
        <f>VLOOKUP($G210, 'ADP Data'!$C$4:$Q$300, 4, FALSE)</f>
        <v>120</v>
      </c>
      <c r="R210" s="11">
        <f>VLOOKUP($G210, 'ADP Data'!$C$4:$Q$300, 5, FALSE)</f>
        <v>121</v>
      </c>
      <c r="S210" s="11">
        <f>VLOOKUP($G210, 'ADP Data'!$C$4:$Q$300, 6, FALSE)</f>
        <v>119</v>
      </c>
      <c r="T210" s="11">
        <f>VLOOKUP($G210, 'ADP Data'!$C$4:$Q$300, 7, FALSE)</f>
        <v>112</v>
      </c>
      <c r="U210" s="11">
        <f>VLOOKUP($G210, 'ADP Data'!$C$4:$Q$300, 8, FALSE)</f>
        <v>63</v>
      </c>
      <c r="V210" s="11">
        <f t="shared" si="8"/>
        <v>112</v>
      </c>
      <c r="W210" s="11">
        <f t="shared" si="9"/>
        <v>15</v>
      </c>
      <c r="X210" s="11">
        <f t="shared" si="10"/>
        <v>-15</v>
      </c>
      <c r="Y210" s="11">
        <f>VLOOKUP($G210, SeanRanks!$A$2:$K$303, 10, FALSE)-V210</f>
        <v>-10</v>
      </c>
      <c r="Z210" s="29">
        <f>IF(VLOOKUP($G210, SeanRanks!$A$2:$H$303, 7, FALSE)=0, "", VLOOKUP($G210, SeanRanks!$A$2:$H$303, 7, FALSE))</f>
        <v>10</v>
      </c>
    </row>
    <row r="211" ht="14.25" customHeight="1">
      <c r="A211" s="11"/>
      <c r="B211" s="11">
        <f t="shared" si="4"/>
        <v>8</v>
      </c>
      <c r="C211" s="11" t="s">
        <v>106</v>
      </c>
      <c r="D211" s="11"/>
      <c r="E211" s="11"/>
      <c r="F211" s="11" t="str">
        <f>VLOOKUP(G211, SeanRanks!$A$2:$E$302, 4, FALSE)</f>
        <v/>
      </c>
      <c r="G211" s="11" t="s">
        <v>435</v>
      </c>
      <c r="H211" s="11" t="str">
        <f>VLOOKUP($G211, 'ADP Data'!$C$4:$Q$300, 2, FALSE)</f>
        <v>NYG</v>
      </c>
      <c r="I211" s="11">
        <f>VLOOKUP(G211, 'ADP Data'!$C$4:$R$498, 12, FALSE)</f>
        <v>88</v>
      </c>
      <c r="J211" s="11" t="str">
        <f>VLOOKUP($G211, SeanRanks!$A$2:$H$303, 5, FALSE)</f>
        <v/>
      </c>
      <c r="K211" s="11" t="str">
        <f>IF(VLOOKUP($G211, SeanRanks!$A$2:$H$303, 6, FALSE)=0, "", VLOOKUP($G211, SeanRanks!$A$2:$H$303, 6, FALSE))</f>
        <v>RB3 - 2 - low ceiling</v>
      </c>
      <c r="L211" s="11">
        <f t="shared" si="5"/>
        <v>11</v>
      </c>
      <c r="M211" s="11">
        <f>VLOOKUP($G211, 'ADP Data'!$C$4:$Q$300, 9, FALSE)</f>
        <v>82</v>
      </c>
      <c r="N211" s="11">
        <f t="shared" si="6"/>
        <v>-1</v>
      </c>
      <c r="O211" s="11">
        <f>VLOOKUP($G211, 'ADP Data'!$C$4:$Q$300, 3, FALSE)</f>
        <v>70</v>
      </c>
      <c r="P211" s="11">
        <f t="shared" si="7"/>
        <v>12</v>
      </c>
      <c r="Q211" s="11">
        <f>VLOOKUP($G211, 'ADP Data'!$C$4:$Q$300, 4, FALSE)</f>
        <v>81</v>
      </c>
      <c r="R211" s="11">
        <f>VLOOKUP($G211, 'ADP Data'!$C$4:$Q$300, 5, FALSE)</f>
        <v>90</v>
      </c>
      <c r="S211" s="11">
        <f>VLOOKUP($G211, 'ADP Data'!$C$4:$Q$300, 6, FALSE)</f>
        <v>80</v>
      </c>
      <c r="T211" s="11">
        <f>VLOOKUP($G211, 'ADP Data'!$C$4:$Q$300, 7, FALSE)</f>
        <v>81</v>
      </c>
      <c r="U211" s="11">
        <f>VLOOKUP($G211, 'ADP Data'!$C$4:$Q$300, 8, FALSE)</f>
        <v>101</v>
      </c>
      <c r="V211" s="11">
        <f t="shared" si="8"/>
        <v>83</v>
      </c>
      <c r="W211" s="11">
        <f t="shared" si="9"/>
        <v>11</v>
      </c>
      <c r="X211" s="11">
        <f t="shared" si="10"/>
        <v>-11</v>
      </c>
      <c r="Y211" s="11">
        <f>VLOOKUP($G211, SeanRanks!$A$2:$K$303, 10, FALSE)-V211</f>
        <v>-16</v>
      </c>
      <c r="Z211" s="29">
        <f>IF(VLOOKUP($G211, SeanRanks!$A$2:$H$303, 7, FALSE)=0, "", VLOOKUP($G211, SeanRanks!$A$2:$H$303, 7, FALSE))</f>
        <v>34</v>
      </c>
    </row>
    <row r="212" ht="14.25" customHeight="1">
      <c r="A212" s="11"/>
      <c r="B212" s="11" t="str">
        <f t="shared" si="4"/>
        <v>#N/A</v>
      </c>
      <c r="C212" s="11" t="s">
        <v>106</v>
      </c>
      <c r="D212" s="11"/>
      <c r="E212" s="11"/>
      <c r="F212" s="11" t="str">
        <f>VLOOKUP(G212, SeanRanks!$A$2:$E$302, 4, FALSE)</f>
        <v>#N/A</v>
      </c>
      <c r="G212" s="11" t="s">
        <v>911</v>
      </c>
      <c r="H212" s="11" t="str">
        <f>VLOOKUP($G212, 'ADP Data'!$C$4:$Q$300, 2, FALSE)</f>
        <v>#N/A</v>
      </c>
      <c r="I212" s="11" t="str">
        <f>VLOOKUP(G212, 'ADP Data'!$C$4:$R$498, 12, FALSE)</f>
        <v>#N/A</v>
      </c>
      <c r="J212" s="11" t="str">
        <f>VLOOKUP($G212, SeanRanks!$A$2:$H$303, 5, FALSE)</f>
        <v>#N/A</v>
      </c>
      <c r="K212" s="11" t="str">
        <f>IF(VLOOKUP($G212, SeanRanks!$A$2:$H$303, 6, FALSE)=0, "", VLOOKUP($G212, SeanRanks!$A$2:$H$303, 6, FALSE))</f>
        <v>#N/A</v>
      </c>
      <c r="L212" s="11">
        <f t="shared" si="5"/>
        <v>16</v>
      </c>
      <c r="M212" s="11" t="str">
        <f>VLOOKUP($G212, 'ADP Data'!$C$4:$Q$300, 9, FALSE)</f>
        <v>#N/A</v>
      </c>
      <c r="N212" s="11" t="str">
        <f t="shared" si="6"/>
        <v>#N/A</v>
      </c>
      <c r="O212" s="11" t="str">
        <f>VLOOKUP($G212, 'ADP Data'!$C$4:$Q$300, 3, FALSE)</f>
        <v>#N/A</v>
      </c>
      <c r="P212" s="11" t="str">
        <f t="shared" si="7"/>
        <v>#N/A</v>
      </c>
      <c r="Q212" s="11" t="str">
        <f>VLOOKUP($G212, 'ADP Data'!$C$4:$Q$300, 4, FALSE)</f>
        <v>#N/A</v>
      </c>
      <c r="R212" s="11" t="str">
        <f>VLOOKUP($G212, 'ADP Data'!$C$4:$Q$300, 5, FALSE)</f>
        <v>#N/A</v>
      </c>
      <c r="S212" s="11" t="str">
        <f>VLOOKUP($G212, 'ADP Data'!$C$4:$Q$300, 6, FALSE)</f>
        <v>#N/A</v>
      </c>
      <c r="T212" s="11" t="str">
        <f>VLOOKUP($G212, 'ADP Data'!$C$4:$Q$300, 7, FALSE)</f>
        <v>#N/A</v>
      </c>
      <c r="U212" s="11" t="str">
        <f>VLOOKUP($G212, 'ADP Data'!$C$4:$Q$300, 8, FALSE)</f>
        <v>#N/A</v>
      </c>
      <c r="V212" s="11" t="str">
        <f t="shared" si="8"/>
        <v>#N/A</v>
      </c>
      <c r="W212" s="11">
        <f t="shared" si="9"/>
        <v>16</v>
      </c>
      <c r="X212" s="11">
        <f t="shared" si="10"/>
        <v>-16</v>
      </c>
      <c r="Y212" s="11" t="str">
        <f>VLOOKUP($G212, SeanRanks!$A$2:$K$303, 10, FALSE)-V212</f>
        <v>#N/A</v>
      </c>
      <c r="Z212" s="29" t="str">
        <f>IF(VLOOKUP($G212, SeanRanks!$A$2:$H$303, 7, FALSE)=0, "", VLOOKUP($G212, SeanRanks!$A$2:$H$303, 7, FALSE))</f>
        <v>#N/A</v>
      </c>
    </row>
    <row r="213" ht="14.25" customHeight="1">
      <c r="A213" s="11"/>
      <c r="B213" s="11">
        <f t="shared" si="4"/>
        <v>21</v>
      </c>
      <c r="C213" s="11" t="s">
        <v>106</v>
      </c>
      <c r="D213" s="11"/>
      <c r="E213" s="11"/>
      <c r="F213" s="11" t="str">
        <f>VLOOKUP(G213, SeanRanks!$A$2:$E$302, 4, FALSE)</f>
        <v/>
      </c>
      <c r="G213" s="11" t="s">
        <v>912</v>
      </c>
      <c r="H213" s="11" t="str">
        <f>VLOOKUP($G213, 'ADP Data'!$C$4:$Q$300, 2, FALSE)</f>
        <v>HOU</v>
      </c>
      <c r="I213" s="11">
        <f>VLOOKUP(G213, 'ADP Data'!$C$4:$R$498, 12, FALSE)</f>
        <v>202</v>
      </c>
      <c r="J213" s="11" t="str">
        <f>VLOOKUP($G213, SeanRanks!$A$2:$H$303, 5, FALSE)</f>
        <v/>
      </c>
      <c r="K213" s="11" t="str">
        <f>IF(VLOOKUP($G213, SeanRanks!$A$2:$H$303, 6, FALSE)=0, "", VLOOKUP($G213, SeanRanks!$A$2:$H$303, 6, FALSE))</f>
        <v/>
      </c>
      <c r="L213" s="11">
        <f t="shared" si="5"/>
        <v>16</v>
      </c>
      <c r="M213" s="11" t="str">
        <f>VLOOKUP($G213, 'ADP Data'!$C$4:$Q$300, 9, FALSE)</f>
        <v>-</v>
      </c>
      <c r="N213" s="11" t="str">
        <f t="shared" si="6"/>
        <v>#VALUE!</v>
      </c>
      <c r="O213" s="11" t="str">
        <f>VLOOKUP($G213, 'ADP Data'!$C$4:$Q$300, 3, FALSE)</f>
        <v>-</v>
      </c>
      <c r="P213" s="11" t="str">
        <f t="shared" si="7"/>
        <v>#VALUE!</v>
      </c>
      <c r="Q213" s="11" t="str">
        <f>VLOOKUP($G213, 'ADP Data'!$C$4:$Q$300, 4, FALSE)</f>
        <v>-</v>
      </c>
      <c r="R213" s="11" t="str">
        <f>VLOOKUP($G213, 'ADP Data'!$C$4:$Q$300, 5, FALSE)</f>
        <v>-</v>
      </c>
      <c r="S213" s="11">
        <f>VLOOKUP($G213, 'ADP Data'!$C$4:$Q$300, 6, FALSE)</f>
        <v>209</v>
      </c>
      <c r="T213" s="11">
        <f>VLOOKUP($G213, 'ADP Data'!$C$4:$Q$300, 7, FALSE)</f>
        <v>237</v>
      </c>
      <c r="U213" s="11">
        <f>VLOOKUP($G213, 'ADP Data'!$C$4:$Q$300, 8, FALSE)</f>
        <v>295</v>
      </c>
      <c r="V213" s="11">
        <f t="shared" si="8"/>
        <v>247</v>
      </c>
      <c r="W213" s="11">
        <f t="shared" si="9"/>
        <v>31</v>
      </c>
      <c r="X213" s="11">
        <f t="shared" si="10"/>
        <v>-31</v>
      </c>
      <c r="Y213" s="11">
        <f>VLOOKUP($G213, SeanRanks!$A$2:$K$303, 10, FALSE)-V213</f>
        <v>-18</v>
      </c>
      <c r="Z213" s="29" t="str">
        <f>IF(VLOOKUP($G213, SeanRanks!$A$2:$H$303, 7, FALSE)=0, "", VLOOKUP($G213, SeanRanks!$A$2:$H$303, 7, FALSE))</f>
        <v/>
      </c>
    </row>
    <row r="214" ht="14.25" customHeight="1">
      <c r="A214" s="11"/>
      <c r="B214" s="11">
        <f t="shared" si="4"/>
        <v>25</v>
      </c>
      <c r="C214" s="11" t="s">
        <v>106</v>
      </c>
      <c r="D214" s="11"/>
      <c r="E214" s="11"/>
      <c r="F214" s="11" t="str">
        <f>VLOOKUP(G214, SeanRanks!$A$2:$E$302, 4, FALSE)</f>
        <v/>
      </c>
      <c r="G214" s="11" t="s">
        <v>913</v>
      </c>
      <c r="H214" s="11" t="str">
        <f>VLOOKUP($G214, 'ADP Data'!$C$4:$Q$300, 2, FALSE)</f>
        <v>DAL</v>
      </c>
      <c r="I214" s="11">
        <f>VLOOKUP(G214, 'ADP Data'!$C$4:$R$498, 12, FALSE)</f>
        <v>284</v>
      </c>
      <c r="J214" s="11" t="str">
        <f>VLOOKUP($G214, SeanRanks!$A$2:$H$303, 5, FALSE)</f>
        <v/>
      </c>
      <c r="K214" s="11" t="str">
        <f>IF(VLOOKUP($G214, SeanRanks!$A$2:$H$303, 6, FALSE)=0, "", VLOOKUP($G214, SeanRanks!$A$2:$H$303, 6, FALSE))</f>
        <v/>
      </c>
      <c r="L214" s="11">
        <f t="shared" si="5"/>
        <v>40</v>
      </c>
      <c r="M214" s="11">
        <f>VLOOKUP($G214, 'ADP Data'!$C$4:$Q$300, 9, FALSE)</f>
        <v>319</v>
      </c>
      <c r="N214" s="11">
        <f t="shared" si="6"/>
        <v>16</v>
      </c>
      <c r="O214" s="11" t="str">
        <f>VLOOKUP($G214, 'ADP Data'!$C$4:$Q$300, 3, FALSE)</f>
        <v>-</v>
      </c>
      <c r="P214" s="11" t="str">
        <f t="shared" si="7"/>
        <v>#VALUE!</v>
      </c>
      <c r="Q214" s="11" t="str">
        <f>VLOOKUP($G214, 'ADP Data'!$C$4:$Q$300, 4, FALSE)</f>
        <v>-</v>
      </c>
      <c r="R214" s="11" t="str">
        <f>VLOOKUP($G214, 'ADP Data'!$C$4:$Q$300, 5, FALSE)</f>
        <v>-</v>
      </c>
      <c r="S214" s="11">
        <f>VLOOKUP($G214, 'ADP Data'!$C$4:$Q$300, 6, FALSE)</f>
        <v>340</v>
      </c>
      <c r="T214" s="11">
        <f>VLOOKUP($G214, 'ADP Data'!$C$4:$Q$300, 7, FALSE)</f>
        <v>270</v>
      </c>
      <c r="U214" s="11">
        <f>VLOOKUP($G214, 'ADP Data'!$C$4:$Q$300, 8, FALSE)</f>
        <v>284</v>
      </c>
      <c r="V214" s="11">
        <f t="shared" si="8"/>
        <v>303</v>
      </c>
      <c r="W214" s="11">
        <f t="shared" si="9"/>
        <v>38</v>
      </c>
      <c r="X214" s="11">
        <f t="shared" si="10"/>
        <v>-38</v>
      </c>
      <c r="Y214" s="11" t="str">
        <f>VLOOKUP($G214, SeanRanks!$A$2:$K$303, 10, FALSE)-V214</f>
        <v>#VALUE!</v>
      </c>
      <c r="Z214" s="29" t="str">
        <f>IF(VLOOKUP($G214, SeanRanks!$A$2:$H$303, 7, FALSE)=0, "", VLOOKUP($G214, SeanRanks!$A$2:$H$303, 7, FALSE))</f>
        <v/>
      </c>
    </row>
    <row r="215" ht="14.25" customHeight="1">
      <c r="A215" s="11"/>
      <c r="B215" s="11">
        <f t="shared" si="4"/>
        <v>23</v>
      </c>
      <c r="C215" s="11" t="s">
        <v>106</v>
      </c>
      <c r="D215" s="11"/>
      <c r="E215" s="11"/>
      <c r="F215" s="11" t="str">
        <f>VLOOKUP(G215, SeanRanks!$A$2:$E$302, 4, FALSE)</f>
        <v/>
      </c>
      <c r="G215" s="11" t="s">
        <v>411</v>
      </c>
      <c r="H215" s="11" t="str">
        <f>VLOOKUP($G215, 'ADP Data'!$C$4:$Q$300, 2, FALSE)</f>
        <v>IND</v>
      </c>
      <c r="I215" s="11">
        <f>VLOOKUP(G215, 'ADP Data'!$C$4:$R$498, 12, FALSE)</f>
        <v>188</v>
      </c>
      <c r="J215" s="11" t="str">
        <f>VLOOKUP($G215, SeanRanks!$A$2:$H$303, 5, FALSE)</f>
        <v>Yes</v>
      </c>
      <c r="K215" s="11" t="str">
        <f>IF(VLOOKUP($G215, SeanRanks!$A$2:$H$303, 6, FALSE)=0, "", VLOOKUP($G215, SeanRanks!$A$2:$H$303, 6, FALSE))</f>
        <v>Fine very late round pick</v>
      </c>
      <c r="L215" s="11">
        <f t="shared" si="5"/>
        <v>35</v>
      </c>
      <c r="M215" s="11">
        <f>VLOOKUP($G215, 'ADP Data'!$C$4:$Q$300, 9, FALSE)</f>
        <v>277</v>
      </c>
      <c r="N215" s="11">
        <f t="shared" si="6"/>
        <v>24</v>
      </c>
      <c r="O215" s="11">
        <f>VLOOKUP($G215, 'ADP Data'!$C$4:$Q$300, 3, FALSE)</f>
        <v>156</v>
      </c>
      <c r="P215" s="11">
        <f t="shared" si="7"/>
        <v>121</v>
      </c>
      <c r="Q215" s="11" t="str">
        <f>VLOOKUP($G215, 'ADP Data'!$C$4:$Q$300, 4, FALSE)</f>
        <v>-</v>
      </c>
      <c r="R215" s="11">
        <f>VLOOKUP($G215, 'ADP Data'!$C$4:$Q$300, 5, FALSE)</f>
        <v>310</v>
      </c>
      <c r="S215" s="11">
        <f>VLOOKUP($G215, 'ADP Data'!$C$4:$Q$300, 6, FALSE)</f>
        <v>231</v>
      </c>
      <c r="T215" s="11">
        <f>VLOOKUP($G215, 'ADP Data'!$C$4:$Q$300, 7, FALSE)</f>
        <v>236</v>
      </c>
      <c r="U215" s="11">
        <f>VLOOKUP($G215, 'ADP Data'!$C$4:$Q$300, 8, FALSE)</f>
        <v>310</v>
      </c>
      <c r="V215" s="11">
        <f t="shared" si="8"/>
        <v>253</v>
      </c>
      <c r="W215" s="11">
        <f t="shared" si="9"/>
        <v>32</v>
      </c>
      <c r="X215" s="11">
        <f t="shared" si="10"/>
        <v>-32</v>
      </c>
      <c r="Y215" s="11">
        <f>VLOOKUP($G215, SeanRanks!$A$2:$K$303, 10, FALSE)-V215</f>
        <v>-8</v>
      </c>
      <c r="Z215" s="29">
        <f>IF(VLOOKUP($G215, SeanRanks!$A$2:$H$303, 7, FALSE)=0, "", VLOOKUP($G215, SeanRanks!$A$2:$H$303, 7, FALSE))</f>
        <v>25</v>
      </c>
    </row>
    <row r="216" ht="14.25" customHeight="1">
      <c r="A216" s="11"/>
      <c r="B216" s="11">
        <f t="shared" si="4"/>
        <v>19</v>
      </c>
      <c r="C216" s="11" t="s">
        <v>106</v>
      </c>
      <c r="D216" s="11"/>
      <c r="E216" s="11"/>
      <c r="F216" s="11" t="str">
        <f>VLOOKUP(G216, SeanRanks!$A$2:$E$302, 4, FALSE)</f>
        <v/>
      </c>
      <c r="G216" s="11" t="s">
        <v>915</v>
      </c>
      <c r="H216" s="11" t="str">
        <f>VLOOKUP($G216, 'ADP Data'!$C$4:$Q$300, 2, FALSE)</f>
        <v>TB</v>
      </c>
      <c r="I216" s="11" t="str">
        <f>VLOOKUP(G216, 'ADP Data'!$C$4:$R$498, 12, FALSE)</f>
        <v>-</v>
      </c>
      <c r="J216" s="11" t="str">
        <f>VLOOKUP($G216, SeanRanks!$A$2:$H$303, 5, FALSE)</f>
        <v/>
      </c>
      <c r="K216" s="11" t="str">
        <f>IF(VLOOKUP($G216, SeanRanks!$A$2:$H$303, 6, FALSE)=0, "", VLOOKUP($G216, SeanRanks!$A$2:$H$303, 6, FALSE))</f>
        <v/>
      </c>
      <c r="L216" s="11">
        <f t="shared" si="5"/>
        <v>24</v>
      </c>
      <c r="M216" s="11">
        <f>VLOOKUP($G216, 'ADP Data'!$C$4:$Q$300, 9, FALSE)</f>
        <v>184</v>
      </c>
      <c r="N216" s="11">
        <f t="shared" si="6"/>
        <v>-36</v>
      </c>
      <c r="O216" s="11" t="str">
        <f>VLOOKUP($G216, 'ADP Data'!$C$4:$Q$300, 3, FALSE)</f>
        <v>-</v>
      </c>
      <c r="P216" s="11" t="str">
        <f t="shared" si="7"/>
        <v>#VALUE!</v>
      </c>
      <c r="Q216" s="11">
        <f>VLOOKUP($G216, 'ADP Data'!$C$4:$Q$300, 4, FALSE)</f>
        <v>202</v>
      </c>
      <c r="R216" s="11">
        <f>VLOOKUP($G216, 'ADP Data'!$C$4:$Q$300, 5, FALSE)</f>
        <v>228</v>
      </c>
      <c r="S216" s="11">
        <f>VLOOKUP($G216, 'ADP Data'!$C$4:$Q$300, 6, FALSE)</f>
        <v>317</v>
      </c>
      <c r="T216" s="11">
        <f>VLOOKUP($G216, 'ADP Data'!$C$4:$Q$300, 7, FALSE)</f>
        <v>254</v>
      </c>
      <c r="U216" s="11">
        <f>VLOOKUP($G216, 'ADP Data'!$C$4:$Q$300, 8, FALSE)</f>
        <v>138</v>
      </c>
      <c r="V216" s="11">
        <f t="shared" si="8"/>
        <v>220</v>
      </c>
      <c r="W216" s="11">
        <f t="shared" si="9"/>
        <v>28</v>
      </c>
      <c r="X216" s="11">
        <f t="shared" si="10"/>
        <v>-28</v>
      </c>
      <c r="Y216" s="11" t="str">
        <f>VLOOKUP($G216, SeanRanks!$A$2:$K$303, 10, FALSE)-V216</f>
        <v>#VALUE!</v>
      </c>
      <c r="Z216" s="29" t="str">
        <f>IF(VLOOKUP($G216, SeanRanks!$A$2:$H$303, 7, FALSE)=0, "", VLOOKUP($G216, SeanRanks!$A$2:$H$303, 7, FALSE))</f>
        <v/>
      </c>
    </row>
    <row r="217" ht="14.25" customHeight="1">
      <c r="A217" s="11"/>
      <c r="B217" s="11" t="str">
        <f t="shared" si="4"/>
        <v>#N/A</v>
      </c>
      <c r="C217" s="11" t="s">
        <v>106</v>
      </c>
      <c r="D217" s="11"/>
      <c r="E217" s="11"/>
      <c r="F217" s="11" t="str">
        <f>VLOOKUP(G217, SeanRanks!$A$2:$E$302, 4, FALSE)</f>
        <v>#N/A</v>
      </c>
      <c r="G217" s="11" t="s">
        <v>916</v>
      </c>
      <c r="H217" s="11" t="str">
        <f>VLOOKUP($G217, 'ADP Data'!$C$4:$Q$300, 2, FALSE)</f>
        <v>#N/A</v>
      </c>
      <c r="I217" s="11" t="str">
        <f>VLOOKUP(G217, 'ADP Data'!$C$4:$R$498, 12, FALSE)</f>
        <v>#N/A</v>
      </c>
      <c r="J217" s="11" t="str">
        <f>VLOOKUP($G217, SeanRanks!$A$2:$H$303, 5, FALSE)</f>
        <v>#N/A</v>
      </c>
      <c r="K217" s="11" t="str">
        <f>IF(VLOOKUP($G217, SeanRanks!$A$2:$H$303, 6, FALSE)=0, "", VLOOKUP($G217, SeanRanks!$A$2:$H$303, 6, FALSE))</f>
        <v>#N/A</v>
      </c>
      <c r="L217" s="11">
        <f t="shared" si="5"/>
        <v>16</v>
      </c>
      <c r="M217" s="11" t="str">
        <f>VLOOKUP($G217, 'ADP Data'!$C$4:$Q$300, 9, FALSE)</f>
        <v>#N/A</v>
      </c>
      <c r="N217" s="11" t="str">
        <f t="shared" si="6"/>
        <v>#N/A</v>
      </c>
      <c r="O217" s="11" t="str">
        <f>VLOOKUP($G217, 'ADP Data'!$C$4:$Q$300, 3, FALSE)</f>
        <v>#N/A</v>
      </c>
      <c r="P217" s="11" t="str">
        <f t="shared" si="7"/>
        <v>#N/A</v>
      </c>
      <c r="Q217" s="11" t="str">
        <f>VLOOKUP($G217, 'ADP Data'!$C$4:$Q$300, 4, FALSE)</f>
        <v>#N/A</v>
      </c>
      <c r="R217" s="11" t="str">
        <f>VLOOKUP($G217, 'ADP Data'!$C$4:$Q$300, 5, FALSE)</f>
        <v>#N/A</v>
      </c>
      <c r="S217" s="11" t="str">
        <f>VLOOKUP($G217, 'ADP Data'!$C$4:$Q$300, 6, FALSE)</f>
        <v>#N/A</v>
      </c>
      <c r="T217" s="11" t="str">
        <f>VLOOKUP($G217, 'ADP Data'!$C$4:$Q$300, 7, FALSE)</f>
        <v>#N/A</v>
      </c>
      <c r="U217" s="11" t="str">
        <f>VLOOKUP($G217, 'ADP Data'!$C$4:$Q$300, 8, FALSE)</f>
        <v>#N/A</v>
      </c>
      <c r="V217" s="11" t="str">
        <f t="shared" si="8"/>
        <v>#N/A</v>
      </c>
      <c r="W217" s="11">
        <f t="shared" si="9"/>
        <v>16</v>
      </c>
      <c r="X217" s="11">
        <f t="shared" si="10"/>
        <v>-16</v>
      </c>
      <c r="Y217" s="11" t="str">
        <f>VLOOKUP($G217, SeanRanks!$A$2:$K$303, 10, FALSE)-V217</f>
        <v>#N/A</v>
      </c>
      <c r="Z217" s="29" t="str">
        <f>IF(VLOOKUP($G217, SeanRanks!$A$2:$H$303, 7, FALSE)=0, "", VLOOKUP($G217, SeanRanks!$A$2:$H$303, 7, FALSE))</f>
        <v>#N/A</v>
      </c>
    </row>
    <row r="218" ht="14.25" customHeight="1">
      <c r="A218" s="11"/>
      <c r="B218" s="11">
        <f t="shared" si="4"/>
        <v>20</v>
      </c>
      <c r="C218" s="11" t="s">
        <v>106</v>
      </c>
      <c r="D218" s="11"/>
      <c r="E218" s="11"/>
      <c r="F218" s="11" t="str">
        <f>VLOOKUP(G218, SeanRanks!$A$2:$E$302, 4, FALSE)</f>
        <v/>
      </c>
      <c r="G218" s="11" t="s">
        <v>917</v>
      </c>
      <c r="H218" s="11" t="str">
        <f>VLOOKUP($G218, 'ADP Data'!$C$4:$Q$300, 2, FALSE)</f>
        <v>CHI</v>
      </c>
      <c r="I218" s="11">
        <f>VLOOKUP(G218, 'ADP Data'!$C$4:$R$498, 12, FALSE)</f>
        <v>220</v>
      </c>
      <c r="J218" s="11" t="str">
        <f>VLOOKUP($G218, SeanRanks!$A$2:$H$303, 5, FALSE)</f>
        <v/>
      </c>
      <c r="K218" s="11" t="str">
        <f>IF(VLOOKUP($G218, SeanRanks!$A$2:$H$303, 6, FALSE)=0, "", VLOOKUP($G218, SeanRanks!$A$2:$H$303, 6, FALSE))</f>
        <v/>
      </c>
      <c r="L218" s="11">
        <f t="shared" si="5"/>
        <v>26</v>
      </c>
      <c r="M218" s="11">
        <f>VLOOKUP($G218, 'ADP Data'!$C$4:$Q$300, 9, FALSE)</f>
        <v>203</v>
      </c>
      <c r="N218" s="11">
        <f t="shared" si="6"/>
        <v>-25</v>
      </c>
      <c r="O218" s="11">
        <f>VLOOKUP($G218, 'ADP Data'!$C$4:$Q$300, 3, FALSE)</f>
        <v>213</v>
      </c>
      <c r="P218" s="11">
        <f t="shared" si="7"/>
        <v>-10</v>
      </c>
      <c r="Q218" s="11" t="str">
        <f>VLOOKUP($G218, 'ADP Data'!$C$4:$Q$300, 4, FALSE)</f>
        <v>-</v>
      </c>
      <c r="R218" s="11">
        <f>VLOOKUP($G218, 'ADP Data'!$C$4:$Q$300, 5, FALSE)</f>
        <v>275</v>
      </c>
      <c r="S218" s="11">
        <f>VLOOKUP($G218, 'ADP Data'!$C$4:$Q$300, 6, FALSE)</f>
        <v>186</v>
      </c>
      <c r="T218" s="11">
        <f>VLOOKUP($G218, 'ADP Data'!$C$4:$Q$300, 7, FALSE)</f>
        <v>188</v>
      </c>
      <c r="U218" s="11">
        <f>VLOOKUP($G218, 'ADP Data'!$C$4:$Q$300, 8, FALSE)</f>
        <v>304</v>
      </c>
      <c r="V218" s="11">
        <f t="shared" si="8"/>
        <v>228</v>
      </c>
      <c r="W218" s="11">
        <f t="shared" si="9"/>
        <v>29</v>
      </c>
      <c r="X218" s="11">
        <f t="shared" si="10"/>
        <v>-29</v>
      </c>
      <c r="Y218" s="11">
        <f>VLOOKUP($G218, SeanRanks!$A$2:$K$303, 10, FALSE)-V218</f>
        <v>-57</v>
      </c>
      <c r="Z218" s="29" t="str">
        <f>IF(VLOOKUP($G218, SeanRanks!$A$2:$H$303, 7, FALSE)=0, "", VLOOKUP($G218, SeanRanks!$A$2:$H$303, 7, FALSE))</f>
        <v/>
      </c>
    </row>
    <row r="219" ht="14.25" customHeight="1">
      <c r="A219" s="11"/>
      <c r="B219" s="11">
        <f t="shared" si="4"/>
        <v>22</v>
      </c>
      <c r="C219" s="11" t="s">
        <v>106</v>
      </c>
      <c r="D219" s="11"/>
      <c r="E219" s="11"/>
      <c r="F219" s="11" t="str">
        <f>VLOOKUP(G219, SeanRanks!$A$2:$E$302, 4, FALSE)</f>
        <v/>
      </c>
      <c r="G219" s="11" t="s">
        <v>918</v>
      </c>
      <c r="H219" s="11" t="str">
        <f>VLOOKUP($G219, 'ADP Data'!$C$4:$Q$300, 2, FALSE)</f>
        <v>IND</v>
      </c>
      <c r="I219" s="11" t="str">
        <f>VLOOKUP(G219, 'ADP Data'!$C$4:$R$498, 12, FALSE)</f>
        <v>-</v>
      </c>
      <c r="J219" s="11" t="str">
        <f>VLOOKUP($G219, SeanRanks!$A$2:$H$303, 5, FALSE)</f>
        <v/>
      </c>
      <c r="K219" s="11" t="str">
        <f>IF(VLOOKUP($G219, SeanRanks!$A$2:$H$303, 6, FALSE)=0, "", VLOOKUP($G219, SeanRanks!$A$2:$H$303, 6, FALSE))</f>
        <v/>
      </c>
      <c r="L219" s="11">
        <f t="shared" si="5"/>
        <v>37</v>
      </c>
      <c r="M219" s="11">
        <f>VLOOKUP($G219, 'ADP Data'!$C$4:$Q$300, 9, FALSE)</f>
        <v>290</v>
      </c>
      <c r="N219" s="11">
        <f t="shared" si="6"/>
        <v>29</v>
      </c>
      <c r="O219" s="11" t="str">
        <f>VLOOKUP($G219, 'ADP Data'!$C$4:$Q$300, 3, FALSE)</f>
        <v>-</v>
      </c>
      <c r="P219" s="11" t="str">
        <f t="shared" si="7"/>
        <v>#VALUE!</v>
      </c>
      <c r="Q219" s="11">
        <f>VLOOKUP($G219, 'ADP Data'!$C$4:$Q$300, 4, FALSE)</f>
        <v>180</v>
      </c>
      <c r="R219" s="11" t="str">
        <f>VLOOKUP($G219, 'ADP Data'!$C$4:$Q$300, 5, FALSE)</f>
        <v>-</v>
      </c>
      <c r="S219" s="11">
        <f>VLOOKUP($G219, 'ADP Data'!$C$4:$Q$300, 6, FALSE)</f>
        <v>331</v>
      </c>
      <c r="T219" s="11">
        <f>VLOOKUP($G219, 'ADP Data'!$C$4:$Q$300, 7, FALSE)</f>
        <v>271</v>
      </c>
      <c r="U219" s="11">
        <f>VLOOKUP($G219, 'ADP Data'!$C$4:$Q$300, 8, FALSE)</f>
        <v>234</v>
      </c>
      <c r="V219" s="11">
        <f t="shared" si="8"/>
        <v>261</v>
      </c>
      <c r="W219" s="11">
        <f t="shared" si="9"/>
        <v>33</v>
      </c>
      <c r="X219" s="11">
        <f t="shared" si="10"/>
        <v>-33</v>
      </c>
      <c r="Y219" s="11" t="str">
        <f>VLOOKUP($G219, SeanRanks!$A$2:$K$303, 10, FALSE)-V219</f>
        <v>#VALUE!</v>
      </c>
      <c r="Z219" s="29" t="str">
        <f>IF(VLOOKUP($G219, SeanRanks!$A$2:$H$303, 7, FALSE)=0, "", VLOOKUP($G219, SeanRanks!$A$2:$H$303, 7, FALSE))</f>
        <v/>
      </c>
    </row>
    <row r="220" ht="14.25" customHeight="1">
      <c r="A220" s="11"/>
      <c r="B220" s="11">
        <f t="shared" si="4"/>
        <v>14</v>
      </c>
      <c r="C220" s="11" t="s">
        <v>106</v>
      </c>
      <c r="D220" s="11"/>
      <c r="E220" s="11"/>
      <c r="F220" s="11" t="str">
        <f>VLOOKUP(G220, SeanRanks!$A$2:$E$302, 4, FALSE)</f>
        <v/>
      </c>
      <c r="G220" s="11" t="s">
        <v>919</v>
      </c>
      <c r="H220" s="11" t="str">
        <f>VLOOKUP($G220, 'ADP Data'!$C$4:$Q$300, 2, FALSE)</f>
        <v>WAS</v>
      </c>
      <c r="I220" s="11">
        <f>VLOOKUP(G220, 'ADP Data'!$C$4:$R$498, 12, FALSE)</f>
        <v>158</v>
      </c>
      <c r="J220" s="11" t="str">
        <f>VLOOKUP($G220, SeanRanks!$A$2:$H$303, 5, FALSE)</f>
        <v/>
      </c>
      <c r="K220" s="11" t="str">
        <f>IF(VLOOKUP($G220, SeanRanks!$A$2:$H$303, 6, FALSE)=0, "", VLOOKUP($G220, SeanRanks!$A$2:$H$303, 6, FALSE))</f>
        <v/>
      </c>
      <c r="L220" s="11">
        <f t="shared" si="5"/>
        <v>21</v>
      </c>
      <c r="M220" s="11">
        <f>VLOOKUP($G220, 'ADP Data'!$C$4:$Q$300, 9, FALSE)</f>
        <v>165</v>
      </c>
      <c r="N220" s="11">
        <f t="shared" si="6"/>
        <v>8</v>
      </c>
      <c r="O220" s="11">
        <f>VLOOKUP($G220, 'ADP Data'!$C$4:$Q$300, 3, FALSE)</f>
        <v>115</v>
      </c>
      <c r="P220" s="11">
        <f t="shared" si="7"/>
        <v>50</v>
      </c>
      <c r="Q220" s="11">
        <f>VLOOKUP($G220, 'ADP Data'!$C$4:$Q$300, 4, FALSE)</f>
        <v>154</v>
      </c>
      <c r="R220" s="11">
        <f>VLOOKUP($G220, 'ADP Data'!$C$4:$Q$300, 5, FALSE)</f>
        <v>207</v>
      </c>
      <c r="S220" s="11">
        <f>VLOOKUP($G220, 'ADP Data'!$C$4:$Q$300, 6, FALSE)</f>
        <v>133</v>
      </c>
      <c r="T220" s="11">
        <f>VLOOKUP($G220, 'ADP Data'!$C$4:$Q$300, 7, FALSE)</f>
        <v>165</v>
      </c>
      <c r="U220" s="11">
        <f>VLOOKUP($G220, 'ADP Data'!$C$4:$Q$300, 8, FALSE)</f>
        <v>162</v>
      </c>
      <c r="V220" s="11">
        <f t="shared" si="8"/>
        <v>157</v>
      </c>
      <c r="W220" s="11">
        <f t="shared" si="9"/>
        <v>20</v>
      </c>
      <c r="X220" s="11">
        <f t="shared" si="10"/>
        <v>-20</v>
      </c>
      <c r="Y220" s="11">
        <f>VLOOKUP($G220, SeanRanks!$A$2:$K$303, 10, FALSE)-V220</f>
        <v>-4</v>
      </c>
      <c r="Z220" s="29" t="str">
        <f>IF(VLOOKUP($G220, SeanRanks!$A$2:$H$303, 7, FALSE)=0, "", VLOOKUP($G220, SeanRanks!$A$2:$H$303, 7, FALSE))</f>
        <v/>
      </c>
    </row>
    <row r="221" ht="14.25" customHeight="1">
      <c r="A221" s="11"/>
      <c r="B221" s="11">
        <f t="shared" si="4"/>
        <v>24</v>
      </c>
      <c r="C221" s="11" t="s">
        <v>106</v>
      </c>
      <c r="D221" s="11"/>
      <c r="E221" s="11"/>
      <c r="F221" s="11" t="str">
        <f>VLOOKUP(G221, SeanRanks!$A$2:$E$302, 4, FALSE)</f>
        <v/>
      </c>
      <c r="G221" s="11" t="s">
        <v>920</v>
      </c>
      <c r="H221" s="11" t="str">
        <f>VLOOKUP($G221, 'ADP Data'!$C$4:$Q$300, 2, FALSE)</f>
        <v>KC</v>
      </c>
      <c r="I221" s="11">
        <f>VLOOKUP(G221, 'ADP Data'!$C$4:$R$498, 12, FALSE)</f>
        <v>283</v>
      </c>
      <c r="J221" s="11" t="str">
        <f>VLOOKUP($G221, SeanRanks!$A$2:$H$303, 5, FALSE)</f>
        <v/>
      </c>
      <c r="K221" s="11" t="str">
        <f>IF(VLOOKUP($G221, SeanRanks!$A$2:$H$303, 6, FALSE)=0, "", VLOOKUP($G221, SeanRanks!$A$2:$H$303, 6, FALSE))</f>
        <v/>
      </c>
      <c r="L221" s="11">
        <f t="shared" si="5"/>
        <v>36</v>
      </c>
      <c r="M221" s="11">
        <f>VLOOKUP($G221, 'ADP Data'!$C$4:$Q$300, 9, FALSE)</f>
        <v>287</v>
      </c>
      <c r="N221" s="11">
        <f t="shared" si="6"/>
        <v>5</v>
      </c>
      <c r="O221" s="11" t="str">
        <f>VLOOKUP($G221, 'ADP Data'!$C$4:$Q$300, 3, FALSE)</f>
        <v>-</v>
      </c>
      <c r="P221" s="11" t="str">
        <f t="shared" si="7"/>
        <v>#VALUE!</v>
      </c>
      <c r="Q221" s="11" t="str">
        <f>VLOOKUP($G221, 'ADP Data'!$C$4:$Q$300, 4, FALSE)</f>
        <v>-</v>
      </c>
      <c r="R221" s="11">
        <f>VLOOKUP($G221, 'ADP Data'!$C$4:$Q$300, 5, FALSE)</f>
        <v>313</v>
      </c>
      <c r="S221" s="11">
        <f>VLOOKUP($G221, 'ADP Data'!$C$4:$Q$300, 6, FALSE)</f>
        <v>293</v>
      </c>
      <c r="T221" s="11">
        <f>VLOOKUP($G221, 'ADP Data'!$C$4:$Q$300, 7, FALSE)</f>
        <v>268</v>
      </c>
      <c r="U221" s="11">
        <f>VLOOKUP($G221, 'ADP Data'!$C$4:$Q$300, 8, FALSE)</f>
        <v>252</v>
      </c>
      <c r="V221" s="11">
        <f t="shared" si="8"/>
        <v>282</v>
      </c>
      <c r="W221" s="11">
        <f t="shared" si="9"/>
        <v>36</v>
      </c>
      <c r="X221" s="11">
        <f t="shared" si="10"/>
        <v>-36</v>
      </c>
      <c r="Y221" s="11" t="str">
        <f>VLOOKUP($G221, SeanRanks!$A$2:$K$303, 10, FALSE)-V221</f>
        <v>#VALUE!</v>
      </c>
      <c r="Z221" s="29" t="str">
        <f>IF(VLOOKUP($G221, SeanRanks!$A$2:$H$303, 7, FALSE)=0, "", VLOOKUP($G221, SeanRanks!$A$2:$H$303, 7, FALSE))</f>
        <v/>
      </c>
    </row>
    <row r="222" ht="14.25" customHeight="1">
      <c r="A222" s="11"/>
      <c r="B222" s="11">
        <f t="shared" si="4"/>
        <v>21</v>
      </c>
      <c r="C222" s="11" t="s">
        <v>106</v>
      </c>
      <c r="D222" s="11"/>
      <c r="E222" s="11"/>
      <c r="F222" s="11" t="str">
        <f>VLOOKUP(G222, SeanRanks!$A$2:$E$302, 4, FALSE)</f>
        <v/>
      </c>
      <c r="G222" s="11" t="s">
        <v>921</v>
      </c>
      <c r="H222" s="11" t="str">
        <f>VLOOKUP($G222, 'ADP Data'!$C$4:$Q$300, 2, FALSE)</f>
        <v>NYG</v>
      </c>
      <c r="I222" s="11">
        <f>VLOOKUP(G222, 'ADP Data'!$C$4:$R$498, 12, FALSE)</f>
        <v>217</v>
      </c>
      <c r="J222" s="11" t="str">
        <f>VLOOKUP($G222, SeanRanks!$A$2:$H$303, 5, FALSE)</f>
        <v/>
      </c>
      <c r="K222" s="11" t="str">
        <f>IF(VLOOKUP($G222, SeanRanks!$A$2:$H$303, 6, FALSE)=0, "", VLOOKUP($G222, SeanRanks!$A$2:$H$303, 6, FALSE))</f>
        <v/>
      </c>
      <c r="L222" s="11">
        <f t="shared" si="5"/>
        <v>34</v>
      </c>
      <c r="M222" s="11">
        <f>VLOOKUP($G222, 'ADP Data'!$C$4:$Q$300, 9, FALSE)</f>
        <v>265</v>
      </c>
      <c r="N222" s="11">
        <f t="shared" si="6"/>
        <v>20</v>
      </c>
      <c r="O222" s="11" t="str">
        <f>VLOOKUP($G222, 'ADP Data'!$C$4:$Q$300, 3, FALSE)</f>
        <v>-</v>
      </c>
      <c r="P222" s="11" t="str">
        <f t="shared" si="7"/>
        <v>#VALUE!</v>
      </c>
      <c r="Q222" s="11">
        <f>VLOOKUP($G222, 'ADP Data'!$C$4:$Q$300, 4, FALSE)</f>
        <v>239</v>
      </c>
      <c r="R222" s="11">
        <f>VLOOKUP($G222, 'ADP Data'!$C$4:$Q$300, 5, FALSE)</f>
        <v>264</v>
      </c>
      <c r="S222" s="11">
        <f>VLOOKUP($G222, 'ADP Data'!$C$4:$Q$300, 6, FALSE)</f>
        <v>243</v>
      </c>
      <c r="T222" s="11">
        <f>VLOOKUP($G222, 'ADP Data'!$C$4:$Q$300, 7, FALSE)</f>
        <v>238</v>
      </c>
      <c r="U222" s="11">
        <f>VLOOKUP($G222, 'ADP Data'!$C$4:$Q$300, 8, FALSE)</f>
        <v>225</v>
      </c>
      <c r="V222" s="11">
        <f t="shared" si="8"/>
        <v>245</v>
      </c>
      <c r="W222" s="11">
        <f t="shared" si="9"/>
        <v>31</v>
      </c>
      <c r="X222" s="11">
        <f t="shared" si="10"/>
        <v>-31</v>
      </c>
      <c r="Y222" s="11" t="str">
        <f>VLOOKUP($G222, SeanRanks!$A$2:$K$303, 10, FALSE)-V222</f>
        <v>#VALUE!</v>
      </c>
      <c r="Z222" s="29" t="str">
        <f>IF(VLOOKUP($G222, SeanRanks!$A$2:$H$303, 7, FALSE)=0, "", VLOOKUP($G222, SeanRanks!$A$2:$H$303, 7, FALSE))</f>
        <v/>
      </c>
    </row>
    <row r="223" ht="14.25" customHeight="1">
      <c r="A223" s="11"/>
      <c r="B223" s="11">
        <f t="shared" si="4"/>
        <v>11</v>
      </c>
      <c r="C223" s="11" t="s">
        <v>106</v>
      </c>
      <c r="D223" s="11"/>
      <c r="E223" s="11"/>
      <c r="F223" s="11" t="str">
        <f>VLOOKUP(G223, SeanRanks!$A$2:$E$302, 4, FALSE)</f>
        <v/>
      </c>
      <c r="G223" s="11" t="s">
        <v>210</v>
      </c>
      <c r="H223" s="11" t="str">
        <f>VLOOKUP($G223, 'ADP Data'!$C$4:$Q$300, 2, FALSE)</f>
        <v>NE</v>
      </c>
      <c r="I223" s="11">
        <f>VLOOKUP(G223, 'ADP Data'!$C$4:$R$498, 12, FALSE)</f>
        <v>110</v>
      </c>
      <c r="J223" s="11" t="str">
        <f>VLOOKUP($G223, SeanRanks!$A$2:$H$303, 5, FALSE)</f>
        <v/>
      </c>
      <c r="K223" s="11" t="str">
        <f>IF(VLOOKUP($G223, SeanRanks!$A$2:$H$303, 6, FALSE)=0, "", VLOOKUP($G223, SeanRanks!$A$2:$H$303, 6, FALSE))</f>
        <v>QB2 - 1 - League Winner</v>
      </c>
      <c r="L223" s="11">
        <f t="shared" si="5"/>
        <v>16</v>
      </c>
      <c r="M223" s="11">
        <f>VLOOKUP($G223, 'ADP Data'!$C$4:$Q$300, 9, FALSE)</f>
        <v>127</v>
      </c>
      <c r="N223" s="11">
        <f t="shared" si="6"/>
        <v>1</v>
      </c>
      <c r="O223" s="11">
        <f>VLOOKUP($G223, 'ADP Data'!$C$4:$Q$300, 3, FALSE)</f>
        <v>130</v>
      </c>
      <c r="P223" s="11">
        <f t="shared" si="7"/>
        <v>-3</v>
      </c>
      <c r="Q223" s="11">
        <f>VLOOKUP($G223, 'ADP Data'!$C$4:$Q$300, 4, FALSE)</f>
        <v>124</v>
      </c>
      <c r="R223" s="11">
        <f>VLOOKUP($G223, 'ADP Data'!$C$4:$Q$300, 5, FALSE)</f>
        <v>130</v>
      </c>
      <c r="S223" s="11">
        <f>VLOOKUP($G223, 'ADP Data'!$C$4:$Q$300, 6, FALSE)</f>
        <v>117</v>
      </c>
      <c r="T223" s="11">
        <f>VLOOKUP($G223, 'ADP Data'!$C$4:$Q$300, 7, FALSE)</f>
        <v>114</v>
      </c>
      <c r="U223" s="11">
        <f>VLOOKUP($G223, 'ADP Data'!$C$4:$Q$300, 8, FALSE)</f>
        <v>144</v>
      </c>
      <c r="V223" s="11">
        <f t="shared" si="8"/>
        <v>126</v>
      </c>
      <c r="W223" s="11">
        <f t="shared" si="9"/>
        <v>16</v>
      </c>
      <c r="X223" s="11">
        <f t="shared" si="10"/>
        <v>-16</v>
      </c>
      <c r="Y223" s="11">
        <f>VLOOKUP($G223, SeanRanks!$A$2:$K$303, 10, FALSE)-V223</f>
        <v>-27</v>
      </c>
      <c r="Z223" s="29">
        <f>IF(VLOOKUP($G223, SeanRanks!$A$2:$H$303, 7, FALSE)=0, "", VLOOKUP($G223, SeanRanks!$A$2:$H$303, 7, FALSE))</f>
        <v>14</v>
      </c>
    </row>
    <row r="224" ht="14.25" customHeight="1">
      <c r="A224" s="11"/>
      <c r="B224" s="11">
        <f t="shared" si="4"/>
        <v>12</v>
      </c>
      <c r="C224" s="11" t="s">
        <v>106</v>
      </c>
      <c r="D224" s="11"/>
      <c r="E224" s="11"/>
      <c r="F224" s="11" t="str">
        <f>VLOOKUP(G224, SeanRanks!$A$2:$E$302, 4, FALSE)</f>
        <v/>
      </c>
      <c r="G224" s="11" t="s">
        <v>407</v>
      </c>
      <c r="H224" s="11" t="str">
        <f>VLOOKUP($G224, 'ADP Data'!$C$4:$Q$300, 2, FALSE)</f>
        <v>JAX</v>
      </c>
      <c r="I224" s="11">
        <f>VLOOKUP(G224, 'ADP Data'!$C$4:$R$498, 12, FALSE)</f>
        <v>126</v>
      </c>
      <c r="J224" s="11" t="str">
        <f>VLOOKUP($G224, SeanRanks!$A$2:$H$303, 5, FALSE)</f>
        <v/>
      </c>
      <c r="K224" s="11" t="str">
        <f>IF(VLOOKUP($G224, SeanRanks!$A$2:$H$303, 6, FALSE)=0, "", VLOOKUP($G224, SeanRanks!$A$2:$H$303, 6, FALSE))</f>
        <v>RB4 - 1 - Path to spikes</v>
      </c>
      <c r="L224" s="11">
        <f t="shared" si="5"/>
        <v>16</v>
      </c>
      <c r="M224" s="11">
        <f>VLOOKUP($G224, 'ADP Data'!$C$4:$Q$300, 9, FALSE)</f>
        <v>122</v>
      </c>
      <c r="N224" s="11">
        <f t="shared" si="6"/>
        <v>-13</v>
      </c>
      <c r="O224" s="11">
        <f>VLOOKUP($G224, 'ADP Data'!$C$4:$Q$300, 3, FALSE)</f>
        <v>105</v>
      </c>
      <c r="P224" s="11">
        <f t="shared" si="7"/>
        <v>17</v>
      </c>
      <c r="Q224" s="11">
        <f>VLOOKUP($G224, 'ADP Data'!$C$4:$Q$300, 4, FALSE)</f>
        <v>132</v>
      </c>
      <c r="R224" s="11">
        <f>VLOOKUP($G224, 'ADP Data'!$C$4:$Q$300, 5, FALSE)</f>
        <v>139</v>
      </c>
      <c r="S224" s="11">
        <f>VLOOKUP($G224, 'ADP Data'!$C$4:$Q$300, 6, FALSE)</f>
        <v>120</v>
      </c>
      <c r="T224" s="11">
        <f>VLOOKUP($G224, 'ADP Data'!$C$4:$Q$300, 7, FALSE)</f>
        <v>118</v>
      </c>
      <c r="U224" s="11">
        <f>VLOOKUP($G224, 'ADP Data'!$C$4:$Q$300, 8, FALSE)</f>
        <v>209</v>
      </c>
      <c r="V224" s="11">
        <f t="shared" si="8"/>
        <v>135</v>
      </c>
      <c r="W224" s="11">
        <f t="shared" si="9"/>
        <v>17</v>
      </c>
      <c r="X224" s="11">
        <f t="shared" si="10"/>
        <v>-17</v>
      </c>
      <c r="Y224" s="11">
        <f>VLOOKUP($G224, SeanRanks!$A$2:$K$303, 10, FALSE)-V224</f>
        <v>-34</v>
      </c>
      <c r="Z224" s="29">
        <f>IF(VLOOKUP($G224, SeanRanks!$A$2:$H$303, 7, FALSE)=0, "", VLOOKUP($G224, SeanRanks!$A$2:$H$303, 7, FALSE))</f>
        <v>38</v>
      </c>
    </row>
    <row r="225" ht="14.25" customHeight="1">
      <c r="A225" s="11"/>
      <c r="B225" s="11">
        <f t="shared" si="4"/>
        <v>18</v>
      </c>
      <c r="C225" s="11" t="s">
        <v>106</v>
      </c>
      <c r="D225" s="11"/>
      <c r="E225" s="11"/>
      <c r="F225" s="11" t="str">
        <f>VLOOKUP(G225, SeanRanks!$A$2:$E$302, 4, FALSE)</f>
        <v/>
      </c>
      <c r="G225" s="11" t="s">
        <v>442</v>
      </c>
      <c r="H225" s="11" t="str">
        <f>VLOOKUP($G225, 'ADP Data'!$C$4:$Q$300, 2, FALSE)</f>
        <v>SEA</v>
      </c>
      <c r="I225" s="11">
        <f>VLOOKUP(G225, 'ADP Data'!$C$4:$R$498, 12, FALSE)</f>
        <v>173</v>
      </c>
      <c r="J225" s="11" t="str">
        <f>VLOOKUP($G225, SeanRanks!$A$2:$H$303, 5, FALSE)</f>
        <v/>
      </c>
      <c r="K225" s="11" t="str">
        <f>IF(VLOOKUP($G225, SeanRanks!$A$2:$H$303, 6, FALSE)=0, "", VLOOKUP($G225, SeanRanks!$A$2:$H$303, 6, FALSE))</f>
        <v>Don’t Draft - Streamer</v>
      </c>
      <c r="L225" s="11">
        <f t="shared" si="5"/>
        <v>29</v>
      </c>
      <c r="M225" s="11">
        <f>VLOOKUP($G225, 'ADP Data'!$C$4:$Q$300, 9, FALSE)</f>
        <v>226</v>
      </c>
      <c r="N225" s="11">
        <f t="shared" si="6"/>
        <v>16</v>
      </c>
      <c r="O225" s="11" t="str">
        <f>VLOOKUP($G225, 'ADP Data'!$C$4:$Q$300, 3, FALSE)</f>
        <v>-</v>
      </c>
      <c r="P225" s="11" t="str">
        <f t="shared" si="7"/>
        <v>#VALUE!</v>
      </c>
      <c r="Q225" s="11">
        <f>VLOOKUP($G225, 'ADP Data'!$C$4:$Q$300, 4, FALSE)</f>
        <v>204</v>
      </c>
      <c r="R225" s="11">
        <f>VLOOKUP($G225, 'ADP Data'!$C$4:$Q$300, 5, FALSE)</f>
        <v>222</v>
      </c>
      <c r="S225" s="11">
        <f>VLOOKUP($G225, 'ADP Data'!$C$4:$Q$300, 6, FALSE)</f>
        <v>213</v>
      </c>
      <c r="T225" s="11">
        <f>VLOOKUP($G225, 'ADP Data'!$C$4:$Q$300, 7, FALSE)</f>
        <v>196</v>
      </c>
      <c r="U225" s="11">
        <f>VLOOKUP($G225, 'ADP Data'!$C$4:$Q$300, 8, FALSE)</f>
        <v>201</v>
      </c>
      <c r="V225" s="11">
        <f t="shared" si="8"/>
        <v>210</v>
      </c>
      <c r="W225" s="11">
        <f t="shared" si="9"/>
        <v>27</v>
      </c>
      <c r="X225" s="11">
        <f t="shared" si="10"/>
        <v>-27</v>
      </c>
      <c r="Y225" s="11">
        <f>VLOOKUP($G225, SeanRanks!$A$2:$K$303, 10, FALSE)-V225</f>
        <v>12</v>
      </c>
      <c r="Z225" s="29" t="str">
        <f>IF(VLOOKUP($G225, SeanRanks!$A$2:$H$303, 7, FALSE)=0, "", VLOOKUP($G225, SeanRanks!$A$2:$H$303, 7, FALSE))</f>
        <v/>
      </c>
    </row>
    <row r="226" ht="14.25" customHeight="1">
      <c r="A226" s="11"/>
      <c r="B226" s="11">
        <f t="shared" si="4"/>
        <v>23</v>
      </c>
      <c r="C226" s="11" t="s">
        <v>106</v>
      </c>
      <c r="D226" s="11"/>
      <c r="E226" s="11"/>
      <c r="F226" s="11" t="str">
        <f>VLOOKUP(G226, SeanRanks!$A$2:$E$302, 4, FALSE)</f>
        <v/>
      </c>
      <c r="G226" s="11" t="s">
        <v>389</v>
      </c>
      <c r="H226" s="11" t="str">
        <f>VLOOKUP($G226, 'ADP Data'!$C$4:$Q$300, 2, FALSE)</f>
        <v>NO</v>
      </c>
      <c r="I226" s="11">
        <f>VLOOKUP(G226, 'ADP Data'!$C$4:$R$498, 12, FALSE)</f>
        <v>212</v>
      </c>
      <c r="J226" s="11" t="str">
        <f>VLOOKUP($G226, SeanRanks!$A$2:$H$303, 5, FALSE)</f>
        <v/>
      </c>
      <c r="K226" s="11" t="str">
        <f>IF(VLOOKUP($G226, SeanRanks!$A$2:$H$303, 6, FALSE)=0, "", VLOOKUP($G226, SeanRanks!$A$2:$H$303, 6, FALSE))</f>
        <v/>
      </c>
      <c r="L226" s="11">
        <f t="shared" si="5"/>
        <v>35</v>
      </c>
      <c r="M226" s="11">
        <f>VLOOKUP($G226, 'ADP Data'!$C$4:$Q$300, 9, FALSE)</f>
        <v>273</v>
      </c>
      <c r="N226" s="11">
        <f t="shared" si="6"/>
        <v>5</v>
      </c>
      <c r="O226" s="11" t="str">
        <f>VLOOKUP($G226, 'ADP Data'!$C$4:$Q$300, 3, FALSE)</f>
        <v>-</v>
      </c>
      <c r="P226" s="11" t="str">
        <f t="shared" si="7"/>
        <v>#VALUE!</v>
      </c>
      <c r="Q226" s="11" t="str">
        <f>VLOOKUP($G226, 'ADP Data'!$C$4:$Q$300, 4, FALSE)</f>
        <v>-</v>
      </c>
      <c r="R226" s="11">
        <f>VLOOKUP($G226, 'ADP Data'!$C$4:$Q$300, 5, FALSE)</f>
        <v>311</v>
      </c>
      <c r="S226" s="11">
        <f>VLOOKUP($G226, 'ADP Data'!$C$4:$Q$300, 6, FALSE)</f>
        <v>223</v>
      </c>
      <c r="T226" s="11">
        <f>VLOOKUP($G226, 'ADP Data'!$C$4:$Q$300, 7, FALSE)</f>
        <v>256</v>
      </c>
      <c r="U226" s="11">
        <f>VLOOKUP($G226, 'ADP Data'!$C$4:$Q$300, 8, FALSE)</f>
        <v>279</v>
      </c>
      <c r="V226" s="11">
        <f t="shared" si="8"/>
        <v>268</v>
      </c>
      <c r="W226" s="11">
        <f t="shared" si="9"/>
        <v>34</v>
      </c>
      <c r="X226" s="11">
        <f t="shared" si="10"/>
        <v>-34</v>
      </c>
      <c r="Y226" s="11" t="str">
        <f>VLOOKUP($G226, SeanRanks!$A$2:$K$303, 10, FALSE)-V226</f>
        <v>#VALUE!</v>
      </c>
      <c r="Z226" s="29" t="str">
        <f>IF(VLOOKUP($G226, SeanRanks!$A$2:$H$303, 7, FALSE)=0, "", VLOOKUP($G226, SeanRanks!$A$2:$H$303, 7, FALSE))</f>
        <v/>
      </c>
    </row>
    <row r="227" ht="14.25" customHeight="1">
      <c r="A227" s="11"/>
      <c r="B227" s="11">
        <f t="shared" si="4"/>
        <v>19</v>
      </c>
      <c r="C227" s="11" t="s">
        <v>106</v>
      </c>
      <c r="D227" s="11"/>
      <c r="E227" s="11"/>
      <c r="F227" s="11" t="str">
        <f>VLOOKUP(G227, SeanRanks!$A$2:$E$302, 4, FALSE)</f>
        <v/>
      </c>
      <c r="G227" s="11" t="s">
        <v>532</v>
      </c>
      <c r="H227" s="11" t="str">
        <f>VLOOKUP($G227, 'ADP Data'!$C$4:$Q$300, 2, FALSE)</f>
        <v>LAC</v>
      </c>
      <c r="I227" s="11" t="str">
        <f>VLOOKUP(G227, 'ADP Data'!$C$4:$R$498, 12, FALSE)</f>
        <v>-</v>
      </c>
      <c r="J227" s="11" t="str">
        <f>VLOOKUP($G227, SeanRanks!$A$2:$H$303, 5, FALSE)</f>
        <v/>
      </c>
      <c r="K227" s="11" t="str">
        <f>IF(VLOOKUP($G227, SeanRanks!$A$2:$H$303, 6, FALSE)=0, "", VLOOKUP($G227, SeanRanks!$A$2:$H$303, 6, FALSE))</f>
        <v/>
      </c>
      <c r="L227" s="11">
        <f t="shared" si="5"/>
        <v>31</v>
      </c>
      <c r="M227" s="11">
        <f>VLOOKUP($G227, 'ADP Data'!$C$4:$Q$300, 9, FALSE)</f>
        <v>246</v>
      </c>
      <c r="N227" s="11">
        <f t="shared" si="6"/>
        <v>26</v>
      </c>
      <c r="O227" s="11">
        <f>VLOOKUP($G227, 'ADP Data'!$C$4:$Q$300, 3, FALSE)</f>
        <v>174</v>
      </c>
      <c r="P227" s="11">
        <f t="shared" si="7"/>
        <v>72</v>
      </c>
      <c r="Q227" s="11">
        <f>VLOOKUP($G227, 'ADP Data'!$C$4:$Q$300, 4, FALSE)</f>
        <v>244</v>
      </c>
      <c r="R227" s="11">
        <f>VLOOKUP($G227, 'ADP Data'!$C$4:$Q$300, 5, FALSE)</f>
        <v>251</v>
      </c>
      <c r="S227" s="11">
        <f>VLOOKUP($G227, 'ADP Data'!$C$4:$Q$300, 6, FALSE)</f>
        <v>273</v>
      </c>
      <c r="T227" s="11">
        <f>VLOOKUP($G227, 'ADP Data'!$C$4:$Q$300, 7, FALSE)</f>
        <v>197</v>
      </c>
      <c r="U227" s="11">
        <f>VLOOKUP($G227, 'ADP Data'!$C$4:$Q$300, 8, FALSE)</f>
        <v>158</v>
      </c>
      <c r="V227" s="11">
        <f t="shared" si="8"/>
        <v>220</v>
      </c>
      <c r="W227" s="11">
        <f t="shared" si="9"/>
        <v>28</v>
      </c>
      <c r="X227" s="11">
        <f t="shared" si="10"/>
        <v>-28</v>
      </c>
      <c r="Y227" s="11">
        <f>VLOOKUP($G227, SeanRanks!$A$2:$K$303, 10, FALSE)-V227</f>
        <v>-33</v>
      </c>
      <c r="Z227" s="29" t="str">
        <f>IF(VLOOKUP($G227, SeanRanks!$A$2:$H$303, 7, FALSE)=0, "", VLOOKUP($G227, SeanRanks!$A$2:$H$303, 7, FALSE))</f>
        <v/>
      </c>
    </row>
    <row r="228" ht="14.25" customHeight="1">
      <c r="A228" s="11"/>
      <c r="B228" s="11">
        <f t="shared" si="4"/>
        <v>18</v>
      </c>
      <c r="C228" s="11" t="s">
        <v>106</v>
      </c>
      <c r="D228" s="11"/>
      <c r="E228" s="11"/>
      <c r="F228" s="11" t="str">
        <f>VLOOKUP(G228, SeanRanks!$A$2:$E$302, 4, FALSE)</f>
        <v/>
      </c>
      <c r="G228" s="11" t="s">
        <v>922</v>
      </c>
      <c r="H228" s="11" t="str">
        <f>VLOOKUP($G228, 'ADP Data'!$C$4:$Q$300, 2, FALSE)</f>
        <v>PHI</v>
      </c>
      <c r="I228" s="11" t="str">
        <f>VLOOKUP(G228, 'ADP Data'!$C$4:$R$498, 12, FALSE)</f>
        <v>-</v>
      </c>
      <c r="J228" s="11" t="str">
        <f>VLOOKUP($G228, SeanRanks!$A$2:$H$303, 5, FALSE)</f>
        <v/>
      </c>
      <c r="K228" s="11" t="str">
        <f>IF(VLOOKUP($G228, SeanRanks!$A$2:$H$303, 6, FALSE)=0, "", VLOOKUP($G228, SeanRanks!$A$2:$H$303, 6, FALSE))</f>
        <v/>
      </c>
      <c r="L228" s="11">
        <f t="shared" si="5"/>
        <v>27</v>
      </c>
      <c r="M228" s="11">
        <f>VLOOKUP($G228, 'ADP Data'!$C$4:$Q$300, 9, FALSE)</f>
        <v>214</v>
      </c>
      <c r="N228" s="11">
        <f t="shared" si="6"/>
        <v>16</v>
      </c>
      <c r="O228" s="11">
        <f>VLOOKUP($G228, 'ADP Data'!$C$4:$Q$300, 3, FALSE)</f>
        <v>182</v>
      </c>
      <c r="P228" s="11">
        <f t="shared" si="7"/>
        <v>32</v>
      </c>
      <c r="Q228" s="11"/>
      <c r="R228" s="11"/>
      <c r="S228" s="11"/>
      <c r="T228" s="11"/>
      <c r="U228" s="11"/>
      <c r="V228" s="11">
        <f t="shared" si="8"/>
        <v>198</v>
      </c>
      <c r="W228" s="11">
        <f t="shared" si="9"/>
        <v>25</v>
      </c>
      <c r="X228" s="11">
        <f t="shared" si="10"/>
        <v>-25</v>
      </c>
      <c r="Y228" s="11">
        <f>VLOOKUP($G228, SeanRanks!$A$2:$K$303, 10, FALSE)-V228</f>
        <v>36</v>
      </c>
      <c r="Z228" s="29" t="str">
        <f>IF(VLOOKUP($G228, SeanRanks!$A$2:$H$303, 7, FALSE)=0, "", VLOOKUP($G228, SeanRanks!$A$2:$H$303, 7, FALSE))</f>
        <v/>
      </c>
    </row>
    <row r="229" ht="14.25" customHeight="1">
      <c r="A229" s="11"/>
      <c r="B229" s="11">
        <f t="shared" si="4"/>
        <v>19</v>
      </c>
      <c r="C229" s="11" t="s">
        <v>106</v>
      </c>
      <c r="D229" s="11"/>
      <c r="E229" s="11"/>
      <c r="F229" s="11" t="str">
        <f>VLOOKUP(G229, SeanRanks!$A$2:$E$302, 4, FALSE)</f>
        <v/>
      </c>
      <c r="G229" s="11" t="s">
        <v>491</v>
      </c>
      <c r="H229" s="11" t="str">
        <f>VLOOKUP($G229, 'ADP Data'!$C$4:$Q$300, 2, FALSE)</f>
        <v>SEA</v>
      </c>
      <c r="I229" s="11" t="str">
        <f>VLOOKUP(G229, 'ADP Data'!$C$4:$R$498, 12, FALSE)</f>
        <v>-</v>
      </c>
      <c r="J229" s="11" t="str">
        <f>VLOOKUP($G229, SeanRanks!$A$2:$H$303, 5, FALSE)</f>
        <v/>
      </c>
      <c r="K229" s="11" t="str">
        <f>IF(VLOOKUP($G229, SeanRanks!$A$2:$H$303, 6, FALSE)=0, "", VLOOKUP($G229, SeanRanks!$A$2:$H$303, 6, FALSE))</f>
        <v/>
      </c>
      <c r="L229" s="11">
        <f t="shared" si="5"/>
        <v>23</v>
      </c>
      <c r="M229" s="11">
        <f>VLOOKUP($G229, 'ADP Data'!$C$4:$Q$300, 9, FALSE)</f>
        <v>183</v>
      </c>
      <c r="N229" s="11">
        <f t="shared" si="6"/>
        <v>-26</v>
      </c>
      <c r="O229" s="11">
        <f>VLOOKUP($G229, 'ADP Data'!$C$4:$Q$300, 3, FALSE)</f>
        <v>196</v>
      </c>
      <c r="P229" s="11">
        <f t="shared" si="7"/>
        <v>-13</v>
      </c>
      <c r="Q229" s="11">
        <f>VLOOKUP($G229, 'ADP Data'!$C$4:$Q$300, 4, FALSE)</f>
        <v>142</v>
      </c>
      <c r="R229" s="11">
        <f>VLOOKUP($G229, 'ADP Data'!$C$4:$Q$300, 5, FALSE)</f>
        <v>273</v>
      </c>
      <c r="S229" s="11">
        <f>VLOOKUP($G229, 'ADP Data'!$C$4:$Q$300, 6, FALSE)</f>
        <v>268</v>
      </c>
      <c r="T229" s="11">
        <f>VLOOKUP($G229, 'ADP Data'!$C$4:$Q$300, 7, FALSE)</f>
        <v>225</v>
      </c>
      <c r="U229" s="11">
        <f>VLOOKUP($G229, 'ADP Data'!$C$4:$Q$300, 8, FALSE)</f>
        <v>179</v>
      </c>
      <c r="V229" s="11">
        <f t="shared" si="8"/>
        <v>209</v>
      </c>
      <c r="W229" s="11">
        <f t="shared" si="9"/>
        <v>27</v>
      </c>
      <c r="X229" s="11">
        <f t="shared" si="10"/>
        <v>-27</v>
      </c>
      <c r="Y229" s="11">
        <f>VLOOKUP($G229, SeanRanks!$A$2:$K$303, 10, FALSE)-V229</f>
        <v>-12</v>
      </c>
      <c r="Z229" s="29" t="str">
        <f>IF(VLOOKUP($G229, SeanRanks!$A$2:$H$303, 7, FALSE)=0, "", VLOOKUP($G229, SeanRanks!$A$2:$H$303, 7, FALSE))</f>
        <v/>
      </c>
    </row>
    <row r="230" ht="14.25" customHeight="1">
      <c r="A230" s="11"/>
      <c r="B230" s="11">
        <f t="shared" si="4"/>
        <v>19</v>
      </c>
      <c r="C230" s="11" t="s">
        <v>106</v>
      </c>
      <c r="D230" s="11"/>
      <c r="E230" s="11"/>
      <c r="F230" s="11" t="str">
        <f>VLOOKUP(G230, SeanRanks!$A$2:$E$302, 4, FALSE)</f>
        <v/>
      </c>
      <c r="G230" s="11" t="s">
        <v>645</v>
      </c>
      <c r="H230" s="11" t="str">
        <f>VLOOKUP($G230, 'ADP Data'!$C$4:$Q$300, 2, FALSE)</f>
        <v>CIN</v>
      </c>
      <c r="I230" s="11">
        <f>VLOOKUP(G230, 'ADP Data'!$C$4:$R$498, 12, FALSE)</f>
        <v>206</v>
      </c>
      <c r="J230" s="11" t="str">
        <f>VLOOKUP($G230, SeanRanks!$A$2:$H$303, 5, FALSE)</f>
        <v/>
      </c>
      <c r="K230" s="11" t="str">
        <f>IF(VLOOKUP($G230, SeanRanks!$A$2:$H$303, 6, FALSE)=0, "", VLOOKUP($G230, SeanRanks!$A$2:$H$303, 6, FALSE))</f>
        <v/>
      </c>
      <c r="L230" s="11">
        <f t="shared" si="5"/>
        <v>27</v>
      </c>
      <c r="M230" s="11">
        <f>VLOOKUP($G230, 'ADP Data'!$C$4:$Q$300, 9, FALSE)</f>
        <v>209</v>
      </c>
      <c r="N230" s="11">
        <f t="shared" si="6"/>
        <v>-13</v>
      </c>
      <c r="O230" s="11" t="str">
        <f>VLOOKUP($G230, 'ADP Data'!$C$4:$Q$300, 3, FALSE)</f>
        <v>-</v>
      </c>
      <c r="P230" s="11" t="str">
        <f t="shared" si="7"/>
        <v>#VALUE!</v>
      </c>
      <c r="Q230" s="11" t="str">
        <f>VLOOKUP($G230, 'ADP Data'!$C$4:$Q$300, 4, FALSE)</f>
        <v>-</v>
      </c>
      <c r="R230" s="11">
        <f>VLOOKUP($G230, 'ADP Data'!$C$4:$Q$300, 5, FALSE)</f>
        <v>237</v>
      </c>
      <c r="S230" s="11">
        <f>VLOOKUP($G230, 'ADP Data'!$C$4:$Q$300, 6, FALSE)</f>
        <v>180</v>
      </c>
      <c r="T230" s="11">
        <f>VLOOKUP($G230, 'ADP Data'!$C$4:$Q$300, 7, FALSE)</f>
        <v>220</v>
      </c>
      <c r="U230" s="11">
        <f>VLOOKUP($G230, 'ADP Data'!$C$4:$Q$300, 8, FALSE)</f>
        <v>265</v>
      </c>
      <c r="V230" s="11">
        <f t="shared" si="8"/>
        <v>222</v>
      </c>
      <c r="W230" s="11">
        <f t="shared" si="9"/>
        <v>28</v>
      </c>
      <c r="X230" s="11">
        <f t="shared" si="10"/>
        <v>-28</v>
      </c>
      <c r="Y230" s="11">
        <f>VLOOKUP($G230, SeanRanks!$A$2:$K$303, 10, FALSE)-V230</f>
        <v>11</v>
      </c>
      <c r="Z230" s="29" t="str">
        <f>IF(VLOOKUP($G230, SeanRanks!$A$2:$H$303, 7, FALSE)=0, "", VLOOKUP($G230, SeanRanks!$A$2:$H$303, 7, FALSE))</f>
        <v/>
      </c>
    </row>
    <row r="231" ht="14.25" customHeight="1">
      <c r="A231" s="11"/>
      <c r="B231" s="11" t="str">
        <f t="shared" si="4"/>
        <v>#DIV/0!</v>
      </c>
      <c r="C231" s="11" t="s">
        <v>106</v>
      </c>
      <c r="D231" s="11"/>
      <c r="E231" s="11"/>
      <c r="F231" s="11" t="str">
        <f>VLOOKUP(G231, SeanRanks!$A$2:$E$302, 4, FALSE)</f>
        <v/>
      </c>
      <c r="G231" s="11" t="s">
        <v>923</v>
      </c>
      <c r="H231" s="11" t="str">
        <f>VLOOKUP($G231, 'ADP Data'!$C$4:$Q$300, 2, FALSE)</f>
        <v>MIA</v>
      </c>
      <c r="I231" s="11" t="str">
        <f>VLOOKUP(G231, 'ADP Data'!$C$4:$R$498, 12, FALSE)</f>
        <v>-</v>
      </c>
      <c r="J231" s="11" t="str">
        <f>VLOOKUP($G231, SeanRanks!$A$2:$H$303, 5, FALSE)</f>
        <v/>
      </c>
      <c r="K231" s="11" t="str">
        <f>IF(VLOOKUP($G231, SeanRanks!$A$2:$H$303, 6, FALSE)=0, "", VLOOKUP($G231, SeanRanks!$A$2:$H$303, 6, FALSE))</f>
        <v/>
      </c>
      <c r="L231" s="11">
        <f t="shared" si="5"/>
        <v>16</v>
      </c>
      <c r="M231" s="11" t="str">
        <f>VLOOKUP($G231, 'ADP Data'!$C$4:$Q$300, 9, FALSE)</f>
        <v>-</v>
      </c>
      <c r="N231" s="11" t="str">
        <f t="shared" si="6"/>
        <v>#VALUE!</v>
      </c>
      <c r="O231" s="11">
        <f>VLOOKUP($G231, 'ADP Data'!$C$4:$Q$300, 3, FALSE)</f>
        <v>188</v>
      </c>
      <c r="P231" s="11" t="str">
        <f t="shared" si="7"/>
        <v>#VALUE!</v>
      </c>
      <c r="Q231" s="11"/>
      <c r="R231" s="11"/>
      <c r="S231" s="11"/>
      <c r="T231" s="11"/>
      <c r="U231" s="11"/>
      <c r="V231" s="11">
        <f t="shared" si="8"/>
        <v>188</v>
      </c>
      <c r="W231" s="11">
        <f t="shared" si="9"/>
        <v>24</v>
      </c>
      <c r="X231" s="11">
        <f t="shared" si="10"/>
        <v>-24</v>
      </c>
      <c r="Y231" s="11">
        <f>VLOOKUP($G231, SeanRanks!$A$2:$K$303, 10, FALSE)-V231</f>
        <v>36</v>
      </c>
      <c r="Z231" s="29" t="str">
        <f>IF(VLOOKUP($G231, SeanRanks!$A$2:$H$303, 7, FALSE)=0, "", VLOOKUP($G231, SeanRanks!$A$2:$H$303, 7, FALSE))</f>
        <v/>
      </c>
    </row>
    <row r="232" ht="14.25" customHeight="1">
      <c r="A232" s="11"/>
      <c r="B232" s="11">
        <f t="shared" si="4"/>
        <v>19</v>
      </c>
      <c r="C232" s="11" t="s">
        <v>106</v>
      </c>
      <c r="D232" s="11"/>
      <c r="E232" s="11"/>
      <c r="F232" s="11" t="str">
        <f>VLOOKUP(G232, SeanRanks!$A$2:$E$302, 4, FALSE)</f>
        <v/>
      </c>
      <c r="G232" s="11" t="s">
        <v>606</v>
      </c>
      <c r="H232" s="11" t="str">
        <f>VLOOKUP($G232, 'ADP Data'!$C$4:$Q$300, 2, FALSE)</f>
        <v>BAL</v>
      </c>
      <c r="I232" s="11">
        <f>VLOOKUP(G232, 'ADP Data'!$C$4:$R$498, 12, FALSE)</f>
        <v>205</v>
      </c>
      <c r="J232" s="11" t="str">
        <f>VLOOKUP($G232, SeanRanks!$A$2:$H$303, 5, FALSE)</f>
        <v/>
      </c>
      <c r="K232" s="11" t="str">
        <f>IF(VLOOKUP($G232, SeanRanks!$A$2:$H$303, 6, FALSE)=0, "", VLOOKUP($G232, SeanRanks!$A$2:$H$303, 6, FALSE))</f>
        <v/>
      </c>
      <c r="L232" s="11">
        <f t="shared" si="5"/>
        <v>27</v>
      </c>
      <c r="M232" s="11">
        <f>VLOOKUP($G232, 'ADP Data'!$C$4:$Q$300, 9, FALSE)</f>
        <v>213</v>
      </c>
      <c r="N232" s="11">
        <f t="shared" si="6"/>
        <v>-8</v>
      </c>
      <c r="O232" s="11" t="str">
        <f>VLOOKUP($G232, 'ADP Data'!$C$4:$Q$300, 3, FALSE)</f>
        <v>-</v>
      </c>
      <c r="P232" s="11" t="str">
        <f t="shared" si="7"/>
        <v>#VALUE!</v>
      </c>
      <c r="Q232" s="11" t="str">
        <f>VLOOKUP($G232, 'ADP Data'!$C$4:$Q$300, 4, FALSE)</f>
        <v>-</v>
      </c>
      <c r="R232" s="11">
        <f>VLOOKUP($G232, 'ADP Data'!$C$4:$Q$300, 5, FALSE)</f>
        <v>278</v>
      </c>
      <c r="S232" s="11">
        <f>VLOOKUP($G232, 'ADP Data'!$C$4:$Q$300, 6, FALSE)</f>
        <v>193</v>
      </c>
      <c r="T232" s="11">
        <f>VLOOKUP($G232, 'ADP Data'!$C$4:$Q$300, 7, FALSE)</f>
        <v>190</v>
      </c>
      <c r="U232" s="11">
        <f>VLOOKUP($G232, 'ADP Data'!$C$4:$Q$300, 8, FALSE)</f>
        <v>232</v>
      </c>
      <c r="V232" s="11">
        <f t="shared" si="8"/>
        <v>221</v>
      </c>
      <c r="W232" s="11">
        <f t="shared" si="9"/>
        <v>28</v>
      </c>
      <c r="X232" s="11">
        <f t="shared" si="10"/>
        <v>-28</v>
      </c>
      <c r="Y232" s="11" t="str">
        <f>VLOOKUP($G232, SeanRanks!$A$2:$K$303, 10, FALSE)-V232</f>
        <v>#VALUE!</v>
      </c>
      <c r="Z232" s="29" t="str">
        <f>IF(VLOOKUP($G232, SeanRanks!$A$2:$H$303, 7, FALSE)=0, "", VLOOKUP($G232, SeanRanks!$A$2:$H$303, 7, FALSE))</f>
        <v/>
      </c>
    </row>
    <row r="233" ht="14.25" customHeight="1">
      <c r="A233" s="11"/>
      <c r="B233" s="11">
        <f t="shared" si="4"/>
        <v>20</v>
      </c>
      <c r="C233" s="11" t="s">
        <v>106</v>
      </c>
      <c r="D233" s="11"/>
      <c r="E233" s="11"/>
      <c r="F233" s="11" t="str">
        <f>VLOOKUP(G233, SeanRanks!$A$2:$E$302, 4, FALSE)</f>
        <v/>
      </c>
      <c r="G233" s="11" t="s">
        <v>451</v>
      </c>
      <c r="H233" s="11" t="str">
        <f>VLOOKUP($G233, 'ADP Data'!$C$4:$Q$300, 2, FALSE)</f>
        <v>TB</v>
      </c>
      <c r="I233" s="11">
        <f>VLOOKUP(G233, 'ADP Data'!$C$4:$R$498, 12, FALSE)</f>
        <v>237</v>
      </c>
      <c r="J233" s="11" t="str">
        <f>VLOOKUP($G233, SeanRanks!$A$2:$H$303, 5, FALSE)</f>
        <v/>
      </c>
      <c r="K233" s="11" t="str">
        <f>IF(VLOOKUP($G233, SeanRanks!$A$2:$H$303, 6, FALSE)=0, "", VLOOKUP($G233, SeanRanks!$A$2:$H$303, 6, FALSE))</f>
        <v/>
      </c>
      <c r="L233" s="11">
        <f t="shared" si="5"/>
        <v>23</v>
      </c>
      <c r="M233" s="11">
        <f>VLOOKUP($G233, 'ADP Data'!$C$4:$Q$300, 9, FALSE)</f>
        <v>177</v>
      </c>
      <c r="N233" s="11">
        <f t="shared" si="6"/>
        <v>-45</v>
      </c>
      <c r="O233" s="11" t="str">
        <f>VLOOKUP($G233, 'ADP Data'!$C$4:$Q$300, 3, FALSE)</f>
        <v>-</v>
      </c>
      <c r="P233" s="11" t="str">
        <f t="shared" si="7"/>
        <v>#VALUE!</v>
      </c>
      <c r="Q233" s="11" t="str">
        <f>VLOOKUP($G233, 'ADP Data'!$C$4:$Q$300, 4, FALSE)</f>
        <v>-</v>
      </c>
      <c r="R233" s="11" t="str">
        <f>VLOOKUP($G233, 'ADP Data'!$C$4:$Q$300, 5, FALSE)</f>
        <v>-</v>
      </c>
      <c r="S233" s="11">
        <f>VLOOKUP($G233, 'ADP Data'!$C$4:$Q$300, 6, FALSE)</f>
        <v>277</v>
      </c>
      <c r="T233" s="11">
        <f>VLOOKUP($G233, 'ADP Data'!$C$4:$Q$300, 7, FALSE)</f>
        <v>205</v>
      </c>
      <c r="U233" s="11">
        <f>VLOOKUP($G233, 'ADP Data'!$C$4:$Q$300, 8, FALSE)</f>
        <v>231</v>
      </c>
      <c r="V233" s="11">
        <f t="shared" si="8"/>
        <v>222</v>
      </c>
      <c r="W233" s="11">
        <f t="shared" si="9"/>
        <v>28</v>
      </c>
      <c r="X233" s="11">
        <f t="shared" si="10"/>
        <v>-28</v>
      </c>
      <c r="Y233" s="11" t="str">
        <f>VLOOKUP($G233, SeanRanks!$A$2:$K$303, 10, FALSE)-V233</f>
        <v>#VALUE!</v>
      </c>
      <c r="Z233" s="29" t="str">
        <f>IF(VLOOKUP($G233, SeanRanks!$A$2:$H$303, 7, FALSE)=0, "", VLOOKUP($G233, SeanRanks!$A$2:$H$303, 7, FALSE))</f>
        <v/>
      </c>
    </row>
    <row r="234" ht="14.25" customHeight="1">
      <c r="A234" s="11"/>
      <c r="B234" s="11" t="str">
        <f t="shared" si="4"/>
        <v>#N/A</v>
      </c>
      <c r="C234" s="11" t="s">
        <v>106</v>
      </c>
      <c r="D234" s="11"/>
      <c r="E234" s="11"/>
      <c r="F234" s="11" t="str">
        <f>VLOOKUP(G234, SeanRanks!$A$2:$E$302, 4, FALSE)</f>
        <v>#N/A</v>
      </c>
      <c r="G234" s="11" t="s">
        <v>924</v>
      </c>
      <c r="H234" s="11" t="str">
        <f>VLOOKUP($G234, 'ADP Data'!$C$4:$Q$300, 2, FALSE)</f>
        <v>#N/A</v>
      </c>
      <c r="I234" s="11" t="str">
        <f>VLOOKUP(G234, 'ADP Data'!$C$4:$R$498, 12, FALSE)</f>
        <v>#N/A</v>
      </c>
      <c r="J234" s="11" t="str">
        <f>VLOOKUP($G234, SeanRanks!$A$2:$H$303, 5, FALSE)</f>
        <v>#N/A</v>
      </c>
      <c r="K234" s="11" t="str">
        <f>IF(VLOOKUP($G234, SeanRanks!$A$2:$H$303, 6, FALSE)=0, "", VLOOKUP($G234, SeanRanks!$A$2:$H$303, 6, FALSE))</f>
        <v>#N/A</v>
      </c>
      <c r="L234" s="11">
        <f t="shared" si="5"/>
        <v>16</v>
      </c>
      <c r="M234" s="11" t="str">
        <f>VLOOKUP($G234, 'ADP Data'!$C$4:$Q$300, 9, FALSE)</f>
        <v>#N/A</v>
      </c>
      <c r="N234" s="11" t="str">
        <f t="shared" si="6"/>
        <v>#N/A</v>
      </c>
      <c r="O234" s="11" t="str">
        <f>VLOOKUP($G234, 'ADP Data'!$C$4:$Q$300, 3, FALSE)</f>
        <v>#N/A</v>
      </c>
      <c r="P234" s="11" t="str">
        <f t="shared" si="7"/>
        <v>#N/A</v>
      </c>
      <c r="Q234" s="11" t="str">
        <f>VLOOKUP($G234, 'ADP Data'!$C$4:$Q$300, 4, FALSE)</f>
        <v>#N/A</v>
      </c>
      <c r="R234" s="11" t="str">
        <f>VLOOKUP($G234, 'ADP Data'!$C$4:$Q$300, 5, FALSE)</f>
        <v>#N/A</v>
      </c>
      <c r="S234" s="11" t="str">
        <f>VLOOKUP($G234, 'ADP Data'!$C$4:$Q$300, 6, FALSE)</f>
        <v>#N/A</v>
      </c>
      <c r="T234" s="11" t="str">
        <f>VLOOKUP($G234, 'ADP Data'!$C$4:$Q$300, 7, FALSE)</f>
        <v>#N/A</v>
      </c>
      <c r="U234" s="11" t="str">
        <f>VLOOKUP($G234, 'ADP Data'!$C$4:$Q$300, 8, FALSE)</f>
        <v>#N/A</v>
      </c>
      <c r="V234" s="11" t="str">
        <f t="shared" si="8"/>
        <v>#N/A</v>
      </c>
      <c r="W234" s="11">
        <f t="shared" si="9"/>
        <v>16</v>
      </c>
      <c r="X234" s="11">
        <f t="shared" si="10"/>
        <v>-16</v>
      </c>
      <c r="Y234" s="11" t="str">
        <f>VLOOKUP($G234, SeanRanks!$A$2:$K$303, 10, FALSE)-V234</f>
        <v>#N/A</v>
      </c>
      <c r="Z234" s="29" t="str">
        <f>IF(VLOOKUP($G234, SeanRanks!$A$2:$H$303, 7, FALSE)=0, "", VLOOKUP($G234, SeanRanks!$A$2:$H$303, 7, FALSE))</f>
        <v>#N/A</v>
      </c>
    </row>
    <row r="235" ht="14.25" customHeight="1">
      <c r="A235" s="11"/>
      <c r="B235" s="11">
        <f t="shared" si="4"/>
        <v>18</v>
      </c>
      <c r="C235" s="11" t="s">
        <v>106</v>
      </c>
      <c r="D235" s="11"/>
      <c r="E235" s="11"/>
      <c r="F235" s="11" t="str">
        <f>VLOOKUP(G235, SeanRanks!$A$2:$E$302, 4, FALSE)</f>
        <v/>
      </c>
      <c r="G235" s="11" t="s">
        <v>925</v>
      </c>
      <c r="H235" s="11" t="str">
        <f>VLOOKUP($G235, 'ADP Data'!$C$4:$Q$300, 2, FALSE)</f>
        <v>NO</v>
      </c>
      <c r="I235" s="11">
        <f>VLOOKUP(G235, 'ADP Data'!$C$4:$R$498, 12, FALSE)</f>
        <v>209</v>
      </c>
      <c r="J235" s="11" t="str">
        <f>VLOOKUP($G235, SeanRanks!$A$2:$H$303, 5, FALSE)</f>
        <v/>
      </c>
      <c r="K235" s="11" t="str">
        <f>IF(VLOOKUP($G235, SeanRanks!$A$2:$H$303, 6, FALSE)=0, "", VLOOKUP($G235, SeanRanks!$A$2:$H$303, 6, FALSE))</f>
        <v/>
      </c>
      <c r="L235" s="11">
        <f t="shared" si="5"/>
        <v>34</v>
      </c>
      <c r="M235" s="11">
        <f>VLOOKUP($G235, 'ADP Data'!$C$4:$Q$300, 9, FALSE)</f>
        <v>266</v>
      </c>
      <c r="N235" s="11">
        <f t="shared" si="6"/>
        <v>47</v>
      </c>
      <c r="O235" s="11">
        <f>VLOOKUP($G235, 'ADP Data'!$C$4:$Q$300, 3, FALSE)</f>
        <v>202</v>
      </c>
      <c r="P235" s="11">
        <f t="shared" si="7"/>
        <v>64</v>
      </c>
      <c r="Q235" s="11" t="str">
        <f>VLOOKUP($G235, 'ADP Data'!$C$4:$Q$300, 4, FALSE)</f>
        <v>-</v>
      </c>
      <c r="R235" s="11">
        <f>VLOOKUP($G235, 'ADP Data'!$C$4:$Q$300, 5, FALSE)</f>
        <v>233</v>
      </c>
      <c r="S235" s="11">
        <f>VLOOKUP($G235, 'ADP Data'!$C$4:$Q$300, 6, FALSE)</f>
        <v>189</v>
      </c>
      <c r="T235" s="11">
        <f>VLOOKUP($G235, 'ADP Data'!$C$4:$Q$300, 7, FALSE)</f>
        <v>206</v>
      </c>
      <c r="U235" s="11" t="str">
        <f>VLOOKUP($G235, 'ADP Data'!$C$4:$Q$300, 8, FALSE)</f>
        <v>-</v>
      </c>
      <c r="V235" s="11">
        <f t="shared" si="8"/>
        <v>219</v>
      </c>
      <c r="W235" s="11">
        <f t="shared" si="9"/>
        <v>28</v>
      </c>
      <c r="X235" s="11">
        <f t="shared" si="10"/>
        <v>-28</v>
      </c>
      <c r="Y235" s="11">
        <f>VLOOKUP($G235, SeanRanks!$A$2:$K$303, 10, FALSE)-V235</f>
        <v>8</v>
      </c>
      <c r="Z235" s="29" t="str">
        <f>IF(VLOOKUP($G235, SeanRanks!$A$2:$H$303, 7, FALSE)=0, "", VLOOKUP($G235, SeanRanks!$A$2:$H$303, 7, FALSE))</f>
        <v/>
      </c>
    </row>
    <row r="236" ht="14.25" customHeight="1">
      <c r="A236" s="11"/>
      <c r="B236" s="11">
        <f t="shared" si="4"/>
        <v>21</v>
      </c>
      <c r="C236" s="11" t="s">
        <v>106</v>
      </c>
      <c r="D236" s="11"/>
      <c r="E236" s="11"/>
      <c r="F236" s="11" t="str">
        <f>VLOOKUP(G236, SeanRanks!$A$2:$E$302, 4, FALSE)</f>
        <v/>
      </c>
      <c r="G236" s="11" t="s">
        <v>926</v>
      </c>
      <c r="H236" s="11" t="str">
        <f>VLOOKUP($G236, 'ADP Data'!$C$4:$Q$300, 2, FALSE)</f>
        <v>PIT</v>
      </c>
      <c r="I236" s="11">
        <f>VLOOKUP(G236, 'ADP Data'!$C$4:$R$498, 12, FALSE)</f>
        <v>179</v>
      </c>
      <c r="J236" s="11" t="str">
        <f>VLOOKUP($G236, SeanRanks!$A$2:$H$303, 5, FALSE)</f>
        <v/>
      </c>
      <c r="K236" s="11" t="str">
        <f>IF(VLOOKUP($G236, SeanRanks!$A$2:$H$303, 6, FALSE)=0, "", VLOOKUP($G236, SeanRanks!$A$2:$H$303, 6, FALSE))</f>
        <v/>
      </c>
      <c r="L236" s="11">
        <f t="shared" si="5"/>
        <v>34</v>
      </c>
      <c r="M236" s="11">
        <f>VLOOKUP($G236, 'ADP Data'!$C$4:$Q$300, 9, FALSE)</f>
        <v>269</v>
      </c>
      <c r="N236" s="11">
        <f t="shared" si="6"/>
        <v>17</v>
      </c>
      <c r="O236" s="11" t="str">
        <f>VLOOKUP($G236, 'ADP Data'!$C$4:$Q$300, 3, FALSE)</f>
        <v>-</v>
      </c>
      <c r="P236" s="11" t="str">
        <f t="shared" si="7"/>
        <v>#VALUE!</v>
      </c>
      <c r="Q236" s="11" t="str">
        <f>VLOOKUP($G236, 'ADP Data'!$C$4:$Q$300, 4, FALSE)</f>
        <v>-</v>
      </c>
      <c r="R236" s="11" t="str">
        <f>VLOOKUP($G236, 'ADP Data'!$C$4:$Q$300, 5, FALSE)</f>
        <v>-</v>
      </c>
      <c r="S236" s="11">
        <f>VLOOKUP($G236, 'ADP Data'!$C$4:$Q$300, 6, FALSE)</f>
        <v>242</v>
      </c>
      <c r="T236" s="11">
        <f>VLOOKUP($G236, 'ADP Data'!$C$4:$Q$300, 7, FALSE)</f>
        <v>245</v>
      </c>
      <c r="U236" s="11" t="str">
        <f>VLOOKUP($G236, 'ADP Data'!$C$4:$Q$300, 8, FALSE)</f>
        <v>-</v>
      </c>
      <c r="V236" s="11">
        <f t="shared" si="8"/>
        <v>252</v>
      </c>
      <c r="W236" s="11">
        <f t="shared" si="9"/>
        <v>32</v>
      </c>
      <c r="X236" s="11">
        <f t="shared" si="10"/>
        <v>-32</v>
      </c>
      <c r="Y236" s="11">
        <f>VLOOKUP($G236, SeanRanks!$A$2:$K$303, 10, FALSE)-V236</f>
        <v>-15</v>
      </c>
      <c r="Z236" s="29" t="str">
        <f>IF(VLOOKUP($G236, SeanRanks!$A$2:$H$303, 7, FALSE)=0, "", VLOOKUP($G236, SeanRanks!$A$2:$H$303, 7, FALSE))</f>
        <v/>
      </c>
    </row>
    <row r="237" ht="14.25" customHeight="1">
      <c r="A237" s="11"/>
      <c r="B237" s="11">
        <f t="shared" si="4"/>
        <v>18</v>
      </c>
      <c r="C237" s="11" t="s">
        <v>106</v>
      </c>
      <c r="D237" s="11"/>
      <c r="E237" s="11"/>
      <c r="F237" s="11" t="str">
        <f>VLOOKUP(G237, SeanRanks!$A$2:$E$302, 4, FALSE)</f>
        <v/>
      </c>
      <c r="G237" s="11" t="s">
        <v>564</v>
      </c>
      <c r="H237" s="11" t="str">
        <f>VLOOKUP($G237, 'ADP Data'!$C$4:$Q$300, 2, FALSE)</f>
        <v>GB</v>
      </c>
      <c r="I237" s="11" t="str">
        <f>VLOOKUP(G237, 'ADP Data'!$C$4:$R$498, 12, FALSE)</f>
        <v>-</v>
      </c>
      <c r="J237" s="11" t="str">
        <f>VLOOKUP($G237, SeanRanks!$A$2:$H$303, 5, FALSE)</f>
        <v/>
      </c>
      <c r="K237" s="11" t="str">
        <f>IF(VLOOKUP($G237, SeanRanks!$A$2:$H$303, 6, FALSE)=0, "", VLOOKUP($G237, SeanRanks!$A$2:$H$303, 6, FALSE))</f>
        <v/>
      </c>
      <c r="L237" s="11">
        <f t="shared" si="5"/>
        <v>31</v>
      </c>
      <c r="M237" s="11">
        <f>VLOOKUP($G237, 'ADP Data'!$C$4:$Q$300, 9, FALSE)</f>
        <v>243</v>
      </c>
      <c r="N237" s="11">
        <f t="shared" si="6"/>
        <v>40</v>
      </c>
      <c r="O237" s="11">
        <f>VLOOKUP($G237, 'ADP Data'!$C$4:$Q$300, 3, FALSE)</f>
        <v>136</v>
      </c>
      <c r="P237" s="11">
        <f t="shared" si="7"/>
        <v>107</v>
      </c>
      <c r="Q237" s="11">
        <f>VLOOKUP($G237, 'ADP Data'!$C$4:$Q$300, 4, FALSE)</f>
        <v>171</v>
      </c>
      <c r="R237" s="11">
        <f>VLOOKUP($G237, 'ADP Data'!$C$4:$Q$300, 5, FALSE)</f>
        <v>247</v>
      </c>
      <c r="S237" s="11">
        <f>VLOOKUP($G237, 'ADP Data'!$C$4:$Q$300, 6, FALSE)</f>
        <v>258</v>
      </c>
      <c r="T237" s="11">
        <f>VLOOKUP($G237, 'ADP Data'!$C$4:$Q$300, 7, FALSE)</f>
        <v>199</v>
      </c>
      <c r="U237" s="11">
        <f>VLOOKUP($G237, 'ADP Data'!$C$4:$Q$300, 8, FALSE)</f>
        <v>170</v>
      </c>
      <c r="V237" s="11">
        <f t="shared" si="8"/>
        <v>203</v>
      </c>
      <c r="W237" s="11">
        <f t="shared" si="9"/>
        <v>26</v>
      </c>
      <c r="X237" s="11">
        <f t="shared" si="10"/>
        <v>-26</v>
      </c>
      <c r="Y237" s="11">
        <f>VLOOKUP($G237, SeanRanks!$A$2:$K$303, 10, FALSE)-V237</f>
        <v>17</v>
      </c>
      <c r="Z237" s="29" t="str">
        <f>IF(VLOOKUP($G237, SeanRanks!$A$2:$H$303, 7, FALSE)=0, "", VLOOKUP($G237, SeanRanks!$A$2:$H$303, 7, FALSE))</f>
        <v/>
      </c>
    </row>
    <row r="238" ht="14.25" customHeight="1">
      <c r="A238" s="11"/>
      <c r="B238" s="11" t="str">
        <f t="shared" si="4"/>
        <v>#N/A</v>
      </c>
      <c r="C238" s="11" t="s">
        <v>106</v>
      </c>
      <c r="D238" s="11"/>
      <c r="E238" s="11"/>
      <c r="F238" s="11" t="str">
        <f>VLOOKUP(G238, SeanRanks!$A$2:$E$302, 4, FALSE)</f>
        <v>#N/A</v>
      </c>
      <c r="G238" s="11" t="s">
        <v>927</v>
      </c>
      <c r="H238" s="11" t="str">
        <f>VLOOKUP($G238, 'ADP Data'!$C$4:$Q$300, 2, FALSE)</f>
        <v>#N/A</v>
      </c>
      <c r="I238" s="11" t="str">
        <f>VLOOKUP(G238, 'ADP Data'!$C$4:$R$498, 12, FALSE)</f>
        <v>#N/A</v>
      </c>
      <c r="J238" s="11" t="str">
        <f>VLOOKUP($G238, SeanRanks!$A$2:$H$303, 5, FALSE)</f>
        <v>#N/A</v>
      </c>
      <c r="K238" s="11" t="str">
        <f>IF(VLOOKUP($G238, SeanRanks!$A$2:$H$303, 6, FALSE)=0, "", VLOOKUP($G238, SeanRanks!$A$2:$H$303, 6, FALSE))</f>
        <v>#N/A</v>
      </c>
      <c r="L238" s="11">
        <f t="shared" si="5"/>
        <v>16</v>
      </c>
      <c r="M238" s="11" t="str">
        <f>VLOOKUP($G238, 'ADP Data'!$C$4:$Q$300, 9, FALSE)</f>
        <v>#N/A</v>
      </c>
      <c r="N238" s="11" t="str">
        <f t="shared" si="6"/>
        <v>#N/A</v>
      </c>
      <c r="O238" s="11" t="str">
        <f>VLOOKUP($G238, 'ADP Data'!$C$4:$Q$300, 3, FALSE)</f>
        <v>#N/A</v>
      </c>
      <c r="P238" s="11" t="str">
        <f t="shared" si="7"/>
        <v>#N/A</v>
      </c>
      <c r="Q238" s="11" t="str">
        <f>VLOOKUP($G238, 'ADP Data'!$C$4:$Q$300, 4, FALSE)</f>
        <v>#N/A</v>
      </c>
      <c r="R238" s="11" t="str">
        <f>VLOOKUP($G238, 'ADP Data'!$C$4:$Q$300, 5, FALSE)</f>
        <v>#N/A</v>
      </c>
      <c r="S238" s="11" t="str">
        <f>VLOOKUP($G238, 'ADP Data'!$C$4:$Q$300, 6, FALSE)</f>
        <v>#N/A</v>
      </c>
      <c r="T238" s="11" t="str">
        <f>VLOOKUP($G238, 'ADP Data'!$C$4:$Q$300, 7, FALSE)</f>
        <v>#N/A</v>
      </c>
      <c r="U238" s="11" t="str">
        <f>VLOOKUP($G238, 'ADP Data'!$C$4:$Q$300, 8, FALSE)</f>
        <v>#N/A</v>
      </c>
      <c r="V238" s="11" t="str">
        <f t="shared" si="8"/>
        <v>#N/A</v>
      </c>
      <c r="W238" s="11">
        <f t="shared" si="9"/>
        <v>16</v>
      </c>
      <c r="X238" s="11">
        <f t="shared" si="10"/>
        <v>-16</v>
      </c>
      <c r="Y238" s="11" t="str">
        <f>VLOOKUP($G238, SeanRanks!$A$2:$K$303, 10, FALSE)-V238</f>
        <v>#N/A</v>
      </c>
      <c r="Z238" s="29" t="str">
        <f>IF(VLOOKUP($G238, SeanRanks!$A$2:$H$303, 7, FALSE)=0, "", VLOOKUP($G238, SeanRanks!$A$2:$H$303, 7, FALSE))</f>
        <v>#N/A</v>
      </c>
    </row>
    <row r="239" ht="14.25" customHeight="1">
      <c r="A239" s="11"/>
      <c r="B239" s="11" t="str">
        <f t="shared" si="4"/>
        <v>#N/A</v>
      </c>
      <c r="C239" s="11" t="s">
        <v>106</v>
      </c>
      <c r="D239" s="11"/>
      <c r="E239" s="11"/>
      <c r="F239" s="11" t="str">
        <f>VLOOKUP(G239, SeanRanks!$A$2:$E$302, 4, FALSE)</f>
        <v>#N/A</v>
      </c>
      <c r="G239" s="11" t="s">
        <v>928</v>
      </c>
      <c r="H239" s="11" t="str">
        <f>VLOOKUP($G239, 'ADP Data'!$C$4:$Q$300, 2, FALSE)</f>
        <v>#N/A</v>
      </c>
      <c r="I239" s="11" t="str">
        <f>VLOOKUP(G239, 'ADP Data'!$C$4:$R$498, 12, FALSE)</f>
        <v>#N/A</v>
      </c>
      <c r="J239" s="11" t="str">
        <f>VLOOKUP($G239, SeanRanks!$A$2:$H$303, 5, FALSE)</f>
        <v>#N/A</v>
      </c>
      <c r="K239" s="11" t="str">
        <f>IF(VLOOKUP($G239, SeanRanks!$A$2:$H$303, 6, FALSE)=0, "", VLOOKUP($G239, SeanRanks!$A$2:$H$303, 6, FALSE))</f>
        <v>#N/A</v>
      </c>
      <c r="L239" s="11">
        <f t="shared" si="5"/>
        <v>16</v>
      </c>
      <c r="M239" s="11" t="str">
        <f>VLOOKUP($G239, 'ADP Data'!$C$4:$Q$300, 9, FALSE)</f>
        <v>#N/A</v>
      </c>
      <c r="N239" s="11" t="str">
        <f t="shared" si="6"/>
        <v>#N/A</v>
      </c>
      <c r="O239" s="11" t="str">
        <f>VLOOKUP($G239, 'ADP Data'!$C$4:$Q$300, 3, FALSE)</f>
        <v>#N/A</v>
      </c>
      <c r="P239" s="11" t="str">
        <f t="shared" si="7"/>
        <v>#N/A</v>
      </c>
      <c r="Q239" s="11" t="str">
        <f>VLOOKUP($G239, 'ADP Data'!$C$4:$Q$300, 4, FALSE)</f>
        <v>#N/A</v>
      </c>
      <c r="R239" s="11" t="str">
        <f>VLOOKUP($G239, 'ADP Data'!$C$4:$Q$300, 5, FALSE)</f>
        <v>#N/A</v>
      </c>
      <c r="S239" s="11" t="str">
        <f>VLOOKUP($G239, 'ADP Data'!$C$4:$Q$300, 6, FALSE)</f>
        <v>#N/A</v>
      </c>
      <c r="T239" s="11" t="str">
        <f>VLOOKUP($G239, 'ADP Data'!$C$4:$Q$300, 7, FALSE)</f>
        <v>#N/A</v>
      </c>
      <c r="U239" s="11" t="str">
        <f>VLOOKUP($G239, 'ADP Data'!$C$4:$Q$300, 8, FALSE)</f>
        <v>#N/A</v>
      </c>
      <c r="V239" s="11" t="str">
        <f t="shared" si="8"/>
        <v>#N/A</v>
      </c>
      <c r="W239" s="11">
        <f t="shared" si="9"/>
        <v>16</v>
      </c>
      <c r="X239" s="11">
        <f t="shared" si="10"/>
        <v>-16</v>
      </c>
      <c r="Y239" s="11" t="str">
        <f>VLOOKUP($G239, SeanRanks!$A$2:$K$303, 10, FALSE)-V239</f>
        <v>#N/A</v>
      </c>
      <c r="Z239" s="29" t="str">
        <f>IF(VLOOKUP($G239, SeanRanks!$A$2:$H$303, 7, FALSE)=0, "", VLOOKUP($G239, SeanRanks!$A$2:$H$303, 7, FALSE))</f>
        <v>#N/A</v>
      </c>
    </row>
    <row r="240" ht="14.25" customHeight="1">
      <c r="A240" s="11"/>
      <c r="B240" s="11" t="str">
        <f t="shared" si="4"/>
        <v>#N/A</v>
      </c>
      <c r="C240" s="11" t="s">
        <v>106</v>
      </c>
      <c r="D240" s="11"/>
      <c r="E240" s="11"/>
      <c r="F240" s="11" t="str">
        <f>VLOOKUP(G240, SeanRanks!$A$2:$E$302, 4, FALSE)</f>
        <v>#N/A</v>
      </c>
      <c r="G240" s="11" t="s">
        <v>628</v>
      </c>
      <c r="H240" s="11" t="str">
        <f>VLOOKUP($G240, 'ADP Data'!$C$4:$Q$300, 2, FALSE)</f>
        <v>#N/A</v>
      </c>
      <c r="I240" s="11" t="str">
        <f>VLOOKUP(G240, 'ADP Data'!$C$4:$R$498, 12, FALSE)</f>
        <v>#N/A</v>
      </c>
      <c r="J240" s="11" t="str">
        <f>VLOOKUP($G240, SeanRanks!$A$2:$H$303, 5, FALSE)</f>
        <v>#N/A</v>
      </c>
      <c r="K240" s="11" t="str">
        <f>IF(VLOOKUP($G240, SeanRanks!$A$2:$H$303, 6, FALSE)=0, "", VLOOKUP($G240, SeanRanks!$A$2:$H$303, 6, FALSE))</f>
        <v>#N/A</v>
      </c>
      <c r="L240" s="11">
        <f t="shared" si="5"/>
        <v>16</v>
      </c>
      <c r="M240" s="11" t="str">
        <f>VLOOKUP($G240, 'ADP Data'!$C$4:$Q$300, 9, FALSE)</f>
        <v>#N/A</v>
      </c>
      <c r="N240" s="11" t="str">
        <f t="shared" si="6"/>
        <v>#N/A</v>
      </c>
      <c r="O240" s="11" t="str">
        <f>VLOOKUP($G240, 'ADP Data'!$C$4:$Q$300, 3, FALSE)</f>
        <v>#N/A</v>
      </c>
      <c r="P240" s="11" t="str">
        <f t="shared" si="7"/>
        <v>#N/A</v>
      </c>
      <c r="Q240" s="11" t="str">
        <f>VLOOKUP($G240, 'ADP Data'!$C$4:$Q$300, 4, FALSE)</f>
        <v>#N/A</v>
      </c>
      <c r="R240" s="11" t="str">
        <f>VLOOKUP($G240, 'ADP Data'!$C$4:$Q$300, 5, FALSE)</f>
        <v>#N/A</v>
      </c>
      <c r="S240" s="11" t="str">
        <f>VLOOKUP($G240, 'ADP Data'!$C$4:$Q$300, 6, FALSE)</f>
        <v>#N/A</v>
      </c>
      <c r="T240" s="11" t="str">
        <f>VLOOKUP($G240, 'ADP Data'!$C$4:$Q$300, 7, FALSE)</f>
        <v>#N/A</v>
      </c>
      <c r="U240" s="11" t="str">
        <f>VLOOKUP($G240, 'ADP Data'!$C$4:$Q$300, 8, FALSE)</f>
        <v>#N/A</v>
      </c>
      <c r="V240" s="11" t="str">
        <f t="shared" si="8"/>
        <v>#N/A</v>
      </c>
      <c r="W240" s="11">
        <f t="shared" si="9"/>
        <v>16</v>
      </c>
      <c r="X240" s="11">
        <f t="shared" si="10"/>
        <v>-16</v>
      </c>
      <c r="Y240" s="11" t="str">
        <f>VLOOKUP($G240, SeanRanks!$A$2:$K$303, 10, FALSE)-V240</f>
        <v>#N/A</v>
      </c>
      <c r="Z240" s="29" t="str">
        <f>IF(VLOOKUP($G240, SeanRanks!$A$2:$H$303, 7, FALSE)=0, "", VLOOKUP($G240, SeanRanks!$A$2:$H$303, 7, FALSE))</f>
        <v>#N/A</v>
      </c>
    </row>
    <row r="241" ht="14.25" customHeight="1">
      <c r="A241" s="11"/>
      <c r="B241" s="11">
        <f t="shared" si="4"/>
        <v>14</v>
      </c>
      <c r="C241" s="11" t="s">
        <v>106</v>
      </c>
      <c r="D241" s="11"/>
      <c r="E241" s="11"/>
      <c r="F241" s="11" t="str">
        <f>VLOOKUP(G241, SeanRanks!$A$2:$E$302, 4, FALSE)</f>
        <v/>
      </c>
      <c r="G241" s="11" t="s">
        <v>580</v>
      </c>
      <c r="H241" s="11" t="str">
        <f>VLOOKUP($G241, 'ADP Data'!$C$4:$Q$300, 2, FALSE)</f>
        <v>HOU</v>
      </c>
      <c r="I241" s="11" t="str">
        <f>VLOOKUP(G241, 'ADP Data'!$C$4:$R$498, 12, FALSE)</f>
        <v>-</v>
      </c>
      <c r="J241" s="11" t="str">
        <f>VLOOKUP($G241, SeanRanks!$A$2:$H$303, 5, FALSE)</f>
        <v/>
      </c>
      <c r="K241" s="11" t="str">
        <f>IF(VLOOKUP($G241, SeanRanks!$A$2:$H$303, 6, FALSE)=0, "", VLOOKUP($G241, SeanRanks!$A$2:$H$303, 6, FALSE))</f>
        <v/>
      </c>
      <c r="L241" s="11">
        <f t="shared" si="5"/>
        <v>21</v>
      </c>
      <c r="M241" s="11">
        <f>VLOOKUP($G241, 'ADP Data'!$C$4:$Q$300, 9, FALSE)</f>
        <v>162</v>
      </c>
      <c r="N241" s="11">
        <f t="shared" si="6"/>
        <v>-18</v>
      </c>
      <c r="O241" s="11">
        <f>VLOOKUP($G241, 'ADP Data'!$C$4:$Q$300, 3, FALSE)</f>
        <v>198</v>
      </c>
      <c r="P241" s="11">
        <f t="shared" si="7"/>
        <v>-36</v>
      </c>
      <c r="Q241" s="11"/>
      <c r="R241" s="11"/>
      <c r="S241" s="11"/>
      <c r="T241" s="11"/>
      <c r="U241" s="11"/>
      <c r="V241" s="11">
        <f t="shared" si="8"/>
        <v>180</v>
      </c>
      <c r="W241" s="11">
        <f t="shared" si="9"/>
        <v>23</v>
      </c>
      <c r="X241" s="11">
        <f t="shared" si="10"/>
        <v>-23</v>
      </c>
      <c r="Y241" s="11">
        <f>VLOOKUP($G241, SeanRanks!$A$2:$K$303, 10, FALSE)-V241</f>
        <v>21</v>
      </c>
      <c r="Z241" s="29" t="str">
        <f>IF(VLOOKUP($G241, SeanRanks!$A$2:$H$303, 7, FALSE)=0, "", VLOOKUP($G241, SeanRanks!$A$2:$H$303, 7, FALSE))</f>
        <v/>
      </c>
    </row>
    <row r="242" ht="14.25" customHeight="1">
      <c r="A242" s="11"/>
      <c r="B242" s="11" t="str">
        <f t="shared" si="4"/>
        <v>#N/A</v>
      </c>
      <c r="C242" s="11" t="s">
        <v>106</v>
      </c>
      <c r="D242" s="11"/>
      <c r="E242" s="11"/>
      <c r="F242" s="11" t="str">
        <f>VLOOKUP(G242, SeanRanks!$A$2:$E$302, 4, FALSE)</f>
        <v>#N/A</v>
      </c>
      <c r="G242" s="11" t="s">
        <v>929</v>
      </c>
      <c r="H242" s="11" t="str">
        <f>VLOOKUP($G242, 'ADP Data'!$C$4:$Q$300, 2, FALSE)</f>
        <v>#N/A</v>
      </c>
      <c r="I242" s="11" t="str">
        <f>VLOOKUP(G242, 'ADP Data'!$C$4:$R$498, 12, FALSE)</f>
        <v>#N/A</v>
      </c>
      <c r="J242" s="11" t="str">
        <f>VLOOKUP($G242, SeanRanks!$A$2:$H$303, 5, FALSE)</f>
        <v>#N/A</v>
      </c>
      <c r="K242" s="11" t="str">
        <f>IF(VLOOKUP($G242, SeanRanks!$A$2:$H$303, 6, FALSE)=0, "", VLOOKUP($G242, SeanRanks!$A$2:$H$303, 6, FALSE))</f>
        <v>#N/A</v>
      </c>
      <c r="L242" s="11">
        <f t="shared" si="5"/>
        <v>16</v>
      </c>
      <c r="M242" s="11" t="str">
        <f>VLOOKUP($G242, 'ADP Data'!$C$4:$Q$300, 9, FALSE)</f>
        <v>#N/A</v>
      </c>
      <c r="N242" s="11" t="str">
        <f t="shared" si="6"/>
        <v>#N/A</v>
      </c>
      <c r="O242" s="11" t="str">
        <f>VLOOKUP($G242, 'ADP Data'!$C$4:$Q$300, 3, FALSE)</f>
        <v>#N/A</v>
      </c>
      <c r="P242" s="11" t="str">
        <f t="shared" si="7"/>
        <v>#N/A</v>
      </c>
      <c r="Q242" s="11"/>
      <c r="R242" s="11"/>
      <c r="S242" s="11"/>
      <c r="T242" s="11"/>
      <c r="U242" s="11"/>
      <c r="V242" s="11" t="str">
        <f t="shared" si="8"/>
        <v>#N/A</v>
      </c>
      <c r="W242" s="11">
        <f t="shared" si="9"/>
        <v>16</v>
      </c>
      <c r="X242" s="11">
        <f t="shared" si="10"/>
        <v>-16</v>
      </c>
      <c r="Y242" s="11" t="str">
        <f>VLOOKUP($G242, SeanRanks!$A$2:$K$303, 10, FALSE)-V242</f>
        <v>#N/A</v>
      </c>
      <c r="Z242" s="29" t="str">
        <f>IF(VLOOKUP($G242, SeanRanks!$A$2:$H$303, 7, FALSE)=0, "", VLOOKUP($G242, SeanRanks!$A$2:$H$303, 7, FALSE))</f>
        <v>#N/A</v>
      </c>
    </row>
    <row r="243" ht="14.25" customHeight="1">
      <c r="A243" s="11"/>
      <c r="B243" s="11" t="str">
        <f t="shared" si="4"/>
        <v>#N/A</v>
      </c>
      <c r="C243" s="11" t="s">
        <v>106</v>
      </c>
      <c r="D243" s="11"/>
      <c r="E243" s="11"/>
      <c r="F243" s="11" t="str">
        <f>VLOOKUP(G243, SeanRanks!$A$2:$E$302, 4, FALSE)</f>
        <v>#N/A</v>
      </c>
      <c r="G243" s="11" t="s">
        <v>931</v>
      </c>
      <c r="H243" s="11" t="str">
        <f>VLOOKUP($G243, 'ADP Data'!$C$4:$Q$300, 2, FALSE)</f>
        <v>#N/A</v>
      </c>
      <c r="I243" s="11" t="str">
        <f>VLOOKUP(G243, 'ADP Data'!$C$4:$R$498, 12, FALSE)</f>
        <v>#N/A</v>
      </c>
      <c r="J243" s="11" t="str">
        <f>VLOOKUP($G243, SeanRanks!$A$2:$H$303, 5, FALSE)</f>
        <v>#N/A</v>
      </c>
      <c r="K243" s="11" t="str">
        <f>IF(VLOOKUP($G243, SeanRanks!$A$2:$H$303, 6, FALSE)=0, "", VLOOKUP($G243, SeanRanks!$A$2:$H$303, 6, FALSE))</f>
        <v>#N/A</v>
      </c>
      <c r="L243" s="11">
        <f t="shared" si="5"/>
        <v>16</v>
      </c>
      <c r="M243" s="11" t="str">
        <f>VLOOKUP($G243, 'ADP Data'!$C$4:$Q$300, 9, FALSE)</f>
        <v>#N/A</v>
      </c>
      <c r="N243" s="11" t="str">
        <f t="shared" si="6"/>
        <v>#N/A</v>
      </c>
      <c r="O243" s="11" t="str">
        <f>VLOOKUP($G243, 'ADP Data'!$C$4:$Q$300, 3, FALSE)</f>
        <v>#N/A</v>
      </c>
      <c r="P243" s="11" t="str">
        <f t="shared" si="7"/>
        <v>#N/A</v>
      </c>
      <c r="Q243" s="11" t="str">
        <f>VLOOKUP($G243, 'ADP Data'!$C$4:$Q$300, 4, FALSE)</f>
        <v>#N/A</v>
      </c>
      <c r="R243" s="11" t="str">
        <f>VLOOKUP($G243, 'ADP Data'!$C$4:$Q$300, 5, FALSE)</f>
        <v>#N/A</v>
      </c>
      <c r="S243" s="11" t="str">
        <f>VLOOKUP($G243, 'ADP Data'!$C$4:$Q$300, 6, FALSE)</f>
        <v>#N/A</v>
      </c>
      <c r="T243" s="11" t="str">
        <f>VLOOKUP($G243, 'ADP Data'!$C$4:$Q$300, 7, FALSE)</f>
        <v>#N/A</v>
      </c>
      <c r="U243" s="11" t="str">
        <f>VLOOKUP($G243, 'ADP Data'!$C$4:$Q$300, 8, FALSE)</f>
        <v>#N/A</v>
      </c>
      <c r="V243" s="11" t="str">
        <f t="shared" si="8"/>
        <v>#N/A</v>
      </c>
      <c r="W243" s="11">
        <f t="shared" si="9"/>
        <v>16</v>
      </c>
      <c r="X243" s="11">
        <f t="shared" si="10"/>
        <v>-16</v>
      </c>
      <c r="Y243" s="11" t="str">
        <f>VLOOKUP($G243, SeanRanks!$A$2:$K$303, 10, FALSE)-V243</f>
        <v>#N/A</v>
      </c>
      <c r="Z243" s="29" t="str">
        <f>IF(VLOOKUP($G243, SeanRanks!$A$2:$H$303, 7, FALSE)=0, "", VLOOKUP($G243, SeanRanks!$A$2:$H$303, 7, FALSE))</f>
        <v>#N/A</v>
      </c>
    </row>
    <row r="244" ht="14.25" customHeight="1">
      <c r="A244" s="11"/>
      <c r="B244" s="11" t="str">
        <f t="shared" si="4"/>
        <v>#N/A</v>
      </c>
      <c r="C244" s="11" t="s">
        <v>106</v>
      </c>
      <c r="D244" s="11"/>
      <c r="E244" s="11"/>
      <c r="F244" s="11" t="str">
        <f>VLOOKUP(G244, SeanRanks!$A$2:$E$302, 4, FALSE)</f>
        <v>#N/A</v>
      </c>
      <c r="G244" s="11" t="s">
        <v>489</v>
      </c>
      <c r="H244" s="11" t="str">
        <f>VLOOKUP($G244, 'ADP Data'!$C$4:$Q$300, 2, FALSE)</f>
        <v>#N/A</v>
      </c>
      <c r="I244" s="11" t="str">
        <f>VLOOKUP(G244, 'ADP Data'!$C$4:$R$498, 12, FALSE)</f>
        <v>#N/A</v>
      </c>
      <c r="J244" s="11" t="str">
        <f>VLOOKUP($G244, SeanRanks!$A$2:$H$303, 5, FALSE)</f>
        <v>#N/A</v>
      </c>
      <c r="K244" s="11" t="str">
        <f>IF(VLOOKUP($G244, SeanRanks!$A$2:$H$303, 6, FALSE)=0, "", VLOOKUP($G244, SeanRanks!$A$2:$H$303, 6, FALSE))</f>
        <v>#N/A</v>
      </c>
      <c r="L244" s="11">
        <f t="shared" si="5"/>
        <v>16</v>
      </c>
      <c r="M244" s="11" t="str">
        <f>VLOOKUP($G244, 'ADP Data'!$C$4:$Q$300, 9, FALSE)</f>
        <v>#N/A</v>
      </c>
      <c r="N244" s="11" t="str">
        <f t="shared" si="6"/>
        <v>#N/A</v>
      </c>
      <c r="O244" s="11" t="str">
        <f>VLOOKUP($G244, 'ADP Data'!$C$4:$Q$300, 3, FALSE)</f>
        <v>#N/A</v>
      </c>
      <c r="P244" s="11" t="str">
        <f t="shared" si="7"/>
        <v>#N/A</v>
      </c>
      <c r="Q244" s="11" t="str">
        <f>VLOOKUP($G244, 'ADP Data'!$C$4:$Q$300, 4, FALSE)</f>
        <v>#N/A</v>
      </c>
      <c r="R244" s="11" t="str">
        <f>VLOOKUP($G244, 'ADP Data'!$C$4:$Q$300, 5, FALSE)</f>
        <v>#N/A</v>
      </c>
      <c r="S244" s="11" t="str">
        <f>VLOOKUP($G244, 'ADP Data'!$C$4:$Q$300, 6, FALSE)</f>
        <v>#N/A</v>
      </c>
      <c r="T244" s="11" t="str">
        <f>VLOOKUP($G244, 'ADP Data'!$C$4:$Q$300, 7, FALSE)</f>
        <v>#N/A</v>
      </c>
      <c r="U244" s="11" t="str">
        <f>VLOOKUP($G244, 'ADP Data'!$C$4:$Q$300, 8, FALSE)</f>
        <v>#N/A</v>
      </c>
      <c r="V244" s="11" t="str">
        <f t="shared" si="8"/>
        <v>#N/A</v>
      </c>
      <c r="W244" s="11">
        <f t="shared" si="9"/>
        <v>16</v>
      </c>
      <c r="X244" s="11">
        <f t="shared" si="10"/>
        <v>-16</v>
      </c>
      <c r="Y244" s="11" t="str">
        <f>VLOOKUP($G244, SeanRanks!$A$2:$K$303, 10, FALSE)-V244</f>
        <v>#N/A</v>
      </c>
      <c r="Z244" s="29" t="str">
        <f>IF(VLOOKUP($G244, SeanRanks!$A$2:$H$303, 7, FALSE)=0, "", VLOOKUP($G244, SeanRanks!$A$2:$H$303, 7, FALSE))</f>
        <v>#N/A</v>
      </c>
    </row>
    <row r="245" ht="14.25" customHeight="1">
      <c r="A245" s="11"/>
      <c r="B245" s="11" t="str">
        <f t="shared" si="4"/>
        <v>#N/A</v>
      </c>
      <c r="C245" s="11" t="s">
        <v>106</v>
      </c>
      <c r="D245" s="11"/>
      <c r="E245" s="11"/>
      <c r="F245" s="11" t="str">
        <f>VLOOKUP(G245, SeanRanks!$A$2:$E$302, 4, FALSE)</f>
        <v>#N/A</v>
      </c>
      <c r="G245" s="11" t="s">
        <v>718</v>
      </c>
      <c r="H245" s="11" t="str">
        <f>VLOOKUP($G245, 'ADP Data'!$C$4:$Q$300, 2, FALSE)</f>
        <v>#N/A</v>
      </c>
      <c r="I245" s="11" t="str">
        <f>VLOOKUP(G245, 'ADP Data'!$C$4:$R$498, 12, FALSE)</f>
        <v>#N/A</v>
      </c>
      <c r="J245" s="11" t="str">
        <f>VLOOKUP($G245, SeanRanks!$A$2:$H$303, 5, FALSE)</f>
        <v>#N/A</v>
      </c>
      <c r="K245" s="11" t="str">
        <f>IF(VLOOKUP($G245, SeanRanks!$A$2:$H$303, 6, FALSE)=0, "", VLOOKUP($G245, SeanRanks!$A$2:$H$303, 6, FALSE))</f>
        <v>#N/A</v>
      </c>
      <c r="L245" s="11">
        <f t="shared" si="5"/>
        <v>16</v>
      </c>
      <c r="M245" s="11" t="str">
        <f>VLOOKUP($G245, 'ADP Data'!$C$4:$Q$300, 9, FALSE)</f>
        <v>#N/A</v>
      </c>
      <c r="N245" s="11" t="str">
        <f t="shared" si="6"/>
        <v>#N/A</v>
      </c>
      <c r="O245" s="11" t="str">
        <f>VLOOKUP($G245, 'ADP Data'!$C$4:$Q$300, 3, FALSE)</f>
        <v>#N/A</v>
      </c>
      <c r="P245" s="11" t="str">
        <f t="shared" si="7"/>
        <v>#N/A</v>
      </c>
      <c r="Q245" s="11" t="str">
        <f>VLOOKUP($G245, 'ADP Data'!$C$4:$Q$300, 4, FALSE)</f>
        <v>#N/A</v>
      </c>
      <c r="R245" s="11" t="str">
        <f>VLOOKUP($G245, 'ADP Data'!$C$4:$Q$300, 5, FALSE)</f>
        <v>#N/A</v>
      </c>
      <c r="S245" s="11" t="str">
        <f>VLOOKUP($G245, 'ADP Data'!$C$4:$Q$300, 6, FALSE)</f>
        <v>#N/A</v>
      </c>
      <c r="T245" s="11" t="str">
        <f>VLOOKUP($G245, 'ADP Data'!$C$4:$Q$300, 7, FALSE)</f>
        <v>#N/A</v>
      </c>
      <c r="U245" s="11" t="str">
        <f>VLOOKUP($G245, 'ADP Data'!$C$4:$Q$300, 8, FALSE)</f>
        <v>#N/A</v>
      </c>
      <c r="V245" s="11" t="str">
        <f t="shared" si="8"/>
        <v>#N/A</v>
      </c>
      <c r="W245" s="11">
        <f t="shared" si="9"/>
        <v>16</v>
      </c>
      <c r="X245" s="11">
        <f t="shared" si="10"/>
        <v>-16</v>
      </c>
      <c r="Y245" s="11" t="str">
        <f>VLOOKUP($G245, SeanRanks!$A$2:$K$303, 10, FALSE)-V245</f>
        <v>#N/A</v>
      </c>
      <c r="Z245" s="29" t="str">
        <f>IF(VLOOKUP($G245, SeanRanks!$A$2:$H$303, 7, FALSE)=0, "", VLOOKUP($G245, SeanRanks!$A$2:$H$303, 7, FALSE))</f>
        <v>#N/A</v>
      </c>
    </row>
    <row r="246" ht="14.25" customHeight="1">
      <c r="A246" s="11"/>
      <c r="B246" s="11" t="str">
        <f t="shared" si="4"/>
        <v>#N/A</v>
      </c>
      <c r="C246" s="11" t="s">
        <v>106</v>
      </c>
      <c r="D246" s="11"/>
      <c r="E246" s="11"/>
      <c r="F246" s="11" t="str">
        <f>VLOOKUP(G246, SeanRanks!$A$2:$E$302, 4, FALSE)</f>
        <v>#N/A</v>
      </c>
      <c r="G246" s="11" t="s">
        <v>947</v>
      </c>
      <c r="H246" s="11" t="str">
        <f>VLOOKUP($G246, 'ADP Data'!$C$4:$Q$300, 2, FALSE)</f>
        <v>#N/A</v>
      </c>
      <c r="I246" s="11" t="str">
        <f>VLOOKUP(G246, 'ADP Data'!$C$4:$R$498, 12, FALSE)</f>
        <v>#N/A</v>
      </c>
      <c r="J246" s="11" t="str">
        <f>VLOOKUP($G246, SeanRanks!$A$2:$H$303, 5, FALSE)</f>
        <v>#N/A</v>
      </c>
      <c r="K246" s="11" t="str">
        <f>IF(VLOOKUP($G246, SeanRanks!$A$2:$H$303, 6, FALSE)=0, "", VLOOKUP($G246, SeanRanks!$A$2:$H$303, 6, FALSE))</f>
        <v>#N/A</v>
      </c>
      <c r="L246" s="11">
        <f t="shared" si="5"/>
        <v>16</v>
      </c>
      <c r="M246" s="11" t="str">
        <f>VLOOKUP($G246, 'ADP Data'!$C$4:$Q$300, 9, FALSE)</f>
        <v>#N/A</v>
      </c>
      <c r="N246" s="11" t="str">
        <f t="shared" si="6"/>
        <v>#N/A</v>
      </c>
      <c r="O246" s="11" t="str">
        <f>VLOOKUP($G246, 'ADP Data'!$C$4:$Q$300, 3, FALSE)</f>
        <v>#N/A</v>
      </c>
      <c r="P246" s="11" t="str">
        <f t="shared" si="7"/>
        <v>#N/A</v>
      </c>
      <c r="Q246" s="11" t="str">
        <f>VLOOKUP($G246, 'ADP Data'!$C$4:$Q$300, 4, FALSE)</f>
        <v>#N/A</v>
      </c>
      <c r="R246" s="11" t="str">
        <f>VLOOKUP($G246, 'ADP Data'!$C$4:$Q$300, 5, FALSE)</f>
        <v>#N/A</v>
      </c>
      <c r="S246" s="11" t="str">
        <f>VLOOKUP($G246, 'ADP Data'!$C$4:$Q$300, 6, FALSE)</f>
        <v>#N/A</v>
      </c>
      <c r="T246" s="11" t="str">
        <f>VLOOKUP($G246, 'ADP Data'!$C$4:$Q$300, 7, FALSE)</f>
        <v>#N/A</v>
      </c>
      <c r="U246" s="11" t="str">
        <f>VLOOKUP($G246, 'ADP Data'!$C$4:$Q$300, 8, FALSE)</f>
        <v>#N/A</v>
      </c>
      <c r="V246" s="11" t="str">
        <f t="shared" si="8"/>
        <v>#N/A</v>
      </c>
      <c r="W246" s="11">
        <f t="shared" si="9"/>
        <v>16</v>
      </c>
      <c r="X246" s="11">
        <f t="shared" si="10"/>
        <v>-16</v>
      </c>
      <c r="Y246" s="11" t="str">
        <f>VLOOKUP($G246, SeanRanks!$A$2:$K$303, 10, FALSE)-V246</f>
        <v>#N/A</v>
      </c>
      <c r="Z246" s="29" t="str">
        <f>IF(VLOOKUP($G246, SeanRanks!$A$2:$H$303, 7, FALSE)=0, "", VLOOKUP($G246, SeanRanks!$A$2:$H$303, 7, FALSE))</f>
        <v>#N/A</v>
      </c>
    </row>
    <row r="247" ht="14.25" customHeight="1">
      <c r="A247" s="11"/>
      <c r="B247" s="11" t="str">
        <f t="shared" si="4"/>
        <v>#N/A</v>
      </c>
      <c r="C247" s="11" t="s">
        <v>106</v>
      </c>
      <c r="D247" s="11"/>
      <c r="E247" s="11"/>
      <c r="F247" s="11" t="str">
        <f>VLOOKUP(G247, SeanRanks!$A$2:$E$302, 4, FALSE)</f>
        <v>#N/A</v>
      </c>
      <c r="G247" s="11" t="s">
        <v>948</v>
      </c>
      <c r="H247" s="11" t="str">
        <f>VLOOKUP($G247, 'ADP Data'!$C$4:$Q$300, 2, FALSE)</f>
        <v>#N/A</v>
      </c>
      <c r="I247" s="11" t="str">
        <f>VLOOKUP(G247, 'ADP Data'!$C$4:$R$498, 12, FALSE)</f>
        <v>#N/A</v>
      </c>
      <c r="J247" s="11" t="str">
        <f>VLOOKUP($G247, SeanRanks!$A$2:$H$303, 5, FALSE)</f>
        <v>#N/A</v>
      </c>
      <c r="K247" s="11" t="str">
        <f>IF(VLOOKUP($G247, SeanRanks!$A$2:$H$303, 6, FALSE)=0, "", VLOOKUP($G247, SeanRanks!$A$2:$H$303, 6, FALSE))</f>
        <v>#N/A</v>
      </c>
      <c r="L247" s="11">
        <f t="shared" si="5"/>
        <v>16</v>
      </c>
      <c r="M247" s="11" t="str">
        <f>VLOOKUP($G247, 'ADP Data'!$C$4:$Q$300, 9, FALSE)</f>
        <v>#N/A</v>
      </c>
      <c r="N247" s="11" t="str">
        <f t="shared" si="6"/>
        <v>#N/A</v>
      </c>
      <c r="O247" s="11" t="str">
        <f>VLOOKUP($G247, 'ADP Data'!$C$4:$Q$300, 3, FALSE)</f>
        <v>#N/A</v>
      </c>
      <c r="P247" s="11" t="str">
        <f t="shared" si="7"/>
        <v>#N/A</v>
      </c>
      <c r="Q247" s="11" t="str">
        <f>VLOOKUP($G247, 'ADP Data'!$C$4:$Q$300, 4, FALSE)</f>
        <v>#N/A</v>
      </c>
      <c r="R247" s="11" t="str">
        <f>VLOOKUP($G247, 'ADP Data'!$C$4:$Q$300, 5, FALSE)</f>
        <v>#N/A</v>
      </c>
      <c r="S247" s="11" t="str">
        <f>VLOOKUP($G247, 'ADP Data'!$C$4:$Q$300, 6, FALSE)</f>
        <v>#N/A</v>
      </c>
      <c r="T247" s="11" t="str">
        <f>VLOOKUP($G247, 'ADP Data'!$C$4:$Q$300, 7, FALSE)</f>
        <v>#N/A</v>
      </c>
      <c r="U247" s="11" t="str">
        <f>VLOOKUP($G247, 'ADP Data'!$C$4:$Q$300, 8, FALSE)</f>
        <v>#N/A</v>
      </c>
      <c r="V247" s="11" t="str">
        <f t="shared" si="8"/>
        <v>#N/A</v>
      </c>
      <c r="W247" s="11">
        <f t="shared" si="9"/>
        <v>16</v>
      </c>
      <c r="X247" s="11">
        <f t="shared" si="10"/>
        <v>-16</v>
      </c>
      <c r="Y247" s="11" t="str">
        <f>VLOOKUP($G247, SeanRanks!$A$2:$K$303, 10, FALSE)-V247</f>
        <v>#N/A</v>
      </c>
      <c r="Z247" s="29" t="str">
        <f>IF(VLOOKUP($G247, SeanRanks!$A$2:$H$303, 7, FALSE)=0, "", VLOOKUP($G247, SeanRanks!$A$2:$H$303, 7, FALSE))</f>
        <v>#N/A</v>
      </c>
    </row>
    <row r="248" ht="14.25" customHeight="1">
      <c r="A248" s="11"/>
      <c r="B248" s="11">
        <f t="shared" si="4"/>
        <v>15</v>
      </c>
      <c r="C248" s="11" t="s">
        <v>106</v>
      </c>
      <c r="D248" s="11"/>
      <c r="E248" s="11"/>
      <c r="F248" s="11" t="str">
        <f>VLOOKUP(G248, SeanRanks!$A$2:$E$302, 4, FALSE)</f>
        <v/>
      </c>
      <c r="G248" s="11" t="s">
        <v>515</v>
      </c>
      <c r="H248" s="11" t="str">
        <f>VLOOKUP($G248, 'ADP Data'!$C$4:$Q$300, 2, FALSE)</f>
        <v>MIN</v>
      </c>
      <c r="I248" s="11" t="str">
        <f>VLOOKUP(G248, 'ADP Data'!$C$4:$R$498, 12, FALSE)</f>
        <v>-</v>
      </c>
      <c r="J248" s="11" t="str">
        <f>VLOOKUP($G248, SeanRanks!$A$2:$H$303, 5, FALSE)</f>
        <v/>
      </c>
      <c r="K248" s="11" t="str">
        <f>IF(VLOOKUP($G248, SeanRanks!$A$2:$H$303, 6, FALSE)=0, "", VLOOKUP($G248, SeanRanks!$A$2:$H$303, 6, FALSE))</f>
        <v/>
      </c>
      <c r="L248" s="11">
        <f t="shared" si="5"/>
        <v>21</v>
      </c>
      <c r="M248" s="11">
        <f>VLOOKUP($G248, 'ADP Data'!$C$4:$Q$300, 9, FALSE)</f>
        <v>160</v>
      </c>
      <c r="N248" s="11">
        <f t="shared" si="6"/>
        <v>-5</v>
      </c>
      <c r="O248" s="11">
        <f>VLOOKUP($G248, 'ADP Data'!$C$4:$Q$300, 3, FALSE)</f>
        <v>141</v>
      </c>
      <c r="P248" s="11">
        <f t="shared" si="7"/>
        <v>19</v>
      </c>
      <c r="Q248" s="11">
        <f>VLOOKUP($G248, 'ADP Data'!$C$4:$Q$300, 4, FALSE)</f>
        <v>119</v>
      </c>
      <c r="R248" s="11">
        <f>VLOOKUP($G248, 'ADP Data'!$C$4:$Q$300, 5, FALSE)</f>
        <v>193</v>
      </c>
      <c r="S248" s="11">
        <f>VLOOKUP($G248, 'ADP Data'!$C$4:$Q$300, 6, FALSE)</f>
        <v>220</v>
      </c>
      <c r="T248" s="11">
        <f>VLOOKUP($G248, 'ADP Data'!$C$4:$Q$300, 7, FALSE)</f>
        <v>172</v>
      </c>
      <c r="U248" s="11">
        <f>VLOOKUP($G248, 'ADP Data'!$C$4:$Q$300, 8, FALSE)</f>
        <v>151</v>
      </c>
      <c r="V248" s="11">
        <f t="shared" si="8"/>
        <v>165</v>
      </c>
      <c r="W248" s="11">
        <f t="shared" si="9"/>
        <v>21</v>
      </c>
      <c r="X248" s="11">
        <f t="shared" si="10"/>
        <v>-21</v>
      </c>
      <c r="Y248" s="11">
        <f>VLOOKUP($G248, SeanRanks!$A$2:$K$303, 10, FALSE)-V248</f>
        <v>7</v>
      </c>
      <c r="Z248" s="29" t="str">
        <f>IF(VLOOKUP($G248, SeanRanks!$A$2:$H$303, 7, FALSE)=0, "", VLOOKUP($G248, SeanRanks!$A$2:$H$303, 7, FALSE))</f>
        <v/>
      </c>
    </row>
    <row r="249" ht="14.25" customHeight="1">
      <c r="A249" s="11"/>
      <c r="B249" s="11">
        <f t="shared" si="4"/>
        <v>11</v>
      </c>
      <c r="C249" s="11" t="s">
        <v>106</v>
      </c>
      <c r="D249" s="11"/>
      <c r="E249" s="11"/>
      <c r="F249" s="11" t="str">
        <f>VLOOKUP(G249, SeanRanks!$A$2:$E$302, 4, FALSE)</f>
        <v/>
      </c>
      <c r="G249" s="11" t="s">
        <v>485</v>
      </c>
      <c r="H249" s="11" t="str">
        <f>VLOOKUP($G249, 'ADP Data'!$C$4:$Q$300, 2, FALSE)</f>
        <v>DEN</v>
      </c>
      <c r="I249" s="11" t="str">
        <f>VLOOKUP(G249, 'ADP Data'!$C$4:$R$498, 12, FALSE)</f>
        <v>-</v>
      </c>
      <c r="J249" s="11" t="str">
        <f>VLOOKUP($G249, SeanRanks!$A$2:$H$303, 5, FALSE)</f>
        <v/>
      </c>
      <c r="K249" s="11" t="str">
        <f>IF(VLOOKUP($G249, SeanRanks!$A$2:$H$303, 6, FALSE)=0, "", VLOOKUP($G249, SeanRanks!$A$2:$H$303, 6, FALSE))</f>
        <v/>
      </c>
      <c r="L249" s="11">
        <f t="shared" si="5"/>
        <v>19</v>
      </c>
      <c r="M249" s="11">
        <f>VLOOKUP($G249, 'ADP Data'!$C$4:$Q$300, 9, FALSE)</f>
        <v>147</v>
      </c>
      <c r="N249" s="11">
        <f t="shared" si="6"/>
        <v>18</v>
      </c>
      <c r="O249" s="11">
        <f>VLOOKUP($G249, 'ADP Data'!$C$4:$Q$300, 3, FALSE)</f>
        <v>106</v>
      </c>
      <c r="P249" s="11">
        <f t="shared" si="7"/>
        <v>41</v>
      </c>
      <c r="Q249" s="11">
        <f>VLOOKUP($G249, 'ADP Data'!$C$4:$Q$300, 4, FALSE)</f>
        <v>94</v>
      </c>
      <c r="R249" s="11">
        <f>VLOOKUP($G249, 'ADP Data'!$C$4:$Q$300, 5, FALSE)</f>
        <v>134</v>
      </c>
      <c r="S249" s="11">
        <f>VLOOKUP($G249, 'ADP Data'!$C$4:$Q$300, 6, FALSE)</f>
        <v>203</v>
      </c>
      <c r="T249" s="11">
        <f>VLOOKUP($G249, 'ADP Data'!$C$4:$Q$300, 7, FALSE)</f>
        <v>140</v>
      </c>
      <c r="U249" s="11">
        <f>VLOOKUP($G249, 'ADP Data'!$C$4:$Q$300, 8, FALSE)</f>
        <v>82</v>
      </c>
      <c r="V249" s="11">
        <f t="shared" si="8"/>
        <v>129</v>
      </c>
      <c r="W249" s="11">
        <f t="shared" si="9"/>
        <v>17</v>
      </c>
      <c r="X249" s="11">
        <f t="shared" si="10"/>
        <v>-17</v>
      </c>
      <c r="Y249" s="11">
        <f>VLOOKUP($G249, SeanRanks!$A$2:$K$303, 10, FALSE)-V249</f>
        <v>29</v>
      </c>
      <c r="Z249" s="29" t="str">
        <f>IF(VLOOKUP($G249, SeanRanks!$A$2:$H$303, 7, FALSE)=0, "", VLOOKUP($G249, SeanRanks!$A$2:$H$303, 7, FALSE))</f>
        <v/>
      </c>
    </row>
    <row r="250" ht="14.25" customHeight="1">
      <c r="A250" s="11"/>
      <c r="B250" s="11">
        <f t="shared" si="4"/>
        <v>14</v>
      </c>
      <c r="C250" s="11" t="s">
        <v>106</v>
      </c>
      <c r="D250" s="11"/>
      <c r="E250" s="11"/>
      <c r="F250" s="11" t="str">
        <f>VLOOKUP(G250, SeanRanks!$A$2:$E$302, 4, FALSE)</f>
        <v/>
      </c>
      <c r="G250" s="11" t="s">
        <v>620</v>
      </c>
      <c r="H250" s="11" t="str">
        <f>VLOOKUP($G250, 'ADP Data'!$C$4:$Q$300, 2, FALSE)</f>
        <v>CIN</v>
      </c>
      <c r="I250" s="11" t="str">
        <f>VLOOKUP(G250, 'ADP Data'!$C$4:$R$498, 12, FALSE)</f>
        <v>-</v>
      </c>
      <c r="J250" s="11" t="str">
        <f>VLOOKUP($G250, SeanRanks!$A$2:$H$303, 5, FALSE)</f>
        <v/>
      </c>
      <c r="K250" s="11" t="str">
        <f>IF(VLOOKUP($G250, SeanRanks!$A$2:$H$303, 6, FALSE)=0, "", VLOOKUP($G250, SeanRanks!$A$2:$H$303, 6, FALSE))</f>
        <v/>
      </c>
      <c r="L250" s="11">
        <f t="shared" si="5"/>
        <v>21</v>
      </c>
      <c r="M250" s="11">
        <f>VLOOKUP($G250, 'ADP Data'!$C$4:$Q$300, 9, FALSE)</f>
        <v>163</v>
      </c>
      <c r="N250" s="11">
        <f t="shared" si="6"/>
        <v>-13</v>
      </c>
      <c r="O250" s="11">
        <f>VLOOKUP($G250, 'ADP Data'!$C$4:$Q$300, 3, FALSE)</f>
        <v>189</v>
      </c>
      <c r="P250" s="11">
        <f t="shared" si="7"/>
        <v>-26</v>
      </c>
      <c r="Q250" s="11"/>
      <c r="R250" s="11"/>
      <c r="S250" s="11"/>
      <c r="T250" s="11"/>
      <c r="U250" s="11"/>
      <c r="V250" s="11">
        <f t="shared" si="8"/>
        <v>176</v>
      </c>
      <c r="W250" s="11">
        <f t="shared" si="9"/>
        <v>23</v>
      </c>
      <c r="X250" s="11">
        <f t="shared" si="10"/>
        <v>-23</v>
      </c>
      <c r="Y250" s="11">
        <f>VLOOKUP($G250, SeanRanks!$A$2:$K$303, 10, FALSE)-V250</f>
        <v>42</v>
      </c>
      <c r="Z250" s="29" t="str">
        <f>IF(VLOOKUP($G250, SeanRanks!$A$2:$H$303, 7, FALSE)=0, "", VLOOKUP($G250, SeanRanks!$A$2:$H$303, 7, FALSE))</f>
        <v/>
      </c>
    </row>
    <row r="251" ht="14.25" customHeight="1">
      <c r="A251" s="11"/>
      <c r="B251" s="11">
        <f t="shared" si="4"/>
        <v>22</v>
      </c>
      <c r="C251" s="11" t="s">
        <v>106</v>
      </c>
      <c r="D251" s="11"/>
      <c r="E251" s="11"/>
      <c r="F251" s="11" t="str">
        <f>VLOOKUP(G251, SeanRanks!$A$2:$E$302, 4, FALSE)</f>
        <v/>
      </c>
      <c r="G251" s="11" t="s">
        <v>832</v>
      </c>
      <c r="H251" s="11" t="str">
        <f>VLOOKUP($G251, 'ADP Data'!$C$4:$Q$300, 2, FALSE)</f>
        <v>CIN</v>
      </c>
      <c r="I251" s="11">
        <f>VLOOKUP(G251, 'ADP Data'!$C$4:$R$498, 12, FALSE)</f>
        <v>199</v>
      </c>
      <c r="J251" s="11" t="str">
        <f>VLOOKUP($G251, SeanRanks!$A$2:$H$303, 5, FALSE)</f>
        <v/>
      </c>
      <c r="K251" s="11" t="str">
        <f>IF(VLOOKUP($G251, SeanRanks!$A$2:$H$303, 6, FALSE)=0, "", VLOOKUP($G251, SeanRanks!$A$2:$H$303, 6, FALSE))</f>
        <v/>
      </c>
      <c r="L251" s="11">
        <f t="shared" si="5"/>
        <v>33</v>
      </c>
      <c r="M251" s="11">
        <f>VLOOKUP($G251, 'ADP Data'!$C$4:$Q$300, 9, FALSE)</f>
        <v>262</v>
      </c>
      <c r="N251" s="11">
        <f t="shared" si="6"/>
        <v>-1</v>
      </c>
      <c r="O251" s="11" t="str">
        <f>VLOOKUP($G251, 'ADP Data'!$C$4:$Q$300, 3, FALSE)</f>
        <v>-</v>
      </c>
      <c r="P251" s="11" t="str">
        <f t="shared" si="7"/>
        <v>#VALUE!</v>
      </c>
      <c r="Q251" s="11" t="str">
        <f>VLOOKUP($G251, 'ADP Data'!$C$4:$Q$300, 4, FALSE)</f>
        <v>-</v>
      </c>
      <c r="R251" s="11">
        <f>VLOOKUP($G251, 'ADP Data'!$C$4:$Q$300, 5, FALSE)</f>
        <v>324</v>
      </c>
      <c r="S251" s="11">
        <f>VLOOKUP($G251, 'ADP Data'!$C$4:$Q$300, 6, FALSE)</f>
        <v>245</v>
      </c>
      <c r="T251" s="11">
        <f>VLOOKUP($G251, 'ADP Data'!$C$4:$Q$300, 7, FALSE)</f>
        <v>217</v>
      </c>
      <c r="U251" s="11">
        <f>VLOOKUP($G251, 'ADP Data'!$C$4:$Q$300, 8, FALSE)</f>
        <v>267</v>
      </c>
      <c r="V251" s="11">
        <f t="shared" si="8"/>
        <v>263</v>
      </c>
      <c r="W251" s="11">
        <f t="shared" si="9"/>
        <v>33</v>
      </c>
      <c r="X251" s="11">
        <f t="shared" si="10"/>
        <v>-33</v>
      </c>
      <c r="Y251" s="11" t="str">
        <f>VLOOKUP($G251, SeanRanks!$A$2:$K$303, 10, FALSE)-V251</f>
        <v>#VALUE!</v>
      </c>
      <c r="Z251" s="29" t="str">
        <f>IF(VLOOKUP($G251, SeanRanks!$A$2:$H$303, 7, FALSE)=0, "", VLOOKUP($G251, SeanRanks!$A$2:$H$303, 7, FALSE))</f>
        <v/>
      </c>
    </row>
    <row r="252" ht="14.25" customHeight="1">
      <c r="A252" s="11"/>
      <c r="B252" s="11" t="str">
        <f t="shared" si="4"/>
        <v>#N/A</v>
      </c>
      <c r="C252" s="11" t="s">
        <v>106</v>
      </c>
      <c r="D252" s="11"/>
      <c r="E252" s="11"/>
      <c r="F252" s="11" t="str">
        <f>VLOOKUP(G252, SeanRanks!$A$2:$E$302, 4, FALSE)</f>
        <v>#N/A</v>
      </c>
      <c r="G252" s="11" t="s">
        <v>294</v>
      </c>
      <c r="H252" s="11" t="str">
        <f>VLOOKUP($G252, 'ADP Data'!$C$4:$Q$300, 2, FALSE)</f>
        <v>#N/A</v>
      </c>
      <c r="I252" s="11" t="str">
        <f>VLOOKUP(G252, 'ADP Data'!$C$4:$R$498, 12, FALSE)</f>
        <v>#N/A</v>
      </c>
      <c r="J252" s="11" t="str">
        <f>VLOOKUP($G252, SeanRanks!$A$2:$H$303, 5, FALSE)</f>
        <v>#N/A</v>
      </c>
      <c r="K252" s="11" t="str">
        <f>IF(VLOOKUP($G252, SeanRanks!$A$2:$H$303, 6, FALSE)=0, "", VLOOKUP($G252, SeanRanks!$A$2:$H$303, 6, FALSE))</f>
        <v>#N/A</v>
      </c>
      <c r="L252" s="11">
        <f t="shared" si="5"/>
        <v>16</v>
      </c>
      <c r="M252" s="11" t="str">
        <f>VLOOKUP($G252, 'ADP Data'!$C$4:$Q$300, 9, FALSE)</f>
        <v>#N/A</v>
      </c>
      <c r="N252" s="11" t="str">
        <f t="shared" si="6"/>
        <v>#N/A</v>
      </c>
      <c r="O252" s="11" t="str">
        <f>VLOOKUP($G252, 'ADP Data'!$C$4:$Q$300, 3, FALSE)</f>
        <v>#N/A</v>
      </c>
      <c r="P252" s="11" t="str">
        <f t="shared" si="7"/>
        <v>#N/A</v>
      </c>
      <c r="Q252" s="11" t="str">
        <f>VLOOKUP($G252, 'ADP Data'!$C$4:$Q$300, 4, FALSE)</f>
        <v>#N/A</v>
      </c>
      <c r="R252" s="11" t="str">
        <f>VLOOKUP($G252, 'ADP Data'!$C$4:$Q$300, 5, FALSE)</f>
        <v>#N/A</v>
      </c>
      <c r="S252" s="11" t="str">
        <f>VLOOKUP($G252, 'ADP Data'!$C$4:$Q$300, 6, FALSE)</f>
        <v>#N/A</v>
      </c>
      <c r="T252" s="11" t="str">
        <f>VLOOKUP($G252, 'ADP Data'!$C$4:$Q$300, 7, FALSE)</f>
        <v>#N/A</v>
      </c>
      <c r="U252" s="11" t="str">
        <f>VLOOKUP($G252, 'ADP Data'!$C$4:$Q$300, 8, FALSE)</f>
        <v>#N/A</v>
      </c>
      <c r="V252" s="11" t="str">
        <f t="shared" si="8"/>
        <v>#N/A</v>
      </c>
      <c r="W252" s="11">
        <f t="shared" si="9"/>
        <v>16</v>
      </c>
      <c r="X252" s="11">
        <f t="shared" si="10"/>
        <v>-16</v>
      </c>
      <c r="Y252" s="11" t="str">
        <f>VLOOKUP($G252, SeanRanks!$A$2:$K$303, 10, FALSE)-V252</f>
        <v>#N/A</v>
      </c>
      <c r="Z252" s="29" t="str">
        <f>IF(VLOOKUP($G252, SeanRanks!$A$2:$H$303, 7, FALSE)=0, "", VLOOKUP($G252, SeanRanks!$A$2:$H$303, 7, FALSE))</f>
        <v>#N/A</v>
      </c>
    </row>
    <row r="253" ht="14.25" customHeight="1">
      <c r="A253" s="11"/>
      <c r="B253" s="11">
        <f t="shared" si="4"/>
        <v>19</v>
      </c>
      <c r="C253" s="11" t="s">
        <v>106</v>
      </c>
      <c r="D253" s="11"/>
      <c r="E253" s="11"/>
      <c r="F253" s="11" t="str">
        <f>VLOOKUP(G253, SeanRanks!$A$2:$E$302, 4, FALSE)</f>
        <v/>
      </c>
      <c r="G253" s="11" t="s">
        <v>951</v>
      </c>
      <c r="H253" s="11" t="str">
        <f>VLOOKUP($G253, 'ADP Data'!$C$4:$Q$300, 2, FALSE)</f>
        <v>PHI</v>
      </c>
      <c r="I253" s="11">
        <f>VLOOKUP(G253, 'ADP Data'!$C$4:$R$498, 12, FALSE)</f>
        <v>167</v>
      </c>
      <c r="J253" s="11" t="str">
        <f>VLOOKUP($G253, SeanRanks!$A$2:$H$303, 5, FALSE)</f>
        <v/>
      </c>
      <c r="K253" s="11" t="str">
        <f>IF(VLOOKUP($G253, SeanRanks!$A$2:$H$303, 6, FALSE)=0, "", VLOOKUP($G253, SeanRanks!$A$2:$H$303, 6, FALSE))</f>
        <v>Handcuff only</v>
      </c>
      <c r="L253" s="11">
        <f t="shared" si="5"/>
        <v>26</v>
      </c>
      <c r="M253" s="11">
        <f>VLOOKUP($G253, 'ADP Data'!$C$4:$Q$300, 9, FALSE)</f>
        <v>204</v>
      </c>
      <c r="N253" s="11">
        <f t="shared" si="6"/>
        <v>-13</v>
      </c>
      <c r="O253" s="11">
        <f>VLOOKUP($G253, 'ADP Data'!$C$4:$Q$300, 3, FALSE)</f>
        <v>211</v>
      </c>
      <c r="P253" s="11">
        <f t="shared" si="7"/>
        <v>-7</v>
      </c>
      <c r="Q253" s="11">
        <f>VLOOKUP($G253, 'ADP Data'!$C$4:$Q$300, 4, FALSE)</f>
        <v>213</v>
      </c>
      <c r="R253" s="11">
        <f>VLOOKUP($G253, 'ADP Data'!$C$4:$Q$300, 5, FALSE)</f>
        <v>258</v>
      </c>
      <c r="S253" s="11">
        <f>VLOOKUP($G253, 'ADP Data'!$C$4:$Q$300, 6, FALSE)</f>
        <v>163</v>
      </c>
      <c r="T253" s="11">
        <f>VLOOKUP($G253, 'ADP Data'!$C$4:$Q$300, 7, FALSE)</f>
        <v>173</v>
      </c>
      <c r="U253" s="11">
        <f>VLOOKUP($G253, 'ADP Data'!$C$4:$Q$300, 8, FALSE)</f>
        <v>302</v>
      </c>
      <c r="V253" s="11">
        <f t="shared" si="8"/>
        <v>217</v>
      </c>
      <c r="W253" s="11">
        <f t="shared" si="9"/>
        <v>28</v>
      </c>
      <c r="X253" s="11">
        <f t="shared" si="10"/>
        <v>-28</v>
      </c>
      <c r="Y253" s="11">
        <f>VLOOKUP($G253, SeanRanks!$A$2:$K$303, 10, FALSE)-V253</f>
        <v>-50</v>
      </c>
      <c r="Z253" s="29" t="str">
        <f>IF(VLOOKUP($G253, SeanRanks!$A$2:$H$303, 7, FALSE)=0, "", VLOOKUP($G253, SeanRanks!$A$2:$H$303, 7, FALSE))</f>
        <v/>
      </c>
    </row>
    <row r="254" ht="14.25" customHeight="1">
      <c r="A254" s="11"/>
      <c r="B254" s="11">
        <f t="shared" si="4"/>
        <v>16</v>
      </c>
      <c r="C254" s="11" t="s">
        <v>106</v>
      </c>
      <c r="D254" s="11"/>
      <c r="E254" s="11"/>
      <c r="F254" s="11" t="str">
        <f>VLOOKUP(G254, SeanRanks!$A$2:$E$302, 4, FALSE)</f>
        <v/>
      </c>
      <c r="G254" s="11" t="s">
        <v>952</v>
      </c>
      <c r="H254" s="11" t="str">
        <f>VLOOKUP($G254, 'ADP Data'!$C$4:$Q$300, 2, FALSE)</f>
        <v>BUF</v>
      </c>
      <c r="I254" s="11" t="str">
        <f>VLOOKUP(G254, 'ADP Data'!$C$4:$R$498, 12, FALSE)</f>
        <v>-</v>
      </c>
      <c r="J254" s="11" t="str">
        <f>VLOOKUP($G254, SeanRanks!$A$2:$H$303, 5, FALSE)</f>
        <v/>
      </c>
      <c r="K254" s="11" t="str">
        <f>IF(VLOOKUP($G254, SeanRanks!$A$2:$H$303, 6, FALSE)=0, "", VLOOKUP($G254, SeanRanks!$A$2:$H$303, 6, FALSE))</f>
        <v/>
      </c>
      <c r="L254" s="11">
        <f t="shared" si="5"/>
        <v>24</v>
      </c>
      <c r="M254" s="11">
        <f>VLOOKUP($G254, 'ADP Data'!$C$4:$Q$300, 9, FALSE)</f>
        <v>185</v>
      </c>
      <c r="N254" s="11">
        <f t="shared" si="6"/>
        <v>14</v>
      </c>
      <c r="O254" s="11">
        <f>VLOOKUP($G254, 'ADP Data'!$C$4:$Q$300, 3, FALSE)</f>
        <v>158</v>
      </c>
      <c r="P254" s="11">
        <f t="shared" si="7"/>
        <v>27</v>
      </c>
      <c r="Q254" s="11"/>
      <c r="R254" s="11"/>
      <c r="S254" s="11"/>
      <c r="T254" s="11"/>
      <c r="U254" s="11"/>
      <c r="V254" s="11">
        <f t="shared" si="8"/>
        <v>171</v>
      </c>
      <c r="W254" s="11">
        <f t="shared" si="9"/>
        <v>22</v>
      </c>
      <c r="X254" s="11">
        <f t="shared" si="10"/>
        <v>-22</v>
      </c>
      <c r="Y254" s="11">
        <f>VLOOKUP($G254, SeanRanks!$A$2:$K$303, 10, FALSE)-V254</f>
        <v>68</v>
      </c>
      <c r="Z254" s="29" t="str">
        <f>IF(VLOOKUP($G254, SeanRanks!$A$2:$H$303, 7, FALSE)=0, "", VLOOKUP($G254, SeanRanks!$A$2:$H$303, 7, FALSE))</f>
        <v/>
      </c>
    </row>
    <row r="255" ht="14.25" customHeight="1">
      <c r="A255" s="11"/>
      <c r="B255" s="11">
        <f t="shared" si="4"/>
        <v>14</v>
      </c>
      <c r="C255" s="11" t="s">
        <v>106</v>
      </c>
      <c r="D255" s="11"/>
      <c r="E255" s="11"/>
      <c r="F255" s="11" t="str">
        <f>VLOOKUP(G255, SeanRanks!$A$2:$E$302, 4, FALSE)</f>
        <v/>
      </c>
      <c r="G255" s="11" t="s">
        <v>954</v>
      </c>
      <c r="H255" s="11" t="str">
        <f>VLOOKUP($G255, 'ADP Data'!$C$4:$Q$300, 2, FALSE)</f>
        <v>ATL</v>
      </c>
      <c r="I255" s="11" t="str">
        <f>VLOOKUP(G255, 'ADP Data'!$C$4:$R$498, 12, FALSE)</f>
        <v>-</v>
      </c>
      <c r="J255" s="11" t="str">
        <f>VLOOKUP($G255, SeanRanks!$A$2:$H$303, 5, FALSE)</f>
        <v/>
      </c>
      <c r="K255" s="11" t="str">
        <f>IF(VLOOKUP($G255, SeanRanks!$A$2:$H$303, 6, FALSE)=0, "", VLOOKUP($G255, SeanRanks!$A$2:$H$303, 6, FALSE))</f>
        <v/>
      </c>
      <c r="L255" s="11">
        <f t="shared" si="5"/>
        <v>20</v>
      </c>
      <c r="M255" s="11">
        <f>VLOOKUP($G255, 'ADP Data'!$C$4:$Q$300, 9, FALSE)</f>
        <v>159</v>
      </c>
      <c r="N255" s="11">
        <f t="shared" si="6"/>
        <v>-17</v>
      </c>
      <c r="O255" s="11">
        <f>VLOOKUP($G255, 'ADP Data'!$C$4:$Q$300, 3, FALSE)</f>
        <v>193</v>
      </c>
      <c r="P255" s="11">
        <f t="shared" si="7"/>
        <v>-34</v>
      </c>
      <c r="Q255" s="11"/>
      <c r="R255" s="11"/>
      <c r="S255" s="11"/>
      <c r="T255" s="11"/>
      <c r="U255" s="11"/>
      <c r="V255" s="11">
        <f t="shared" si="8"/>
        <v>176</v>
      </c>
      <c r="W255" s="11">
        <f t="shared" si="9"/>
        <v>23</v>
      </c>
      <c r="X255" s="11">
        <f t="shared" si="10"/>
        <v>-23</v>
      </c>
      <c r="Y255" s="11">
        <f>VLOOKUP($G255, SeanRanks!$A$2:$K$303, 10, FALSE)-V255</f>
        <v>70</v>
      </c>
      <c r="Z255" s="29" t="str">
        <f>IF(VLOOKUP($G255, SeanRanks!$A$2:$H$303, 7, FALSE)=0, "", VLOOKUP($G255, SeanRanks!$A$2:$H$303, 7, FALSE))</f>
        <v/>
      </c>
    </row>
    <row r="256" ht="14.25" customHeight="1">
      <c r="A256" s="11"/>
      <c r="B256" s="11" t="str">
        <f t="shared" si="4"/>
        <v>#N/A</v>
      </c>
      <c r="C256" s="11" t="s">
        <v>106</v>
      </c>
      <c r="D256" s="11"/>
      <c r="E256" s="11"/>
      <c r="F256" s="11" t="str">
        <f>VLOOKUP(G256, SeanRanks!$A$2:$E$302, 4, FALSE)</f>
        <v>#N/A</v>
      </c>
      <c r="G256" s="11" t="s">
        <v>956</v>
      </c>
      <c r="H256" s="11" t="str">
        <f>VLOOKUP($G256, 'ADP Data'!$C$4:$Q$300, 2, FALSE)</f>
        <v>#N/A</v>
      </c>
      <c r="I256" s="11" t="str">
        <f>VLOOKUP(G256, 'ADP Data'!$C$4:$R$498, 12, FALSE)</f>
        <v>#N/A</v>
      </c>
      <c r="J256" s="11" t="str">
        <f>VLOOKUP($G256, SeanRanks!$A$2:$H$303, 5, FALSE)</f>
        <v>#N/A</v>
      </c>
      <c r="K256" s="11" t="str">
        <f>IF(VLOOKUP($G256, SeanRanks!$A$2:$H$303, 6, FALSE)=0, "", VLOOKUP($G256, SeanRanks!$A$2:$H$303, 6, FALSE))</f>
        <v>#N/A</v>
      </c>
      <c r="L256" s="11">
        <f t="shared" si="5"/>
        <v>16</v>
      </c>
      <c r="M256" s="11" t="str">
        <f>VLOOKUP($G256, 'ADP Data'!$C$4:$Q$300, 9, FALSE)</f>
        <v>#N/A</v>
      </c>
      <c r="N256" s="11" t="str">
        <f t="shared" si="6"/>
        <v>#N/A</v>
      </c>
      <c r="O256" s="11" t="str">
        <f>VLOOKUP($G256, 'ADP Data'!$C$4:$Q$300, 3, FALSE)</f>
        <v>#N/A</v>
      </c>
      <c r="P256" s="11" t="str">
        <f t="shared" si="7"/>
        <v>#N/A</v>
      </c>
      <c r="Q256" s="11" t="str">
        <f>VLOOKUP($G256, 'ADP Data'!$C$4:$Q$300, 4, FALSE)</f>
        <v>#N/A</v>
      </c>
      <c r="R256" s="11" t="str">
        <f>VLOOKUP($G256, 'ADP Data'!$C$4:$Q$300, 5, FALSE)</f>
        <v>#N/A</v>
      </c>
      <c r="S256" s="11" t="str">
        <f>VLOOKUP($G256, 'ADP Data'!$C$4:$Q$300, 6, FALSE)</f>
        <v>#N/A</v>
      </c>
      <c r="T256" s="11" t="str">
        <f>VLOOKUP($G256, 'ADP Data'!$C$4:$Q$300, 7, FALSE)</f>
        <v>#N/A</v>
      </c>
      <c r="U256" s="11" t="str">
        <f>VLOOKUP($G256, 'ADP Data'!$C$4:$Q$300, 8, FALSE)</f>
        <v>#N/A</v>
      </c>
      <c r="V256" s="11" t="str">
        <f t="shared" si="8"/>
        <v>#N/A</v>
      </c>
      <c r="W256" s="11">
        <f t="shared" si="9"/>
        <v>16</v>
      </c>
      <c r="X256" s="11">
        <f t="shared" si="10"/>
        <v>-16</v>
      </c>
      <c r="Y256" s="11" t="str">
        <f>VLOOKUP($G256, SeanRanks!$A$2:$K$303, 10, FALSE)-V256</f>
        <v>#N/A</v>
      </c>
      <c r="Z256" s="29" t="str">
        <f>IF(VLOOKUP($G256, SeanRanks!$A$2:$H$303, 7, FALSE)=0, "", VLOOKUP($G256, SeanRanks!$A$2:$H$303, 7, FALSE))</f>
        <v>#N/A</v>
      </c>
    </row>
    <row r="257" ht="14.25" customHeight="1">
      <c r="A257" s="11"/>
      <c r="B257" s="11" t="str">
        <f t="shared" si="4"/>
        <v>#N/A</v>
      </c>
      <c r="C257" s="11" t="s">
        <v>106</v>
      </c>
      <c r="D257" s="11"/>
      <c r="E257" s="11"/>
      <c r="F257" s="11" t="str">
        <f>VLOOKUP(G257, SeanRanks!$A$2:$E$302, 4, FALSE)</f>
        <v>#N/A</v>
      </c>
      <c r="G257" s="11" t="s">
        <v>529</v>
      </c>
      <c r="H257" s="11" t="str">
        <f>VLOOKUP($G257, 'ADP Data'!$C$4:$Q$300, 2, FALSE)</f>
        <v>#N/A</v>
      </c>
      <c r="I257" s="11" t="str">
        <f>VLOOKUP(G257, 'ADP Data'!$C$4:$R$498, 12, FALSE)</f>
        <v>#N/A</v>
      </c>
      <c r="J257" s="11" t="str">
        <f>VLOOKUP($G257, SeanRanks!$A$2:$H$303, 5, FALSE)</f>
        <v>#N/A</v>
      </c>
      <c r="K257" s="11" t="str">
        <f>IF(VLOOKUP($G257, SeanRanks!$A$2:$H$303, 6, FALSE)=0, "", VLOOKUP($G257, SeanRanks!$A$2:$H$303, 6, FALSE))</f>
        <v>#N/A</v>
      </c>
      <c r="L257" s="11">
        <f t="shared" si="5"/>
        <v>16</v>
      </c>
      <c r="M257" s="11" t="str">
        <f>VLOOKUP($G257, 'ADP Data'!$C$4:$Q$300, 9, FALSE)</f>
        <v>#N/A</v>
      </c>
      <c r="N257" s="11" t="str">
        <f t="shared" si="6"/>
        <v>#N/A</v>
      </c>
      <c r="O257" s="11" t="str">
        <f>VLOOKUP($G257, 'ADP Data'!$C$4:$Q$300, 3, FALSE)</f>
        <v>#N/A</v>
      </c>
      <c r="P257" s="11" t="str">
        <f t="shared" si="7"/>
        <v>#N/A</v>
      </c>
      <c r="Q257" s="11" t="str">
        <f>VLOOKUP($G257, 'ADP Data'!$C$4:$Q$300, 4, FALSE)</f>
        <v>#N/A</v>
      </c>
      <c r="R257" s="11" t="str">
        <f>VLOOKUP($G257, 'ADP Data'!$C$4:$Q$300, 5, FALSE)</f>
        <v>#N/A</v>
      </c>
      <c r="S257" s="11" t="str">
        <f>VLOOKUP($G257, 'ADP Data'!$C$4:$Q$300, 6, FALSE)</f>
        <v>#N/A</v>
      </c>
      <c r="T257" s="11" t="str">
        <f>VLOOKUP($G257, 'ADP Data'!$C$4:$Q$300, 7, FALSE)</f>
        <v>#N/A</v>
      </c>
      <c r="U257" s="11" t="str">
        <f>VLOOKUP($G257, 'ADP Data'!$C$4:$Q$300, 8, FALSE)</f>
        <v>#N/A</v>
      </c>
      <c r="V257" s="11" t="str">
        <f t="shared" si="8"/>
        <v>#N/A</v>
      </c>
      <c r="W257" s="11">
        <f t="shared" si="9"/>
        <v>16</v>
      </c>
      <c r="X257" s="11">
        <f t="shared" si="10"/>
        <v>-16</v>
      </c>
      <c r="Y257" s="11" t="str">
        <f>VLOOKUP($G257, SeanRanks!$A$2:$K$303, 10, FALSE)-V257</f>
        <v>#N/A</v>
      </c>
      <c r="Z257" s="29" t="str">
        <f>IF(VLOOKUP($G257, SeanRanks!$A$2:$H$303, 7, FALSE)=0, "", VLOOKUP($G257, SeanRanks!$A$2:$H$303, 7, FALSE))</f>
        <v>#N/A</v>
      </c>
    </row>
    <row r="258" ht="14.25" customHeight="1">
      <c r="A258" s="11"/>
      <c r="B258" s="11" t="str">
        <f t="shared" si="4"/>
        <v>#N/A</v>
      </c>
      <c r="C258" s="11" t="s">
        <v>106</v>
      </c>
      <c r="D258" s="11"/>
      <c r="E258" s="11"/>
      <c r="F258" s="11" t="str">
        <f>VLOOKUP(G258, SeanRanks!$A$2:$E$302, 4, FALSE)</f>
        <v>#N/A</v>
      </c>
      <c r="G258" s="11" t="s">
        <v>958</v>
      </c>
      <c r="H258" s="11" t="str">
        <f>VLOOKUP($G258, 'ADP Data'!$C$4:$Q$300, 2, FALSE)</f>
        <v>#N/A</v>
      </c>
      <c r="I258" s="11" t="str">
        <f>VLOOKUP(G258, 'ADP Data'!$C$4:$R$498, 12, FALSE)</f>
        <v>#N/A</v>
      </c>
      <c r="J258" s="11" t="str">
        <f>VLOOKUP($G258, SeanRanks!$A$2:$H$303, 5, FALSE)</f>
        <v>#N/A</v>
      </c>
      <c r="K258" s="11" t="str">
        <f>IF(VLOOKUP($G258, SeanRanks!$A$2:$H$303, 6, FALSE)=0, "", VLOOKUP($G258, SeanRanks!$A$2:$H$303, 6, FALSE))</f>
        <v>#N/A</v>
      </c>
      <c r="L258" s="11">
        <f t="shared" si="5"/>
        <v>16</v>
      </c>
      <c r="M258" s="11" t="str">
        <f>VLOOKUP($G258, 'ADP Data'!$C$4:$Q$300, 9, FALSE)</f>
        <v>#N/A</v>
      </c>
      <c r="N258" s="11" t="str">
        <f t="shared" si="6"/>
        <v>#N/A</v>
      </c>
      <c r="O258" s="11" t="str">
        <f>VLOOKUP($G258, 'ADP Data'!$C$4:$Q$300, 3, FALSE)</f>
        <v>#N/A</v>
      </c>
      <c r="P258" s="11" t="str">
        <f t="shared" si="7"/>
        <v>#N/A</v>
      </c>
      <c r="Q258" s="11" t="str">
        <f>VLOOKUP($G258, 'ADP Data'!$C$4:$Q$300, 4, FALSE)</f>
        <v>#N/A</v>
      </c>
      <c r="R258" s="11" t="str">
        <f>VLOOKUP($G258, 'ADP Data'!$C$4:$Q$300, 5, FALSE)</f>
        <v>#N/A</v>
      </c>
      <c r="S258" s="11" t="str">
        <f>VLOOKUP($G258, 'ADP Data'!$C$4:$Q$300, 6, FALSE)</f>
        <v>#N/A</v>
      </c>
      <c r="T258" s="11" t="str">
        <f>VLOOKUP($G258, 'ADP Data'!$C$4:$Q$300, 7, FALSE)</f>
        <v>#N/A</v>
      </c>
      <c r="U258" s="11" t="str">
        <f>VLOOKUP($G258, 'ADP Data'!$C$4:$Q$300, 8, FALSE)</f>
        <v>#N/A</v>
      </c>
      <c r="V258" s="11" t="str">
        <f t="shared" si="8"/>
        <v>#N/A</v>
      </c>
      <c r="W258" s="11">
        <f t="shared" si="9"/>
        <v>16</v>
      </c>
      <c r="X258" s="11">
        <f t="shared" si="10"/>
        <v>-16</v>
      </c>
      <c r="Y258" s="11" t="str">
        <f>VLOOKUP($G258, SeanRanks!$A$2:$K$303, 10, FALSE)-V258</f>
        <v>#N/A</v>
      </c>
      <c r="Z258" s="29" t="str">
        <f>IF(VLOOKUP($G258, SeanRanks!$A$2:$H$303, 7, FALSE)=0, "", VLOOKUP($G258, SeanRanks!$A$2:$H$303, 7, FALSE))</f>
        <v>#N/A</v>
      </c>
    </row>
    <row r="259" ht="14.25" customHeight="1">
      <c r="A259" s="11"/>
      <c r="B259" s="11">
        <f t="shared" si="4"/>
        <v>10</v>
      </c>
      <c r="C259" s="11" t="s">
        <v>106</v>
      </c>
      <c r="D259" s="11"/>
      <c r="E259" s="11"/>
      <c r="F259" s="11" t="str">
        <f>VLOOKUP(G259, SeanRanks!$A$2:$E$302, 4, FALSE)</f>
        <v/>
      </c>
      <c r="G259" s="11" t="s">
        <v>239</v>
      </c>
      <c r="H259" s="11" t="str">
        <f>VLOOKUP($G259, 'ADP Data'!$C$4:$Q$300, 2, FALSE)</f>
        <v>GB</v>
      </c>
      <c r="I259" s="11">
        <f>VLOOKUP(G259, 'ADP Data'!$C$4:$R$498, 12, FALSE)</f>
        <v>112</v>
      </c>
      <c r="J259" s="11" t="str">
        <f>VLOOKUP($G259, SeanRanks!$A$2:$H$303, 5, FALSE)</f>
        <v>Yes</v>
      </c>
      <c r="K259" s="11" t="str">
        <f>IF(VLOOKUP($G259, SeanRanks!$A$2:$H$303, 6, FALSE)=0, "", VLOOKUP($G259, SeanRanks!$A$2:$H$303, 6, FALSE))</f>
        <v>TE2 - 1 - Big Upside</v>
      </c>
      <c r="L259" s="11">
        <f t="shared" si="5"/>
        <v>14</v>
      </c>
      <c r="M259" s="11">
        <f>VLOOKUP($G259, 'ADP Data'!$C$4:$Q$300, 9, FALSE)</f>
        <v>105</v>
      </c>
      <c r="N259" s="11">
        <f t="shared" si="6"/>
        <v>-4</v>
      </c>
      <c r="O259" s="11">
        <f>VLOOKUP($G259, 'ADP Data'!$C$4:$Q$300, 3, FALSE)</f>
        <v>114</v>
      </c>
      <c r="P259" s="11">
        <f t="shared" si="7"/>
        <v>-9</v>
      </c>
      <c r="Q259" s="11">
        <f>VLOOKUP($G259, 'ADP Data'!$C$4:$Q$300, 4, FALSE)</f>
        <v>106</v>
      </c>
      <c r="R259" s="11">
        <f>VLOOKUP($G259, 'ADP Data'!$C$4:$Q$300, 5, FALSE)</f>
        <v>123</v>
      </c>
      <c r="S259" s="11">
        <f>VLOOKUP($G259, 'ADP Data'!$C$4:$Q$300, 6, FALSE)</f>
        <v>91</v>
      </c>
      <c r="T259" s="11">
        <f>VLOOKUP($G259, 'ADP Data'!$C$4:$Q$300, 7, FALSE)</f>
        <v>111</v>
      </c>
      <c r="U259" s="11">
        <f>VLOOKUP($G259, 'ADP Data'!$C$4:$Q$300, 8, FALSE)</f>
        <v>116</v>
      </c>
      <c r="V259" s="11">
        <f t="shared" si="8"/>
        <v>109</v>
      </c>
      <c r="W259" s="11">
        <f t="shared" si="9"/>
        <v>14</v>
      </c>
      <c r="X259" s="11">
        <f t="shared" si="10"/>
        <v>-14</v>
      </c>
      <c r="Y259" s="11">
        <f>VLOOKUP($G259, SeanRanks!$A$2:$K$303, 10, FALSE)-V259</f>
        <v>-24</v>
      </c>
      <c r="Z259" s="29">
        <f>IF(VLOOKUP($G259, SeanRanks!$A$2:$H$303, 7, FALSE)=0, "", VLOOKUP($G259, SeanRanks!$A$2:$H$303, 7, FALSE))</f>
        <v>12</v>
      </c>
    </row>
    <row r="260" ht="14.25" customHeight="1">
      <c r="A260" s="11"/>
      <c r="B260" s="11">
        <f t="shared" si="4"/>
        <v>18</v>
      </c>
      <c r="C260" s="11" t="s">
        <v>106</v>
      </c>
      <c r="D260" s="11"/>
      <c r="E260" s="11"/>
      <c r="F260" s="11" t="str">
        <f>VLOOKUP(G260, SeanRanks!$A$2:$E$302, 4, FALSE)</f>
        <v/>
      </c>
      <c r="G260" s="11" t="s">
        <v>504</v>
      </c>
      <c r="H260" s="11" t="str">
        <f>VLOOKUP($G260, 'ADP Data'!$C$4:$Q$300, 2, FALSE)</f>
        <v>NE</v>
      </c>
      <c r="I260" s="11" t="str">
        <f>VLOOKUP(G260, 'ADP Data'!$C$4:$R$498, 12, FALSE)</f>
        <v>-</v>
      </c>
      <c r="J260" s="11" t="str">
        <f>VLOOKUP($G260, SeanRanks!$A$2:$H$303, 5, FALSE)</f>
        <v/>
      </c>
      <c r="K260" s="11" t="str">
        <f>IF(VLOOKUP($G260, SeanRanks!$A$2:$H$303, 6, FALSE)=0, "", VLOOKUP($G260, SeanRanks!$A$2:$H$303, 6, FALSE))</f>
        <v/>
      </c>
      <c r="L260" s="11">
        <f t="shared" si="5"/>
        <v>31</v>
      </c>
      <c r="M260" s="11">
        <f>VLOOKUP($G260, 'ADP Data'!$C$4:$Q$300, 9, FALSE)</f>
        <v>240</v>
      </c>
      <c r="N260" s="11">
        <f t="shared" si="6"/>
        <v>26</v>
      </c>
      <c r="O260" s="11" t="str">
        <f>VLOOKUP($G260, 'ADP Data'!$C$4:$Q$300, 3, FALSE)</f>
        <v>-</v>
      </c>
      <c r="P260" s="11" t="str">
        <f t="shared" si="7"/>
        <v>#VALUE!</v>
      </c>
      <c r="Q260" s="11">
        <f>VLOOKUP($G260, 'ADP Data'!$C$4:$Q$300, 4, FALSE)</f>
        <v>152</v>
      </c>
      <c r="R260" s="11" t="str">
        <f>VLOOKUP($G260, 'ADP Data'!$C$4:$Q$300, 5, FALSE)</f>
        <v>-</v>
      </c>
      <c r="S260" s="11">
        <f>VLOOKUP($G260, 'ADP Data'!$C$4:$Q$300, 6, FALSE)</f>
        <v>265</v>
      </c>
      <c r="T260" s="11">
        <f>VLOOKUP($G260, 'ADP Data'!$C$4:$Q$300, 7, FALSE)</f>
        <v>226</v>
      </c>
      <c r="U260" s="11">
        <f>VLOOKUP($G260, 'ADP Data'!$C$4:$Q$300, 8, FALSE)</f>
        <v>190</v>
      </c>
      <c r="V260" s="11">
        <f t="shared" si="8"/>
        <v>214</v>
      </c>
      <c r="W260" s="11">
        <f t="shared" si="9"/>
        <v>27</v>
      </c>
      <c r="X260" s="11">
        <f t="shared" si="10"/>
        <v>-27</v>
      </c>
      <c r="Y260" s="11">
        <f>VLOOKUP($G260, SeanRanks!$A$2:$K$303, 10, FALSE)-V260</f>
        <v>30</v>
      </c>
      <c r="Z260" s="29" t="str">
        <f>IF(VLOOKUP($G260, SeanRanks!$A$2:$H$303, 7, FALSE)=0, "", VLOOKUP($G260, SeanRanks!$A$2:$H$303, 7, FALSE))</f>
        <v/>
      </c>
    </row>
    <row r="261" ht="14.25" customHeight="1">
      <c r="A261" s="11"/>
      <c r="B261" s="11">
        <f t="shared" si="4"/>
        <v>21</v>
      </c>
      <c r="C261" s="11" t="s">
        <v>106</v>
      </c>
      <c r="D261" s="11"/>
      <c r="E261" s="11"/>
      <c r="F261" s="11" t="str">
        <f>VLOOKUP(G261, SeanRanks!$A$2:$E$302, 4, FALSE)</f>
        <v/>
      </c>
      <c r="G261" s="11" t="s">
        <v>643</v>
      </c>
      <c r="H261" s="11" t="str">
        <f>VLOOKUP($G261, 'ADP Data'!$C$4:$Q$300, 2, FALSE)</f>
        <v>DEN</v>
      </c>
      <c r="I261" s="11">
        <f>VLOOKUP(G261, 'ADP Data'!$C$4:$R$498, 12, FALSE)</f>
        <v>187</v>
      </c>
      <c r="J261" s="11" t="str">
        <f>VLOOKUP($G261, SeanRanks!$A$2:$H$303, 5, FALSE)</f>
        <v/>
      </c>
      <c r="K261" s="11" t="str">
        <f>IF(VLOOKUP($G261, SeanRanks!$A$2:$H$303, 6, FALSE)=0, "", VLOOKUP($G261, SeanRanks!$A$2:$H$303, 6, FALSE))</f>
        <v/>
      </c>
      <c r="L261" s="11">
        <f t="shared" si="5"/>
        <v>33</v>
      </c>
      <c r="M261" s="11">
        <f>VLOOKUP($G261, 'ADP Data'!$C$4:$Q$300, 9, FALSE)</f>
        <v>259</v>
      </c>
      <c r="N261" s="11">
        <f t="shared" si="6"/>
        <v>14</v>
      </c>
      <c r="O261" s="11" t="str">
        <f>VLOOKUP($G261, 'ADP Data'!$C$4:$Q$300, 3, FALSE)</f>
        <v>-</v>
      </c>
      <c r="P261" s="11" t="str">
        <f t="shared" si="7"/>
        <v>#VALUE!</v>
      </c>
      <c r="Q261" s="11" t="str">
        <f>VLOOKUP($G261, 'ADP Data'!$C$4:$Q$300, 4, FALSE)</f>
        <v>-</v>
      </c>
      <c r="R261" s="11" t="str">
        <f>VLOOKUP($G261, 'ADP Data'!$C$4:$Q$300, 5, FALSE)</f>
        <v>-</v>
      </c>
      <c r="S261" s="11">
        <f>VLOOKUP($G261, 'ADP Data'!$C$4:$Q$300, 6, FALSE)</f>
        <v>206</v>
      </c>
      <c r="T261" s="11">
        <f>VLOOKUP($G261, 'ADP Data'!$C$4:$Q$300, 7, FALSE)</f>
        <v>227</v>
      </c>
      <c r="U261" s="11">
        <f>VLOOKUP($G261, 'ADP Data'!$C$4:$Q$300, 8, FALSE)</f>
        <v>289</v>
      </c>
      <c r="V261" s="11">
        <f t="shared" si="8"/>
        <v>245</v>
      </c>
      <c r="W261" s="11">
        <f t="shared" si="9"/>
        <v>31</v>
      </c>
      <c r="X261" s="11">
        <f t="shared" si="10"/>
        <v>-31</v>
      </c>
      <c r="Y261" s="11">
        <f>VLOOKUP($G261, SeanRanks!$A$2:$K$303, 10, FALSE)-V261</f>
        <v>-7</v>
      </c>
      <c r="Z261" s="29" t="str">
        <f>IF(VLOOKUP($G261, SeanRanks!$A$2:$H$303, 7, FALSE)=0, "", VLOOKUP($G261, SeanRanks!$A$2:$H$303, 7, FALSE))</f>
        <v/>
      </c>
    </row>
    <row r="262" ht="14.25" customHeight="1">
      <c r="A262" s="11"/>
      <c r="B262" s="11">
        <f t="shared" si="4"/>
        <v>23</v>
      </c>
      <c r="C262" s="11" t="s">
        <v>106</v>
      </c>
      <c r="D262" s="11"/>
      <c r="E262" s="11"/>
      <c r="F262" s="11" t="str">
        <f>VLOOKUP(G262, SeanRanks!$A$2:$E$302, 4, FALSE)</f>
        <v/>
      </c>
      <c r="G262" s="11" t="s">
        <v>830</v>
      </c>
      <c r="H262" s="11" t="str">
        <f>VLOOKUP($G262, 'ADP Data'!$C$4:$Q$300, 2, FALSE)</f>
        <v>NYG</v>
      </c>
      <c r="I262" s="11">
        <f>VLOOKUP(G262, 'ADP Data'!$C$4:$R$498, 12, FALSE)</f>
        <v>185</v>
      </c>
      <c r="J262" s="11" t="str">
        <f>VLOOKUP($G262, SeanRanks!$A$2:$H$303, 5, FALSE)</f>
        <v/>
      </c>
      <c r="K262" s="11" t="str">
        <f>IF(VLOOKUP($G262, SeanRanks!$A$2:$H$303, 6, FALSE)=0, "", VLOOKUP($G262, SeanRanks!$A$2:$H$303, 6, FALSE))</f>
        <v/>
      </c>
      <c r="L262" s="11">
        <f t="shared" si="5"/>
        <v>34</v>
      </c>
      <c r="M262" s="11">
        <f>VLOOKUP($G262, 'ADP Data'!$C$4:$Q$300, 9, FALSE)</f>
        <v>268</v>
      </c>
      <c r="N262" s="11">
        <f t="shared" si="6"/>
        <v>-3</v>
      </c>
      <c r="O262" s="11" t="str">
        <f>VLOOKUP($G262, 'ADP Data'!$C$4:$Q$300, 3, FALSE)</f>
        <v>-</v>
      </c>
      <c r="P262" s="11" t="str">
        <f t="shared" si="7"/>
        <v>#VALUE!</v>
      </c>
      <c r="Q262" s="11" t="str">
        <f>VLOOKUP($G262, 'ADP Data'!$C$4:$Q$300, 4, FALSE)</f>
        <v>-</v>
      </c>
      <c r="R262" s="11">
        <f>VLOOKUP($G262, 'ADP Data'!$C$4:$Q$300, 5, FALSE)</f>
        <v>309</v>
      </c>
      <c r="S262" s="11">
        <f>VLOOKUP($G262, 'ADP Data'!$C$4:$Q$300, 6, FALSE)</f>
        <v>237</v>
      </c>
      <c r="T262" s="11">
        <f>VLOOKUP($G262, 'ADP Data'!$C$4:$Q$300, 7, FALSE)</f>
        <v>231</v>
      </c>
      <c r="U262" s="11">
        <f>VLOOKUP($G262, 'ADP Data'!$C$4:$Q$300, 8, FALSE)</f>
        <v>311</v>
      </c>
      <c r="V262" s="11">
        <f t="shared" si="8"/>
        <v>271</v>
      </c>
      <c r="W262" s="11">
        <f t="shared" si="9"/>
        <v>34</v>
      </c>
      <c r="X262" s="11">
        <f t="shared" si="10"/>
        <v>-34</v>
      </c>
      <c r="Y262" s="11" t="str">
        <f>VLOOKUP($G262, SeanRanks!$A$2:$K$303, 10, FALSE)-V262</f>
        <v>#VALUE!</v>
      </c>
      <c r="Z262" s="29" t="str">
        <f>IF(VLOOKUP($G262, SeanRanks!$A$2:$H$303, 7, FALSE)=0, "", VLOOKUP($G262, SeanRanks!$A$2:$H$303, 7, FALSE))</f>
        <v/>
      </c>
    </row>
    <row r="263" ht="14.25" customHeight="1">
      <c r="A263" s="11"/>
      <c r="B263" s="11"/>
      <c r="C263" s="11" t="s">
        <v>106</v>
      </c>
      <c r="D263" s="11"/>
      <c r="E263" s="11"/>
      <c r="F263" s="11" t="str">
        <f>VLOOKUP(G263, SeanRanks!$A$2:$E$302, 4, FALSE)</f>
        <v>#N/A</v>
      </c>
      <c r="G263" s="11" t="s">
        <v>961</v>
      </c>
      <c r="H263" s="11" t="str">
        <f>VLOOKUP($G263, 'ADP Data'!$C$4:$Q$300, 2, FALSE)</f>
        <v>#N/A</v>
      </c>
      <c r="I263" s="11" t="str">
        <f>VLOOKUP(G263, 'ADP Data'!$C$4:$R$498, 12, FALSE)</f>
        <v>#N/A</v>
      </c>
      <c r="J263" s="11" t="str">
        <f>VLOOKUP($G263, SeanRanks!$A$2:$H$303, 5, FALSE)</f>
        <v>#N/A</v>
      </c>
      <c r="K263" s="11" t="str">
        <f>IF(VLOOKUP($G263, SeanRanks!$A$2:$H$303, 6, FALSE)=0, "", VLOOKUP($G263, SeanRanks!$A$2:$H$303, 6, FALSE))</f>
        <v>#N/A</v>
      </c>
      <c r="L263" s="11">
        <f t="shared" si="5"/>
        <v>16</v>
      </c>
      <c r="M263" s="11" t="str">
        <f>VLOOKUP($G263, 'ADP Data'!$C$4:$Q$300, 9, FALSE)</f>
        <v>#N/A</v>
      </c>
      <c r="N263" s="11" t="str">
        <f t="shared" si="6"/>
        <v>#N/A</v>
      </c>
      <c r="O263" s="11" t="str">
        <f>VLOOKUP($G263, 'ADP Data'!$C$4:$Q$300, 3, FALSE)</f>
        <v>#N/A</v>
      </c>
      <c r="P263" s="11" t="str">
        <f t="shared" si="7"/>
        <v>#N/A</v>
      </c>
      <c r="Q263" s="11" t="str">
        <f>VLOOKUP($G263, 'ADP Data'!$C$4:$Q$300, 4, FALSE)</f>
        <v>#N/A</v>
      </c>
      <c r="R263" s="11" t="str">
        <f>VLOOKUP($G263, 'ADP Data'!$C$4:$Q$300, 5, FALSE)</f>
        <v>#N/A</v>
      </c>
      <c r="S263" s="11" t="str">
        <f>VLOOKUP($G263, 'ADP Data'!$C$4:$Q$300, 6, FALSE)</f>
        <v>#N/A</v>
      </c>
      <c r="T263" s="11" t="str">
        <f>VLOOKUP($G263, 'ADP Data'!$C$4:$Q$300, 7, FALSE)</f>
        <v>#N/A</v>
      </c>
      <c r="U263" s="11" t="str">
        <f>VLOOKUP($G263, 'ADP Data'!$C$4:$Q$300, 8, FALSE)</f>
        <v>#N/A</v>
      </c>
      <c r="V263" s="11" t="str">
        <f t="shared" si="8"/>
        <v>#N/A</v>
      </c>
      <c r="W263" s="11">
        <f t="shared" si="9"/>
        <v>16</v>
      </c>
      <c r="X263" s="11">
        <f t="shared" si="10"/>
        <v>-16</v>
      </c>
      <c r="Y263" s="11" t="str">
        <f>VLOOKUP($G263, SeanRanks!$A$2:$K$303, 10, FALSE)-V263</f>
        <v>#N/A</v>
      </c>
      <c r="Z263" s="29" t="str">
        <f>IF(VLOOKUP($G263, SeanRanks!$A$2:$H$303, 7, FALSE)=0, "", VLOOKUP($G263, SeanRanks!$A$2:$H$303, 7, FALSE))</f>
        <v>#N/A</v>
      </c>
    </row>
    <row r="264" ht="14.25" customHeight="1">
      <c r="A264" s="11"/>
      <c r="B264" s="11" t="str">
        <f t="shared" ref="B264:B295" si="11">IFERROR(INT(AVERAGE(Q264:U264)/12)+1, INT(AVERAGE(M264)/12)+1)</f>
        <v>#N/A</v>
      </c>
      <c r="C264" s="11" t="s">
        <v>106</v>
      </c>
      <c r="D264" s="11"/>
      <c r="E264" s="11"/>
      <c r="F264" s="11" t="str">
        <f>VLOOKUP(G264, SeanRanks!$A$2:$E$302, 4, FALSE)</f>
        <v>#N/A</v>
      </c>
      <c r="G264" s="11" t="s">
        <v>707</v>
      </c>
      <c r="H264" s="11" t="str">
        <f>VLOOKUP($G264, 'ADP Data'!$C$4:$Q$300, 2, FALSE)</f>
        <v>#N/A</v>
      </c>
      <c r="I264" s="11" t="str">
        <f>VLOOKUP(G264, 'ADP Data'!$C$4:$R$498, 12, FALSE)</f>
        <v>#N/A</v>
      </c>
      <c r="J264" s="11" t="str">
        <f>VLOOKUP($G264, SeanRanks!$A$2:$H$303, 5, FALSE)</f>
        <v>#N/A</v>
      </c>
      <c r="K264" s="11" t="str">
        <f>IF(VLOOKUP($G264, SeanRanks!$A$2:$H$303, 6, FALSE)=0, "", VLOOKUP($G264, SeanRanks!$A$2:$H$303, 6, FALSE))</f>
        <v>#N/A</v>
      </c>
      <c r="L264" s="11">
        <f t="shared" si="5"/>
        <v>16</v>
      </c>
      <c r="M264" s="11" t="str">
        <f>VLOOKUP($G264, 'ADP Data'!$C$4:$Q$300, 9, FALSE)</f>
        <v>#N/A</v>
      </c>
      <c r="N264" s="11" t="str">
        <f t="shared" si="6"/>
        <v>#N/A</v>
      </c>
      <c r="O264" s="11" t="str">
        <f>VLOOKUP($G264, 'ADP Data'!$C$4:$Q$300, 3, FALSE)</f>
        <v>#N/A</v>
      </c>
      <c r="P264" s="11" t="str">
        <f t="shared" si="7"/>
        <v>#N/A</v>
      </c>
      <c r="Q264" s="11" t="str">
        <f>VLOOKUP($G264, 'ADP Data'!$C$4:$Q$300, 4, FALSE)</f>
        <v>#N/A</v>
      </c>
      <c r="R264" s="11" t="str">
        <f>VLOOKUP($G264, 'ADP Data'!$C$4:$Q$300, 5, FALSE)</f>
        <v>#N/A</v>
      </c>
      <c r="S264" s="11" t="str">
        <f>VLOOKUP($G264, 'ADP Data'!$C$4:$Q$300, 6, FALSE)</f>
        <v>#N/A</v>
      </c>
      <c r="T264" s="11" t="str">
        <f>VLOOKUP($G264, 'ADP Data'!$C$4:$Q$300, 7, FALSE)</f>
        <v>#N/A</v>
      </c>
      <c r="U264" s="11" t="str">
        <f>VLOOKUP($G264, 'ADP Data'!$C$4:$Q$300, 8, FALSE)</f>
        <v>#N/A</v>
      </c>
      <c r="V264" s="11" t="str">
        <f t="shared" si="8"/>
        <v>#N/A</v>
      </c>
      <c r="W264" s="11">
        <f t="shared" si="9"/>
        <v>16</v>
      </c>
      <c r="X264" s="11">
        <f t="shared" si="10"/>
        <v>-16</v>
      </c>
      <c r="Y264" s="11" t="str">
        <f>VLOOKUP($G264, SeanRanks!$A$2:$K$303, 10, FALSE)-V264</f>
        <v>#N/A</v>
      </c>
      <c r="Z264" s="29" t="str">
        <f>IF(VLOOKUP($G264, SeanRanks!$A$2:$H$303, 7, FALSE)=0, "", VLOOKUP($G264, SeanRanks!$A$2:$H$303, 7, FALSE))</f>
        <v>#N/A</v>
      </c>
    </row>
    <row r="265" ht="14.25" customHeight="1">
      <c r="A265" s="11"/>
      <c r="B265" s="11">
        <f t="shared" si="11"/>
        <v>20</v>
      </c>
      <c r="C265" s="11" t="s">
        <v>106</v>
      </c>
      <c r="D265" s="11"/>
      <c r="E265" s="11"/>
      <c r="F265" s="11" t="str">
        <f>VLOOKUP(G265, SeanRanks!$A$2:$E$302, 4, FALSE)</f>
        <v/>
      </c>
      <c r="G265" s="11" t="s">
        <v>387</v>
      </c>
      <c r="H265" s="11" t="str">
        <f>VLOOKUP($G265, 'ADP Data'!$C$4:$Q$300, 2, FALSE)</f>
        <v>BAL</v>
      </c>
      <c r="I265" s="11">
        <f>VLOOKUP(G265, 'ADP Data'!$C$4:$R$498, 12, FALSE)</f>
        <v>184</v>
      </c>
      <c r="J265" s="11" t="str">
        <f>VLOOKUP($G265, SeanRanks!$A$2:$H$303, 5, FALSE)</f>
        <v>Yes</v>
      </c>
      <c r="K265" s="11" t="str">
        <f>IF(VLOOKUP($G265, SeanRanks!$A$2:$H$303, 6, FALSE)=0, "", VLOOKUP($G265, SeanRanks!$A$2:$H$303, 6, FALSE))</f>
        <v>RB5 - 1 - upside</v>
      </c>
      <c r="L265" s="11">
        <f t="shared" si="5"/>
        <v>28</v>
      </c>
      <c r="M265" s="11">
        <f>VLOOKUP($G265, 'ADP Data'!$C$4:$Q$300, 9, FALSE)</f>
        <v>223</v>
      </c>
      <c r="N265" s="11">
        <f t="shared" si="6"/>
        <v>-10</v>
      </c>
      <c r="O265" s="11" t="str">
        <f>VLOOKUP($G265, 'ADP Data'!$C$4:$Q$300, 3, FALSE)</f>
        <v>-</v>
      </c>
      <c r="P265" s="11" t="str">
        <f t="shared" si="7"/>
        <v>#VALUE!</v>
      </c>
      <c r="Q265" s="11" t="str">
        <f>VLOOKUP($G265, 'ADP Data'!$C$4:$Q$300, 4, FALSE)</f>
        <v>-</v>
      </c>
      <c r="R265" s="11">
        <f>VLOOKUP($G265, 'ADP Data'!$C$4:$Q$300, 5, FALSE)</f>
        <v>312</v>
      </c>
      <c r="S265" s="11">
        <f>VLOOKUP($G265, 'ADP Data'!$C$4:$Q$300, 6, FALSE)</f>
        <v>166</v>
      </c>
      <c r="T265" s="11">
        <f>VLOOKUP($G265, 'ADP Data'!$C$4:$Q$300, 7, FALSE)</f>
        <v>184</v>
      </c>
      <c r="U265" s="11">
        <f>VLOOKUP($G265, 'ADP Data'!$C$4:$Q$300, 8, FALSE)</f>
        <v>283</v>
      </c>
      <c r="V265" s="11">
        <f t="shared" si="8"/>
        <v>233</v>
      </c>
      <c r="W265" s="11">
        <f t="shared" si="9"/>
        <v>30</v>
      </c>
      <c r="X265" s="11">
        <f t="shared" si="10"/>
        <v>-30</v>
      </c>
      <c r="Y265" s="11">
        <f>VLOOKUP($G265, SeanRanks!$A$2:$K$303, 10, FALSE)-V265</f>
        <v>-28</v>
      </c>
      <c r="Z265" s="29">
        <f>IF(VLOOKUP($G265, SeanRanks!$A$2:$H$303, 7, FALSE)=0, "", VLOOKUP($G265, SeanRanks!$A$2:$H$303, 7, FALSE))</f>
        <v>52</v>
      </c>
    </row>
    <row r="266" ht="14.25" customHeight="1">
      <c r="A266" s="11"/>
      <c r="B266" s="11" t="str">
        <f t="shared" si="11"/>
        <v>#N/A</v>
      </c>
      <c r="C266" s="11" t="s">
        <v>106</v>
      </c>
      <c r="D266" s="11"/>
      <c r="E266" s="11"/>
      <c r="F266" s="11" t="str">
        <f>VLOOKUP(G266, SeanRanks!$A$2:$E$302, 4, FALSE)</f>
        <v>#N/A</v>
      </c>
      <c r="G266" s="11" t="s">
        <v>965</v>
      </c>
      <c r="H266" s="11" t="str">
        <f>VLOOKUP($G266, 'ADP Data'!$C$4:$Q$300, 2, FALSE)</f>
        <v>#N/A</v>
      </c>
      <c r="I266" s="11" t="str">
        <f>VLOOKUP(G266, 'ADP Data'!$C$4:$R$498, 12, FALSE)</f>
        <v>#N/A</v>
      </c>
      <c r="J266" s="11" t="str">
        <f>VLOOKUP($G266, SeanRanks!$A$2:$H$303, 5, FALSE)</f>
        <v>#N/A</v>
      </c>
      <c r="K266" s="11" t="str">
        <f>IF(VLOOKUP($G266, SeanRanks!$A$2:$H$303, 6, FALSE)=0, "", VLOOKUP($G266, SeanRanks!$A$2:$H$303, 6, FALSE))</f>
        <v>#N/A</v>
      </c>
      <c r="L266" s="11">
        <f t="shared" si="5"/>
        <v>16</v>
      </c>
      <c r="M266" s="11" t="str">
        <f>VLOOKUP($G266, 'ADP Data'!$C$4:$Q$300, 9, FALSE)</f>
        <v>#N/A</v>
      </c>
      <c r="N266" s="11" t="str">
        <f t="shared" si="6"/>
        <v>#N/A</v>
      </c>
      <c r="O266" s="11" t="str">
        <f>VLOOKUP($G266, 'ADP Data'!$C$4:$Q$300, 3, FALSE)</f>
        <v>#N/A</v>
      </c>
      <c r="P266" s="11" t="str">
        <f t="shared" si="7"/>
        <v>#N/A</v>
      </c>
      <c r="Q266" s="11" t="str">
        <f>VLOOKUP($G266, 'ADP Data'!$C$4:$Q$300, 4, FALSE)</f>
        <v>#N/A</v>
      </c>
      <c r="R266" s="11" t="str">
        <f>VLOOKUP($G266, 'ADP Data'!$C$4:$Q$300, 5, FALSE)</f>
        <v>#N/A</v>
      </c>
      <c r="S266" s="11" t="str">
        <f>VLOOKUP($G266, 'ADP Data'!$C$4:$Q$300, 6, FALSE)</f>
        <v>#N/A</v>
      </c>
      <c r="T266" s="11" t="str">
        <f>VLOOKUP($G266, 'ADP Data'!$C$4:$Q$300, 7, FALSE)</f>
        <v>#N/A</v>
      </c>
      <c r="U266" s="11" t="str">
        <f>VLOOKUP($G266, 'ADP Data'!$C$4:$Q$300, 8, FALSE)</f>
        <v>#N/A</v>
      </c>
      <c r="V266" s="11" t="str">
        <f t="shared" si="8"/>
        <v>#N/A</v>
      </c>
      <c r="W266" s="11">
        <f t="shared" si="9"/>
        <v>16</v>
      </c>
      <c r="X266" s="11">
        <f t="shared" si="10"/>
        <v>-16</v>
      </c>
      <c r="Y266" s="11" t="str">
        <f>VLOOKUP($G266, SeanRanks!$A$2:$K$303, 10, FALSE)-V266</f>
        <v>#N/A</v>
      </c>
      <c r="Z266" s="29" t="str">
        <f>IF(VLOOKUP($G266, SeanRanks!$A$2:$H$303, 7, FALSE)=0, "", VLOOKUP($G266, SeanRanks!$A$2:$H$303, 7, FALSE))</f>
        <v>#N/A</v>
      </c>
    </row>
    <row r="267" ht="14.25" customHeight="1">
      <c r="A267" s="11"/>
      <c r="B267" s="11">
        <f t="shared" si="11"/>
        <v>24</v>
      </c>
      <c r="C267" s="11" t="s">
        <v>106</v>
      </c>
      <c r="D267" s="11"/>
      <c r="E267" s="11"/>
      <c r="F267" s="11" t="str">
        <f>VLOOKUP(G267, SeanRanks!$A$2:$E$302, 4, FALSE)</f>
        <v/>
      </c>
      <c r="G267" s="11" t="s">
        <v>966</v>
      </c>
      <c r="H267" s="11" t="str">
        <f>VLOOKUP($G267, 'ADP Data'!$C$4:$Q$300, 2, FALSE)</f>
        <v>CAR</v>
      </c>
      <c r="I267" s="11">
        <f>VLOOKUP(G267, 'ADP Data'!$C$4:$R$498, 12, FALSE)</f>
        <v>198</v>
      </c>
      <c r="J267" s="11" t="str">
        <f>VLOOKUP($G267, SeanRanks!$A$2:$H$303, 5, FALSE)</f>
        <v/>
      </c>
      <c r="K267" s="11" t="str">
        <f>IF(VLOOKUP($G267, SeanRanks!$A$2:$H$303, 6, FALSE)=0, "", VLOOKUP($G267, SeanRanks!$A$2:$H$303, 6, FALSE))</f>
        <v/>
      </c>
      <c r="L267" s="11">
        <f t="shared" si="5"/>
        <v>32</v>
      </c>
      <c r="M267" s="11">
        <f>VLOOKUP($G267, 'ADP Data'!$C$4:$Q$300, 9, FALSE)</f>
        <v>254</v>
      </c>
      <c r="N267" s="11">
        <f t="shared" si="6"/>
        <v>-20</v>
      </c>
      <c r="O267" s="11" t="str">
        <f>VLOOKUP($G267, 'ADP Data'!$C$4:$Q$300, 3, FALSE)</f>
        <v>-</v>
      </c>
      <c r="P267" s="11" t="str">
        <f t="shared" si="7"/>
        <v>#VALUE!</v>
      </c>
      <c r="Q267" s="11">
        <f>VLOOKUP($G267, 'ADP Data'!$C$4:$Q$300, 4, FALSE)</f>
        <v>347</v>
      </c>
      <c r="R267" s="11">
        <f>VLOOKUP($G267, 'ADP Data'!$C$4:$Q$300, 5, FALSE)</f>
        <v>318</v>
      </c>
      <c r="S267" s="11">
        <f>VLOOKUP($G267, 'ADP Data'!$C$4:$Q$300, 6, FALSE)</f>
        <v>204</v>
      </c>
      <c r="T267" s="11">
        <f>VLOOKUP($G267, 'ADP Data'!$C$4:$Q$300, 7, FALSE)</f>
        <v>247</v>
      </c>
      <c r="U267" s="11" t="str">
        <f>VLOOKUP($G267, 'ADP Data'!$C$4:$Q$300, 8, FALSE)</f>
        <v>-</v>
      </c>
      <c r="V267" s="11">
        <f t="shared" si="8"/>
        <v>274</v>
      </c>
      <c r="W267" s="11">
        <f t="shared" si="9"/>
        <v>35</v>
      </c>
      <c r="X267" s="11">
        <f t="shared" si="10"/>
        <v>-35</v>
      </c>
      <c r="Y267" s="11">
        <f>VLOOKUP($G267, SeanRanks!$A$2:$K$303, 10, FALSE)-V267</f>
        <v>-43</v>
      </c>
      <c r="Z267" s="29" t="str">
        <f>IF(VLOOKUP($G267, SeanRanks!$A$2:$H$303, 7, FALSE)=0, "", VLOOKUP($G267, SeanRanks!$A$2:$H$303, 7, FALSE))</f>
        <v/>
      </c>
    </row>
    <row r="268" ht="14.25" customHeight="1">
      <c r="A268" s="11"/>
      <c r="B268" s="11" t="str">
        <f t="shared" si="11"/>
        <v>#N/A</v>
      </c>
      <c r="C268" s="11" t="s">
        <v>106</v>
      </c>
      <c r="D268" s="11"/>
      <c r="E268" s="11"/>
      <c r="F268" s="11" t="str">
        <f>VLOOKUP(G268, SeanRanks!$A$2:$E$302, 4, FALSE)</f>
        <v>#N/A</v>
      </c>
      <c r="G268" s="11" t="s">
        <v>967</v>
      </c>
      <c r="H268" s="11" t="str">
        <f>VLOOKUP($G268, 'ADP Data'!$C$4:$Q$300, 2, FALSE)</f>
        <v>#N/A</v>
      </c>
      <c r="I268" s="11" t="str">
        <f>VLOOKUP(G268, 'ADP Data'!$C$4:$R$498, 12, FALSE)</f>
        <v>#N/A</v>
      </c>
      <c r="J268" s="11" t="str">
        <f>VLOOKUP($G268, SeanRanks!$A$2:$H$303, 5, FALSE)</f>
        <v>#N/A</v>
      </c>
      <c r="K268" s="11" t="str">
        <f>IF(VLOOKUP($G268, SeanRanks!$A$2:$H$303, 6, FALSE)=0, "", VLOOKUP($G268, SeanRanks!$A$2:$H$303, 6, FALSE))</f>
        <v>#N/A</v>
      </c>
      <c r="L268" s="11">
        <f t="shared" si="5"/>
        <v>16</v>
      </c>
      <c r="M268" s="11" t="str">
        <f>VLOOKUP($G268, 'ADP Data'!$C$4:$Q$300, 9, FALSE)</f>
        <v>#N/A</v>
      </c>
      <c r="N268" s="11" t="str">
        <f t="shared" si="6"/>
        <v>#N/A</v>
      </c>
      <c r="O268" s="11" t="str">
        <f>VLOOKUP($G268, 'ADP Data'!$C$4:$Q$300, 3, FALSE)</f>
        <v>#N/A</v>
      </c>
      <c r="P268" s="11" t="str">
        <f t="shared" si="7"/>
        <v>#N/A</v>
      </c>
      <c r="Q268" s="11" t="str">
        <f>VLOOKUP($G268, 'ADP Data'!$C$4:$Q$300, 4, FALSE)</f>
        <v>#N/A</v>
      </c>
      <c r="R268" s="11" t="str">
        <f>VLOOKUP($G268, 'ADP Data'!$C$4:$Q$300, 5, FALSE)</f>
        <v>#N/A</v>
      </c>
      <c r="S268" s="11" t="str">
        <f>VLOOKUP($G268, 'ADP Data'!$C$4:$Q$300, 6, FALSE)</f>
        <v>#N/A</v>
      </c>
      <c r="T268" s="11" t="str">
        <f>VLOOKUP($G268, 'ADP Data'!$C$4:$Q$300, 7, FALSE)</f>
        <v>#N/A</v>
      </c>
      <c r="U268" s="11" t="str">
        <f>VLOOKUP($G268, 'ADP Data'!$C$4:$Q$300, 8, FALSE)</f>
        <v>#N/A</v>
      </c>
      <c r="V268" s="11" t="str">
        <f t="shared" si="8"/>
        <v>#N/A</v>
      </c>
      <c r="W268" s="11">
        <f t="shared" si="9"/>
        <v>16</v>
      </c>
      <c r="X268" s="11">
        <f t="shared" si="10"/>
        <v>-16</v>
      </c>
      <c r="Y268" s="11" t="str">
        <f>VLOOKUP($G268, SeanRanks!$A$2:$K$303, 10, FALSE)-V268</f>
        <v>#N/A</v>
      </c>
      <c r="Z268" s="29" t="str">
        <f>IF(VLOOKUP($G268, SeanRanks!$A$2:$H$303, 7, FALSE)=0, "", VLOOKUP($G268, SeanRanks!$A$2:$H$303, 7, FALSE))</f>
        <v>#N/A</v>
      </c>
    </row>
    <row r="269" ht="14.25" customHeight="1">
      <c r="A269" s="11"/>
      <c r="B269" s="11" t="str">
        <f t="shared" si="11"/>
        <v>#N/A</v>
      </c>
      <c r="C269" s="11" t="s">
        <v>106</v>
      </c>
      <c r="D269" s="11"/>
      <c r="E269" s="11"/>
      <c r="F269" s="11" t="str">
        <f>VLOOKUP(G269, SeanRanks!$A$2:$E$302, 4, FALSE)</f>
        <v>#N/A</v>
      </c>
      <c r="G269" s="11" t="s">
        <v>968</v>
      </c>
      <c r="H269" s="11" t="str">
        <f>VLOOKUP($G269, 'ADP Data'!$C$4:$Q$300, 2, FALSE)</f>
        <v>#N/A</v>
      </c>
      <c r="I269" s="11" t="str">
        <f>VLOOKUP(G269, 'ADP Data'!$C$4:$R$498, 12, FALSE)</f>
        <v>#N/A</v>
      </c>
      <c r="J269" s="11" t="str">
        <f>VLOOKUP($G269, SeanRanks!$A$2:$H$303, 5, FALSE)</f>
        <v>#N/A</v>
      </c>
      <c r="K269" s="11" t="str">
        <f>IF(VLOOKUP($G269, SeanRanks!$A$2:$H$303, 6, FALSE)=0, "", VLOOKUP($G269, SeanRanks!$A$2:$H$303, 6, FALSE))</f>
        <v>#N/A</v>
      </c>
      <c r="L269" s="11">
        <f t="shared" si="5"/>
        <v>16</v>
      </c>
      <c r="M269" s="11" t="str">
        <f>VLOOKUP($G269, 'ADP Data'!$C$4:$Q$300, 9, FALSE)</f>
        <v>#N/A</v>
      </c>
      <c r="N269" s="11" t="str">
        <f t="shared" si="6"/>
        <v>#N/A</v>
      </c>
      <c r="O269" s="11" t="str">
        <f>VLOOKUP($G269, 'ADP Data'!$C$4:$Q$300, 3, FALSE)</f>
        <v>#N/A</v>
      </c>
      <c r="P269" s="11" t="str">
        <f t="shared" si="7"/>
        <v>#N/A</v>
      </c>
      <c r="Q269" s="11" t="str">
        <f>VLOOKUP($G269, 'ADP Data'!$C$4:$Q$300, 4, FALSE)</f>
        <v>#N/A</v>
      </c>
      <c r="R269" s="11" t="str">
        <f>VLOOKUP($G269, 'ADP Data'!$C$4:$Q$300, 5, FALSE)</f>
        <v>#N/A</v>
      </c>
      <c r="S269" s="11" t="str">
        <f>VLOOKUP($G269, 'ADP Data'!$C$4:$Q$300, 6, FALSE)</f>
        <v>#N/A</v>
      </c>
      <c r="T269" s="11" t="str">
        <f>VLOOKUP($G269, 'ADP Data'!$C$4:$Q$300, 7, FALSE)</f>
        <v>#N/A</v>
      </c>
      <c r="U269" s="11" t="str">
        <f>VLOOKUP($G269, 'ADP Data'!$C$4:$Q$300, 8, FALSE)</f>
        <v>#N/A</v>
      </c>
      <c r="V269" s="11" t="str">
        <f t="shared" si="8"/>
        <v>#N/A</v>
      </c>
      <c r="W269" s="11">
        <f t="shared" si="9"/>
        <v>16</v>
      </c>
      <c r="X269" s="11">
        <f t="shared" si="10"/>
        <v>-16</v>
      </c>
      <c r="Y269" s="11" t="str">
        <f>VLOOKUP($G269, SeanRanks!$A$2:$K$303, 10, FALSE)-V269</f>
        <v>#N/A</v>
      </c>
      <c r="Z269" s="29" t="str">
        <f>IF(VLOOKUP($G269, SeanRanks!$A$2:$H$303, 7, FALSE)=0, "", VLOOKUP($G269, SeanRanks!$A$2:$H$303, 7, FALSE))</f>
        <v>#N/A</v>
      </c>
    </row>
    <row r="270" ht="14.25" customHeight="1">
      <c r="A270" s="11"/>
      <c r="B270" s="11" t="str">
        <f t="shared" si="11"/>
        <v>#N/A</v>
      </c>
      <c r="C270" s="11" t="s">
        <v>106</v>
      </c>
      <c r="D270" s="11"/>
      <c r="E270" s="11"/>
      <c r="F270" s="11" t="str">
        <f>VLOOKUP(G270, SeanRanks!$A$2:$E$302, 4, FALSE)</f>
        <v>#N/A</v>
      </c>
      <c r="G270" s="11" t="s">
        <v>840</v>
      </c>
      <c r="H270" s="11" t="str">
        <f>VLOOKUP($G270, 'ADP Data'!$C$4:$Q$300, 2, FALSE)</f>
        <v>#N/A</v>
      </c>
      <c r="I270" s="11" t="str">
        <f>VLOOKUP(G270, 'ADP Data'!$C$4:$R$498, 12, FALSE)</f>
        <v>#N/A</v>
      </c>
      <c r="J270" s="11" t="str">
        <f>VLOOKUP($G270, SeanRanks!$A$2:$H$303, 5, FALSE)</f>
        <v>#N/A</v>
      </c>
      <c r="K270" s="11" t="str">
        <f>IF(VLOOKUP($G270, SeanRanks!$A$2:$H$303, 6, FALSE)=0, "", VLOOKUP($G270, SeanRanks!$A$2:$H$303, 6, FALSE))</f>
        <v>#N/A</v>
      </c>
      <c r="L270" s="11">
        <f t="shared" si="5"/>
        <v>16</v>
      </c>
      <c r="M270" s="11" t="str">
        <f>VLOOKUP($G270, 'ADP Data'!$C$4:$Q$300, 9, FALSE)</f>
        <v>#N/A</v>
      </c>
      <c r="N270" s="11" t="str">
        <f t="shared" si="6"/>
        <v>#N/A</v>
      </c>
      <c r="O270" s="11" t="str">
        <f>VLOOKUP($G270, 'ADP Data'!$C$4:$Q$300, 3, FALSE)</f>
        <v>#N/A</v>
      </c>
      <c r="P270" s="11" t="str">
        <f t="shared" si="7"/>
        <v>#N/A</v>
      </c>
      <c r="Q270" s="11" t="str">
        <f>VLOOKUP($G270, 'ADP Data'!$C$4:$Q$300, 4, FALSE)</f>
        <v>#N/A</v>
      </c>
      <c r="R270" s="11" t="str">
        <f>VLOOKUP($G270, 'ADP Data'!$C$4:$Q$300, 5, FALSE)</f>
        <v>#N/A</v>
      </c>
      <c r="S270" s="11" t="str">
        <f>VLOOKUP($G270, 'ADP Data'!$C$4:$Q$300, 6, FALSE)</f>
        <v>#N/A</v>
      </c>
      <c r="T270" s="11" t="str">
        <f>VLOOKUP($G270, 'ADP Data'!$C$4:$Q$300, 7, FALSE)</f>
        <v>#N/A</v>
      </c>
      <c r="U270" s="11" t="str">
        <f>VLOOKUP($G270, 'ADP Data'!$C$4:$Q$300, 8, FALSE)</f>
        <v>#N/A</v>
      </c>
      <c r="V270" s="11" t="str">
        <f t="shared" si="8"/>
        <v>#N/A</v>
      </c>
      <c r="W270" s="11">
        <f t="shared" si="9"/>
        <v>16</v>
      </c>
      <c r="X270" s="11">
        <f t="shared" si="10"/>
        <v>-16</v>
      </c>
      <c r="Y270" s="11" t="str">
        <f>VLOOKUP($G270, SeanRanks!$A$2:$K$303, 10, FALSE)-V270</f>
        <v>#N/A</v>
      </c>
      <c r="Z270" s="29" t="str">
        <f>IF(VLOOKUP($G270, SeanRanks!$A$2:$H$303, 7, FALSE)=0, "", VLOOKUP($G270, SeanRanks!$A$2:$H$303, 7, FALSE))</f>
        <v>#N/A</v>
      </c>
    </row>
    <row r="271" ht="14.25" customHeight="1">
      <c r="A271" s="11"/>
      <c r="B271" s="11">
        <f t="shared" si="11"/>
        <v>22</v>
      </c>
      <c r="C271" s="11" t="s">
        <v>106</v>
      </c>
      <c r="D271" s="11"/>
      <c r="E271" s="11"/>
      <c r="F271" s="11" t="str">
        <f>VLOOKUP(G271, SeanRanks!$A$2:$E$302, 4, FALSE)</f>
        <v/>
      </c>
      <c r="G271" s="11" t="s">
        <v>969</v>
      </c>
      <c r="H271" s="11" t="str">
        <f>VLOOKUP($G271, 'ADP Data'!$C$4:$Q$300, 2, FALSE)</f>
        <v>DAL</v>
      </c>
      <c r="I271" s="11">
        <f>VLOOKUP(G271, 'ADP Data'!$C$4:$R$498, 12, FALSE)</f>
        <v>249</v>
      </c>
      <c r="J271" s="11" t="str">
        <f>VLOOKUP($G271, SeanRanks!$A$2:$H$303, 5, FALSE)</f>
        <v/>
      </c>
      <c r="K271" s="11" t="str">
        <f>IF(VLOOKUP($G271, SeanRanks!$A$2:$H$303, 6, FALSE)=0, "", VLOOKUP($G271, SeanRanks!$A$2:$H$303, 6, FALSE))</f>
        <v/>
      </c>
      <c r="L271" s="11">
        <f t="shared" si="5"/>
        <v>28</v>
      </c>
      <c r="M271" s="11">
        <f>VLOOKUP($G271, 'ADP Data'!$C$4:$Q$300, 9, FALSE)</f>
        <v>222</v>
      </c>
      <c r="N271" s="11">
        <f t="shared" si="6"/>
        <v>-30</v>
      </c>
      <c r="O271" s="11" t="str">
        <f>VLOOKUP($G271, 'ADP Data'!$C$4:$Q$300, 3, FALSE)</f>
        <v>-</v>
      </c>
      <c r="P271" s="11" t="str">
        <f t="shared" si="7"/>
        <v>#VALUE!</v>
      </c>
      <c r="Q271" s="11" t="str">
        <f>VLOOKUP($G271, 'ADP Data'!$C$4:$Q$300, 4, FALSE)</f>
        <v>-</v>
      </c>
      <c r="R271" s="11">
        <f>VLOOKUP($G271, 'ADP Data'!$C$4:$Q$300, 5, FALSE)</f>
        <v>276</v>
      </c>
      <c r="S271" s="11">
        <f>VLOOKUP($G271, 'ADP Data'!$C$4:$Q$300, 6, FALSE)</f>
        <v>256</v>
      </c>
      <c r="T271" s="11">
        <f>VLOOKUP($G271, 'ADP Data'!$C$4:$Q$300, 7, FALSE)</f>
        <v>233</v>
      </c>
      <c r="U271" s="11">
        <f>VLOOKUP($G271, 'ADP Data'!$C$4:$Q$300, 8, FALSE)</f>
        <v>276</v>
      </c>
      <c r="V271" s="11">
        <f t="shared" si="8"/>
        <v>252</v>
      </c>
      <c r="W271" s="11">
        <f t="shared" si="9"/>
        <v>32</v>
      </c>
      <c r="X271" s="11">
        <f t="shared" si="10"/>
        <v>-32</v>
      </c>
      <c r="Y271" s="11">
        <f>VLOOKUP($G271, SeanRanks!$A$2:$K$303, 10, FALSE)-V271</f>
        <v>-37</v>
      </c>
      <c r="Z271" s="29" t="str">
        <f>IF(VLOOKUP($G271, SeanRanks!$A$2:$H$303, 7, FALSE)=0, "", VLOOKUP($G271, SeanRanks!$A$2:$H$303, 7, FALSE))</f>
        <v/>
      </c>
    </row>
    <row r="272" ht="14.25" customHeight="1">
      <c r="A272" s="11"/>
      <c r="B272" s="11" t="str">
        <f t="shared" si="11"/>
        <v>#N/A</v>
      </c>
      <c r="C272" s="11" t="s">
        <v>106</v>
      </c>
      <c r="D272" s="11"/>
      <c r="E272" s="11"/>
      <c r="F272" s="11" t="str">
        <f>VLOOKUP(G272, SeanRanks!$A$2:$E$302, 4, FALSE)</f>
        <v/>
      </c>
      <c r="G272" s="11" t="s">
        <v>970</v>
      </c>
      <c r="H272" s="11" t="str">
        <f>VLOOKUP($G272, 'ADP Data'!$C$4:$Q$300, 2, FALSE)</f>
        <v>#N/A</v>
      </c>
      <c r="I272" s="11" t="str">
        <f>VLOOKUP(G272, 'ADP Data'!$C$4:$R$498, 12, FALSE)</f>
        <v>#N/A</v>
      </c>
      <c r="J272" s="11" t="str">
        <f>VLOOKUP($G272, SeanRanks!$A$2:$H$303, 5, FALSE)</f>
        <v/>
      </c>
      <c r="K272" s="11" t="str">
        <f>IF(VLOOKUP($G272, SeanRanks!$A$2:$H$303, 6, FALSE)=0, "", VLOOKUP($G272, SeanRanks!$A$2:$H$303, 6, FALSE))</f>
        <v/>
      </c>
      <c r="L272" s="11">
        <f t="shared" si="5"/>
        <v>16</v>
      </c>
      <c r="M272" s="11" t="str">
        <f>VLOOKUP($G272, 'ADP Data'!$C$4:$Q$300, 9, FALSE)</f>
        <v>#N/A</v>
      </c>
      <c r="N272" s="11" t="str">
        <f t="shared" si="6"/>
        <v>#N/A</v>
      </c>
      <c r="O272" s="11" t="str">
        <f>VLOOKUP($G272, 'ADP Data'!$C$4:$Q$300, 3, FALSE)</f>
        <v>#N/A</v>
      </c>
      <c r="P272" s="11" t="str">
        <f t="shared" si="7"/>
        <v>#N/A</v>
      </c>
      <c r="Q272" s="11" t="str">
        <f>VLOOKUP($G272, 'ADP Data'!$C$4:$Q$300, 4, FALSE)</f>
        <v>#N/A</v>
      </c>
      <c r="R272" s="11" t="str">
        <f>VLOOKUP($G272, 'ADP Data'!$C$4:$Q$300, 5, FALSE)</f>
        <v>#N/A</v>
      </c>
      <c r="S272" s="11" t="str">
        <f>VLOOKUP($G272, 'ADP Data'!$C$4:$Q$300, 6, FALSE)</f>
        <v>#N/A</v>
      </c>
      <c r="T272" s="11" t="str">
        <f>VLOOKUP($G272, 'ADP Data'!$C$4:$Q$300, 7, FALSE)</f>
        <v>#N/A</v>
      </c>
      <c r="U272" s="11" t="str">
        <f>VLOOKUP($G272, 'ADP Data'!$C$4:$Q$300, 8, FALSE)</f>
        <v>#N/A</v>
      </c>
      <c r="V272" s="11" t="str">
        <f t="shared" si="8"/>
        <v>#N/A</v>
      </c>
      <c r="W272" s="11">
        <f t="shared" si="9"/>
        <v>16</v>
      </c>
      <c r="X272" s="11">
        <f t="shared" si="10"/>
        <v>-16</v>
      </c>
      <c r="Y272" s="11" t="str">
        <f>VLOOKUP($G272, SeanRanks!$A$2:$K$303, 10, FALSE)-V272</f>
        <v>#N/A</v>
      </c>
      <c r="Z272" s="29" t="str">
        <f>IF(VLOOKUP($G272, SeanRanks!$A$2:$H$303, 7, FALSE)=0, "", VLOOKUP($G272, SeanRanks!$A$2:$H$303, 7, FALSE))</f>
        <v/>
      </c>
    </row>
    <row r="273" ht="14.25" customHeight="1">
      <c r="A273" s="11"/>
      <c r="B273" s="11" t="str">
        <f t="shared" si="11"/>
        <v>#N/A</v>
      </c>
      <c r="C273" s="11" t="s">
        <v>106</v>
      </c>
      <c r="D273" s="11"/>
      <c r="E273" s="11"/>
      <c r="F273" s="11" t="str">
        <f>VLOOKUP(G273, SeanRanks!$A$2:$E$302, 4, FALSE)</f>
        <v/>
      </c>
      <c r="G273" s="11" t="s">
        <v>413</v>
      </c>
      <c r="H273" s="11" t="str">
        <f>VLOOKUP($G273, 'ADP Data'!$C$4:$Q$300, 2, FALSE)</f>
        <v>#N/A</v>
      </c>
      <c r="I273" s="11">
        <f>VLOOKUP(G273, 'ADP Data'!$C$4:$R$498, 12, FALSE)</f>
        <v>244</v>
      </c>
      <c r="J273" s="11" t="str">
        <f>VLOOKUP($G273, SeanRanks!$A$2:$H$303, 5, FALSE)</f>
        <v/>
      </c>
      <c r="K273" s="11" t="str">
        <f>IF(VLOOKUP($G273, SeanRanks!$A$2:$H$303, 6, FALSE)=0, "", VLOOKUP($G273, SeanRanks!$A$2:$H$303, 6, FALSE))</f>
        <v/>
      </c>
      <c r="L273" s="11">
        <f t="shared" si="5"/>
        <v>16</v>
      </c>
      <c r="M273" s="11" t="str">
        <f>VLOOKUP($G273, 'ADP Data'!$C$4:$Q$300, 9, FALSE)</f>
        <v>#N/A</v>
      </c>
      <c r="N273" s="11" t="str">
        <f t="shared" si="6"/>
        <v>#N/A</v>
      </c>
      <c r="O273" s="11" t="str">
        <f>VLOOKUP($G273, 'ADP Data'!$C$4:$Q$300, 3, FALSE)</f>
        <v>#N/A</v>
      </c>
      <c r="P273" s="11" t="str">
        <f t="shared" si="7"/>
        <v>#N/A</v>
      </c>
      <c r="Q273" s="11" t="str">
        <f>VLOOKUP($G273, 'ADP Data'!$C$4:$Q$300, 4, FALSE)</f>
        <v>#N/A</v>
      </c>
      <c r="R273" s="11" t="str">
        <f>VLOOKUP($G273, 'ADP Data'!$C$4:$Q$300, 5, FALSE)</f>
        <v>#N/A</v>
      </c>
      <c r="S273" s="11" t="str">
        <f>VLOOKUP($G273, 'ADP Data'!$C$4:$Q$300, 6, FALSE)</f>
        <v>#N/A</v>
      </c>
      <c r="T273" s="11" t="str">
        <f>VLOOKUP($G273, 'ADP Data'!$C$4:$Q$300, 7, FALSE)</f>
        <v>#N/A</v>
      </c>
      <c r="U273" s="11" t="str">
        <f>VLOOKUP($G273, 'ADP Data'!$C$4:$Q$300, 8, FALSE)</f>
        <v>#N/A</v>
      </c>
      <c r="V273" s="11" t="str">
        <f t="shared" si="8"/>
        <v>#N/A</v>
      </c>
      <c r="W273" s="11">
        <f t="shared" si="9"/>
        <v>16</v>
      </c>
      <c r="X273" s="11">
        <f t="shared" si="10"/>
        <v>-16</v>
      </c>
      <c r="Y273" s="11" t="str">
        <f>VLOOKUP($G273, SeanRanks!$A$2:$K$303, 10, FALSE)-V273</f>
        <v>#N/A</v>
      </c>
      <c r="Z273" s="29" t="str">
        <f>IF(VLOOKUP($G273, SeanRanks!$A$2:$H$303, 7, FALSE)=0, "", VLOOKUP($G273, SeanRanks!$A$2:$H$303, 7, FALSE))</f>
        <v/>
      </c>
    </row>
    <row r="274" ht="14.25" customHeight="1">
      <c r="A274" s="11"/>
      <c r="B274" s="11" t="str">
        <f t="shared" si="11"/>
        <v>#N/A</v>
      </c>
      <c r="C274" s="11" t="s">
        <v>106</v>
      </c>
      <c r="D274" s="11"/>
      <c r="E274" s="11"/>
      <c r="F274" s="11" t="str">
        <f>VLOOKUP(G274, SeanRanks!$A$2:$E$302, 4, FALSE)</f>
        <v>#N/A</v>
      </c>
      <c r="G274" s="11" t="s">
        <v>971</v>
      </c>
      <c r="H274" s="11" t="str">
        <f>VLOOKUP($G274, 'ADP Data'!$C$4:$Q$300, 2, FALSE)</f>
        <v>#N/A</v>
      </c>
      <c r="I274" s="11" t="str">
        <f>VLOOKUP(G274, 'ADP Data'!$C$4:$R$498, 12, FALSE)</f>
        <v>#N/A</v>
      </c>
      <c r="J274" s="11" t="str">
        <f>VLOOKUP($G274, SeanRanks!$A$2:$H$303, 5, FALSE)</f>
        <v>#N/A</v>
      </c>
      <c r="K274" s="11" t="str">
        <f>IF(VLOOKUP($G274, SeanRanks!$A$2:$H$303, 6, FALSE)=0, "", VLOOKUP($G274, SeanRanks!$A$2:$H$303, 6, FALSE))</f>
        <v>#N/A</v>
      </c>
      <c r="L274" s="11">
        <f t="shared" si="5"/>
        <v>16</v>
      </c>
      <c r="M274" s="11" t="str">
        <f>VLOOKUP($G274, 'ADP Data'!$C$4:$Q$300, 9, FALSE)</f>
        <v>#N/A</v>
      </c>
      <c r="N274" s="11" t="str">
        <f t="shared" si="6"/>
        <v>#N/A</v>
      </c>
      <c r="O274" s="11" t="str">
        <f>VLOOKUP($G274, 'ADP Data'!$C$4:$Q$300, 3, FALSE)</f>
        <v>#N/A</v>
      </c>
      <c r="P274" s="11" t="str">
        <f t="shared" si="7"/>
        <v>#N/A</v>
      </c>
      <c r="Q274" s="11" t="str">
        <f>VLOOKUP($G274, 'ADP Data'!$C$4:$Q$300, 4, FALSE)</f>
        <v>#N/A</v>
      </c>
      <c r="R274" s="11" t="str">
        <f>VLOOKUP($G274, 'ADP Data'!$C$4:$Q$300, 5, FALSE)</f>
        <v>#N/A</v>
      </c>
      <c r="S274" s="11" t="str">
        <f>VLOOKUP($G274, 'ADP Data'!$C$4:$Q$300, 6, FALSE)</f>
        <v>#N/A</v>
      </c>
      <c r="T274" s="11" t="str">
        <f>VLOOKUP($G274, 'ADP Data'!$C$4:$Q$300, 7, FALSE)</f>
        <v>#N/A</v>
      </c>
      <c r="U274" s="11" t="str">
        <f>VLOOKUP($G274, 'ADP Data'!$C$4:$Q$300, 8, FALSE)</f>
        <v>#N/A</v>
      </c>
      <c r="V274" s="11" t="str">
        <f t="shared" si="8"/>
        <v>#N/A</v>
      </c>
      <c r="W274" s="11">
        <f t="shared" si="9"/>
        <v>16</v>
      </c>
      <c r="X274" s="11">
        <f t="shared" si="10"/>
        <v>-16</v>
      </c>
      <c r="Y274" s="11" t="str">
        <f>VLOOKUP($G274, SeanRanks!$A$2:$K$303, 10, FALSE)-V274</f>
        <v>#N/A</v>
      </c>
      <c r="Z274" s="29" t="str">
        <f>IF(VLOOKUP($G274, SeanRanks!$A$2:$H$303, 7, FALSE)=0, "", VLOOKUP($G274, SeanRanks!$A$2:$H$303, 7, FALSE))</f>
        <v>#N/A</v>
      </c>
    </row>
    <row r="275" ht="14.25" customHeight="1">
      <c r="A275" s="11"/>
      <c r="B275" s="11" t="str">
        <f t="shared" si="11"/>
        <v>#N/A</v>
      </c>
      <c r="C275" s="11" t="s">
        <v>106</v>
      </c>
      <c r="D275" s="11"/>
      <c r="E275" s="11"/>
      <c r="F275" s="11" t="str">
        <f>VLOOKUP(G275, SeanRanks!$A$2:$E$302, 4, FALSE)</f>
        <v>#N/A</v>
      </c>
      <c r="G275" s="11" t="s">
        <v>972</v>
      </c>
      <c r="H275" s="11" t="str">
        <f>VLOOKUP($G275, 'ADP Data'!$C$4:$Q$300, 2, FALSE)</f>
        <v>#N/A</v>
      </c>
      <c r="I275" s="11" t="str">
        <f>VLOOKUP(G275, 'ADP Data'!$C$4:$R$498, 12, FALSE)</f>
        <v>#N/A</v>
      </c>
      <c r="J275" s="11" t="str">
        <f>VLOOKUP($G275, SeanRanks!$A$2:$H$303, 5, FALSE)</f>
        <v>#N/A</v>
      </c>
      <c r="K275" s="11" t="str">
        <f>IF(VLOOKUP($G275, SeanRanks!$A$2:$H$303, 6, FALSE)=0, "", VLOOKUP($G275, SeanRanks!$A$2:$H$303, 6, FALSE))</f>
        <v>#N/A</v>
      </c>
      <c r="L275" s="11">
        <f t="shared" si="5"/>
        <v>16</v>
      </c>
      <c r="M275" s="11" t="str">
        <f>VLOOKUP($G275, 'ADP Data'!$C$4:$Q$300, 9, FALSE)</f>
        <v>#N/A</v>
      </c>
      <c r="N275" s="11" t="str">
        <f t="shared" si="6"/>
        <v>#N/A</v>
      </c>
      <c r="O275" s="11" t="str">
        <f>VLOOKUP($G275, 'ADP Data'!$C$4:$Q$300, 3, FALSE)</f>
        <v>#N/A</v>
      </c>
      <c r="P275" s="11" t="str">
        <f t="shared" si="7"/>
        <v>#N/A</v>
      </c>
      <c r="Q275" s="11" t="str">
        <f>VLOOKUP($G275, 'ADP Data'!$C$4:$Q$300, 4, FALSE)</f>
        <v>#N/A</v>
      </c>
      <c r="R275" s="11" t="str">
        <f>VLOOKUP($G275, 'ADP Data'!$C$4:$Q$300, 5, FALSE)</f>
        <v>#N/A</v>
      </c>
      <c r="S275" s="11" t="str">
        <f>VLOOKUP($G275, 'ADP Data'!$C$4:$Q$300, 6, FALSE)</f>
        <v>#N/A</v>
      </c>
      <c r="T275" s="11" t="str">
        <f>VLOOKUP($G275, 'ADP Data'!$C$4:$Q$300, 7, FALSE)</f>
        <v>#N/A</v>
      </c>
      <c r="U275" s="11" t="str">
        <f>VLOOKUP($G275, 'ADP Data'!$C$4:$Q$300, 8, FALSE)</f>
        <v>#N/A</v>
      </c>
      <c r="V275" s="11" t="str">
        <f t="shared" si="8"/>
        <v>#N/A</v>
      </c>
      <c r="W275" s="11">
        <f t="shared" si="9"/>
        <v>16</v>
      </c>
      <c r="X275" s="11">
        <f t="shared" si="10"/>
        <v>-16</v>
      </c>
      <c r="Y275" s="11" t="str">
        <f>VLOOKUP($G275, SeanRanks!$A$2:$K$303, 10, FALSE)-V275</f>
        <v>#N/A</v>
      </c>
      <c r="Z275" s="29" t="str">
        <f>IF(VLOOKUP($G275, SeanRanks!$A$2:$H$303, 7, FALSE)=0, "", VLOOKUP($G275, SeanRanks!$A$2:$H$303, 7, FALSE))</f>
        <v>#N/A</v>
      </c>
    </row>
    <row r="276" ht="14.25" customHeight="1">
      <c r="A276" s="11"/>
      <c r="B276" s="11" t="str">
        <f t="shared" si="11"/>
        <v>#N/A</v>
      </c>
      <c r="C276" s="11" t="s">
        <v>106</v>
      </c>
      <c r="D276" s="11"/>
      <c r="E276" s="11"/>
      <c r="F276" s="11" t="str">
        <f>VLOOKUP(G276, SeanRanks!$A$2:$E$302, 4, FALSE)</f>
        <v>#N/A</v>
      </c>
      <c r="G276" s="11" t="s">
        <v>973</v>
      </c>
      <c r="H276" s="11" t="str">
        <f>VLOOKUP($G276, 'ADP Data'!$C$4:$Q$300, 2, FALSE)</f>
        <v>#N/A</v>
      </c>
      <c r="I276" s="11" t="str">
        <f>VLOOKUP(G276, 'ADP Data'!$C$4:$R$498, 12, FALSE)</f>
        <v>#N/A</v>
      </c>
      <c r="J276" s="11" t="str">
        <f>VLOOKUP($G276, SeanRanks!$A$2:$H$303, 5, FALSE)</f>
        <v>#N/A</v>
      </c>
      <c r="K276" s="11" t="str">
        <f>IF(VLOOKUP($G276, SeanRanks!$A$2:$H$303, 6, FALSE)=0, "", VLOOKUP($G276, SeanRanks!$A$2:$H$303, 6, FALSE))</f>
        <v>#N/A</v>
      </c>
      <c r="L276" s="11">
        <f t="shared" si="5"/>
        <v>16</v>
      </c>
      <c r="M276" s="11" t="str">
        <f>VLOOKUP($G276, 'ADP Data'!$C$4:$Q$300, 9, FALSE)</f>
        <v>#N/A</v>
      </c>
      <c r="N276" s="11" t="str">
        <f t="shared" si="6"/>
        <v>#N/A</v>
      </c>
      <c r="O276" s="11" t="str">
        <f>VLOOKUP($G276, 'ADP Data'!$C$4:$Q$300, 3, FALSE)</f>
        <v>#N/A</v>
      </c>
      <c r="P276" s="11" t="str">
        <f t="shared" si="7"/>
        <v>#N/A</v>
      </c>
      <c r="Q276" s="11" t="str">
        <f>VLOOKUP($G276, 'ADP Data'!$C$4:$Q$300, 4, FALSE)</f>
        <v>#N/A</v>
      </c>
      <c r="R276" s="11" t="str">
        <f>VLOOKUP($G276, 'ADP Data'!$C$4:$Q$300, 5, FALSE)</f>
        <v>#N/A</v>
      </c>
      <c r="S276" s="11" t="str">
        <f>VLOOKUP($G276, 'ADP Data'!$C$4:$Q$300, 6, FALSE)</f>
        <v>#N/A</v>
      </c>
      <c r="T276" s="11" t="str">
        <f>VLOOKUP($G276, 'ADP Data'!$C$4:$Q$300, 7, FALSE)</f>
        <v>#N/A</v>
      </c>
      <c r="U276" s="11" t="str">
        <f>VLOOKUP($G276, 'ADP Data'!$C$4:$Q$300, 8, FALSE)</f>
        <v>#N/A</v>
      </c>
      <c r="V276" s="11" t="str">
        <f t="shared" si="8"/>
        <v>#N/A</v>
      </c>
      <c r="W276" s="11">
        <f t="shared" si="9"/>
        <v>16</v>
      </c>
      <c r="X276" s="11">
        <f t="shared" si="10"/>
        <v>-16</v>
      </c>
      <c r="Y276" s="11" t="str">
        <f>VLOOKUP($G276, SeanRanks!$A$2:$K$303, 10, FALSE)-V276</f>
        <v>#N/A</v>
      </c>
      <c r="Z276" s="29" t="str">
        <f>IF(VLOOKUP($G276, SeanRanks!$A$2:$H$303, 7, FALSE)=0, "", VLOOKUP($G276, SeanRanks!$A$2:$H$303, 7, FALSE))</f>
        <v>#N/A</v>
      </c>
    </row>
    <row r="277" ht="14.25" customHeight="1">
      <c r="A277" s="11"/>
      <c r="B277" s="11">
        <f t="shared" si="11"/>
        <v>21</v>
      </c>
      <c r="C277" s="11" t="s">
        <v>106</v>
      </c>
      <c r="D277" s="11"/>
      <c r="E277" s="11"/>
      <c r="F277" s="11" t="str">
        <f>VLOOKUP(G277, SeanRanks!$A$2:$E$302, 4, FALSE)</f>
        <v/>
      </c>
      <c r="G277" s="11" t="s">
        <v>974</v>
      </c>
      <c r="H277" s="11" t="str">
        <f>VLOOKUP($G277, 'ADP Data'!$C$4:$Q$300, 2, FALSE)</f>
        <v>KC</v>
      </c>
      <c r="I277" s="11">
        <f>VLOOKUP(G277, 'ADP Data'!$C$4:$R$498, 12, FALSE)</f>
        <v>279</v>
      </c>
      <c r="J277" s="11" t="str">
        <f>VLOOKUP($G277, SeanRanks!$A$2:$H$303, 5, FALSE)</f>
        <v/>
      </c>
      <c r="K277" s="11" t="str">
        <f>IF(VLOOKUP($G277, SeanRanks!$A$2:$H$303, 6, FALSE)=0, "", VLOOKUP($G277, SeanRanks!$A$2:$H$303, 6, FALSE))</f>
        <v/>
      </c>
      <c r="L277" s="11">
        <f t="shared" si="5"/>
        <v>35</v>
      </c>
      <c r="M277" s="11">
        <f>VLOOKUP($G277, 'ADP Data'!$C$4:$Q$300, 9, FALSE)</f>
        <v>276</v>
      </c>
      <c r="N277" s="11">
        <f t="shared" si="6"/>
        <v>24</v>
      </c>
      <c r="O277" s="11" t="str">
        <f>VLOOKUP($G277, 'ADP Data'!$C$4:$Q$300, 3, FALSE)</f>
        <v>-</v>
      </c>
      <c r="P277" s="11" t="str">
        <f t="shared" si="7"/>
        <v>#VALUE!</v>
      </c>
      <c r="Q277" s="11">
        <f>VLOOKUP($G277, 'ADP Data'!$C$4:$Q$300, 4, FALSE)</f>
        <v>233</v>
      </c>
      <c r="R277" s="11" t="str">
        <f>VLOOKUP($G277, 'ADP Data'!$C$4:$Q$300, 5, FALSE)</f>
        <v>-</v>
      </c>
      <c r="S277" s="11">
        <f>VLOOKUP($G277, 'ADP Data'!$C$4:$Q$300, 6, FALSE)</f>
        <v>249</v>
      </c>
      <c r="T277" s="11">
        <f>VLOOKUP($G277, 'ADP Data'!$C$4:$Q$300, 7, FALSE)</f>
        <v>263</v>
      </c>
      <c r="U277" s="11">
        <f>VLOOKUP($G277, 'ADP Data'!$C$4:$Q$300, 8, FALSE)</f>
        <v>240</v>
      </c>
      <c r="V277" s="11">
        <f t="shared" si="8"/>
        <v>252</v>
      </c>
      <c r="W277" s="11">
        <f t="shared" si="9"/>
        <v>32</v>
      </c>
      <c r="X277" s="11">
        <f t="shared" si="10"/>
        <v>-32</v>
      </c>
      <c r="Y277" s="11" t="str">
        <f>VLOOKUP($G277, SeanRanks!$A$2:$K$303, 10, FALSE)-V277</f>
        <v>#VALUE!</v>
      </c>
      <c r="Z277" s="29" t="str">
        <f>IF(VLOOKUP($G277, SeanRanks!$A$2:$H$303, 7, FALSE)=0, "", VLOOKUP($G277, SeanRanks!$A$2:$H$303, 7, FALSE))</f>
        <v/>
      </c>
    </row>
    <row r="278" ht="14.25" customHeight="1">
      <c r="A278" s="11"/>
      <c r="B278" s="11" t="str">
        <f t="shared" si="11"/>
        <v>#N/A</v>
      </c>
      <c r="C278" s="11" t="s">
        <v>106</v>
      </c>
      <c r="D278" s="11"/>
      <c r="E278" s="11"/>
      <c r="F278" s="11" t="str">
        <f>VLOOKUP(G278, SeanRanks!$A$2:$E$302, 4, FALSE)</f>
        <v>#N/A</v>
      </c>
      <c r="G278" s="11" t="s">
        <v>975</v>
      </c>
      <c r="H278" s="11" t="str">
        <f>VLOOKUP($G278, 'ADP Data'!$C$4:$Q$300, 2, FALSE)</f>
        <v>#N/A</v>
      </c>
      <c r="I278" s="11" t="str">
        <f>VLOOKUP(G278, 'ADP Data'!$C$4:$R$498, 12, FALSE)</f>
        <v>#N/A</v>
      </c>
      <c r="J278" s="11" t="str">
        <f>VLOOKUP($G278, SeanRanks!$A$2:$H$303, 5, FALSE)</f>
        <v>#N/A</v>
      </c>
      <c r="K278" s="11" t="str">
        <f>IF(VLOOKUP($G278, SeanRanks!$A$2:$H$303, 6, FALSE)=0, "", VLOOKUP($G278, SeanRanks!$A$2:$H$303, 6, FALSE))</f>
        <v>#N/A</v>
      </c>
      <c r="L278" s="11">
        <f t="shared" si="5"/>
        <v>16</v>
      </c>
      <c r="M278" s="11" t="str">
        <f>VLOOKUP($G278, 'ADP Data'!$C$4:$Q$300, 9, FALSE)</f>
        <v>#N/A</v>
      </c>
      <c r="N278" s="11" t="str">
        <f t="shared" si="6"/>
        <v>#N/A</v>
      </c>
      <c r="O278" s="11" t="str">
        <f>VLOOKUP($G278, 'ADP Data'!$C$4:$Q$300, 3, FALSE)</f>
        <v>#N/A</v>
      </c>
      <c r="P278" s="11" t="str">
        <f t="shared" si="7"/>
        <v>#N/A</v>
      </c>
      <c r="Q278" s="11" t="str">
        <f>VLOOKUP($G278, 'ADP Data'!$C$4:$Q$300, 4, FALSE)</f>
        <v>#N/A</v>
      </c>
      <c r="R278" s="11" t="str">
        <f>VLOOKUP($G278, 'ADP Data'!$C$4:$Q$300, 5, FALSE)</f>
        <v>#N/A</v>
      </c>
      <c r="S278" s="11" t="str">
        <f>VLOOKUP($G278, 'ADP Data'!$C$4:$Q$300, 6, FALSE)</f>
        <v>#N/A</v>
      </c>
      <c r="T278" s="11" t="str">
        <f>VLOOKUP($G278, 'ADP Data'!$C$4:$Q$300, 7, FALSE)</f>
        <v>#N/A</v>
      </c>
      <c r="U278" s="11" t="str">
        <f>VLOOKUP($G278, 'ADP Data'!$C$4:$Q$300, 8, FALSE)</f>
        <v>#N/A</v>
      </c>
      <c r="V278" s="11" t="str">
        <f t="shared" si="8"/>
        <v>#N/A</v>
      </c>
      <c r="W278" s="11">
        <f t="shared" si="9"/>
        <v>16</v>
      </c>
      <c r="X278" s="11">
        <f t="shared" si="10"/>
        <v>-16</v>
      </c>
      <c r="Y278" s="11" t="str">
        <f>VLOOKUP($G278, SeanRanks!$A$2:$K$303, 10, FALSE)-V278</f>
        <v>#N/A</v>
      </c>
      <c r="Z278" s="29" t="str">
        <f>IF(VLOOKUP($G278, SeanRanks!$A$2:$H$303, 7, FALSE)=0, "", VLOOKUP($G278, SeanRanks!$A$2:$H$303, 7, FALSE))</f>
        <v>#N/A</v>
      </c>
    </row>
    <row r="279" ht="14.25" customHeight="1">
      <c r="A279" s="11"/>
      <c r="B279" s="11" t="str">
        <f t="shared" si="11"/>
        <v>#N/A</v>
      </c>
      <c r="C279" s="11" t="s">
        <v>106</v>
      </c>
      <c r="D279" s="11"/>
      <c r="E279" s="11"/>
      <c r="F279" s="11" t="str">
        <f>VLOOKUP(G279, SeanRanks!$A$2:$E$302, 4, FALSE)</f>
        <v>#N/A</v>
      </c>
      <c r="G279" s="11" t="s">
        <v>976</v>
      </c>
      <c r="H279" s="11" t="str">
        <f>VLOOKUP($G279, 'ADP Data'!$C$4:$Q$300, 2, FALSE)</f>
        <v>#N/A</v>
      </c>
      <c r="I279" s="11" t="str">
        <f>VLOOKUP(G279, 'ADP Data'!$C$4:$R$498, 12, FALSE)</f>
        <v>#N/A</v>
      </c>
      <c r="J279" s="11" t="str">
        <f>VLOOKUP($G279, SeanRanks!$A$2:$H$303, 5, FALSE)</f>
        <v>#N/A</v>
      </c>
      <c r="K279" s="11" t="str">
        <f>IF(VLOOKUP($G279, SeanRanks!$A$2:$H$303, 6, FALSE)=0, "", VLOOKUP($G279, SeanRanks!$A$2:$H$303, 6, FALSE))</f>
        <v>#N/A</v>
      </c>
      <c r="L279" s="11">
        <f t="shared" si="5"/>
        <v>16</v>
      </c>
      <c r="M279" s="11" t="str">
        <f>VLOOKUP($G279, 'ADP Data'!$C$4:$Q$300, 9, FALSE)</f>
        <v>#N/A</v>
      </c>
      <c r="N279" s="11" t="str">
        <f t="shared" si="6"/>
        <v>#N/A</v>
      </c>
      <c r="O279" s="11" t="str">
        <f>VLOOKUP($G279, 'ADP Data'!$C$4:$Q$300, 3, FALSE)</f>
        <v>#N/A</v>
      </c>
      <c r="P279" s="11" t="str">
        <f t="shared" si="7"/>
        <v>#N/A</v>
      </c>
      <c r="Q279" s="11" t="str">
        <f>VLOOKUP($G279, 'ADP Data'!$C$4:$Q$300, 4, FALSE)</f>
        <v>#N/A</v>
      </c>
      <c r="R279" s="11" t="str">
        <f>VLOOKUP($G279, 'ADP Data'!$C$4:$Q$300, 5, FALSE)</f>
        <v>#N/A</v>
      </c>
      <c r="S279" s="11" t="str">
        <f>VLOOKUP($G279, 'ADP Data'!$C$4:$Q$300, 6, FALSE)</f>
        <v>#N/A</v>
      </c>
      <c r="T279" s="11" t="str">
        <f>VLOOKUP($G279, 'ADP Data'!$C$4:$Q$300, 7, FALSE)</f>
        <v>#N/A</v>
      </c>
      <c r="U279" s="11" t="str">
        <f>VLOOKUP($G279, 'ADP Data'!$C$4:$Q$300, 8, FALSE)</f>
        <v>#N/A</v>
      </c>
      <c r="V279" s="11" t="str">
        <f t="shared" si="8"/>
        <v>#N/A</v>
      </c>
      <c r="W279" s="11">
        <f t="shared" si="9"/>
        <v>16</v>
      </c>
      <c r="X279" s="11">
        <f t="shared" si="10"/>
        <v>-16</v>
      </c>
      <c r="Y279" s="11" t="str">
        <f>VLOOKUP($G279, SeanRanks!$A$2:$K$303, 10, FALSE)-V279</f>
        <v>#N/A</v>
      </c>
      <c r="Z279" s="29" t="str">
        <f>IF(VLOOKUP($G279, SeanRanks!$A$2:$H$303, 7, FALSE)=0, "", VLOOKUP($G279, SeanRanks!$A$2:$H$303, 7, FALSE))</f>
        <v>#N/A</v>
      </c>
    </row>
    <row r="280" ht="14.25" customHeight="1">
      <c r="A280" s="11"/>
      <c r="B280" s="11">
        <f t="shared" si="11"/>
        <v>16</v>
      </c>
      <c r="C280" s="11" t="s">
        <v>106</v>
      </c>
      <c r="D280" s="11"/>
      <c r="E280" s="11"/>
      <c r="F280" s="11" t="str">
        <f>VLOOKUP(G280, SeanRanks!$A$2:$E$302, 4, FALSE)</f>
        <v/>
      </c>
      <c r="G280" s="11" t="s">
        <v>682</v>
      </c>
      <c r="H280" s="11" t="str">
        <f>VLOOKUP($G280, 'ADP Data'!$C$4:$Q$300, 2, FALSE)</f>
        <v>ATL</v>
      </c>
      <c r="I280" s="11">
        <f>VLOOKUP(G280, 'ADP Data'!$C$4:$R$498, 12, FALSE)</f>
        <v>143</v>
      </c>
      <c r="J280" s="11" t="str">
        <f>VLOOKUP($G280, SeanRanks!$A$2:$H$303, 5, FALSE)</f>
        <v/>
      </c>
      <c r="K280" s="11" t="str">
        <f>IF(VLOOKUP($G280, SeanRanks!$A$2:$H$303, 6, FALSE)=0, "", VLOOKUP($G280, SeanRanks!$A$2:$H$303, 6, FALSE))</f>
        <v>Don’t Draft - Streamer</v>
      </c>
      <c r="L280" s="11">
        <f t="shared" si="5"/>
        <v>24</v>
      </c>
      <c r="M280" s="11">
        <f>VLOOKUP($G280, 'ADP Data'!$C$4:$Q$300, 9, FALSE)</f>
        <v>189</v>
      </c>
      <c r="N280" s="11">
        <f t="shared" si="6"/>
        <v>4</v>
      </c>
      <c r="O280" s="11">
        <f>VLOOKUP($G280, 'ADP Data'!$C$4:$Q$300, 3, FALSE)</f>
        <v>177</v>
      </c>
      <c r="P280" s="11">
        <f t="shared" si="7"/>
        <v>12</v>
      </c>
      <c r="Q280" s="11">
        <f>VLOOKUP($G280, 'ADP Data'!$C$4:$Q$300, 4, FALSE)</f>
        <v>181</v>
      </c>
      <c r="R280" s="11">
        <f>VLOOKUP($G280, 'ADP Data'!$C$4:$Q$300, 5, FALSE)</f>
        <v>236</v>
      </c>
      <c r="S280" s="11">
        <f>VLOOKUP($G280, 'ADP Data'!$C$4:$Q$300, 6, FALSE)</f>
        <v>164</v>
      </c>
      <c r="T280" s="11">
        <f>VLOOKUP($G280, 'ADP Data'!$C$4:$Q$300, 7, FALSE)</f>
        <v>159</v>
      </c>
      <c r="U280" s="11">
        <f>VLOOKUP($G280, 'ADP Data'!$C$4:$Q$300, 8, FALSE)</f>
        <v>189</v>
      </c>
      <c r="V280" s="11">
        <f t="shared" si="8"/>
        <v>185</v>
      </c>
      <c r="W280" s="11">
        <f t="shared" si="9"/>
        <v>24</v>
      </c>
      <c r="X280" s="11">
        <f t="shared" si="10"/>
        <v>-24</v>
      </c>
      <c r="Y280" s="11">
        <f>VLOOKUP($G280, SeanRanks!$A$2:$K$303, 10, FALSE)-V280</f>
        <v>-43</v>
      </c>
      <c r="Z280" s="29">
        <f>IF(VLOOKUP($G280, SeanRanks!$A$2:$H$303, 7, FALSE)=0, "", VLOOKUP($G280, SeanRanks!$A$2:$H$303, 7, FALSE))</f>
        <v>24</v>
      </c>
    </row>
    <row r="281" ht="14.25" customHeight="1">
      <c r="A281" s="11"/>
      <c r="B281" s="11">
        <f t="shared" si="11"/>
        <v>9</v>
      </c>
      <c r="C281" s="11" t="s">
        <v>106</v>
      </c>
      <c r="D281" s="11"/>
      <c r="E281" s="11"/>
      <c r="F281" s="11" t="str">
        <f>VLOOKUP(G281, SeanRanks!$A$2:$E$302, 4, FALSE)</f>
        <v/>
      </c>
      <c r="G281" s="11" t="s">
        <v>468</v>
      </c>
      <c r="H281" s="11" t="str">
        <f>VLOOKUP($G281, 'ADP Data'!$C$4:$Q$300, 2, FALSE)</f>
        <v>SF</v>
      </c>
      <c r="I281" s="11">
        <f>VLOOKUP(G281, 'ADP Data'!$C$4:$R$498, 12, FALSE)</f>
        <v>84</v>
      </c>
      <c r="J281" s="11" t="str">
        <f>VLOOKUP($G281, SeanRanks!$A$2:$H$303, 5, FALSE)</f>
        <v/>
      </c>
      <c r="K281" s="11" t="str">
        <f>IF(VLOOKUP($G281, SeanRanks!$A$2:$H$303, 6, FALSE)=0, "", VLOOKUP($G281, SeanRanks!$A$2:$H$303, 6, FALSE))</f>
        <v>WR4 - 1 - path to WR2</v>
      </c>
      <c r="L281" s="11">
        <f t="shared" si="5"/>
        <v>13</v>
      </c>
      <c r="M281" s="11">
        <f>VLOOKUP($G281, 'ADP Data'!$C$4:$Q$300, 9, FALSE)</f>
        <v>102</v>
      </c>
      <c r="N281" s="11">
        <f t="shared" si="6"/>
        <v>-3</v>
      </c>
      <c r="O281" s="11">
        <f>VLOOKUP($G281, 'ADP Data'!$C$4:$Q$300, 3, FALSE)</f>
        <v>119</v>
      </c>
      <c r="P281" s="11">
        <f t="shared" si="7"/>
        <v>-17</v>
      </c>
      <c r="Q281" s="11">
        <f>VLOOKUP($G281, 'ADP Data'!$C$4:$Q$300, 4, FALSE)</f>
        <v>115</v>
      </c>
      <c r="R281" s="11">
        <f>VLOOKUP($G281, 'ADP Data'!$C$4:$Q$300, 5, FALSE)</f>
        <v>110</v>
      </c>
      <c r="S281" s="11">
        <f>VLOOKUP($G281, 'ADP Data'!$C$4:$Q$300, 6, FALSE)</f>
        <v>98</v>
      </c>
      <c r="T281" s="11">
        <f>VLOOKUP($G281, 'ADP Data'!$C$4:$Q$300, 7, FALSE)</f>
        <v>85</v>
      </c>
      <c r="U281" s="11">
        <f>VLOOKUP($G281, 'ADP Data'!$C$4:$Q$300, 8, FALSE)</f>
        <v>111</v>
      </c>
      <c r="V281" s="11">
        <f t="shared" si="8"/>
        <v>105</v>
      </c>
      <c r="W281" s="11">
        <f t="shared" si="9"/>
        <v>14</v>
      </c>
      <c r="X281" s="11">
        <f t="shared" si="10"/>
        <v>-14</v>
      </c>
      <c r="Y281" s="11">
        <f>VLOOKUP($G281, SeanRanks!$A$2:$K$303, 10, FALSE)-V281</f>
        <v>-12</v>
      </c>
      <c r="Z281" s="29">
        <f>IF(VLOOKUP($G281, SeanRanks!$A$2:$H$303, 7, FALSE)=0, "", VLOOKUP($G281, SeanRanks!$A$2:$H$303, 7, FALSE))</f>
        <v>40</v>
      </c>
    </row>
    <row r="282" ht="14.25" customHeight="1">
      <c r="A282" s="11"/>
      <c r="B282" s="11" t="str">
        <f t="shared" si="11"/>
        <v>#N/A</v>
      </c>
      <c r="C282" s="11" t="s">
        <v>106</v>
      </c>
      <c r="D282" s="11"/>
      <c r="E282" s="11"/>
      <c r="F282" s="11" t="str">
        <f>VLOOKUP(G282, SeanRanks!$A$2:$E$302, 4, FALSE)</f>
        <v>#N/A</v>
      </c>
      <c r="G282" s="11" t="s">
        <v>977</v>
      </c>
      <c r="H282" s="11" t="str">
        <f>VLOOKUP($G282, 'ADP Data'!$C$4:$Q$300, 2, FALSE)</f>
        <v>#N/A</v>
      </c>
      <c r="I282" s="11" t="str">
        <f>VLOOKUP(G282, 'ADP Data'!$C$4:$R$498, 12, FALSE)</f>
        <v>#N/A</v>
      </c>
      <c r="J282" s="11" t="str">
        <f>VLOOKUP($G282, SeanRanks!$A$2:$H$303, 5, FALSE)</f>
        <v>#N/A</v>
      </c>
      <c r="K282" s="11" t="str">
        <f>IF(VLOOKUP($G282, SeanRanks!$A$2:$H$303, 6, FALSE)=0, "", VLOOKUP($G282, SeanRanks!$A$2:$H$303, 6, FALSE))</f>
        <v>#N/A</v>
      </c>
      <c r="L282" s="11">
        <f t="shared" si="5"/>
        <v>16</v>
      </c>
      <c r="M282" s="11" t="str">
        <f>VLOOKUP($G282, 'ADP Data'!$C$4:$Q$300, 9, FALSE)</f>
        <v>#N/A</v>
      </c>
      <c r="N282" s="11" t="str">
        <f t="shared" si="6"/>
        <v>#N/A</v>
      </c>
      <c r="O282" s="11" t="str">
        <f>VLOOKUP($G282, 'ADP Data'!$C$4:$Q$300, 3, FALSE)</f>
        <v>#N/A</v>
      </c>
      <c r="P282" s="11" t="str">
        <f t="shared" si="7"/>
        <v>#N/A</v>
      </c>
      <c r="Q282" s="11" t="str">
        <f>VLOOKUP($G282, 'ADP Data'!$C$4:$Q$300, 4, FALSE)</f>
        <v>#N/A</v>
      </c>
      <c r="R282" s="11" t="str">
        <f>VLOOKUP($G282, 'ADP Data'!$C$4:$Q$300, 5, FALSE)</f>
        <v>#N/A</v>
      </c>
      <c r="S282" s="11" t="str">
        <f>VLOOKUP($G282, 'ADP Data'!$C$4:$Q$300, 6, FALSE)</f>
        <v>#N/A</v>
      </c>
      <c r="T282" s="11" t="str">
        <f>VLOOKUP($G282, 'ADP Data'!$C$4:$Q$300, 7, FALSE)</f>
        <v>#N/A</v>
      </c>
      <c r="U282" s="11" t="str">
        <f>VLOOKUP($G282, 'ADP Data'!$C$4:$Q$300, 8, FALSE)</f>
        <v>#N/A</v>
      </c>
      <c r="V282" s="11" t="str">
        <f t="shared" si="8"/>
        <v>#N/A</v>
      </c>
      <c r="W282" s="11">
        <f t="shared" si="9"/>
        <v>16</v>
      </c>
      <c r="X282" s="11">
        <f t="shared" si="10"/>
        <v>-16</v>
      </c>
      <c r="Y282" s="11" t="str">
        <f>VLOOKUP($G282, SeanRanks!$A$2:$K$303, 10, FALSE)-V282</f>
        <v>#N/A</v>
      </c>
      <c r="Z282" s="29" t="str">
        <f>IF(VLOOKUP($G282, SeanRanks!$A$2:$H$303, 7, FALSE)=0, "", VLOOKUP($G282, SeanRanks!$A$2:$H$303, 7, FALSE))</f>
        <v>#N/A</v>
      </c>
    </row>
    <row r="283" ht="14.25" customHeight="1">
      <c r="A283" s="11"/>
      <c r="B283" s="11" t="str">
        <f t="shared" si="11"/>
        <v>#N/A</v>
      </c>
      <c r="C283" s="11" t="s">
        <v>106</v>
      </c>
      <c r="D283" s="11"/>
      <c r="E283" s="11"/>
      <c r="F283" s="11" t="str">
        <f>VLOOKUP(G283, SeanRanks!$A$2:$E$302, 4, FALSE)</f>
        <v>#N/A</v>
      </c>
      <c r="G283" s="11" t="s">
        <v>978</v>
      </c>
      <c r="H283" s="11" t="str">
        <f>VLOOKUP($G283, 'ADP Data'!$C$4:$Q$300, 2, FALSE)</f>
        <v>#N/A</v>
      </c>
      <c r="I283" s="11" t="str">
        <f>VLOOKUP(G283, 'ADP Data'!$C$4:$R$498, 12, FALSE)</f>
        <v>#N/A</v>
      </c>
      <c r="J283" s="11" t="str">
        <f>VLOOKUP($G283, SeanRanks!$A$2:$H$303, 5, FALSE)</f>
        <v>#N/A</v>
      </c>
      <c r="K283" s="11" t="str">
        <f>IF(VLOOKUP($G283, SeanRanks!$A$2:$H$303, 6, FALSE)=0, "", VLOOKUP($G283, SeanRanks!$A$2:$H$303, 6, FALSE))</f>
        <v>#N/A</v>
      </c>
      <c r="L283" s="11">
        <f t="shared" si="5"/>
        <v>16</v>
      </c>
      <c r="M283" s="11" t="str">
        <f>VLOOKUP($G283, 'ADP Data'!$C$4:$Q$300, 9, FALSE)</f>
        <v>#N/A</v>
      </c>
      <c r="N283" s="11" t="str">
        <f t="shared" si="6"/>
        <v>#N/A</v>
      </c>
      <c r="O283" s="11" t="str">
        <f>VLOOKUP($G283, 'ADP Data'!$C$4:$Q$300, 3, FALSE)</f>
        <v>#N/A</v>
      </c>
      <c r="P283" s="11" t="str">
        <f t="shared" si="7"/>
        <v>#N/A</v>
      </c>
      <c r="Q283" s="11" t="str">
        <f>VLOOKUP($G283, 'ADP Data'!$C$4:$Q$300, 4, FALSE)</f>
        <v>#N/A</v>
      </c>
      <c r="R283" s="11" t="str">
        <f>VLOOKUP($G283, 'ADP Data'!$C$4:$Q$300, 5, FALSE)</f>
        <v>#N/A</v>
      </c>
      <c r="S283" s="11" t="str">
        <f>VLOOKUP($G283, 'ADP Data'!$C$4:$Q$300, 6, FALSE)</f>
        <v>#N/A</v>
      </c>
      <c r="T283" s="11" t="str">
        <f>VLOOKUP($G283, 'ADP Data'!$C$4:$Q$300, 7, FALSE)</f>
        <v>#N/A</v>
      </c>
      <c r="U283" s="11" t="str">
        <f>VLOOKUP($G283, 'ADP Data'!$C$4:$Q$300, 8, FALSE)</f>
        <v>#N/A</v>
      </c>
      <c r="V283" s="11" t="str">
        <f t="shared" si="8"/>
        <v>#N/A</v>
      </c>
      <c r="W283" s="11">
        <f t="shared" si="9"/>
        <v>16</v>
      </c>
      <c r="X283" s="11">
        <f t="shared" si="10"/>
        <v>-16</v>
      </c>
      <c r="Y283" s="11" t="str">
        <f>VLOOKUP($G283, SeanRanks!$A$2:$K$303, 10, FALSE)-V283</f>
        <v>#N/A</v>
      </c>
      <c r="Z283" s="29" t="str">
        <f>IF(VLOOKUP($G283, SeanRanks!$A$2:$H$303, 7, FALSE)=0, "", VLOOKUP($G283, SeanRanks!$A$2:$H$303, 7, FALSE))</f>
        <v>#N/A</v>
      </c>
    </row>
    <row r="284" ht="14.25" customHeight="1">
      <c r="A284" s="11"/>
      <c r="B284" s="11" t="str">
        <f t="shared" si="11"/>
        <v>#N/A</v>
      </c>
      <c r="C284" s="11" t="s">
        <v>106</v>
      </c>
      <c r="D284" s="11"/>
      <c r="E284" s="11"/>
      <c r="F284" s="11" t="str">
        <f>VLOOKUP(G284, SeanRanks!$A$2:$E$302, 4, FALSE)</f>
        <v>#N/A</v>
      </c>
      <c r="G284" s="11" t="s">
        <v>828</v>
      </c>
      <c r="H284" s="11" t="str">
        <f>VLOOKUP($G284, 'ADP Data'!$C$4:$Q$300, 2, FALSE)</f>
        <v>#N/A</v>
      </c>
      <c r="I284" s="11" t="str">
        <f>VLOOKUP(G284, 'ADP Data'!$C$4:$R$498, 12, FALSE)</f>
        <v>#N/A</v>
      </c>
      <c r="J284" s="11" t="str">
        <f>VLOOKUP($G284, SeanRanks!$A$2:$H$303, 5, FALSE)</f>
        <v>#N/A</v>
      </c>
      <c r="K284" s="11" t="str">
        <f>IF(VLOOKUP($G284, SeanRanks!$A$2:$H$303, 6, FALSE)=0, "", VLOOKUP($G284, SeanRanks!$A$2:$H$303, 6, FALSE))</f>
        <v>#N/A</v>
      </c>
      <c r="L284" s="11">
        <f t="shared" si="5"/>
        <v>16</v>
      </c>
      <c r="M284" s="11" t="str">
        <f>VLOOKUP($G284, 'ADP Data'!$C$4:$Q$300, 9, FALSE)</f>
        <v>#N/A</v>
      </c>
      <c r="N284" s="11" t="str">
        <f t="shared" si="6"/>
        <v>#N/A</v>
      </c>
      <c r="O284" s="11" t="str">
        <f>VLOOKUP($G284, 'ADP Data'!$C$4:$Q$300, 3, FALSE)</f>
        <v>#N/A</v>
      </c>
      <c r="P284" s="11" t="str">
        <f t="shared" si="7"/>
        <v>#N/A</v>
      </c>
      <c r="Q284" s="11" t="str">
        <f>VLOOKUP($G284, 'ADP Data'!$C$4:$Q$300, 4, FALSE)</f>
        <v>#N/A</v>
      </c>
      <c r="R284" s="11" t="str">
        <f>VLOOKUP($G284, 'ADP Data'!$C$4:$Q$300, 5, FALSE)</f>
        <v>#N/A</v>
      </c>
      <c r="S284" s="11" t="str">
        <f>VLOOKUP($G284, 'ADP Data'!$C$4:$Q$300, 6, FALSE)</f>
        <v>#N/A</v>
      </c>
      <c r="T284" s="11" t="str">
        <f>VLOOKUP($G284, 'ADP Data'!$C$4:$Q$300, 7, FALSE)</f>
        <v>#N/A</v>
      </c>
      <c r="U284" s="11" t="str">
        <f>VLOOKUP($G284, 'ADP Data'!$C$4:$Q$300, 8, FALSE)</f>
        <v>#N/A</v>
      </c>
      <c r="V284" s="11" t="str">
        <f t="shared" si="8"/>
        <v>#N/A</v>
      </c>
      <c r="W284" s="11">
        <f t="shared" si="9"/>
        <v>16</v>
      </c>
      <c r="X284" s="11">
        <f t="shared" si="10"/>
        <v>-16</v>
      </c>
      <c r="Y284" s="11" t="str">
        <f>VLOOKUP($G284, SeanRanks!$A$2:$K$303, 10, FALSE)-V284</f>
        <v>#N/A</v>
      </c>
      <c r="Z284" s="29" t="str">
        <f>IF(VLOOKUP($G284, SeanRanks!$A$2:$H$303, 7, FALSE)=0, "", VLOOKUP($G284, SeanRanks!$A$2:$H$303, 7, FALSE))</f>
        <v>#N/A</v>
      </c>
    </row>
    <row r="285" ht="14.25" customHeight="1">
      <c r="A285" s="11"/>
      <c r="B285" s="11" t="str">
        <f t="shared" si="11"/>
        <v>#N/A</v>
      </c>
      <c r="C285" s="11" t="s">
        <v>106</v>
      </c>
      <c r="D285" s="11"/>
      <c r="E285" s="11"/>
      <c r="F285" s="11" t="str">
        <f>VLOOKUP(G285, SeanRanks!$A$2:$E$302, 4, FALSE)</f>
        <v>#N/A</v>
      </c>
      <c r="G285" s="11" t="s">
        <v>979</v>
      </c>
      <c r="H285" s="11" t="str">
        <f>VLOOKUP($G285, 'ADP Data'!$C$4:$Q$300, 2, FALSE)</f>
        <v>#N/A</v>
      </c>
      <c r="I285" s="11" t="str">
        <f>VLOOKUP(G285, 'ADP Data'!$C$4:$R$498, 12, FALSE)</f>
        <v>#N/A</v>
      </c>
      <c r="J285" s="11" t="str">
        <f>VLOOKUP($G285, SeanRanks!$A$2:$H$303, 5, FALSE)</f>
        <v>#N/A</v>
      </c>
      <c r="K285" s="11" t="str">
        <f>IF(VLOOKUP($G285, SeanRanks!$A$2:$H$303, 6, FALSE)=0, "", VLOOKUP($G285, SeanRanks!$A$2:$H$303, 6, FALSE))</f>
        <v>#N/A</v>
      </c>
      <c r="L285" s="11">
        <f t="shared" si="5"/>
        <v>16</v>
      </c>
      <c r="M285" s="11" t="str">
        <f>VLOOKUP($G285, 'ADP Data'!$C$4:$Q$300, 9, FALSE)</f>
        <v>#N/A</v>
      </c>
      <c r="N285" s="11" t="str">
        <f t="shared" si="6"/>
        <v>#N/A</v>
      </c>
      <c r="O285" s="11" t="str">
        <f>VLOOKUP($G285, 'ADP Data'!$C$4:$Q$300, 3, FALSE)</f>
        <v>#N/A</v>
      </c>
      <c r="P285" s="11" t="str">
        <f t="shared" si="7"/>
        <v>#N/A</v>
      </c>
      <c r="Q285" s="11"/>
      <c r="R285" s="11"/>
      <c r="S285" s="11"/>
      <c r="T285" s="11"/>
      <c r="U285" s="11"/>
      <c r="V285" s="11" t="str">
        <f t="shared" si="8"/>
        <v>#N/A</v>
      </c>
      <c r="W285" s="11">
        <f t="shared" si="9"/>
        <v>16</v>
      </c>
      <c r="X285" s="11">
        <f t="shared" si="10"/>
        <v>-16</v>
      </c>
      <c r="Y285" s="11" t="str">
        <f>VLOOKUP($G285, SeanRanks!$A$2:$K$303, 10, FALSE)-V285</f>
        <v>#N/A</v>
      </c>
      <c r="Z285" s="29" t="str">
        <f>IF(VLOOKUP($G285, SeanRanks!$A$2:$H$303, 7, FALSE)=0, "", VLOOKUP($G285, SeanRanks!$A$2:$H$303, 7, FALSE))</f>
        <v>#N/A</v>
      </c>
    </row>
    <row r="286" ht="14.25" customHeight="1">
      <c r="A286" s="11"/>
      <c r="B286" s="11">
        <f t="shared" si="11"/>
        <v>13</v>
      </c>
      <c r="C286" s="11" t="s">
        <v>106</v>
      </c>
      <c r="D286" s="11"/>
      <c r="E286" s="11"/>
      <c r="F286" s="11" t="str">
        <f>VLOOKUP(G286, SeanRanks!$A$2:$E$302, 4, FALSE)</f>
        <v/>
      </c>
      <c r="G286" s="11" t="s">
        <v>810</v>
      </c>
      <c r="H286" s="11" t="str">
        <f>VLOOKUP($G286, 'ADP Data'!$C$4:$Q$300, 2, FALSE)</f>
        <v>MIN</v>
      </c>
      <c r="I286" s="11">
        <f>VLOOKUP(G286, 'ADP Data'!$C$4:$R$498, 12, FALSE)</f>
        <v>125</v>
      </c>
      <c r="J286" s="11" t="str">
        <f>VLOOKUP($G286, SeanRanks!$A$2:$H$303, 5, FALSE)</f>
        <v/>
      </c>
      <c r="K286" s="11" t="str">
        <f>IF(VLOOKUP($G286, SeanRanks!$A$2:$H$303, 6, FALSE)=0, "", VLOOKUP($G286, SeanRanks!$A$2:$H$303, 6, FALSE))</f>
        <v>QB3 - Not League Winner</v>
      </c>
      <c r="L286" s="11">
        <f t="shared" si="5"/>
        <v>19</v>
      </c>
      <c r="M286" s="11">
        <f>VLOOKUP($G286, 'ADP Data'!$C$4:$Q$300, 9, FALSE)</f>
        <v>146</v>
      </c>
      <c r="N286" s="11">
        <f t="shared" si="6"/>
        <v>1</v>
      </c>
      <c r="O286" s="11">
        <f>VLOOKUP($G286, 'ADP Data'!$C$4:$Q$300, 3, FALSE)</f>
        <v>152</v>
      </c>
      <c r="P286" s="11">
        <f t="shared" si="7"/>
        <v>-6</v>
      </c>
      <c r="Q286" s="11">
        <f>VLOOKUP($G286, 'ADP Data'!$C$4:$Q$300, 4, FALSE)</f>
        <v>138</v>
      </c>
      <c r="R286" s="11">
        <f>VLOOKUP($G286, 'ADP Data'!$C$4:$Q$300, 5, FALSE)</f>
        <v>157</v>
      </c>
      <c r="S286" s="11">
        <f>VLOOKUP($G286, 'ADP Data'!$C$4:$Q$300, 6, FALSE)</f>
        <v>139</v>
      </c>
      <c r="T286" s="11">
        <f>VLOOKUP($G286, 'ADP Data'!$C$4:$Q$300, 7, FALSE)</f>
        <v>135</v>
      </c>
      <c r="U286" s="11">
        <f>VLOOKUP($G286, 'ADP Data'!$C$4:$Q$300, 8, FALSE)</f>
        <v>154</v>
      </c>
      <c r="V286" s="11">
        <f t="shared" si="8"/>
        <v>145</v>
      </c>
      <c r="W286" s="11">
        <f t="shared" si="9"/>
        <v>19</v>
      </c>
      <c r="X286" s="11">
        <f t="shared" si="10"/>
        <v>-19</v>
      </c>
      <c r="Y286" s="11">
        <f>VLOOKUP($G286, SeanRanks!$A$2:$K$303, 10, FALSE)-V286</f>
        <v>-20</v>
      </c>
      <c r="Z286" s="29">
        <f>IF(VLOOKUP($G286, SeanRanks!$A$2:$H$303, 7, FALSE)=0, "", VLOOKUP($G286, SeanRanks!$A$2:$H$303, 7, FALSE))</f>
        <v>23</v>
      </c>
    </row>
    <row r="287" ht="14.25" customHeight="1">
      <c r="A287" s="11"/>
      <c r="B287" s="11" t="str">
        <f t="shared" si="11"/>
        <v>#N/A</v>
      </c>
      <c r="C287" s="11" t="s">
        <v>106</v>
      </c>
      <c r="D287" s="11"/>
      <c r="E287" s="11"/>
      <c r="F287" s="11" t="str">
        <f>VLOOKUP(G287, SeanRanks!$A$2:$E$302, 4, FALSE)</f>
        <v>#N/A</v>
      </c>
      <c r="G287" s="11" t="s">
        <v>714</v>
      </c>
      <c r="H287" s="11" t="str">
        <f>VLOOKUP($G287, 'ADP Data'!$C$4:$Q$300, 2, FALSE)</f>
        <v>#N/A</v>
      </c>
      <c r="I287" s="11" t="str">
        <f>VLOOKUP(G287, 'ADP Data'!$C$4:$R$498, 12, FALSE)</f>
        <v>#N/A</v>
      </c>
      <c r="J287" s="11" t="str">
        <f>VLOOKUP($G287, SeanRanks!$A$2:$H$303, 5, FALSE)</f>
        <v>#N/A</v>
      </c>
      <c r="K287" s="11" t="str">
        <f>IF(VLOOKUP($G287, SeanRanks!$A$2:$H$303, 6, FALSE)=0, "", VLOOKUP($G287, SeanRanks!$A$2:$H$303, 6, FALSE))</f>
        <v>#N/A</v>
      </c>
      <c r="L287" s="11">
        <f t="shared" si="5"/>
        <v>16</v>
      </c>
      <c r="M287" s="11" t="str">
        <f>VLOOKUP($G287, 'ADP Data'!$C$4:$Q$300, 9, FALSE)</f>
        <v>#N/A</v>
      </c>
      <c r="N287" s="11" t="str">
        <f t="shared" si="6"/>
        <v>#N/A</v>
      </c>
      <c r="O287" s="11" t="str">
        <f>VLOOKUP($G287, 'ADP Data'!$C$4:$Q$300, 3, FALSE)</f>
        <v>#N/A</v>
      </c>
      <c r="P287" s="11" t="str">
        <f t="shared" si="7"/>
        <v>#N/A</v>
      </c>
      <c r="Q287" s="11" t="str">
        <f>VLOOKUP($G287, 'ADP Data'!$C$4:$Q$300, 4, FALSE)</f>
        <v>#N/A</v>
      </c>
      <c r="R287" s="11" t="str">
        <f>VLOOKUP($G287, 'ADP Data'!$C$4:$Q$300, 5, FALSE)</f>
        <v>#N/A</v>
      </c>
      <c r="S287" s="11" t="str">
        <f>VLOOKUP($G287, 'ADP Data'!$C$4:$Q$300, 6, FALSE)</f>
        <v>#N/A</v>
      </c>
      <c r="T287" s="11" t="str">
        <f>VLOOKUP($G287, 'ADP Data'!$C$4:$Q$300, 7, FALSE)</f>
        <v>#N/A</v>
      </c>
      <c r="U287" s="11" t="str">
        <f>VLOOKUP($G287, 'ADP Data'!$C$4:$Q$300, 8, FALSE)</f>
        <v>#N/A</v>
      </c>
      <c r="V287" s="11" t="str">
        <f t="shared" si="8"/>
        <v>#N/A</v>
      </c>
      <c r="W287" s="11">
        <f t="shared" si="9"/>
        <v>16</v>
      </c>
      <c r="X287" s="11">
        <f t="shared" si="10"/>
        <v>-16</v>
      </c>
      <c r="Y287" s="11" t="str">
        <f>VLOOKUP($G287, SeanRanks!$A$2:$K$303, 10, FALSE)-V287</f>
        <v>#N/A</v>
      </c>
      <c r="Z287" s="29" t="str">
        <f>IF(VLOOKUP($G287, SeanRanks!$A$2:$H$303, 7, FALSE)=0, "", VLOOKUP($G287, SeanRanks!$A$2:$H$303, 7, FALSE))</f>
        <v>#N/A</v>
      </c>
    </row>
    <row r="288" ht="14.25" customHeight="1">
      <c r="A288" s="11"/>
      <c r="B288" s="11" t="str">
        <f t="shared" si="11"/>
        <v>#N/A</v>
      </c>
      <c r="C288" s="11" t="s">
        <v>106</v>
      </c>
      <c r="D288" s="11"/>
      <c r="E288" s="11"/>
      <c r="F288" s="11" t="str">
        <f>VLOOKUP(G288, SeanRanks!$A$2:$E$302, 4, FALSE)</f>
        <v>#N/A</v>
      </c>
      <c r="G288" s="11" t="s">
        <v>981</v>
      </c>
      <c r="H288" s="11" t="str">
        <f>VLOOKUP($G288, 'ADP Data'!$C$4:$Q$300, 2, FALSE)</f>
        <v>#N/A</v>
      </c>
      <c r="I288" s="11" t="str">
        <f>VLOOKUP(G288, 'ADP Data'!$C$4:$R$498, 12, FALSE)</f>
        <v>#N/A</v>
      </c>
      <c r="J288" s="11" t="str">
        <f>VLOOKUP($G288, SeanRanks!$A$2:$H$303, 5, FALSE)</f>
        <v>#N/A</v>
      </c>
      <c r="K288" s="11" t="str">
        <f>IF(VLOOKUP($G288, SeanRanks!$A$2:$H$303, 6, FALSE)=0, "", VLOOKUP($G288, SeanRanks!$A$2:$H$303, 6, FALSE))</f>
        <v>#N/A</v>
      </c>
      <c r="L288" s="11">
        <f t="shared" si="5"/>
        <v>16</v>
      </c>
      <c r="M288" s="11" t="str">
        <f>VLOOKUP($G288, 'ADP Data'!$C$4:$Q$300, 9, FALSE)</f>
        <v>#N/A</v>
      </c>
      <c r="N288" s="11" t="str">
        <f t="shared" si="6"/>
        <v>#N/A</v>
      </c>
      <c r="O288" s="11" t="str">
        <f>VLOOKUP($G288, 'ADP Data'!$C$4:$Q$300, 3, FALSE)</f>
        <v>#N/A</v>
      </c>
      <c r="P288" s="11" t="str">
        <f t="shared" si="7"/>
        <v>#N/A</v>
      </c>
      <c r="Q288" s="11" t="str">
        <f>VLOOKUP($G288, 'ADP Data'!$C$4:$Q$300, 4, FALSE)</f>
        <v>#N/A</v>
      </c>
      <c r="R288" s="11" t="str">
        <f>VLOOKUP($G288, 'ADP Data'!$C$4:$Q$300, 5, FALSE)</f>
        <v>#N/A</v>
      </c>
      <c r="S288" s="11" t="str">
        <f>VLOOKUP($G288, 'ADP Data'!$C$4:$Q$300, 6, FALSE)</f>
        <v>#N/A</v>
      </c>
      <c r="T288" s="11" t="str">
        <f>VLOOKUP($G288, 'ADP Data'!$C$4:$Q$300, 7, FALSE)</f>
        <v>#N/A</v>
      </c>
      <c r="U288" s="11" t="str">
        <f>VLOOKUP($G288, 'ADP Data'!$C$4:$Q$300, 8, FALSE)</f>
        <v>#N/A</v>
      </c>
      <c r="V288" s="11" t="str">
        <f t="shared" si="8"/>
        <v>#N/A</v>
      </c>
      <c r="W288" s="11">
        <f t="shared" si="9"/>
        <v>16</v>
      </c>
      <c r="X288" s="11">
        <f t="shared" si="10"/>
        <v>-16</v>
      </c>
      <c r="Y288" s="11" t="str">
        <f>VLOOKUP($G288, SeanRanks!$A$2:$K$303, 10, FALSE)-V288</f>
        <v>#N/A</v>
      </c>
      <c r="Z288" s="29" t="str">
        <f>IF(VLOOKUP($G288, SeanRanks!$A$2:$H$303, 7, FALSE)=0, "", VLOOKUP($G288, SeanRanks!$A$2:$H$303, 7, FALSE))</f>
        <v>#N/A</v>
      </c>
    </row>
    <row r="289" ht="14.25" customHeight="1">
      <c r="A289" s="11"/>
      <c r="B289" s="11" t="str">
        <f t="shared" si="11"/>
        <v>#N/A</v>
      </c>
      <c r="C289" s="11" t="s">
        <v>106</v>
      </c>
      <c r="D289" s="11"/>
      <c r="E289" s="11"/>
      <c r="F289" s="11" t="str">
        <f>VLOOKUP(G289, SeanRanks!$A$2:$E$302, 4, FALSE)</f>
        <v>#N/A</v>
      </c>
      <c r="G289" s="11" t="s">
        <v>982</v>
      </c>
      <c r="H289" s="11" t="str">
        <f>VLOOKUP($G289, 'ADP Data'!$C$4:$Q$300, 2, FALSE)</f>
        <v>#N/A</v>
      </c>
      <c r="I289" s="11" t="str">
        <f>VLOOKUP(G289, 'ADP Data'!$C$4:$R$498, 12, FALSE)</f>
        <v>#N/A</v>
      </c>
      <c r="J289" s="11" t="str">
        <f>VLOOKUP($G289, SeanRanks!$A$2:$H$303, 5, FALSE)</f>
        <v>#N/A</v>
      </c>
      <c r="K289" s="11" t="str">
        <f>IF(VLOOKUP($G289, SeanRanks!$A$2:$H$303, 6, FALSE)=0, "", VLOOKUP($G289, SeanRanks!$A$2:$H$303, 6, FALSE))</f>
        <v>#N/A</v>
      </c>
      <c r="L289" s="11">
        <f t="shared" si="5"/>
        <v>16</v>
      </c>
      <c r="M289" s="11" t="str">
        <f>VLOOKUP($G289, 'ADP Data'!$C$4:$Q$300, 9, FALSE)</f>
        <v>#N/A</v>
      </c>
      <c r="N289" s="11" t="str">
        <f t="shared" si="6"/>
        <v>#N/A</v>
      </c>
      <c r="O289" s="11" t="str">
        <f>VLOOKUP($G289, 'ADP Data'!$C$4:$Q$300, 3, FALSE)</f>
        <v>#N/A</v>
      </c>
      <c r="P289" s="11" t="str">
        <f t="shared" si="7"/>
        <v>#N/A</v>
      </c>
      <c r="Q289" s="11" t="str">
        <f>VLOOKUP($G289, 'ADP Data'!$C$4:$Q$300, 4, FALSE)</f>
        <v>#N/A</v>
      </c>
      <c r="R289" s="11" t="str">
        <f>VLOOKUP($G289, 'ADP Data'!$C$4:$Q$300, 5, FALSE)</f>
        <v>#N/A</v>
      </c>
      <c r="S289" s="11" t="str">
        <f>VLOOKUP($G289, 'ADP Data'!$C$4:$Q$300, 6, FALSE)</f>
        <v>#N/A</v>
      </c>
      <c r="T289" s="11" t="str">
        <f>VLOOKUP($G289, 'ADP Data'!$C$4:$Q$300, 7, FALSE)</f>
        <v>#N/A</v>
      </c>
      <c r="U289" s="11" t="str">
        <f>VLOOKUP($G289, 'ADP Data'!$C$4:$Q$300, 8, FALSE)</f>
        <v>#N/A</v>
      </c>
      <c r="V289" s="11" t="str">
        <f t="shared" si="8"/>
        <v>#N/A</v>
      </c>
      <c r="W289" s="11">
        <f t="shared" si="9"/>
        <v>16</v>
      </c>
      <c r="X289" s="11">
        <f t="shared" si="10"/>
        <v>-16</v>
      </c>
      <c r="Y289" s="11" t="str">
        <f>VLOOKUP($G289, SeanRanks!$A$2:$K$303, 10, FALSE)-V289</f>
        <v>#N/A</v>
      </c>
      <c r="Z289" s="29" t="str">
        <f>IF(VLOOKUP($G289, SeanRanks!$A$2:$H$303, 7, FALSE)=0, "", VLOOKUP($G289, SeanRanks!$A$2:$H$303, 7, FALSE))</f>
        <v>#N/A</v>
      </c>
    </row>
    <row r="290" ht="14.25" customHeight="1">
      <c r="A290" s="11"/>
      <c r="B290" s="11">
        <f t="shared" si="11"/>
        <v>12</v>
      </c>
      <c r="C290" s="11" t="s">
        <v>106</v>
      </c>
      <c r="D290" s="11"/>
      <c r="E290" s="11"/>
      <c r="F290" s="11" t="str">
        <f>VLOOKUP(G290, SeanRanks!$A$2:$E$302, 4, FALSE)</f>
        <v/>
      </c>
      <c r="G290" s="11" t="s">
        <v>586</v>
      </c>
      <c r="H290" s="11" t="str">
        <f>VLOOKUP($G290, 'ADP Data'!$C$4:$Q$300, 2, FALSE)</f>
        <v>LAC</v>
      </c>
      <c r="I290" s="11" t="str">
        <f>VLOOKUP(G290, 'ADP Data'!$C$4:$R$498, 12, FALSE)</f>
        <v>-</v>
      </c>
      <c r="J290" s="11" t="str">
        <f>VLOOKUP($G290, SeanRanks!$A$2:$H$303, 5, FALSE)</f>
        <v/>
      </c>
      <c r="K290" s="11" t="str">
        <f>IF(VLOOKUP($G290, SeanRanks!$A$2:$H$303, 6, FALSE)=0, "", VLOOKUP($G290, SeanRanks!$A$2:$H$303, 6, FALSE))</f>
        <v/>
      </c>
      <c r="L290" s="11">
        <f t="shared" si="5"/>
        <v>17</v>
      </c>
      <c r="M290" s="11">
        <f>VLOOKUP($G290, 'ADP Data'!$C$4:$Q$300, 9, FALSE)</f>
        <v>132</v>
      </c>
      <c r="N290" s="11">
        <f t="shared" si="6"/>
        <v>-12</v>
      </c>
      <c r="O290" s="11">
        <f>VLOOKUP($G290, 'ADP Data'!$C$4:$Q$300, 3, FALSE)</f>
        <v>157</v>
      </c>
      <c r="P290" s="11">
        <f t="shared" si="7"/>
        <v>-25</v>
      </c>
      <c r="Q290" s="11"/>
      <c r="R290" s="11"/>
      <c r="S290" s="11"/>
      <c r="T290" s="11"/>
      <c r="U290" s="11"/>
      <c r="V290" s="11">
        <f t="shared" si="8"/>
        <v>144</v>
      </c>
      <c r="W290" s="11">
        <f t="shared" si="9"/>
        <v>19</v>
      </c>
      <c r="X290" s="11">
        <f t="shared" si="10"/>
        <v>-19</v>
      </c>
      <c r="Y290" s="11">
        <f>VLOOKUP($G290, SeanRanks!$A$2:$K$303, 10, FALSE)-V290</f>
        <v>49</v>
      </c>
      <c r="Z290" s="29" t="str">
        <f>IF(VLOOKUP($G290, SeanRanks!$A$2:$H$303, 7, FALSE)=0, "", VLOOKUP($G290, SeanRanks!$A$2:$H$303, 7, FALSE))</f>
        <v/>
      </c>
    </row>
    <row r="291" ht="14.25" customHeight="1">
      <c r="A291" s="11"/>
      <c r="B291" s="11" t="str">
        <f t="shared" si="11"/>
        <v>#N/A</v>
      </c>
      <c r="C291" s="11" t="s">
        <v>106</v>
      </c>
      <c r="D291" s="11"/>
      <c r="E291" s="11"/>
      <c r="F291" s="11" t="str">
        <f>VLOOKUP(G291, SeanRanks!$A$2:$E$302, 4, FALSE)</f>
        <v>#N/A</v>
      </c>
      <c r="G291" s="11" t="s">
        <v>983</v>
      </c>
      <c r="H291" s="11" t="str">
        <f>VLOOKUP($G291, 'ADP Data'!$C$4:$Q$300, 2, FALSE)</f>
        <v>#N/A</v>
      </c>
      <c r="I291" s="11" t="str">
        <f>VLOOKUP(G291, 'ADP Data'!$C$4:$R$498, 12, FALSE)</f>
        <v>#N/A</v>
      </c>
      <c r="J291" s="11" t="str">
        <f>VLOOKUP($G291, SeanRanks!$A$2:$H$303, 5, FALSE)</f>
        <v>#N/A</v>
      </c>
      <c r="K291" s="11" t="str">
        <f>IF(VLOOKUP($G291, SeanRanks!$A$2:$H$303, 6, FALSE)=0, "", VLOOKUP($G291, SeanRanks!$A$2:$H$303, 6, FALSE))</f>
        <v>#N/A</v>
      </c>
      <c r="L291" s="11">
        <f t="shared" si="5"/>
        <v>16</v>
      </c>
      <c r="M291" s="11" t="str">
        <f>VLOOKUP($G291, 'ADP Data'!$C$4:$Q$300, 9, FALSE)</f>
        <v>#N/A</v>
      </c>
      <c r="N291" s="11" t="str">
        <f t="shared" si="6"/>
        <v>#N/A</v>
      </c>
      <c r="O291" s="11" t="str">
        <f>VLOOKUP($G291, 'ADP Data'!$C$4:$Q$300, 3, FALSE)</f>
        <v>#N/A</v>
      </c>
      <c r="P291" s="11" t="str">
        <f t="shared" si="7"/>
        <v>#N/A</v>
      </c>
      <c r="Q291" s="11"/>
      <c r="R291" s="11"/>
      <c r="S291" s="11"/>
      <c r="T291" s="11"/>
      <c r="U291" s="11"/>
      <c r="V291" s="11" t="str">
        <f t="shared" si="8"/>
        <v>#N/A</v>
      </c>
      <c r="W291" s="11">
        <f t="shared" si="9"/>
        <v>16</v>
      </c>
      <c r="X291" s="11">
        <f t="shared" si="10"/>
        <v>-16</v>
      </c>
      <c r="Y291" s="11" t="str">
        <f>VLOOKUP($G291, SeanRanks!$A$2:$K$303, 10, FALSE)-V291</f>
        <v>#N/A</v>
      </c>
      <c r="Z291" s="29" t="str">
        <f>IF(VLOOKUP($G291, SeanRanks!$A$2:$H$303, 7, FALSE)=0, "", VLOOKUP($G291, SeanRanks!$A$2:$H$303, 7, FALSE))</f>
        <v>#N/A</v>
      </c>
    </row>
    <row r="292" ht="14.25" customHeight="1">
      <c r="A292" s="11"/>
      <c r="B292" s="11">
        <f t="shared" si="11"/>
        <v>22</v>
      </c>
      <c r="C292" s="11" t="s">
        <v>106</v>
      </c>
      <c r="D292" s="11"/>
      <c r="E292" s="11"/>
      <c r="F292" s="11" t="str">
        <f>VLOOKUP(G292, SeanRanks!$A$2:$E$302, 4, FALSE)</f>
        <v>#N/A</v>
      </c>
      <c r="G292" s="11" t="s">
        <v>984</v>
      </c>
      <c r="H292" s="11" t="str">
        <f>VLOOKUP($G292, 'ADP Data'!$C$4:$Q$300, 2, FALSE)</f>
        <v>WAS</v>
      </c>
      <c r="I292" s="11" t="str">
        <f>VLOOKUP(G292, 'ADP Data'!$C$4:$R$498, 12, FALSE)</f>
        <v>-</v>
      </c>
      <c r="J292" s="11" t="str">
        <f>VLOOKUP($G292, SeanRanks!$A$2:$H$303, 5, FALSE)</f>
        <v>#N/A</v>
      </c>
      <c r="K292" s="11" t="str">
        <f>IF(VLOOKUP($G292, SeanRanks!$A$2:$H$303, 6, FALSE)=0, "", VLOOKUP($G292, SeanRanks!$A$2:$H$303, 6, FALSE))</f>
        <v>#N/A</v>
      </c>
      <c r="L292" s="11">
        <f t="shared" si="5"/>
        <v>33</v>
      </c>
      <c r="M292" s="11">
        <f>VLOOKUP($G292, 'ADP Data'!$C$4:$Q$300, 9, FALSE)</f>
        <v>257</v>
      </c>
      <c r="N292" s="11">
        <f t="shared" si="6"/>
        <v>52</v>
      </c>
      <c r="O292" s="11">
        <f>VLOOKUP($G292, 'ADP Data'!$C$4:$Q$300, 3, FALSE)</f>
        <v>153</v>
      </c>
      <c r="P292" s="11">
        <f t="shared" si="7"/>
        <v>104</v>
      </c>
      <c r="Q292" s="11"/>
      <c r="R292" s="11"/>
      <c r="S292" s="11"/>
      <c r="T292" s="11"/>
      <c r="U292" s="11"/>
      <c r="V292" s="11">
        <f t="shared" si="8"/>
        <v>205</v>
      </c>
      <c r="W292" s="11">
        <f t="shared" si="9"/>
        <v>26</v>
      </c>
      <c r="X292" s="11">
        <f t="shared" si="10"/>
        <v>-26</v>
      </c>
      <c r="Y292" s="11" t="str">
        <f>VLOOKUP($G292, SeanRanks!$A$2:$K$303, 10, FALSE)-V292</f>
        <v>#N/A</v>
      </c>
      <c r="Z292" s="29" t="str">
        <f>IF(VLOOKUP($G292, SeanRanks!$A$2:$H$303, 7, FALSE)=0, "", VLOOKUP($G292, SeanRanks!$A$2:$H$303, 7, FALSE))</f>
        <v>#N/A</v>
      </c>
    </row>
    <row r="293" ht="14.25" customHeight="1">
      <c r="A293" s="11"/>
      <c r="B293" s="11" t="str">
        <f t="shared" si="11"/>
        <v>#N/A</v>
      </c>
      <c r="C293" s="11" t="s">
        <v>106</v>
      </c>
      <c r="D293" s="11"/>
      <c r="E293" s="11"/>
      <c r="F293" s="11" t="str">
        <f>VLOOKUP(G293, SeanRanks!$A$2:$E$302, 4, FALSE)</f>
        <v>#N/A</v>
      </c>
      <c r="G293" s="11" t="s">
        <v>582</v>
      </c>
      <c r="H293" s="11" t="str">
        <f>VLOOKUP($G293, 'ADP Data'!$C$4:$Q$300, 2, FALSE)</f>
        <v>#N/A</v>
      </c>
      <c r="I293" s="11" t="str">
        <f>VLOOKUP(G293, 'ADP Data'!$C$4:$R$498, 12, FALSE)</f>
        <v>#N/A</v>
      </c>
      <c r="J293" s="11" t="str">
        <f>VLOOKUP($G293, SeanRanks!$A$2:$H$303, 5, FALSE)</f>
        <v>#N/A</v>
      </c>
      <c r="K293" s="11" t="str">
        <f>IF(VLOOKUP($G293, SeanRanks!$A$2:$H$303, 6, FALSE)=0, "", VLOOKUP($G293, SeanRanks!$A$2:$H$303, 6, FALSE))</f>
        <v>#N/A</v>
      </c>
      <c r="L293" s="11">
        <f t="shared" si="5"/>
        <v>16</v>
      </c>
      <c r="M293" s="11" t="str">
        <f>VLOOKUP($G293, 'ADP Data'!$C$4:$Q$300, 9, FALSE)</f>
        <v>#N/A</v>
      </c>
      <c r="N293" s="11" t="str">
        <f t="shared" si="6"/>
        <v>#N/A</v>
      </c>
      <c r="O293" s="11" t="str">
        <f>VLOOKUP($G293, 'ADP Data'!$C$4:$Q$300, 3, FALSE)</f>
        <v>#N/A</v>
      </c>
      <c r="P293" s="11" t="str">
        <f t="shared" si="7"/>
        <v>#N/A</v>
      </c>
      <c r="Q293" s="11"/>
      <c r="R293" s="11"/>
      <c r="S293" s="11"/>
      <c r="T293" s="11"/>
      <c r="U293" s="11"/>
      <c r="V293" s="11" t="str">
        <f t="shared" si="8"/>
        <v>#N/A</v>
      </c>
      <c r="W293" s="11">
        <f t="shared" si="9"/>
        <v>16</v>
      </c>
      <c r="X293" s="11">
        <f t="shared" si="10"/>
        <v>-16</v>
      </c>
      <c r="Y293" s="11" t="str">
        <f>VLOOKUP($G293, SeanRanks!$A$2:$K$303, 10, FALSE)-V293</f>
        <v>#N/A</v>
      </c>
      <c r="Z293" s="29" t="str">
        <f>IF(VLOOKUP($G293, SeanRanks!$A$2:$H$303, 7, FALSE)=0, "", VLOOKUP($G293, SeanRanks!$A$2:$H$303, 7, FALSE))</f>
        <v>#N/A</v>
      </c>
    </row>
    <row r="294" ht="14.25" customHeight="1">
      <c r="A294" s="11"/>
      <c r="B294" s="11" t="str">
        <f t="shared" si="11"/>
        <v>#N/A</v>
      </c>
      <c r="C294" s="11" t="s">
        <v>106</v>
      </c>
      <c r="D294" s="11"/>
      <c r="E294" s="11"/>
      <c r="F294" s="11" t="str">
        <f>VLOOKUP(G294, SeanRanks!$A$2:$E$302, 4, FALSE)</f>
        <v>#N/A</v>
      </c>
      <c r="G294" s="11" t="s">
        <v>985</v>
      </c>
      <c r="H294" s="11" t="str">
        <f>VLOOKUP($G294, 'ADP Data'!$C$4:$Q$300, 2, FALSE)</f>
        <v>#N/A</v>
      </c>
      <c r="I294" s="11" t="str">
        <f>VLOOKUP(G294, 'ADP Data'!$C$4:$R$498, 12, FALSE)</f>
        <v>#N/A</v>
      </c>
      <c r="J294" s="11" t="str">
        <f>VLOOKUP($G294, SeanRanks!$A$2:$H$303, 5, FALSE)</f>
        <v>#N/A</v>
      </c>
      <c r="K294" s="11" t="str">
        <f>IF(VLOOKUP($G294, SeanRanks!$A$2:$H$303, 6, FALSE)=0, "", VLOOKUP($G294, SeanRanks!$A$2:$H$303, 6, FALSE))</f>
        <v>#N/A</v>
      </c>
      <c r="L294" s="11">
        <f t="shared" si="5"/>
        <v>16</v>
      </c>
      <c r="M294" s="11" t="str">
        <f>VLOOKUP($G294, 'ADP Data'!$C$4:$Q$300, 9, FALSE)</f>
        <v>#N/A</v>
      </c>
      <c r="N294" s="11" t="str">
        <f t="shared" si="6"/>
        <v>#N/A</v>
      </c>
      <c r="O294" s="11" t="str">
        <f>VLOOKUP($G294, 'ADP Data'!$C$4:$Q$300, 3, FALSE)</f>
        <v>#N/A</v>
      </c>
      <c r="P294" s="11" t="str">
        <f t="shared" si="7"/>
        <v>#N/A</v>
      </c>
      <c r="Q294" s="11"/>
      <c r="R294" s="11"/>
      <c r="S294" s="11"/>
      <c r="T294" s="11"/>
      <c r="U294" s="11"/>
      <c r="V294" s="11" t="str">
        <f t="shared" si="8"/>
        <v>#N/A</v>
      </c>
      <c r="W294" s="11">
        <f t="shared" si="9"/>
        <v>16</v>
      </c>
      <c r="X294" s="11">
        <f t="shared" si="10"/>
        <v>-16</v>
      </c>
      <c r="Y294" s="11" t="str">
        <f>VLOOKUP($G294, SeanRanks!$A$2:$K$303, 10, FALSE)-V294</f>
        <v>#N/A</v>
      </c>
      <c r="Z294" s="29" t="str">
        <f>IF(VLOOKUP($G294, SeanRanks!$A$2:$H$303, 7, FALSE)=0, "", VLOOKUP($G294, SeanRanks!$A$2:$H$303, 7, FALSE))</f>
        <v>#N/A</v>
      </c>
    </row>
    <row r="295" ht="14.25" customHeight="1">
      <c r="A295" s="11"/>
      <c r="B295" s="11" t="str">
        <f t="shared" si="11"/>
        <v>#N/A</v>
      </c>
      <c r="C295" s="11" t="s">
        <v>106</v>
      </c>
      <c r="D295" s="11"/>
      <c r="E295" s="11"/>
      <c r="F295" s="11" t="str">
        <f>VLOOKUP(G295, SeanRanks!$A$2:$E$302, 4, FALSE)</f>
        <v>#N/A</v>
      </c>
      <c r="G295" s="11" t="s">
        <v>986</v>
      </c>
      <c r="H295" s="11" t="str">
        <f>VLOOKUP($G295, 'ADP Data'!$C$4:$Q$300, 2, FALSE)</f>
        <v>#N/A</v>
      </c>
      <c r="I295" s="11" t="str">
        <f>VLOOKUP(G295, 'ADP Data'!$C$4:$R$498, 12, FALSE)</f>
        <v>#N/A</v>
      </c>
      <c r="J295" s="11" t="str">
        <f>VLOOKUP($G295, SeanRanks!$A$2:$H$303, 5, FALSE)</f>
        <v>#N/A</v>
      </c>
      <c r="K295" s="11" t="str">
        <f>IF(VLOOKUP($G295, SeanRanks!$A$2:$H$303, 6, FALSE)=0, "", VLOOKUP($G295, SeanRanks!$A$2:$H$303, 6, FALSE))</f>
        <v>#N/A</v>
      </c>
      <c r="L295" s="11">
        <f t="shared" si="5"/>
        <v>16</v>
      </c>
      <c r="M295" s="11" t="str">
        <f>VLOOKUP($G295, 'ADP Data'!$C$4:$Q$300, 9, FALSE)</f>
        <v>#N/A</v>
      </c>
      <c r="N295" s="11" t="str">
        <f t="shared" si="6"/>
        <v>#N/A</v>
      </c>
      <c r="O295" s="11" t="str">
        <f>VLOOKUP($G295, 'ADP Data'!$C$4:$Q$300, 3, FALSE)</f>
        <v>#N/A</v>
      </c>
      <c r="P295" s="11" t="str">
        <f t="shared" si="7"/>
        <v>#N/A</v>
      </c>
      <c r="Q295" s="11" t="str">
        <f>VLOOKUP($G295, 'ADP Data'!$C$4:$Q$300, 4, FALSE)</f>
        <v>#N/A</v>
      </c>
      <c r="R295" s="11" t="str">
        <f>VLOOKUP($G295, 'ADP Data'!$C$4:$Q$300, 5, FALSE)</f>
        <v>#N/A</v>
      </c>
      <c r="S295" s="11" t="str">
        <f>VLOOKUP($G295, 'ADP Data'!$C$4:$Q$300, 6, FALSE)</f>
        <v>#N/A</v>
      </c>
      <c r="T295" s="11" t="str">
        <f>VLOOKUP($G295, 'ADP Data'!$C$4:$Q$300, 7, FALSE)</f>
        <v>#N/A</v>
      </c>
      <c r="U295" s="11" t="str">
        <f>VLOOKUP($G295, 'ADP Data'!$C$4:$Q$300, 8, FALSE)</f>
        <v>#N/A</v>
      </c>
      <c r="V295" s="11" t="str">
        <f t="shared" si="8"/>
        <v>#N/A</v>
      </c>
      <c r="W295" s="11">
        <f t="shared" si="9"/>
        <v>16</v>
      </c>
      <c r="X295" s="11">
        <f t="shared" si="10"/>
        <v>-16</v>
      </c>
      <c r="Y295" s="11" t="str">
        <f>VLOOKUP($G295, SeanRanks!$A$2:$K$303, 10, FALSE)-V295</f>
        <v>#N/A</v>
      </c>
      <c r="Z295" s="29" t="str">
        <f>IF(VLOOKUP($G295, SeanRanks!$A$2:$H$303, 7, FALSE)=0, "", VLOOKUP($G295, SeanRanks!$A$2:$H$303, 7, FALSE))</f>
        <v>#N/A</v>
      </c>
    </row>
    <row r="296" ht="14.25" customHeight="1">
      <c r="A296" s="11"/>
      <c r="B296" s="11"/>
      <c r="C296" s="11" t="s">
        <v>106</v>
      </c>
      <c r="D296" s="11"/>
      <c r="E296" s="11"/>
      <c r="F296" s="11" t="str">
        <f>VLOOKUP(G296, SeanRanks!$A$2:$E$302, 4, FALSE)</f>
        <v>#N/A</v>
      </c>
      <c r="G296" s="11" t="s">
        <v>987</v>
      </c>
      <c r="H296" s="11" t="str">
        <f>VLOOKUP($G296, 'ADP Data'!$C$4:$Q$300, 2, FALSE)</f>
        <v>#N/A</v>
      </c>
      <c r="I296" s="11" t="str">
        <f>VLOOKUP(G296, 'ADP Data'!$C$4:$R$498, 12, FALSE)</f>
        <v>#N/A</v>
      </c>
      <c r="J296" s="11" t="str">
        <f>VLOOKUP($G296, SeanRanks!$A$2:$H$303, 5, FALSE)</f>
        <v>#N/A</v>
      </c>
      <c r="K296" s="11" t="str">
        <f>IF(VLOOKUP($G296, SeanRanks!$A$2:$H$303, 6, FALSE)=0, "", VLOOKUP($G296, SeanRanks!$A$2:$H$303, 6, FALSE))</f>
        <v>#N/A</v>
      </c>
      <c r="L296" s="11">
        <f t="shared" si="5"/>
        <v>16</v>
      </c>
      <c r="M296" s="11" t="str">
        <f>VLOOKUP($G296, 'ADP Data'!$C$4:$Q$300, 9, FALSE)</f>
        <v>#N/A</v>
      </c>
      <c r="N296" s="11" t="str">
        <f t="shared" si="6"/>
        <v>#N/A</v>
      </c>
      <c r="O296" s="11" t="str">
        <f>VLOOKUP($G296, 'ADP Data'!$C$4:$Q$300, 3, FALSE)</f>
        <v>#N/A</v>
      </c>
      <c r="P296" s="11" t="str">
        <f t="shared" si="7"/>
        <v>#N/A</v>
      </c>
      <c r="Q296" s="11" t="str">
        <f>VLOOKUP($G296, 'ADP Data'!$C$4:$Q$300, 4, FALSE)</f>
        <v>#N/A</v>
      </c>
      <c r="R296" s="11" t="str">
        <f>VLOOKUP($G296, 'ADP Data'!$C$4:$Q$300, 5, FALSE)</f>
        <v>#N/A</v>
      </c>
      <c r="S296" s="11" t="str">
        <f>VLOOKUP($G296, 'ADP Data'!$C$4:$Q$300, 6, FALSE)</f>
        <v>#N/A</v>
      </c>
      <c r="T296" s="11" t="str">
        <f>VLOOKUP($G296, 'ADP Data'!$C$4:$Q$300, 7, FALSE)</f>
        <v>#N/A</v>
      </c>
      <c r="U296" s="11" t="str">
        <f>VLOOKUP($G296, 'ADP Data'!$C$4:$Q$300, 8, FALSE)</f>
        <v>#N/A</v>
      </c>
      <c r="V296" s="11" t="str">
        <f t="shared" si="8"/>
        <v>#N/A</v>
      </c>
      <c r="W296" s="11">
        <f t="shared" si="9"/>
        <v>16</v>
      </c>
      <c r="X296" s="11">
        <f t="shared" si="10"/>
        <v>-16</v>
      </c>
      <c r="Y296" s="11" t="str">
        <f>VLOOKUP($G296, SeanRanks!$A$2:$K$303, 10, FALSE)-V296</f>
        <v>#N/A</v>
      </c>
      <c r="Z296" s="29" t="str">
        <f>IF(VLOOKUP($G296, SeanRanks!$A$2:$H$303, 7, FALSE)=0, "", VLOOKUP($G296, SeanRanks!$A$2:$H$303, 7, FALSE))</f>
        <v>#N/A</v>
      </c>
    </row>
    <row r="297" ht="14.25" customHeight="1">
      <c r="A297" s="11"/>
      <c r="B297" s="11">
        <f>IFERROR(INT(AVERAGE(Q297:U297)/12)+1, INT(AVERAGE(M297)/12)+1)</f>
        <v>23</v>
      </c>
      <c r="C297" s="11" t="s">
        <v>106</v>
      </c>
      <c r="D297" s="11"/>
      <c r="E297" s="11"/>
      <c r="F297" s="11" t="str">
        <f>VLOOKUP(G297, SeanRanks!$A$2:$E$302, 4, FALSE)</f>
        <v/>
      </c>
      <c r="G297" s="11" t="s">
        <v>827</v>
      </c>
      <c r="H297" s="11" t="str">
        <f>VLOOKUP($G297, 'ADP Data'!$C$4:$Q$300, 2, FALSE)</f>
        <v>NYG</v>
      </c>
      <c r="I297" s="11">
        <f>VLOOKUP(G297, 'ADP Data'!$C$4:$R$498, 12, FALSE)</f>
        <v>207</v>
      </c>
      <c r="J297" s="11" t="str">
        <f>VLOOKUP($G297, SeanRanks!$A$2:$H$303, 5, FALSE)</f>
        <v/>
      </c>
      <c r="K297" s="11" t="str">
        <f>IF(VLOOKUP($G297, SeanRanks!$A$2:$H$303, 6, FALSE)=0, "", VLOOKUP($G297, SeanRanks!$A$2:$H$303, 6, FALSE))</f>
        <v/>
      </c>
      <c r="L297" s="11">
        <f t="shared" si="5"/>
        <v>34</v>
      </c>
      <c r="M297" s="11">
        <f>VLOOKUP($G297, 'ADP Data'!$C$4:$Q$300, 9, FALSE)</f>
        <v>267</v>
      </c>
      <c r="N297" s="11">
        <f t="shared" si="6"/>
        <v>1</v>
      </c>
      <c r="O297" s="11" t="str">
        <f>VLOOKUP($G297, 'ADP Data'!$C$4:$Q$300, 3, FALSE)</f>
        <v>-</v>
      </c>
      <c r="P297" s="11" t="str">
        <f t="shared" si="7"/>
        <v>#VALUE!</v>
      </c>
      <c r="Q297" s="11" t="str">
        <f>VLOOKUP($G297, 'ADP Data'!$C$4:$Q$300, 4, FALSE)</f>
        <v>-</v>
      </c>
      <c r="R297" s="11">
        <f>VLOOKUP($G297, 'ADP Data'!$C$4:$Q$300, 5, FALSE)</f>
        <v>328</v>
      </c>
      <c r="S297" s="11">
        <f>VLOOKUP($G297, 'ADP Data'!$C$4:$Q$300, 6, FALSE)</f>
        <v>201</v>
      </c>
      <c r="T297" s="11">
        <f>VLOOKUP($G297, 'ADP Data'!$C$4:$Q$300, 7, FALSE)</f>
        <v>243</v>
      </c>
      <c r="U297" s="11">
        <f>VLOOKUP($G297, 'ADP Data'!$C$4:$Q$300, 8, FALSE)</f>
        <v>294</v>
      </c>
      <c r="V297" s="11">
        <f t="shared" si="8"/>
        <v>266</v>
      </c>
      <c r="W297" s="11">
        <f t="shared" si="9"/>
        <v>34</v>
      </c>
      <c r="X297" s="11">
        <f t="shared" si="10"/>
        <v>-34</v>
      </c>
      <c r="Y297" s="11">
        <f>VLOOKUP($G297, SeanRanks!$A$2:$K$303, 10, FALSE)-V297</f>
        <v>-66</v>
      </c>
      <c r="Z297" s="29" t="str">
        <f>IF(VLOOKUP($G297, SeanRanks!$A$2:$H$303, 7, FALSE)=0, "", VLOOKUP($G297, SeanRanks!$A$2:$H$303, 7, FALSE))</f>
        <v/>
      </c>
    </row>
    <row r="298" ht="14.25" customHeight="1">
      <c r="A298" s="11"/>
      <c r="B298" s="11"/>
      <c r="C298" s="11" t="s">
        <v>106</v>
      </c>
      <c r="D298" s="11"/>
      <c r="E298" s="11"/>
      <c r="F298" s="11" t="str">
        <f>VLOOKUP(G298, SeanRanks!$A$2:$E$302, 4, FALSE)</f>
        <v>#N/A</v>
      </c>
      <c r="G298" s="11" t="s">
        <v>988</v>
      </c>
      <c r="H298" s="11" t="str">
        <f>VLOOKUP($G298, 'ADP Data'!$C$4:$Q$300, 2, FALSE)</f>
        <v>#N/A</v>
      </c>
      <c r="I298" s="11" t="str">
        <f>VLOOKUP(G298, 'ADP Data'!$C$4:$R$498, 12, FALSE)</f>
        <v>#N/A</v>
      </c>
      <c r="J298" s="11" t="str">
        <f>VLOOKUP($G298, SeanRanks!$A$2:$H$303, 5, FALSE)</f>
        <v>#N/A</v>
      </c>
      <c r="K298" s="11" t="str">
        <f>IF(VLOOKUP($G298, SeanRanks!$A$2:$H$303, 6, FALSE)=0, "", VLOOKUP($G298, SeanRanks!$A$2:$H$303, 6, FALSE))</f>
        <v>#N/A</v>
      </c>
      <c r="L298" s="11">
        <f t="shared" si="5"/>
        <v>16</v>
      </c>
      <c r="M298" s="11" t="str">
        <f>VLOOKUP($G298, 'ADP Data'!$C$4:$Q$300, 9, FALSE)</f>
        <v>#N/A</v>
      </c>
      <c r="N298" s="11" t="str">
        <f t="shared" si="6"/>
        <v>#N/A</v>
      </c>
      <c r="O298" s="11" t="str">
        <f>VLOOKUP($G298, 'ADP Data'!$C$4:$Q$300, 3, FALSE)</f>
        <v>#N/A</v>
      </c>
      <c r="P298" s="11" t="str">
        <f t="shared" si="7"/>
        <v>#N/A</v>
      </c>
      <c r="Q298" s="11" t="str">
        <f>VLOOKUP($G298, 'ADP Data'!$C$4:$Q$300, 4, FALSE)</f>
        <v>#N/A</v>
      </c>
      <c r="R298" s="11" t="str">
        <f>VLOOKUP($G298, 'ADP Data'!$C$4:$Q$300, 5, FALSE)</f>
        <v>#N/A</v>
      </c>
      <c r="S298" s="11" t="str">
        <f>VLOOKUP($G298, 'ADP Data'!$C$4:$Q$300, 6, FALSE)</f>
        <v>#N/A</v>
      </c>
      <c r="T298" s="11" t="str">
        <f>VLOOKUP($G298, 'ADP Data'!$C$4:$Q$300, 7, FALSE)</f>
        <v>#N/A</v>
      </c>
      <c r="U298" s="11" t="str">
        <f>VLOOKUP($G298, 'ADP Data'!$C$4:$Q$300, 8, FALSE)</f>
        <v>#N/A</v>
      </c>
      <c r="V298" s="11" t="str">
        <f t="shared" si="8"/>
        <v>#N/A</v>
      </c>
      <c r="W298" s="11">
        <f t="shared" si="9"/>
        <v>16</v>
      </c>
      <c r="X298" s="11">
        <f t="shared" si="10"/>
        <v>-16</v>
      </c>
      <c r="Y298" s="11" t="str">
        <f>VLOOKUP($G298, SeanRanks!$A$2:$K$303, 10, FALSE)-V298</f>
        <v>#N/A</v>
      </c>
      <c r="Z298" s="29" t="str">
        <f>IF(VLOOKUP($G298, SeanRanks!$A$2:$H$303, 7, FALSE)=0, "", VLOOKUP($G298, SeanRanks!$A$2:$H$303, 7, FALSE))</f>
        <v>#N/A</v>
      </c>
    </row>
    <row r="299" ht="14.25" customHeight="1">
      <c r="A299" s="11"/>
      <c r="B299" s="11">
        <f t="shared" ref="B299:B301" si="12">IFERROR(INT(AVERAGE(Q299:U299)/12)+1, INT(AVERAGE(M299)/12)+1)</f>
        <v>23</v>
      </c>
      <c r="C299" s="11" t="s">
        <v>106</v>
      </c>
      <c r="D299" s="11"/>
      <c r="E299" s="11"/>
      <c r="F299" s="11" t="str">
        <f>VLOOKUP(G299, SeanRanks!$A$2:$E$302, 4, FALSE)</f>
        <v/>
      </c>
      <c r="G299" s="11" t="s">
        <v>989</v>
      </c>
      <c r="H299" s="11" t="str">
        <f>VLOOKUP($G299, 'ADP Data'!$C$4:$Q$300, 2, FALSE)</f>
        <v>PIT</v>
      </c>
      <c r="I299" s="11">
        <f>VLOOKUP(G299, 'ADP Data'!$C$4:$R$498, 12, FALSE)</f>
        <v>250</v>
      </c>
      <c r="J299" s="11" t="str">
        <f>VLOOKUP($G299, SeanRanks!$A$2:$H$303, 5, FALSE)</f>
        <v/>
      </c>
      <c r="K299" s="11" t="str">
        <f>IF(VLOOKUP($G299, SeanRanks!$A$2:$H$303, 6, FALSE)=0, "", VLOOKUP($G299, SeanRanks!$A$2:$H$303, 6, FALSE))</f>
        <v/>
      </c>
      <c r="L299" s="11">
        <f t="shared" si="5"/>
        <v>35</v>
      </c>
      <c r="M299" s="11">
        <f>VLOOKUP($G299, 'ADP Data'!$C$4:$Q$300, 9, FALSE)</f>
        <v>274</v>
      </c>
      <c r="N299" s="11">
        <f t="shared" si="6"/>
        <v>1</v>
      </c>
      <c r="O299" s="11" t="str">
        <f>VLOOKUP($G299, 'ADP Data'!$C$4:$Q$300, 3, FALSE)</f>
        <v>-</v>
      </c>
      <c r="P299" s="11" t="str">
        <f t="shared" si="7"/>
        <v>#VALUE!</v>
      </c>
      <c r="Q299" s="11" t="str">
        <f>VLOOKUP($G299, 'ADP Data'!$C$4:$Q$300, 4, FALSE)</f>
        <v>-</v>
      </c>
      <c r="R299" s="11">
        <f>VLOOKUP($G299, 'ADP Data'!$C$4:$Q$300, 5, FALSE)</f>
        <v>302</v>
      </c>
      <c r="S299" s="11">
        <f>VLOOKUP($G299, 'ADP Data'!$C$4:$Q$300, 6, FALSE)</f>
        <v>262</v>
      </c>
      <c r="T299" s="11">
        <f>VLOOKUP($G299, 'ADP Data'!$C$4:$Q$300, 7, FALSE)</f>
        <v>250</v>
      </c>
      <c r="U299" s="11">
        <f>VLOOKUP($G299, 'ADP Data'!$C$4:$Q$300, 8, FALSE)</f>
        <v>277</v>
      </c>
      <c r="V299" s="11">
        <f t="shared" si="8"/>
        <v>273</v>
      </c>
      <c r="W299" s="11">
        <f t="shared" si="9"/>
        <v>35</v>
      </c>
      <c r="X299" s="11">
        <f t="shared" si="10"/>
        <v>-35</v>
      </c>
      <c r="Y299" s="11" t="str">
        <f>VLOOKUP($G299, SeanRanks!$A$2:$K$303, 10, FALSE)-V299</f>
        <v>#VALUE!</v>
      </c>
      <c r="Z299" s="29" t="str">
        <f>IF(VLOOKUP($G299, SeanRanks!$A$2:$H$303, 7, FALSE)=0, "", VLOOKUP($G299, SeanRanks!$A$2:$H$303, 7, FALSE))</f>
        <v/>
      </c>
    </row>
    <row r="300" ht="14.25" customHeight="1">
      <c r="A300" s="11"/>
      <c r="B300" s="11" t="str">
        <f t="shared" si="12"/>
        <v>#N/A</v>
      </c>
      <c r="C300" s="11" t="s">
        <v>106</v>
      </c>
      <c r="D300" s="11"/>
      <c r="E300" s="11"/>
      <c r="F300" s="11" t="str">
        <f>VLOOKUP(G300, SeanRanks!$A$2:$E$302, 4, FALSE)</f>
        <v>#N/A</v>
      </c>
      <c r="G300" s="11" t="s">
        <v>990</v>
      </c>
      <c r="H300" s="11" t="str">
        <f>VLOOKUP($G300, 'ADP Data'!$C$4:$Q$300, 2, FALSE)</f>
        <v>#N/A</v>
      </c>
      <c r="I300" s="11" t="str">
        <f>VLOOKUP(G300, 'ADP Data'!$C$4:$R$498, 12, FALSE)</f>
        <v>#N/A</v>
      </c>
      <c r="J300" s="11" t="str">
        <f>VLOOKUP($G300, SeanRanks!$A$2:$H$303, 5, FALSE)</f>
        <v>#N/A</v>
      </c>
      <c r="K300" s="11" t="str">
        <f>IF(VLOOKUP($G300, SeanRanks!$A$2:$H$303, 6, FALSE)=0, "", VLOOKUP($G300, SeanRanks!$A$2:$H$303, 6, FALSE))</f>
        <v>#N/A</v>
      </c>
      <c r="L300" s="11">
        <f t="shared" si="5"/>
        <v>16</v>
      </c>
      <c r="M300" s="11" t="str">
        <f>VLOOKUP($G300, 'ADP Data'!$C$4:$Q$300, 9, FALSE)</f>
        <v>#N/A</v>
      </c>
      <c r="N300" s="11" t="str">
        <f t="shared" si="6"/>
        <v>#N/A</v>
      </c>
      <c r="O300" s="11" t="str">
        <f>VLOOKUP($G300, 'ADP Data'!$C$4:$Q$300, 3, FALSE)</f>
        <v>#N/A</v>
      </c>
      <c r="P300" s="11" t="str">
        <f t="shared" si="7"/>
        <v>#N/A</v>
      </c>
      <c r="Q300" s="11" t="str">
        <f>VLOOKUP($G300, 'ADP Data'!$C$4:$Q$300, 4, FALSE)</f>
        <v>#N/A</v>
      </c>
      <c r="R300" s="11" t="str">
        <f>VLOOKUP($G300, 'ADP Data'!$C$4:$Q$300, 5, FALSE)</f>
        <v>#N/A</v>
      </c>
      <c r="S300" s="11" t="str">
        <f>VLOOKUP($G300, 'ADP Data'!$C$4:$Q$300, 6, FALSE)</f>
        <v>#N/A</v>
      </c>
      <c r="T300" s="11" t="str">
        <f>VLOOKUP($G300, 'ADP Data'!$C$4:$Q$300, 7, FALSE)</f>
        <v>#N/A</v>
      </c>
      <c r="U300" s="11" t="str">
        <f>VLOOKUP($G300, 'ADP Data'!$C$4:$Q$300, 8, FALSE)</f>
        <v>#N/A</v>
      </c>
      <c r="V300" s="11" t="str">
        <f t="shared" si="8"/>
        <v>#N/A</v>
      </c>
      <c r="W300" s="11">
        <f t="shared" si="9"/>
        <v>16</v>
      </c>
      <c r="X300" s="11">
        <f t="shared" si="10"/>
        <v>-16</v>
      </c>
      <c r="Y300" s="11" t="str">
        <f>VLOOKUP($G300, SeanRanks!$A$2:$K$303, 10, FALSE)-V300</f>
        <v>#N/A</v>
      </c>
      <c r="Z300" s="29" t="str">
        <f>IF(VLOOKUP($G300, SeanRanks!$A$2:$H$303, 7, FALSE)=0, "", VLOOKUP($G300, SeanRanks!$A$2:$H$303, 7, FALSE))</f>
        <v>#N/A</v>
      </c>
    </row>
    <row r="301" ht="14.25" customHeight="1">
      <c r="A301" s="11"/>
      <c r="B301" s="11">
        <f t="shared" si="12"/>
        <v>20</v>
      </c>
      <c r="C301" s="11" t="s">
        <v>106</v>
      </c>
      <c r="D301" s="11"/>
      <c r="E301" s="11"/>
      <c r="F301" s="11" t="str">
        <f>VLOOKUP(G301, SeanRanks!$A$2:$E$302, 4, FALSE)</f>
        <v/>
      </c>
      <c r="G301" s="11" t="s">
        <v>688</v>
      </c>
      <c r="H301" s="11" t="str">
        <f>VLOOKUP($G301, 'ADP Data'!$C$4:$Q$300, 2, FALSE)</f>
        <v>NYG</v>
      </c>
      <c r="I301" s="11" t="str">
        <f>VLOOKUP(G301, 'ADP Data'!$C$4:$R$498, 12, FALSE)</f>
        <v>-</v>
      </c>
      <c r="J301" s="11" t="str">
        <f>VLOOKUP($G301, SeanRanks!$A$2:$H$303, 5, FALSE)</f>
        <v/>
      </c>
      <c r="K301" s="11" t="str">
        <f>IF(VLOOKUP($G301, SeanRanks!$A$2:$H$303, 6, FALSE)=0, "", VLOOKUP($G301, SeanRanks!$A$2:$H$303, 6, FALSE))</f>
        <v/>
      </c>
      <c r="L301" s="11">
        <f t="shared" si="5"/>
        <v>30</v>
      </c>
      <c r="M301" s="11">
        <f>VLOOKUP($G301, 'ADP Data'!$C$4:$Q$300, 9, FALSE)</f>
        <v>239</v>
      </c>
      <c r="N301" s="11">
        <f t="shared" si="6"/>
        <v>19</v>
      </c>
      <c r="O301" s="11">
        <f>VLOOKUP($G301, 'ADP Data'!$C$4:$Q$300, 3, FALSE)</f>
        <v>169</v>
      </c>
      <c r="P301" s="11">
        <f t="shared" si="7"/>
        <v>70</v>
      </c>
      <c r="Q301" s="11">
        <f>VLOOKUP($G301, 'ADP Data'!$C$4:$Q$300, 4, FALSE)</f>
        <v>199</v>
      </c>
      <c r="R301" s="11" t="str">
        <f>VLOOKUP($G301, 'ADP Data'!$C$4:$Q$300, 5, FALSE)</f>
        <v>-</v>
      </c>
      <c r="S301" s="11">
        <f>VLOOKUP($G301, 'ADP Data'!$C$4:$Q$300, 6, FALSE)</f>
        <v>281</v>
      </c>
      <c r="T301" s="11">
        <f>VLOOKUP($G301, 'ADP Data'!$C$4:$Q$300, 7, FALSE)</f>
        <v>249</v>
      </c>
      <c r="U301" s="11">
        <f>VLOOKUP($G301, 'ADP Data'!$C$4:$Q$300, 8, FALSE)</f>
        <v>187</v>
      </c>
      <c r="V301" s="11">
        <f t="shared" si="8"/>
        <v>220</v>
      </c>
      <c r="W301" s="11">
        <f t="shared" si="9"/>
        <v>28</v>
      </c>
      <c r="X301" s="11">
        <f t="shared" si="10"/>
        <v>-28</v>
      </c>
      <c r="Y301" s="11" t="str">
        <f>VLOOKUP($G301, SeanRanks!$A$2:$K$303, 10, FALSE)-V301</f>
        <v>#VALUE!</v>
      </c>
      <c r="Z301" s="29" t="str">
        <f>IF(VLOOKUP($G301, SeanRanks!$A$2:$H$303, 7, FALSE)=0, "", VLOOKUP($G301, SeanRanks!$A$2:$H$303, 7, FALSE))</f>
        <v/>
      </c>
    </row>
    <row r="302" ht="14.25" customHeight="1">
      <c r="A302" s="11"/>
      <c r="B302" s="11"/>
      <c r="C302" s="11" t="s">
        <v>106</v>
      </c>
      <c r="D302" s="11"/>
      <c r="E302" s="11"/>
      <c r="F302" s="11" t="str">
        <f>VLOOKUP(G302, SeanRanks!$A$2:$E$302, 4, FALSE)</f>
        <v>#N/A</v>
      </c>
      <c r="G302" s="11" t="s">
        <v>991</v>
      </c>
      <c r="H302" s="11" t="str">
        <f>VLOOKUP($G302, 'ADP Data'!$C$4:$Q$300, 2, FALSE)</f>
        <v>#N/A</v>
      </c>
      <c r="I302" s="11" t="str">
        <f>VLOOKUP(G302, 'ADP Data'!$C$4:$R$498, 12, FALSE)</f>
        <v>#N/A</v>
      </c>
      <c r="J302" s="11" t="str">
        <f>VLOOKUP($G302, SeanRanks!$A$2:$H$303, 5, FALSE)</f>
        <v>#N/A</v>
      </c>
      <c r="K302" s="11" t="str">
        <f>IF(VLOOKUP($G302, SeanRanks!$A$2:$H$303, 6, FALSE)=0, "", VLOOKUP($G302, SeanRanks!$A$2:$H$303, 6, FALSE))</f>
        <v>#N/A</v>
      </c>
      <c r="L302" s="11">
        <f t="shared" si="5"/>
        <v>16</v>
      </c>
      <c r="M302" s="11" t="str">
        <f>VLOOKUP($G302, 'ADP Data'!$C$4:$Q$300, 9, FALSE)</f>
        <v>#N/A</v>
      </c>
      <c r="N302" s="11" t="str">
        <f t="shared" si="6"/>
        <v>#N/A</v>
      </c>
      <c r="O302" s="11" t="str">
        <f>VLOOKUP($G302, 'ADP Data'!$C$4:$Q$300, 3, FALSE)</f>
        <v>#N/A</v>
      </c>
      <c r="P302" s="11" t="str">
        <f t="shared" si="7"/>
        <v>#N/A</v>
      </c>
      <c r="Q302" s="11" t="str">
        <f>VLOOKUP($G302, 'ADP Data'!$C$4:$Q$300, 4, FALSE)</f>
        <v>#N/A</v>
      </c>
      <c r="R302" s="11" t="str">
        <f>VLOOKUP($G302, 'ADP Data'!$C$4:$Q$300, 5, FALSE)</f>
        <v>#N/A</v>
      </c>
      <c r="S302" s="11" t="str">
        <f>VLOOKUP($G302, 'ADP Data'!$C$4:$Q$300, 6, FALSE)</f>
        <v>#N/A</v>
      </c>
      <c r="T302" s="11" t="str">
        <f>VLOOKUP($G302, 'ADP Data'!$C$4:$Q$300, 7, FALSE)</f>
        <v>#N/A</v>
      </c>
      <c r="U302" s="11" t="str">
        <f>VLOOKUP($G302, 'ADP Data'!$C$4:$Q$300, 8, FALSE)</f>
        <v>#N/A</v>
      </c>
      <c r="V302" s="11" t="str">
        <f t="shared" si="8"/>
        <v>#N/A</v>
      </c>
      <c r="W302" s="11">
        <f t="shared" si="9"/>
        <v>16</v>
      </c>
      <c r="X302" s="11">
        <f t="shared" si="10"/>
        <v>-16</v>
      </c>
      <c r="Y302" s="11" t="str">
        <f>VLOOKUP($G302, SeanRanks!$A$2:$K$303, 10, FALSE)-V302</f>
        <v>#N/A</v>
      </c>
      <c r="Z302" s="29" t="str">
        <f>IF(VLOOKUP($G302, SeanRanks!$A$2:$H$303, 7, FALSE)=0, "", VLOOKUP($G302, SeanRanks!$A$2:$H$303, 7, FALSE))</f>
        <v>#N/A</v>
      </c>
    </row>
    <row r="303" ht="14.25" customHeight="1">
      <c r="A303" s="11"/>
      <c r="B303" s="11" t="str">
        <f t="shared" ref="B303:B306" si="13">IFERROR(INT(AVERAGE(Q303:U303)/12)+1, INT(AVERAGE(M303)/12)+1)</f>
        <v>#N/A</v>
      </c>
      <c r="C303" s="11" t="s">
        <v>106</v>
      </c>
      <c r="D303" s="11"/>
      <c r="E303" s="11"/>
      <c r="F303" s="11" t="str">
        <f>VLOOKUP(G303, SeanRanks!$A$2:$E$302, 4, FALSE)</f>
        <v>#N/A</v>
      </c>
      <c r="G303" s="11" t="s">
        <v>992</v>
      </c>
      <c r="H303" s="11" t="str">
        <f>VLOOKUP($G303, 'ADP Data'!$C$4:$Q$300, 2, FALSE)</f>
        <v>#N/A</v>
      </c>
      <c r="I303" s="11" t="str">
        <f>VLOOKUP(G303, 'ADP Data'!$C$4:$R$498, 12, FALSE)</f>
        <v>#N/A</v>
      </c>
      <c r="J303" s="11" t="str">
        <f>VLOOKUP($G303, SeanRanks!$A$2:$H$303, 5, FALSE)</f>
        <v>#N/A</v>
      </c>
      <c r="K303" s="11" t="str">
        <f>IF(VLOOKUP($G303, SeanRanks!$A$2:$H$303, 6, FALSE)=0, "", VLOOKUP($G303, SeanRanks!$A$2:$H$303, 6, FALSE))</f>
        <v>#N/A</v>
      </c>
      <c r="L303" s="11">
        <f t="shared" si="5"/>
        <v>16</v>
      </c>
      <c r="M303" s="11" t="str">
        <f>VLOOKUP($G303, 'ADP Data'!$C$4:$Q$300, 9, FALSE)</f>
        <v>#N/A</v>
      </c>
      <c r="N303" s="11" t="str">
        <f t="shared" si="6"/>
        <v>#N/A</v>
      </c>
      <c r="O303" s="11" t="str">
        <f>VLOOKUP($G303, 'ADP Data'!$C$4:$Q$300, 3, FALSE)</f>
        <v>#N/A</v>
      </c>
      <c r="P303" s="11" t="str">
        <f t="shared" si="7"/>
        <v>#N/A</v>
      </c>
      <c r="Q303" s="11" t="str">
        <f>VLOOKUP($G303, 'ADP Data'!$C$4:$Q$300, 4, FALSE)</f>
        <v>#N/A</v>
      </c>
      <c r="R303" s="11" t="str">
        <f>VLOOKUP($G303, 'ADP Data'!$C$4:$Q$300, 5, FALSE)</f>
        <v>#N/A</v>
      </c>
      <c r="S303" s="11" t="str">
        <f>VLOOKUP($G303, 'ADP Data'!$C$4:$Q$300, 6, FALSE)</f>
        <v>#N/A</v>
      </c>
      <c r="T303" s="11" t="str">
        <f>VLOOKUP($G303, 'ADP Data'!$C$4:$Q$300, 7, FALSE)</f>
        <v>#N/A</v>
      </c>
      <c r="U303" s="11" t="str">
        <f>VLOOKUP($G303, 'ADP Data'!$C$4:$Q$300, 8, FALSE)</f>
        <v>#N/A</v>
      </c>
      <c r="V303" s="11" t="str">
        <f t="shared" si="8"/>
        <v>#N/A</v>
      </c>
      <c r="W303" s="11">
        <f t="shared" si="9"/>
        <v>16</v>
      </c>
      <c r="X303" s="11">
        <f t="shared" si="10"/>
        <v>-16</v>
      </c>
      <c r="Y303" s="11" t="str">
        <f>VLOOKUP($G303, SeanRanks!$A$2:$K$303, 10, FALSE)-V303</f>
        <v>#N/A</v>
      </c>
      <c r="Z303" s="29" t="str">
        <f>IF(VLOOKUP($G303, SeanRanks!$A$2:$H$303, 7, FALSE)=0, "", VLOOKUP($G303, SeanRanks!$A$2:$H$303, 7, FALSE))</f>
        <v>#N/A</v>
      </c>
    </row>
    <row r="304" ht="14.25" customHeight="1">
      <c r="A304" s="11"/>
      <c r="B304" s="11">
        <f t="shared" si="13"/>
        <v>23</v>
      </c>
      <c r="C304" s="11" t="s">
        <v>106</v>
      </c>
      <c r="D304" s="11"/>
      <c r="E304" s="11"/>
      <c r="F304" s="11" t="str">
        <f>VLOOKUP(G304, SeanRanks!$A$2:$E$302, 4, FALSE)</f>
        <v/>
      </c>
      <c r="G304" s="11" t="s">
        <v>993</v>
      </c>
      <c r="H304" s="11" t="str">
        <f>VLOOKUP($G304, 'ADP Data'!$C$4:$Q$300, 2, FALSE)</f>
        <v>LAR</v>
      </c>
      <c r="I304" s="11">
        <f>VLOOKUP(G304, 'ADP Data'!$C$4:$R$498, 12, FALSE)</f>
        <v>238</v>
      </c>
      <c r="J304" s="11" t="str">
        <f>VLOOKUP($G304, SeanRanks!$A$2:$H$303, 5, FALSE)</f>
        <v/>
      </c>
      <c r="K304" s="11" t="str">
        <f>IF(VLOOKUP($G304, SeanRanks!$A$2:$H$303, 6, FALSE)=0, "", VLOOKUP($G304, SeanRanks!$A$2:$H$303, 6, FALSE))</f>
        <v/>
      </c>
      <c r="L304" s="11">
        <f t="shared" si="5"/>
        <v>34</v>
      </c>
      <c r="M304" s="11">
        <f>VLOOKUP($G304, 'ADP Data'!$C$4:$Q$300, 9, FALSE)</f>
        <v>270</v>
      </c>
      <c r="N304" s="11">
        <f t="shared" si="6"/>
        <v>4</v>
      </c>
      <c r="O304" s="11" t="str">
        <f>VLOOKUP($G304, 'ADP Data'!$C$4:$Q$300, 3, FALSE)</f>
        <v>-</v>
      </c>
      <c r="P304" s="11" t="str">
        <f t="shared" si="7"/>
        <v>#VALUE!</v>
      </c>
      <c r="Q304" s="11" t="str">
        <f>VLOOKUP($G304, 'ADP Data'!$C$4:$Q$300, 4, FALSE)</f>
        <v>-</v>
      </c>
      <c r="R304" s="11" t="str">
        <f>VLOOKUP($G304, 'ADP Data'!$C$4:$Q$300, 5, FALSE)</f>
        <v>-</v>
      </c>
      <c r="S304" s="11">
        <f>VLOOKUP($G304, 'ADP Data'!$C$4:$Q$300, 6, FALSE)</f>
        <v>241</v>
      </c>
      <c r="T304" s="11">
        <f>VLOOKUP($G304, 'ADP Data'!$C$4:$Q$300, 7, FALSE)</f>
        <v>274</v>
      </c>
      <c r="U304" s="11">
        <f>VLOOKUP($G304, 'ADP Data'!$C$4:$Q$300, 8, FALSE)</f>
        <v>282</v>
      </c>
      <c r="V304" s="11">
        <f t="shared" si="8"/>
        <v>266</v>
      </c>
      <c r="W304" s="11">
        <f t="shared" si="9"/>
        <v>34</v>
      </c>
      <c r="X304" s="11">
        <f t="shared" si="10"/>
        <v>-34</v>
      </c>
      <c r="Y304" s="11" t="str">
        <f>VLOOKUP($G304, SeanRanks!$A$2:$K$303, 10, FALSE)-V304</f>
        <v>#VALUE!</v>
      </c>
      <c r="Z304" s="29" t="str">
        <f>IF(VLOOKUP($G304, SeanRanks!$A$2:$H$303, 7, FALSE)=0, "", VLOOKUP($G304, SeanRanks!$A$2:$H$303, 7, FALSE))</f>
        <v/>
      </c>
    </row>
    <row r="305" ht="14.25" customHeight="1">
      <c r="A305" s="11"/>
      <c r="B305" s="11" t="str">
        <f t="shared" si="13"/>
        <v>#N/A</v>
      </c>
      <c r="C305" s="11" t="s">
        <v>106</v>
      </c>
      <c r="D305" s="11"/>
      <c r="E305" s="11"/>
      <c r="F305" s="11" t="str">
        <f>VLOOKUP(G305, SeanRanks!$A$2:$E$302, 4, FALSE)</f>
        <v>#N/A</v>
      </c>
      <c r="G305" s="11" t="s">
        <v>994</v>
      </c>
      <c r="H305" s="11" t="str">
        <f>VLOOKUP($G305, 'ADP Data'!$C$4:$Q$300, 2, FALSE)</f>
        <v>#N/A</v>
      </c>
      <c r="I305" s="11" t="str">
        <f>VLOOKUP(G305, 'ADP Data'!$C$4:$R$498, 12, FALSE)</f>
        <v>#N/A</v>
      </c>
      <c r="J305" s="11" t="str">
        <f>VLOOKUP($G305, SeanRanks!$A$2:$H$303, 5, FALSE)</f>
        <v>#N/A</v>
      </c>
      <c r="K305" s="11" t="str">
        <f>IF(VLOOKUP($G305, SeanRanks!$A$2:$H$303, 6, FALSE)=0, "", VLOOKUP($G305, SeanRanks!$A$2:$H$303, 6, FALSE))</f>
        <v>#N/A</v>
      </c>
      <c r="L305" s="11">
        <f t="shared" si="5"/>
        <v>16</v>
      </c>
      <c r="M305" s="11" t="str">
        <f>VLOOKUP($G305, 'ADP Data'!$C$4:$Q$300, 9, FALSE)</f>
        <v>#N/A</v>
      </c>
      <c r="N305" s="11" t="str">
        <f t="shared" si="6"/>
        <v>#N/A</v>
      </c>
      <c r="O305" s="11" t="str">
        <f>VLOOKUP($G305, 'ADP Data'!$C$4:$Q$300, 3, FALSE)</f>
        <v>#N/A</v>
      </c>
      <c r="P305" s="11" t="str">
        <f t="shared" si="7"/>
        <v>#N/A</v>
      </c>
      <c r="Q305" s="11" t="str">
        <f>VLOOKUP($G305, 'ADP Data'!$C$4:$Q$300, 4, FALSE)</f>
        <v>#N/A</v>
      </c>
      <c r="R305" s="11" t="str">
        <f>VLOOKUP($G305, 'ADP Data'!$C$4:$Q$300, 5, FALSE)</f>
        <v>#N/A</v>
      </c>
      <c r="S305" s="11" t="str">
        <f>VLOOKUP($G305, 'ADP Data'!$C$4:$Q$300, 6, FALSE)</f>
        <v>#N/A</v>
      </c>
      <c r="T305" s="11" t="str">
        <f>VLOOKUP($G305, 'ADP Data'!$C$4:$Q$300, 7, FALSE)</f>
        <v>#N/A</v>
      </c>
      <c r="U305" s="11" t="str">
        <f>VLOOKUP($G305, 'ADP Data'!$C$4:$Q$300, 8, FALSE)</f>
        <v>#N/A</v>
      </c>
      <c r="V305" s="11" t="str">
        <f t="shared" si="8"/>
        <v>#N/A</v>
      </c>
      <c r="W305" s="11">
        <f t="shared" si="9"/>
        <v>16</v>
      </c>
      <c r="X305" s="11">
        <f t="shared" si="10"/>
        <v>-16</v>
      </c>
      <c r="Y305" s="11" t="str">
        <f>VLOOKUP($G305, SeanRanks!$A$2:$K$303, 10, FALSE)-V305</f>
        <v>#N/A</v>
      </c>
      <c r="Z305" s="29" t="str">
        <f>IF(VLOOKUP($G305, SeanRanks!$A$2:$H$303, 7, FALSE)=0, "", VLOOKUP($G305, SeanRanks!$A$2:$H$303, 7, FALSE))</f>
        <v>#N/A</v>
      </c>
    </row>
    <row r="306" ht="14.25" customHeight="1">
      <c r="A306" s="11"/>
      <c r="B306" s="11" t="str">
        <f t="shared" si="13"/>
        <v>#N/A</v>
      </c>
      <c r="C306" s="11" t="s">
        <v>106</v>
      </c>
      <c r="D306" s="11"/>
      <c r="E306" s="11"/>
      <c r="F306" s="11" t="str">
        <f>VLOOKUP(G306, SeanRanks!$A$2:$E$302, 4, FALSE)</f>
        <v>#N/A</v>
      </c>
      <c r="G306" s="11" t="s">
        <v>554</v>
      </c>
      <c r="H306" s="11" t="str">
        <f>VLOOKUP($G306, 'ADP Data'!$C$4:$Q$300, 2, FALSE)</f>
        <v>#N/A</v>
      </c>
      <c r="I306" s="11" t="str">
        <f>VLOOKUP(G306, 'ADP Data'!$C$4:$R$498, 12, FALSE)</f>
        <v>#N/A</v>
      </c>
      <c r="J306" s="11" t="str">
        <f>VLOOKUP($G306, SeanRanks!$A$2:$H$303, 5, FALSE)</f>
        <v>#N/A</v>
      </c>
      <c r="K306" s="11" t="str">
        <f>IF(VLOOKUP($G306, SeanRanks!$A$2:$H$303, 6, FALSE)=0, "", VLOOKUP($G306, SeanRanks!$A$2:$H$303, 6, FALSE))</f>
        <v>#N/A</v>
      </c>
      <c r="L306" s="11">
        <f t="shared" si="5"/>
        <v>16</v>
      </c>
      <c r="M306" s="11" t="str">
        <f>VLOOKUP($G306, 'ADP Data'!$C$4:$Q$300, 9, FALSE)</f>
        <v>#N/A</v>
      </c>
      <c r="N306" s="11" t="str">
        <f t="shared" si="6"/>
        <v>#N/A</v>
      </c>
      <c r="O306" s="11" t="str">
        <f>VLOOKUP($G306, 'ADP Data'!$C$4:$Q$300, 3, FALSE)</f>
        <v>#N/A</v>
      </c>
      <c r="P306" s="11" t="str">
        <f t="shared" si="7"/>
        <v>#N/A</v>
      </c>
      <c r="Q306" s="11" t="str">
        <f>VLOOKUP($G306, 'ADP Data'!$C$4:$Q$300, 4, FALSE)</f>
        <v>#N/A</v>
      </c>
      <c r="R306" s="11" t="str">
        <f>VLOOKUP($G306, 'ADP Data'!$C$4:$Q$300, 5, FALSE)</f>
        <v>#N/A</v>
      </c>
      <c r="S306" s="11" t="str">
        <f>VLOOKUP($G306, 'ADP Data'!$C$4:$Q$300, 6, FALSE)</f>
        <v>#N/A</v>
      </c>
      <c r="T306" s="11" t="str">
        <f>VLOOKUP($G306, 'ADP Data'!$C$4:$Q$300, 7, FALSE)</f>
        <v>#N/A</v>
      </c>
      <c r="U306" s="11" t="str">
        <f>VLOOKUP($G306, 'ADP Data'!$C$4:$Q$300, 8, FALSE)</f>
        <v>#N/A</v>
      </c>
      <c r="V306" s="11" t="str">
        <f t="shared" si="8"/>
        <v>#N/A</v>
      </c>
      <c r="W306" s="11">
        <f t="shared" si="9"/>
        <v>16</v>
      </c>
      <c r="X306" s="11">
        <f t="shared" si="10"/>
        <v>-16</v>
      </c>
      <c r="Y306" s="11" t="str">
        <f>VLOOKUP($G306, SeanRanks!$A$2:$K$303, 10, FALSE)-V306</f>
        <v>#N/A</v>
      </c>
      <c r="Z306" s="29" t="str">
        <f>IF(VLOOKUP($G306, SeanRanks!$A$2:$H$303, 7, FALSE)=0, "", VLOOKUP($G306, SeanRanks!$A$2:$H$303, 7, FALSE))</f>
        <v>#N/A</v>
      </c>
    </row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>
      <c r="F312" s="1" t="s">
        <v>22</v>
      </c>
    </row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6:$Z$306">
    <sortState ref="A6:Z306">
      <sortCondition ref="V6:V306"/>
    </sortState>
  </autoFilter>
  <mergeCells count="1">
    <mergeCell ref="A1:C1"/>
  </mergeCells>
  <conditionalFormatting sqref="K8:K306">
    <cfRule type="colorScale" priority="1">
      <colorScale>
        <cfvo type="formula" val="12"/>
        <cfvo type="percentile" val="50"/>
        <cfvo type="max"/>
        <color rgb="FF63BE7B"/>
        <color rgb="FFFFEB84"/>
        <color rgb="FFF8696B"/>
      </colorScale>
    </cfRule>
  </conditionalFormatting>
  <conditionalFormatting sqref="K5:Z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7:L306">
    <cfRule type="cellIs" dxfId="1" priority="3" operator="lessThan">
      <formula>B7</formula>
    </cfRule>
  </conditionalFormatting>
  <conditionalFormatting sqref="L7:L306">
    <cfRule type="cellIs" dxfId="2" priority="4" operator="greaterThan">
      <formula>B7</formula>
    </cfRule>
  </conditionalFormatting>
  <conditionalFormatting sqref="N7:N306">
    <cfRule type="colorScale" priority="5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P7:P306">
    <cfRule type="colorScale" priority="6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X7:X30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7:Y306">
    <cfRule type="colorScale" priority="8">
      <colorScale>
        <cfvo type="formula" val="-12"/>
        <cfvo type="formula" val="0"/>
        <cfvo type="formula" val="12"/>
        <color rgb="FFF8696B"/>
        <color rgb="FFD8D8D8"/>
        <color rgb="FF63BE7B"/>
      </colorScale>
    </cfRule>
  </conditionalFormatting>
  <conditionalFormatting sqref="B7:G7 B8:E261 B262:B302 C262:C306 D262:E302 F8:F306 G8:G296 J7:K306 Y7:Z306">
    <cfRule type="expression" dxfId="0" priority="9">
      <formula>$C7="No"</formula>
    </cfRule>
  </conditionalFormatting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4.43" defaultRowHeight="15.0"/>
  <cols>
    <col customWidth="1" min="1" max="1" width="23.57"/>
    <col customWidth="1" min="2" max="2" width="9.86"/>
    <col customWidth="1" min="3" max="3" width="9.71"/>
    <col customWidth="1" min="4" max="4" width="18.0"/>
    <col customWidth="1" min="5" max="5" width="11.14"/>
    <col customWidth="1" min="6" max="6" width="21.29"/>
    <col customWidth="1" min="7" max="7" width="16.29"/>
    <col customWidth="1" min="8" max="8" width="25.71"/>
    <col customWidth="1" min="9" max="9" width="11.29"/>
    <col customWidth="1" min="10" max="10" width="8.71"/>
    <col customWidth="1" min="11" max="11" width="20.29"/>
    <col customWidth="1" min="12" max="26" width="8.71"/>
  </cols>
  <sheetData>
    <row r="1" ht="14.25" customHeight="1">
      <c r="A1" s="1">
        <v>1.0</v>
      </c>
      <c r="B1" s="1">
        <v>2.0</v>
      </c>
      <c r="C1" s="1">
        <v>3.0</v>
      </c>
      <c r="D1" s="1">
        <v>4.0</v>
      </c>
      <c r="E1" s="1">
        <v>5.0</v>
      </c>
      <c r="F1" s="1">
        <v>6.0</v>
      </c>
      <c r="G1" s="1">
        <v>7.0</v>
      </c>
      <c r="H1" s="1">
        <v>8.0</v>
      </c>
      <c r="I1" s="1">
        <v>9.0</v>
      </c>
      <c r="J1" s="1">
        <v>10.0</v>
      </c>
      <c r="K1" s="1">
        <v>10.0</v>
      </c>
    </row>
    <row r="2" ht="14.25" customHeight="1">
      <c r="A2" s="7" t="s">
        <v>5</v>
      </c>
      <c r="B2" s="7" t="s">
        <v>7</v>
      </c>
      <c r="C2" s="7" t="s">
        <v>8</v>
      </c>
      <c r="D2" s="9" t="s">
        <v>9</v>
      </c>
      <c r="E2" s="9" t="s">
        <v>10</v>
      </c>
      <c r="F2" s="9" t="s">
        <v>11</v>
      </c>
      <c r="G2" s="9" t="s">
        <v>12</v>
      </c>
      <c r="H2" s="9" t="s">
        <v>14</v>
      </c>
      <c r="I2" s="7" t="s">
        <v>16</v>
      </c>
      <c r="J2" s="7" t="s">
        <v>17</v>
      </c>
      <c r="K2" s="7" t="s">
        <v>19</v>
      </c>
      <c r="L2" s="10" t="s">
        <v>22</v>
      </c>
    </row>
    <row r="3" ht="14.25" hidden="1" customHeight="1">
      <c r="A3" s="11" t="s">
        <v>25</v>
      </c>
      <c r="B3" s="11" t="str">
        <f>VLOOKUP($A3, '26 ADP Data'!$C$3:$R$298, 2, FALSE)</f>
        <v>DET</v>
      </c>
      <c r="C3" s="11" t="str">
        <f>VLOOKUP($A3, '26 ADP Data'!$C$3:$R$298, 16, FALSE)</f>
        <v>RB</v>
      </c>
      <c r="D3" s="11"/>
      <c r="E3" s="11"/>
      <c r="F3" s="11" t="s">
        <v>37</v>
      </c>
      <c r="G3" s="16">
        <v>1.0</v>
      </c>
      <c r="H3" s="11"/>
      <c r="I3" s="11">
        <f>VLOOKUP($A3, '26 ADP Data'!$C$3:$Q$298, 13, FALSE)</f>
        <v>1</v>
      </c>
      <c r="J3" s="11">
        <f>VLOOKUP($A3, '26 ADP Data'!$C$3:$Q$298, 10, FALSE)</f>
        <v>1</v>
      </c>
      <c r="K3" s="11">
        <v>3.0</v>
      </c>
    </row>
    <row r="4" ht="14.25" hidden="1" customHeight="1">
      <c r="A4" s="11" t="s">
        <v>39</v>
      </c>
      <c r="B4" s="11" t="str">
        <f>VLOOKUP($A4, '26 ADP Data'!$C$3:$R$298, 2, FALSE)</f>
        <v>ATL</v>
      </c>
      <c r="C4" s="11" t="str">
        <f>VLOOKUP($A4, '26 ADP Data'!$C$3:$R$298, 16, FALSE)</f>
        <v>RB</v>
      </c>
      <c r="D4" s="11"/>
      <c r="E4" s="11"/>
      <c r="F4" s="11" t="s">
        <v>37</v>
      </c>
      <c r="G4" s="16">
        <v>2.0</v>
      </c>
      <c r="H4" s="11"/>
      <c r="I4" s="11">
        <f>VLOOKUP($A4, '26 ADP Data'!$C$3:$Q$298, 13, FALSE)</f>
        <v>2</v>
      </c>
      <c r="J4" s="11">
        <f>VLOOKUP($A4, '26 ADP Data'!$C$3:$Q$298, 10, FALSE)</f>
        <v>2</v>
      </c>
      <c r="K4" s="11">
        <v>1.0</v>
      </c>
    </row>
    <row r="5" ht="14.25" hidden="1" customHeight="1">
      <c r="A5" s="11" t="s">
        <v>44</v>
      </c>
      <c r="B5" s="11" t="str">
        <f>VLOOKUP($A5, '26 ADP Data'!$C$3:$R$298, 2, FALSE)</f>
        <v>CIN</v>
      </c>
      <c r="C5" s="11" t="str">
        <f>VLOOKUP($A5, '26 ADP Data'!$C$3:$R$298, 16, FALSE)</f>
        <v>WR</v>
      </c>
      <c r="D5" s="11"/>
      <c r="E5" s="11"/>
      <c r="F5" s="11" t="s">
        <v>59</v>
      </c>
      <c r="G5" s="16">
        <v>1.0</v>
      </c>
      <c r="H5" s="11"/>
      <c r="I5" s="11">
        <f>VLOOKUP($A5, '26 ADP Data'!$C$3:$Q$298, 13, FALSE)</f>
        <v>3</v>
      </c>
      <c r="J5" s="11">
        <f>VLOOKUP($A5, '26 ADP Data'!$C$3:$Q$298, 10, FALSE)</f>
        <v>3</v>
      </c>
      <c r="K5" s="11">
        <v>2.0</v>
      </c>
    </row>
    <row r="6" ht="14.25" hidden="1" customHeight="1">
      <c r="A6" s="11" t="s">
        <v>51</v>
      </c>
      <c r="B6" s="11" t="str">
        <f>VLOOKUP($A6, '26 ADP Data'!$C$3:$R$298, 2, FALSE)</f>
        <v>SEA</v>
      </c>
      <c r="C6" s="11" t="str">
        <f>VLOOKUP($A6, '26 ADP Data'!$C$3:$R$298, 16, FALSE)</f>
        <v>WR</v>
      </c>
      <c r="D6" s="11"/>
      <c r="E6" s="11"/>
      <c r="F6" s="11" t="s">
        <v>59</v>
      </c>
      <c r="G6" s="16">
        <v>2.0</v>
      </c>
      <c r="H6" s="11"/>
      <c r="I6" s="11">
        <f>VLOOKUP($A6, '26 ADP Data'!$C$3:$Q$298, 13, FALSE)</f>
        <v>5</v>
      </c>
      <c r="J6" s="11">
        <f>VLOOKUP($A6, '26 ADP Data'!$C$3:$Q$298, 10, FALSE)</f>
        <v>8</v>
      </c>
      <c r="K6" s="11">
        <v>5.0</v>
      </c>
    </row>
    <row r="7" ht="14.25" hidden="1" customHeight="1">
      <c r="A7" s="11" t="s">
        <v>48</v>
      </c>
      <c r="B7" s="11" t="str">
        <f>VLOOKUP($A7, '26 ADP Data'!$C$3:$R$298, 2, FALSE)</f>
        <v>LAR</v>
      </c>
      <c r="C7" s="11" t="str">
        <f>VLOOKUP($A7, '26 ADP Data'!$C$3:$R$298, 16, FALSE)</f>
        <v>WR</v>
      </c>
      <c r="D7" s="11"/>
      <c r="E7" s="11"/>
      <c r="F7" s="11" t="s">
        <v>59</v>
      </c>
      <c r="G7" s="16">
        <v>3.0</v>
      </c>
      <c r="H7" s="11"/>
      <c r="I7" s="11">
        <f>VLOOKUP($A7, '26 ADP Data'!$C$3:$Q$298, 13, FALSE)</f>
        <v>4</v>
      </c>
      <c r="J7" s="11">
        <f>VLOOKUP($A7, '26 ADP Data'!$C$3:$Q$298, 10, FALSE)</f>
        <v>4</v>
      </c>
      <c r="K7" s="11">
        <v>4.0</v>
      </c>
    </row>
    <row r="8" ht="14.25" hidden="1" customHeight="1">
      <c r="A8" s="11" t="s">
        <v>57</v>
      </c>
      <c r="B8" s="11" t="str">
        <f>VLOOKUP($A8, '26 ADP Data'!$C$3:$R$298, 2, FALSE)</f>
        <v>SF</v>
      </c>
      <c r="C8" s="11" t="str">
        <f>VLOOKUP($A8, '26 ADP Data'!$C$3:$R$298, 16, FALSE)</f>
        <v>RB</v>
      </c>
      <c r="D8" s="11"/>
      <c r="E8" s="11"/>
      <c r="F8" s="11" t="s">
        <v>93</v>
      </c>
      <c r="G8" s="16">
        <v>3.0</v>
      </c>
      <c r="H8" s="11"/>
      <c r="I8" s="11">
        <f>VLOOKUP($A8, '26 ADP Data'!$C$3:$Q$298, 13, FALSE)</f>
        <v>6</v>
      </c>
      <c r="J8" s="11">
        <f>VLOOKUP($A8, '26 ADP Data'!$C$3:$Q$298, 10, FALSE)</f>
        <v>5</v>
      </c>
      <c r="K8" s="11">
        <v>6.0</v>
      </c>
    </row>
    <row r="9" ht="14.25" hidden="1" customHeight="1">
      <c r="A9" s="11" t="s">
        <v>64</v>
      </c>
      <c r="B9" s="11" t="str">
        <f>VLOOKUP($A9, '26 ADP Data'!$C$3:$R$298, 2, FALSE)</f>
        <v>DET</v>
      </c>
      <c r="C9" s="11" t="str">
        <f>VLOOKUP($A9, '26 ADP Data'!$C$3:$R$298, 16, FALSE)</f>
        <v>WR</v>
      </c>
      <c r="D9" s="11"/>
      <c r="E9" s="11"/>
      <c r="F9" s="11" t="s">
        <v>100</v>
      </c>
      <c r="G9" s="16">
        <v>4.0</v>
      </c>
      <c r="H9" s="11"/>
      <c r="I9" s="11">
        <f>VLOOKUP($A9, '26 ADP Data'!$C$3:$Q$298, 13, FALSE)</f>
        <v>7</v>
      </c>
      <c r="J9" s="11">
        <f>VLOOKUP($A9, '26 ADP Data'!$C$3:$Q$298, 10, FALSE)</f>
        <v>7</v>
      </c>
      <c r="K9" s="11">
        <v>9.0</v>
      </c>
    </row>
    <row r="10" ht="14.25" hidden="1" customHeight="1">
      <c r="A10" s="11" t="s">
        <v>61</v>
      </c>
      <c r="B10" s="11" t="str">
        <f>VLOOKUP($A10, '26 ADP Data'!$C$3:$R$298, 2, FALSE)</f>
        <v>IND</v>
      </c>
      <c r="C10" s="11" t="str">
        <f>VLOOKUP($A10, '26 ADP Data'!$C$3:$R$298, 16, FALSE)</f>
        <v>RB</v>
      </c>
      <c r="D10" s="11"/>
      <c r="E10" s="11"/>
      <c r="F10" s="11" t="s">
        <v>93</v>
      </c>
      <c r="G10" s="16">
        <v>4.0</v>
      </c>
      <c r="H10" s="11"/>
      <c r="I10" s="11">
        <f>VLOOKUP($A10, '26 ADP Data'!$C$3:$Q$298, 13, FALSE)</f>
        <v>8</v>
      </c>
      <c r="J10" s="11">
        <f>VLOOKUP($A10, '26 ADP Data'!$C$3:$Q$298, 10, FALSE)</f>
        <v>6</v>
      </c>
      <c r="K10" s="11">
        <v>8.0</v>
      </c>
    </row>
    <row r="11" ht="14.25" hidden="1" customHeight="1">
      <c r="A11" s="11" t="s">
        <v>113</v>
      </c>
      <c r="B11" s="11" t="str">
        <f>VLOOKUP($A11, '26 ADP Data'!$C$3:$R$298, 2, FALSE)</f>
        <v>NE</v>
      </c>
      <c r="C11" s="11" t="str">
        <f>VLOOKUP($A11, '26 ADP Data'!$C$3:$R$298, 16, FALSE)</f>
        <v>WR</v>
      </c>
      <c r="D11" s="11"/>
      <c r="E11" s="11"/>
      <c r="F11" s="11" t="s">
        <v>100</v>
      </c>
      <c r="G11" s="16">
        <v>5.0</v>
      </c>
      <c r="H11" s="11"/>
      <c r="I11" s="11">
        <f>VLOOKUP($A11, '26 ADP Data'!$C$3:$Q$298, 13, FALSE)</f>
        <v>19</v>
      </c>
      <c r="J11" s="11">
        <f>VLOOKUP($A11, '26 ADP Data'!$C$3:$Q$298, 10, FALSE)</f>
        <v>22</v>
      </c>
      <c r="K11" s="11">
        <v>29.0</v>
      </c>
    </row>
    <row r="12" ht="14.25" hidden="1" customHeight="1">
      <c r="A12" s="11" t="s">
        <v>66</v>
      </c>
      <c r="B12" s="11" t="str">
        <f>VLOOKUP($A12, '26 ADP Data'!$C$3:$R$298, 2, FALSE)</f>
        <v>BUF</v>
      </c>
      <c r="C12" s="11" t="str">
        <f>VLOOKUP($A12, '26 ADP Data'!$C$3:$R$298, 16, FALSE)</f>
        <v>RB</v>
      </c>
      <c r="D12" s="11"/>
      <c r="E12" s="11"/>
      <c r="F12" s="16" t="s">
        <v>122</v>
      </c>
      <c r="G12" s="28">
        <v>5.0</v>
      </c>
      <c r="H12" s="11"/>
      <c r="I12" s="11">
        <f>VLOOKUP($A12, '26 ADP Data'!$C$3:$Q$298, 13, FALSE)</f>
        <v>10</v>
      </c>
      <c r="J12" s="11">
        <f>VLOOKUP($A12, '26 ADP Data'!$C$3:$Q$298, 10, FALSE)</f>
        <v>9</v>
      </c>
      <c r="K12" s="11">
        <v>10.0</v>
      </c>
    </row>
    <row r="13" ht="14.25" hidden="1" customHeight="1">
      <c r="A13" s="11" t="s">
        <v>70</v>
      </c>
      <c r="B13" s="11" t="str">
        <f>VLOOKUP($A13, '26 ADP Data'!$C$3:$R$298, 2, FALSE)</f>
        <v>DAL</v>
      </c>
      <c r="C13" s="11" t="str">
        <f>VLOOKUP($A13, '26 ADP Data'!$C$3:$R$298, 16, FALSE)</f>
        <v>WR</v>
      </c>
      <c r="D13" s="11"/>
      <c r="E13" s="11"/>
      <c r="F13" s="11" t="s">
        <v>100</v>
      </c>
      <c r="G13" s="16">
        <v>6.0</v>
      </c>
      <c r="H13" s="11"/>
      <c r="I13" s="11">
        <f>VLOOKUP($A13, '26 ADP Data'!$C$3:$Q$298, 13, FALSE)</f>
        <v>9</v>
      </c>
      <c r="J13" s="11">
        <f>VLOOKUP($A13, '26 ADP Data'!$C$3:$Q$298, 10, FALSE)</f>
        <v>11</v>
      </c>
      <c r="K13" s="11">
        <v>7.0</v>
      </c>
    </row>
    <row r="14" ht="14.25" hidden="1" customHeight="1">
      <c r="A14" s="11" t="s">
        <v>92</v>
      </c>
      <c r="B14" s="11" t="str">
        <f>VLOOKUP($A14, '26 ADP Data'!$C$3:$R$298, 2, FALSE)</f>
        <v>MIA</v>
      </c>
      <c r="C14" s="11" t="str">
        <f>VLOOKUP($A14, '26 ADP Data'!$C$3:$R$298, 16, FALSE)</f>
        <v>RB</v>
      </c>
      <c r="D14" s="11"/>
      <c r="E14" s="11"/>
      <c r="F14" s="16" t="s">
        <v>122</v>
      </c>
      <c r="G14" s="31">
        <v>6.0</v>
      </c>
      <c r="H14" s="11"/>
      <c r="I14" s="11">
        <f>VLOOKUP($A14, '26 ADP Data'!$C$3:$Q$298, 13, FALSE)</f>
        <v>17</v>
      </c>
      <c r="J14" s="11">
        <f>VLOOKUP($A14, '26 ADP Data'!$C$3:$Q$298, 10, FALSE)</f>
        <v>15</v>
      </c>
      <c r="K14" s="11">
        <v>13.0</v>
      </c>
    </row>
    <row r="15" ht="14.25" hidden="1" customHeight="1">
      <c r="A15" s="11" t="s">
        <v>108</v>
      </c>
      <c r="B15" s="11" t="str">
        <f>VLOOKUP($A15, '26 ADP Data'!$C$3:$R$298, 2, FALSE)</f>
        <v>BAL</v>
      </c>
      <c r="C15" s="11" t="str">
        <f>VLOOKUP($A15, '26 ADP Data'!$C$3:$R$298, 16, FALSE)</f>
        <v>RB</v>
      </c>
      <c r="D15" s="11"/>
      <c r="E15" s="11"/>
      <c r="F15" s="16" t="s">
        <v>122</v>
      </c>
      <c r="G15" s="16">
        <v>7.0</v>
      </c>
      <c r="H15" s="11"/>
      <c r="I15" s="11">
        <f>VLOOKUP($A15, '26 ADP Data'!$C$3:$Q$298, 13, FALSE)</f>
        <v>16</v>
      </c>
      <c r="J15" s="11">
        <f>VLOOKUP($A15, '26 ADP Data'!$C$3:$Q$298, 10, FALSE)</f>
        <v>16</v>
      </c>
      <c r="K15" s="11">
        <v>27.0</v>
      </c>
    </row>
    <row r="16" ht="14.25" hidden="1" customHeight="1">
      <c r="A16" s="11" t="s">
        <v>101</v>
      </c>
      <c r="B16" s="11" t="str">
        <f>VLOOKUP($A16, '26 ADP Data'!$C$3:$R$298, 2, FALSE)</f>
        <v>KC</v>
      </c>
      <c r="C16" s="11" t="str">
        <f>VLOOKUP($A16, '26 ADP Data'!$C$3:$R$298, 16, FALSE)</f>
        <v>RB</v>
      </c>
      <c r="D16" s="11"/>
      <c r="E16" s="16" t="s">
        <v>106</v>
      </c>
      <c r="F16" s="16" t="s">
        <v>122</v>
      </c>
      <c r="G16" s="16">
        <v>8.0</v>
      </c>
      <c r="H16" s="16" t="s">
        <v>145</v>
      </c>
      <c r="I16" s="11">
        <f>VLOOKUP($A16, '26 ADP Data'!$C$3:$Q$298, 13, FALSE)</f>
        <v>13</v>
      </c>
      <c r="J16" s="11">
        <f>VLOOKUP($A16, '26 ADP Data'!$C$3:$Q$298, 10, FALSE)</f>
        <v>12</v>
      </c>
      <c r="K16" s="11">
        <v>20.0</v>
      </c>
    </row>
    <row r="17" ht="14.25" hidden="1" customHeight="1">
      <c r="A17" s="11" t="s">
        <v>84</v>
      </c>
      <c r="B17" s="11" t="str">
        <f>VLOOKUP($A17, '26 ADP Data'!$C$3:$R$298, 2, FALSE)</f>
        <v>PHI</v>
      </c>
      <c r="C17" s="11" t="str">
        <f>VLOOKUP($A17, '26 ADP Data'!$C$3:$R$298, 16, FALSE)</f>
        <v>RB</v>
      </c>
      <c r="D17" s="11"/>
      <c r="E17" s="11"/>
      <c r="F17" s="16" t="s">
        <v>122</v>
      </c>
      <c r="G17" s="16">
        <v>9.0</v>
      </c>
      <c r="H17" s="11"/>
      <c r="I17" s="11">
        <f>VLOOKUP($A17, '26 ADP Data'!$C$3:$Q$298, 13, FALSE)</f>
        <v>12</v>
      </c>
      <c r="J17" s="11">
        <f>VLOOKUP($A17, '26 ADP Data'!$C$3:$Q$298, 10, FALSE)</f>
        <v>10</v>
      </c>
      <c r="K17" s="11">
        <v>16.0</v>
      </c>
    </row>
    <row r="18" ht="14.25" hidden="1" customHeight="1">
      <c r="A18" s="11" t="s">
        <v>104</v>
      </c>
      <c r="B18" s="11" t="str">
        <f>VLOOKUP($A18, '26 ADP Data'!$C$3:$R$298, 2, FALSE)</f>
        <v>LAC</v>
      </c>
      <c r="C18" s="11" t="str">
        <f>VLOOKUP($A18, '26 ADP Data'!$C$3:$R$298, 16, FALSE)</f>
        <v>RB</v>
      </c>
      <c r="D18" s="11"/>
      <c r="E18" s="11"/>
      <c r="F18" s="16" t="s">
        <v>122</v>
      </c>
      <c r="G18" s="16">
        <v>10.0</v>
      </c>
      <c r="H18" s="16" t="s">
        <v>159</v>
      </c>
      <c r="I18" s="11">
        <f>VLOOKUP($A18, '26 ADP Data'!$C$3:$Q$298, 13, FALSE)</f>
        <v>15</v>
      </c>
      <c r="J18" s="11">
        <f>VLOOKUP($A18, '26 ADP Data'!$C$3:$Q$298, 10, FALSE)</f>
        <v>17</v>
      </c>
      <c r="K18" s="11">
        <v>19.0</v>
      </c>
    </row>
    <row r="19" ht="14.25" customHeight="1">
      <c r="A19" s="11" t="s">
        <v>111</v>
      </c>
      <c r="B19" s="11" t="str">
        <f>VLOOKUP($A19, '26 ADP Data'!$C$3:$R$298, 2, FALSE)</f>
        <v>LV</v>
      </c>
      <c r="C19" s="11" t="str">
        <f>VLOOKUP($A19, '26 ADP Data'!$C$3:$R$298, 16, FALSE)</f>
        <v>TE</v>
      </c>
      <c r="D19" s="11"/>
      <c r="E19" s="11"/>
      <c r="F19" s="11" t="s">
        <v>166</v>
      </c>
      <c r="G19" s="11">
        <v>1.0</v>
      </c>
      <c r="H19" s="11"/>
      <c r="I19" s="11">
        <f>VLOOKUP($A19, '26 ADP Data'!$C$3:$Q$298, 13, FALSE)</f>
        <v>20</v>
      </c>
      <c r="J19" s="11">
        <f>VLOOKUP($A19, '26 ADP Data'!$C$3:$Q$298, 10, FALSE)</f>
        <v>19</v>
      </c>
      <c r="K19" s="11">
        <v>18.0</v>
      </c>
    </row>
    <row r="20" ht="14.25" hidden="1" customHeight="1">
      <c r="A20" s="11" t="s">
        <v>74</v>
      </c>
      <c r="B20" s="11" t="str">
        <f>VLOOKUP($A20, '26 ADP Data'!$C$3:$R$298, 2, FALSE)</f>
        <v>MIN</v>
      </c>
      <c r="C20" s="11" t="str">
        <f>VLOOKUP($A20, '26 ADP Data'!$C$3:$R$298, 16, FALSE)</f>
        <v>WR</v>
      </c>
      <c r="D20" s="11"/>
      <c r="E20" s="11"/>
      <c r="F20" s="11" t="s">
        <v>100</v>
      </c>
      <c r="G20" s="16">
        <v>7.0</v>
      </c>
      <c r="H20" s="11"/>
      <c r="I20" s="11">
        <f>VLOOKUP($A20, '26 ADP Data'!$C$3:$Q$298, 13, FALSE)</f>
        <v>11</v>
      </c>
      <c r="J20" s="11">
        <f>VLOOKUP($A20, '26 ADP Data'!$C$3:$Q$298, 10, FALSE)</f>
        <v>13</v>
      </c>
      <c r="K20" s="11">
        <v>11.0</v>
      </c>
    </row>
    <row r="21" ht="14.25" hidden="1" customHeight="1">
      <c r="A21" s="11" t="s">
        <v>97</v>
      </c>
      <c r="B21" s="11" t="str">
        <f>VLOOKUP($A21, '26 ADP Data'!$C$3:$R$298, 2, FALSE)</f>
        <v>LV</v>
      </c>
      <c r="C21" s="11" t="str">
        <f>VLOOKUP($A21, '26 ADP Data'!$C$3:$R$298, 16, FALSE)</f>
        <v>RB</v>
      </c>
      <c r="D21" s="11"/>
      <c r="E21" s="11"/>
      <c r="F21" s="16" t="s">
        <v>122</v>
      </c>
      <c r="G21" s="16">
        <v>11.0</v>
      </c>
      <c r="H21" s="11" t="s">
        <v>179</v>
      </c>
      <c r="I21" s="11">
        <f>VLOOKUP($A21, '26 ADP Data'!$C$3:$Q$298, 13, FALSE)</f>
        <v>18</v>
      </c>
      <c r="J21" s="11">
        <f>VLOOKUP($A21, '26 ADP Data'!$C$3:$Q$298, 10, FALSE)</f>
        <v>23</v>
      </c>
      <c r="K21" s="11">
        <v>12.0</v>
      </c>
    </row>
    <row r="22" ht="14.25" hidden="1" customHeight="1">
      <c r="A22" s="11" t="s">
        <v>114</v>
      </c>
      <c r="B22" s="11" t="str">
        <f>VLOOKUP($A22, '26 ADP Data'!$C$3:$R$298, 2, FALSE)</f>
        <v>ATL</v>
      </c>
      <c r="C22" s="11" t="str">
        <f>VLOOKUP($A22, '26 ADP Data'!$C$3:$R$298, 16, FALSE)</f>
        <v>WR</v>
      </c>
      <c r="D22" s="11"/>
      <c r="E22" s="11"/>
      <c r="F22" s="11" t="s">
        <v>100</v>
      </c>
      <c r="G22" s="16">
        <v>8.0</v>
      </c>
      <c r="H22" s="11"/>
      <c r="I22" s="11">
        <f>VLOOKUP($A22, '26 ADP Data'!$C$3:$Q$298, 13, FALSE)</f>
        <v>22</v>
      </c>
      <c r="J22" s="11">
        <f>VLOOKUP($A22, '26 ADP Data'!$C$3:$Q$298, 10, FALSE)</f>
        <v>18</v>
      </c>
      <c r="K22" s="11">
        <v>14.0</v>
      </c>
    </row>
    <row r="23" ht="14.25" hidden="1" customHeight="1">
      <c r="A23" s="11" t="s">
        <v>144</v>
      </c>
      <c r="B23" s="11" t="str">
        <f>VLOOKUP($A23, '26 ADP Data'!$C$3:$R$298, 2, FALSE)</f>
        <v>DAL</v>
      </c>
      <c r="C23" s="11" t="str">
        <f>VLOOKUP($A23, '26 ADP Data'!$C$3:$R$298, 16, FALSE)</f>
        <v>RB</v>
      </c>
      <c r="D23" s="11"/>
      <c r="E23" s="11"/>
      <c r="F23" s="16" t="s">
        <v>122</v>
      </c>
      <c r="G23" s="16">
        <v>12.0</v>
      </c>
      <c r="H23" s="11"/>
      <c r="I23" s="11">
        <f>VLOOKUP($A23, '26 ADP Data'!$C$3:$Q$298, 13, FALSE)</f>
        <v>33</v>
      </c>
      <c r="J23" s="11">
        <f>VLOOKUP($A23, '26 ADP Data'!$C$3:$Q$298, 10, FALSE)</f>
        <v>35</v>
      </c>
      <c r="K23" s="11">
        <v>41.0</v>
      </c>
    </row>
    <row r="24" ht="14.25" hidden="1" customHeight="1">
      <c r="A24" s="11" t="s">
        <v>142</v>
      </c>
      <c r="B24" s="11" t="str">
        <f>VLOOKUP($A24, '26 ADP Data'!$C$3:$R$298, 2, FALSE)</f>
        <v>PHI</v>
      </c>
      <c r="C24" s="11" t="str">
        <f>VLOOKUP($A24, '26 ADP Data'!$C$3:$R$298, 16, FALSE)</f>
        <v>WR</v>
      </c>
      <c r="D24" s="11"/>
      <c r="E24" s="16" t="s">
        <v>106</v>
      </c>
      <c r="F24" s="11" t="s">
        <v>100</v>
      </c>
      <c r="G24" s="16">
        <v>9.0</v>
      </c>
      <c r="H24" s="11"/>
      <c r="I24" s="11">
        <f>VLOOKUP($A24, '26 ADP Data'!$C$3:$Q$298, 13, FALSE)</f>
        <v>27</v>
      </c>
      <c r="J24" s="11">
        <f>VLOOKUP($A24, '26 ADP Data'!$C$3:$Q$298, 10, FALSE)</f>
        <v>26</v>
      </c>
      <c r="K24" s="11">
        <v>28.0</v>
      </c>
    </row>
    <row r="25" ht="14.25" customHeight="1">
      <c r="A25" s="11" t="s">
        <v>124</v>
      </c>
      <c r="B25" s="11" t="str">
        <f>VLOOKUP($A25, '26 ADP Data'!$C$3:$R$298, 2, FALSE)</f>
        <v>ARI</v>
      </c>
      <c r="C25" s="11" t="str">
        <f>VLOOKUP($A25, '26 ADP Data'!$C$3:$R$298, 16, FALSE)</f>
        <v>TE</v>
      </c>
      <c r="D25" s="11"/>
      <c r="E25" s="11"/>
      <c r="F25" s="11" t="s">
        <v>166</v>
      </c>
      <c r="G25" s="11">
        <v>2.0</v>
      </c>
      <c r="H25" s="11"/>
      <c r="I25" s="11">
        <f>VLOOKUP($A25, '26 ADP Data'!$C$3:$Q$298, 13, FALSE)</f>
        <v>28</v>
      </c>
      <c r="J25" s="11">
        <f>VLOOKUP($A25, '26 ADP Data'!$C$3:$Q$298, 10, FALSE)</f>
        <v>30</v>
      </c>
      <c r="K25" s="11">
        <v>22.0</v>
      </c>
    </row>
    <row r="26" ht="14.25" hidden="1" customHeight="1">
      <c r="A26" s="11" t="s">
        <v>147</v>
      </c>
      <c r="B26" s="11" t="str">
        <f>VLOOKUP($A26, '26 ADP Data'!$C$3:$R$298, 2, FALSE)</f>
        <v>NYJ</v>
      </c>
      <c r="C26" s="11" t="str">
        <f>VLOOKUP($A26, '26 ADP Data'!$C$3:$R$298, 16, FALSE)</f>
        <v>RB</v>
      </c>
      <c r="D26" s="11"/>
      <c r="E26" s="11"/>
      <c r="F26" s="16" t="s">
        <v>122</v>
      </c>
      <c r="G26" s="31">
        <v>13.0</v>
      </c>
      <c r="H26" s="11"/>
      <c r="I26" s="11">
        <f>VLOOKUP($A26, '26 ADP Data'!$C$3:$Q$298, 13, FALSE)</f>
        <v>32</v>
      </c>
      <c r="J26" s="11">
        <f>VLOOKUP($A26, '26 ADP Data'!$C$3:$Q$298, 10, FALSE)</f>
        <v>31</v>
      </c>
      <c r="K26" s="11">
        <v>39.0</v>
      </c>
    </row>
    <row r="27" ht="14.25" hidden="1" customHeight="1">
      <c r="A27" s="11" t="s">
        <v>118</v>
      </c>
      <c r="B27" s="11" t="str">
        <f>VLOOKUP($A27, '26 ADP Data'!$C$3:$R$298, 2, FALSE)</f>
        <v>HOU</v>
      </c>
      <c r="C27" s="11" t="str">
        <f>VLOOKUP($A27, '26 ADP Data'!$C$3:$R$298, 16, FALSE)</f>
        <v>WR</v>
      </c>
      <c r="D27" s="11"/>
      <c r="E27" s="11"/>
      <c r="F27" s="11" t="s">
        <v>100</v>
      </c>
      <c r="G27" s="16">
        <v>10.0</v>
      </c>
      <c r="H27" s="11"/>
      <c r="I27" s="11">
        <f>VLOOKUP($A27, '26 ADP Data'!$C$3:$Q$298, 13, FALSE)</f>
        <v>21</v>
      </c>
      <c r="J27" s="11">
        <f>VLOOKUP($A27, '26 ADP Data'!$C$3:$Q$298, 10, FALSE)</f>
        <v>20</v>
      </c>
      <c r="K27" s="11">
        <v>17.0</v>
      </c>
    </row>
    <row r="28" ht="14.25" hidden="1" customHeight="1">
      <c r="A28" s="11" t="s">
        <v>134</v>
      </c>
      <c r="B28" s="11" t="str">
        <f>VLOOKUP($A28, '26 ADP Data'!$C$3:$R$298, 2, FALSE)</f>
        <v>KC</v>
      </c>
      <c r="C28" s="11" t="str">
        <f>VLOOKUP($A28, '26 ADP Data'!$C$3:$R$298, 16, FALSE)</f>
        <v>WR</v>
      </c>
      <c r="D28" s="11"/>
      <c r="E28" s="11"/>
      <c r="F28" s="11" t="s">
        <v>100</v>
      </c>
      <c r="G28" s="16">
        <v>11.0</v>
      </c>
      <c r="H28" s="11"/>
      <c r="I28" s="11">
        <f>VLOOKUP($A28, '26 ADP Data'!$C$3:$Q$298, 13, FALSE)</f>
        <v>26</v>
      </c>
      <c r="J28" s="11">
        <f>VLOOKUP($A28, '26 ADP Data'!$C$3:$Q$298, 10, FALSE)</f>
        <v>36</v>
      </c>
      <c r="K28" s="11">
        <v>31.0</v>
      </c>
    </row>
    <row r="29" ht="14.25" hidden="1" customHeight="1">
      <c r="A29" s="11" t="s">
        <v>130</v>
      </c>
      <c r="B29" s="11" t="str">
        <f>VLOOKUP($A29, '26 ADP Data'!$C$3:$R$298, 2, FALSE)</f>
        <v>NO</v>
      </c>
      <c r="C29" s="11" t="str">
        <f>VLOOKUP($A29, '26 ADP Data'!$C$3:$R$298, 16, FALSE)</f>
        <v>WR</v>
      </c>
      <c r="D29" s="11"/>
      <c r="E29" s="11"/>
      <c r="F29" s="11" t="s">
        <v>100</v>
      </c>
      <c r="G29" s="16">
        <v>12.0</v>
      </c>
      <c r="H29" s="11"/>
      <c r="I29" s="11">
        <f>VLOOKUP($A29, '26 ADP Data'!$C$3:$Q$298, 13, FALSE)</f>
        <v>25</v>
      </c>
      <c r="J29" s="11">
        <f>VLOOKUP($A29, '26 ADP Data'!$C$3:$Q$298, 10, FALSE)</f>
        <v>24</v>
      </c>
      <c r="K29" s="11">
        <v>26.0</v>
      </c>
    </row>
    <row r="30" ht="14.25" hidden="1" customHeight="1">
      <c r="A30" s="11" t="s">
        <v>121</v>
      </c>
      <c r="B30" s="11" t="str">
        <f>VLOOKUP($A30, '26 ADP Data'!$C$3:$R$298, 2, FALSE)</f>
        <v>DAL</v>
      </c>
      <c r="C30" s="11" t="str">
        <f>VLOOKUP($A30, '26 ADP Data'!$C$3:$R$298, 16, FALSE)</f>
        <v>WR</v>
      </c>
      <c r="D30" s="11"/>
      <c r="E30" s="11"/>
      <c r="F30" s="11" t="s">
        <v>100</v>
      </c>
      <c r="G30" s="16">
        <v>13.0</v>
      </c>
      <c r="H30" s="11"/>
      <c r="I30" s="11">
        <f>VLOOKUP($A30, '26 ADP Data'!$C$3:$Q$298, 13, FALSE)</f>
        <v>24</v>
      </c>
      <c r="J30" s="11">
        <f>VLOOKUP($A30, '26 ADP Data'!$C$3:$Q$298, 10, FALSE)</f>
        <v>21</v>
      </c>
      <c r="K30" s="11">
        <v>21.0</v>
      </c>
    </row>
    <row r="31" ht="14.25" hidden="1" customHeight="1">
      <c r="A31" s="11" t="s">
        <v>136</v>
      </c>
      <c r="B31" s="11" t="str">
        <f>VLOOKUP($A31, '26 ADP Data'!$C$3:$R$298, 2, FALSE)</f>
        <v>BUF</v>
      </c>
      <c r="C31" s="11" t="str">
        <f>VLOOKUP($A31, '26 ADP Data'!$C$3:$R$298, 16, FALSE)</f>
        <v>QB</v>
      </c>
      <c r="D31" s="11"/>
      <c r="E31" s="16" t="s">
        <v>106</v>
      </c>
      <c r="F31" s="11" t="s">
        <v>233</v>
      </c>
      <c r="G31" s="11">
        <v>1.0</v>
      </c>
      <c r="H31" s="11"/>
      <c r="I31" s="11">
        <f>VLOOKUP($A31, '26 ADP Data'!$C$3:$Q$298, 13, FALSE)</f>
        <v>37</v>
      </c>
      <c r="J31" s="11">
        <f>VLOOKUP($A31, '26 ADP Data'!$C$3:$Q$298, 10, FALSE)</f>
        <v>28</v>
      </c>
      <c r="K31" s="11">
        <v>23.0</v>
      </c>
    </row>
    <row r="32" ht="14.25" hidden="1" customHeight="1">
      <c r="A32" s="11" t="s">
        <v>80</v>
      </c>
      <c r="B32" s="11" t="str">
        <f>VLOOKUP($A32, '26 ADP Data'!$C$3:$R$298, 2, FALSE)</f>
        <v>CIN</v>
      </c>
      <c r="C32" s="11" t="str">
        <f>VLOOKUP($A32, '26 ADP Data'!$C$3:$R$298, 16, FALSE)</f>
        <v>RB</v>
      </c>
      <c r="D32" s="11"/>
      <c r="E32" s="11"/>
      <c r="F32" s="16" t="s">
        <v>240</v>
      </c>
      <c r="G32" s="16">
        <v>14.0</v>
      </c>
      <c r="H32" s="11"/>
      <c r="I32" s="11">
        <f>VLOOKUP($A32, '26 ADP Data'!$C$3:$Q$298, 13, FALSE)</f>
        <v>14</v>
      </c>
      <c r="J32" s="11">
        <f>VLOOKUP($A32, '26 ADP Data'!$C$3:$Q$298, 10, FALSE)</f>
        <v>14</v>
      </c>
      <c r="K32" s="11">
        <v>15.0</v>
      </c>
    </row>
    <row r="33" ht="14.25" hidden="1" customHeight="1">
      <c r="A33" s="11" t="s">
        <v>153</v>
      </c>
      <c r="B33" s="11" t="str">
        <f>VLOOKUP($A33, '26 ADP Data'!$C$3:$R$298, 2, FALSE)</f>
        <v>GB</v>
      </c>
      <c r="C33" s="11" t="str">
        <f>VLOOKUP($A33, '26 ADP Data'!$C$3:$R$298, 16, FALSE)</f>
        <v>RB</v>
      </c>
      <c r="D33" s="11"/>
      <c r="E33" s="16" t="s">
        <v>106</v>
      </c>
      <c r="F33" s="16" t="s">
        <v>240</v>
      </c>
      <c r="G33" s="16">
        <v>15.0</v>
      </c>
      <c r="H33" s="11"/>
      <c r="I33" s="11">
        <f>VLOOKUP($A33, '26 ADP Data'!$C$3:$Q$298, 13, FALSE)</f>
        <v>42</v>
      </c>
      <c r="J33" s="11">
        <f>VLOOKUP($A33, '26 ADP Data'!$C$3:$Q$298, 10, FALSE)</f>
        <v>43</v>
      </c>
      <c r="K33" s="11">
        <v>30.0</v>
      </c>
    </row>
    <row r="34" ht="14.25" hidden="1" customHeight="1">
      <c r="A34" s="11" t="s">
        <v>158</v>
      </c>
      <c r="B34" s="11" t="str">
        <f>VLOOKUP($A34, '26 ADP Data'!$C$3:$R$298, 2, FALSE)</f>
        <v>CIN</v>
      </c>
      <c r="C34" s="11" t="str">
        <f>VLOOKUP($A34, '26 ADP Data'!$C$3:$R$298, 16, FALSE)</f>
        <v>WR</v>
      </c>
      <c r="D34" s="11"/>
      <c r="E34" s="11"/>
      <c r="F34" s="11" t="s">
        <v>251</v>
      </c>
      <c r="G34" s="16">
        <v>14.0</v>
      </c>
      <c r="H34" s="11"/>
      <c r="I34" s="11">
        <f>VLOOKUP($A34, '26 ADP Data'!$C$3:$Q$298, 13, FALSE)</f>
        <v>35</v>
      </c>
      <c r="J34" s="11">
        <f>VLOOKUP($A34, '26 ADP Data'!$C$3:$Q$298, 10, FALSE)</f>
        <v>29</v>
      </c>
      <c r="K34" s="11">
        <v>34.0</v>
      </c>
    </row>
    <row r="35" ht="14.25" hidden="1" customHeight="1">
      <c r="A35" s="11" t="s">
        <v>127</v>
      </c>
      <c r="B35" s="11" t="str">
        <f>VLOOKUP($A35, '26 ADP Data'!$C$3:$R$298, 2, FALSE)</f>
        <v>NYG</v>
      </c>
      <c r="C35" s="11" t="str">
        <f>VLOOKUP($A35, '26 ADP Data'!$C$3:$R$298, 16, FALSE)</f>
        <v>WR</v>
      </c>
      <c r="D35" s="11"/>
      <c r="E35" s="11"/>
      <c r="F35" s="11" t="s">
        <v>251</v>
      </c>
      <c r="G35" s="16">
        <v>15.0</v>
      </c>
      <c r="H35" s="11"/>
      <c r="I35" s="11">
        <f>VLOOKUP($A35, '26 ADP Data'!$C$3:$Q$298, 13, FALSE)</f>
        <v>23</v>
      </c>
      <c r="J35" s="11">
        <f>VLOOKUP($A35, '26 ADP Data'!$C$3:$Q$298, 10, FALSE)</f>
        <v>25</v>
      </c>
      <c r="K35" s="11">
        <v>24.0</v>
      </c>
    </row>
    <row r="36" ht="14.25" hidden="1" customHeight="1">
      <c r="A36" s="11" t="s">
        <v>138</v>
      </c>
      <c r="B36" s="11" t="str">
        <f>VLOOKUP($A36, '26 ADP Data'!$C$3:$R$298, 2, FALSE)</f>
        <v>LAR</v>
      </c>
      <c r="C36" s="11" t="str">
        <f>VLOOKUP($A36, '26 ADP Data'!$C$3:$R$298, 16, FALSE)</f>
        <v>RB</v>
      </c>
      <c r="D36" s="11"/>
      <c r="E36" s="11"/>
      <c r="F36" s="16" t="s">
        <v>240</v>
      </c>
      <c r="G36" s="16">
        <v>16.0</v>
      </c>
      <c r="H36" s="11"/>
      <c r="I36" s="11">
        <f>VLOOKUP($A36, '26 ADP Data'!$C$3:$Q$298, 13, FALSE)</f>
        <v>30</v>
      </c>
      <c r="J36" s="11">
        <f>VLOOKUP($A36, '26 ADP Data'!$C$3:$Q$298, 10, FALSE)</f>
        <v>27</v>
      </c>
      <c r="K36" s="11">
        <v>37.0</v>
      </c>
    </row>
    <row r="37" ht="14.25" hidden="1" customHeight="1">
      <c r="A37" s="11" t="s">
        <v>140</v>
      </c>
      <c r="B37" s="11" t="str">
        <f>VLOOKUP($A37, '26 ADP Data'!$C$3:$R$298, 2, FALSE)</f>
        <v>ARI</v>
      </c>
      <c r="C37" s="11" t="str">
        <f>VLOOKUP($A37, '26 ADP Data'!$C$3:$R$298, 16, FALSE)</f>
        <v>RB</v>
      </c>
      <c r="D37" s="11"/>
      <c r="E37" s="11"/>
      <c r="F37" s="16" t="s">
        <v>240</v>
      </c>
      <c r="G37" s="28">
        <v>17.0</v>
      </c>
      <c r="H37" s="11" t="s">
        <v>265</v>
      </c>
      <c r="I37" s="11">
        <f>VLOOKUP($A37, '26 ADP Data'!$C$3:$Q$298, 13, FALSE)</f>
        <v>29</v>
      </c>
      <c r="J37" s="11">
        <f>VLOOKUP($A37, '26 ADP Data'!$C$3:$Q$298, 10, FALSE)</f>
        <v>34</v>
      </c>
      <c r="K37" s="11">
        <v>25.0</v>
      </c>
    </row>
    <row r="38" ht="14.25" hidden="1" customHeight="1">
      <c r="A38" s="11" t="s">
        <v>168</v>
      </c>
      <c r="B38" s="11" t="str">
        <f>VLOOKUP($A38, '26 ADP Data'!$C$3:$R$298, 2, FALSE)</f>
        <v>NO</v>
      </c>
      <c r="C38" s="11" t="str">
        <f>VLOOKUP($A38, '26 ADP Data'!$C$3:$R$298, 16, FALSE)</f>
        <v>RB</v>
      </c>
      <c r="D38" s="11"/>
      <c r="E38" s="11"/>
      <c r="F38" s="16" t="s">
        <v>271</v>
      </c>
      <c r="G38" s="16">
        <v>18.0</v>
      </c>
      <c r="H38" s="11"/>
      <c r="I38" s="11">
        <f>VLOOKUP($A38, '26 ADP Data'!$C$3:$Q$298, 13, FALSE)</f>
        <v>40</v>
      </c>
      <c r="J38" s="11">
        <f>VLOOKUP($A38, '26 ADP Data'!$C$3:$Q$298, 10, FALSE)</f>
        <v>41</v>
      </c>
      <c r="K38" s="11">
        <v>38.0</v>
      </c>
    </row>
    <row r="39" ht="14.25" hidden="1" customHeight="1">
      <c r="A39" s="11" t="s">
        <v>164</v>
      </c>
      <c r="B39" s="11" t="str">
        <f>VLOOKUP($A39, '26 ADP Data'!$C$3:$R$298, 2, FALSE)</f>
        <v>CAR</v>
      </c>
      <c r="C39" s="11" t="str">
        <f>VLOOKUP($A39, '26 ADP Data'!$C$3:$R$298, 16, FALSE)</f>
        <v>WR</v>
      </c>
      <c r="D39" s="11"/>
      <c r="E39" s="11"/>
      <c r="F39" s="11" t="s">
        <v>251</v>
      </c>
      <c r="G39" s="16">
        <v>16.0</v>
      </c>
      <c r="H39" s="11" t="s">
        <v>276</v>
      </c>
      <c r="I39" s="11">
        <f>VLOOKUP($A39, '26 ADP Data'!$C$3:$Q$298, 13, FALSE)</f>
        <v>41</v>
      </c>
      <c r="J39" s="11">
        <f>VLOOKUP($A39, '26 ADP Data'!$C$3:$Q$298, 10, FALSE)</f>
        <v>37</v>
      </c>
      <c r="K39" s="11">
        <v>32.0</v>
      </c>
    </row>
    <row r="40" ht="14.25" hidden="1" customHeight="1">
      <c r="A40" s="11" t="s">
        <v>161</v>
      </c>
      <c r="B40" s="11" t="str">
        <f>VLOOKUP($A40, '26 ADP Data'!$C$3:$R$298, 2, FALSE)</f>
        <v>TB</v>
      </c>
      <c r="C40" s="11" t="str">
        <f>VLOOKUP($A40, '26 ADP Data'!$C$3:$R$298, 16, FALSE)</f>
        <v>WR</v>
      </c>
      <c r="D40" s="11"/>
      <c r="E40" s="16" t="s">
        <v>106</v>
      </c>
      <c r="F40" s="11" t="s">
        <v>251</v>
      </c>
      <c r="G40" s="16">
        <v>17.0</v>
      </c>
      <c r="H40" s="11" t="s">
        <v>276</v>
      </c>
      <c r="I40" s="11">
        <f>VLOOKUP($A40, '26 ADP Data'!$C$3:$Q$298, 13, FALSE)</f>
        <v>36</v>
      </c>
      <c r="J40" s="11">
        <f>VLOOKUP($A40, '26 ADP Data'!$C$3:$Q$298, 10, FALSE)</f>
        <v>42</v>
      </c>
      <c r="K40" s="11">
        <v>51.0</v>
      </c>
    </row>
    <row r="41" ht="14.25" hidden="1" customHeight="1">
      <c r="A41" s="11" t="s">
        <v>150</v>
      </c>
      <c r="B41" s="11" t="str">
        <f>VLOOKUP($A41, '26 ADP Data'!$C$3:$R$298, 2, FALSE)</f>
        <v>BAL</v>
      </c>
      <c r="C41" s="11" t="str">
        <f>VLOOKUP($A41, '26 ADP Data'!$C$3:$R$298, 16, FALSE)</f>
        <v>WR</v>
      </c>
      <c r="D41" s="11"/>
      <c r="E41" s="11"/>
      <c r="F41" s="11" t="s">
        <v>251</v>
      </c>
      <c r="G41" s="32">
        <v>18.0</v>
      </c>
      <c r="H41" s="11"/>
      <c r="I41" s="11">
        <f>VLOOKUP($A41, '26 ADP Data'!$C$3:$Q$298, 13, FALSE)</f>
        <v>31</v>
      </c>
      <c r="J41" s="11">
        <f>VLOOKUP($A41, '26 ADP Data'!$C$3:$Q$298, 10, FALSE)</f>
        <v>32</v>
      </c>
      <c r="K41" s="11">
        <v>42.0</v>
      </c>
    </row>
    <row r="42" ht="14.25" hidden="1" customHeight="1">
      <c r="A42" s="11" t="s">
        <v>156</v>
      </c>
      <c r="B42" s="11" t="str">
        <f>VLOOKUP($A42, '26 ADP Data'!$C$3:$R$298, 2, FALSE)</f>
        <v>NYJ</v>
      </c>
      <c r="C42" s="11" t="str">
        <f>VLOOKUP($A42, '26 ADP Data'!$C$3:$R$298, 16, FALSE)</f>
        <v>WR</v>
      </c>
      <c r="D42" s="11"/>
      <c r="E42" s="16" t="s">
        <v>106</v>
      </c>
      <c r="F42" s="11" t="s">
        <v>251</v>
      </c>
      <c r="G42" s="16">
        <v>19.0</v>
      </c>
      <c r="H42" s="16" t="s">
        <v>145</v>
      </c>
      <c r="I42" s="11">
        <f>VLOOKUP($A42, '26 ADP Data'!$C$3:$Q$298, 13, FALSE)</f>
        <v>39</v>
      </c>
      <c r="J42" s="11">
        <f>VLOOKUP($A42, '26 ADP Data'!$C$3:$Q$298, 10, FALSE)</f>
        <v>39</v>
      </c>
      <c r="K42" s="11">
        <v>35.0</v>
      </c>
    </row>
    <row r="43" ht="14.25" customHeight="1">
      <c r="A43" s="11" t="s">
        <v>170</v>
      </c>
      <c r="B43" s="11" t="str">
        <f>VLOOKUP($A43, '26 ADP Data'!$C$3:$R$298, 2, FALSE)</f>
        <v>CHI</v>
      </c>
      <c r="C43" s="11" t="str">
        <f>VLOOKUP($A43, '26 ADP Data'!$C$3:$R$298, 16, FALSE)</f>
        <v>TE</v>
      </c>
      <c r="D43" s="11"/>
      <c r="E43" s="11"/>
      <c r="F43" s="11" t="s">
        <v>297</v>
      </c>
      <c r="G43" s="11">
        <v>4.0</v>
      </c>
      <c r="H43" s="16" t="s">
        <v>145</v>
      </c>
      <c r="I43" s="11">
        <f>VLOOKUP($A43, '26 ADP Data'!$C$3:$Q$298, 13, FALSE)</f>
        <v>43</v>
      </c>
      <c r="J43" s="11">
        <f>VLOOKUP($A43, '26 ADP Data'!$C$3:$Q$298, 10, FALSE)</f>
        <v>38</v>
      </c>
      <c r="K43" s="11">
        <v>36.0</v>
      </c>
    </row>
    <row r="44" ht="14.25" hidden="1" customHeight="1">
      <c r="A44" s="11" t="s">
        <v>175</v>
      </c>
      <c r="B44" s="11" t="str">
        <f>VLOOKUP($A44, '26 ADP Data'!$C$3:$R$298, 2, FALSE)</f>
        <v>DEN</v>
      </c>
      <c r="C44" s="11" t="str">
        <f>VLOOKUP($A44, '26 ADP Data'!$C$3:$R$298, 16, FALSE)</f>
        <v>WR</v>
      </c>
      <c r="D44" s="11"/>
      <c r="E44" s="11"/>
      <c r="F44" s="11" t="s">
        <v>304</v>
      </c>
      <c r="G44" s="16">
        <v>20.0</v>
      </c>
      <c r="H44" s="11"/>
      <c r="I44" s="11">
        <f>VLOOKUP($A44, '26 ADP Data'!$C$3:$Q$298, 13, FALSE)</f>
        <v>38</v>
      </c>
      <c r="J44" s="11">
        <f>VLOOKUP($A44, '26 ADP Data'!$C$3:$Q$298, 10, FALSE)</f>
        <v>33</v>
      </c>
      <c r="K44" s="11">
        <v>45.0</v>
      </c>
    </row>
    <row r="45" ht="14.25" hidden="1" customHeight="1">
      <c r="A45" s="11" t="s">
        <v>194</v>
      </c>
      <c r="B45" s="11" t="str">
        <f>VLOOKUP($A45, '26 ADP Data'!$C$3:$R$298, 2, FALSE)</f>
        <v>CLE</v>
      </c>
      <c r="C45" s="11" t="str">
        <f>VLOOKUP($A45, '26 ADP Data'!$C$3:$R$298, 16, FALSE)</f>
        <v>RB</v>
      </c>
      <c r="D45" s="11"/>
      <c r="E45" s="11"/>
      <c r="F45" s="16" t="s">
        <v>271</v>
      </c>
      <c r="G45" s="16">
        <v>19.0</v>
      </c>
      <c r="H45" s="11" t="s">
        <v>311</v>
      </c>
      <c r="I45" s="11">
        <f>VLOOKUP($A45, '26 ADP Data'!$C$3:$Q$298, 13, FALSE)</f>
        <v>55</v>
      </c>
      <c r="J45" s="11">
        <f>VLOOKUP($A45, '26 ADP Data'!$C$3:$Q$298, 10, FALSE)</f>
        <v>53</v>
      </c>
      <c r="K45" s="11">
        <v>60.0</v>
      </c>
    </row>
    <row r="46" ht="14.25" hidden="1" customHeight="1">
      <c r="A46" s="11" t="s">
        <v>197</v>
      </c>
      <c r="B46" s="11" t="str">
        <f>VLOOKUP($A46, '26 ADP Data'!$C$3:$R$298, 2, FALSE)</f>
        <v>LAR</v>
      </c>
      <c r="C46" s="11" t="str">
        <f>VLOOKUP($A46, '26 ADP Data'!$C$3:$R$298, 16, FALSE)</f>
        <v>WR</v>
      </c>
      <c r="D46" s="11"/>
      <c r="E46" s="16" t="s">
        <v>106</v>
      </c>
      <c r="F46" s="16" t="s">
        <v>251</v>
      </c>
      <c r="G46" s="16">
        <v>21.0</v>
      </c>
      <c r="H46" s="11"/>
      <c r="I46" s="11">
        <f>VLOOKUP($A46, '26 ADP Data'!$C$3:$Q$298, 13, FALSE)</f>
        <v>51</v>
      </c>
      <c r="J46" s="11">
        <f>VLOOKUP($A46, '26 ADP Data'!$C$3:$Q$298, 10, FALSE)</f>
        <v>55</v>
      </c>
      <c r="K46" s="11">
        <v>44.0</v>
      </c>
    </row>
    <row r="47" ht="14.25" hidden="1" customHeight="1">
      <c r="A47" s="11" t="s">
        <v>191</v>
      </c>
      <c r="B47" s="11" t="str">
        <f>VLOOKUP($A47, '26 ADP Data'!$C$3:$R$298, 2, FALSE)</f>
        <v>WAS</v>
      </c>
      <c r="C47" s="11" t="str">
        <f>VLOOKUP($A47, '26 ADP Data'!$C$3:$R$298, 16, FALSE)</f>
        <v>WR</v>
      </c>
      <c r="D47" s="11"/>
      <c r="E47" s="11"/>
      <c r="F47" s="11" t="s">
        <v>304</v>
      </c>
      <c r="G47" s="16">
        <v>22.0</v>
      </c>
      <c r="H47" s="11"/>
      <c r="I47" s="11">
        <f>VLOOKUP($A47, '26 ADP Data'!$C$3:$Q$298, 13, FALSE)</f>
        <v>48</v>
      </c>
      <c r="J47" s="11">
        <f>VLOOKUP($A47, '26 ADP Data'!$C$3:$Q$298, 10, FALSE)</f>
        <v>46</v>
      </c>
      <c r="K47" s="11">
        <v>48.0</v>
      </c>
    </row>
    <row r="48" ht="14.25" hidden="1" customHeight="1">
      <c r="A48" s="11" t="s">
        <v>230</v>
      </c>
      <c r="B48" s="11" t="str">
        <f>VLOOKUP($A48, '26 ADP Data'!$C$3:$R$298, 2, FALSE)</f>
        <v>TEN</v>
      </c>
      <c r="C48" s="11" t="str">
        <f>VLOOKUP($A48, '26 ADP Data'!$C$3:$R$298, 16, FALSE)</f>
        <v>WR</v>
      </c>
      <c r="D48" s="11"/>
      <c r="E48" s="16" t="s">
        <v>106</v>
      </c>
      <c r="F48" s="11" t="s">
        <v>304</v>
      </c>
      <c r="G48" s="16">
        <v>23.0</v>
      </c>
      <c r="H48" s="16" t="s">
        <v>324</v>
      </c>
      <c r="I48" s="11">
        <f>VLOOKUP($A48, '26 ADP Data'!$C$3:$Q$298, 13, FALSE)</f>
        <v>62</v>
      </c>
      <c r="J48" s="11">
        <f>VLOOKUP($A48, '26 ADP Data'!$C$3:$Q$298, 10, FALSE)</f>
        <v>74</v>
      </c>
      <c r="K48" s="11">
        <v>67.0</v>
      </c>
    </row>
    <row r="49" ht="14.25" hidden="1" customHeight="1">
      <c r="A49" s="11" t="s">
        <v>173</v>
      </c>
      <c r="B49" s="11" t="str">
        <f>VLOOKUP($A49, '26 ADP Data'!$C$3:$R$298, 2, FALSE)</f>
        <v>LAC</v>
      </c>
      <c r="C49" s="11" t="str">
        <f>VLOOKUP($A49, '26 ADP Data'!$C$3:$R$298, 16, FALSE)</f>
        <v>WR</v>
      </c>
      <c r="D49" s="11"/>
      <c r="E49" s="16" t="s">
        <v>106</v>
      </c>
      <c r="F49" s="11" t="s">
        <v>304</v>
      </c>
      <c r="G49" s="16">
        <v>24.0</v>
      </c>
      <c r="H49" s="16" t="s">
        <v>145</v>
      </c>
      <c r="I49" s="11">
        <f>VLOOKUP($A49, '26 ADP Data'!$C$3:$Q$298, 13, FALSE)</f>
        <v>34</v>
      </c>
      <c r="J49" s="11">
        <f>VLOOKUP($A49, '26 ADP Data'!$C$3:$Q$298, 10, FALSE)</f>
        <v>40</v>
      </c>
      <c r="K49" s="11">
        <v>40.0</v>
      </c>
    </row>
    <row r="50" ht="14.25" hidden="1" customHeight="1">
      <c r="A50" s="11" t="s">
        <v>183</v>
      </c>
      <c r="B50" s="11" t="str">
        <f>VLOOKUP($A50, '26 ADP Data'!$C$3:$R$298, 2, FALSE)</f>
        <v>BAL</v>
      </c>
      <c r="C50" s="11" t="str">
        <f>VLOOKUP($A50, '26 ADP Data'!$C$3:$R$298, 16, FALSE)</f>
        <v>QB</v>
      </c>
      <c r="D50" s="11"/>
      <c r="E50" s="16" t="s">
        <v>106</v>
      </c>
      <c r="F50" s="11" t="s">
        <v>335</v>
      </c>
      <c r="G50" s="11">
        <v>2.0</v>
      </c>
      <c r="H50" s="11"/>
      <c r="I50" s="11">
        <f>VLOOKUP($A50, '26 ADP Data'!$C$3:$Q$298, 13, FALSE)</f>
        <v>57</v>
      </c>
      <c r="J50" s="11">
        <f>VLOOKUP($A50, '26 ADP Data'!$C$3:$Q$298, 10, FALSE)</f>
        <v>50</v>
      </c>
      <c r="K50" s="11">
        <v>33.0</v>
      </c>
    </row>
    <row r="51" ht="14.25" hidden="1" customHeight="1">
      <c r="A51" s="11" t="s">
        <v>178</v>
      </c>
      <c r="B51" s="11" t="str">
        <f>VLOOKUP($A51, '26 ADP Data'!$C$3:$R$298, 2, FALSE)</f>
        <v>NYG</v>
      </c>
      <c r="C51" s="11" t="str">
        <f>VLOOKUP($A51, '26 ADP Data'!$C$3:$R$298, 16, FALSE)</f>
        <v>RB</v>
      </c>
      <c r="D51" s="11"/>
      <c r="E51" s="11"/>
      <c r="F51" s="16" t="s">
        <v>271</v>
      </c>
      <c r="G51" s="16">
        <v>20.0</v>
      </c>
      <c r="H51" s="11" t="s">
        <v>340</v>
      </c>
      <c r="I51" s="11">
        <f>VLOOKUP($A51, '26 ADP Data'!$C$3:$Q$298, 13, FALSE)</f>
        <v>46</v>
      </c>
      <c r="J51" s="11">
        <f>VLOOKUP($A51, '26 ADP Data'!$C$3:$Q$298, 10, FALSE)</f>
        <v>49</v>
      </c>
      <c r="K51" s="11">
        <v>50.0</v>
      </c>
    </row>
    <row r="52" ht="14.25" hidden="1" customHeight="1">
      <c r="A52" s="11" t="s">
        <v>181</v>
      </c>
      <c r="B52" s="11" t="str">
        <f>VLOOKUP($A52, '26 ADP Data'!$C$3:$R$298, 2, FALSE)</f>
        <v>CHI</v>
      </c>
      <c r="C52" s="11" t="str">
        <f>VLOOKUP($A52, '26 ADP Data'!$C$3:$R$298, 16, FALSE)</f>
        <v>RB</v>
      </c>
      <c r="D52" s="11"/>
      <c r="E52" s="11"/>
      <c r="F52" s="16" t="s">
        <v>271</v>
      </c>
      <c r="G52" s="16">
        <v>21.0</v>
      </c>
      <c r="H52" s="11"/>
      <c r="I52" s="11">
        <f>VLOOKUP($A52, '26 ADP Data'!$C$3:$Q$298, 13, FALSE)</f>
        <v>44</v>
      </c>
      <c r="J52" s="11">
        <f>VLOOKUP($A52, '26 ADP Data'!$C$3:$Q$298, 10, FALSE)</f>
        <v>44</v>
      </c>
      <c r="K52" s="11">
        <v>54.0</v>
      </c>
    </row>
    <row r="53" ht="14.25" hidden="1" customHeight="1">
      <c r="A53" s="11" t="s">
        <v>199</v>
      </c>
      <c r="B53" s="11" t="str">
        <f>VLOOKUP($A53, '26 ADP Data'!$C$3:$R$298, 2, FALSE)</f>
        <v>TB</v>
      </c>
      <c r="C53" s="11" t="str">
        <f>VLOOKUP($A53, '26 ADP Data'!$C$3:$R$298, 16, FALSE)</f>
        <v>RB</v>
      </c>
      <c r="D53" s="11"/>
      <c r="E53" s="16"/>
      <c r="F53" s="16" t="s">
        <v>271</v>
      </c>
      <c r="G53" s="16">
        <v>22.0</v>
      </c>
      <c r="H53" s="16" t="s">
        <v>351</v>
      </c>
      <c r="I53" s="11">
        <f>VLOOKUP($A53, '26 ADP Data'!$C$3:$Q$298, 13, FALSE)</f>
        <v>54</v>
      </c>
      <c r="J53" s="11">
        <f>VLOOKUP($A53, '26 ADP Data'!$C$3:$Q$298, 10, FALSE)</f>
        <v>58</v>
      </c>
      <c r="K53" s="11">
        <v>47.0</v>
      </c>
    </row>
    <row r="54" ht="14.25" customHeight="1">
      <c r="A54" s="11" t="s">
        <v>201</v>
      </c>
      <c r="B54" s="11" t="str">
        <f>VLOOKUP($A54, '26 ADP Data'!$C$3:$R$298, 2, FALSE)</f>
        <v>IND</v>
      </c>
      <c r="C54" s="11" t="str">
        <f>VLOOKUP($A54, '26 ADP Data'!$C$3:$R$298, 16, FALSE)</f>
        <v>TE</v>
      </c>
      <c r="D54" s="11"/>
      <c r="E54" s="11"/>
      <c r="F54" s="11" t="s">
        <v>297</v>
      </c>
      <c r="G54" s="11">
        <v>3.0</v>
      </c>
      <c r="H54" s="11"/>
      <c r="I54" s="11">
        <f>VLOOKUP($A54, '26 ADP Data'!$C$3:$Q$298, 13, FALSE)</f>
        <v>63</v>
      </c>
      <c r="J54" s="11">
        <f>VLOOKUP($A54, '26 ADP Data'!$C$3:$Q$298, 10, FALSE)</f>
        <v>47</v>
      </c>
      <c r="K54" s="11">
        <v>57.0</v>
      </c>
    </row>
    <row r="55" ht="14.25" hidden="1" customHeight="1">
      <c r="A55" s="11" t="s">
        <v>214</v>
      </c>
      <c r="B55" s="11" t="str">
        <f>VLOOKUP($A55, '26 ADP Data'!$C$3:$R$298, 2, FALSE)</f>
        <v>SEA</v>
      </c>
      <c r="C55" s="11" t="str">
        <f>VLOOKUP($A55, '26 ADP Data'!$C$3:$R$298, 16, FALSE)</f>
        <v>RB</v>
      </c>
      <c r="D55" s="11"/>
      <c r="E55" s="28" t="s">
        <v>106</v>
      </c>
      <c r="F55" s="16" t="s">
        <v>271</v>
      </c>
      <c r="G55" s="16">
        <v>23.0</v>
      </c>
      <c r="H55" s="11" t="s">
        <v>362</v>
      </c>
      <c r="I55" s="11">
        <f>VLOOKUP($A55, '26 ADP Data'!$C$3:$Q$298, 13, FALSE)</f>
        <v>60</v>
      </c>
      <c r="J55" s="11">
        <f>VLOOKUP($A55, '26 ADP Data'!$C$3:$Q$298, 10, FALSE)</f>
        <v>62</v>
      </c>
      <c r="K55" s="11">
        <v>68.0</v>
      </c>
    </row>
    <row r="56" ht="14.25" hidden="1" customHeight="1">
      <c r="A56" s="11" t="s">
        <v>218</v>
      </c>
      <c r="B56" s="11" t="str">
        <f>VLOOKUP($A56, '26 ADP Data'!$C$3:$R$298, 2, FALSE)</f>
        <v>GB</v>
      </c>
      <c r="C56" s="11" t="str">
        <f>VLOOKUP($A56, '26 ADP Data'!$C$3:$R$298, 16, FALSE)</f>
        <v>WR</v>
      </c>
      <c r="D56" s="11"/>
      <c r="E56" s="16" t="s">
        <v>106</v>
      </c>
      <c r="F56" s="16" t="s">
        <v>367</v>
      </c>
      <c r="G56" s="16">
        <v>25.0</v>
      </c>
      <c r="H56" s="16" t="s">
        <v>145</v>
      </c>
      <c r="I56" s="11">
        <f>VLOOKUP($A56, '26 ADP Data'!$C$3:$Q$298, 13, FALSE)</f>
        <v>58</v>
      </c>
      <c r="J56" s="11">
        <f>VLOOKUP($A56, '26 ADP Data'!$C$3:$Q$298, 10, FALSE)</f>
        <v>54</v>
      </c>
      <c r="K56" s="11">
        <v>59.0</v>
      </c>
    </row>
    <row r="57" ht="14.25" hidden="1" customHeight="1">
      <c r="A57" s="11" t="s">
        <v>205</v>
      </c>
      <c r="B57" s="11" t="str">
        <f>VLOOKUP($A57, '26 ADP Data'!$C$3:$R$298, 2, FALSE)</f>
        <v>JAX</v>
      </c>
      <c r="C57" s="11" t="str">
        <f>VLOOKUP($A57, '26 ADP Data'!$C$3:$R$298, 16, FALSE)</f>
        <v>RB</v>
      </c>
      <c r="D57" s="11"/>
      <c r="E57" s="11"/>
      <c r="F57" s="11" t="s">
        <v>372</v>
      </c>
      <c r="G57" s="16">
        <v>24.0</v>
      </c>
      <c r="H57" s="11" t="s">
        <v>340</v>
      </c>
      <c r="I57" s="11">
        <f>VLOOKUP($A57, '26 ADP Data'!$C$3:$Q$298, 13, FALSE)</f>
        <v>49</v>
      </c>
      <c r="J57" s="11">
        <f>VLOOKUP($A57, '26 ADP Data'!$C$3:$Q$298, 10, FALSE)</f>
        <v>59</v>
      </c>
      <c r="K57" s="11">
        <v>63.0</v>
      </c>
    </row>
    <row r="58" ht="14.25" hidden="1" customHeight="1">
      <c r="A58" s="11" t="s">
        <v>208</v>
      </c>
      <c r="B58" s="11" t="str">
        <f>VLOOKUP($A58, '26 ADP Data'!$C$3:$R$298, 2, FALSE)</f>
        <v>CHI</v>
      </c>
      <c r="C58" s="11" t="str">
        <f>VLOOKUP($A58, '26 ADP Data'!$C$3:$R$298, 16, FALSE)</f>
        <v>WR</v>
      </c>
      <c r="D58" s="11"/>
      <c r="E58" s="11"/>
      <c r="F58" s="16" t="s">
        <v>367</v>
      </c>
      <c r="G58" s="16">
        <v>26.0</v>
      </c>
      <c r="H58" s="11"/>
      <c r="I58" s="11">
        <f>VLOOKUP($A58, '26 ADP Data'!$C$3:$Q$298, 13, FALSE)</f>
        <v>59</v>
      </c>
      <c r="J58" s="11">
        <f>VLOOKUP($A58, '26 ADP Data'!$C$3:$Q$298, 10, FALSE)</f>
        <v>51</v>
      </c>
      <c r="K58" s="11">
        <v>58.0</v>
      </c>
    </row>
    <row r="59" ht="14.25" hidden="1" customHeight="1">
      <c r="A59" s="11" t="s">
        <v>210</v>
      </c>
      <c r="B59" s="11" t="str">
        <f>VLOOKUP($A59, '26 ADP Data'!$C$3:$R$298, 2, FALSE)</f>
        <v>NE</v>
      </c>
      <c r="C59" s="11" t="str">
        <f>VLOOKUP($A59, '26 ADP Data'!$C$3:$R$298, 16, FALSE)</f>
        <v>QB</v>
      </c>
      <c r="D59" s="11"/>
      <c r="E59" s="16" t="s">
        <v>106</v>
      </c>
      <c r="F59" s="11" t="s">
        <v>383</v>
      </c>
      <c r="G59" s="11">
        <v>5.0</v>
      </c>
      <c r="H59" s="11"/>
      <c r="I59" s="11">
        <f>VLOOKUP($A59, '26 ADP Data'!$C$3:$Q$298, 13, FALSE)</f>
        <v>66</v>
      </c>
      <c r="J59" s="11">
        <f>VLOOKUP($A59, '26 ADP Data'!$C$3:$Q$298, 10, FALSE)</f>
        <v>61</v>
      </c>
      <c r="K59" s="11">
        <v>43.0</v>
      </c>
    </row>
    <row r="60" ht="14.25" hidden="1" customHeight="1">
      <c r="A60" s="11" t="s">
        <v>220</v>
      </c>
      <c r="B60" s="11" t="str">
        <f>VLOOKUP($A60, '26 ADP Data'!$C$3:$R$298, 2, FALSE)</f>
        <v>SF</v>
      </c>
      <c r="C60" s="11" t="str">
        <f>VLOOKUP($A60, '26 ADP Data'!$C$3:$R$298, 16, FALSE)</f>
        <v>WR</v>
      </c>
      <c r="D60" s="11"/>
      <c r="E60" s="11"/>
      <c r="F60" s="16" t="s">
        <v>367</v>
      </c>
      <c r="G60" s="16">
        <v>27.0</v>
      </c>
      <c r="H60" s="11"/>
      <c r="I60" s="11">
        <f>VLOOKUP($A60, '26 ADP Data'!$C$3:$Q$298, 13, FALSE)</f>
        <v>52</v>
      </c>
      <c r="J60" s="11">
        <f>VLOOKUP($A60, '26 ADP Data'!$C$3:$Q$298, 10, FALSE)</f>
        <v>60</v>
      </c>
      <c r="K60" s="11">
        <v>66.0</v>
      </c>
    </row>
    <row r="61" ht="14.25" hidden="1" customHeight="1">
      <c r="A61" s="11" t="s">
        <v>212</v>
      </c>
      <c r="B61" s="11" t="str">
        <f>VLOOKUP($A61, '26 ADP Data'!$C$3:$R$298, 2, FALSE)</f>
        <v>CIN</v>
      </c>
      <c r="C61" s="11" t="str">
        <f>VLOOKUP($A61, '26 ADP Data'!$C$3:$R$298, 16, FALSE)</f>
        <v>QB</v>
      </c>
      <c r="D61" s="11"/>
      <c r="E61" s="16" t="s">
        <v>106</v>
      </c>
      <c r="F61" s="11" t="s">
        <v>383</v>
      </c>
      <c r="G61" s="11">
        <v>3.0</v>
      </c>
      <c r="H61" s="11"/>
      <c r="I61" s="11">
        <f>VLOOKUP($A61, '26 ADP Data'!$C$3:$Q$298, 13, FALSE)</f>
        <v>68</v>
      </c>
      <c r="J61" s="11">
        <f>VLOOKUP($A61, '26 ADP Data'!$C$3:$Q$298, 10, FALSE)</f>
        <v>64</v>
      </c>
      <c r="K61" s="11">
        <v>49.0</v>
      </c>
    </row>
    <row r="62" ht="14.25" hidden="1" customHeight="1">
      <c r="A62" s="11" t="s">
        <v>185</v>
      </c>
      <c r="B62" s="11" t="str">
        <f>VLOOKUP($A62, '26 ADP Data'!$C$3:$R$298, 2, FALSE)</f>
        <v>HOU</v>
      </c>
      <c r="C62" s="11" t="str">
        <f>VLOOKUP($A62, '26 ADP Data'!$C$3:$R$298, 16, FALSE)</f>
        <v>RB</v>
      </c>
      <c r="D62" s="11"/>
      <c r="E62" s="11"/>
      <c r="F62" s="11" t="s">
        <v>372</v>
      </c>
      <c r="G62" s="16">
        <v>25.0</v>
      </c>
      <c r="H62" s="11"/>
      <c r="I62" s="11">
        <f>VLOOKUP($A62, '26 ADP Data'!$C$3:$Q$298, 13, FALSE)</f>
        <v>47</v>
      </c>
      <c r="J62" s="11">
        <f>VLOOKUP($A62, '26 ADP Data'!$C$3:$Q$298, 10, FALSE)</f>
        <v>56</v>
      </c>
      <c r="K62" s="11">
        <v>65.0</v>
      </c>
    </row>
    <row r="63" ht="14.25" hidden="1" customHeight="1">
      <c r="A63" s="11" t="s">
        <v>203</v>
      </c>
      <c r="B63" s="11" t="str">
        <f>VLOOKUP($A63, '26 ADP Data'!$C$3:$R$298, 2, FALSE)</f>
        <v>DET</v>
      </c>
      <c r="C63" s="11" t="str">
        <f>VLOOKUP($A63, '26 ADP Data'!$C$3:$R$298, 16, FALSE)</f>
        <v>WR</v>
      </c>
      <c r="D63" s="11"/>
      <c r="E63" s="11"/>
      <c r="F63" s="16" t="s">
        <v>367</v>
      </c>
      <c r="G63" s="16">
        <v>28.0</v>
      </c>
      <c r="H63" s="11"/>
      <c r="I63" s="11">
        <f>VLOOKUP($A63, '26 ADP Data'!$C$3:$Q$298, 13, FALSE)</f>
        <v>50</v>
      </c>
      <c r="J63" s="11">
        <f>VLOOKUP($A63, '26 ADP Data'!$C$3:$Q$298, 10, FALSE)</f>
        <v>52</v>
      </c>
      <c r="K63" s="11">
        <v>52.0</v>
      </c>
    </row>
    <row r="64" ht="14.25" hidden="1" customHeight="1">
      <c r="A64" s="11" t="s">
        <v>250</v>
      </c>
      <c r="B64" s="11" t="str">
        <f>VLOOKUP($A64, '26 ADP Data'!$C$3:$R$298, 2, FALSE)</f>
        <v>PIT</v>
      </c>
      <c r="C64" s="11" t="str">
        <f>VLOOKUP($A64, '26 ADP Data'!$C$3:$R$298, 16, FALSE)</f>
        <v>WR</v>
      </c>
      <c r="D64" s="11"/>
      <c r="E64" s="11"/>
      <c r="F64" s="16" t="s">
        <v>367</v>
      </c>
      <c r="G64" s="16">
        <v>29.0</v>
      </c>
      <c r="H64" s="11"/>
      <c r="I64" s="11">
        <f>VLOOKUP($A64, '26 ADP Data'!$C$3:$Q$298, 13, FALSE)</f>
        <v>73</v>
      </c>
      <c r="J64" s="11">
        <f>VLOOKUP($A64, '26 ADP Data'!$C$3:$Q$298, 10, FALSE)</f>
        <v>78</v>
      </c>
      <c r="K64" s="11">
        <v>82.0</v>
      </c>
    </row>
    <row r="65" ht="14.25" hidden="1" customHeight="1">
      <c r="A65" s="11" t="s">
        <v>189</v>
      </c>
      <c r="B65" s="11" t="str">
        <f>VLOOKUP($A65, '26 ADP Data'!$C$3:$R$298, 2, FALSE)</f>
        <v>CHI</v>
      </c>
      <c r="C65" s="11" t="str">
        <f>VLOOKUP($A65, '26 ADP Data'!$C$3:$R$298, 16, FALSE)</f>
        <v>WR</v>
      </c>
      <c r="D65" s="11"/>
      <c r="E65" s="11"/>
      <c r="F65" s="16" t="s">
        <v>367</v>
      </c>
      <c r="G65" s="16">
        <v>30.0</v>
      </c>
      <c r="H65" s="11" t="s">
        <v>414</v>
      </c>
      <c r="I65" s="11">
        <f>VLOOKUP($A65, '26 ADP Data'!$C$3:$Q$298, 13, FALSE)</f>
        <v>45</v>
      </c>
      <c r="J65" s="11">
        <f>VLOOKUP($A65, '26 ADP Data'!$C$3:$Q$298, 10, FALSE)</f>
        <v>45</v>
      </c>
      <c r="K65" s="11">
        <v>46.0</v>
      </c>
    </row>
    <row r="66" ht="14.25" hidden="1" customHeight="1">
      <c r="A66" s="11" t="s">
        <v>224</v>
      </c>
      <c r="B66" s="11" t="str">
        <f>VLOOKUP($A66, '26 ADP Data'!$C$3:$R$298, 2, FALSE)</f>
        <v>WAS</v>
      </c>
      <c r="C66" s="11" t="str">
        <f>VLOOKUP($A66, '26 ADP Data'!$C$3:$R$298, 16, FALSE)</f>
        <v>QB</v>
      </c>
      <c r="D66" s="11"/>
      <c r="E66" s="16" t="s">
        <v>106</v>
      </c>
      <c r="F66" s="11" t="s">
        <v>383</v>
      </c>
      <c r="G66" s="11">
        <v>4.0</v>
      </c>
      <c r="H66" s="11"/>
      <c r="I66" s="11">
        <f>VLOOKUP($A66, '26 ADP Data'!$C$3:$Q$298, 13, FALSE)</f>
        <v>69</v>
      </c>
      <c r="J66" s="11">
        <f>VLOOKUP($A66, '26 ADP Data'!$C$3:$Q$298, 10, FALSE)</f>
        <v>63</v>
      </c>
      <c r="K66" s="11">
        <v>53.0</v>
      </c>
    </row>
    <row r="67" ht="14.25" hidden="1" customHeight="1">
      <c r="A67" s="11" t="s">
        <v>216</v>
      </c>
      <c r="B67" s="11" t="str">
        <f>VLOOKUP($A67, '26 ADP Data'!$C$3:$R$298, 2, FALSE)</f>
        <v>NE</v>
      </c>
      <c r="C67" s="11" t="str">
        <f>VLOOKUP($A67, '26 ADP Data'!$C$3:$R$298, 16, FALSE)</f>
        <v>RB</v>
      </c>
      <c r="D67" s="11"/>
      <c r="E67" s="34"/>
      <c r="F67" s="11" t="s">
        <v>372</v>
      </c>
      <c r="G67" s="16">
        <v>26.0</v>
      </c>
      <c r="H67" s="11" t="s">
        <v>311</v>
      </c>
      <c r="I67" s="11">
        <f>VLOOKUP($A67, '26 ADP Data'!$C$3:$Q$298, 13, FALSE)</f>
        <v>61</v>
      </c>
      <c r="J67" s="11">
        <f>VLOOKUP($A67, '26 ADP Data'!$C$3:$Q$298, 10, FALSE)</f>
        <v>69</v>
      </c>
      <c r="K67" s="11">
        <v>56.0</v>
      </c>
    </row>
    <row r="68" ht="14.25" hidden="1" customHeight="1">
      <c r="A68" s="11" t="s">
        <v>290</v>
      </c>
      <c r="B68" s="11" t="str">
        <f>VLOOKUP($A68, '26 ADP Data'!$C$3:$R$298, 2, FALSE)</f>
        <v>IND</v>
      </c>
      <c r="C68" s="11" t="str">
        <f>VLOOKUP($A68, '26 ADP Data'!$C$3:$R$298, 16, FALSE)</f>
        <v>WR</v>
      </c>
      <c r="D68" s="11"/>
      <c r="E68" s="16" t="s">
        <v>106</v>
      </c>
      <c r="F68" s="16" t="s">
        <v>367</v>
      </c>
      <c r="G68" s="16">
        <v>31.0</v>
      </c>
      <c r="H68" s="16" t="s">
        <v>429</v>
      </c>
      <c r="I68" s="11">
        <f>VLOOKUP($A68, '26 ADP Data'!$C$3:$Q$298, 13, FALSE)</f>
        <v>94</v>
      </c>
      <c r="J68" s="11">
        <f>VLOOKUP($A68, '26 ADP Data'!$C$3:$Q$298, 10, FALSE)</f>
        <v>97</v>
      </c>
      <c r="K68" s="11">
        <v>75.0</v>
      </c>
    </row>
    <row r="69" ht="14.25" hidden="1" customHeight="1">
      <c r="A69" s="11" t="s">
        <v>234</v>
      </c>
      <c r="B69" s="11" t="str">
        <f>VLOOKUP($A69, '26 ADP Data'!$C$3:$R$298, 2, FALSE)</f>
        <v>PHI</v>
      </c>
      <c r="C69" s="11" t="str">
        <f>VLOOKUP($A69, '26 ADP Data'!$C$3:$R$298, 16, FALSE)</f>
        <v>QB</v>
      </c>
      <c r="D69" s="11"/>
      <c r="E69" s="16" t="s">
        <v>106</v>
      </c>
      <c r="F69" s="11" t="s">
        <v>383</v>
      </c>
      <c r="G69" s="11">
        <v>6.0</v>
      </c>
      <c r="H69" s="11"/>
      <c r="I69" s="11">
        <f>VLOOKUP($A69, '26 ADP Data'!$C$3:$Q$298, 13, FALSE)</f>
        <v>71</v>
      </c>
      <c r="J69" s="11">
        <f>VLOOKUP($A69, '26 ADP Data'!$C$3:$Q$298, 10, FALSE)</f>
        <v>66</v>
      </c>
      <c r="K69" s="11">
        <v>62.0</v>
      </c>
    </row>
    <row r="70" ht="14.25" hidden="1" customHeight="1">
      <c r="A70" s="11" t="s">
        <v>263</v>
      </c>
      <c r="B70" s="11" t="str">
        <f>VLOOKUP($A70, '26 ADP Data'!$C$3:$R$298, 2, FALSE)</f>
        <v>PIT</v>
      </c>
      <c r="C70" s="11" t="str">
        <f>VLOOKUP($A70, '26 ADP Data'!$C$3:$R$298, 16, FALSE)</f>
        <v>RB</v>
      </c>
      <c r="D70" s="11"/>
      <c r="E70" s="11"/>
      <c r="F70" s="16" t="s">
        <v>440</v>
      </c>
      <c r="G70" s="16">
        <v>27.0</v>
      </c>
      <c r="H70" s="11"/>
      <c r="I70" s="11">
        <f>VLOOKUP($A70, '26 ADP Data'!$C$3:$Q$298, 13, FALSE)</f>
        <v>83</v>
      </c>
      <c r="J70" s="11">
        <f>VLOOKUP($A70, '26 ADP Data'!$C$3:$Q$298, 10, FALSE)</f>
        <v>83</v>
      </c>
      <c r="K70" s="11">
        <v>74.0</v>
      </c>
    </row>
    <row r="71" ht="14.25" hidden="1" customHeight="1">
      <c r="A71" s="11" t="s">
        <v>187</v>
      </c>
      <c r="B71" s="11" t="str">
        <f>VLOOKUP($A71, '26 ADP Data'!$C$3:$R$298, 2, FALSE)</f>
        <v>BUF</v>
      </c>
      <c r="C71" s="11" t="str">
        <f>VLOOKUP($A71, '26 ADP Data'!$C$3:$R$298, 16, FALSE)</f>
        <v>WR</v>
      </c>
      <c r="D71" s="11"/>
      <c r="E71" s="11"/>
      <c r="F71" s="16" t="s">
        <v>367</v>
      </c>
      <c r="G71" s="16">
        <v>32.0</v>
      </c>
      <c r="H71" s="11"/>
      <c r="I71" s="11">
        <f>VLOOKUP($A71, '26 ADP Data'!$C$3:$Q$298, 13, FALSE)</f>
        <v>53</v>
      </c>
      <c r="J71" s="11">
        <f>VLOOKUP($A71, '26 ADP Data'!$C$3:$Q$298, 10, FALSE)</f>
        <v>48</v>
      </c>
      <c r="K71" s="11">
        <v>55.0</v>
      </c>
    </row>
    <row r="72" ht="14.25" hidden="1" customHeight="1">
      <c r="A72" s="11" t="s">
        <v>339</v>
      </c>
      <c r="B72" s="11" t="str">
        <f>VLOOKUP($A72, '26 ADP Data'!$C$3:$R$298, 2, FALSE)</f>
        <v>SF</v>
      </c>
      <c r="C72" s="11" t="str">
        <f>VLOOKUP($A72, '26 ADP Data'!$C$3:$R$298, 16, FALSE)</f>
        <v>WR</v>
      </c>
      <c r="D72" s="11"/>
      <c r="E72" s="16" t="s">
        <v>106</v>
      </c>
      <c r="F72" s="16" t="s">
        <v>367</v>
      </c>
      <c r="G72" s="16">
        <v>33.0</v>
      </c>
      <c r="H72" s="16" t="s">
        <v>450</v>
      </c>
      <c r="I72" s="11">
        <f>VLOOKUP($A72, '26 ADP Data'!$C$3:$Q$298, 13, FALSE)</f>
        <v>110</v>
      </c>
      <c r="J72" s="11">
        <f>VLOOKUP($A72, '26 ADP Data'!$C$3:$Q$298, 10, FALSE)</f>
        <v>89</v>
      </c>
      <c r="K72" s="11" t="s">
        <v>452</v>
      </c>
    </row>
    <row r="73" ht="14.25" hidden="1" customHeight="1">
      <c r="A73" s="11" t="s">
        <v>255</v>
      </c>
      <c r="B73" s="11" t="str">
        <f>VLOOKUP($A73, '26 ADP Data'!$C$3:$R$298, 2, FALSE)</f>
        <v>TEN</v>
      </c>
      <c r="C73" s="11" t="str">
        <f>VLOOKUP($A73, '26 ADP Data'!$C$3:$R$298, 16, FALSE)</f>
        <v>RB</v>
      </c>
      <c r="D73" s="11"/>
      <c r="E73" s="11"/>
      <c r="F73" s="16" t="s">
        <v>440</v>
      </c>
      <c r="G73" s="16">
        <v>28.0</v>
      </c>
      <c r="H73" s="11"/>
      <c r="I73" s="11">
        <f>VLOOKUP($A73, '26 ADP Data'!$C$3:$Q$298, 13, FALSE)</f>
        <v>77</v>
      </c>
      <c r="J73" s="11">
        <f>VLOOKUP($A73, '26 ADP Data'!$C$3:$Q$298, 10, FALSE)</f>
        <v>79</v>
      </c>
      <c r="K73" s="11">
        <v>88.0</v>
      </c>
    </row>
    <row r="74" ht="14.25" hidden="1" customHeight="1">
      <c r="A74" s="11" t="s">
        <v>244</v>
      </c>
      <c r="B74" s="11" t="str">
        <f>VLOOKUP($A74, '26 ADP Data'!$C$3:$R$298, 2, FALSE)</f>
        <v>CHI</v>
      </c>
      <c r="C74" s="11" t="str">
        <f>VLOOKUP($A74, '26 ADP Data'!$C$3:$R$298, 16, FALSE)</f>
        <v>QB</v>
      </c>
      <c r="D74" s="11"/>
      <c r="E74" s="11"/>
      <c r="F74" s="11" t="s">
        <v>461</v>
      </c>
      <c r="G74" s="11">
        <v>7.0</v>
      </c>
      <c r="H74" s="35" t="s">
        <v>145</v>
      </c>
      <c r="I74" s="11">
        <f>VLOOKUP($A74, '26 ADP Data'!$C$3:$Q$298, 13, FALSE)</f>
        <v>72</v>
      </c>
      <c r="J74" s="11">
        <f>VLOOKUP($A74, '26 ADP Data'!$C$3:$Q$298, 10, FALSE)</f>
        <v>72</v>
      </c>
      <c r="K74" s="11">
        <v>76.0</v>
      </c>
    </row>
    <row r="75" ht="14.25" customHeight="1">
      <c r="A75" s="11" t="s">
        <v>239</v>
      </c>
      <c r="B75" s="11" t="str">
        <f>VLOOKUP($A75, '26 ADP Data'!$C$3:$R$298, 2, FALSE)</f>
        <v>GB</v>
      </c>
      <c r="C75" s="11" t="str">
        <f>VLOOKUP($A75, '26 ADP Data'!$C$3:$R$298, 16, FALSE)</f>
        <v>TE</v>
      </c>
      <c r="D75" s="11"/>
      <c r="E75" s="11"/>
      <c r="F75" s="16" t="s">
        <v>466</v>
      </c>
      <c r="G75" s="16">
        <v>5.0</v>
      </c>
      <c r="H75" s="11"/>
      <c r="I75" s="11">
        <f>VLOOKUP($A75, '26 ADP Data'!$C$3:$Q$298, 13, FALSE)</f>
        <v>76</v>
      </c>
      <c r="J75" s="11">
        <f>VLOOKUP($A75, '26 ADP Data'!$C$3:$Q$298, 10, FALSE)</f>
        <v>67</v>
      </c>
      <c r="K75" s="11">
        <v>64.0</v>
      </c>
    </row>
    <row r="76" ht="14.25" hidden="1" customHeight="1">
      <c r="A76" s="11" t="s">
        <v>253</v>
      </c>
      <c r="B76" s="11" t="str">
        <f>VLOOKUP($A76, '26 ADP Data'!$C$3:$R$298, 2, FALSE)</f>
        <v>CAR</v>
      </c>
      <c r="C76" s="11" t="str">
        <f>VLOOKUP($A76, '26 ADP Data'!$C$3:$R$298, 16, FALSE)</f>
        <v>RB</v>
      </c>
      <c r="D76" s="11"/>
      <c r="E76" s="11"/>
      <c r="F76" s="16" t="s">
        <v>440</v>
      </c>
      <c r="G76" s="16">
        <v>29.0</v>
      </c>
      <c r="H76" s="16" t="s">
        <v>473</v>
      </c>
      <c r="I76" s="11">
        <f>VLOOKUP($A76, '26 ADP Data'!$C$3:$Q$298, 13, FALSE)</f>
        <v>75</v>
      </c>
      <c r="J76" s="11">
        <f>VLOOKUP($A76, '26 ADP Data'!$C$3:$Q$298, 10, FALSE)</f>
        <v>76</v>
      </c>
      <c r="K76" s="11">
        <v>125.0</v>
      </c>
    </row>
    <row r="77" ht="14.25" hidden="1" customHeight="1">
      <c r="A77" s="11" t="s">
        <v>228</v>
      </c>
      <c r="B77" s="11" t="str">
        <f>VLOOKUP($A77, '26 ADP Data'!$C$3:$R$298, 2, FALSE)</f>
        <v>ARI</v>
      </c>
      <c r="C77" s="11" t="str">
        <f>VLOOKUP($A77, '26 ADP Data'!$C$3:$R$298, 16, FALSE)</f>
        <v>WR</v>
      </c>
      <c r="D77" s="11"/>
      <c r="E77" s="11"/>
      <c r="F77" s="16" t="s">
        <v>367</v>
      </c>
      <c r="G77" s="16">
        <v>35.0</v>
      </c>
      <c r="H77" s="11"/>
      <c r="I77" s="11">
        <f>VLOOKUP($A77, '26 ADP Data'!$C$3:$Q$298, 13, FALSE)</f>
        <v>65</v>
      </c>
      <c r="J77" s="11">
        <f>VLOOKUP($A77, '26 ADP Data'!$C$3:$Q$298, 10, FALSE)</f>
        <v>68</v>
      </c>
      <c r="K77" s="11">
        <v>71.0</v>
      </c>
    </row>
    <row r="78" ht="14.25" hidden="1" customHeight="1">
      <c r="A78" s="11" t="s">
        <v>222</v>
      </c>
      <c r="B78" s="11" t="str">
        <f>VLOOKUP($A78, '26 ADP Data'!$C$3:$R$298, 2, FALSE)</f>
        <v>JAX</v>
      </c>
      <c r="C78" s="11" t="str">
        <f>VLOOKUP($A78, '26 ADP Data'!$C$3:$R$298, 16, FALSE)</f>
        <v>WR</v>
      </c>
      <c r="D78" s="11"/>
      <c r="E78" s="11"/>
      <c r="F78" s="11" t="s">
        <v>482</v>
      </c>
      <c r="G78" s="16">
        <v>36.0</v>
      </c>
      <c r="H78" s="11" t="s">
        <v>484</v>
      </c>
      <c r="I78" s="11">
        <f>VLOOKUP($A78, '26 ADP Data'!$C$3:$Q$298, 13, FALSE)</f>
        <v>56</v>
      </c>
      <c r="J78" s="11">
        <f>VLOOKUP($A78, '26 ADP Data'!$C$3:$Q$298, 10, FALSE)</f>
        <v>57</v>
      </c>
      <c r="K78" s="11">
        <v>94.0</v>
      </c>
    </row>
    <row r="79" ht="14.25" hidden="1" customHeight="1">
      <c r="A79" s="11" t="s">
        <v>261</v>
      </c>
      <c r="B79" s="11" t="str">
        <f>VLOOKUP($A79, '26 ADP Data'!$C$3:$R$298, 2, FALSE)</f>
        <v>DEN</v>
      </c>
      <c r="C79" s="11" t="str">
        <f>VLOOKUP($A79, '26 ADP Data'!$C$3:$R$298, 16, FALSE)</f>
        <v>WR</v>
      </c>
      <c r="D79" s="11"/>
      <c r="E79" s="11"/>
      <c r="F79" s="11" t="s">
        <v>482</v>
      </c>
      <c r="G79" s="16">
        <v>37.0</v>
      </c>
      <c r="H79" s="11"/>
      <c r="I79" s="11">
        <f>VLOOKUP($A79, '26 ADP Data'!$C$3:$Q$298, 13, FALSE)</f>
        <v>81</v>
      </c>
      <c r="J79" s="11">
        <f>VLOOKUP($A79, '26 ADP Data'!$C$3:$Q$298, 10, FALSE)</f>
        <v>99</v>
      </c>
      <c r="K79" s="11">
        <v>81.0</v>
      </c>
    </row>
    <row r="80" ht="14.25" hidden="1" customHeight="1">
      <c r="A80" s="11" t="s">
        <v>317</v>
      </c>
      <c r="B80" s="11" t="str">
        <f>VLOOKUP($A80, '26 ADP Data'!$C$3:$R$298, 2, FALSE)</f>
        <v>PHI</v>
      </c>
      <c r="C80" s="11" t="str">
        <f>VLOOKUP($A80, '26 ADP Data'!$C$3:$R$298, 16, FALSE)</f>
        <v>WR</v>
      </c>
      <c r="D80" s="11"/>
      <c r="E80" s="11"/>
      <c r="F80" s="11" t="s">
        <v>482</v>
      </c>
      <c r="G80" s="16">
        <v>38.0</v>
      </c>
      <c r="H80" s="11" t="s">
        <v>496</v>
      </c>
      <c r="I80" s="11">
        <f>VLOOKUP($A80, '26 ADP Data'!$C$3:$Q$298, 13, FALSE)</f>
        <v>80</v>
      </c>
      <c r="J80" s="11">
        <f>VLOOKUP($A80, '26 ADP Data'!$C$3:$Q$298, 10, FALSE)</f>
        <v>107</v>
      </c>
      <c r="K80" s="11">
        <v>78.0</v>
      </c>
    </row>
    <row r="81" ht="14.25" customHeight="1">
      <c r="A81" s="11" t="s">
        <v>257</v>
      </c>
      <c r="B81" s="11" t="str">
        <f>VLOOKUP($A81, '26 ADP Data'!$C$3:$R$298, 2, FALSE)</f>
        <v>CLE</v>
      </c>
      <c r="C81" s="11" t="str">
        <f>VLOOKUP($A81, '26 ADP Data'!$C$3:$R$298, 16, FALSE)</f>
        <v>TE</v>
      </c>
      <c r="D81" s="11"/>
      <c r="E81" s="11"/>
      <c r="F81" s="16" t="s">
        <v>466</v>
      </c>
      <c r="G81" s="16">
        <v>6.0</v>
      </c>
      <c r="H81" s="11"/>
      <c r="I81" s="11">
        <f>VLOOKUP($A81, '26 ADP Data'!$C$3:$Q$298, 13, FALSE)</f>
        <v>105</v>
      </c>
      <c r="J81" s="11">
        <f>VLOOKUP($A81, '26 ADP Data'!$C$3:$Q$298, 10, FALSE)</f>
        <v>77</v>
      </c>
      <c r="K81" s="11">
        <v>80.0</v>
      </c>
    </row>
    <row r="82" ht="14.25" customHeight="1">
      <c r="A82" s="11" t="s">
        <v>248</v>
      </c>
      <c r="B82" s="11" t="str">
        <f>VLOOKUP($A82, '26 ADP Data'!$C$3:$R$298, 2, FALSE)</f>
        <v>ATL</v>
      </c>
      <c r="C82" s="11" t="str">
        <f>VLOOKUP($A82, '26 ADP Data'!$C$3:$R$298, 16, FALSE)</f>
        <v>TE</v>
      </c>
      <c r="D82" s="11"/>
      <c r="E82" s="16" t="s">
        <v>106</v>
      </c>
      <c r="F82" s="16" t="s">
        <v>466</v>
      </c>
      <c r="G82" s="16">
        <v>7.0</v>
      </c>
      <c r="H82" s="11"/>
      <c r="I82" s="11">
        <f>VLOOKUP($A82, '26 ADP Data'!$C$3:$Q$298, 13, FALSE)</f>
        <v>102</v>
      </c>
      <c r="J82" s="11">
        <f>VLOOKUP($A82, '26 ADP Data'!$C$3:$Q$298, 10, FALSE)</f>
        <v>81</v>
      </c>
      <c r="K82" s="11">
        <v>87.0</v>
      </c>
    </row>
    <row r="83" ht="14.25" hidden="1" customHeight="1">
      <c r="A83" s="11" t="s">
        <v>282</v>
      </c>
      <c r="B83" s="11" t="str">
        <f>VLOOKUP($A83, '26 ADP Data'!$C$3:$R$298, 2, FALSE)</f>
        <v>LAR</v>
      </c>
      <c r="C83" s="11" t="str">
        <f>VLOOKUP($A83, '26 ADP Data'!$C$3:$R$298, 16, FALSE)</f>
        <v>RB</v>
      </c>
      <c r="D83" s="11"/>
      <c r="E83" s="11"/>
      <c r="F83" s="16" t="s">
        <v>440</v>
      </c>
      <c r="G83" s="16">
        <v>30.0</v>
      </c>
      <c r="H83" s="16" t="s">
        <v>511</v>
      </c>
      <c r="I83" s="11">
        <f>VLOOKUP($A83, '26 ADP Data'!$C$3:$Q$298, 13, FALSE)</f>
        <v>87</v>
      </c>
      <c r="J83" s="11">
        <f>VLOOKUP($A83, '26 ADP Data'!$C$3:$Q$298, 10, FALSE)</f>
        <v>91</v>
      </c>
      <c r="K83" s="11">
        <v>90.0</v>
      </c>
    </row>
    <row r="84" ht="14.25" hidden="1" customHeight="1">
      <c r="A84" s="11" t="s">
        <v>266</v>
      </c>
      <c r="B84" s="11" t="str">
        <f>VLOOKUP($A84, '26 ADP Data'!$C$3:$R$298, 2, FALSE)</f>
        <v>LAC</v>
      </c>
      <c r="C84" s="11" t="str">
        <f>VLOOKUP($A84, '26 ADP Data'!$C$3:$R$298, 16, FALSE)</f>
        <v>QB</v>
      </c>
      <c r="D84" s="11"/>
      <c r="E84" s="11"/>
      <c r="F84" s="11" t="s">
        <v>461</v>
      </c>
      <c r="G84" s="11">
        <v>9.0</v>
      </c>
      <c r="H84" s="11"/>
      <c r="I84" s="11">
        <f>VLOOKUP($A84, '26 ADP Data'!$C$3:$Q$298, 13, FALSE)</f>
        <v>84</v>
      </c>
      <c r="J84" s="11">
        <f>VLOOKUP($A84, '26 ADP Data'!$C$3:$Q$298, 10, FALSE)</f>
        <v>75</v>
      </c>
      <c r="K84" s="11">
        <v>69.0</v>
      </c>
    </row>
    <row r="85" ht="14.25" hidden="1" customHeight="1">
      <c r="A85" s="11" t="s">
        <v>259</v>
      </c>
      <c r="B85" s="11" t="str">
        <f>VLOOKUP($A85, '26 ADP Data'!$C$3:$R$298, 2, FALSE)</f>
        <v>DAL</v>
      </c>
      <c r="C85" s="11" t="str">
        <f>VLOOKUP($A85, '26 ADP Data'!$C$3:$R$298, 16, FALSE)</f>
        <v>QB</v>
      </c>
      <c r="D85" s="11"/>
      <c r="E85" s="11"/>
      <c r="F85" s="11" t="s">
        <v>461</v>
      </c>
      <c r="G85" s="11">
        <v>8.0</v>
      </c>
      <c r="H85" s="11"/>
      <c r="I85" s="11">
        <f>VLOOKUP($A85, '26 ADP Data'!$C$3:$Q$298, 13, FALSE)</f>
        <v>79</v>
      </c>
      <c r="J85" s="11">
        <f>VLOOKUP($A85, '26 ADP Data'!$C$3:$Q$298, 10, FALSE)</f>
        <v>82</v>
      </c>
      <c r="K85" s="11">
        <v>89.0</v>
      </c>
    </row>
    <row r="86" ht="14.25" customHeight="1">
      <c r="A86" s="11" t="s">
        <v>246</v>
      </c>
      <c r="B86" s="11" t="str">
        <f>VLOOKUP($A86, '26 ADP Data'!$C$3:$R$298, 2, FALSE)</f>
        <v>DET</v>
      </c>
      <c r="C86" s="11" t="str">
        <f>VLOOKUP($A86, '26 ADP Data'!$C$3:$R$298, 16, FALSE)</f>
        <v>TE</v>
      </c>
      <c r="D86" s="11"/>
      <c r="E86" s="11"/>
      <c r="F86" s="16" t="s">
        <v>466</v>
      </c>
      <c r="G86" s="16">
        <v>8.0</v>
      </c>
      <c r="H86" s="11"/>
      <c r="I86" s="11">
        <f>VLOOKUP($A86, '26 ADP Data'!$C$3:$Q$298, 13, FALSE)</f>
        <v>91</v>
      </c>
      <c r="J86" s="11">
        <f>VLOOKUP($A86, '26 ADP Data'!$C$3:$Q$298, 10, FALSE)</f>
        <v>70</v>
      </c>
      <c r="K86" s="11">
        <v>84.0</v>
      </c>
    </row>
    <row r="87" ht="14.25" hidden="1" customHeight="1">
      <c r="A87" s="11" t="s">
        <v>306</v>
      </c>
      <c r="B87" s="11" t="str">
        <f>VLOOKUP($A87, '26 ADP Data'!$C$3:$R$298, 2, FALSE)</f>
        <v>WAS</v>
      </c>
      <c r="C87" s="11" t="str">
        <f>VLOOKUP($A87, '26 ADP Data'!$C$3:$R$298, 16, FALSE)</f>
        <v>RB</v>
      </c>
      <c r="D87" s="11"/>
      <c r="E87" s="11"/>
      <c r="F87" s="16" t="s">
        <v>440</v>
      </c>
      <c r="G87" s="16">
        <v>31.0</v>
      </c>
      <c r="H87" s="11" t="s">
        <v>530</v>
      </c>
      <c r="I87" s="11">
        <f>VLOOKUP($A87, '26 ADP Data'!$C$3:$Q$298, 13, FALSE)</f>
        <v>99</v>
      </c>
      <c r="J87" s="11">
        <f>VLOOKUP($A87, '26 ADP Data'!$C$3:$Q$298, 10, FALSE)</f>
        <v>86</v>
      </c>
      <c r="K87" s="11">
        <v>97.0</v>
      </c>
    </row>
    <row r="88" ht="14.25" hidden="1" customHeight="1">
      <c r="A88" s="11" t="s">
        <v>278</v>
      </c>
      <c r="B88" s="11" t="str">
        <f>VLOOKUP($A88, '26 ADP Data'!$C$3:$R$298, 2, FALSE)</f>
        <v>DEN</v>
      </c>
      <c r="C88" s="11" t="str">
        <f>VLOOKUP($A88, '26 ADP Data'!$C$3:$R$298, 16, FALSE)</f>
        <v>RB</v>
      </c>
      <c r="D88" s="11"/>
      <c r="E88" s="11"/>
      <c r="F88" s="16" t="s">
        <v>440</v>
      </c>
      <c r="G88" s="16">
        <v>32.0</v>
      </c>
      <c r="H88" s="11"/>
      <c r="I88" s="11">
        <f>VLOOKUP($A88, '26 ADP Data'!$C$3:$Q$298, 13, FALSE)</f>
        <v>95</v>
      </c>
      <c r="J88" s="11">
        <f>VLOOKUP($A88, '26 ADP Data'!$C$3:$Q$298, 10, FALSE)</f>
        <v>84</v>
      </c>
      <c r="K88" s="11">
        <v>95.0</v>
      </c>
    </row>
    <row r="89" ht="14.25" hidden="1" customHeight="1">
      <c r="A89" s="11" t="s">
        <v>268</v>
      </c>
      <c r="B89" s="11" t="str">
        <f>VLOOKUP($A89, '26 ADP Data'!$C$3:$R$298, 2, FALSE)</f>
        <v>JAX</v>
      </c>
      <c r="C89" s="11" t="str">
        <f>VLOOKUP($A89, '26 ADP Data'!$C$3:$R$298, 16, FALSE)</f>
        <v>QB</v>
      </c>
      <c r="D89" s="11"/>
      <c r="E89" s="11"/>
      <c r="F89" s="11" t="s">
        <v>541</v>
      </c>
      <c r="G89" s="11">
        <v>12.0</v>
      </c>
      <c r="H89" s="11"/>
      <c r="I89" s="11">
        <f>VLOOKUP($A89, '26 ADP Data'!$C$3:$Q$298, 13, FALSE)</f>
        <v>86</v>
      </c>
      <c r="J89" s="11">
        <f>VLOOKUP($A89, '26 ADP Data'!$C$3:$Q$298, 10, FALSE)</f>
        <v>80</v>
      </c>
      <c r="K89" s="11">
        <v>86.0</v>
      </c>
    </row>
    <row r="90" ht="14.25" hidden="1" customHeight="1">
      <c r="A90" s="11" t="s">
        <v>270</v>
      </c>
      <c r="B90" s="11" t="str">
        <f>VLOOKUP($A90, '26 ADP Data'!$C$3:$R$298, 2, FALSE)</f>
        <v>TB</v>
      </c>
      <c r="C90" s="11" t="str">
        <f>VLOOKUP($A90, '26 ADP Data'!$C$3:$R$298, 16, FALSE)</f>
        <v>WR</v>
      </c>
      <c r="D90" s="11"/>
      <c r="E90" s="16" t="s">
        <v>106</v>
      </c>
      <c r="F90" s="11" t="s">
        <v>546</v>
      </c>
      <c r="G90" s="16">
        <v>39.0</v>
      </c>
      <c r="H90" s="11"/>
      <c r="I90" s="11">
        <f>VLOOKUP($A90, '26 ADP Data'!$C$3:$Q$298, 13, FALSE)</f>
        <v>85</v>
      </c>
      <c r="J90" s="11">
        <f>VLOOKUP($A90, '26 ADP Data'!$C$3:$Q$298, 10, FALSE)</f>
        <v>85</v>
      </c>
      <c r="K90" s="11">
        <v>85.0</v>
      </c>
    </row>
    <row r="91" ht="14.25" hidden="1" customHeight="1">
      <c r="A91" s="11" t="s">
        <v>296</v>
      </c>
      <c r="B91" s="11" t="str">
        <f>VLOOKUP($A91, '26 ADP Data'!$C$3:$R$298, 2, FALSE)</f>
        <v>NYG</v>
      </c>
      <c r="C91" s="11" t="str">
        <f>VLOOKUP($A91, '26 ADP Data'!$C$3:$R$298, 16, FALSE)</f>
        <v>QB</v>
      </c>
      <c r="D91" s="11"/>
      <c r="E91" s="11"/>
      <c r="F91" s="11" t="s">
        <v>541</v>
      </c>
      <c r="G91" s="11">
        <v>10.0</v>
      </c>
      <c r="H91" s="11"/>
      <c r="I91" s="11">
        <f>VLOOKUP($A91, '26 ADP Data'!$C$3:$Q$298, 13, FALSE)</f>
        <v>104</v>
      </c>
      <c r="J91" s="11">
        <f>VLOOKUP($A91, '26 ADP Data'!$C$3:$Q$298, 10, FALSE)</f>
        <v>102</v>
      </c>
      <c r="K91" s="11">
        <v>70.0</v>
      </c>
    </row>
    <row r="92" ht="14.25" hidden="1" customHeight="1">
      <c r="A92" s="11" t="s">
        <v>242</v>
      </c>
      <c r="B92" s="11" t="str">
        <f>VLOOKUP($A92, '26 ADP Data'!$C$3:$R$298, 2, FALSE)</f>
        <v>JAX</v>
      </c>
      <c r="C92" s="11" t="str">
        <f>VLOOKUP($A92, '26 ADP Data'!$C$3:$R$298, 16, FALSE)</f>
        <v>WR</v>
      </c>
      <c r="D92" s="11"/>
      <c r="E92" s="16" t="s">
        <v>95</v>
      </c>
      <c r="F92" s="11" t="s">
        <v>546</v>
      </c>
      <c r="G92" s="16">
        <v>40.0</v>
      </c>
      <c r="H92" s="11"/>
      <c r="I92" s="11">
        <f>VLOOKUP($A92, '26 ADP Data'!$C$3:$Q$298, 13, FALSE)</f>
        <v>64</v>
      </c>
      <c r="J92" s="11">
        <f>VLOOKUP($A92, '26 ADP Data'!$C$3:$Q$298, 10, FALSE)</f>
        <v>73</v>
      </c>
      <c r="K92" s="11">
        <v>91.0</v>
      </c>
    </row>
    <row r="93" ht="14.25" hidden="1" customHeight="1">
      <c r="A93" s="11" t="s">
        <v>301</v>
      </c>
      <c r="B93" s="11" t="str">
        <f>VLOOKUP($A93, '26 ADP Data'!$C$3:$R$298, 2, FALSE)</f>
        <v>GB</v>
      </c>
      <c r="C93" s="11" t="str">
        <f>VLOOKUP($A93, '26 ADP Data'!$C$3:$R$298, 16, FALSE)</f>
        <v>WR</v>
      </c>
      <c r="D93" s="11"/>
      <c r="E93" s="11"/>
      <c r="F93" s="11" t="s">
        <v>546</v>
      </c>
      <c r="G93" s="16">
        <v>41.0</v>
      </c>
      <c r="H93" s="11"/>
      <c r="I93" s="11">
        <f>VLOOKUP($A93, '26 ADP Data'!$C$3:$Q$298, 13, FALSE)</f>
        <v>78</v>
      </c>
      <c r="J93" s="11">
        <f>VLOOKUP($A93, '26 ADP Data'!$C$3:$Q$298, 10, FALSE)</f>
        <v>96</v>
      </c>
      <c r="K93" s="11">
        <v>107.0</v>
      </c>
    </row>
    <row r="94" ht="14.25" hidden="1" customHeight="1">
      <c r="A94" s="11" t="s">
        <v>303</v>
      </c>
      <c r="B94" s="11" t="str">
        <f>VLOOKUP($A94, '26 ADP Data'!$C$3:$R$298, 2, FALSE)</f>
        <v>MIN</v>
      </c>
      <c r="C94" s="11" t="str">
        <f>VLOOKUP($A94, '26 ADP Data'!$C$3:$R$298, 16, FALSE)</f>
        <v>WR</v>
      </c>
      <c r="D94" s="11"/>
      <c r="E94" s="11"/>
      <c r="F94" s="11" t="s">
        <v>546</v>
      </c>
      <c r="G94" s="16">
        <v>42.0</v>
      </c>
      <c r="H94" s="11"/>
      <c r="I94" s="11">
        <f>VLOOKUP($A94, '26 ADP Data'!$C$3:$Q$298, 13, FALSE)</f>
        <v>89</v>
      </c>
      <c r="J94" s="11">
        <f>VLOOKUP($A94, '26 ADP Data'!$C$3:$Q$298, 10, FALSE)</f>
        <v>94</v>
      </c>
      <c r="K94" s="11">
        <v>102.0</v>
      </c>
    </row>
    <row r="95" ht="14.25" hidden="1" customHeight="1">
      <c r="A95" s="11" t="s">
        <v>226</v>
      </c>
      <c r="B95" s="11" t="str">
        <f>VLOOKUP($A95, '26 ADP Data'!$C$3:$R$298, 2, FALSE)</f>
        <v>NE</v>
      </c>
      <c r="C95" s="11" t="str">
        <f>VLOOKUP($A95, '26 ADP Data'!$C$3:$R$298, 16, FALSE)</f>
        <v>RB</v>
      </c>
      <c r="D95" s="11"/>
      <c r="E95" s="11"/>
      <c r="F95" s="16" t="s">
        <v>440</v>
      </c>
      <c r="G95" s="16">
        <v>33.0</v>
      </c>
      <c r="H95" s="11"/>
      <c r="I95" s="11">
        <f>VLOOKUP($A95, '26 ADP Data'!$C$3:$Q$298, 13, FALSE)</f>
        <v>67</v>
      </c>
      <c r="J95" s="11">
        <f>VLOOKUP($A95, '26 ADP Data'!$C$3:$Q$298, 10, FALSE)</f>
        <v>65</v>
      </c>
      <c r="K95" s="11">
        <v>83.0</v>
      </c>
    </row>
    <row r="96" ht="14.25" hidden="1" customHeight="1">
      <c r="A96" s="11" t="s">
        <v>236</v>
      </c>
      <c r="B96" s="11" t="str">
        <f>VLOOKUP($A96, '26 ADP Data'!$C$3:$R$298, 2, FALSE)</f>
        <v>PIT</v>
      </c>
      <c r="C96" s="11" t="str">
        <f>VLOOKUP($A96, '26 ADP Data'!$C$3:$R$298, 16, FALSE)</f>
        <v>RB</v>
      </c>
      <c r="D96" s="11"/>
      <c r="E96" s="11"/>
      <c r="F96" s="16" t="s">
        <v>440</v>
      </c>
      <c r="G96" s="16">
        <v>34.0</v>
      </c>
      <c r="H96" s="11"/>
      <c r="I96" s="11">
        <f>VLOOKUP($A96, '26 ADP Data'!$C$3:$Q$298, 13, FALSE)</f>
        <v>70</v>
      </c>
      <c r="J96" s="11">
        <f>VLOOKUP($A96, '26 ADP Data'!$C$3:$Q$298, 10, FALSE)</f>
        <v>71</v>
      </c>
      <c r="K96" s="11">
        <v>72.0</v>
      </c>
    </row>
    <row r="97" ht="14.25" hidden="1" customHeight="1">
      <c r="A97" s="11" t="s">
        <v>280</v>
      </c>
      <c r="B97" s="11" t="str">
        <f>VLOOKUP($A97, '26 ADP Data'!$C$3:$R$298, 2, FALSE)</f>
        <v>LAC</v>
      </c>
      <c r="C97" s="11" t="str">
        <f>VLOOKUP($A97, '26 ADP Data'!$C$3:$R$298, 16, FALSE)</f>
        <v>WR</v>
      </c>
      <c r="D97" s="11"/>
      <c r="E97" s="11"/>
      <c r="F97" s="11" t="s">
        <v>546</v>
      </c>
      <c r="G97" s="16">
        <v>43.0</v>
      </c>
      <c r="H97" s="11"/>
      <c r="I97" s="11">
        <f>VLOOKUP($A97, '26 ADP Data'!$C$3:$Q$298, 13, FALSE)</f>
        <v>74</v>
      </c>
      <c r="J97" s="11">
        <f>VLOOKUP($A97, '26 ADP Data'!$C$3:$Q$298, 10, FALSE)</f>
        <v>95</v>
      </c>
      <c r="K97" s="11">
        <v>113.0</v>
      </c>
    </row>
    <row r="98" ht="14.25" hidden="1" customHeight="1">
      <c r="A98" s="11" t="s">
        <v>323</v>
      </c>
      <c r="B98" s="11" t="str">
        <f>VLOOKUP($A98, '26 ADP Data'!$C$3:$R$298, 2, FALSE)</f>
        <v>CHI</v>
      </c>
      <c r="C98" s="11" t="str">
        <f>VLOOKUP($A98, '26 ADP Data'!$C$3:$R$298, 16, FALSE)</f>
        <v>RB</v>
      </c>
      <c r="D98" s="11"/>
      <c r="E98" s="11"/>
      <c r="F98" s="16" t="s">
        <v>440</v>
      </c>
      <c r="G98" s="16">
        <v>35.0</v>
      </c>
      <c r="H98" s="11" t="s">
        <v>530</v>
      </c>
      <c r="I98" s="11">
        <f>VLOOKUP($A98, '26 ADP Data'!$C$3:$Q$298, 13, FALSE)</f>
        <v>108</v>
      </c>
      <c r="J98" s="11">
        <f>VLOOKUP($A98, '26 ADP Data'!$C$3:$Q$298, 10, FALSE)</f>
        <v>108</v>
      </c>
      <c r="K98" s="11">
        <v>92.0</v>
      </c>
    </row>
    <row r="99" ht="14.25" hidden="1" customHeight="1">
      <c r="A99" s="11" t="s">
        <v>315</v>
      </c>
      <c r="B99" s="11" t="str">
        <f>VLOOKUP($A99, '26 ADP Data'!$C$3:$R$298, 2, FALSE)</f>
        <v>SF</v>
      </c>
      <c r="C99" s="11" t="str">
        <f>VLOOKUP($A99, '26 ADP Data'!$C$3:$R$298, 16, FALSE)</f>
        <v>QB</v>
      </c>
      <c r="D99" s="11"/>
      <c r="E99" s="11"/>
      <c r="F99" s="11" t="s">
        <v>591</v>
      </c>
      <c r="G99" s="11">
        <v>14.0</v>
      </c>
      <c r="H99" s="11"/>
      <c r="I99" s="11">
        <f>VLOOKUP($A99, '26 ADP Data'!$C$3:$Q$298, 13, FALSE)</f>
        <v>103</v>
      </c>
      <c r="J99" s="11">
        <f>VLOOKUP($A99, '26 ADP Data'!$C$3:$Q$298, 10, FALSE)</f>
        <v>98</v>
      </c>
      <c r="K99" s="11">
        <v>100.0</v>
      </c>
    </row>
    <row r="100" ht="14.25" hidden="1" customHeight="1">
      <c r="A100" s="11" t="s">
        <v>310</v>
      </c>
      <c r="B100" s="11" t="str">
        <f>VLOOKUP($A100, '26 ADP Data'!$C$3:$R$298, 2, FALSE)</f>
        <v>LAR</v>
      </c>
      <c r="C100" s="11" t="str">
        <f>VLOOKUP($A100, '26 ADP Data'!$C$3:$R$298, 16, FALSE)</f>
        <v>QB</v>
      </c>
      <c r="D100" s="11"/>
      <c r="E100" s="11"/>
      <c r="F100" s="11" t="s">
        <v>591</v>
      </c>
      <c r="G100" s="11">
        <v>15.0</v>
      </c>
      <c r="H100" s="11"/>
      <c r="I100" s="11">
        <f>VLOOKUP($A100, '26 ADP Data'!$C$3:$Q$298, 13, FALSE)</f>
        <v>111</v>
      </c>
      <c r="J100" s="11">
        <f>VLOOKUP($A100, '26 ADP Data'!$C$3:$Q$298, 10, FALSE)</f>
        <v>110</v>
      </c>
      <c r="K100" s="11">
        <v>116.0</v>
      </c>
    </row>
    <row r="101" ht="14.25" hidden="1" customHeight="1">
      <c r="A101" s="11" t="s">
        <v>313</v>
      </c>
      <c r="B101" s="11" t="str">
        <f>VLOOKUP($A101, '26 ADP Data'!$C$3:$R$298, 2, FALSE)</f>
        <v>MIN</v>
      </c>
      <c r="C101" s="11" t="str">
        <f>VLOOKUP($A101, '26 ADP Data'!$C$3:$R$298, 16, FALSE)</f>
        <v>RB</v>
      </c>
      <c r="D101" s="11"/>
      <c r="E101" s="16" t="s">
        <v>106</v>
      </c>
      <c r="F101" s="16" t="s">
        <v>440</v>
      </c>
      <c r="G101" s="16">
        <v>36.0</v>
      </c>
      <c r="H101" s="11"/>
      <c r="I101" s="11">
        <f>VLOOKUP($A101, '26 ADP Data'!$C$3:$Q$298, 13, FALSE)</f>
        <v>96</v>
      </c>
      <c r="J101" s="11">
        <f>VLOOKUP($A101, '26 ADP Data'!$C$3:$Q$298, 10, FALSE)</f>
        <v>103</v>
      </c>
      <c r="K101" s="11">
        <v>117.0</v>
      </c>
    </row>
    <row r="102" ht="14.25" hidden="1" customHeight="1">
      <c r="A102" s="11" t="s">
        <v>288</v>
      </c>
      <c r="B102" s="11" t="str">
        <f>VLOOKUP($A102, '26 ADP Data'!$C$3:$R$298, 2, FALSE)</f>
        <v>CAR</v>
      </c>
      <c r="C102" s="11" t="str">
        <f>VLOOKUP($A102, '26 ADP Data'!$C$3:$R$298, 16, FALSE)</f>
        <v>RB</v>
      </c>
      <c r="D102" s="11"/>
      <c r="E102" s="11"/>
      <c r="F102" s="16" t="s">
        <v>607</v>
      </c>
      <c r="G102" s="16">
        <v>37.0</v>
      </c>
      <c r="H102" s="11"/>
      <c r="I102" s="11">
        <f>VLOOKUP($A102, '26 ADP Data'!$C$3:$Q$298, 13, FALSE)</f>
        <v>98</v>
      </c>
      <c r="J102" s="11">
        <f>VLOOKUP($A102, '26 ADP Data'!$C$3:$Q$298, 10, FALSE)</f>
        <v>92</v>
      </c>
      <c r="K102" s="11">
        <v>61.0</v>
      </c>
    </row>
    <row r="103" ht="14.25" hidden="1" customHeight="1">
      <c r="A103" s="11" t="s">
        <v>319</v>
      </c>
      <c r="B103" s="11" t="str">
        <f>VLOOKUP($A103, '26 ADP Data'!$C$3:$R$298, 2, FALSE)</f>
        <v>KC</v>
      </c>
      <c r="C103" s="11" t="str">
        <f>VLOOKUP($A103, '26 ADP Data'!$C$3:$R$298, 16, FALSE)</f>
        <v>QB</v>
      </c>
      <c r="D103" s="11"/>
      <c r="E103" s="11"/>
      <c r="F103" s="11" t="s">
        <v>541</v>
      </c>
      <c r="G103" s="11">
        <v>11.0</v>
      </c>
      <c r="H103" s="11"/>
      <c r="I103" s="11">
        <f>VLOOKUP($A103, '26 ADP Data'!$C$3:$Q$298, 13, FALSE)</f>
        <v>97</v>
      </c>
      <c r="J103" s="11">
        <f>VLOOKUP($A103, '26 ADP Data'!$C$3:$Q$298, 10, FALSE)</f>
        <v>118</v>
      </c>
      <c r="K103" s="11">
        <v>104.0</v>
      </c>
    </row>
    <row r="104" ht="14.25" hidden="1" customHeight="1">
      <c r="A104" s="11" t="s">
        <v>275</v>
      </c>
      <c r="B104" s="11" t="str">
        <f>VLOOKUP($A104, '26 ADP Data'!$C$3:$R$298, 2, FALSE)</f>
        <v>DEN</v>
      </c>
      <c r="C104" s="11" t="str">
        <f>VLOOKUP($A104, '26 ADP Data'!$C$3:$R$298, 16, FALSE)</f>
        <v>RB</v>
      </c>
      <c r="D104" s="11"/>
      <c r="E104" s="11"/>
      <c r="F104" s="16" t="s">
        <v>607</v>
      </c>
      <c r="G104" s="16">
        <v>38.0</v>
      </c>
      <c r="H104" s="11" t="s">
        <v>618</v>
      </c>
      <c r="I104" s="11">
        <f>VLOOKUP($A104, '26 ADP Data'!$C$3:$Q$298, 13, FALSE)</f>
        <v>88</v>
      </c>
      <c r="J104" s="11">
        <f>VLOOKUP($A104, '26 ADP Data'!$C$3:$Q$298, 10, FALSE)</f>
        <v>109</v>
      </c>
      <c r="K104" s="11">
        <v>79.0</v>
      </c>
    </row>
    <row r="105" ht="14.25" hidden="1" customHeight="1">
      <c r="A105" s="11" t="s">
        <v>621</v>
      </c>
      <c r="B105" s="11" t="str">
        <f>VLOOKUP($A105, '26 ADP Data'!$C$3:$R$298, 2, FALSE)</f>
        <v>#N/A</v>
      </c>
      <c r="C105" s="11" t="str">
        <f>VLOOKUP($A105, '26 ADP Data'!$C$3:$R$298, 16, FALSE)</f>
        <v>#N/A</v>
      </c>
      <c r="D105" s="11"/>
      <c r="E105" s="11"/>
      <c r="F105" s="11"/>
      <c r="G105" s="16">
        <v>999.0</v>
      </c>
      <c r="H105" s="11"/>
      <c r="I105" s="11" t="str">
        <f>VLOOKUP($A105, '26 ADP Data'!$C$3:$Q$298, 13, FALSE)</f>
        <v>#N/A</v>
      </c>
      <c r="J105" s="11" t="str">
        <f>VLOOKUP($A105, '26 ADP Data'!$C$3:$Q$298, 10, FALSE)</f>
        <v>#N/A</v>
      </c>
      <c r="K105" s="11">
        <v>93.0</v>
      </c>
    </row>
    <row r="106" ht="14.25" customHeight="1">
      <c r="A106" s="11" t="s">
        <v>284</v>
      </c>
      <c r="B106" s="11" t="str">
        <f>VLOOKUP($A106, '26 ADP Data'!$C$3:$R$298, 2, FALSE)</f>
        <v>SF</v>
      </c>
      <c r="C106" s="11" t="str">
        <f>VLOOKUP($A106, '26 ADP Data'!$C$3:$R$298, 16, FALSE)</f>
        <v>TE</v>
      </c>
      <c r="D106" s="11"/>
      <c r="E106" s="11"/>
      <c r="F106" s="16" t="s">
        <v>466</v>
      </c>
      <c r="G106" s="16">
        <v>11.0</v>
      </c>
      <c r="H106" s="11"/>
      <c r="I106" s="11">
        <f>VLOOKUP($A106, '26 ADP Data'!$C$3:$Q$298, 13, FALSE)</f>
        <v>113</v>
      </c>
      <c r="J106" s="11">
        <f>VLOOKUP($A106, '26 ADP Data'!$C$3:$Q$298, 10, FALSE)</f>
        <v>93</v>
      </c>
      <c r="K106" s="11">
        <v>120.0</v>
      </c>
    </row>
    <row r="107" ht="14.25" hidden="1" customHeight="1">
      <c r="A107" s="11" t="s">
        <v>353</v>
      </c>
      <c r="B107" s="11" t="str">
        <f>VLOOKUP($A107, '26 ADP Data'!$C$3:$R$298, 2, FALSE)</f>
        <v>KC</v>
      </c>
      <c r="C107" s="11" t="str">
        <f>VLOOKUP($A107, '26 ADP Data'!$C$3:$R$298, 16, FALSE)</f>
        <v>WR</v>
      </c>
      <c r="D107" s="11"/>
      <c r="E107" s="11"/>
      <c r="F107" s="11" t="s">
        <v>546</v>
      </c>
      <c r="G107" s="16">
        <v>44.0</v>
      </c>
      <c r="H107" s="16" t="s">
        <v>635</v>
      </c>
      <c r="I107" s="11">
        <f>VLOOKUP($A107, '26 ADP Data'!$C$3:$Q$298, 13, FALSE)</f>
        <v>107</v>
      </c>
      <c r="J107" s="11">
        <f>VLOOKUP($A107, '26 ADP Data'!$C$3:$Q$298, 10, FALSE)</f>
        <v>127</v>
      </c>
      <c r="K107" s="11">
        <v>115.0</v>
      </c>
    </row>
    <row r="108" ht="14.25" hidden="1" customHeight="1">
      <c r="A108" s="11" t="s">
        <v>451</v>
      </c>
      <c r="B108" s="11" t="str">
        <f>VLOOKUP($A108, '26 ADP Data'!$C$3:$R$298, 2, FALSE)</f>
        <v>TB</v>
      </c>
      <c r="C108" s="11" t="str">
        <f>VLOOKUP($A108, '26 ADP Data'!$C$3:$R$298, 16, FALSE)</f>
        <v>WR</v>
      </c>
      <c r="D108" s="11"/>
      <c r="E108" s="11"/>
      <c r="F108" s="11" t="s">
        <v>546</v>
      </c>
      <c r="G108" s="16">
        <v>45.0</v>
      </c>
      <c r="H108" s="11"/>
      <c r="I108" s="11">
        <f>VLOOKUP($A108, '26 ADP Data'!$C$3:$Q$298, 13, FALSE)</f>
        <v>157</v>
      </c>
      <c r="J108" s="11">
        <f>VLOOKUP($A108, '26 ADP Data'!$C$3:$Q$298, 10, FALSE)</f>
        <v>150</v>
      </c>
      <c r="K108" s="11">
        <v>170.0</v>
      </c>
    </row>
    <row r="109" ht="14.25" hidden="1" customHeight="1">
      <c r="A109" s="11" t="s">
        <v>286</v>
      </c>
      <c r="B109" s="11" t="str">
        <f>VLOOKUP($A109, '26 ADP Data'!$C$3:$R$298, 2, FALSE)</f>
        <v>PIT</v>
      </c>
      <c r="C109" s="11" t="str">
        <f>VLOOKUP($A109, '26 ADP Data'!$C$3:$R$298, 16, FALSE)</f>
        <v>WR</v>
      </c>
      <c r="D109" s="11"/>
      <c r="E109" s="11"/>
      <c r="F109" s="11" t="s">
        <v>546</v>
      </c>
      <c r="G109" s="16">
        <v>47.0</v>
      </c>
      <c r="H109" s="11"/>
      <c r="I109" s="11">
        <f>VLOOKUP($A109, '26 ADP Data'!$C$3:$Q$298, 13, FALSE)</f>
        <v>101</v>
      </c>
      <c r="J109" s="11">
        <f>VLOOKUP($A109, '26 ADP Data'!$C$3:$Q$298, 10, FALSE)</f>
        <v>100</v>
      </c>
      <c r="K109" s="11">
        <v>105.0</v>
      </c>
    </row>
    <row r="110" ht="14.25" hidden="1" customHeight="1">
      <c r="A110" s="11" t="s">
        <v>273</v>
      </c>
      <c r="B110" s="11" t="str">
        <f>VLOOKUP($A110, '26 ADP Data'!$C$3:$R$298, 2, FALSE)</f>
        <v>ARI</v>
      </c>
      <c r="C110" s="11" t="str">
        <f>VLOOKUP($A110, '26 ADP Data'!$C$3:$R$298, 16, FALSE)</f>
        <v>WR</v>
      </c>
      <c r="D110" s="11"/>
      <c r="E110" s="11"/>
      <c r="F110" s="11" t="s">
        <v>546</v>
      </c>
      <c r="G110" s="16">
        <v>49.0</v>
      </c>
      <c r="H110" s="11"/>
      <c r="I110" s="11">
        <f>VLOOKUP($A110, '26 ADP Data'!$C$3:$Q$298, 13, FALSE)</f>
        <v>90</v>
      </c>
      <c r="J110" s="11">
        <f>VLOOKUP($A110, '26 ADP Data'!$C$3:$Q$298, 10, FALSE)</f>
        <v>87</v>
      </c>
      <c r="K110" s="11">
        <v>77.0</v>
      </c>
    </row>
    <row r="111" ht="14.25" customHeight="1">
      <c r="A111" s="11" t="s">
        <v>321</v>
      </c>
      <c r="B111" s="11" t="str">
        <f>VLOOKUP($A111, '26 ADP Data'!$C$3:$R$298, 2, FALSE)</f>
        <v>KC</v>
      </c>
      <c r="C111" s="11" t="str">
        <f>VLOOKUP($A111, '26 ADP Data'!$C$3:$R$298, 16, FALSE)</f>
        <v>TE</v>
      </c>
      <c r="D111" s="11"/>
      <c r="E111" s="11"/>
      <c r="F111" s="16" t="s">
        <v>466</v>
      </c>
      <c r="G111" s="16">
        <v>9.0</v>
      </c>
      <c r="H111" s="11"/>
      <c r="I111" s="11">
        <f>VLOOKUP($A111, '26 ADP Data'!$C$3:$Q$298, 13, FALSE)</f>
        <v>123</v>
      </c>
      <c r="J111" s="11">
        <f>VLOOKUP($A111, '26 ADP Data'!$C$3:$Q$298, 10, FALSE)</f>
        <v>119</v>
      </c>
      <c r="K111" s="11">
        <v>109.0</v>
      </c>
    </row>
    <row r="112" ht="14.25" hidden="1" customHeight="1">
      <c r="A112" s="11" t="s">
        <v>355</v>
      </c>
      <c r="B112" s="11" t="str">
        <f>VLOOKUP($A112, '26 ADP Data'!$C$3:$R$298, 2, FALSE)</f>
        <v>NO</v>
      </c>
      <c r="C112" s="11" t="str">
        <f>VLOOKUP($A112, '26 ADP Data'!$C$3:$R$298, 16, FALSE)</f>
        <v>WR</v>
      </c>
      <c r="D112" s="11"/>
      <c r="E112" s="11"/>
      <c r="F112" s="11" t="s">
        <v>546</v>
      </c>
      <c r="G112" s="16">
        <v>50.0</v>
      </c>
      <c r="H112" s="11" t="s">
        <v>662</v>
      </c>
      <c r="I112" s="11">
        <f>VLOOKUP($A112, '26 ADP Data'!$C$3:$Q$298, 13, FALSE)</f>
        <v>93</v>
      </c>
      <c r="J112" s="11">
        <f>VLOOKUP($A112, '26 ADP Data'!$C$3:$Q$298, 10, FALSE)</f>
        <v>129</v>
      </c>
      <c r="K112" s="11">
        <v>73.0</v>
      </c>
    </row>
    <row r="113" ht="14.25" hidden="1" customHeight="1">
      <c r="A113" s="11" t="s">
        <v>326</v>
      </c>
      <c r="B113" s="11" t="str">
        <f>VLOOKUP($A113, '26 ADP Data'!$C$3:$R$298, 2, FALSE)</f>
        <v>DEN</v>
      </c>
      <c r="C113" s="11" t="str">
        <f>VLOOKUP($A113, '26 ADP Data'!$C$3:$R$298, 16, FALSE)</f>
        <v>QB</v>
      </c>
      <c r="D113" s="11"/>
      <c r="E113" s="11"/>
      <c r="F113" s="11" t="s">
        <v>541</v>
      </c>
      <c r="G113" s="11">
        <v>13.0</v>
      </c>
      <c r="H113" s="11"/>
      <c r="I113" s="11">
        <f>VLOOKUP($A113, '26 ADP Data'!$C$3:$Q$298, 13, FALSE)</f>
        <v>106</v>
      </c>
      <c r="J113" s="11">
        <f>VLOOKUP($A113, '26 ADP Data'!$C$3:$Q$298, 10, FALSE)</f>
        <v>101</v>
      </c>
      <c r="K113" s="11">
        <v>99.0</v>
      </c>
    </row>
    <row r="114" ht="14.25" hidden="1" customHeight="1">
      <c r="A114" s="11" t="s">
        <v>391</v>
      </c>
      <c r="B114" s="11" t="str">
        <f>VLOOKUP($A114, '26 ADP Data'!$C$3:$R$298, 2, FALSE)</f>
        <v>SEA</v>
      </c>
      <c r="C114" s="11" t="str">
        <f>VLOOKUP($A114, '26 ADP Data'!$C$3:$R$298, 16, FALSE)</f>
        <v>RB</v>
      </c>
      <c r="D114" s="11"/>
      <c r="E114" s="11"/>
      <c r="F114" s="16" t="s">
        <v>607</v>
      </c>
      <c r="G114" s="16">
        <v>39.0</v>
      </c>
      <c r="H114" s="11"/>
      <c r="I114" s="11">
        <f>VLOOKUP($A114, '26 ADP Data'!$C$3:$Q$298, 13, FALSE)</f>
        <v>164</v>
      </c>
      <c r="J114" s="11">
        <f>VLOOKUP($A114, '26 ADP Data'!$C$3:$Q$298, 10, FALSE)</f>
        <v>145</v>
      </c>
      <c r="K114" s="11">
        <v>126.0</v>
      </c>
    </row>
    <row r="115" ht="14.25" hidden="1" customHeight="1">
      <c r="A115" s="11" t="s">
        <v>292</v>
      </c>
      <c r="B115" s="11" t="str">
        <f>VLOOKUP($A115, '26 ADP Data'!$C$3:$R$298, 2, FALSE)</f>
        <v>IND</v>
      </c>
      <c r="C115" s="11" t="str">
        <f>VLOOKUP($A115, '26 ADP Data'!$C$3:$R$298, 16, FALSE)</f>
        <v>WR</v>
      </c>
      <c r="D115" s="11"/>
      <c r="E115" s="11"/>
      <c r="F115" s="11" t="s">
        <v>546</v>
      </c>
      <c r="G115" s="16">
        <v>60.0</v>
      </c>
      <c r="H115" s="11"/>
      <c r="I115" s="11">
        <f>VLOOKUP($A115, '26 ADP Data'!$C$3:$Q$298, 13, FALSE)</f>
        <v>82</v>
      </c>
      <c r="J115" s="11">
        <f>VLOOKUP($A115, '26 ADP Data'!$C$3:$Q$298, 10, FALSE)</f>
        <v>90</v>
      </c>
      <c r="K115" s="11">
        <v>110.0</v>
      </c>
    </row>
    <row r="116" ht="14.25" customHeight="1">
      <c r="A116" s="11" t="s">
        <v>348</v>
      </c>
      <c r="B116" s="11" t="str">
        <f>VLOOKUP($A116, '26 ADP Data'!$C$3:$R$298, 2, FALSE)</f>
        <v>DAL</v>
      </c>
      <c r="C116" s="11" t="str">
        <f>VLOOKUP($A116, '26 ADP Data'!$C$3:$R$298, 16, FALSE)</f>
        <v>TE</v>
      </c>
      <c r="D116" s="11"/>
      <c r="E116" s="11"/>
      <c r="F116" s="16" t="s">
        <v>466</v>
      </c>
      <c r="G116" s="16">
        <v>10.0</v>
      </c>
      <c r="H116" s="11"/>
      <c r="I116" s="11">
        <f>VLOOKUP($A116, '26 ADP Data'!$C$3:$Q$298, 13, FALSE)</f>
        <v>136</v>
      </c>
      <c r="J116" s="11">
        <f>VLOOKUP($A116, '26 ADP Data'!$C$3:$Q$298, 10, FALSE)</f>
        <v>146</v>
      </c>
      <c r="K116" s="11">
        <v>114.0</v>
      </c>
    </row>
    <row r="117" ht="14.25" customHeight="1">
      <c r="A117" s="11" t="s">
        <v>328</v>
      </c>
      <c r="B117" s="11" t="str">
        <f>VLOOKUP($A117, '26 ADP Data'!$C$3:$R$298, 2, FALSE)</f>
        <v>PHI</v>
      </c>
      <c r="C117" s="11" t="str">
        <f>VLOOKUP($A117, '26 ADP Data'!$C$3:$R$298, 16, FALSE)</f>
        <v>TE</v>
      </c>
      <c r="D117" s="11"/>
      <c r="E117" s="11"/>
      <c r="F117" s="16" t="s">
        <v>466</v>
      </c>
      <c r="G117" s="16">
        <v>12.0</v>
      </c>
      <c r="H117" s="11"/>
      <c r="I117" s="11">
        <f>VLOOKUP($A117, '26 ADP Data'!$C$3:$Q$298, 13, FALSE)</f>
        <v>132</v>
      </c>
      <c r="J117" s="11">
        <f>VLOOKUP($A117, '26 ADP Data'!$C$3:$Q$298, 10, FALSE)</f>
        <v>116</v>
      </c>
      <c r="K117" s="11">
        <v>106.0</v>
      </c>
    </row>
    <row r="118" ht="14.25" hidden="1" customHeight="1">
      <c r="A118" s="11" t="s">
        <v>346</v>
      </c>
      <c r="B118" s="11" t="str">
        <f>VLOOKUP($A118, '26 ADP Data'!$C$3:$R$298, 2, FALSE)</f>
        <v>DET</v>
      </c>
      <c r="C118" s="11" t="str">
        <f>VLOOKUP($A118, '26 ADP Data'!$C$3:$R$298, 16, FALSE)</f>
        <v>QB</v>
      </c>
      <c r="D118" s="11"/>
      <c r="E118" s="11"/>
      <c r="F118" s="11" t="s">
        <v>591</v>
      </c>
      <c r="G118" s="11">
        <v>16.0</v>
      </c>
      <c r="H118" s="11"/>
      <c r="I118" s="11">
        <f>VLOOKUP($A118, '26 ADP Data'!$C$3:$Q$298, 13, FALSE)</f>
        <v>114</v>
      </c>
      <c r="J118" s="11">
        <f>VLOOKUP($A118, '26 ADP Data'!$C$3:$Q$298, 10, FALSE)</f>
        <v>120</v>
      </c>
      <c r="K118" s="11">
        <v>129.0</v>
      </c>
    </row>
    <row r="119" ht="14.25" hidden="1" customHeight="1">
      <c r="A119" s="11" t="s">
        <v>294</v>
      </c>
      <c r="B119" s="11" t="str">
        <f>VLOOKUP($A119, '26 ADP Data'!$C$3:$R$298, 2, FALSE)</f>
        <v>TB</v>
      </c>
      <c r="C119" s="11" t="str">
        <f>VLOOKUP($A119, '26 ADP Data'!$C$3:$R$298, 16, FALSE)</f>
        <v>RB</v>
      </c>
      <c r="D119" s="11"/>
      <c r="E119" s="11"/>
      <c r="F119" s="16" t="s">
        <v>607</v>
      </c>
      <c r="G119" s="16">
        <v>40.0</v>
      </c>
      <c r="H119" s="11"/>
      <c r="I119" s="11">
        <f>VLOOKUP($A119, '26 ADP Data'!$C$3:$Q$298, 13, FALSE)</f>
        <v>109</v>
      </c>
      <c r="J119" s="11">
        <f>VLOOKUP($A119, '26 ADP Data'!$C$3:$Q$298, 10, FALSE)</f>
        <v>115</v>
      </c>
      <c r="K119" s="11">
        <v>103.0</v>
      </c>
    </row>
    <row r="120" ht="14.25" customHeight="1">
      <c r="A120" s="11" t="s">
        <v>334</v>
      </c>
      <c r="B120" s="11" t="str">
        <f>VLOOKUP($A120, '26 ADP Data'!$C$3:$R$298, 2, FALSE)</f>
        <v>BUF</v>
      </c>
      <c r="C120" s="11" t="str">
        <f>VLOOKUP($A120, '26 ADP Data'!$C$3:$R$298, 16, FALSE)</f>
        <v>TE</v>
      </c>
      <c r="D120" s="11"/>
      <c r="E120" s="11"/>
      <c r="F120" s="16" t="s">
        <v>466</v>
      </c>
      <c r="G120" s="16">
        <v>13.0</v>
      </c>
      <c r="H120" s="11"/>
      <c r="I120" s="11">
        <f>VLOOKUP($A120, '26 ADP Data'!$C$3:$Q$298, 13, FALSE)</f>
        <v>120</v>
      </c>
      <c r="J120" s="11">
        <f>VLOOKUP($A120, '26 ADP Data'!$C$3:$Q$298, 10, FALSE)</f>
        <v>106</v>
      </c>
      <c r="K120" s="11">
        <v>101.0</v>
      </c>
    </row>
    <row r="121" ht="14.25" hidden="1" customHeight="1">
      <c r="A121" s="11" t="s">
        <v>361</v>
      </c>
      <c r="B121" s="11" t="str">
        <f>VLOOKUP($A121, '26 ADP Data'!$C$3:$R$298, 2, FALSE)</f>
        <v>MIN</v>
      </c>
      <c r="C121" s="11" t="str">
        <f>VLOOKUP($A121, '26 ADP Data'!$C$3:$R$298, 16, FALSE)</f>
        <v>QB</v>
      </c>
      <c r="D121" s="11"/>
      <c r="E121" s="11"/>
      <c r="F121" s="11" t="s">
        <v>591</v>
      </c>
      <c r="G121" s="11">
        <v>18.0</v>
      </c>
      <c r="H121" s="11"/>
      <c r="I121" s="11">
        <f>VLOOKUP($A121, '26 ADP Data'!$C$3:$Q$298, 13, FALSE)</f>
        <v>116</v>
      </c>
      <c r="J121" s="11">
        <f>VLOOKUP($A121, '26 ADP Data'!$C$3:$Q$298, 10, FALSE)</f>
        <v>112</v>
      </c>
      <c r="K121" s="11">
        <v>96.0</v>
      </c>
    </row>
    <row r="122" ht="14.25" customHeight="1">
      <c r="A122" s="11" t="s">
        <v>337</v>
      </c>
      <c r="B122" s="11" t="str">
        <f>VLOOKUP($A122, '26 ADP Data'!$C$3:$R$298, 2, FALSE)</f>
        <v>NYG</v>
      </c>
      <c r="C122" s="11" t="str">
        <f>VLOOKUP($A122, '26 ADP Data'!$C$3:$R$298, 16, FALSE)</f>
        <v>TE</v>
      </c>
      <c r="D122" s="11"/>
      <c r="E122" s="11"/>
      <c r="F122" s="16" t="s">
        <v>710</v>
      </c>
      <c r="G122" s="16">
        <v>14.0</v>
      </c>
      <c r="H122" s="11"/>
      <c r="I122" s="11">
        <f>VLOOKUP($A122, '26 ADP Data'!$C$3:$Q$298, 13, FALSE)</f>
        <v>125</v>
      </c>
      <c r="J122" s="11">
        <f>VLOOKUP($A122, '26 ADP Data'!$C$3:$Q$298, 10, FALSE)</f>
        <v>121</v>
      </c>
      <c r="K122" s="11">
        <v>118.0</v>
      </c>
    </row>
    <row r="123" ht="14.25" hidden="1" customHeight="1">
      <c r="A123" s="11" t="s">
        <v>332</v>
      </c>
      <c r="B123" s="11" t="str">
        <f>VLOOKUP($A123, '26 ADP Data'!$C$3:$R$298, 2, FALSE)</f>
        <v>WAS</v>
      </c>
      <c r="C123" s="11" t="str">
        <f>VLOOKUP($A123, '26 ADP Data'!$C$3:$R$298, 16, FALSE)</f>
        <v>RB</v>
      </c>
      <c r="D123" s="11"/>
      <c r="E123" s="11"/>
      <c r="F123" s="16" t="s">
        <v>607</v>
      </c>
      <c r="G123" s="16">
        <v>41.0</v>
      </c>
      <c r="H123" s="11"/>
      <c r="I123" s="11">
        <f>VLOOKUP($A123, '26 ADP Data'!$C$3:$Q$298, 13, FALSE)</f>
        <v>119</v>
      </c>
      <c r="J123" s="11">
        <f>VLOOKUP($A123, '26 ADP Data'!$C$3:$Q$298, 10, FALSE)</f>
        <v>113</v>
      </c>
      <c r="K123" s="11">
        <v>119.0</v>
      </c>
    </row>
    <row r="124" ht="14.25" hidden="1" customHeight="1">
      <c r="A124" s="11" t="s">
        <v>330</v>
      </c>
      <c r="B124" s="11" t="str">
        <f>VLOOKUP($A124, '26 ADP Data'!$C$3:$R$298, 2, FALSE)</f>
        <v>GB</v>
      </c>
      <c r="C124" s="11" t="str">
        <f>VLOOKUP($A124, '26 ADP Data'!$C$3:$R$298, 16, FALSE)</f>
        <v>WR</v>
      </c>
      <c r="D124" s="11"/>
      <c r="E124" s="11"/>
      <c r="F124" s="11" t="s">
        <v>546</v>
      </c>
      <c r="G124" s="16">
        <v>51.0</v>
      </c>
      <c r="H124" s="11" t="s">
        <v>276</v>
      </c>
      <c r="I124" s="11">
        <f>VLOOKUP($A124, '26 ADP Data'!$C$3:$Q$298, 13, FALSE)</f>
        <v>100</v>
      </c>
      <c r="J124" s="11">
        <f>VLOOKUP($A124, '26 ADP Data'!$C$3:$Q$298, 10, FALSE)</f>
        <v>104</v>
      </c>
      <c r="K124" s="11">
        <v>137.0</v>
      </c>
    </row>
    <row r="125" ht="14.25" hidden="1" customHeight="1">
      <c r="A125" s="11" t="s">
        <v>344</v>
      </c>
      <c r="B125" s="11" t="str">
        <f>VLOOKUP($A125, '26 ADP Data'!$C$3:$R$298, 2, FALSE)</f>
        <v>CLE</v>
      </c>
      <c r="C125" s="11" t="str">
        <f>VLOOKUP($A125, '26 ADP Data'!$C$3:$R$298, 16, FALSE)</f>
        <v>WR</v>
      </c>
      <c r="D125" s="11"/>
      <c r="E125" s="16" t="s">
        <v>106</v>
      </c>
      <c r="F125" s="16" t="s">
        <v>729</v>
      </c>
      <c r="G125" s="16">
        <v>52.0</v>
      </c>
      <c r="H125" s="11" t="s">
        <v>730</v>
      </c>
      <c r="I125" s="11">
        <f>VLOOKUP($A125, '26 ADP Data'!$C$3:$Q$298, 13, FALSE)</f>
        <v>112</v>
      </c>
      <c r="J125" s="11">
        <f>VLOOKUP($A125, '26 ADP Data'!$C$3:$Q$298, 10, FALSE)</f>
        <v>105</v>
      </c>
      <c r="K125" s="11">
        <v>132.0</v>
      </c>
    </row>
    <row r="126" ht="14.25" hidden="1" customHeight="1">
      <c r="A126" s="11" t="s">
        <v>401</v>
      </c>
      <c r="B126" s="11" t="str">
        <f>VLOOKUP($A126, '26 ADP Data'!$C$3:$R$298, 2, FALSE)</f>
        <v>CLE</v>
      </c>
      <c r="C126" s="11" t="str">
        <f>VLOOKUP($A126, '26 ADP Data'!$C$3:$R$298, 16, FALSE)</f>
        <v>WR</v>
      </c>
      <c r="D126" s="11"/>
      <c r="E126" s="11"/>
      <c r="F126" s="16" t="s">
        <v>729</v>
      </c>
      <c r="G126" s="16">
        <v>53.0</v>
      </c>
      <c r="H126" s="11" t="s">
        <v>737</v>
      </c>
      <c r="I126" s="11">
        <f>VLOOKUP($A126, '26 ADP Data'!$C$3:$Q$298, 13, FALSE)</f>
        <v>139</v>
      </c>
      <c r="J126" s="11">
        <f>VLOOKUP($A126, '26 ADP Data'!$C$3:$Q$298, 10, FALSE)</f>
        <v>136</v>
      </c>
      <c r="K126" s="11">
        <v>154.0</v>
      </c>
    </row>
    <row r="127" ht="14.25" customHeight="1">
      <c r="A127" s="11" t="s">
        <v>357</v>
      </c>
      <c r="B127" s="11" t="str">
        <f>VLOOKUP($A127, '26 ADP Data'!$C$3:$R$298, 2, FALSE)</f>
        <v>BAL</v>
      </c>
      <c r="C127" s="11" t="str">
        <f>VLOOKUP($A127, '26 ADP Data'!$C$3:$R$298, 16, FALSE)</f>
        <v>TE</v>
      </c>
      <c r="D127" s="11"/>
      <c r="E127" s="11"/>
      <c r="F127" s="16" t="s">
        <v>710</v>
      </c>
      <c r="G127" s="16">
        <v>16.0</v>
      </c>
      <c r="H127" s="11"/>
      <c r="I127" s="11">
        <f>VLOOKUP($A127, '26 ADP Data'!$C$3:$Q$298, 13, FALSE)</f>
        <v>133</v>
      </c>
      <c r="J127" s="11">
        <f>VLOOKUP($A127, '26 ADP Data'!$C$3:$Q$298, 10, FALSE)</f>
        <v>128</v>
      </c>
      <c r="K127" s="11">
        <v>131.0</v>
      </c>
    </row>
    <row r="128" ht="14.25" hidden="1" customHeight="1">
      <c r="A128" s="11" t="s">
        <v>369</v>
      </c>
      <c r="B128" s="11" t="str">
        <f>VLOOKUP($A128, '26 ADP Data'!$C$3:$R$298, 2, FALSE)</f>
        <v>TB</v>
      </c>
      <c r="C128" s="11" t="str">
        <f>VLOOKUP($A128, '26 ADP Data'!$C$3:$R$298, 16, FALSE)</f>
        <v>QB</v>
      </c>
      <c r="D128" s="11"/>
      <c r="E128" s="11"/>
      <c r="F128" s="11" t="s">
        <v>591</v>
      </c>
      <c r="G128" s="11">
        <v>17.0</v>
      </c>
      <c r="H128" s="11"/>
      <c r="I128" s="11">
        <f>VLOOKUP($A128, '26 ADP Data'!$C$3:$Q$298, 13, FALSE)</f>
        <v>122</v>
      </c>
      <c r="J128" s="11">
        <f>VLOOKUP($A128, '26 ADP Data'!$C$3:$Q$298, 10, FALSE)</f>
        <v>134</v>
      </c>
      <c r="K128" s="11">
        <v>138.0</v>
      </c>
    </row>
    <row r="129" ht="14.25" hidden="1" customHeight="1">
      <c r="A129" s="11" t="s">
        <v>376</v>
      </c>
      <c r="B129" s="11" t="str">
        <f>VLOOKUP($A129, '26 ADP Data'!$C$3:$R$298, 2, FALSE)</f>
        <v>GB</v>
      </c>
      <c r="C129" s="11" t="str">
        <f>VLOOKUP($A129, '26 ADP Data'!$C$3:$R$298, 16, FALSE)</f>
        <v>QB</v>
      </c>
      <c r="D129" s="11"/>
      <c r="E129" s="11"/>
      <c r="F129" s="11" t="s">
        <v>591</v>
      </c>
      <c r="G129" s="11">
        <v>19.0</v>
      </c>
      <c r="H129" s="11"/>
      <c r="I129" s="11">
        <f>VLOOKUP($A129, '26 ADP Data'!$C$3:$Q$298, 13, FALSE)</f>
        <v>117</v>
      </c>
      <c r="J129" s="11">
        <f>VLOOKUP($A129, '26 ADP Data'!$C$3:$Q$298, 10, FALSE)</f>
        <v>130</v>
      </c>
      <c r="K129" s="11">
        <v>130.0</v>
      </c>
    </row>
    <row r="130" ht="14.25" hidden="1" customHeight="1">
      <c r="A130" s="11" t="s">
        <v>382</v>
      </c>
      <c r="B130" s="11" t="str">
        <f>VLOOKUP($A130, '26 ADP Data'!$C$3:$R$298, 2, FALSE)</f>
        <v>NO</v>
      </c>
      <c r="C130" s="11" t="str">
        <f>VLOOKUP($A130, '26 ADP Data'!$C$3:$R$298, 16, FALSE)</f>
        <v>QB</v>
      </c>
      <c r="D130" s="11"/>
      <c r="E130" s="11"/>
      <c r="F130" s="11"/>
      <c r="G130" s="11"/>
      <c r="H130" s="11"/>
      <c r="I130" s="11">
        <f>VLOOKUP($A130, '26 ADP Data'!$C$3:$Q$298, 13, FALSE)</f>
        <v>126</v>
      </c>
      <c r="J130" s="11">
        <f>VLOOKUP($A130, '26 ADP Data'!$C$3:$Q$298, 10, FALSE)</f>
        <v>138</v>
      </c>
      <c r="K130" s="11">
        <v>133.0</v>
      </c>
    </row>
    <row r="131" ht="14.25" hidden="1" customHeight="1">
      <c r="A131" s="11" t="s">
        <v>342</v>
      </c>
      <c r="B131" s="11" t="str">
        <f>VLOOKUP($A131, '26 ADP Data'!$C$3:$R$298, 2, FALSE)</f>
        <v>JAX</v>
      </c>
      <c r="C131" s="11" t="str">
        <f>VLOOKUP($A131, '26 ADP Data'!$C$3:$R$298, 16, FALSE)</f>
        <v>WR</v>
      </c>
      <c r="D131" s="11"/>
      <c r="E131" s="11"/>
      <c r="F131" s="16" t="s">
        <v>729</v>
      </c>
      <c r="G131" s="16">
        <v>53.0</v>
      </c>
      <c r="H131" s="11"/>
      <c r="I131" s="11">
        <f>VLOOKUP($A131, '26 ADP Data'!$C$3:$Q$298, 13, FALSE)</f>
        <v>121</v>
      </c>
      <c r="J131" s="11">
        <f>VLOOKUP($A131, '26 ADP Data'!$C$3:$Q$298, 10, FALSE)</f>
        <v>123</v>
      </c>
      <c r="K131" s="11">
        <v>98.0</v>
      </c>
    </row>
    <row r="132" ht="14.25" hidden="1" customHeight="1">
      <c r="A132" s="11" t="s">
        <v>385</v>
      </c>
      <c r="B132" s="11" t="str">
        <f>VLOOKUP($A132, '26 ADP Data'!$C$3:$R$298, 2, FALSE)</f>
        <v>SEA</v>
      </c>
      <c r="C132" s="11" t="str">
        <f>VLOOKUP($A132, '26 ADP Data'!$C$3:$R$298, 16, FALSE)</f>
        <v>WR</v>
      </c>
      <c r="D132" s="11"/>
      <c r="E132" s="11"/>
      <c r="F132" s="16" t="s">
        <v>729</v>
      </c>
      <c r="G132" s="16">
        <v>54.0</v>
      </c>
      <c r="H132" s="11"/>
      <c r="I132" s="11">
        <f>VLOOKUP($A132, '26 ADP Data'!$C$3:$Q$298, 13, FALSE)</f>
        <v>135</v>
      </c>
      <c r="J132" s="11">
        <f>VLOOKUP($A132, '26 ADP Data'!$C$3:$Q$298, 10, FALSE)</f>
        <v>135</v>
      </c>
      <c r="K132" s="11">
        <v>157.0</v>
      </c>
    </row>
    <row r="133" ht="14.25" hidden="1" customHeight="1">
      <c r="A133" s="11" t="s">
        <v>413</v>
      </c>
      <c r="B133" s="11" t="str">
        <f>VLOOKUP($A133, '26 ADP Data'!$C$3:$R$298, 2, FALSE)</f>
        <v>LV</v>
      </c>
      <c r="C133" s="11" t="str">
        <f>VLOOKUP($A133, '26 ADP Data'!$C$3:$R$298, 16, FALSE)</f>
        <v>WR</v>
      </c>
      <c r="D133" s="11"/>
      <c r="E133" s="16" t="s">
        <v>106</v>
      </c>
      <c r="F133" s="16" t="s">
        <v>729</v>
      </c>
      <c r="G133" s="16">
        <v>55.0</v>
      </c>
      <c r="H133" s="16" t="s">
        <v>738</v>
      </c>
      <c r="I133" s="11">
        <f>VLOOKUP($A133, '26 ADP Data'!$C$3:$Q$298, 13, FALSE)</f>
        <v>150</v>
      </c>
      <c r="J133" s="11">
        <f>VLOOKUP($A133, '26 ADP Data'!$C$3:$Q$298, 10, FALSE)</f>
        <v>149</v>
      </c>
      <c r="K133" s="11">
        <v>189.0</v>
      </c>
    </row>
    <row r="134" ht="14.25" hidden="1" customHeight="1">
      <c r="A134" s="11" t="s">
        <v>366</v>
      </c>
      <c r="B134" s="11" t="str">
        <f>VLOOKUP($A134, '26 ADP Data'!$C$3:$R$298, 2, FALSE)</f>
        <v>JAX</v>
      </c>
      <c r="C134" s="11" t="str">
        <f>VLOOKUP($A134, '26 ADP Data'!$C$3:$R$298, 16, FALSE)</f>
        <v>RB</v>
      </c>
      <c r="D134" s="11"/>
      <c r="E134" s="11"/>
      <c r="F134" s="16" t="s">
        <v>607</v>
      </c>
      <c r="G134" s="16">
        <v>41.0</v>
      </c>
      <c r="H134" s="11"/>
      <c r="I134" s="11">
        <f>VLOOKUP($A134, '26 ADP Data'!$C$3:$Q$298, 13, FALSE)</f>
        <v>124</v>
      </c>
      <c r="J134" s="11">
        <f>VLOOKUP($A134, '26 ADP Data'!$C$3:$Q$298, 10, FALSE)</f>
        <v>117</v>
      </c>
      <c r="K134" s="11">
        <v>124.0</v>
      </c>
    </row>
    <row r="135" ht="14.25" hidden="1" customHeight="1">
      <c r="A135" s="11" t="s">
        <v>350</v>
      </c>
      <c r="B135" s="11" t="str">
        <f>VLOOKUP($A135, '26 ADP Data'!$C$3:$R$298, 2, FALSE)</f>
        <v>MIN</v>
      </c>
      <c r="C135" s="11" t="str">
        <f>VLOOKUP($A135, '26 ADP Data'!$C$3:$R$298, 16, FALSE)</f>
        <v>RB</v>
      </c>
      <c r="D135" s="11"/>
      <c r="E135" s="11"/>
      <c r="F135" s="16" t="s">
        <v>607</v>
      </c>
      <c r="G135" s="16">
        <v>42.0</v>
      </c>
      <c r="H135" s="11"/>
      <c r="I135" s="11">
        <f>VLOOKUP($A135, '26 ADP Data'!$C$3:$Q$298, 13, FALSE)</f>
        <v>128</v>
      </c>
      <c r="J135" s="11">
        <f>VLOOKUP($A135, '26 ADP Data'!$C$3:$Q$298, 10, FALSE)</f>
        <v>124</v>
      </c>
      <c r="K135" s="11">
        <v>108.0</v>
      </c>
    </row>
    <row r="136" ht="14.25" hidden="1" customHeight="1">
      <c r="A136" s="11" t="s">
        <v>418</v>
      </c>
      <c r="B136" s="11" t="str">
        <f>VLOOKUP($A136, '26 ADP Data'!$C$3:$R$298, 2, FALSE)</f>
        <v>DET</v>
      </c>
      <c r="C136" s="11" t="str">
        <f>VLOOKUP($A136, '26 ADP Data'!$C$3:$R$298, 16, FALSE)</f>
        <v>RB</v>
      </c>
      <c r="D136" s="11"/>
      <c r="E136" s="11"/>
      <c r="F136" s="16" t="s">
        <v>607</v>
      </c>
      <c r="G136" s="16">
        <v>43.0</v>
      </c>
      <c r="H136" s="11"/>
      <c r="I136" s="11">
        <f>VLOOKUP($A136, '26 ADP Data'!$C$3:$Q$298, 13, FALSE)</f>
        <v>187</v>
      </c>
      <c r="J136" s="11">
        <f>VLOOKUP($A136, '26 ADP Data'!$C$3:$Q$298, 10, FALSE)</f>
        <v>178</v>
      </c>
      <c r="K136" s="11">
        <v>148.0</v>
      </c>
    </row>
    <row r="137" ht="14.25" hidden="1" customHeight="1">
      <c r="A137" s="11" t="s">
        <v>397</v>
      </c>
      <c r="B137" s="11" t="str">
        <f>VLOOKUP($A137, '26 ADP Data'!$C$3:$R$298, 2, FALSE)</f>
        <v>MIA</v>
      </c>
      <c r="C137" s="11" t="str">
        <f>VLOOKUP($A137, '26 ADP Data'!$C$3:$R$298, 16, FALSE)</f>
        <v>QB</v>
      </c>
      <c r="D137" s="11"/>
      <c r="E137" s="11"/>
      <c r="F137" s="11"/>
      <c r="G137" s="11"/>
      <c r="H137" s="11"/>
      <c r="I137" s="11">
        <f>VLOOKUP($A137, '26 ADP Data'!$C$3:$Q$298, 13, FALSE)</f>
        <v>134</v>
      </c>
      <c r="J137" s="11">
        <f>VLOOKUP($A137, '26 ADP Data'!$C$3:$Q$298, 10, FALSE)</f>
        <v>131</v>
      </c>
      <c r="K137" s="11">
        <v>121.0</v>
      </c>
    </row>
    <row r="138" ht="14.25" hidden="1" customHeight="1">
      <c r="A138" s="11" t="s">
        <v>456</v>
      </c>
      <c r="B138" s="11" t="str">
        <f>VLOOKUP($A138, '26 ADP Data'!$C$3:$R$298, 2, FALSE)</f>
        <v>BAL</v>
      </c>
      <c r="C138" s="11" t="str">
        <f>VLOOKUP($A138, '26 ADP Data'!$C$3:$R$298, 16, FALSE)</f>
        <v>WR</v>
      </c>
      <c r="D138" s="16">
        <v>13.0</v>
      </c>
      <c r="E138" s="16" t="s">
        <v>106</v>
      </c>
      <c r="F138" s="16" t="s">
        <v>729</v>
      </c>
      <c r="G138" s="16">
        <v>56.0</v>
      </c>
      <c r="H138" s="11" t="s">
        <v>774</v>
      </c>
      <c r="I138" s="11">
        <f>VLOOKUP($A138, '26 ADP Data'!$C$3:$Q$298, 13, FALSE)</f>
        <v>151</v>
      </c>
      <c r="J138" s="11">
        <f>VLOOKUP($A138, '26 ADP Data'!$C$3:$Q$298, 10, FALSE)</f>
        <v>189</v>
      </c>
      <c r="K138" s="11" t="s">
        <v>452</v>
      </c>
    </row>
    <row r="139" ht="14.25" hidden="1" customHeight="1">
      <c r="A139" s="11" t="s">
        <v>380</v>
      </c>
      <c r="B139" s="11" t="str">
        <f>VLOOKUP($A139, '26 ADP Data'!$C$3:$R$298, 2, FALSE)</f>
        <v>ARI</v>
      </c>
      <c r="C139" s="11" t="str">
        <f>VLOOKUP($A139, '26 ADP Data'!$C$3:$R$298, 16, FALSE)</f>
        <v>RB</v>
      </c>
      <c r="D139" s="11"/>
      <c r="E139" s="11"/>
      <c r="F139" s="16" t="s">
        <v>607</v>
      </c>
      <c r="G139" s="16">
        <v>44.0</v>
      </c>
      <c r="H139" s="11"/>
      <c r="I139" s="11">
        <f>VLOOKUP($A139, '26 ADP Data'!$C$3:$Q$298, 13, FALSE)</f>
        <v>138</v>
      </c>
      <c r="J139" s="11">
        <f>VLOOKUP($A139, '26 ADP Data'!$C$3:$Q$298, 10, FALSE)</f>
        <v>139</v>
      </c>
      <c r="K139" s="11">
        <v>112.0</v>
      </c>
    </row>
    <row r="140" ht="14.25" hidden="1" customHeight="1">
      <c r="A140" s="11" t="s">
        <v>510</v>
      </c>
      <c r="B140" s="11" t="str">
        <f>VLOOKUP($A140, '26 ADP Data'!$C$3:$R$298, 2, FALSE)</f>
        <v>NYJ</v>
      </c>
      <c r="C140" s="11" t="str">
        <f>VLOOKUP($A140, '26 ADP Data'!$C$3:$R$298, 16, FALSE)</f>
        <v>WR</v>
      </c>
      <c r="D140" s="11"/>
      <c r="E140" s="16" t="s">
        <v>106</v>
      </c>
      <c r="F140" s="16" t="s">
        <v>729</v>
      </c>
      <c r="G140" s="16">
        <v>57.0</v>
      </c>
      <c r="H140" s="11" t="s">
        <v>778</v>
      </c>
      <c r="I140" s="11">
        <f>VLOOKUP($A140, '26 ADP Data'!$C$3:$Q$298, 13, FALSE)</f>
        <v>170</v>
      </c>
      <c r="J140" s="11">
        <f>VLOOKUP($A140, '26 ADP Data'!$C$3:$Q$298, 10, FALSE)</f>
        <v>204</v>
      </c>
      <c r="K140" s="11">
        <v>158.0</v>
      </c>
    </row>
    <row r="141" ht="14.25" hidden="1" customHeight="1">
      <c r="A141" s="11" t="s">
        <v>416</v>
      </c>
      <c r="B141" s="11" t="str">
        <f>VLOOKUP($A141, '26 ADP Data'!$C$3:$R$298, 2, FALSE)</f>
        <v>NO</v>
      </c>
      <c r="C141" s="11" t="str">
        <f>VLOOKUP($A141, '26 ADP Data'!$C$3:$R$298, 16, FALSE)</f>
        <v>RB</v>
      </c>
      <c r="D141" s="11"/>
      <c r="E141" s="11"/>
      <c r="F141" s="16" t="s">
        <v>607</v>
      </c>
      <c r="G141" s="16">
        <v>45.0</v>
      </c>
      <c r="H141" s="11"/>
      <c r="I141" s="11">
        <f>VLOOKUP($A141, '26 ADP Data'!$C$3:$Q$298, 13, FALSE)</f>
        <v>183</v>
      </c>
      <c r="J141" s="11">
        <f>VLOOKUP($A141, '26 ADP Data'!$C$3:$Q$298, 10, FALSE)</f>
        <v>188</v>
      </c>
      <c r="K141" s="11">
        <v>149.0</v>
      </c>
    </row>
    <row r="142" ht="14.25" customHeight="1">
      <c r="A142" s="11" t="s">
        <v>399</v>
      </c>
      <c r="B142" s="11" t="str">
        <f>VLOOKUP($A142, '26 ADP Data'!$C$3:$R$298, 2, FALSE)</f>
        <v>JAX</v>
      </c>
      <c r="C142" s="11" t="str">
        <f>VLOOKUP($A142, '26 ADP Data'!$C$3:$R$298, 16, FALSE)</f>
        <v>TE</v>
      </c>
      <c r="D142" s="11"/>
      <c r="E142" s="11"/>
      <c r="F142" s="11"/>
      <c r="G142" s="11"/>
      <c r="H142" s="11"/>
      <c r="I142" s="11">
        <f>VLOOKUP($A142, '26 ADP Data'!$C$3:$Q$298, 13, FALSE)</f>
        <v>148</v>
      </c>
      <c r="J142" s="11">
        <f>VLOOKUP($A142, '26 ADP Data'!$C$3:$Q$298, 10, FALSE)</f>
        <v>157</v>
      </c>
      <c r="K142" s="11">
        <v>139.0</v>
      </c>
    </row>
    <row r="143" ht="14.25" customHeight="1">
      <c r="A143" s="11" t="s">
        <v>500</v>
      </c>
      <c r="B143" s="11" t="str">
        <f>VLOOKUP($A143, '26 ADP Data'!$C$3:$R$298, 2, FALSE)</f>
        <v>LAC</v>
      </c>
      <c r="C143" s="11" t="str">
        <f>VLOOKUP($A143, '26 ADP Data'!$C$3:$R$298, 16, FALSE)</f>
        <v>TE</v>
      </c>
      <c r="D143" s="11"/>
      <c r="E143" s="11"/>
      <c r="F143" s="11"/>
      <c r="G143" s="11"/>
      <c r="H143" s="11"/>
      <c r="I143" s="11">
        <f>VLOOKUP($A143, '26 ADP Data'!$C$3:$Q$298, 13, FALSE)</f>
        <v>190</v>
      </c>
      <c r="J143" s="11">
        <f>VLOOKUP($A143, '26 ADP Data'!$C$3:$Q$298, 10, FALSE)</f>
        <v>224</v>
      </c>
      <c r="K143" s="11">
        <v>134.0</v>
      </c>
    </row>
    <row r="144" ht="14.25" hidden="1" customHeight="1">
      <c r="A144" s="11" t="s">
        <v>435</v>
      </c>
      <c r="B144" s="11" t="str">
        <f>VLOOKUP($A144, '26 ADP Data'!$C$3:$R$298, 2, FALSE)</f>
        <v>NYG</v>
      </c>
      <c r="C144" s="11" t="str">
        <f>VLOOKUP($A144, '26 ADP Data'!$C$3:$R$298, 16, FALSE)</f>
        <v>RB</v>
      </c>
      <c r="D144" s="11"/>
      <c r="E144" s="11"/>
      <c r="F144" s="16" t="s">
        <v>607</v>
      </c>
      <c r="G144" s="16">
        <v>46.0</v>
      </c>
      <c r="H144" s="11"/>
      <c r="I144" s="11">
        <f>VLOOKUP($A144, '26 ADP Data'!$C$3:$Q$298, 13, FALSE)</f>
        <v>153</v>
      </c>
      <c r="J144" s="11">
        <f>VLOOKUP($A144, '26 ADP Data'!$C$3:$Q$298, 10, FALSE)</f>
        <v>197</v>
      </c>
      <c r="K144" s="11">
        <v>123.0</v>
      </c>
    </row>
    <row r="145" ht="14.25" hidden="1" customHeight="1">
      <c r="A145" s="11" t="s">
        <v>560</v>
      </c>
      <c r="B145" s="11" t="str">
        <f>VLOOKUP($A145, '26 ADP Data'!$C$3:$R$298, 2, FALSE)</f>
        <v>TEN</v>
      </c>
      <c r="C145" s="11" t="str">
        <f>VLOOKUP($A145, '26 ADP Data'!$C$3:$R$298, 16, FALSE)</f>
        <v>RB</v>
      </c>
      <c r="D145" s="11"/>
      <c r="E145" s="11"/>
      <c r="F145" s="16" t="s">
        <v>607</v>
      </c>
      <c r="G145" s="16">
        <v>47.0</v>
      </c>
      <c r="H145" s="11" t="s">
        <v>787</v>
      </c>
      <c r="I145" s="11">
        <f>VLOOKUP($A145, '26 ADP Data'!$C$3:$Q$298, 13, FALSE)</f>
        <v>212</v>
      </c>
      <c r="J145" s="11">
        <f>VLOOKUP($A145, '26 ADP Data'!$C$3:$Q$298, 10, FALSE)</f>
        <v>199</v>
      </c>
      <c r="K145" s="11">
        <v>172.0</v>
      </c>
    </row>
    <row r="146" ht="14.25" customHeight="1">
      <c r="A146" s="11" t="s">
        <v>389</v>
      </c>
      <c r="B146" s="11" t="str">
        <f>VLOOKUP($A146, '26 ADP Data'!$C$3:$R$298, 2, FALSE)</f>
        <v>NO</v>
      </c>
      <c r="C146" s="11" t="str">
        <f>VLOOKUP($A146, '26 ADP Data'!$C$3:$R$298, 16, FALSE)</f>
        <v>TE</v>
      </c>
      <c r="D146" s="11"/>
      <c r="E146" s="11"/>
      <c r="F146" s="16" t="s">
        <v>710</v>
      </c>
      <c r="G146" s="16">
        <v>15.0</v>
      </c>
      <c r="H146" s="11"/>
      <c r="I146" s="11">
        <f>VLOOKUP($A146, '26 ADP Data'!$C$3:$Q$298, 13, FALSE)</f>
        <v>140</v>
      </c>
      <c r="J146" s="11">
        <f>VLOOKUP($A146, '26 ADP Data'!$C$3:$Q$298, 10, FALSE)</f>
        <v>133</v>
      </c>
      <c r="K146" s="11">
        <v>161.0</v>
      </c>
    </row>
    <row r="147" ht="14.25" customHeight="1">
      <c r="A147" s="11" t="s">
        <v>409</v>
      </c>
      <c r="B147" s="11" t="str">
        <f>VLOOKUP($A147, '26 ADP Data'!$C$3:$R$298, 2, FALSE)</f>
        <v>WAS</v>
      </c>
      <c r="C147" s="11" t="str">
        <f>VLOOKUP($A147, '26 ADP Data'!$C$3:$R$298, 16, FALSE)</f>
        <v>TE</v>
      </c>
      <c r="D147" s="11"/>
      <c r="E147" s="11"/>
      <c r="F147" s="11"/>
      <c r="G147" s="11"/>
      <c r="H147" s="11"/>
      <c r="I147" s="11">
        <f>VLOOKUP($A147, '26 ADP Data'!$C$3:$Q$298, 13, FALSE)</f>
        <v>146</v>
      </c>
      <c r="J147" s="11">
        <f>VLOOKUP($A147, '26 ADP Data'!$C$3:$Q$298, 10, FALSE)</f>
        <v>152</v>
      </c>
      <c r="K147" s="11">
        <v>185.0</v>
      </c>
    </row>
    <row r="148" ht="14.25" hidden="1" customHeight="1">
      <c r="A148" s="11" t="s">
        <v>359</v>
      </c>
      <c r="B148" s="11" t="str">
        <f>VLOOKUP($A148, '26 ADP Data'!$C$3:$R$298, 2, FALSE)</f>
        <v>NE</v>
      </c>
      <c r="C148" s="11" t="str">
        <f>VLOOKUP($A148, '26 ADP Data'!$C$3:$R$298, 16, FALSE)</f>
        <v>WR</v>
      </c>
      <c r="D148" s="11"/>
      <c r="E148" s="11"/>
      <c r="F148" s="16" t="s">
        <v>729</v>
      </c>
      <c r="G148" s="16">
        <v>58.0</v>
      </c>
      <c r="H148" s="11"/>
      <c r="I148" s="11">
        <f>VLOOKUP($A148, '26 ADP Data'!$C$3:$Q$298, 13, FALSE)</f>
        <v>118</v>
      </c>
      <c r="J148" s="11">
        <f>VLOOKUP($A148, '26 ADP Data'!$C$3:$Q$298, 10, FALSE)</f>
        <v>122</v>
      </c>
      <c r="K148" s="11">
        <v>128.0</v>
      </c>
    </row>
    <row r="149" ht="14.25" hidden="1" customHeight="1">
      <c r="A149" s="11" t="s">
        <v>299</v>
      </c>
      <c r="B149" s="11" t="str">
        <f>VLOOKUP($A149, '26 ADP Data'!$C$3:$R$298, 2, FALSE)</f>
        <v>WAS</v>
      </c>
      <c r="C149" s="11" t="str">
        <f>VLOOKUP($A149, '26 ADP Data'!$C$3:$R$298, 16, FALSE)</f>
        <v>WR</v>
      </c>
      <c r="D149" s="11"/>
      <c r="E149" s="11"/>
      <c r="F149" s="16" t="s">
        <v>729</v>
      </c>
      <c r="G149" s="16">
        <v>59.0</v>
      </c>
      <c r="H149" s="11"/>
      <c r="I149" s="11">
        <f>VLOOKUP($A149, '26 ADP Data'!$C$3:$Q$298, 13, FALSE)</f>
        <v>92</v>
      </c>
      <c r="J149" s="11">
        <f>VLOOKUP($A149, '26 ADP Data'!$C$3:$Q$298, 10, FALSE)</f>
        <v>88</v>
      </c>
      <c r="K149" s="11">
        <v>143.0</v>
      </c>
    </row>
    <row r="150" ht="14.25" customHeight="1">
      <c r="A150" s="11" t="s">
        <v>405</v>
      </c>
      <c r="B150" s="11" t="str">
        <f>VLOOKUP($A150, '26 ADP Data'!$C$3:$R$298, 2, FALSE)</f>
        <v>NE</v>
      </c>
      <c r="C150" s="11" t="str">
        <f>VLOOKUP($A150, '26 ADP Data'!$C$3:$R$298, 16, FALSE)</f>
        <v>TE</v>
      </c>
      <c r="D150" s="11"/>
      <c r="E150" s="11"/>
      <c r="F150" s="11"/>
      <c r="G150" s="11"/>
      <c r="H150" s="11"/>
      <c r="I150" s="11">
        <f>VLOOKUP($A150, '26 ADP Data'!$C$3:$Q$298, 13, FALSE)</f>
        <v>154</v>
      </c>
      <c r="J150" s="11">
        <f>VLOOKUP($A150, '26 ADP Data'!$C$3:$Q$298, 10, FALSE)</f>
        <v>159</v>
      </c>
      <c r="K150" s="11">
        <v>152.0</v>
      </c>
    </row>
    <row r="151" ht="14.25" hidden="1" customHeight="1">
      <c r="A151" s="11" t="s">
        <v>364</v>
      </c>
      <c r="B151" s="11" t="str">
        <f>VLOOKUP($A151, '26 ADP Data'!$C$3:$R$298, 2, FALSE)</f>
        <v>SF</v>
      </c>
      <c r="C151" s="11" t="str">
        <f>VLOOKUP($A151, '26 ADP Data'!$C$3:$R$298, 16, FALSE)</f>
        <v>WR</v>
      </c>
      <c r="D151" s="11"/>
      <c r="E151" s="11"/>
      <c r="F151" s="16" t="s">
        <v>729</v>
      </c>
      <c r="G151" s="16">
        <v>61.0</v>
      </c>
      <c r="H151" s="11"/>
      <c r="I151" s="11">
        <f>VLOOKUP($A151, '26 ADP Data'!$C$3:$Q$298, 13, FALSE)</f>
        <v>127</v>
      </c>
      <c r="J151" s="11">
        <f>VLOOKUP($A151, '26 ADP Data'!$C$3:$Q$298, 10, FALSE)</f>
        <v>148</v>
      </c>
      <c r="K151" s="11">
        <v>144.0</v>
      </c>
    </row>
    <row r="152" ht="14.25" hidden="1" customHeight="1">
      <c r="A152" s="11" t="s">
        <v>378</v>
      </c>
      <c r="B152" s="11" t="str">
        <f>VLOOKUP($A152, '26 ADP Data'!$C$3:$R$298, 2, FALSE)</f>
        <v>HOU</v>
      </c>
      <c r="C152" s="11" t="str">
        <f>VLOOKUP($A152, '26 ADP Data'!$C$3:$R$298, 16, FALSE)</f>
        <v>RB</v>
      </c>
      <c r="D152" s="11"/>
      <c r="E152" s="11"/>
      <c r="F152" s="16" t="s">
        <v>607</v>
      </c>
      <c r="G152" s="16">
        <v>48.0</v>
      </c>
      <c r="H152" s="11" t="s">
        <v>340</v>
      </c>
      <c r="I152" s="11">
        <f>VLOOKUP($A152, '26 ADP Data'!$C$3:$Q$298, 13, FALSE)</f>
        <v>137</v>
      </c>
      <c r="J152" s="11">
        <f>VLOOKUP($A152, '26 ADP Data'!$C$3:$Q$298, 10, FALSE)</f>
        <v>132</v>
      </c>
      <c r="K152" s="11">
        <v>135.0</v>
      </c>
    </row>
    <row r="153" ht="14.25" customHeight="1">
      <c r="A153" s="11" t="s">
        <v>431</v>
      </c>
      <c r="B153" s="11" t="str">
        <f>VLOOKUP($A153, '26 ADP Data'!$C$3:$R$298, 2, FALSE)</f>
        <v>NYJ</v>
      </c>
      <c r="C153" s="11" t="str">
        <f>VLOOKUP($A153, '26 ADP Data'!$C$3:$R$298, 16, FALSE)</f>
        <v>TE</v>
      </c>
      <c r="D153" s="11"/>
      <c r="E153" s="11"/>
      <c r="F153" s="11"/>
      <c r="G153" s="11"/>
      <c r="H153" s="11"/>
      <c r="I153" s="11">
        <f>VLOOKUP($A153, '26 ADP Data'!$C$3:$Q$298, 13, FALSE)</f>
        <v>178</v>
      </c>
      <c r="J153" s="11">
        <f>VLOOKUP($A153, '26 ADP Data'!$C$3:$Q$298, 10, FALSE)</f>
        <v>203</v>
      </c>
      <c r="K153" s="11">
        <v>181.0</v>
      </c>
    </row>
    <row r="154" ht="14.25" hidden="1" customHeight="1">
      <c r="A154" s="11" t="s">
        <v>424</v>
      </c>
      <c r="B154" s="11" t="str">
        <f>VLOOKUP($A154, '26 ADP Data'!$C$3:$R$298, 2, FALSE)</f>
        <v>HOU</v>
      </c>
      <c r="C154" s="11" t="str">
        <f>VLOOKUP($A154, '26 ADP Data'!$C$3:$R$298, 16, FALSE)</f>
        <v>QB</v>
      </c>
      <c r="D154" s="11"/>
      <c r="E154" s="11"/>
      <c r="F154" s="11"/>
      <c r="G154" s="11"/>
      <c r="H154" s="11"/>
      <c r="I154" s="11">
        <f>VLOOKUP($A154, '26 ADP Data'!$C$3:$Q$298, 13, FALSE)</f>
        <v>145</v>
      </c>
      <c r="J154" s="11">
        <f>VLOOKUP($A154, '26 ADP Data'!$C$3:$Q$298, 10, FALSE)</f>
        <v>169</v>
      </c>
      <c r="K154" s="11">
        <v>156.0</v>
      </c>
    </row>
    <row r="155" ht="14.25" customHeight="1">
      <c r="A155" s="11" t="s">
        <v>426</v>
      </c>
      <c r="B155" s="11" t="str">
        <f>VLOOKUP($A155, '26 ADP Data'!$C$3:$R$298, 2, FALSE)</f>
        <v>MIN</v>
      </c>
      <c r="C155" s="11" t="str">
        <f>VLOOKUP($A155, '26 ADP Data'!$C$3:$R$298, 16, FALSE)</f>
        <v>TE</v>
      </c>
      <c r="D155" s="11"/>
      <c r="E155" s="11"/>
      <c r="F155" s="11"/>
      <c r="G155" s="11"/>
      <c r="H155" s="11"/>
      <c r="I155" s="11">
        <f>VLOOKUP($A155, '26 ADP Data'!$C$3:$Q$298, 13, FALSE)</f>
        <v>167</v>
      </c>
      <c r="J155" s="11">
        <f>VLOOKUP($A155, '26 ADP Data'!$C$3:$Q$298, 10, FALSE)</f>
        <v>198</v>
      </c>
      <c r="K155" s="11">
        <v>193.0</v>
      </c>
    </row>
    <row r="156" ht="14.25" hidden="1" customHeight="1">
      <c r="A156" s="11" t="s">
        <v>374</v>
      </c>
      <c r="B156" s="11" t="str">
        <f>VLOOKUP($A156, '26 ADP Data'!$C$3:$R$298, 2, FALSE)</f>
        <v>BUF</v>
      </c>
      <c r="C156" s="11" t="str">
        <f>VLOOKUP($A156, '26 ADP Data'!$C$3:$R$298, 16, FALSE)</f>
        <v>WR</v>
      </c>
      <c r="D156" s="11"/>
      <c r="E156" s="11"/>
      <c r="F156" s="16" t="s">
        <v>729</v>
      </c>
      <c r="G156" s="16">
        <v>62.0</v>
      </c>
      <c r="H156" s="11"/>
      <c r="I156" s="11">
        <f>VLOOKUP($A156, '26 ADP Data'!$C$3:$Q$298, 13, FALSE)</f>
        <v>131</v>
      </c>
      <c r="J156" s="11">
        <f>VLOOKUP($A156, '26 ADP Data'!$C$3:$Q$298, 10, FALSE)</f>
        <v>141</v>
      </c>
      <c r="K156" s="11">
        <v>136.0</v>
      </c>
    </row>
    <row r="157" ht="14.25" hidden="1" customHeight="1">
      <c r="A157" s="11" t="s">
        <v>411</v>
      </c>
      <c r="B157" s="11" t="str">
        <f>VLOOKUP($A157, '26 ADP Data'!$C$3:$R$298, 2, FALSE)</f>
        <v>IND</v>
      </c>
      <c r="C157" s="11" t="str">
        <f>VLOOKUP($A157, '26 ADP Data'!$C$3:$R$298, 16, FALSE)</f>
        <v>QB</v>
      </c>
      <c r="D157" s="11"/>
      <c r="E157" s="11"/>
      <c r="F157" s="11"/>
      <c r="G157" s="11"/>
      <c r="H157" s="11"/>
      <c r="I157" s="11">
        <f>VLOOKUP($A157, '26 ADP Data'!$C$3:$Q$298, 13, FALSE)</f>
        <v>144</v>
      </c>
      <c r="J157" s="11">
        <f>VLOOKUP($A157, '26 ADP Data'!$C$3:$Q$298, 10, FALSE)</f>
        <v>156</v>
      </c>
      <c r="K157" s="11">
        <v>171.0</v>
      </c>
    </row>
    <row r="158" ht="14.25" hidden="1" customHeight="1">
      <c r="A158" s="11" t="s">
        <v>444</v>
      </c>
      <c r="B158" s="11" t="str">
        <f>VLOOKUP($A158, '26 ADP Data'!$C$3:$R$298, 2, FALSE)</f>
        <v>TEN</v>
      </c>
      <c r="C158" s="11" t="str">
        <f>VLOOKUP($A158, '26 ADP Data'!$C$3:$R$298, 16, FALSE)</f>
        <v>WR</v>
      </c>
      <c r="D158" s="11"/>
      <c r="E158" s="11"/>
      <c r="F158" s="16" t="s">
        <v>729</v>
      </c>
      <c r="G158" s="16">
        <v>63.0</v>
      </c>
      <c r="H158" s="11"/>
      <c r="I158" s="11">
        <f>VLOOKUP($A158, '26 ADP Data'!$C$3:$Q$298, 13, FALSE)</f>
        <v>205</v>
      </c>
      <c r="J158" s="11">
        <f>VLOOKUP($A158, '26 ADP Data'!$C$3:$Q$298, 10, FALSE)</f>
        <v>213</v>
      </c>
      <c r="K158" s="11">
        <v>204.0</v>
      </c>
    </row>
    <row r="159" ht="14.25" hidden="1" customHeight="1">
      <c r="A159" s="11" t="s">
        <v>649</v>
      </c>
      <c r="B159" s="11" t="str">
        <f>VLOOKUP($A159, '26 ADP Data'!$C$3:$R$298, 2, FALSE)</f>
        <v>LV</v>
      </c>
      <c r="C159" s="11" t="str">
        <f>VLOOKUP($A159, '26 ADP Data'!$C$3:$R$298, 16, FALSE)</f>
        <v>WR</v>
      </c>
      <c r="D159" s="11"/>
      <c r="E159" s="11"/>
      <c r="F159" s="16" t="s">
        <v>729</v>
      </c>
      <c r="G159" s="16">
        <v>64.0</v>
      </c>
      <c r="H159" s="11" t="s">
        <v>414</v>
      </c>
      <c r="I159" s="11">
        <f>VLOOKUP($A159, '26 ADP Data'!$C$3:$Q$298, 13, FALSE)</f>
        <v>236</v>
      </c>
      <c r="J159" s="11">
        <f>VLOOKUP($A159, '26 ADP Data'!$C$3:$Q$298, 10, FALSE)</f>
        <v>232</v>
      </c>
      <c r="K159" s="11">
        <v>211.0</v>
      </c>
    </row>
    <row r="160" ht="14.25" hidden="1" customHeight="1">
      <c r="A160" s="11" t="s">
        <v>422</v>
      </c>
      <c r="B160" s="11" t="str">
        <f>VLOOKUP($A160, '26 ADP Data'!$C$3:$R$298, 2, FALSE)</f>
        <v>ATL</v>
      </c>
      <c r="C160" s="11" t="str">
        <f>VLOOKUP($A160, '26 ADP Data'!$C$3:$R$298, 16, FALSE)</f>
        <v>RB</v>
      </c>
      <c r="D160" s="11"/>
      <c r="E160" s="16" t="s">
        <v>106</v>
      </c>
      <c r="F160" s="16" t="s">
        <v>607</v>
      </c>
      <c r="G160" s="16">
        <v>49.0</v>
      </c>
      <c r="H160" s="11"/>
      <c r="I160" s="11">
        <f>VLOOKUP($A160, '26 ADP Data'!$C$3:$Q$298, 13, FALSE)</f>
        <v>182</v>
      </c>
      <c r="J160" s="11">
        <f>VLOOKUP($A160, '26 ADP Data'!$C$3:$Q$298, 10, FALSE)</f>
        <v>154</v>
      </c>
      <c r="K160" s="11">
        <v>147.0</v>
      </c>
    </row>
    <row r="161" ht="14.25" hidden="1" customHeight="1">
      <c r="A161" s="11" t="s">
        <v>393</v>
      </c>
      <c r="B161" s="11" t="str">
        <f>VLOOKUP($A161, '26 ADP Data'!$C$3:$R$298, 2, FALSE)</f>
        <v>TEN</v>
      </c>
      <c r="C161" s="11" t="str">
        <f>VLOOKUP($A161, '26 ADP Data'!$C$3:$R$298, 16, FALSE)</f>
        <v>RB</v>
      </c>
      <c r="D161" s="11"/>
      <c r="E161" s="11"/>
      <c r="F161" s="16" t="s">
        <v>607</v>
      </c>
      <c r="G161" s="16">
        <v>50.0</v>
      </c>
      <c r="H161" s="11"/>
      <c r="I161" s="11">
        <f>VLOOKUP($A161, '26 ADP Data'!$C$3:$Q$298, 13, FALSE)</f>
        <v>156</v>
      </c>
      <c r="J161" s="11">
        <f>VLOOKUP($A161, '26 ADP Data'!$C$3:$Q$298, 10, FALSE)</f>
        <v>140</v>
      </c>
      <c r="K161" s="11">
        <v>142.0</v>
      </c>
    </row>
    <row r="162" ht="14.25" hidden="1" customHeight="1">
      <c r="A162" s="11" t="s">
        <v>470</v>
      </c>
      <c r="B162" s="11" t="str">
        <f>VLOOKUP($A162, '26 ADP Data'!$C$3:$R$298, 2, FALSE)</f>
        <v>TEN</v>
      </c>
      <c r="C162" s="11" t="str">
        <f>VLOOKUP($A162, '26 ADP Data'!$C$3:$R$298, 16, FALSE)</f>
        <v>QB</v>
      </c>
      <c r="D162" s="11"/>
      <c r="E162" s="11"/>
      <c r="F162" s="11"/>
      <c r="G162" s="11"/>
      <c r="H162" s="11"/>
      <c r="I162" s="11">
        <f>VLOOKUP($A162, '26 ADP Data'!$C$3:$Q$298, 13, FALSE)</f>
        <v>158</v>
      </c>
      <c r="J162" s="11">
        <f>VLOOKUP($A162, '26 ADP Data'!$C$3:$Q$298, 10, FALSE)</f>
        <v>177</v>
      </c>
      <c r="K162" s="11">
        <v>174.0</v>
      </c>
    </row>
    <row r="163" ht="14.25" hidden="1" customHeight="1">
      <c r="A163" s="11" t="s">
        <v>568</v>
      </c>
      <c r="B163" s="11" t="str">
        <f>VLOOKUP($A163, '26 ADP Data'!$C$3:$R$298, 2, FALSE)</f>
        <v>NYG</v>
      </c>
      <c r="C163" s="11" t="str">
        <f>VLOOKUP($A163, '26 ADP Data'!$C$3:$R$298, 16, FALSE)</f>
        <v>WR</v>
      </c>
      <c r="D163" s="11"/>
      <c r="E163" s="16" t="s">
        <v>106</v>
      </c>
      <c r="F163" s="16" t="s">
        <v>729</v>
      </c>
      <c r="G163" s="16">
        <v>65.0</v>
      </c>
      <c r="H163" s="11" t="s">
        <v>788</v>
      </c>
      <c r="I163" s="11">
        <f>VLOOKUP($A163, '26 ADP Data'!$C$3:$Q$298, 13, FALSE)</f>
        <v>194</v>
      </c>
      <c r="J163" s="11">
        <f>VLOOKUP($A163, '26 ADP Data'!$C$3:$Q$298, 10, FALSE)</f>
        <v>242</v>
      </c>
      <c r="K163" s="11" t="s">
        <v>452</v>
      </c>
    </row>
    <row r="164" ht="14.25" hidden="1" customHeight="1">
      <c r="A164" s="11" t="s">
        <v>442</v>
      </c>
      <c r="B164" s="11" t="str">
        <f>VLOOKUP($A164, '26 ADP Data'!$C$3:$R$298, 2, FALSE)</f>
        <v>SEA</v>
      </c>
      <c r="C164" s="11" t="str">
        <f>VLOOKUP($A164, '26 ADP Data'!$C$3:$R$298, 16, FALSE)</f>
        <v>QB</v>
      </c>
      <c r="D164" s="11"/>
      <c r="E164" s="11"/>
      <c r="F164" s="11"/>
      <c r="G164" s="11"/>
      <c r="H164" s="11"/>
      <c r="I164" s="11">
        <f>VLOOKUP($A164, '26 ADP Data'!$C$3:$Q$298, 13, FALSE)</f>
        <v>141</v>
      </c>
      <c r="J164" s="11">
        <f>VLOOKUP($A164, '26 ADP Data'!$C$3:$Q$298, 10, FALSE)</f>
        <v>155</v>
      </c>
      <c r="K164" s="11">
        <v>163.0</v>
      </c>
    </row>
    <row r="165" ht="14.25" customHeight="1">
      <c r="A165" s="11" t="s">
        <v>420</v>
      </c>
      <c r="B165" s="11" t="str">
        <f>VLOOKUP($A165, '26 ADP Data'!$C$3:$R$298, 2, FALSE)</f>
        <v>HOU</v>
      </c>
      <c r="C165" s="11" t="str">
        <f>VLOOKUP($A165, '26 ADP Data'!$C$3:$R$298, 16, FALSE)</f>
        <v>TE</v>
      </c>
      <c r="D165" s="11"/>
      <c r="E165" s="11"/>
      <c r="F165" s="11"/>
      <c r="G165" s="11"/>
      <c r="H165" s="11"/>
      <c r="I165" s="11">
        <f>VLOOKUP($A165, '26 ADP Data'!$C$3:$Q$298, 13, FALSE)</f>
        <v>163</v>
      </c>
      <c r="J165" s="11">
        <f>VLOOKUP($A165, '26 ADP Data'!$C$3:$Q$298, 10, FALSE)</f>
        <v>151</v>
      </c>
      <c r="K165" s="11">
        <v>201.0</v>
      </c>
    </row>
    <row r="166" ht="14.25" hidden="1" customHeight="1">
      <c r="A166" s="11" t="s">
        <v>548</v>
      </c>
      <c r="B166" s="11" t="str">
        <f>VLOOKUP($A166, '26 ADP Data'!$C$3:$R$298, 2, FALSE)</f>
        <v>ATL</v>
      </c>
      <c r="C166" s="11" t="str">
        <f>VLOOKUP($A166, '26 ADP Data'!$C$3:$R$298, 16, FALSE)</f>
        <v>WR</v>
      </c>
      <c r="D166" s="11"/>
      <c r="E166" s="16" t="s">
        <v>106</v>
      </c>
      <c r="F166" s="16" t="s">
        <v>729</v>
      </c>
      <c r="G166" s="16">
        <v>66.0</v>
      </c>
      <c r="H166" s="11" t="s">
        <v>790</v>
      </c>
      <c r="I166" s="11">
        <f>VLOOKUP($A166, '26 ADP Data'!$C$3:$Q$298, 13, FALSE)</f>
        <v>196</v>
      </c>
      <c r="J166" s="11">
        <f>VLOOKUP($A166, '26 ADP Data'!$C$3:$Q$298, 10, FALSE)</f>
        <v>222</v>
      </c>
      <c r="K166" s="11" t="s">
        <v>452</v>
      </c>
    </row>
    <row r="167" ht="14.25" hidden="1" customHeight="1">
      <c r="A167" s="11" t="s">
        <v>481</v>
      </c>
      <c r="B167" s="11" t="str">
        <f>VLOOKUP($A167, '26 ADP Data'!$C$3:$R$298, 2, FALSE)</f>
        <v>CAR</v>
      </c>
      <c r="C167" s="11" t="str">
        <f>VLOOKUP($A167, '26 ADP Data'!$C$3:$R$298, 16, FALSE)</f>
        <v>QB</v>
      </c>
      <c r="D167" s="11"/>
      <c r="E167" s="11"/>
      <c r="F167" s="11"/>
      <c r="G167" s="11"/>
      <c r="H167" s="11"/>
      <c r="I167" s="11">
        <f>VLOOKUP($A167, '26 ADP Data'!$C$3:$Q$298, 13, FALSE)</f>
        <v>166</v>
      </c>
      <c r="J167" s="11">
        <f>VLOOKUP($A167, '26 ADP Data'!$C$3:$Q$298, 10, FALSE)</f>
        <v>167</v>
      </c>
      <c r="K167" s="11">
        <v>162.0</v>
      </c>
    </row>
    <row r="168" ht="14.25" hidden="1" customHeight="1">
      <c r="A168" s="11" t="s">
        <v>615</v>
      </c>
      <c r="B168" s="11" t="str">
        <f>VLOOKUP($A168, '26 ADP Data'!$C$3:$R$298, 2, FALSE)</f>
        <v>MIA</v>
      </c>
      <c r="C168" s="11" t="str">
        <f>VLOOKUP($A168, '26 ADP Data'!$C$3:$R$298, 16, FALSE)</f>
        <v>WR</v>
      </c>
      <c r="D168" s="11"/>
      <c r="E168" s="11"/>
      <c r="F168" s="16" t="s">
        <v>729</v>
      </c>
      <c r="G168" s="16">
        <v>67.0</v>
      </c>
      <c r="H168" s="11" t="s">
        <v>791</v>
      </c>
      <c r="I168" s="11">
        <f>VLOOKUP($A168, '26 ADP Data'!$C$3:$Q$298, 13, FALSE)</f>
        <v>203</v>
      </c>
      <c r="J168" s="11">
        <f>VLOOKUP($A168, '26 ADP Data'!$C$3:$Q$298, 10, FALSE)</f>
        <v>236</v>
      </c>
      <c r="K168" s="11">
        <v>207.0</v>
      </c>
    </row>
    <row r="169" ht="14.25" customHeight="1">
      <c r="A169" s="11" t="s">
        <v>433</v>
      </c>
      <c r="B169" s="11" t="str">
        <f>VLOOKUP($A169, '26 ADP Data'!$C$3:$R$298, 2, FALSE)</f>
        <v>SEA</v>
      </c>
      <c r="C169" s="11" t="str">
        <f>VLOOKUP($A169, '26 ADP Data'!$C$3:$R$298, 16, FALSE)</f>
        <v>TE</v>
      </c>
      <c r="D169" s="11"/>
      <c r="E169" s="11"/>
      <c r="F169" s="11"/>
      <c r="G169" s="11"/>
      <c r="H169" s="11"/>
      <c r="I169" s="11">
        <f>VLOOKUP($A169, '26 ADP Data'!$C$3:$Q$298, 13, FALSE)</f>
        <v>175</v>
      </c>
      <c r="J169" s="11">
        <f>VLOOKUP($A169, '26 ADP Data'!$C$3:$Q$298, 10, FALSE)</f>
        <v>176</v>
      </c>
      <c r="K169" s="11">
        <v>234.0</v>
      </c>
    </row>
    <row r="170" ht="14.25" hidden="1" customHeight="1">
      <c r="A170" s="11" t="s">
        <v>574</v>
      </c>
      <c r="B170" s="11" t="str">
        <f>VLOOKUP($A170, '26 ADP Data'!$C$3:$R$298, 2, FALSE)</f>
        <v>WAS</v>
      </c>
      <c r="C170" s="11" t="str">
        <f>VLOOKUP($A170, '26 ADP Data'!$C$3:$R$298, 16, FALSE)</f>
        <v>WR</v>
      </c>
      <c r="D170" s="11"/>
      <c r="E170" s="16" t="s">
        <v>106</v>
      </c>
      <c r="F170" s="16" t="s">
        <v>729</v>
      </c>
      <c r="G170" s="16">
        <v>68.0</v>
      </c>
      <c r="H170" s="11" t="s">
        <v>792</v>
      </c>
      <c r="I170" s="11">
        <f>VLOOKUP($A170, '26 ADP Data'!$C$3:$Q$298, 13, FALSE)</f>
        <v>231</v>
      </c>
      <c r="J170" s="11">
        <f>VLOOKUP($A170, '26 ADP Data'!$C$3:$Q$298, 10, FALSE)</f>
        <v>239</v>
      </c>
      <c r="K170" s="11">
        <v>179.0</v>
      </c>
    </row>
    <row r="171" ht="14.25" customHeight="1">
      <c r="A171" s="11" t="s">
        <v>446</v>
      </c>
      <c r="B171" s="11" t="str">
        <f>VLOOKUP($A171, '26 ADP Data'!$C$3:$R$298, 2, FALSE)</f>
        <v>LAR</v>
      </c>
      <c r="C171" s="11" t="str">
        <f>VLOOKUP($A171, '26 ADP Data'!$C$3:$R$298, 16, FALSE)</f>
        <v>TE</v>
      </c>
      <c r="D171" s="11"/>
      <c r="E171" s="11"/>
      <c r="F171" s="11"/>
      <c r="G171" s="11"/>
      <c r="H171" s="11"/>
      <c r="I171" s="11">
        <f>VLOOKUP($A171, '26 ADP Data'!$C$3:$Q$298, 13, FALSE)</f>
        <v>159</v>
      </c>
      <c r="J171" s="11">
        <f>VLOOKUP($A171, '26 ADP Data'!$C$3:$Q$298, 10, FALSE)</f>
        <v>163</v>
      </c>
      <c r="K171" s="11">
        <v>192.0</v>
      </c>
    </row>
    <row r="172" ht="14.25" hidden="1" customHeight="1">
      <c r="A172" s="11" t="s">
        <v>493</v>
      </c>
      <c r="B172" s="11" t="str">
        <f>VLOOKUP($A172, '26 ADP Data'!$C$3:$R$298, 2, FALSE)</f>
        <v>LV</v>
      </c>
      <c r="C172" s="11" t="str">
        <f>VLOOKUP($A172, '26 ADP Data'!$C$3:$R$298, 16, FALSE)</f>
        <v>QB</v>
      </c>
      <c r="D172" s="11"/>
      <c r="E172" s="11"/>
      <c r="F172" s="11"/>
      <c r="G172" s="11"/>
      <c r="H172" s="11"/>
      <c r="I172" s="11">
        <f>VLOOKUP($A172, '26 ADP Data'!$C$3:$Q$298, 13, FALSE)</f>
        <v>188</v>
      </c>
      <c r="J172" s="11">
        <f>VLOOKUP($A172, '26 ADP Data'!$C$3:$Q$298, 10, FALSE)</f>
        <v>220</v>
      </c>
      <c r="K172" s="11">
        <v>240.0</v>
      </c>
    </row>
    <row r="173" ht="14.25" hidden="1" customHeight="1">
      <c r="A173" s="11" t="s">
        <v>407</v>
      </c>
      <c r="B173" s="11" t="str">
        <f>VLOOKUP($A173, '26 ADP Data'!$C$3:$R$298, 2, FALSE)</f>
        <v>PHI</v>
      </c>
      <c r="C173" s="11" t="str">
        <f>VLOOKUP($A173, '26 ADP Data'!$C$3:$R$298, 16, FALSE)</f>
        <v>RB</v>
      </c>
      <c r="D173" s="11"/>
      <c r="E173" s="11"/>
      <c r="F173" s="16" t="s">
        <v>607</v>
      </c>
      <c r="G173" s="16">
        <v>51.0</v>
      </c>
      <c r="H173" s="11"/>
      <c r="I173" s="11">
        <f>VLOOKUP($A173, '26 ADP Data'!$C$3:$Q$298, 13, FALSE)</f>
        <v>152</v>
      </c>
      <c r="J173" s="11">
        <f>VLOOKUP($A173, '26 ADP Data'!$C$3:$Q$298, 10, FALSE)</f>
        <v>137</v>
      </c>
      <c r="K173" s="11">
        <v>159.0</v>
      </c>
    </row>
    <row r="174" ht="14.25" hidden="1" customHeight="1">
      <c r="A174" s="11" t="s">
        <v>387</v>
      </c>
      <c r="B174" s="11" t="str">
        <f>VLOOKUP($A174, '26 ADP Data'!$C$3:$R$298, 2, FALSE)</f>
        <v>LAC</v>
      </c>
      <c r="C174" s="11" t="str">
        <f>VLOOKUP($A174, '26 ADP Data'!$C$3:$R$298, 16, FALSE)</f>
        <v>RB</v>
      </c>
      <c r="D174" s="11"/>
      <c r="E174" s="11"/>
      <c r="F174" s="16" t="s">
        <v>607</v>
      </c>
      <c r="G174" s="16">
        <v>52.0</v>
      </c>
      <c r="H174" s="11"/>
      <c r="I174" s="11">
        <f>VLOOKUP($A174, '26 ADP Data'!$C$3:$Q$298, 13, FALSE)</f>
        <v>130</v>
      </c>
      <c r="J174" s="11">
        <f>VLOOKUP($A174, '26 ADP Data'!$C$3:$Q$298, 10, FALSE)</f>
        <v>125</v>
      </c>
      <c r="K174" s="11">
        <v>141.0</v>
      </c>
    </row>
    <row r="175" ht="14.25" hidden="1" customHeight="1">
      <c r="A175" s="11" t="s">
        <v>550</v>
      </c>
      <c r="B175" s="11" t="str">
        <f>VLOOKUP($A175, '26 ADP Data'!$C$3:$R$298, 2, FALSE)</f>
        <v>PIT</v>
      </c>
      <c r="C175" s="11" t="str">
        <f>VLOOKUP($A175, '26 ADP Data'!$C$3:$R$298, 16, FALSE)</f>
        <v>QB</v>
      </c>
      <c r="D175" s="11"/>
      <c r="E175" s="11"/>
      <c r="F175" s="11"/>
      <c r="G175" s="11"/>
      <c r="H175" s="11"/>
      <c r="I175" s="11">
        <f>VLOOKUP($A175, '26 ADP Data'!$C$3:$Q$298, 13, FALSE)</f>
        <v>180</v>
      </c>
      <c r="J175" s="11" t="str">
        <f>VLOOKUP($A175, '26 ADP Data'!$C$3:$Q$298, 10, FALSE)</f>
        <v>-</v>
      </c>
      <c r="K175" s="11">
        <v>248.0</v>
      </c>
    </row>
    <row r="176" ht="14.25" hidden="1" customHeight="1">
      <c r="A176" s="11" t="s">
        <v>570</v>
      </c>
      <c r="B176" s="11" t="str">
        <f>VLOOKUP($A176, '26 ADP Data'!$C$3:$R$298, 2, FALSE)</f>
        <v>TB</v>
      </c>
      <c r="C176" s="11" t="str">
        <f>VLOOKUP($A176, '26 ADP Data'!$C$3:$R$298, 16, FALSE)</f>
        <v>WR</v>
      </c>
      <c r="D176" s="11"/>
      <c r="E176" s="11"/>
      <c r="F176" s="16" t="s">
        <v>729</v>
      </c>
      <c r="G176" s="16">
        <v>69.0</v>
      </c>
      <c r="H176" s="11" t="s">
        <v>793</v>
      </c>
      <c r="I176" s="11">
        <f>VLOOKUP($A176, '26 ADP Data'!$C$3:$Q$298, 13, FALSE)</f>
        <v>201</v>
      </c>
      <c r="J176" s="11">
        <f>VLOOKUP($A176, '26 ADP Data'!$C$3:$Q$298, 10, FALSE)</f>
        <v>244</v>
      </c>
      <c r="K176" s="11" t="s">
        <v>452</v>
      </c>
    </row>
    <row r="177" ht="14.25" hidden="1" customHeight="1">
      <c r="A177" s="11" t="s">
        <v>479</v>
      </c>
      <c r="B177" s="11" t="str">
        <f>VLOOKUP($A177, '26 ADP Data'!$C$3:$R$298, 2, FALSE)</f>
        <v>SF</v>
      </c>
      <c r="C177" s="11" t="str">
        <f>VLOOKUP($A177, '26 ADP Data'!$C$3:$R$298, 16, FALSE)</f>
        <v>RB</v>
      </c>
      <c r="D177" s="11"/>
      <c r="E177" s="11"/>
      <c r="F177" s="16" t="s">
        <v>607</v>
      </c>
      <c r="G177" s="16">
        <v>53.0</v>
      </c>
      <c r="H177" s="11" t="s">
        <v>794</v>
      </c>
      <c r="I177" s="11">
        <f>VLOOKUP($A177, '26 ADP Data'!$C$3:$Q$298, 13, FALSE)</f>
        <v>193</v>
      </c>
      <c r="J177" s="11">
        <f>VLOOKUP($A177, '26 ADP Data'!$C$3:$Q$298, 10, FALSE)</f>
        <v>181</v>
      </c>
      <c r="K177" s="11">
        <v>215.0</v>
      </c>
    </row>
    <row r="178" ht="14.25" hidden="1" customHeight="1">
      <c r="A178" s="11" t="s">
        <v>468</v>
      </c>
      <c r="B178" s="11" t="str">
        <f>VLOOKUP($A178, '26 ADP Data'!$C$3:$R$298, 2, FALSE)</f>
        <v>MIN</v>
      </c>
      <c r="C178" s="11" t="str">
        <f>VLOOKUP($A178, '26 ADP Data'!$C$3:$R$298, 16, FALSE)</f>
        <v>WR</v>
      </c>
      <c r="D178" s="11"/>
      <c r="E178" s="11"/>
      <c r="F178" s="16" t="s">
        <v>729</v>
      </c>
      <c r="G178" s="16">
        <v>70.0</v>
      </c>
      <c r="H178" s="11"/>
      <c r="I178" s="11">
        <f>VLOOKUP($A178, '26 ADP Data'!$C$3:$Q$298, 13, FALSE)</f>
        <v>173</v>
      </c>
      <c r="J178" s="11">
        <f>VLOOKUP($A178, '26 ADP Data'!$C$3:$Q$298, 10, FALSE)</f>
        <v>208</v>
      </c>
      <c r="K178" s="11">
        <v>165.0</v>
      </c>
    </row>
    <row r="179" ht="14.25" hidden="1" customHeight="1">
      <c r="A179" s="11" t="s">
        <v>498</v>
      </c>
      <c r="B179" s="11" t="str">
        <f>VLOOKUP($A179, '26 ADP Data'!$C$3:$R$298, 2, FALSE)</f>
        <v>ARI</v>
      </c>
      <c r="C179" s="11" t="str">
        <f>VLOOKUP($A179, '26 ADP Data'!$C$3:$R$298, 16, FALSE)</f>
        <v>RB</v>
      </c>
      <c r="D179" s="11"/>
      <c r="E179" s="11"/>
      <c r="F179" s="11"/>
      <c r="G179" s="11"/>
      <c r="H179" s="11"/>
      <c r="I179" s="11">
        <f>VLOOKUP($A179, '26 ADP Data'!$C$3:$Q$298, 13, FALSE)</f>
        <v>245</v>
      </c>
      <c r="J179" s="11">
        <f>VLOOKUP($A179, '26 ADP Data'!$C$3:$Q$298, 10, FALSE)</f>
        <v>234</v>
      </c>
      <c r="K179" s="11">
        <v>150.0</v>
      </c>
    </row>
    <row r="180" ht="14.25" hidden="1" customHeight="1">
      <c r="A180" s="11" t="s">
        <v>523</v>
      </c>
      <c r="B180" s="11" t="str">
        <f>VLOOKUP($A180, '26 ADP Data'!$C$3:$R$298, 2, FALSE)</f>
        <v>KC</v>
      </c>
      <c r="C180" s="11" t="str">
        <f>VLOOKUP($A180, '26 ADP Data'!$C$3:$R$298, 16, FALSE)</f>
        <v>RB</v>
      </c>
      <c r="D180" s="11"/>
      <c r="E180" s="11"/>
      <c r="F180" s="11"/>
      <c r="G180" s="11"/>
      <c r="H180" s="11" t="s">
        <v>795</v>
      </c>
      <c r="I180" s="11">
        <f>VLOOKUP($A180, '26 ADP Data'!$C$3:$Q$298, 13, FALSE)</f>
        <v>191</v>
      </c>
      <c r="J180" s="11">
        <f>VLOOKUP($A180, '26 ADP Data'!$C$3:$Q$298, 10, FALSE)</f>
        <v>160</v>
      </c>
      <c r="K180" s="11">
        <v>167.0</v>
      </c>
    </row>
    <row r="181" ht="14.25" hidden="1" customHeight="1">
      <c r="A181" s="11" t="s">
        <v>403</v>
      </c>
      <c r="B181" s="11" t="str">
        <f>VLOOKUP($A181, '26 ADP Data'!$C$3:$R$298, 2, FALSE)</f>
        <v>DEN</v>
      </c>
      <c r="C181" s="11" t="str">
        <f>VLOOKUP($A181, '26 ADP Data'!$C$3:$R$298, 16, FALSE)</f>
        <v>RB</v>
      </c>
      <c r="D181" s="11"/>
      <c r="E181" s="16" t="s">
        <v>106</v>
      </c>
      <c r="F181" s="11"/>
      <c r="G181" s="11"/>
      <c r="H181" s="11" t="s">
        <v>797</v>
      </c>
      <c r="I181" s="11">
        <f>VLOOKUP($A181, '26 ADP Data'!$C$3:$Q$298, 13, FALSE)</f>
        <v>143</v>
      </c>
      <c r="J181" s="11">
        <f>VLOOKUP($A181, '26 ADP Data'!$C$3:$Q$298, 10, FALSE)</f>
        <v>143</v>
      </c>
      <c r="K181" s="11">
        <v>140.0</v>
      </c>
    </row>
    <row r="182" ht="14.25" hidden="1" customHeight="1">
      <c r="A182" s="11" t="s">
        <v>465</v>
      </c>
      <c r="B182" s="11" t="str">
        <f>VLOOKUP($A182, '26 ADP Data'!$C$3:$R$298, 2, FALSE)</f>
        <v>JAX</v>
      </c>
      <c r="C182" s="11" t="str">
        <f>VLOOKUP($A182, '26 ADP Data'!$C$3:$R$298, 16, FALSE)</f>
        <v>WR</v>
      </c>
      <c r="D182" s="11"/>
      <c r="E182" s="11"/>
      <c r="F182" s="16" t="s">
        <v>729</v>
      </c>
      <c r="G182" s="16">
        <v>71.0</v>
      </c>
      <c r="H182" s="11"/>
      <c r="I182" s="11">
        <f>VLOOKUP($A182, '26 ADP Data'!$C$3:$Q$298, 13, FALSE)</f>
        <v>160</v>
      </c>
      <c r="J182" s="11">
        <f>VLOOKUP($A182, '26 ADP Data'!$C$3:$Q$298, 10, FALSE)</f>
        <v>162</v>
      </c>
      <c r="K182" s="11">
        <v>153.0</v>
      </c>
    </row>
    <row r="183" ht="14.25" hidden="1" customHeight="1">
      <c r="A183" s="11" t="s">
        <v>448</v>
      </c>
      <c r="B183" s="11" t="str">
        <f>VLOOKUP($A183, '26 ADP Data'!$C$3:$R$298, 2, FALSE)</f>
        <v>CLE</v>
      </c>
      <c r="C183" s="11" t="str">
        <f>VLOOKUP($A183, '26 ADP Data'!$C$3:$R$298, 16, FALSE)</f>
        <v>RB</v>
      </c>
      <c r="D183" s="11"/>
      <c r="E183" s="11"/>
      <c r="F183" s="11"/>
      <c r="G183" s="11"/>
      <c r="H183" s="11" t="s">
        <v>340</v>
      </c>
      <c r="I183" s="11">
        <f>VLOOKUP($A183, '26 ADP Data'!$C$3:$Q$298, 13, FALSE)</f>
        <v>171</v>
      </c>
      <c r="J183" s="11">
        <f>VLOOKUP($A183, '26 ADP Data'!$C$3:$Q$298, 10, FALSE)</f>
        <v>179</v>
      </c>
      <c r="K183" s="11">
        <v>146.0</v>
      </c>
    </row>
    <row r="184" ht="14.25" customHeight="1">
      <c r="A184" s="11" t="s">
        <v>692</v>
      </c>
      <c r="B184" s="11" t="str">
        <f>VLOOKUP($A184, '26 ADP Data'!$C$3:$R$298, 2, FALSE)</f>
        <v>NYJ</v>
      </c>
      <c r="C184" s="11" t="str">
        <f>VLOOKUP($A184, '26 ADP Data'!$C$3:$R$298, 16, FALSE)</f>
        <v>TE</v>
      </c>
      <c r="D184" s="11"/>
      <c r="E184" s="11"/>
      <c r="F184" s="11"/>
      <c r="G184" s="11"/>
      <c r="H184" s="11"/>
      <c r="I184" s="11">
        <f>VLOOKUP($A184, '26 ADP Data'!$C$3:$Q$298, 13, FALSE)</f>
        <v>253</v>
      </c>
      <c r="J184" s="11" t="str">
        <f>VLOOKUP($A184, '26 ADP Data'!$C$3:$Q$298, 10, FALSE)</f>
        <v>-</v>
      </c>
      <c r="K184" s="11">
        <v>235.0</v>
      </c>
    </row>
    <row r="185" ht="14.25" hidden="1" customHeight="1">
      <c r="A185" s="11" t="s">
        <v>527</v>
      </c>
      <c r="B185" s="11" t="str">
        <f>VLOOKUP($A185, '26 ADP Data'!$C$3:$R$298, 2, FALSE)</f>
        <v>HOU</v>
      </c>
      <c r="C185" s="11" t="str">
        <f>VLOOKUP($A185, '26 ADP Data'!$C$3:$R$298, 16, FALSE)</f>
        <v>WR</v>
      </c>
      <c r="D185" s="11"/>
      <c r="E185" s="11"/>
      <c r="F185" s="16" t="s">
        <v>729</v>
      </c>
      <c r="G185" s="16">
        <v>72.0</v>
      </c>
      <c r="H185" s="11"/>
      <c r="I185" s="11">
        <f>VLOOKUP($A185, '26 ADP Data'!$C$3:$Q$298, 13, FALSE)</f>
        <v>181</v>
      </c>
      <c r="J185" s="11">
        <f>VLOOKUP($A185, '26 ADP Data'!$C$3:$Q$298, 10, FALSE)</f>
        <v>183</v>
      </c>
      <c r="K185" s="11">
        <v>177.0</v>
      </c>
    </row>
    <row r="186" ht="14.25" hidden="1" customHeight="1">
      <c r="A186" s="11" t="s">
        <v>371</v>
      </c>
      <c r="B186" s="11" t="str">
        <f>VLOOKUP($A186, '26 ADP Data'!$C$3:$R$298, 2, FALSE)</f>
        <v>CAR</v>
      </c>
      <c r="C186" s="11" t="str">
        <f>VLOOKUP($A186, '26 ADP Data'!$C$3:$R$298, 16, FALSE)</f>
        <v>WR</v>
      </c>
      <c r="D186" s="11"/>
      <c r="E186" s="11"/>
      <c r="F186" s="11"/>
      <c r="G186" s="16">
        <v>73.0</v>
      </c>
      <c r="H186" s="11"/>
      <c r="I186" s="11">
        <f>VLOOKUP($A186, '26 ADP Data'!$C$3:$Q$298, 13, FALSE)</f>
        <v>129</v>
      </c>
      <c r="J186" s="11">
        <f>VLOOKUP($A186, '26 ADP Data'!$C$3:$Q$298, 10, FALSE)</f>
        <v>111</v>
      </c>
      <c r="K186" s="11">
        <v>127.0</v>
      </c>
    </row>
    <row r="187" ht="14.25" hidden="1" customHeight="1">
      <c r="A187" s="11" t="s">
        <v>308</v>
      </c>
      <c r="B187" s="11" t="str">
        <f>VLOOKUP($A187, '26 ADP Data'!$C$3:$R$298, 2, FALSE)</f>
        <v>TEN</v>
      </c>
      <c r="C187" s="11" t="str">
        <f>VLOOKUP($A187, '26 ADP Data'!$C$3:$R$298, 16, FALSE)</f>
        <v>WR</v>
      </c>
      <c r="D187" s="11"/>
      <c r="E187" s="16" t="s">
        <v>95</v>
      </c>
      <c r="F187" s="11"/>
      <c r="G187" s="16">
        <v>74.0</v>
      </c>
      <c r="H187" s="11"/>
      <c r="I187" s="11">
        <f>VLOOKUP($A187, '26 ADP Data'!$C$3:$Q$298, 13, FALSE)</f>
        <v>115</v>
      </c>
      <c r="J187" s="11">
        <f>VLOOKUP($A187, '26 ADP Data'!$C$3:$Q$298, 10, FALSE)</f>
        <v>114</v>
      </c>
      <c r="K187" s="11">
        <v>111.0</v>
      </c>
    </row>
    <row r="188" ht="14.25" hidden="1" customHeight="1">
      <c r="A188" s="11" t="s">
        <v>536</v>
      </c>
      <c r="B188" s="11" t="str">
        <f>VLOOKUP($A188, '26 ADP Data'!$C$3:$R$298, 2, FALSE)</f>
        <v>DEN</v>
      </c>
      <c r="C188" s="11" t="str">
        <f>VLOOKUP($A188, '26 ADP Data'!$C$3:$R$298, 16, FALSE)</f>
        <v>WR</v>
      </c>
      <c r="D188" s="11"/>
      <c r="E188" s="11"/>
      <c r="F188" s="11"/>
      <c r="G188" s="16">
        <v>75.0</v>
      </c>
      <c r="H188" s="11" t="s">
        <v>799</v>
      </c>
      <c r="I188" s="11">
        <f>VLOOKUP($A188, '26 ADP Data'!$C$3:$Q$298, 13, FALSE)</f>
        <v>172</v>
      </c>
      <c r="J188" s="11">
        <f>VLOOKUP($A188, '26 ADP Data'!$C$3:$Q$298, 10, FALSE)</f>
        <v>168</v>
      </c>
      <c r="K188" s="11">
        <v>222.0</v>
      </c>
    </row>
    <row r="189" ht="14.25" hidden="1" customHeight="1">
      <c r="A189" s="11" t="s">
        <v>460</v>
      </c>
      <c r="B189" s="11" t="str">
        <f>VLOOKUP($A189, '26 ADP Data'!$C$3:$R$298, 2, FALSE)</f>
        <v>NYJ</v>
      </c>
      <c r="C189" s="11" t="str">
        <f>VLOOKUP($A189, '26 ADP Data'!$C$3:$R$298, 16, FALSE)</f>
        <v>RB</v>
      </c>
      <c r="D189" s="11"/>
      <c r="E189" s="11"/>
      <c r="F189" s="11"/>
      <c r="G189" s="11"/>
      <c r="H189" s="11"/>
      <c r="I189" s="11">
        <f>VLOOKUP($A189, '26 ADP Data'!$C$3:$Q$298, 13, FALSE)</f>
        <v>184</v>
      </c>
      <c r="J189" s="11">
        <f>VLOOKUP($A189, '26 ADP Data'!$C$3:$Q$298, 10, FALSE)</f>
        <v>171</v>
      </c>
      <c r="K189" s="11">
        <v>145.0</v>
      </c>
    </row>
    <row r="190" ht="14.25" hidden="1" customHeight="1">
      <c r="A190" s="11" t="s">
        <v>699</v>
      </c>
      <c r="B190" s="11" t="str">
        <f>VLOOKUP($A190, '26 ADP Data'!$C$3:$R$298, 2, FALSE)</f>
        <v>HOU</v>
      </c>
      <c r="C190" s="11" t="str">
        <f>VLOOKUP($A190, '26 ADP Data'!$C$3:$R$298, 16, FALSE)</f>
        <v>WR</v>
      </c>
      <c r="D190" s="11"/>
      <c r="E190" s="11"/>
      <c r="F190" s="11" t="s">
        <v>482</v>
      </c>
      <c r="G190" s="16">
        <v>999.0</v>
      </c>
      <c r="H190" s="11" t="s">
        <v>414</v>
      </c>
      <c r="I190" s="11" t="str">
        <f>VLOOKUP($A190, '26 ADP Data'!$C$3:$Q$298, 13, FALSE)</f>
        <v>-</v>
      </c>
      <c r="J190" s="11" t="str">
        <f>VLOOKUP($A190, '26 ADP Data'!$C$3:$Q$298, 10, FALSE)</f>
        <v>-</v>
      </c>
      <c r="K190" s="11">
        <v>122.0</v>
      </c>
    </row>
    <row r="191" ht="14.25" hidden="1" customHeight="1">
      <c r="A191" s="11" t="s">
        <v>132</v>
      </c>
      <c r="B191" s="11" t="str">
        <f>VLOOKUP($A191, '26 ADP Data'!$C$3:$R$298, 2, FALSE)</f>
        <v>-</v>
      </c>
      <c r="C191" s="11" t="str">
        <f>VLOOKUP($A191, '26 ADP Data'!$C$3:$R$298, 16, FALSE)</f>
        <v>WR</v>
      </c>
      <c r="D191" s="11"/>
      <c r="E191" s="11"/>
      <c r="F191" s="11"/>
      <c r="G191" s="16">
        <v>999.0</v>
      </c>
      <c r="H191" s="11"/>
      <c r="I191" s="11">
        <f>VLOOKUP($A191, '26 ADP Data'!$C$3:$Q$298, 13, FALSE)</f>
        <v>242</v>
      </c>
      <c r="J191" s="11" t="str">
        <f>VLOOKUP($A191, '26 ADP Data'!$C$3:$Q$298, 10, FALSE)</f>
        <v>-</v>
      </c>
      <c r="K191" s="11">
        <v>188.0</v>
      </c>
    </row>
    <row r="192" ht="14.25" hidden="1" customHeight="1">
      <c r="A192" s="11" t="s">
        <v>521</v>
      </c>
      <c r="B192" s="11" t="str">
        <f>VLOOKUP($A192, '26 ADP Data'!$C$3:$R$298, 2, FALSE)</f>
        <v>BUF</v>
      </c>
      <c r="C192" s="11" t="str">
        <f>VLOOKUP($A192, '26 ADP Data'!$C$3:$R$298, 16, FALSE)</f>
        <v>RB</v>
      </c>
      <c r="D192" s="11"/>
      <c r="E192" s="11"/>
      <c r="F192" s="11"/>
      <c r="G192" s="11"/>
      <c r="H192" s="11"/>
      <c r="I192" s="11">
        <f>VLOOKUP($A192, '26 ADP Data'!$C$3:$Q$298, 13, FALSE)</f>
        <v>186</v>
      </c>
      <c r="J192" s="11">
        <f>VLOOKUP($A192, '26 ADP Data'!$C$3:$Q$298, 10, FALSE)</f>
        <v>170</v>
      </c>
      <c r="K192" s="11">
        <v>175.0</v>
      </c>
    </row>
    <row r="193" ht="14.25" hidden="1" customHeight="1">
      <c r="A193" s="11" t="s">
        <v>800</v>
      </c>
      <c r="B193" s="11" t="str">
        <f>VLOOKUP($A193, '26 ADP Data'!$C$3:$R$298, 2, FALSE)</f>
        <v>#N/A</v>
      </c>
      <c r="C193" s="11" t="str">
        <f>VLOOKUP($A193, '26 ADP Data'!$C$3:$R$298, 16, FALSE)</f>
        <v>#N/A</v>
      </c>
      <c r="D193" s="11"/>
      <c r="E193" s="11"/>
      <c r="F193" s="11"/>
      <c r="G193" s="11"/>
      <c r="H193" s="11"/>
      <c r="I193" s="11" t="str">
        <f>VLOOKUP($A193, '26 ADP Data'!$C$3:$Q$298, 13, FALSE)</f>
        <v>#N/A</v>
      </c>
      <c r="J193" s="11" t="str">
        <f>VLOOKUP($A193, '26 ADP Data'!$C$3:$Q$298, 10, FALSE)</f>
        <v>#N/A</v>
      </c>
      <c r="K193" s="11">
        <v>212.0</v>
      </c>
    </row>
    <row r="194" ht="14.25" customHeight="1">
      <c r="A194" s="11" t="s">
        <v>558</v>
      </c>
      <c r="B194" s="11" t="str">
        <f>VLOOKUP($A194, '26 ADP Data'!$C$3:$R$298, 2, FALSE)</f>
        <v>TEN</v>
      </c>
      <c r="C194" s="11" t="str">
        <f>VLOOKUP($A194, '26 ADP Data'!$C$3:$R$298, 16, FALSE)</f>
        <v>TE</v>
      </c>
      <c r="D194" s="11"/>
      <c r="E194" s="11"/>
      <c r="F194" s="11"/>
      <c r="G194" s="11"/>
      <c r="H194" s="11"/>
      <c r="I194" s="11">
        <f>VLOOKUP($A194, '26 ADP Data'!$C$3:$Q$298, 13, FALSE)</f>
        <v>197</v>
      </c>
      <c r="J194" s="11">
        <f>VLOOKUP($A194, '26 ADP Data'!$C$3:$Q$298, 10, FALSE)</f>
        <v>225</v>
      </c>
      <c r="K194" s="11" t="s">
        <v>452</v>
      </c>
    </row>
    <row r="195" ht="14.25" hidden="1" customHeight="1">
      <c r="A195" s="11" t="s">
        <v>525</v>
      </c>
      <c r="B195" s="11" t="str">
        <f>VLOOKUP($A195, '26 ADP Data'!$C$3:$R$298, 2, FALSE)</f>
        <v>DAL</v>
      </c>
      <c r="C195" s="11" t="str">
        <f>VLOOKUP($A195, '26 ADP Data'!$C$3:$R$298, 16, FALSE)</f>
        <v>RB</v>
      </c>
      <c r="D195" s="11"/>
      <c r="E195" s="11"/>
      <c r="F195" s="11"/>
      <c r="G195" s="11"/>
      <c r="H195" s="11" t="s">
        <v>801</v>
      </c>
      <c r="I195" s="11">
        <f>VLOOKUP($A195, '26 ADP Data'!$C$3:$Q$298, 13, FALSE)</f>
        <v>177</v>
      </c>
      <c r="J195" s="11">
        <f>VLOOKUP($A195, '26 ADP Data'!$C$3:$Q$298, 10, FALSE)</f>
        <v>184</v>
      </c>
      <c r="K195" s="11">
        <v>210.0</v>
      </c>
    </row>
    <row r="196" ht="14.25" hidden="1" customHeight="1">
      <c r="A196" s="11" t="s">
        <v>566</v>
      </c>
      <c r="B196" s="11" t="str">
        <f>VLOOKUP($A196, '26 ADP Data'!$C$3:$R$298, 2, FALSE)</f>
        <v>TB</v>
      </c>
      <c r="C196" s="11" t="str">
        <f>VLOOKUP($A196, '26 ADP Data'!$C$3:$R$298, 16, FALSE)</f>
        <v>RB</v>
      </c>
      <c r="D196" s="11"/>
      <c r="E196" s="11"/>
      <c r="F196" s="11"/>
      <c r="G196" s="11"/>
      <c r="H196" s="11"/>
      <c r="I196" s="11">
        <f>VLOOKUP($A196, '26 ADP Data'!$C$3:$Q$298, 13, FALSE)</f>
        <v>209</v>
      </c>
      <c r="J196" s="11">
        <f>VLOOKUP($A196, '26 ADP Data'!$C$3:$Q$298, 10, FALSE)</f>
        <v>241</v>
      </c>
      <c r="K196" s="11">
        <v>183.0</v>
      </c>
    </row>
    <row r="197" ht="14.25" customHeight="1">
      <c r="A197" s="11" t="s">
        <v>552</v>
      </c>
      <c r="B197" s="11" t="str">
        <f>VLOOKUP($A197, '26 ADP Data'!$C$3:$R$298, 2, FALSE)</f>
        <v>PIT</v>
      </c>
      <c r="C197" s="11" t="str">
        <f>VLOOKUP($A197, '26 ADP Data'!$C$3:$R$298, 16, FALSE)</f>
        <v>TE</v>
      </c>
      <c r="D197" s="11"/>
      <c r="E197" s="11"/>
      <c r="F197" s="11"/>
      <c r="G197" s="11"/>
      <c r="H197" s="11"/>
      <c r="I197" s="11">
        <f>VLOOKUP($A197, '26 ADP Data'!$C$3:$Q$298, 13, FALSE)</f>
        <v>198</v>
      </c>
      <c r="J197" s="11" t="str">
        <f>VLOOKUP($A197, '26 ADP Data'!$C$3:$Q$298, 10, FALSE)</f>
        <v>-</v>
      </c>
      <c r="K197" s="11" t="s">
        <v>452</v>
      </c>
    </row>
    <row r="198" ht="14.25" hidden="1" customHeight="1">
      <c r="A198" s="11" t="s">
        <v>540</v>
      </c>
      <c r="B198" s="11" t="str">
        <f>VLOOKUP($A198, '26 ADP Data'!$C$3:$R$298, 2, FALSE)</f>
        <v>LAC</v>
      </c>
      <c r="C198" s="11" t="str">
        <f>VLOOKUP($A198, '26 ADP Data'!$C$3:$R$298, 16, FALSE)</f>
        <v>RB</v>
      </c>
      <c r="D198" s="11"/>
      <c r="E198" s="11"/>
      <c r="F198" s="11"/>
      <c r="G198" s="11"/>
      <c r="H198" s="11"/>
      <c r="I198" s="11">
        <f>VLOOKUP($A198, '26 ADP Data'!$C$3:$Q$298, 13, FALSE)</f>
        <v>211</v>
      </c>
      <c r="J198" s="11">
        <f>VLOOKUP($A198, '26 ADP Data'!$C$3:$Q$298, 10, FALSE)</f>
        <v>248</v>
      </c>
      <c r="K198" s="11">
        <v>186.0</v>
      </c>
    </row>
    <row r="199" ht="14.25" hidden="1" customHeight="1">
      <c r="A199" s="11" t="s">
        <v>554</v>
      </c>
      <c r="B199" s="11" t="str">
        <f>VLOOKUP($A199, '26 ADP Data'!$C$3:$R$298, 2, FALSE)</f>
        <v>ARI</v>
      </c>
      <c r="C199" s="11" t="str">
        <f>VLOOKUP($A199, '26 ADP Data'!$C$3:$R$298, 16, FALSE)</f>
        <v>QB</v>
      </c>
      <c r="D199" s="11"/>
      <c r="E199" s="11"/>
      <c r="F199" s="11"/>
      <c r="G199" s="11"/>
      <c r="H199" s="11"/>
      <c r="I199" s="11">
        <f>VLOOKUP($A199, '26 ADP Data'!$C$3:$Q$298, 13, FALSE)</f>
        <v>199</v>
      </c>
      <c r="J199" s="11">
        <f>VLOOKUP($A199, '26 ADP Data'!$C$3:$Q$298, 10, FALSE)</f>
        <v>216</v>
      </c>
      <c r="K199" s="11">
        <v>194.0</v>
      </c>
    </row>
    <row r="200" ht="14.25" hidden="1" customHeight="1">
      <c r="A200" s="11" t="s">
        <v>562</v>
      </c>
      <c r="B200" s="11" t="str">
        <f>VLOOKUP($A200, '26 ADP Data'!$C$3:$R$298, 2, FALSE)</f>
        <v>WAS</v>
      </c>
      <c r="C200" s="11" t="str">
        <f>VLOOKUP($A200, '26 ADP Data'!$C$3:$R$298, 16, FALSE)</f>
        <v>RB</v>
      </c>
      <c r="D200" s="11"/>
      <c r="E200" s="11"/>
      <c r="F200" s="11"/>
      <c r="G200" s="11"/>
      <c r="H200" s="11" t="s">
        <v>802</v>
      </c>
      <c r="I200" s="11">
        <f>VLOOKUP($A200, '26 ADP Data'!$C$3:$Q$298, 13, FALSE)</f>
        <v>218</v>
      </c>
      <c r="J200" s="11">
        <f>VLOOKUP($A200, '26 ADP Data'!$C$3:$Q$298, 10, FALSE)</f>
        <v>210</v>
      </c>
      <c r="K200" s="11">
        <v>178.0</v>
      </c>
    </row>
    <row r="201" ht="14.25" hidden="1" customHeight="1">
      <c r="A201" s="11" t="s">
        <v>637</v>
      </c>
      <c r="B201" s="11" t="str">
        <f>VLOOKUP($A201, '26 ADP Data'!$C$3:$R$298, 2, FALSE)</f>
        <v>PIT</v>
      </c>
      <c r="C201" s="11" t="str">
        <f>VLOOKUP($A201, '26 ADP Data'!$C$3:$R$298, 16, FALSE)</f>
        <v>WR</v>
      </c>
      <c r="D201" s="11"/>
      <c r="E201" s="11"/>
      <c r="F201" s="16" t="s">
        <v>729</v>
      </c>
      <c r="G201" s="16"/>
      <c r="H201" s="11" t="s">
        <v>804</v>
      </c>
      <c r="I201" s="11">
        <f>VLOOKUP($A201, '26 ADP Data'!$C$3:$Q$298, 13, FALSE)</f>
        <v>207</v>
      </c>
      <c r="J201" s="11" t="str">
        <f>VLOOKUP($A201, '26 ADP Data'!$C$3:$Q$298, 10, FALSE)</f>
        <v>-</v>
      </c>
      <c r="K201" s="11">
        <v>236.0</v>
      </c>
    </row>
    <row r="202" ht="14.25" hidden="1" customHeight="1">
      <c r="A202" s="11" t="s">
        <v>576</v>
      </c>
      <c r="B202" s="11" t="str">
        <f>VLOOKUP($A202, '26 ADP Data'!$C$3:$R$298, 2, FALSE)</f>
        <v>SF</v>
      </c>
      <c r="C202" s="11" t="str">
        <f>VLOOKUP($A202, '26 ADP Data'!$C$3:$R$298, 16, FALSE)</f>
        <v>RB</v>
      </c>
      <c r="D202" s="11"/>
      <c r="E202" s="11"/>
      <c r="F202" s="11"/>
      <c r="G202" s="11"/>
      <c r="H202" s="11" t="s">
        <v>801</v>
      </c>
      <c r="I202" s="11">
        <f>VLOOKUP($A202, '26 ADP Data'!$C$3:$Q$298, 13, FALSE)</f>
        <v>228</v>
      </c>
      <c r="J202" s="11" t="str">
        <f>VLOOKUP($A202, '26 ADP Data'!$C$3:$Q$298, 10, FALSE)</f>
        <v>-</v>
      </c>
      <c r="K202" s="11">
        <v>205.0</v>
      </c>
    </row>
    <row r="203" ht="14.25" hidden="1" customHeight="1">
      <c r="A203" s="11" t="s">
        <v>395</v>
      </c>
      <c r="B203" s="11" t="str">
        <f>VLOOKUP($A203, '26 ADP Data'!$C$3:$R$298, 2, FALSE)</f>
        <v>LV</v>
      </c>
      <c r="C203" s="11" t="str">
        <f>VLOOKUP($A203, '26 ADP Data'!$C$3:$R$298, 16, FALSE)</f>
        <v>RB</v>
      </c>
      <c r="D203" s="11"/>
      <c r="E203" s="16" t="s">
        <v>106</v>
      </c>
      <c r="F203" s="16" t="s">
        <v>607</v>
      </c>
      <c r="G203" s="16">
        <v>54.0</v>
      </c>
      <c r="H203" s="11" t="s">
        <v>805</v>
      </c>
      <c r="I203" s="11">
        <f>VLOOKUP($A203, '26 ADP Data'!$C$3:$Q$298, 13, FALSE)</f>
        <v>142</v>
      </c>
      <c r="J203" s="11">
        <f>VLOOKUP($A203, '26 ADP Data'!$C$3:$Q$298, 10, FALSE)</f>
        <v>126</v>
      </c>
      <c r="K203" s="11">
        <v>166.0</v>
      </c>
    </row>
    <row r="204" ht="14.25" hidden="1" customHeight="1">
      <c r="A204" s="11" t="s">
        <v>643</v>
      </c>
      <c r="B204" s="11" t="str">
        <f>VLOOKUP($A204, '26 ADP Data'!$C$3:$R$298, 2, FALSE)</f>
        <v>DEN</v>
      </c>
      <c r="C204" s="11" t="str">
        <f>VLOOKUP($A204, '26 ADP Data'!$C$3:$R$298, 16, FALSE)</f>
        <v>WR</v>
      </c>
      <c r="D204" s="11"/>
      <c r="E204" s="11"/>
      <c r="F204" s="16" t="s">
        <v>729</v>
      </c>
      <c r="G204" s="16"/>
      <c r="H204" s="11"/>
      <c r="I204" s="11">
        <f>VLOOKUP($A204, '26 ADP Data'!$C$3:$Q$298, 13, FALSE)</f>
        <v>237</v>
      </c>
      <c r="J204" s="11" t="str">
        <f>VLOOKUP($A204, '26 ADP Data'!$C$3:$Q$298, 10, FALSE)</f>
        <v>-</v>
      </c>
      <c r="K204" s="11">
        <v>217.0</v>
      </c>
    </row>
    <row r="205" ht="14.25" hidden="1" customHeight="1">
      <c r="A205" s="11" t="s">
        <v>439</v>
      </c>
      <c r="B205" s="11" t="str">
        <f>VLOOKUP($A205, '26 ADP Data'!$C$3:$R$298, 2, FALSE)</f>
        <v>GB</v>
      </c>
      <c r="C205" s="11" t="str">
        <f>VLOOKUP($A205, '26 ADP Data'!$C$3:$R$298, 16, FALSE)</f>
        <v>RB</v>
      </c>
      <c r="D205" s="11"/>
      <c r="E205" s="16" t="s">
        <v>106</v>
      </c>
      <c r="F205" s="16" t="s">
        <v>607</v>
      </c>
      <c r="G205" s="16">
        <v>55.0</v>
      </c>
      <c r="H205" s="11" t="s">
        <v>805</v>
      </c>
      <c r="I205" s="11">
        <f>VLOOKUP($A205, '26 ADP Data'!$C$3:$Q$298, 13, FALSE)</f>
        <v>147</v>
      </c>
      <c r="J205" s="11">
        <f>VLOOKUP($A205, '26 ADP Data'!$C$3:$Q$298, 10, FALSE)</f>
        <v>142</v>
      </c>
      <c r="K205" s="11">
        <v>233.0</v>
      </c>
    </row>
    <row r="206" ht="14.25" hidden="1" customHeight="1">
      <c r="A206" s="11" t="s">
        <v>428</v>
      </c>
      <c r="B206" s="11" t="str">
        <f>VLOOKUP($A206, '26 ADP Data'!$C$3:$R$298, 2, FALSE)</f>
        <v>IND</v>
      </c>
      <c r="C206" s="11" t="str">
        <f>VLOOKUP($A206, '26 ADP Data'!$C$3:$R$298, 16, FALSE)</f>
        <v>WR</v>
      </c>
      <c r="D206" s="11"/>
      <c r="E206" s="11"/>
      <c r="F206" s="11"/>
      <c r="G206" s="11"/>
      <c r="H206" s="11"/>
      <c r="I206" s="11">
        <f>VLOOKUP($A206, '26 ADP Data'!$C$3:$Q$298, 13, FALSE)</f>
        <v>155</v>
      </c>
      <c r="J206" s="11">
        <f>VLOOKUP($A206, '26 ADP Data'!$C$3:$Q$298, 10, FALSE)</f>
        <v>144</v>
      </c>
      <c r="K206" s="11" t="s">
        <v>452</v>
      </c>
    </row>
    <row r="207" ht="14.25" hidden="1" customHeight="1">
      <c r="A207" s="11" t="s">
        <v>694</v>
      </c>
      <c r="B207" s="11" t="str">
        <f>VLOOKUP($A207, '26 ADP Data'!$C$3:$R$298, 2, FALSE)</f>
        <v>SEA</v>
      </c>
      <c r="C207" s="11" t="str">
        <f>VLOOKUP($A207, '26 ADP Data'!$C$3:$R$298, 16, FALSE)</f>
        <v>RB</v>
      </c>
      <c r="D207" s="11"/>
      <c r="E207" s="11"/>
      <c r="F207" s="11"/>
      <c r="G207" s="11"/>
      <c r="H207" s="11"/>
      <c r="I207" s="11">
        <f>VLOOKUP($A207, '26 ADP Data'!$C$3:$Q$298, 13, FALSE)</f>
        <v>262</v>
      </c>
      <c r="J207" s="11" t="str">
        <f>VLOOKUP($A207, '26 ADP Data'!$C$3:$Q$298, 10, FALSE)</f>
        <v>-</v>
      </c>
      <c r="K207" s="11">
        <v>151.0</v>
      </c>
    </row>
    <row r="208" ht="14.25" hidden="1" customHeight="1">
      <c r="A208" s="11" t="s">
        <v>606</v>
      </c>
      <c r="B208" s="11" t="str">
        <f>VLOOKUP($A208, '26 ADP Data'!$C$3:$R$298, 2, FALSE)</f>
        <v>BAL</v>
      </c>
      <c r="C208" s="11" t="str">
        <f>VLOOKUP($A208, '26 ADP Data'!$C$3:$R$298, 16, FALSE)</f>
        <v>RB</v>
      </c>
      <c r="D208" s="11"/>
      <c r="E208" s="11"/>
      <c r="F208" s="11"/>
      <c r="G208" s="11"/>
      <c r="H208" s="11"/>
      <c r="I208" s="11">
        <f>VLOOKUP($A208, '26 ADP Data'!$C$3:$Q$298, 13, FALSE)</f>
        <v>220</v>
      </c>
      <c r="J208" s="11" t="str">
        <f>VLOOKUP($A208, '26 ADP Data'!$C$3:$Q$298, 10, FALSE)</f>
        <v>-</v>
      </c>
      <c r="K208" s="11">
        <v>213.0</v>
      </c>
    </row>
    <row r="209" ht="14.25" hidden="1" customHeight="1">
      <c r="A209" s="11" t="s">
        <v>477</v>
      </c>
      <c r="B209" s="11" t="str">
        <f>VLOOKUP($A209, '26 ADP Data'!$C$3:$R$298, 2, FALSE)</f>
        <v>NYJ</v>
      </c>
      <c r="C209" s="11" t="str">
        <f>VLOOKUP($A209, '26 ADP Data'!$C$3:$R$298, 16, FALSE)</f>
        <v>WR</v>
      </c>
      <c r="D209" s="11"/>
      <c r="E209" s="11"/>
      <c r="F209" s="11"/>
      <c r="G209" s="11"/>
      <c r="H209" s="11"/>
      <c r="I209" s="11">
        <f>VLOOKUP($A209, '26 ADP Data'!$C$3:$Q$298, 13, FALSE)</f>
        <v>169</v>
      </c>
      <c r="J209" s="11">
        <f>VLOOKUP($A209, '26 ADP Data'!$C$3:$Q$298, 10, FALSE)</f>
        <v>147</v>
      </c>
      <c r="K209" s="11">
        <v>173.0</v>
      </c>
    </row>
    <row r="210" ht="14.25" hidden="1" customHeight="1">
      <c r="A210" s="11" t="s">
        <v>508</v>
      </c>
      <c r="B210" s="11" t="str">
        <f>VLOOKUP($A210, '26 ADP Data'!$C$3:$R$298, 2, FALSE)</f>
        <v>PHI</v>
      </c>
      <c r="C210" s="11" t="str">
        <f>VLOOKUP($A210, '26 ADP Data'!$C$3:$R$298, 16, FALSE)</f>
        <v>WR</v>
      </c>
      <c r="D210" s="11"/>
      <c r="E210" s="11"/>
      <c r="F210" s="11"/>
      <c r="G210" s="11"/>
      <c r="H210" s="11"/>
      <c r="I210" s="11">
        <f>VLOOKUP($A210, '26 ADP Data'!$C$3:$Q$298, 13, FALSE)</f>
        <v>161</v>
      </c>
      <c r="J210" s="11">
        <f>VLOOKUP($A210, '26 ADP Data'!$C$3:$Q$298, 10, FALSE)</f>
        <v>161</v>
      </c>
      <c r="K210" s="11" t="s">
        <v>452</v>
      </c>
    </row>
    <row r="211" ht="14.25" customHeight="1">
      <c r="A211" s="11" t="s">
        <v>600</v>
      </c>
      <c r="B211" s="11" t="str">
        <f>VLOOKUP($A211, '26 ADP Data'!$C$3:$R$298, 2, FALSE)</f>
        <v>PHI</v>
      </c>
      <c r="C211" s="11" t="str">
        <f>VLOOKUP($A211, '26 ADP Data'!$C$3:$R$298, 16, FALSE)</f>
        <v>TE</v>
      </c>
      <c r="D211" s="11"/>
      <c r="E211" s="11"/>
      <c r="F211" s="11"/>
      <c r="G211" s="11"/>
      <c r="H211" s="11" t="s">
        <v>806</v>
      </c>
      <c r="I211" s="11">
        <f>VLOOKUP($A211, '26 ADP Data'!$C$3:$Q$298, 13, FALSE)</f>
        <v>244</v>
      </c>
      <c r="J211" s="11" t="str">
        <f>VLOOKUP($A211, '26 ADP Data'!$C$3:$Q$298, 10, FALSE)</f>
        <v>-</v>
      </c>
      <c r="K211" s="11">
        <v>214.0</v>
      </c>
    </row>
    <row r="212" ht="14.25" hidden="1" customHeight="1">
      <c r="A212" s="11" t="s">
        <v>611</v>
      </c>
      <c r="B212" s="11" t="str">
        <f>VLOOKUP($A212, '26 ADP Data'!$C$3:$R$298, 2, FALSE)</f>
        <v>SEA</v>
      </c>
      <c r="C212" s="11" t="str">
        <f>VLOOKUP($A212, '26 ADP Data'!$C$3:$R$298, 16, FALSE)</f>
        <v>RB</v>
      </c>
      <c r="D212" s="11"/>
      <c r="E212" s="11"/>
      <c r="F212" s="11"/>
      <c r="G212" s="11"/>
      <c r="H212" s="11"/>
      <c r="I212" s="11">
        <f>VLOOKUP($A212, '26 ADP Data'!$C$3:$Q$298, 13, FALSE)</f>
        <v>225</v>
      </c>
      <c r="J212" s="11">
        <f>VLOOKUP($A212, '26 ADP Data'!$C$3:$Q$298, 10, FALSE)</f>
        <v>215</v>
      </c>
      <c r="K212" s="11">
        <v>243.0</v>
      </c>
    </row>
    <row r="213" ht="14.25" hidden="1" customHeight="1">
      <c r="A213" s="11" t="s">
        <v>609</v>
      </c>
      <c r="B213" s="11" t="str">
        <f>VLOOKUP($A213, '26 ADP Data'!$C$3:$R$298, 2, FALSE)</f>
        <v>MIN</v>
      </c>
      <c r="C213" s="11" t="str">
        <f>VLOOKUP($A213, '26 ADP Data'!$C$3:$R$298, 16, FALSE)</f>
        <v>RB</v>
      </c>
      <c r="D213" s="11"/>
      <c r="E213" s="11"/>
      <c r="F213" s="11"/>
      <c r="G213" s="11"/>
      <c r="H213" s="11" t="s">
        <v>807</v>
      </c>
      <c r="I213" s="11">
        <f>VLOOKUP($A213, '26 ADP Data'!$C$3:$Q$298, 13, FALSE)</f>
        <v>243</v>
      </c>
      <c r="J213" s="11">
        <f>VLOOKUP($A213, '26 ADP Data'!$C$3:$Q$298, 10, FALSE)</f>
        <v>207</v>
      </c>
      <c r="K213" s="11">
        <v>196.0</v>
      </c>
    </row>
    <row r="214" ht="14.25" hidden="1" customHeight="1">
      <c r="A214" s="11" t="s">
        <v>454</v>
      </c>
      <c r="B214" s="11" t="str">
        <f>VLOOKUP($A214, '26 ADP Data'!$C$3:$R$298, 2, FALSE)</f>
        <v>LV</v>
      </c>
      <c r="C214" s="11" t="str">
        <f>VLOOKUP($A214, '26 ADP Data'!$C$3:$R$298, 16, FALSE)</f>
        <v>WR</v>
      </c>
      <c r="D214" s="11"/>
      <c r="E214" s="11"/>
      <c r="F214" s="11"/>
      <c r="G214" s="11"/>
      <c r="H214" s="11"/>
      <c r="I214" s="11">
        <f>VLOOKUP($A214, '26 ADP Data'!$C$3:$Q$298, 13, FALSE)</f>
        <v>149</v>
      </c>
      <c r="J214" s="11">
        <f>VLOOKUP($A214, '26 ADP Data'!$C$3:$Q$298, 10, FALSE)</f>
        <v>172</v>
      </c>
      <c r="K214" s="11">
        <v>191.0</v>
      </c>
    </row>
    <row r="215" ht="14.25" hidden="1" customHeight="1">
      <c r="A215" s="11" t="s">
        <v>634</v>
      </c>
      <c r="B215" s="11" t="str">
        <f>VLOOKUP($A215, '26 ADP Data'!$C$3:$R$298, 2, FALSE)</f>
        <v>MIA</v>
      </c>
      <c r="C215" s="11" t="str">
        <f>VLOOKUP($A215, '26 ADP Data'!$C$3:$R$298, 16, FALSE)</f>
        <v>RB</v>
      </c>
      <c r="D215" s="11"/>
      <c r="E215" s="11"/>
      <c r="F215" s="11"/>
      <c r="G215" s="11"/>
      <c r="H215" s="11"/>
      <c r="I215" s="11">
        <f>VLOOKUP($A215, '26 ADP Data'!$C$3:$Q$298, 13, FALSE)</f>
        <v>250</v>
      </c>
      <c r="J215" s="11" t="str">
        <f>VLOOKUP($A215, '26 ADP Data'!$C$3:$Q$298, 10, FALSE)</f>
        <v>-</v>
      </c>
      <c r="K215" s="11">
        <v>197.0</v>
      </c>
    </row>
    <row r="216" ht="14.25" customHeight="1">
      <c r="A216" s="11" t="s">
        <v>641</v>
      </c>
      <c r="B216" s="11" t="str">
        <f>VLOOKUP($A216, '26 ADP Data'!$C$3:$R$298, 2, FALSE)</f>
        <v>SF</v>
      </c>
      <c r="C216" s="11" t="str">
        <f>VLOOKUP($A216, '26 ADP Data'!$C$3:$R$298, 16, FALSE)</f>
        <v>TE</v>
      </c>
      <c r="D216" s="11"/>
      <c r="E216" s="11"/>
      <c r="F216" s="11"/>
      <c r="G216" s="11"/>
      <c r="H216" s="11"/>
      <c r="I216" s="11">
        <f>VLOOKUP($A216, '26 ADP Data'!$C$3:$Q$298, 13, FALSE)</f>
        <v>252</v>
      </c>
      <c r="J216" s="11" t="str">
        <f>VLOOKUP($A216, '26 ADP Data'!$C$3:$Q$298, 10, FALSE)</f>
        <v>-</v>
      </c>
      <c r="K216" s="11">
        <v>242.0</v>
      </c>
    </row>
    <row r="217" ht="14.25" hidden="1" customHeight="1">
      <c r="A217" s="11" t="s">
        <v>595</v>
      </c>
      <c r="B217" s="11" t="str">
        <f>VLOOKUP($A217, '26 ADP Data'!$C$3:$R$298, 2, FALSE)</f>
        <v>CLE</v>
      </c>
      <c r="C217" s="11" t="str">
        <f>VLOOKUP($A217, '26 ADP Data'!$C$3:$R$298, 16, FALSE)</f>
        <v>QB</v>
      </c>
      <c r="D217" s="11"/>
      <c r="E217" s="11"/>
      <c r="F217" s="11"/>
      <c r="G217" s="11"/>
      <c r="H217" s="11"/>
      <c r="I217" s="11">
        <f>VLOOKUP($A217, '26 ADP Data'!$C$3:$Q$298, 13, FALSE)</f>
        <v>227</v>
      </c>
      <c r="J217" s="11" t="str">
        <f>VLOOKUP($A217, '26 ADP Data'!$C$3:$Q$298, 10, FALSE)</f>
        <v>-</v>
      </c>
      <c r="K217" s="11" t="s">
        <v>452</v>
      </c>
    </row>
    <row r="218" ht="14.25" hidden="1" customHeight="1">
      <c r="A218" s="11" t="s">
        <v>519</v>
      </c>
      <c r="B218" s="11" t="str">
        <f>VLOOKUP($A218, '26 ADP Data'!$C$3:$R$298, 2, FALSE)</f>
        <v>DAL</v>
      </c>
      <c r="C218" s="11" t="str">
        <f>VLOOKUP($A218, '26 ADP Data'!$C$3:$R$298, 16, FALSE)</f>
        <v>WR</v>
      </c>
      <c r="D218" s="11"/>
      <c r="E218" s="11"/>
      <c r="F218" s="11"/>
      <c r="G218" s="11"/>
      <c r="H218" s="11"/>
      <c r="I218" s="11">
        <f>VLOOKUP($A218, '26 ADP Data'!$C$3:$Q$298, 13, FALSE)</f>
        <v>168</v>
      </c>
      <c r="J218" s="11">
        <f>VLOOKUP($A218, '26 ADP Data'!$C$3:$Q$298, 10, FALSE)</f>
        <v>173</v>
      </c>
      <c r="K218" s="11">
        <v>224.0</v>
      </c>
    </row>
    <row r="219" ht="14.25" hidden="1" customHeight="1">
      <c r="A219" s="11" t="s">
        <v>506</v>
      </c>
      <c r="B219" s="11" t="str">
        <f>VLOOKUP($A219, '26 ADP Data'!$C$3:$R$298, 2, FALSE)</f>
        <v>LAC</v>
      </c>
      <c r="C219" s="11" t="str">
        <f>VLOOKUP($A219, '26 ADP Data'!$C$3:$R$298, 16, FALSE)</f>
        <v>WR</v>
      </c>
      <c r="D219" s="11"/>
      <c r="E219" s="11"/>
      <c r="F219" s="11"/>
      <c r="G219" s="11"/>
      <c r="H219" s="11" t="s">
        <v>414</v>
      </c>
      <c r="I219" s="11">
        <f>VLOOKUP($A219, '26 ADP Data'!$C$3:$Q$298, 13, FALSE)</f>
        <v>162</v>
      </c>
      <c r="J219" s="11">
        <f>VLOOKUP($A219, '26 ADP Data'!$C$3:$Q$298, 10, FALSE)</f>
        <v>185</v>
      </c>
      <c r="K219" s="11">
        <v>225.0</v>
      </c>
    </row>
    <row r="220" ht="14.25" hidden="1" customHeight="1">
      <c r="A220" s="11" t="s">
        <v>475</v>
      </c>
      <c r="B220" s="11" t="str">
        <f>VLOOKUP($A220, '26 ADP Data'!$C$3:$R$298, 2, FALSE)</f>
        <v>HOU</v>
      </c>
      <c r="C220" s="11" t="str">
        <f>VLOOKUP($A220, '26 ADP Data'!$C$3:$R$298, 16, FALSE)</f>
        <v>DE</v>
      </c>
      <c r="D220" s="11"/>
      <c r="E220" s="11"/>
      <c r="F220" s="11"/>
      <c r="G220" s="11"/>
      <c r="H220" s="11"/>
      <c r="I220" s="11" t="str">
        <f>VLOOKUP($A220, '26 ADP Data'!$C$3:$Q$298, 13, FALSE)</f>
        <v>-</v>
      </c>
      <c r="J220" s="11">
        <f>VLOOKUP($A220, '26 ADP Data'!$C$3:$Q$298, 10, FALSE)</f>
        <v>153</v>
      </c>
      <c r="K220" s="11">
        <v>155.0</v>
      </c>
    </row>
    <row r="221" ht="14.25" hidden="1" customHeight="1">
      <c r="A221" s="11" t="s">
        <v>624</v>
      </c>
      <c r="B221" s="11" t="str">
        <f>VLOOKUP($A221, '26 ADP Data'!$C$3:$R$298, 2, FALSE)</f>
        <v>SF</v>
      </c>
      <c r="C221" s="11" t="str">
        <f>VLOOKUP($A221, '26 ADP Data'!$C$3:$R$298, 16, FALSE)</f>
        <v>WR</v>
      </c>
      <c r="D221" s="11"/>
      <c r="E221" s="11"/>
      <c r="F221" s="11"/>
      <c r="G221" s="11"/>
      <c r="H221" s="11"/>
      <c r="I221" s="11">
        <f>VLOOKUP($A221, '26 ADP Data'!$C$3:$Q$298, 13, FALSE)</f>
        <v>301</v>
      </c>
      <c r="J221" s="11" t="str">
        <f>VLOOKUP($A221, '26 ADP Data'!$C$3:$Q$298, 10, FALSE)</f>
        <v>-</v>
      </c>
      <c r="K221" s="11">
        <v>160.0</v>
      </c>
    </row>
    <row r="222" ht="14.25" customHeight="1">
      <c r="A222" s="11" t="s">
        <v>709</v>
      </c>
      <c r="B222" s="11" t="str">
        <f>VLOOKUP($A222, '26 ADP Data'!$C$3:$R$298, 2, FALSE)</f>
        <v>PIT</v>
      </c>
      <c r="C222" s="11" t="str">
        <f>VLOOKUP($A222, '26 ADP Data'!$C$3:$R$298, 16, FALSE)</f>
        <v>TE</v>
      </c>
      <c r="D222" s="11"/>
      <c r="E222" s="11"/>
      <c r="F222" s="11"/>
      <c r="G222" s="11"/>
      <c r="H222" s="11"/>
      <c r="I222" s="11">
        <f>VLOOKUP($A222, '26 ADP Data'!$C$3:$Q$298, 13, FALSE)</f>
        <v>251</v>
      </c>
      <c r="J222" s="11" t="str">
        <f>VLOOKUP($A222, '26 ADP Data'!$C$3:$Q$298, 10, FALSE)</f>
        <v>-</v>
      </c>
      <c r="K222" s="11" t="s">
        <v>452</v>
      </c>
    </row>
    <row r="223" ht="14.25" hidden="1" customHeight="1">
      <c r="A223" s="11" t="s">
        <v>808</v>
      </c>
      <c r="B223" s="11" t="str">
        <f>VLOOKUP($A223, '26 ADP Data'!$C$3:$R$298, 2, FALSE)</f>
        <v>#N/A</v>
      </c>
      <c r="C223" s="11" t="str">
        <f>VLOOKUP($A223, '26 ADP Data'!$C$3:$R$298, 16, FALSE)</f>
        <v>#N/A</v>
      </c>
      <c r="D223" s="11"/>
      <c r="E223" s="11"/>
      <c r="F223" s="11"/>
      <c r="G223" s="11"/>
      <c r="H223" s="11" t="s">
        <v>801</v>
      </c>
      <c r="I223" s="11" t="str">
        <f>VLOOKUP($A223, '26 ADP Data'!$C$3:$Q$298, 13, FALSE)</f>
        <v>#N/A</v>
      </c>
      <c r="J223" s="11" t="str">
        <f>VLOOKUP($A223, '26 ADP Data'!$C$3:$Q$298, 10, FALSE)</f>
        <v>#N/A</v>
      </c>
      <c r="K223" s="11">
        <v>231.0</v>
      </c>
    </row>
    <row r="224" ht="14.25" hidden="1" customHeight="1">
      <c r="A224" s="11" t="s">
        <v>485</v>
      </c>
      <c r="B224" s="11" t="str">
        <f>VLOOKUP($A224, '26 ADP Data'!$C$3:$R$298, 2, FALSE)</f>
        <v>DEN</v>
      </c>
      <c r="C224" s="11" t="str">
        <f>VLOOKUP($A224, '26 ADP Data'!$C$3:$R$298, 16, FALSE)</f>
        <v>DE</v>
      </c>
      <c r="D224" s="11"/>
      <c r="E224" s="11"/>
      <c r="F224" s="11"/>
      <c r="G224" s="11"/>
      <c r="H224" s="11"/>
      <c r="I224" s="11" t="str">
        <f>VLOOKUP($A224, '26 ADP Data'!$C$3:$Q$298, 13, FALSE)</f>
        <v>-</v>
      </c>
      <c r="J224" s="11">
        <f>VLOOKUP($A224, '26 ADP Data'!$C$3:$Q$298, 10, FALSE)</f>
        <v>165</v>
      </c>
      <c r="K224" s="11">
        <v>164.0</v>
      </c>
    </row>
    <row r="225" ht="14.25" hidden="1" customHeight="1">
      <c r="A225" s="11" t="s">
        <v>491</v>
      </c>
      <c r="B225" s="11" t="str">
        <f>VLOOKUP($A225, '26 ADP Data'!$C$3:$R$298, 2, FALSE)</f>
        <v>SEA</v>
      </c>
      <c r="C225" s="11" t="str">
        <f>VLOOKUP($A225, '26 ADP Data'!$C$3:$R$298, 16, FALSE)</f>
        <v>DE</v>
      </c>
      <c r="D225" s="11"/>
      <c r="E225" s="11"/>
      <c r="F225" s="11"/>
      <c r="G225" s="11"/>
      <c r="H225" s="11"/>
      <c r="I225" s="11" t="str">
        <f>VLOOKUP($A225, '26 ADP Data'!$C$3:$Q$298, 13, FALSE)</f>
        <v>-</v>
      </c>
      <c r="J225" s="11">
        <f>VLOOKUP($A225, '26 ADP Data'!$C$3:$Q$298, 10, FALSE)</f>
        <v>166</v>
      </c>
      <c r="K225" s="11">
        <v>168.0</v>
      </c>
    </row>
    <row r="226" ht="14.25" hidden="1" customHeight="1">
      <c r="A226" s="11" t="s">
        <v>487</v>
      </c>
      <c r="B226" s="11" t="str">
        <f>VLOOKUP($A226, '26 ADP Data'!$C$3:$R$298, 2, FALSE)</f>
        <v>LAR</v>
      </c>
      <c r="C226" s="11" t="str">
        <f>VLOOKUP($A226, '26 ADP Data'!$C$3:$R$298, 16, FALSE)</f>
        <v>DE</v>
      </c>
      <c r="D226" s="11"/>
      <c r="E226" s="11"/>
      <c r="F226" s="11"/>
      <c r="G226" s="11"/>
      <c r="H226" s="11"/>
      <c r="I226" s="11" t="str">
        <f>VLOOKUP($A226, '26 ADP Data'!$C$3:$Q$298, 13, FALSE)</f>
        <v>-</v>
      </c>
      <c r="J226" s="11">
        <f>VLOOKUP($A226, '26 ADP Data'!$C$3:$Q$298, 10, FALSE)</f>
        <v>158</v>
      </c>
      <c r="K226" s="11">
        <v>180.0</v>
      </c>
    </row>
    <row r="227" ht="14.25" hidden="1" customHeight="1">
      <c r="A227" s="11" t="s">
        <v>613</v>
      </c>
      <c r="B227" s="11" t="str">
        <f>VLOOKUP($A227, '26 ADP Data'!$C$3:$R$298, 2, FALSE)</f>
        <v>HOU</v>
      </c>
      <c r="C227" s="11" t="str">
        <f>VLOOKUP($A227, '26 ADP Data'!$C$3:$R$298, 16, FALSE)</f>
        <v>WR</v>
      </c>
      <c r="D227" s="11"/>
      <c r="E227" s="11"/>
      <c r="F227" s="11"/>
      <c r="G227" s="11"/>
      <c r="H227" s="11" t="s">
        <v>799</v>
      </c>
      <c r="I227" s="11">
        <f>VLOOKUP($A227, '26 ADP Data'!$C$3:$Q$298, 13, FALSE)</f>
        <v>200</v>
      </c>
      <c r="J227" s="11">
        <f>VLOOKUP($A227, '26 ADP Data'!$C$3:$Q$298, 10, FALSE)</f>
        <v>195</v>
      </c>
      <c r="K227" s="11">
        <v>198.0</v>
      </c>
    </row>
    <row r="228" ht="14.25" hidden="1" customHeight="1">
      <c r="A228" s="11" t="s">
        <v>437</v>
      </c>
      <c r="B228" s="11" t="str">
        <f>VLOOKUP($A228, '26 ADP Data'!$C$3:$R$298, 2, FALSE)</f>
        <v>CLE</v>
      </c>
      <c r="C228" s="11" t="str">
        <f>VLOOKUP($A228, '26 ADP Data'!$C$3:$R$298, 16, FALSE)</f>
        <v>WR</v>
      </c>
      <c r="D228" s="11"/>
      <c r="E228" s="11"/>
      <c r="F228" s="11"/>
      <c r="G228" s="11"/>
      <c r="H228" s="11"/>
      <c r="I228" s="11">
        <f>VLOOKUP($A228, '26 ADP Data'!$C$3:$Q$298, 13, FALSE)</f>
        <v>204</v>
      </c>
      <c r="J228" s="11">
        <f>VLOOKUP($A228, '26 ADP Data'!$C$3:$Q$298, 10, FALSE)</f>
        <v>196</v>
      </c>
      <c r="K228" s="11">
        <v>169.0</v>
      </c>
    </row>
    <row r="229" ht="14.25" hidden="1" customHeight="1">
      <c r="A229" s="11" t="s">
        <v>678</v>
      </c>
      <c r="B229" s="11" t="str">
        <f>VLOOKUP($A229, '26 ADP Data'!$C$3:$R$298, 2, FALSE)</f>
        <v>MIA</v>
      </c>
      <c r="C229" s="11" t="str">
        <f>VLOOKUP($A229, '26 ADP Data'!$C$3:$R$298, 16, FALSE)</f>
        <v>RB</v>
      </c>
      <c r="D229" s="11"/>
      <c r="E229" s="11"/>
      <c r="F229" s="11"/>
      <c r="G229" s="11"/>
      <c r="H229" s="11" t="s">
        <v>809</v>
      </c>
      <c r="I229" s="11">
        <f>VLOOKUP($A229, '26 ADP Data'!$C$3:$Q$298, 13, FALSE)</f>
        <v>280</v>
      </c>
      <c r="J229" s="11">
        <f>VLOOKUP($A229, '26 ADP Data'!$C$3:$Q$298, 10, FALSE)</f>
        <v>223</v>
      </c>
      <c r="K229" s="11">
        <v>228.0</v>
      </c>
    </row>
    <row r="230" ht="14.25" hidden="1" customHeight="1">
      <c r="A230" s="11" t="s">
        <v>810</v>
      </c>
      <c r="B230" s="11" t="str">
        <f>VLOOKUP($A230, '26 ADP Data'!$C$3:$R$298, 2, FALSE)</f>
        <v>#N/A</v>
      </c>
      <c r="C230" s="11" t="str">
        <f>VLOOKUP($A230, '26 ADP Data'!$C$3:$R$298, 16, FALSE)</f>
        <v>#N/A</v>
      </c>
      <c r="D230" s="11"/>
      <c r="E230" s="11"/>
      <c r="F230" s="11"/>
      <c r="G230" s="11"/>
      <c r="H230" s="11"/>
      <c r="I230" s="11" t="str">
        <f>VLOOKUP($A230, '26 ADP Data'!$C$3:$Q$298, 13, FALSE)</f>
        <v>#N/A</v>
      </c>
      <c r="J230" s="11" t="str">
        <f>VLOOKUP($A230, '26 ADP Data'!$C$3:$Q$298, 10, FALSE)</f>
        <v>#N/A</v>
      </c>
      <c r="K230" s="11" t="s">
        <v>452</v>
      </c>
    </row>
    <row r="231" ht="14.25" hidden="1" customHeight="1">
      <c r="A231" s="11" t="s">
        <v>734</v>
      </c>
      <c r="B231" s="11" t="str">
        <f>VLOOKUP($A231, '26 ADP Data'!$C$3:$R$298, 2, FALSE)</f>
        <v>#N/A</v>
      </c>
      <c r="C231" s="11" t="str">
        <f>VLOOKUP($A231, '26 ADP Data'!$C$3:$R$298, 16, FALSE)</f>
        <v>#N/A</v>
      </c>
      <c r="D231" s="11"/>
      <c r="E231" s="11"/>
      <c r="F231" s="11"/>
      <c r="G231" s="11"/>
      <c r="H231" s="11"/>
      <c r="I231" s="11" t="str">
        <f>VLOOKUP($A231, '26 ADP Data'!$C$3:$Q$298, 13, FALSE)</f>
        <v>#N/A</v>
      </c>
      <c r="J231" s="11" t="str">
        <f>VLOOKUP($A231, '26 ADP Data'!$C$3:$Q$298, 10, FALSE)</f>
        <v>#N/A</v>
      </c>
      <c r="K231" s="11" t="s">
        <v>452</v>
      </c>
    </row>
    <row r="232" ht="14.25" hidden="1" customHeight="1">
      <c r="A232" s="11" t="s">
        <v>661</v>
      </c>
      <c r="B232" s="11" t="str">
        <f>VLOOKUP($A232, '26 ADP Data'!$C$3:$R$298, 2, FALSE)</f>
        <v>NYG</v>
      </c>
      <c r="C232" s="11" t="str">
        <f>VLOOKUP($A232, '26 ADP Data'!$C$3:$R$298, 16, FALSE)</f>
        <v>RB</v>
      </c>
      <c r="D232" s="11"/>
      <c r="E232" s="11"/>
      <c r="F232" s="11"/>
      <c r="G232" s="11"/>
      <c r="H232" s="11"/>
      <c r="I232" s="11">
        <f>VLOOKUP($A232, '26 ADP Data'!$C$3:$Q$298, 13, FALSE)</f>
        <v>206</v>
      </c>
      <c r="J232" s="11">
        <f>VLOOKUP($A232, '26 ADP Data'!$C$3:$Q$298, 10, FALSE)</f>
        <v>209</v>
      </c>
      <c r="K232" s="11">
        <v>203.0</v>
      </c>
    </row>
    <row r="233" ht="14.25" hidden="1" customHeight="1">
      <c r="A233" s="11" t="s">
        <v>657</v>
      </c>
      <c r="B233" s="11" t="str">
        <f>VLOOKUP($A233, '26 ADP Data'!$C$3:$R$298, 2, FALSE)</f>
        <v>NO</v>
      </c>
      <c r="C233" s="11" t="str">
        <f>VLOOKUP($A233, '26 ADP Data'!$C$3:$R$298, 16, FALSE)</f>
        <v>WR</v>
      </c>
      <c r="D233" s="11"/>
      <c r="E233" s="11"/>
      <c r="F233" s="11"/>
      <c r="G233" s="11"/>
      <c r="H233" s="11"/>
      <c r="I233" s="11">
        <f>VLOOKUP($A233, '26 ADP Data'!$C$3:$Q$298, 13, FALSE)</f>
        <v>185</v>
      </c>
      <c r="J233" s="11">
        <f>VLOOKUP($A233, '26 ADP Data'!$C$3:$Q$298, 10, FALSE)</f>
        <v>200</v>
      </c>
      <c r="K233" s="11" t="s">
        <v>452</v>
      </c>
    </row>
    <row r="234" ht="14.25" hidden="1" customHeight="1">
      <c r="A234" s="11" t="s">
        <v>517</v>
      </c>
      <c r="B234" s="11" t="str">
        <f>VLOOKUP($A234, '26 ADP Data'!$C$3:$R$298, 2, FALSE)</f>
        <v>MIA</v>
      </c>
      <c r="C234" s="11" t="str">
        <f>VLOOKUP($A234, '26 ADP Data'!$C$3:$R$298, 16, FALSE)</f>
        <v>WR</v>
      </c>
      <c r="D234" s="11"/>
      <c r="E234" s="11"/>
      <c r="F234" s="11"/>
      <c r="G234" s="11"/>
      <c r="H234" s="11"/>
      <c r="I234" s="11">
        <f>VLOOKUP($A234, '26 ADP Data'!$C$3:$Q$298, 13, FALSE)</f>
        <v>174</v>
      </c>
      <c r="J234" s="11">
        <f>VLOOKUP($A234, '26 ADP Data'!$C$3:$Q$298, 10, FALSE)</f>
        <v>202</v>
      </c>
      <c r="K234" s="11">
        <v>220.0</v>
      </c>
    </row>
    <row r="235" ht="14.25" customHeight="1">
      <c r="A235" s="11" t="s">
        <v>718</v>
      </c>
      <c r="B235" s="11" t="str">
        <f>VLOOKUP($A235, '26 ADP Data'!$C$3:$R$298, 2, FALSE)</f>
        <v>BUF</v>
      </c>
      <c r="C235" s="11" t="str">
        <f>VLOOKUP($A235, '26 ADP Data'!$C$3:$R$298, 16, FALSE)</f>
        <v>TE</v>
      </c>
      <c r="D235" s="11"/>
      <c r="E235" s="11"/>
      <c r="F235" s="11"/>
      <c r="G235" s="11"/>
      <c r="H235" s="11"/>
      <c r="I235" s="11">
        <f>VLOOKUP($A235, '26 ADP Data'!$C$3:$Q$298, 13, FALSE)</f>
        <v>264</v>
      </c>
      <c r="J235" s="11" t="str">
        <f>VLOOKUP($A235, '26 ADP Data'!$C$3:$Q$298, 10, FALSE)</f>
        <v>-</v>
      </c>
      <c r="K235" s="11" t="s">
        <v>452</v>
      </c>
    </row>
    <row r="236" ht="14.25" customHeight="1">
      <c r="A236" s="11" t="s">
        <v>489</v>
      </c>
      <c r="B236" s="11" t="str">
        <f>VLOOKUP($A236, '26 ADP Data'!$C$3:$R$298, 2, FALSE)</f>
        <v>MIA</v>
      </c>
      <c r="C236" s="11" t="str">
        <f>VLOOKUP($A236, '26 ADP Data'!$C$3:$R$298, 16, FALSE)</f>
        <v>TE</v>
      </c>
      <c r="D236" s="11"/>
      <c r="E236" s="11"/>
      <c r="F236" s="11"/>
      <c r="G236" s="11"/>
      <c r="H236" s="11"/>
      <c r="I236" s="11">
        <f>VLOOKUP($A236, '26 ADP Data'!$C$3:$Q$298, 13, FALSE)</f>
        <v>189</v>
      </c>
      <c r="J236" s="11">
        <f>VLOOKUP($A236, '26 ADP Data'!$C$3:$Q$298, 10, FALSE)</f>
        <v>192</v>
      </c>
      <c r="K236" s="11" t="s">
        <v>452</v>
      </c>
    </row>
    <row r="237" ht="14.25" hidden="1" customHeight="1">
      <c r="A237" s="11" t="s">
        <v>811</v>
      </c>
      <c r="B237" s="11" t="str">
        <f>VLOOKUP($A237, '26 ADP Data'!$C$3:$R$298, 2, FALSE)</f>
        <v>#N/A</v>
      </c>
      <c r="C237" s="11" t="str">
        <f>VLOOKUP($A237, '26 ADP Data'!$C$3:$R$298, 16, FALSE)</f>
        <v>#N/A</v>
      </c>
      <c r="D237" s="11"/>
      <c r="E237" s="11"/>
      <c r="F237" s="11"/>
      <c r="G237" s="11"/>
      <c r="H237" s="11"/>
      <c r="I237" s="11" t="str">
        <f>VLOOKUP($A237, '26 ADP Data'!$C$3:$Q$298, 13, FALSE)</f>
        <v>#N/A</v>
      </c>
      <c r="J237" s="11" t="str">
        <f>VLOOKUP($A237, '26 ADP Data'!$C$3:$Q$298, 10, FALSE)</f>
        <v>#N/A</v>
      </c>
      <c r="K237" s="11" t="s">
        <v>452</v>
      </c>
    </row>
    <row r="238" ht="14.25" hidden="1" customHeight="1">
      <c r="A238" s="11" t="s">
        <v>495</v>
      </c>
      <c r="B238" s="11" t="str">
        <f>VLOOKUP($A238, '26 ADP Data'!$C$3:$R$298, 2, FALSE)</f>
        <v>PHI</v>
      </c>
      <c r="C238" s="11" t="str">
        <f>VLOOKUP($A238, '26 ADP Data'!$C$3:$R$298, 16, FALSE)</f>
        <v>DE</v>
      </c>
      <c r="D238" s="11"/>
      <c r="E238" s="11"/>
      <c r="F238" s="11"/>
      <c r="G238" s="11"/>
      <c r="H238" s="11"/>
      <c r="I238" s="11" t="str">
        <f>VLOOKUP($A238, '26 ADP Data'!$C$3:$Q$298, 13, FALSE)</f>
        <v>-</v>
      </c>
      <c r="J238" s="11">
        <f>VLOOKUP($A238, '26 ADP Data'!$C$3:$Q$298, 10, FALSE)</f>
        <v>174</v>
      </c>
      <c r="K238" s="11">
        <v>176.0</v>
      </c>
    </row>
    <row r="239" ht="14.25" hidden="1" customHeight="1">
      <c r="A239" s="11" t="s">
        <v>504</v>
      </c>
      <c r="B239" s="11" t="str">
        <f>VLOOKUP($A239, '26 ADP Data'!$C$3:$R$298, 2, FALSE)</f>
        <v>NE</v>
      </c>
      <c r="C239" s="11" t="str">
        <f>VLOOKUP($A239, '26 ADP Data'!$C$3:$R$298, 16, FALSE)</f>
        <v>DE</v>
      </c>
      <c r="D239" s="11"/>
      <c r="E239" s="11"/>
      <c r="F239" s="11"/>
      <c r="G239" s="11"/>
      <c r="H239" s="11"/>
      <c r="I239" s="11" t="str">
        <f>VLOOKUP($A239, '26 ADP Data'!$C$3:$Q$298, 13, FALSE)</f>
        <v>-</v>
      </c>
      <c r="J239" s="11">
        <f>VLOOKUP($A239, '26 ADP Data'!$C$3:$Q$298, 10, FALSE)</f>
        <v>190</v>
      </c>
      <c r="K239" s="11">
        <v>190.0</v>
      </c>
    </row>
    <row r="240" ht="14.25" hidden="1" customHeight="1">
      <c r="A240" s="11" t="s">
        <v>812</v>
      </c>
      <c r="B240" s="11" t="str">
        <f>VLOOKUP($A240, '26 ADP Data'!$C$3:$R$298, 2, FALSE)</f>
        <v>#N/A</v>
      </c>
      <c r="C240" s="11" t="str">
        <f>VLOOKUP($A240, '26 ADP Data'!$C$3:$R$298, 16, FALSE)</f>
        <v>#N/A</v>
      </c>
      <c r="D240" s="11"/>
      <c r="E240" s="11"/>
      <c r="F240" s="11"/>
      <c r="G240" s="11"/>
      <c r="H240" s="11"/>
      <c r="I240" s="11" t="str">
        <f>VLOOKUP($A240, '26 ADP Data'!$C$3:$Q$298, 13, FALSE)</f>
        <v>#N/A</v>
      </c>
      <c r="J240" s="11" t="str">
        <f>VLOOKUP($A240, '26 ADP Data'!$C$3:$Q$298, 10, FALSE)</f>
        <v>#N/A</v>
      </c>
      <c r="K240" s="11" t="s">
        <v>452</v>
      </c>
    </row>
    <row r="241" ht="14.25" hidden="1" customHeight="1">
      <c r="A241" s="11" t="s">
        <v>515</v>
      </c>
      <c r="B241" s="11" t="str">
        <f>VLOOKUP($A241, '26 ADP Data'!$C$3:$R$298, 2, FALSE)</f>
        <v>MIN</v>
      </c>
      <c r="C241" s="11" t="str">
        <f>VLOOKUP($A241, '26 ADP Data'!$C$3:$R$298, 16, FALSE)</f>
        <v>DE</v>
      </c>
      <c r="D241" s="11"/>
      <c r="E241" s="11"/>
      <c r="F241" s="11"/>
      <c r="G241" s="11"/>
      <c r="H241" s="11"/>
      <c r="I241" s="11" t="str">
        <f>VLOOKUP($A241, '26 ADP Data'!$C$3:$Q$298, 13, FALSE)</f>
        <v>-</v>
      </c>
      <c r="J241" s="11">
        <f>VLOOKUP($A241, '26 ADP Data'!$C$3:$Q$298, 10, FALSE)</f>
        <v>180</v>
      </c>
      <c r="K241" s="11">
        <v>182.0</v>
      </c>
    </row>
    <row r="242" ht="14.25" hidden="1" customHeight="1">
      <c r="A242" s="11" t="s">
        <v>502</v>
      </c>
      <c r="B242" s="11" t="str">
        <f>VLOOKUP($A242, '26 ADP Data'!$C$3:$R$298, 2, FALSE)</f>
        <v>PIT</v>
      </c>
      <c r="C242" s="11" t="str">
        <f>VLOOKUP($A242, '26 ADP Data'!$C$3:$R$298, 16, FALSE)</f>
        <v>DE</v>
      </c>
      <c r="D242" s="11"/>
      <c r="E242" s="11"/>
      <c r="F242" s="11"/>
      <c r="G242" s="11"/>
      <c r="H242" s="11"/>
      <c r="I242" s="11" t="str">
        <f>VLOOKUP($A242, '26 ADP Data'!$C$3:$Q$298, 13, FALSE)</f>
        <v>-</v>
      </c>
      <c r="J242" s="11">
        <f>VLOOKUP($A242, '26 ADP Data'!$C$3:$Q$298, 10, FALSE)</f>
        <v>194</v>
      </c>
      <c r="K242" s="11">
        <v>200.0</v>
      </c>
    </row>
    <row r="243" ht="14.25" hidden="1" customHeight="1">
      <c r="A243" s="11" t="s">
        <v>529</v>
      </c>
      <c r="B243" s="11" t="str">
        <f>VLOOKUP($A243, '26 ADP Data'!$C$3:$R$298, 2, FALSE)</f>
        <v>JAX</v>
      </c>
      <c r="C243" s="11" t="str">
        <f>VLOOKUP($A243, '26 ADP Data'!$C$3:$R$298, 16, FALSE)</f>
        <v>DE</v>
      </c>
      <c r="D243" s="11"/>
      <c r="E243" s="11"/>
      <c r="F243" s="11"/>
      <c r="G243" s="11"/>
      <c r="H243" s="11"/>
      <c r="I243" s="11" t="str">
        <f>VLOOKUP($A243, '26 ADP Data'!$C$3:$Q$298, 13, FALSE)</f>
        <v>-</v>
      </c>
      <c r="J243" s="11">
        <f>VLOOKUP($A243, '26 ADP Data'!$C$3:$Q$298, 10, FALSE)</f>
        <v>191</v>
      </c>
      <c r="K243" s="11">
        <v>195.0</v>
      </c>
    </row>
    <row r="244" ht="14.25" customHeight="1">
      <c r="A244" s="11" t="s">
        <v>556</v>
      </c>
      <c r="B244" s="11" t="str">
        <f>VLOOKUP($A244, '26 ADP Data'!$C$3:$R$298, 2, FALSE)</f>
        <v>TB</v>
      </c>
      <c r="C244" s="11" t="str">
        <f>VLOOKUP($A244, '26 ADP Data'!$C$3:$R$298, 16, FALSE)</f>
        <v>TE</v>
      </c>
      <c r="D244" s="11"/>
      <c r="E244" s="11"/>
      <c r="F244" s="11"/>
      <c r="G244" s="11"/>
      <c r="H244" s="11"/>
      <c r="I244" s="11">
        <f>VLOOKUP($A244, '26 ADP Data'!$C$3:$Q$298, 13, FALSE)</f>
        <v>195</v>
      </c>
      <c r="J244" s="11" t="str">
        <f>VLOOKUP($A244, '26 ADP Data'!$C$3:$Q$298, 10, FALSE)</f>
        <v>-</v>
      </c>
      <c r="K244" s="11" t="s">
        <v>452</v>
      </c>
    </row>
    <row r="245" ht="14.25" hidden="1" customHeight="1">
      <c r="A245" s="11" t="s">
        <v>813</v>
      </c>
      <c r="B245" s="11" t="str">
        <f>VLOOKUP($A245, '26 ADP Data'!$C$3:$R$298, 2, FALSE)</f>
        <v>#N/A</v>
      </c>
      <c r="C245" s="11" t="str">
        <f>VLOOKUP($A245, '26 ADP Data'!$C$3:$R$298, 16, FALSE)</f>
        <v>#N/A</v>
      </c>
      <c r="D245" s="11"/>
      <c r="E245" s="11"/>
      <c r="F245" s="11"/>
      <c r="G245" s="11"/>
      <c r="H245" s="11"/>
      <c r="I245" s="11" t="str">
        <f>VLOOKUP($A245, '26 ADP Data'!$C$3:$Q$298, 13, FALSE)</f>
        <v>#N/A</v>
      </c>
      <c r="J245" s="11" t="str">
        <f>VLOOKUP($A245, '26 ADP Data'!$C$3:$Q$298, 10, FALSE)</f>
        <v>#N/A</v>
      </c>
      <c r="K245" s="11">
        <v>209.0</v>
      </c>
    </row>
    <row r="246" ht="14.25" hidden="1" customHeight="1">
      <c r="A246" s="11" t="s">
        <v>532</v>
      </c>
      <c r="B246" s="11" t="str">
        <f>VLOOKUP($A246, '26 ADP Data'!$C$3:$R$298, 2, FALSE)</f>
        <v>LAC</v>
      </c>
      <c r="C246" s="11" t="str">
        <f>VLOOKUP($A246, '26 ADP Data'!$C$3:$R$298, 16, FALSE)</f>
        <v>DE</v>
      </c>
      <c r="D246" s="11"/>
      <c r="E246" s="11"/>
      <c r="F246" s="11"/>
      <c r="G246" s="11"/>
      <c r="H246" s="11"/>
      <c r="I246" s="11" t="str">
        <f>VLOOKUP($A246, '26 ADP Data'!$C$3:$Q$298, 13, FALSE)</f>
        <v>-</v>
      </c>
      <c r="J246" s="11">
        <f>VLOOKUP($A246, '26 ADP Data'!$C$3:$Q$298, 10, FALSE)</f>
        <v>217</v>
      </c>
      <c r="K246" s="11">
        <v>199.0</v>
      </c>
    </row>
    <row r="247" ht="14.25" hidden="1" customHeight="1">
      <c r="A247" s="11" t="s">
        <v>513</v>
      </c>
      <c r="B247" s="11" t="str">
        <f>VLOOKUP($A247, '26 ADP Data'!$C$3:$R$298, 2, FALSE)</f>
        <v>BAL</v>
      </c>
      <c r="C247" s="11" t="str">
        <f>VLOOKUP($A247, '26 ADP Data'!$C$3:$R$298, 16, FALSE)</f>
        <v>DE</v>
      </c>
      <c r="D247" s="11"/>
      <c r="E247" s="11"/>
      <c r="F247" s="11"/>
      <c r="G247" s="11"/>
      <c r="H247" s="11"/>
      <c r="I247" s="11" t="str">
        <f>VLOOKUP($A247, '26 ADP Data'!$C$3:$Q$298, 13, FALSE)</f>
        <v>-</v>
      </c>
      <c r="J247" s="11">
        <f>VLOOKUP($A247, '26 ADP Data'!$C$3:$Q$298, 10, FALSE)</f>
        <v>206</v>
      </c>
      <c r="K247" s="11">
        <v>238.0</v>
      </c>
    </row>
    <row r="248" ht="14.25" hidden="1" customHeight="1">
      <c r="A248" s="11" t="s">
        <v>584</v>
      </c>
      <c r="B248" s="11" t="str">
        <f>VLOOKUP($A248, '26 ADP Data'!$C$3:$R$298, 2, FALSE)</f>
        <v>BAL</v>
      </c>
      <c r="C248" s="11" t="str">
        <f>VLOOKUP($A248, '26 ADP Data'!$C$3:$R$298, 16, FALSE)</f>
        <v>WR</v>
      </c>
      <c r="D248" s="11"/>
      <c r="E248" s="11"/>
      <c r="F248" s="11"/>
      <c r="G248" s="11"/>
      <c r="H248" s="11"/>
      <c r="I248" s="11">
        <f>VLOOKUP($A248, '26 ADP Data'!$C$3:$Q$298, 13, FALSE)</f>
        <v>215</v>
      </c>
      <c r="J248" s="11">
        <f>VLOOKUP($A248, '26 ADP Data'!$C$3:$Q$298, 10, FALSE)</f>
        <v>219</v>
      </c>
      <c r="K248" s="11" t="s">
        <v>452</v>
      </c>
    </row>
    <row r="249" ht="14.25" hidden="1" customHeight="1">
      <c r="A249" s="11" t="s">
        <v>623</v>
      </c>
      <c r="B249" s="11" t="str">
        <f>VLOOKUP($A249, '26 ADP Data'!$C$3:$R$298, 2, FALSE)</f>
        <v>NYJ</v>
      </c>
      <c r="C249" s="11" t="str">
        <f>VLOOKUP($A249, '26 ADP Data'!$C$3:$R$298, 16, FALSE)</f>
        <v>QB</v>
      </c>
      <c r="D249" s="11"/>
      <c r="E249" s="11"/>
      <c r="F249" s="11"/>
      <c r="G249" s="11"/>
      <c r="H249" s="11"/>
      <c r="I249" s="11">
        <f>VLOOKUP($A249, '26 ADP Data'!$C$3:$Q$298, 13, FALSE)</f>
        <v>192</v>
      </c>
      <c r="J249" s="11" t="str">
        <f>VLOOKUP($A249, '26 ADP Data'!$C$3:$Q$298, 10, FALSE)</f>
        <v>-</v>
      </c>
      <c r="K249" s="11" t="s">
        <v>452</v>
      </c>
    </row>
    <row r="250" ht="14.25" hidden="1" customHeight="1">
      <c r="A250" s="11" t="s">
        <v>814</v>
      </c>
      <c r="B250" s="11" t="str">
        <f>VLOOKUP($A250, '26 ADP Data'!$C$3:$R$298, 2, FALSE)</f>
        <v>#N/A</v>
      </c>
      <c r="C250" s="11" t="str">
        <f>VLOOKUP($A250, '26 ADP Data'!$C$3:$R$298, 16, FALSE)</f>
        <v>#N/A</v>
      </c>
      <c r="D250" s="11"/>
      <c r="E250" s="11"/>
      <c r="F250" s="11"/>
      <c r="G250" s="11"/>
      <c r="H250" s="11"/>
      <c r="I250" s="11" t="str">
        <f>VLOOKUP($A250, '26 ADP Data'!$C$3:$Q$298, 13, FALSE)</f>
        <v>#N/A</v>
      </c>
      <c r="J250" s="11" t="str">
        <f>VLOOKUP($A250, '26 ADP Data'!$C$3:$Q$298, 10, FALSE)</f>
        <v>#N/A</v>
      </c>
      <c r="K250" s="11" t="s">
        <v>452</v>
      </c>
    </row>
    <row r="251" ht="14.25" customHeight="1">
      <c r="A251" s="11" t="s">
        <v>628</v>
      </c>
      <c r="B251" s="11" t="str">
        <f>VLOOKUP($A251, '26 ADP Data'!$C$3:$R$298, 2, FALSE)</f>
        <v>LAR</v>
      </c>
      <c r="C251" s="11" t="str">
        <f>VLOOKUP($A251, '26 ADP Data'!$C$3:$R$298, 16, FALSE)</f>
        <v>TE</v>
      </c>
      <c r="D251" s="11"/>
      <c r="E251" s="11"/>
      <c r="F251" s="11"/>
      <c r="G251" s="11"/>
      <c r="H251" s="11"/>
      <c r="I251" s="11">
        <f>VLOOKUP($A251, '26 ADP Data'!$C$3:$Q$298, 13, FALSE)</f>
        <v>217</v>
      </c>
      <c r="J251" s="11" t="str">
        <f>VLOOKUP($A251, '26 ADP Data'!$C$3:$Q$298, 10, FALSE)</f>
        <v>-</v>
      </c>
      <c r="K251" s="11" t="s">
        <v>452</v>
      </c>
    </row>
    <row r="252" ht="14.25" customHeight="1">
      <c r="A252" s="11" t="s">
        <v>578</v>
      </c>
      <c r="B252" s="11" t="str">
        <f>VLOOKUP($A252, '26 ADP Data'!$C$3:$R$298, 2, FALSE)</f>
        <v>LAC</v>
      </c>
      <c r="C252" s="11" t="str">
        <f>VLOOKUP($A252, '26 ADP Data'!$C$3:$R$298, 16, FALSE)</f>
        <v>TE</v>
      </c>
      <c r="D252" s="11"/>
      <c r="E252" s="11"/>
      <c r="F252" s="11"/>
      <c r="G252" s="11"/>
      <c r="H252" s="11"/>
      <c r="I252" s="11">
        <f>VLOOKUP($A252, '26 ADP Data'!$C$3:$Q$298, 13, FALSE)</f>
        <v>210</v>
      </c>
      <c r="J252" s="11" t="str">
        <f>VLOOKUP($A252, '26 ADP Data'!$C$3:$Q$298, 10, FALSE)</f>
        <v>-</v>
      </c>
      <c r="K252" s="11" t="s">
        <v>452</v>
      </c>
    </row>
    <row r="253" ht="14.25" hidden="1" customHeight="1">
      <c r="A253" s="11" t="s">
        <v>639</v>
      </c>
      <c r="B253" s="11" t="str">
        <f>VLOOKUP($A253, '26 ADP Data'!$C$3:$R$298, 2, FALSE)</f>
        <v>ATL</v>
      </c>
      <c r="C253" s="11" t="str">
        <f>VLOOKUP($A253, '26 ADP Data'!$C$3:$R$298, 16, FALSE)</f>
        <v>QB</v>
      </c>
      <c r="D253" s="11"/>
      <c r="E253" s="11"/>
      <c r="F253" s="11"/>
      <c r="G253" s="11"/>
      <c r="H253" s="11"/>
      <c r="I253" s="11">
        <f>VLOOKUP($A253, '26 ADP Data'!$C$3:$Q$298, 13, FALSE)</f>
        <v>224</v>
      </c>
      <c r="J253" s="11" t="str">
        <f>VLOOKUP($A253, '26 ADP Data'!$C$3:$Q$298, 10, FALSE)</f>
        <v>-</v>
      </c>
      <c r="K253" s="11" t="s">
        <v>452</v>
      </c>
    </row>
    <row r="254" ht="14.25" hidden="1" customHeight="1">
      <c r="A254" s="11" t="s">
        <v>674</v>
      </c>
      <c r="B254" s="11" t="str">
        <f>VLOOKUP($A254, '26 ADP Data'!$C$3:$R$298, 2, FALSE)</f>
        <v>KC</v>
      </c>
      <c r="C254" s="11" t="str">
        <f>VLOOKUP($A254, '26 ADP Data'!$C$3:$R$298, 16, FALSE)</f>
        <v>WR</v>
      </c>
      <c r="D254" s="11"/>
      <c r="E254" s="11"/>
      <c r="F254" s="11"/>
      <c r="G254" s="11"/>
      <c r="H254" s="11" t="s">
        <v>815</v>
      </c>
      <c r="I254" s="11">
        <f>VLOOKUP($A254, '26 ADP Data'!$C$3:$Q$298, 13, FALSE)</f>
        <v>234</v>
      </c>
      <c r="J254" s="11">
        <f>VLOOKUP($A254, '26 ADP Data'!$C$3:$Q$298, 10, FALSE)</f>
        <v>231</v>
      </c>
      <c r="K254" s="11" t="s">
        <v>452</v>
      </c>
    </row>
    <row r="255" ht="14.25" hidden="1" customHeight="1">
      <c r="A255" s="11" t="s">
        <v>458</v>
      </c>
      <c r="B255" s="11" t="str">
        <f>VLOOKUP($A255, '26 ADP Data'!$C$3:$R$298, 2, FALSE)</f>
        <v>SEA</v>
      </c>
      <c r="C255" s="11" t="str">
        <f>VLOOKUP($A255, '26 ADP Data'!$C$3:$R$298, 16, FALSE)</f>
        <v>WR</v>
      </c>
      <c r="D255" s="11"/>
      <c r="E255" s="11"/>
      <c r="F255" s="11"/>
      <c r="G255" s="11"/>
      <c r="H255" s="11"/>
      <c r="I255" s="11">
        <f>VLOOKUP($A255, '26 ADP Data'!$C$3:$Q$298, 13, FALSE)</f>
        <v>216</v>
      </c>
      <c r="J255" s="11">
        <f>VLOOKUP($A255, '26 ADP Data'!$C$3:$Q$298, 10, FALSE)</f>
        <v>240</v>
      </c>
      <c r="K255" s="11" t="s">
        <v>452</v>
      </c>
    </row>
    <row r="256" ht="14.25" hidden="1" customHeight="1">
      <c r="A256" s="11" t="s">
        <v>564</v>
      </c>
      <c r="B256" s="11" t="str">
        <f>VLOOKUP($A256, '26 ADP Data'!$C$3:$R$298, 2, FALSE)</f>
        <v>GB</v>
      </c>
      <c r="C256" s="11" t="str">
        <f>VLOOKUP($A256, '26 ADP Data'!$C$3:$R$298, 16, FALSE)</f>
        <v>DE</v>
      </c>
      <c r="D256" s="11"/>
      <c r="E256" s="11"/>
      <c r="F256" s="11"/>
      <c r="G256" s="11"/>
      <c r="H256" s="11"/>
      <c r="I256" s="11" t="str">
        <f>VLOOKUP($A256, '26 ADP Data'!$C$3:$Q$298, 13, FALSE)</f>
        <v>-</v>
      </c>
      <c r="J256" s="11">
        <f>VLOOKUP($A256, '26 ADP Data'!$C$3:$Q$298, 10, FALSE)</f>
        <v>228</v>
      </c>
      <c r="K256" s="11">
        <v>202.0</v>
      </c>
    </row>
    <row r="257" ht="14.25" hidden="1" customHeight="1">
      <c r="A257" s="11" t="s">
        <v>664</v>
      </c>
      <c r="B257" s="11" t="str">
        <f>VLOOKUP($A257, '26 ADP Data'!$C$3:$R$298, 2, FALSE)</f>
        <v>CLE</v>
      </c>
      <c r="C257" s="11" t="str">
        <f>VLOOKUP($A257, '26 ADP Data'!$C$3:$R$298, 16, FALSE)</f>
        <v>DE</v>
      </c>
      <c r="D257" s="11"/>
      <c r="E257" s="11"/>
      <c r="F257" s="11"/>
      <c r="G257" s="11"/>
      <c r="H257" s="11"/>
      <c r="I257" s="11" t="str">
        <f>VLOOKUP($A257, '26 ADP Data'!$C$3:$Q$298, 13, FALSE)</f>
        <v>-</v>
      </c>
      <c r="J257" s="11" t="str">
        <f>VLOOKUP($A257, '26 ADP Data'!$C$3:$Q$298, 10, FALSE)</f>
        <v>-</v>
      </c>
      <c r="K257" s="11">
        <v>219.0</v>
      </c>
    </row>
    <row r="258" ht="14.25" hidden="1" customHeight="1">
      <c r="A258" s="11" t="s">
        <v>590</v>
      </c>
      <c r="B258" s="11" t="str">
        <f>VLOOKUP($A258, '26 ADP Data'!$C$3:$R$298, 2, FALSE)</f>
        <v>NYG</v>
      </c>
      <c r="C258" s="11" t="str">
        <f>VLOOKUP($A258, '26 ADP Data'!$C$3:$R$298, 16, FALSE)</f>
        <v>WR</v>
      </c>
      <c r="D258" s="11"/>
      <c r="E258" s="11"/>
      <c r="F258" s="11"/>
      <c r="G258" s="11"/>
      <c r="H258" s="11"/>
      <c r="I258" s="11">
        <f>VLOOKUP($A258, '26 ADP Data'!$C$3:$Q$298, 13, FALSE)</f>
        <v>239</v>
      </c>
      <c r="J258" s="11">
        <f>VLOOKUP($A258, '26 ADP Data'!$C$3:$Q$298, 10, FALSE)</f>
        <v>245</v>
      </c>
      <c r="K258" s="11" t="s">
        <v>452</v>
      </c>
    </row>
    <row r="259" ht="14.25" customHeight="1">
      <c r="A259" s="11" t="s">
        <v>666</v>
      </c>
      <c r="B259" s="11" t="str">
        <f>VLOOKUP($A259, '26 ADP Data'!$C$3:$R$298, 2, FALSE)</f>
        <v>DEN</v>
      </c>
      <c r="C259" s="11" t="str">
        <f>VLOOKUP($A259, '26 ADP Data'!$C$3:$R$298, 16, FALSE)</f>
        <v>TE</v>
      </c>
      <c r="D259" s="11"/>
      <c r="E259" s="11"/>
      <c r="F259" s="11"/>
      <c r="G259" s="11"/>
      <c r="H259" s="11"/>
      <c r="I259" s="11">
        <f>VLOOKUP($A259, '26 ADP Data'!$C$3:$Q$298, 13, FALSE)</f>
        <v>221</v>
      </c>
      <c r="J259" s="11" t="str">
        <f>VLOOKUP($A259, '26 ADP Data'!$C$3:$Q$298, 10, FALSE)</f>
        <v>-</v>
      </c>
      <c r="K259" s="11" t="s">
        <v>452</v>
      </c>
    </row>
    <row r="260" ht="14.25" customHeight="1">
      <c r="A260" s="11" t="s">
        <v>645</v>
      </c>
      <c r="B260" s="11" t="str">
        <f>VLOOKUP($A260, '26 ADP Data'!$C$3:$R$298, 2, FALSE)</f>
        <v>CIN</v>
      </c>
      <c r="C260" s="11" t="str">
        <f>VLOOKUP($A260, '26 ADP Data'!$C$3:$R$298, 16, FALSE)</f>
        <v>TE</v>
      </c>
      <c r="D260" s="11"/>
      <c r="E260" s="11"/>
      <c r="F260" s="11"/>
      <c r="G260" s="11"/>
      <c r="H260" s="11"/>
      <c r="I260" s="11">
        <f>VLOOKUP($A260, '26 ADP Data'!$C$3:$Q$298, 13, FALSE)</f>
        <v>230</v>
      </c>
      <c r="J260" s="11" t="str">
        <f>VLOOKUP($A260, '26 ADP Data'!$C$3:$Q$298, 10, FALSE)</f>
        <v>-</v>
      </c>
      <c r="K260" s="11" t="s">
        <v>452</v>
      </c>
    </row>
    <row r="261" ht="14.25" hidden="1" customHeight="1">
      <c r="A261" s="11" t="s">
        <v>572</v>
      </c>
      <c r="B261" s="11" t="str">
        <f>VLOOKUP($A261, '26 ADP Data'!$C$3:$R$298, 2, FALSE)</f>
        <v>KC</v>
      </c>
      <c r="C261" s="11" t="str">
        <f>VLOOKUP($A261, '26 ADP Data'!$C$3:$R$298, 16, FALSE)</f>
        <v>DE</v>
      </c>
      <c r="D261" s="11"/>
      <c r="E261" s="11"/>
      <c r="F261" s="11"/>
      <c r="G261" s="11"/>
      <c r="H261" s="11"/>
      <c r="I261" s="11" t="str">
        <f>VLOOKUP($A261, '26 ADP Data'!$C$3:$Q$298, 13, FALSE)</f>
        <v>-</v>
      </c>
      <c r="J261" s="11">
        <f>VLOOKUP($A261, '26 ADP Data'!$C$3:$Q$298, 10, FALSE)</f>
        <v>233</v>
      </c>
      <c r="K261" s="11">
        <v>237.0</v>
      </c>
    </row>
    <row r="262" ht="14.25" hidden="1" customHeight="1">
      <c r="A262" s="11" t="s">
        <v>545</v>
      </c>
      <c r="B262" s="11" t="str">
        <f>VLOOKUP($A262, '26 ADP Data'!$C$3:$R$298, 2, FALSE)</f>
        <v>DET</v>
      </c>
      <c r="C262" s="11" t="str">
        <f>VLOOKUP($A262, '26 ADP Data'!$C$3:$R$298, 16, FALSE)</f>
        <v>WR</v>
      </c>
      <c r="D262" s="11"/>
      <c r="E262" s="11"/>
      <c r="F262" s="11"/>
      <c r="G262" s="11"/>
      <c r="H262" s="11" t="s">
        <v>799</v>
      </c>
      <c r="I262" s="11">
        <f>VLOOKUP($A262, '26 ADP Data'!$C$3:$Q$298, 13, FALSE)</f>
        <v>202</v>
      </c>
      <c r="J262" s="11">
        <f>VLOOKUP($A262, '26 ADP Data'!$C$3:$Q$298, 10, FALSE)</f>
        <v>247</v>
      </c>
      <c r="K262" s="11">
        <v>218.0</v>
      </c>
    </row>
    <row r="263" ht="14.25" hidden="1" customHeight="1">
      <c r="A263" s="11" t="s">
        <v>626</v>
      </c>
      <c r="B263" s="11" t="str">
        <f>VLOOKUP($A263, '26 ADP Data'!$C$3:$R$298, 2, FALSE)</f>
        <v>BUF</v>
      </c>
      <c r="C263" s="11" t="str">
        <f>VLOOKUP($A263, '26 ADP Data'!$C$3:$R$298, 16, FALSE)</f>
        <v>DE</v>
      </c>
      <c r="D263" s="11"/>
      <c r="E263" s="11"/>
      <c r="F263" s="11"/>
      <c r="G263" s="11"/>
      <c r="H263" s="11"/>
      <c r="I263" s="11" t="str">
        <f>VLOOKUP($A263, '26 ADP Data'!$C$3:$Q$298, 13, FALSE)</f>
        <v>-</v>
      </c>
      <c r="J263" s="11">
        <f>VLOOKUP($A263, '26 ADP Data'!$C$3:$Q$298, 10, FALSE)</f>
        <v>243</v>
      </c>
      <c r="K263" s="11">
        <v>250.0</v>
      </c>
    </row>
    <row r="264" ht="14.25" hidden="1" customHeight="1">
      <c r="A264" s="11" t="s">
        <v>472</v>
      </c>
      <c r="B264" s="11" t="str">
        <f>VLOOKUP($A264, '26 ADP Data'!$C$3:$R$298, 2, FALSE)</f>
        <v>HOU</v>
      </c>
      <c r="C264" s="11" t="str">
        <f>VLOOKUP($A264, '26 ADP Data'!$C$3:$R$298, 16, FALSE)</f>
        <v>WR</v>
      </c>
      <c r="D264" s="11"/>
      <c r="E264" s="11"/>
      <c r="F264" s="11"/>
      <c r="G264" s="11"/>
      <c r="H264" s="11"/>
      <c r="I264" s="11">
        <f>VLOOKUP($A264, '26 ADP Data'!$C$3:$Q$298, 13, FALSE)</f>
        <v>179</v>
      </c>
      <c r="J264" s="11" t="str">
        <f>VLOOKUP($A264, '26 ADP Data'!$C$3:$Q$298, 10, FALSE)</f>
        <v>-</v>
      </c>
      <c r="K264" s="11" t="s">
        <v>452</v>
      </c>
    </row>
    <row r="265" ht="14.25" hidden="1" customHeight="1">
      <c r="A265" s="11" t="s">
        <v>690</v>
      </c>
      <c r="B265" s="11" t="str">
        <f>VLOOKUP($A265, '26 ADP Data'!$C$3:$R$298, 2, FALSE)</f>
        <v>KC</v>
      </c>
      <c r="C265" s="11" t="str">
        <f>VLOOKUP($A265, '26 ADP Data'!$C$3:$R$298, 16, FALSE)</f>
        <v>RB</v>
      </c>
      <c r="D265" s="11"/>
      <c r="E265" s="11"/>
      <c r="F265" s="11"/>
      <c r="G265" s="11"/>
      <c r="H265" s="11"/>
      <c r="I265" s="11">
        <f>VLOOKUP($A265, '26 ADP Data'!$C$3:$Q$298, 13, FALSE)</f>
        <v>279</v>
      </c>
      <c r="J265" s="11" t="str">
        <f>VLOOKUP($A265, '26 ADP Data'!$C$3:$Q$298, 10, FALSE)</f>
        <v>-</v>
      </c>
      <c r="K265" s="11" t="s">
        <v>452</v>
      </c>
    </row>
    <row r="266" ht="14.25" hidden="1" customHeight="1">
      <c r="A266" s="11" t="s">
        <v>653</v>
      </c>
      <c r="B266" s="11" t="str">
        <f>VLOOKUP($A266, '26 ADP Data'!$C$3:$R$298, 2, FALSE)</f>
        <v>SF</v>
      </c>
      <c r="C266" s="11" t="str">
        <f>VLOOKUP($A266, '26 ADP Data'!$C$3:$R$298, 16, FALSE)</f>
        <v>WR</v>
      </c>
      <c r="D266" s="11"/>
      <c r="E266" s="11"/>
      <c r="F266" s="11"/>
      <c r="G266" s="11"/>
      <c r="H266" s="11"/>
      <c r="I266" s="11">
        <f>VLOOKUP($A266, '26 ADP Data'!$C$3:$Q$298, 13, FALSE)</f>
        <v>267</v>
      </c>
      <c r="J266" s="11" t="str">
        <f>VLOOKUP($A266, '26 ADP Data'!$C$3:$Q$298, 10, FALSE)</f>
        <v>-</v>
      </c>
      <c r="K266" s="11" t="s">
        <v>452</v>
      </c>
    </row>
    <row r="267" ht="14.25" hidden="1" customHeight="1">
      <c r="A267" s="11" t="s">
        <v>670</v>
      </c>
      <c r="B267" s="11" t="str">
        <f>VLOOKUP($A267, '26 ADP Data'!$C$3:$R$298, 2, FALSE)</f>
        <v>CIN</v>
      </c>
      <c r="C267" s="11" t="str">
        <f>VLOOKUP($A267, '26 ADP Data'!$C$3:$R$298, 16, FALSE)</f>
        <v>RB</v>
      </c>
      <c r="D267" s="11"/>
      <c r="E267" s="11"/>
      <c r="F267" s="11"/>
      <c r="G267" s="11"/>
      <c r="H267" s="11"/>
      <c r="I267" s="11">
        <f>VLOOKUP($A267, '26 ADP Data'!$C$3:$Q$298, 13, FALSE)</f>
        <v>222</v>
      </c>
      <c r="J267" s="11" t="str">
        <f>VLOOKUP($A267, '26 ADP Data'!$C$3:$Q$298, 10, FALSE)</f>
        <v>-</v>
      </c>
      <c r="K267" s="11" t="s">
        <v>452</v>
      </c>
    </row>
    <row r="268" ht="14.25" hidden="1" customHeight="1">
      <c r="A268" s="11" t="s">
        <v>686</v>
      </c>
      <c r="B268" s="11" t="str">
        <f>VLOOKUP($A268, '26 ADP Data'!$C$3:$R$298, 2, FALSE)</f>
        <v>CLE</v>
      </c>
      <c r="C268" s="11" t="str">
        <f>VLOOKUP($A268, '26 ADP Data'!$C$3:$R$298, 16, FALSE)</f>
        <v>QB</v>
      </c>
      <c r="D268" s="11"/>
      <c r="E268" s="11"/>
      <c r="F268" s="11"/>
      <c r="G268" s="11"/>
      <c r="H268" s="11"/>
      <c r="I268" s="11">
        <f>VLOOKUP($A268, '26 ADP Data'!$C$3:$Q$298, 13, FALSE)</f>
        <v>233</v>
      </c>
      <c r="J268" s="11" t="str">
        <f>VLOOKUP($A268, '26 ADP Data'!$C$3:$Q$298, 10, FALSE)</f>
        <v>-</v>
      </c>
      <c r="K268" s="11" t="s">
        <v>452</v>
      </c>
    </row>
    <row r="269" ht="14.25" hidden="1" customHeight="1">
      <c r="A269" s="11" t="s">
        <v>651</v>
      </c>
      <c r="B269" s="11" t="str">
        <f>VLOOKUP($A269, '26 ADP Data'!$C$3:$R$298, 2, FALSE)</f>
        <v>LV</v>
      </c>
      <c r="C269" s="11" t="str">
        <f>VLOOKUP($A269, '26 ADP Data'!$C$3:$R$298, 16, FALSE)</f>
        <v>QB</v>
      </c>
      <c r="D269" s="11"/>
      <c r="E269" s="11"/>
      <c r="F269" s="11"/>
      <c r="G269" s="11"/>
      <c r="H269" s="11"/>
      <c r="I269" s="11">
        <f>VLOOKUP($A269, '26 ADP Data'!$C$3:$Q$298, 13, FALSE)</f>
        <v>247</v>
      </c>
      <c r="J269" s="11" t="str">
        <f>VLOOKUP($A269, '26 ADP Data'!$C$3:$Q$298, 10, FALSE)</f>
        <v>-</v>
      </c>
      <c r="K269" s="11" t="s">
        <v>452</v>
      </c>
    </row>
    <row r="270" ht="14.25" hidden="1" customHeight="1">
      <c r="A270" s="11" t="s">
        <v>682</v>
      </c>
      <c r="B270" s="11" t="str">
        <f>VLOOKUP($A270, '26 ADP Data'!$C$3:$R$298, 2, FALSE)</f>
        <v>ATL</v>
      </c>
      <c r="C270" s="11" t="str">
        <f>VLOOKUP($A270, '26 ADP Data'!$C$3:$R$298, 16, FALSE)</f>
        <v>QB</v>
      </c>
      <c r="D270" s="11"/>
      <c r="E270" s="11"/>
      <c r="F270" s="11"/>
      <c r="G270" s="11"/>
      <c r="H270" s="11"/>
      <c r="I270" s="11">
        <f>VLOOKUP($A270, '26 ADP Data'!$C$3:$Q$298, 13, FALSE)</f>
        <v>219</v>
      </c>
      <c r="J270" s="11" t="str">
        <f>VLOOKUP($A270, '26 ADP Data'!$C$3:$Q$298, 10, FALSE)</f>
        <v>-</v>
      </c>
      <c r="K270" s="11" t="s">
        <v>452</v>
      </c>
    </row>
    <row r="271" ht="14.25" hidden="1" customHeight="1">
      <c r="A271" s="11" t="s">
        <v>818</v>
      </c>
      <c r="B271" s="11" t="str">
        <f>VLOOKUP($A271, '26 ADP Data'!$C$3:$R$298, 2, FALSE)</f>
        <v>#N/A</v>
      </c>
      <c r="C271" s="11" t="str">
        <f>VLOOKUP($A271, '26 ADP Data'!$C$3:$R$298, 16, FALSE)</f>
        <v>#N/A</v>
      </c>
      <c r="D271" s="11"/>
      <c r="E271" s="11"/>
      <c r="F271" s="11"/>
      <c r="G271" s="11"/>
      <c r="H271" s="11"/>
      <c r="I271" s="11" t="str">
        <f>VLOOKUP($A271, '26 ADP Data'!$C$3:$Q$298, 13, FALSE)</f>
        <v>#N/A</v>
      </c>
      <c r="J271" s="11" t="str">
        <f>VLOOKUP($A271, '26 ADP Data'!$C$3:$Q$298, 10, FALSE)</f>
        <v>#N/A</v>
      </c>
      <c r="K271" s="11">
        <v>208.0</v>
      </c>
    </row>
    <row r="272" ht="14.25" hidden="1" customHeight="1">
      <c r="A272" s="11" t="s">
        <v>680</v>
      </c>
      <c r="B272" s="11" t="str">
        <f>VLOOKUP($A272, '26 ADP Data'!$C$3:$R$298, 2, FALSE)</f>
        <v>BAL</v>
      </c>
      <c r="C272" s="11" t="str">
        <f>VLOOKUP($A272, '26 ADP Data'!$C$3:$R$298, 16, FALSE)</f>
        <v>RB</v>
      </c>
      <c r="D272" s="11"/>
      <c r="E272" s="11"/>
      <c r="F272" s="11"/>
      <c r="G272" s="11"/>
      <c r="H272" s="11"/>
      <c r="I272" s="11">
        <f>VLOOKUP($A272, '26 ADP Data'!$C$3:$Q$298, 13, FALSE)</f>
        <v>268</v>
      </c>
      <c r="J272" s="11">
        <f>VLOOKUP($A272, '26 ADP Data'!$C$3:$Q$298, 10, FALSE)</f>
        <v>230</v>
      </c>
      <c r="K272" s="11">
        <v>227.0</v>
      </c>
    </row>
    <row r="273" ht="14.25" hidden="1" customHeight="1">
      <c r="A273" s="11" t="s">
        <v>736</v>
      </c>
      <c r="B273" s="11" t="str">
        <f>VLOOKUP($A273, '26 ADP Data'!$C$3:$R$298, 2, FALSE)</f>
        <v>#N/A</v>
      </c>
      <c r="C273" s="11" t="str">
        <f>VLOOKUP($A273, '26 ADP Data'!$C$3:$R$298, 16, FALSE)</f>
        <v>#N/A</v>
      </c>
      <c r="D273" s="11"/>
      <c r="E273" s="11"/>
      <c r="F273" s="11"/>
      <c r="G273" s="11"/>
      <c r="H273" s="11"/>
      <c r="I273" s="11" t="str">
        <f>VLOOKUP($A273, '26 ADP Data'!$C$3:$Q$298, 13, FALSE)</f>
        <v>#N/A</v>
      </c>
      <c r="J273" s="11" t="str">
        <f>VLOOKUP($A273, '26 ADP Data'!$C$3:$Q$298, 10, FALSE)</f>
        <v>#N/A</v>
      </c>
      <c r="K273" s="11" t="s">
        <v>452</v>
      </c>
    </row>
    <row r="274" ht="14.25" hidden="1" customHeight="1">
      <c r="A274" s="11" t="s">
        <v>672</v>
      </c>
      <c r="B274" s="11" t="str">
        <f>VLOOKUP($A274, '26 ADP Data'!$C$3:$R$298, 2, FALSE)</f>
        <v>BUF</v>
      </c>
      <c r="C274" s="11" t="str">
        <f>VLOOKUP($A274, '26 ADP Data'!$C$3:$R$298, 16, FALSE)</f>
        <v>WR</v>
      </c>
      <c r="D274" s="11"/>
      <c r="E274" s="11"/>
      <c r="F274" s="11"/>
      <c r="G274" s="11"/>
      <c r="H274" s="11"/>
      <c r="I274" s="11">
        <f>VLOOKUP($A274, '26 ADP Data'!$C$3:$Q$298, 13, FALSE)</f>
        <v>214</v>
      </c>
      <c r="J274" s="11" t="str">
        <f>VLOOKUP($A274, '26 ADP Data'!$C$3:$Q$298, 10, FALSE)</f>
        <v>-</v>
      </c>
      <c r="K274" s="11" t="s">
        <v>452</v>
      </c>
    </row>
    <row r="275" ht="14.25" hidden="1" customHeight="1">
      <c r="A275" s="11" t="s">
        <v>820</v>
      </c>
      <c r="B275" s="11" t="str">
        <f>VLOOKUP($A275, '26 ADP Data'!$C$3:$R$298, 2, FALSE)</f>
        <v>#N/A</v>
      </c>
      <c r="C275" s="11" t="str">
        <f>VLOOKUP($A275, '26 ADP Data'!$C$3:$R$298, 16, FALSE)</f>
        <v>#N/A</v>
      </c>
      <c r="D275" s="11"/>
      <c r="E275" s="11"/>
      <c r="F275" s="11"/>
      <c r="G275" s="11"/>
      <c r="H275" s="11"/>
      <c r="I275" s="11" t="str">
        <f>VLOOKUP($A275, '26 ADP Data'!$C$3:$Q$298, 13, FALSE)</f>
        <v>#N/A</v>
      </c>
      <c r="J275" s="11" t="str">
        <f>VLOOKUP($A275, '26 ADP Data'!$C$3:$Q$298, 10, FALSE)</f>
        <v>#N/A</v>
      </c>
      <c r="K275" s="11">
        <v>226.0</v>
      </c>
    </row>
    <row r="276" ht="14.25" hidden="1" customHeight="1">
      <c r="A276" s="11" t="s">
        <v>821</v>
      </c>
      <c r="B276" s="11" t="str">
        <f>VLOOKUP($A276, '26 ADP Data'!$C$3:$R$298, 2, FALSE)</f>
        <v>#N/A</v>
      </c>
      <c r="C276" s="11" t="str">
        <f>VLOOKUP($A276, '26 ADP Data'!$C$3:$R$298, 16, FALSE)</f>
        <v>#N/A</v>
      </c>
      <c r="D276" s="16">
        <v>14.0</v>
      </c>
      <c r="E276" s="11"/>
      <c r="F276" s="11"/>
      <c r="G276" s="16">
        <v>65.0</v>
      </c>
      <c r="H276" s="11" t="s">
        <v>822</v>
      </c>
      <c r="I276" s="11" t="str">
        <f>VLOOKUP($A276, '26 ADP Data'!$C$3:$Q$298, 13, FALSE)</f>
        <v>#N/A</v>
      </c>
      <c r="J276" s="11" t="str">
        <f>VLOOKUP($A276, '26 ADP Data'!$C$3:$Q$298, 10, FALSE)</f>
        <v>#N/A</v>
      </c>
      <c r="K276" s="11" t="s">
        <v>452</v>
      </c>
    </row>
    <row r="277" ht="14.25" hidden="1" customHeight="1">
      <c r="A277" s="11" t="s">
        <v>823</v>
      </c>
      <c r="B277" s="11" t="str">
        <f>VLOOKUP($A277, '26 ADP Data'!$C$3:$R$298, 2, FALSE)</f>
        <v>#N/A</v>
      </c>
      <c r="C277" s="11" t="str">
        <f>VLOOKUP($A277, '26 ADP Data'!$C$3:$R$298, 16, FALSE)</f>
        <v>#N/A</v>
      </c>
      <c r="D277" s="11"/>
      <c r="E277" s="11"/>
      <c r="F277" s="11"/>
      <c r="G277" s="11"/>
      <c r="H277" s="11"/>
      <c r="I277" s="11" t="str">
        <f>VLOOKUP($A277, '26 ADP Data'!$C$3:$Q$298, 13, FALSE)</f>
        <v>#N/A</v>
      </c>
      <c r="J277" s="11" t="str">
        <f>VLOOKUP($A277, '26 ADP Data'!$C$3:$Q$298, 10, FALSE)</f>
        <v>#N/A</v>
      </c>
      <c r="K277" s="11" t="s">
        <v>452</v>
      </c>
    </row>
    <row r="278" ht="14.25" hidden="1" customHeight="1">
      <c r="A278" s="11" t="s">
        <v>647</v>
      </c>
      <c r="B278" s="11" t="str">
        <f>VLOOKUP($A278, '26 ADP Data'!$C$3:$R$298, 2, FALSE)</f>
        <v>DAL</v>
      </c>
      <c r="C278" s="11" t="str">
        <f>VLOOKUP($A278, '26 ADP Data'!$C$3:$R$298, 16, FALSE)</f>
        <v>RB</v>
      </c>
      <c r="D278" s="11"/>
      <c r="E278" s="11"/>
      <c r="F278" s="11"/>
      <c r="G278" s="11"/>
      <c r="H278" s="11"/>
      <c r="I278" s="11">
        <f>VLOOKUP($A278, '26 ADP Data'!$C$3:$Q$298, 13, FALSE)</f>
        <v>232</v>
      </c>
      <c r="J278" s="11">
        <f>VLOOKUP($A278, '26 ADP Data'!$C$3:$Q$298, 10, FALSE)</f>
        <v>250</v>
      </c>
      <c r="K278" s="11" t="s">
        <v>452</v>
      </c>
    </row>
    <row r="279" ht="14.25" hidden="1" customHeight="1">
      <c r="A279" s="11" t="s">
        <v>824</v>
      </c>
      <c r="B279" s="11" t="str">
        <f>VLOOKUP($A279, '26 ADP Data'!$C$3:$R$298, 2, FALSE)</f>
        <v>#N/A</v>
      </c>
      <c r="C279" s="11" t="str">
        <f>VLOOKUP($A279, '26 ADP Data'!$C$3:$R$298, 16, FALSE)</f>
        <v>#N/A</v>
      </c>
      <c r="D279" s="16">
        <v>14.0</v>
      </c>
      <c r="E279" s="16" t="s">
        <v>106</v>
      </c>
      <c r="F279" s="11"/>
      <c r="G279" s="16">
        <v>65.0</v>
      </c>
      <c r="H279" s="11" t="s">
        <v>825</v>
      </c>
      <c r="I279" s="11" t="str">
        <f>VLOOKUP($A279, '26 ADP Data'!$C$3:$Q$298, 13, FALSE)</f>
        <v>#N/A</v>
      </c>
      <c r="J279" s="11" t="str">
        <f>VLOOKUP($A279, '26 ADP Data'!$C$3:$Q$298, 10, FALSE)</f>
        <v>#N/A</v>
      </c>
      <c r="K279" s="11" t="s">
        <v>452</v>
      </c>
    </row>
    <row r="280" ht="14.25" hidden="1" customHeight="1">
      <c r="A280" s="11" t="s">
        <v>684</v>
      </c>
      <c r="B280" s="11" t="str">
        <f>VLOOKUP($A280, '26 ADP Data'!$C$3:$R$298, 2, FALSE)</f>
        <v>SEA</v>
      </c>
      <c r="C280" s="11" t="str">
        <f>VLOOKUP($A280, '26 ADP Data'!$C$3:$R$298, 16, FALSE)</f>
        <v>WR</v>
      </c>
      <c r="D280" s="11"/>
      <c r="E280" s="11"/>
      <c r="F280" s="11"/>
      <c r="G280" s="11"/>
      <c r="H280" s="11"/>
      <c r="I280" s="11">
        <f>VLOOKUP($A280, '26 ADP Data'!$C$3:$Q$298, 13, FALSE)</f>
        <v>256</v>
      </c>
      <c r="J280" s="11" t="str">
        <f>VLOOKUP($A280, '26 ADP Data'!$C$3:$Q$298, 10, FALSE)</f>
        <v>-</v>
      </c>
      <c r="K280" s="11" t="s">
        <v>452</v>
      </c>
    </row>
    <row r="281" ht="14.25" hidden="1" customHeight="1">
      <c r="A281" s="11" t="s">
        <v>826</v>
      </c>
      <c r="B281" s="11" t="str">
        <f>VLOOKUP($A281, '26 ADP Data'!$C$3:$R$298, 2, FALSE)</f>
        <v>#N/A</v>
      </c>
      <c r="C281" s="11" t="str">
        <f>VLOOKUP($A281, '26 ADP Data'!$C$3:$R$298, 16, FALSE)</f>
        <v>#N/A</v>
      </c>
      <c r="D281" s="11"/>
      <c r="E281" s="11"/>
      <c r="F281" s="11"/>
      <c r="G281" s="11"/>
      <c r="H281" s="11"/>
      <c r="I281" s="11" t="str">
        <f>VLOOKUP($A281, '26 ADP Data'!$C$3:$Q$298, 13, FALSE)</f>
        <v>#N/A</v>
      </c>
      <c r="J281" s="11" t="str">
        <f>VLOOKUP($A281, '26 ADP Data'!$C$3:$Q$298, 10, FALSE)</f>
        <v>#N/A</v>
      </c>
      <c r="K281" s="11" t="s">
        <v>452</v>
      </c>
    </row>
    <row r="282" ht="14.25" hidden="1" customHeight="1">
      <c r="A282" s="11" t="s">
        <v>827</v>
      </c>
      <c r="B282" s="11" t="str">
        <f>VLOOKUP($A282, '26 ADP Data'!$C$3:$R$298, 2, FALSE)</f>
        <v>#N/A</v>
      </c>
      <c r="C282" s="11" t="str">
        <f>VLOOKUP($A282, '26 ADP Data'!$C$3:$R$298, 16, FALSE)</f>
        <v>#N/A</v>
      </c>
      <c r="D282" s="11"/>
      <c r="E282" s="11"/>
      <c r="F282" s="11"/>
      <c r="G282" s="11"/>
      <c r="H282" s="11"/>
      <c r="I282" s="11" t="str">
        <f>VLOOKUP($A282, '26 ADP Data'!$C$3:$Q$298, 13, FALSE)</f>
        <v>#N/A</v>
      </c>
      <c r="J282" s="11" t="str">
        <f>VLOOKUP($A282, '26 ADP Data'!$C$3:$Q$298, 10, FALSE)</f>
        <v>#N/A</v>
      </c>
      <c r="K282" s="11" t="s">
        <v>452</v>
      </c>
    </row>
    <row r="283" ht="14.25" hidden="1" customHeight="1">
      <c r="A283" s="11" t="s">
        <v>828</v>
      </c>
      <c r="B283" s="11" t="str">
        <f>VLOOKUP($A283, '26 ADP Data'!$C$3:$R$298, 2, FALSE)</f>
        <v>#N/A</v>
      </c>
      <c r="C283" s="11" t="str">
        <f>VLOOKUP($A283, '26 ADP Data'!$C$3:$R$298, 16, FALSE)</f>
        <v>#N/A</v>
      </c>
      <c r="D283" s="11"/>
      <c r="E283" s="11"/>
      <c r="F283" s="11"/>
      <c r="G283" s="11"/>
      <c r="H283" s="11"/>
      <c r="I283" s="11" t="str">
        <f>VLOOKUP($A283, '26 ADP Data'!$C$3:$Q$298, 13, FALSE)</f>
        <v>#N/A</v>
      </c>
      <c r="J283" s="11" t="str">
        <f>VLOOKUP($A283, '26 ADP Data'!$C$3:$Q$298, 10, FALSE)</f>
        <v>#N/A</v>
      </c>
      <c r="K283" s="11" t="s">
        <v>452</v>
      </c>
    </row>
    <row r="284" ht="14.25" hidden="1" customHeight="1">
      <c r="A284" s="11" t="s">
        <v>829</v>
      </c>
      <c r="B284" s="11" t="str">
        <f>VLOOKUP($A284, '26 ADP Data'!$C$3:$R$298, 2, FALSE)</f>
        <v>#N/A</v>
      </c>
      <c r="C284" s="11" t="str">
        <f>VLOOKUP($A284, '26 ADP Data'!$C$3:$R$298, 16, FALSE)</f>
        <v>#N/A</v>
      </c>
      <c r="D284" s="11"/>
      <c r="E284" s="11"/>
      <c r="F284" s="11"/>
      <c r="G284" s="11"/>
      <c r="H284" s="11"/>
      <c r="I284" s="11" t="str">
        <f>VLOOKUP($A284, '26 ADP Data'!$C$3:$Q$298, 13, FALSE)</f>
        <v>#N/A</v>
      </c>
      <c r="J284" s="11" t="str">
        <f>VLOOKUP($A284, '26 ADP Data'!$C$3:$Q$298, 10, FALSE)</f>
        <v>#N/A</v>
      </c>
      <c r="K284" s="11">
        <v>232.0</v>
      </c>
    </row>
    <row r="285" ht="14.25" hidden="1" customHeight="1">
      <c r="A285" s="11" t="s">
        <v>830</v>
      </c>
      <c r="B285" s="11" t="str">
        <f>VLOOKUP($A285, '26 ADP Data'!$C$3:$R$298, 2, FALSE)</f>
        <v>#N/A</v>
      </c>
      <c r="C285" s="11" t="str">
        <f>VLOOKUP($A285, '26 ADP Data'!$C$3:$R$298, 16, FALSE)</f>
        <v>#N/A</v>
      </c>
      <c r="D285" s="11"/>
      <c r="E285" s="11"/>
      <c r="F285" s="11"/>
      <c r="G285" s="11"/>
      <c r="H285" s="11"/>
      <c r="I285" s="11" t="str">
        <f>VLOOKUP($A285, '26 ADP Data'!$C$3:$Q$298, 13, FALSE)</f>
        <v>#N/A</v>
      </c>
      <c r="J285" s="11" t="str">
        <f>VLOOKUP($A285, '26 ADP Data'!$C$3:$Q$298, 10, FALSE)</f>
        <v>#N/A</v>
      </c>
      <c r="K285" s="11" t="s">
        <v>452</v>
      </c>
    </row>
    <row r="286" ht="14.25" hidden="1" customHeight="1">
      <c r="A286" s="11" t="s">
        <v>832</v>
      </c>
      <c r="B286" s="11" t="str">
        <f>VLOOKUP($A286, '26 ADP Data'!$C$3:$R$298, 2, FALSE)</f>
        <v>#N/A</v>
      </c>
      <c r="C286" s="11" t="str">
        <f>VLOOKUP($A286, '26 ADP Data'!$C$3:$R$298, 16, FALSE)</f>
        <v>#N/A</v>
      </c>
      <c r="D286" s="11"/>
      <c r="E286" s="11"/>
      <c r="F286" s="11"/>
      <c r="G286" s="11"/>
      <c r="H286" s="11"/>
      <c r="I286" s="11" t="str">
        <f>VLOOKUP($A286, '26 ADP Data'!$C$3:$Q$298, 13, FALSE)</f>
        <v>#N/A</v>
      </c>
      <c r="J286" s="11" t="str">
        <f>VLOOKUP($A286, '26 ADP Data'!$C$3:$Q$298, 10, FALSE)</f>
        <v>#N/A</v>
      </c>
      <c r="K286" s="11" t="s">
        <v>452</v>
      </c>
    </row>
    <row r="287" ht="14.25" hidden="1" customHeight="1">
      <c r="A287" s="11" t="s">
        <v>696</v>
      </c>
      <c r="B287" s="11" t="str">
        <f>VLOOKUP($A287, '26 ADP Data'!$C$3:$R$298, 2, FALSE)</f>
        <v>NYJ</v>
      </c>
      <c r="C287" s="11" t="str">
        <f>VLOOKUP($A287, '26 ADP Data'!$C$3:$R$298, 16, FALSE)</f>
        <v>RB</v>
      </c>
      <c r="D287" s="11"/>
      <c r="E287" s="11"/>
      <c r="F287" s="11"/>
      <c r="G287" s="11"/>
      <c r="H287" s="11"/>
      <c r="I287" s="11">
        <f>VLOOKUP($A287, '26 ADP Data'!$C$3:$Q$298, 13, FALSE)</f>
        <v>296</v>
      </c>
      <c r="J287" s="11">
        <f>VLOOKUP($A287, '26 ADP Data'!$C$3:$Q$298, 10, FALSE)</f>
        <v>212</v>
      </c>
      <c r="K287" s="11">
        <v>244.0</v>
      </c>
    </row>
    <row r="288" ht="14.25" hidden="1" customHeight="1">
      <c r="A288" s="11" t="s">
        <v>728</v>
      </c>
      <c r="B288" s="11" t="str">
        <f>VLOOKUP($A288, '26 ADP Data'!$C$3:$R$298, 2, FALSE)</f>
        <v>#N/A</v>
      </c>
      <c r="C288" s="11" t="str">
        <f>VLOOKUP($A288, '26 ADP Data'!$C$3:$R$298, 16, FALSE)</f>
        <v>#N/A</v>
      </c>
      <c r="D288" s="11"/>
      <c r="E288" s="11"/>
      <c r="F288" s="11"/>
      <c r="G288" s="11"/>
      <c r="H288" s="11" t="s">
        <v>833</v>
      </c>
      <c r="I288" s="11" t="str">
        <f>VLOOKUP($A288, '26 ADP Data'!$C$3:$Q$298, 13, FALSE)</f>
        <v>#N/A</v>
      </c>
      <c r="J288" s="11" t="str">
        <f>VLOOKUP($A288, '26 ADP Data'!$C$3:$Q$298, 10, FALSE)</f>
        <v>#N/A</v>
      </c>
      <c r="K288" s="11" t="s">
        <v>452</v>
      </c>
    </row>
    <row r="289" ht="14.25" hidden="1" customHeight="1">
      <c r="A289" s="11" t="s">
        <v>834</v>
      </c>
      <c r="B289" s="11" t="str">
        <f>VLOOKUP($A289, '26 ADP Data'!$C$3:$R$298, 2, FALSE)</f>
        <v>#N/A</v>
      </c>
      <c r="C289" s="11" t="str">
        <f>VLOOKUP($A289, '26 ADP Data'!$C$3:$R$298, 16, FALSE)</f>
        <v>#N/A</v>
      </c>
      <c r="D289" s="11"/>
      <c r="E289" s="11"/>
      <c r="F289" s="11"/>
      <c r="G289" s="11"/>
      <c r="H289" s="11" t="s">
        <v>809</v>
      </c>
      <c r="I289" s="11" t="str">
        <f>VLOOKUP($A289, '26 ADP Data'!$C$3:$Q$298, 13, FALSE)</f>
        <v>#N/A</v>
      </c>
      <c r="J289" s="11" t="str">
        <f>VLOOKUP($A289, '26 ADP Data'!$C$3:$Q$298, 10, FALSE)</f>
        <v>#N/A</v>
      </c>
      <c r="K289" s="11">
        <v>245.0</v>
      </c>
    </row>
    <row r="290" ht="14.25" hidden="1" customHeight="1">
      <c r="A290" s="11" t="s">
        <v>835</v>
      </c>
      <c r="B290" s="11" t="str">
        <f>VLOOKUP($A290, '26 ADP Data'!$C$3:$R$298, 2, FALSE)</f>
        <v>#N/A</v>
      </c>
      <c r="C290" s="11" t="str">
        <f>VLOOKUP($A290, '26 ADP Data'!$C$3:$R$298, 16, FALSE)</f>
        <v>#N/A</v>
      </c>
      <c r="D290" s="11"/>
      <c r="E290" s="11"/>
      <c r="F290" s="11"/>
      <c r="G290" s="11"/>
      <c r="H290" s="11" t="s">
        <v>809</v>
      </c>
      <c r="I290" s="11" t="str">
        <f>VLOOKUP($A290, '26 ADP Data'!$C$3:$Q$298, 13, FALSE)</f>
        <v>#N/A</v>
      </c>
      <c r="J290" s="11" t="str">
        <f>VLOOKUP($A290, '26 ADP Data'!$C$3:$Q$298, 10, FALSE)</f>
        <v>#N/A</v>
      </c>
      <c r="K290" s="11">
        <v>230.0</v>
      </c>
    </row>
    <row r="291" ht="14.25" hidden="1" customHeight="1">
      <c r="A291" s="11" t="s">
        <v>836</v>
      </c>
      <c r="B291" s="11" t="str">
        <f>VLOOKUP($A291, '26 ADP Data'!$C$3:$R$298, 2, FALSE)</f>
        <v>#N/A</v>
      </c>
      <c r="C291" s="11" t="str">
        <f>VLOOKUP($A291, '26 ADP Data'!$C$3:$R$298, 16, FALSE)</f>
        <v>#N/A</v>
      </c>
      <c r="D291" s="11"/>
      <c r="E291" s="11"/>
      <c r="F291" s="11"/>
      <c r="G291" s="11"/>
      <c r="H291" s="11"/>
      <c r="I291" s="11" t="str">
        <f>VLOOKUP($A291, '26 ADP Data'!$C$3:$Q$298, 13, FALSE)</f>
        <v>#N/A</v>
      </c>
      <c r="J291" s="11" t="str">
        <f>VLOOKUP($A291, '26 ADP Data'!$C$3:$Q$298, 10, FALSE)</f>
        <v>#N/A</v>
      </c>
      <c r="K291" s="11" t="s">
        <v>452</v>
      </c>
    </row>
    <row r="292" ht="14.25" hidden="1" customHeight="1">
      <c r="A292" s="11" t="s">
        <v>837</v>
      </c>
      <c r="B292" s="11" t="str">
        <f>VLOOKUP($A292, '26 ADP Data'!$C$3:$R$298, 2, FALSE)</f>
        <v>#N/A</v>
      </c>
      <c r="C292" s="11" t="str">
        <f>VLOOKUP($A292, '26 ADP Data'!$C$3:$R$298, 16, FALSE)</f>
        <v>#N/A</v>
      </c>
      <c r="D292" s="11"/>
      <c r="E292" s="11"/>
      <c r="F292" s="11"/>
      <c r="G292" s="11"/>
      <c r="H292" s="11" t="s">
        <v>838</v>
      </c>
      <c r="I292" s="11" t="str">
        <f>VLOOKUP($A292, '26 ADP Data'!$C$3:$Q$298, 13, FALSE)</f>
        <v>#N/A</v>
      </c>
      <c r="J292" s="11" t="str">
        <f>VLOOKUP($A292, '26 ADP Data'!$C$3:$Q$298, 10, FALSE)</f>
        <v>#N/A</v>
      </c>
      <c r="K292" s="11">
        <v>187.0</v>
      </c>
    </row>
    <row r="293" ht="14.25" hidden="1" customHeight="1">
      <c r="A293" s="11" t="s">
        <v>839</v>
      </c>
      <c r="B293" s="11" t="str">
        <f>VLOOKUP($A293, '26 ADP Data'!$C$3:$R$298, 2, FALSE)</f>
        <v>#N/A</v>
      </c>
      <c r="C293" s="11" t="str">
        <f>VLOOKUP($A293, '26 ADP Data'!$C$3:$R$298, 16, FALSE)</f>
        <v>#N/A</v>
      </c>
      <c r="D293" s="11"/>
      <c r="E293" s="11"/>
      <c r="F293" s="11"/>
      <c r="G293" s="11"/>
      <c r="H293" s="11"/>
      <c r="I293" s="11" t="str">
        <f>VLOOKUP($A293, '26 ADP Data'!$C$3:$Q$298, 13, FALSE)</f>
        <v>#N/A</v>
      </c>
      <c r="J293" s="11" t="str">
        <f>VLOOKUP($A293, '26 ADP Data'!$C$3:$Q$298, 10, FALSE)</f>
        <v>#N/A</v>
      </c>
      <c r="K293" s="11" t="s">
        <v>452</v>
      </c>
    </row>
    <row r="294" ht="14.25" hidden="1" customHeight="1">
      <c r="A294" s="11" t="s">
        <v>840</v>
      </c>
      <c r="B294" s="11" t="str">
        <f>VLOOKUP($A294, '26 ADP Data'!$C$3:$R$298, 2, FALSE)</f>
        <v>#N/A</v>
      </c>
      <c r="C294" s="11" t="str">
        <f>VLOOKUP($A294, '26 ADP Data'!$C$3:$R$298, 16, FALSE)</f>
        <v>#N/A</v>
      </c>
      <c r="D294" s="11"/>
      <c r="E294" s="11"/>
      <c r="F294" s="11"/>
      <c r="G294" s="11"/>
      <c r="H294" s="11"/>
      <c r="I294" s="11" t="str">
        <f>VLOOKUP($A294, '26 ADP Data'!$C$3:$Q$298, 13, FALSE)</f>
        <v>#N/A</v>
      </c>
      <c r="J294" s="11" t="str">
        <f>VLOOKUP($A294, '26 ADP Data'!$C$3:$Q$298, 10, FALSE)</f>
        <v>#N/A</v>
      </c>
      <c r="K294" s="11" t="s">
        <v>452</v>
      </c>
    </row>
    <row r="295" ht="14.25" hidden="1" customHeight="1">
      <c r="A295" s="11" t="s">
        <v>841</v>
      </c>
      <c r="B295" s="11" t="str">
        <f>VLOOKUP($A295, '26 ADP Data'!$C$3:$R$298, 2, FALSE)</f>
        <v>#N/A</v>
      </c>
      <c r="C295" s="11" t="str">
        <f>VLOOKUP($A295, '26 ADP Data'!$C$3:$R$298, 16, FALSE)</f>
        <v>#N/A</v>
      </c>
      <c r="D295" s="11"/>
      <c r="E295" s="11"/>
      <c r="F295" s="11"/>
      <c r="G295" s="11"/>
      <c r="H295" s="11"/>
      <c r="I295" s="11" t="str">
        <f>VLOOKUP($A295, '26 ADP Data'!$C$3:$Q$298, 13, FALSE)</f>
        <v>#N/A</v>
      </c>
      <c r="J295" s="11" t="str">
        <f>VLOOKUP($A295, '26 ADP Data'!$C$3:$Q$298, 10, FALSE)</f>
        <v>#N/A</v>
      </c>
      <c r="K295" s="11" t="s">
        <v>452</v>
      </c>
    </row>
    <row r="296" ht="14.25" hidden="1" customHeight="1">
      <c r="A296" s="11" t="s">
        <v>543</v>
      </c>
      <c r="B296" s="11" t="str">
        <f>VLOOKUP($A296, '26 ADP Data'!$C$3:$R$298, 2, FALSE)</f>
        <v>DAL</v>
      </c>
      <c r="C296" s="11" t="str">
        <f>VLOOKUP($A296, '26 ADP Data'!$C$3:$R$298, 16, FALSE)</f>
        <v>K-</v>
      </c>
      <c r="D296" s="11"/>
      <c r="E296" s="11"/>
      <c r="F296" s="11"/>
      <c r="G296" s="11"/>
      <c r="H296" s="11"/>
      <c r="I296" s="11" t="str">
        <f>VLOOKUP($A296, '26 ADP Data'!$C$3:$Q$298, 13, FALSE)</f>
        <v>-</v>
      </c>
      <c r="J296" s="11">
        <f>VLOOKUP($A296, '26 ADP Data'!$C$3:$Q$298, 10, FALSE)</f>
        <v>164</v>
      </c>
      <c r="K296" s="11">
        <v>184.0</v>
      </c>
    </row>
    <row r="297" ht="14.25" hidden="1" customHeight="1">
      <c r="A297" s="11" t="s">
        <v>580</v>
      </c>
      <c r="B297" s="11" t="str">
        <f>VLOOKUP($A297, '26 ADP Data'!$C$3:$R$298, 2, FALSE)</f>
        <v>HOU</v>
      </c>
      <c r="C297" s="11" t="str">
        <f>VLOOKUP($A297, '26 ADP Data'!$C$3:$R$298, 16, FALSE)</f>
        <v>K-</v>
      </c>
      <c r="D297" s="11"/>
      <c r="E297" s="11"/>
      <c r="F297" s="11"/>
      <c r="G297" s="11"/>
      <c r="H297" s="11"/>
      <c r="I297" s="11" t="str">
        <f>VLOOKUP($A297, '26 ADP Data'!$C$3:$Q$298, 13, FALSE)</f>
        <v>-</v>
      </c>
      <c r="J297" s="11">
        <f>VLOOKUP($A297, '26 ADP Data'!$C$3:$Q$298, 10, FALSE)</f>
        <v>175</v>
      </c>
      <c r="K297" s="11">
        <v>206.0</v>
      </c>
    </row>
    <row r="298" ht="14.25" hidden="1" customHeight="1">
      <c r="A298" s="11" t="s">
        <v>586</v>
      </c>
      <c r="B298" s="11" t="str">
        <f>VLOOKUP($A298, '26 ADP Data'!$C$3:$R$298, 2, FALSE)</f>
        <v>LAC</v>
      </c>
      <c r="C298" s="11" t="str">
        <f>VLOOKUP($A298, '26 ADP Data'!$C$3:$R$298, 16, FALSE)</f>
        <v>K-</v>
      </c>
      <c r="D298" s="11"/>
      <c r="E298" s="11"/>
      <c r="F298" s="11"/>
      <c r="G298" s="11"/>
      <c r="H298" s="11"/>
      <c r="I298" s="11" t="str">
        <f>VLOOKUP($A298, '26 ADP Data'!$C$3:$Q$298, 13, FALSE)</f>
        <v>-</v>
      </c>
      <c r="J298" s="11">
        <f>VLOOKUP($A298, '26 ADP Data'!$C$3:$Q$298, 10, FALSE)</f>
        <v>187</v>
      </c>
      <c r="K298" s="11">
        <v>223.0</v>
      </c>
    </row>
    <row r="299" ht="14.25" hidden="1" customHeight="1">
      <c r="A299" s="11" t="s">
        <v>582</v>
      </c>
      <c r="B299" s="11" t="str">
        <f>VLOOKUP($A299, '26 ADP Data'!$C$3:$R$298, 2, FALSE)</f>
        <v>SEA</v>
      </c>
      <c r="C299" s="11" t="str">
        <f>VLOOKUP($A299, '26 ADP Data'!$C$3:$R$298, 16, FALSE)</f>
        <v>K-</v>
      </c>
      <c r="D299" s="11"/>
      <c r="E299" s="11"/>
      <c r="F299" s="11"/>
      <c r="G299" s="11"/>
      <c r="H299" s="11"/>
      <c r="I299" s="11" t="str">
        <f>VLOOKUP($A299, '26 ADP Data'!$C$3:$Q$298, 13, FALSE)</f>
        <v>-</v>
      </c>
      <c r="J299" s="11">
        <f>VLOOKUP($A299, '26 ADP Data'!$C$3:$Q$298, 10, FALSE)</f>
        <v>186</v>
      </c>
      <c r="K299" s="11" t="e">
        <v>#N/A</v>
      </c>
    </row>
    <row r="300" ht="14.25" hidden="1" customHeight="1">
      <c r="A300" s="11" t="s">
        <v>593</v>
      </c>
      <c r="B300" s="11" t="str">
        <f>VLOOKUP($A300, '26 ADP Data'!$C$3:$R$298, 2, FALSE)</f>
        <v>JAX</v>
      </c>
      <c r="C300" s="11" t="str">
        <f>VLOOKUP($A300, '26 ADP Data'!$C$3:$R$298, 16, FALSE)</f>
        <v>K-</v>
      </c>
      <c r="D300" s="11"/>
      <c r="E300" s="11"/>
      <c r="F300" s="11"/>
      <c r="G300" s="11"/>
      <c r="H300" s="11"/>
      <c r="I300" s="11" t="str">
        <f>VLOOKUP($A300, '26 ADP Data'!$C$3:$Q$298, 13, FALSE)</f>
        <v>-</v>
      </c>
      <c r="J300" s="11">
        <f>VLOOKUP($A300, '26 ADP Data'!$C$3:$Q$298, 10, FALSE)</f>
        <v>193</v>
      </c>
      <c r="K300" s="11" t="e">
        <v>#N/A</v>
      </c>
    </row>
    <row r="301" ht="14.25" hidden="1" customHeight="1">
      <c r="A301" s="11" t="s">
        <v>604</v>
      </c>
      <c r="B301" s="11" t="str">
        <f>VLOOKUP($A301, '26 ADP Data'!$C$3:$R$298, 2, FALSE)</f>
        <v>SF</v>
      </c>
      <c r="C301" s="11" t="str">
        <f>VLOOKUP($A301, '26 ADP Data'!$C$3:$R$298, 16, FALSE)</f>
        <v>K-</v>
      </c>
      <c r="D301" s="11"/>
      <c r="E301" s="11"/>
      <c r="F301" s="11"/>
      <c r="G301" s="11"/>
      <c r="H301" s="11"/>
      <c r="I301" s="11" t="str">
        <f>VLOOKUP($A301, '26 ADP Data'!$C$3:$Q$298, 13, FALSE)</f>
        <v>-</v>
      </c>
      <c r="J301" s="11">
        <f>VLOOKUP($A301, '26 ADP Data'!$C$3:$Q$298, 10, FALSE)</f>
        <v>214</v>
      </c>
      <c r="K301" s="11" t="e">
        <v>#N/A</v>
      </c>
    </row>
    <row r="302" ht="14.25" hidden="1" customHeight="1">
      <c r="A302" s="11" t="s">
        <v>602</v>
      </c>
      <c r="B302" s="11" t="str">
        <f>VLOOKUP($A302, '26 ADP Data'!$C$3:$R$298, 2, FALSE)</f>
        <v>BAL</v>
      </c>
      <c r="C302" s="11" t="str">
        <f>VLOOKUP($A302, '26 ADP Data'!$C$3:$R$298, 16, FALSE)</f>
        <v>K-</v>
      </c>
      <c r="D302" s="11"/>
      <c r="E302" s="11"/>
      <c r="F302" s="11"/>
      <c r="G302" s="11"/>
      <c r="H302" s="11"/>
      <c r="I302" s="11" t="str">
        <f>VLOOKUP($A302, '26 ADP Data'!$C$3:$Q$298, 13, FALSE)</f>
        <v>-</v>
      </c>
      <c r="J302" s="11">
        <f>VLOOKUP($A302, '26 ADP Data'!$C$3:$Q$298, 10, FALSE)</f>
        <v>205</v>
      </c>
      <c r="K302" s="11" t="e">
        <v>#N/A</v>
      </c>
    </row>
    <row r="303" ht="14.25" hidden="1" customHeight="1">
      <c r="A303" s="11"/>
      <c r="B303" s="11" t="str">
        <f>VLOOKUP($A303, '26 ADP Data'!$C$3:$R$298, 2, FALSE)</f>
        <v>#N/A</v>
      </c>
      <c r="C303" s="11" t="str">
        <f>VLOOKUP($A303, '26 ADP Data'!$C$3:$R$298, 16, FALSE)</f>
        <v>#N/A</v>
      </c>
      <c r="D303" s="11"/>
      <c r="E303" s="11"/>
      <c r="F303" s="11"/>
      <c r="G303" s="11"/>
      <c r="H303" s="11"/>
      <c r="I303" s="11" t="str">
        <f>VLOOKUP($A303, '26 ADP Data'!$C$3:$Q$298, 13, FALSE)</f>
        <v>#N/A</v>
      </c>
      <c r="J303" s="11" t="str">
        <f>VLOOKUP($A303, '26 ADP Data'!$C$3:$Q$298, 10, FALSE)</f>
        <v>#N/A</v>
      </c>
      <c r="K303" s="11" t="e">
        <v>#N/A</v>
      </c>
    </row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2:$L$303">
    <filterColumn colId="2">
      <filters>
        <filter val="TE"/>
      </filters>
    </filterColumn>
    <sortState ref="A2:L303">
      <sortCondition ref="G2:G303"/>
      <sortCondition ref="F2:F303"/>
      <sortCondition ref="J2:J303"/>
    </sortState>
  </autoFilter>
  <conditionalFormatting sqref="A3:A292">
    <cfRule type="expression" dxfId="0" priority="1">
      <formula>$E3="No"</formula>
    </cfRule>
  </conditionalFormatting>
  <conditionalFormatting sqref="J3:J30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rintOptions/>
  <pageMargins bottom="0.75" footer="0.0" header="0.0" left="0.7" right="0.7" top="0.75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FBFBF"/>
    <pageSetUpPr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4.43" defaultRowHeight="15.0"/>
  <cols>
    <col customWidth="1" min="1" max="1" width="8.71"/>
    <col customWidth="1" min="2" max="2" width="11.71"/>
    <col customWidth="1" min="3" max="3" width="22.43"/>
    <col customWidth="1" min="4" max="26" width="8.71"/>
  </cols>
  <sheetData>
    <row r="1" ht="14.25" customHeight="1">
      <c r="A1" s="1" t="s">
        <v>1</v>
      </c>
    </row>
    <row r="2" ht="14.25" customHeight="1">
      <c r="A2" s="1" t="s">
        <v>2</v>
      </c>
    </row>
    <row r="3" ht="14.25" customHeight="1">
      <c r="A3" s="1">
        <v>0.0</v>
      </c>
      <c r="B3" s="1">
        <v>0.0</v>
      </c>
      <c r="C3" s="1">
        <v>1.0</v>
      </c>
      <c r="D3" s="1">
        <v>2.0</v>
      </c>
      <c r="E3" s="1">
        <v>3.0</v>
      </c>
      <c r="F3" s="1">
        <v>4.0</v>
      </c>
      <c r="G3" s="1">
        <v>5.0</v>
      </c>
      <c r="H3" s="1">
        <v>6.0</v>
      </c>
      <c r="I3" s="1">
        <v>7.0</v>
      </c>
      <c r="J3" s="1">
        <v>8.0</v>
      </c>
      <c r="K3" s="1">
        <v>9.0</v>
      </c>
      <c r="L3" s="1">
        <v>10.0</v>
      </c>
      <c r="M3" s="1">
        <v>11.0</v>
      </c>
      <c r="N3" s="1">
        <v>12.0</v>
      </c>
      <c r="O3" s="1">
        <v>13.0</v>
      </c>
      <c r="P3" s="1">
        <v>14.0</v>
      </c>
      <c r="Q3" s="1">
        <v>15.0</v>
      </c>
      <c r="R3" s="1">
        <v>16.0</v>
      </c>
    </row>
    <row r="4" ht="14.25" customHeight="1">
      <c r="A4" s="8" t="s">
        <v>6</v>
      </c>
      <c r="B4" s="8" t="s">
        <v>8</v>
      </c>
      <c r="C4" s="8" t="s">
        <v>5</v>
      </c>
      <c r="D4" s="8" t="s">
        <v>7</v>
      </c>
      <c r="E4" s="8" t="s">
        <v>13</v>
      </c>
      <c r="F4" s="8" t="s">
        <v>15</v>
      </c>
      <c r="G4" s="8" t="s">
        <v>18</v>
      </c>
      <c r="H4" s="8" t="s">
        <v>20</v>
      </c>
      <c r="I4" s="8" t="s">
        <v>21</v>
      </c>
      <c r="J4" s="8" t="s">
        <v>23</v>
      </c>
      <c r="K4" s="8" t="s">
        <v>24</v>
      </c>
      <c r="L4" s="8" t="s">
        <v>17</v>
      </c>
      <c r="M4" s="8" t="s">
        <v>27</v>
      </c>
      <c r="N4" s="8" t="s">
        <v>29</v>
      </c>
      <c r="O4" s="8" t="s">
        <v>16</v>
      </c>
      <c r="P4" s="8" t="s">
        <v>31</v>
      </c>
      <c r="Q4" s="8" t="s">
        <v>33</v>
      </c>
      <c r="R4" s="12" t="s">
        <v>8</v>
      </c>
    </row>
    <row r="5" ht="14.25" customHeight="1">
      <c r="A5" s="13">
        <v>1.0</v>
      </c>
      <c r="B5" s="14" t="s">
        <v>34</v>
      </c>
      <c r="C5" s="14" t="s">
        <v>25</v>
      </c>
      <c r="D5" s="14" t="s">
        <v>35</v>
      </c>
      <c r="E5" s="13">
        <v>1.0</v>
      </c>
      <c r="F5" s="13">
        <v>1.0</v>
      </c>
      <c r="G5" s="13">
        <v>1.0</v>
      </c>
      <c r="H5" s="13">
        <v>1.0</v>
      </c>
      <c r="I5" s="13">
        <v>1.0</v>
      </c>
      <c r="J5" s="14" t="s">
        <v>36</v>
      </c>
      <c r="K5" s="13">
        <v>1.0</v>
      </c>
      <c r="L5" s="13">
        <v>1.0</v>
      </c>
      <c r="M5" s="14" t="s">
        <v>36</v>
      </c>
      <c r="N5" s="13">
        <v>1.0</v>
      </c>
      <c r="O5" s="13">
        <v>1.0</v>
      </c>
      <c r="P5" s="13">
        <v>1.01</v>
      </c>
      <c r="Q5" s="13">
        <v>1.01</v>
      </c>
      <c r="R5" s="11" t="str">
        <f t="shared" ref="R5:R304" si="1">LEFT(B5, 2)</f>
        <v>RB</v>
      </c>
    </row>
    <row r="6" ht="14.25" customHeight="1">
      <c r="A6" s="13">
        <v>2.0</v>
      </c>
      <c r="B6" s="14" t="s">
        <v>38</v>
      </c>
      <c r="C6" s="14" t="s">
        <v>39</v>
      </c>
      <c r="D6" s="14" t="s">
        <v>40</v>
      </c>
      <c r="E6" s="13">
        <v>2.0</v>
      </c>
      <c r="F6" s="13">
        <v>2.0</v>
      </c>
      <c r="G6" s="13">
        <v>2.0</v>
      </c>
      <c r="H6" s="13">
        <v>2.0</v>
      </c>
      <c r="I6" s="13">
        <v>2.0</v>
      </c>
      <c r="J6" s="14" t="s">
        <v>36</v>
      </c>
      <c r="K6" s="13">
        <v>2.0</v>
      </c>
      <c r="L6" s="13">
        <v>2.0</v>
      </c>
      <c r="M6" s="14" t="s">
        <v>36</v>
      </c>
      <c r="N6" s="13">
        <v>2.0</v>
      </c>
      <c r="O6" s="13">
        <v>2.0</v>
      </c>
      <c r="P6" s="13">
        <v>1.02</v>
      </c>
      <c r="Q6" s="13">
        <v>1.02</v>
      </c>
      <c r="R6" s="11" t="str">
        <f t="shared" si="1"/>
        <v>RB</v>
      </c>
    </row>
    <row r="7" ht="14.25" customHeight="1">
      <c r="A7" s="13">
        <v>3.0</v>
      </c>
      <c r="B7" s="14" t="s">
        <v>43</v>
      </c>
      <c r="C7" s="14" t="s">
        <v>44</v>
      </c>
      <c r="D7" s="14" t="s">
        <v>45</v>
      </c>
      <c r="E7" s="13">
        <v>3.0</v>
      </c>
      <c r="F7" s="13">
        <v>3.0</v>
      </c>
      <c r="G7" s="13">
        <v>3.0</v>
      </c>
      <c r="H7" s="13">
        <v>3.0</v>
      </c>
      <c r="I7" s="13">
        <v>3.0</v>
      </c>
      <c r="J7" s="14" t="s">
        <v>36</v>
      </c>
      <c r="K7" s="13">
        <v>3.0</v>
      </c>
      <c r="L7" s="13">
        <v>3.0</v>
      </c>
      <c r="M7" s="14" t="s">
        <v>36</v>
      </c>
      <c r="N7" s="13">
        <v>3.0</v>
      </c>
      <c r="O7" s="13">
        <v>3.0</v>
      </c>
      <c r="P7" s="13">
        <v>1.03</v>
      </c>
      <c r="Q7" s="13">
        <v>1.03</v>
      </c>
      <c r="R7" s="11" t="str">
        <f t="shared" si="1"/>
        <v>WR</v>
      </c>
    </row>
    <row r="8" ht="14.25" customHeight="1">
      <c r="A8" s="13">
        <v>4.0</v>
      </c>
      <c r="B8" s="14" t="s">
        <v>47</v>
      </c>
      <c r="C8" s="14" t="s">
        <v>48</v>
      </c>
      <c r="D8" s="14" t="s">
        <v>49</v>
      </c>
      <c r="E8" s="13">
        <v>5.0</v>
      </c>
      <c r="F8" s="13">
        <v>4.0</v>
      </c>
      <c r="G8" s="13">
        <v>4.0</v>
      </c>
      <c r="H8" s="13">
        <v>4.0</v>
      </c>
      <c r="I8" s="13">
        <v>4.0</v>
      </c>
      <c r="J8" s="14" t="s">
        <v>36</v>
      </c>
      <c r="K8" s="13">
        <v>4.0</v>
      </c>
      <c r="L8" s="13">
        <v>4.0</v>
      </c>
      <c r="M8" s="14" t="s">
        <v>36</v>
      </c>
      <c r="N8" s="13">
        <v>4.0</v>
      </c>
      <c r="O8" s="13">
        <v>4.0</v>
      </c>
      <c r="P8" s="13">
        <v>1.04</v>
      </c>
      <c r="Q8" s="13">
        <v>1.04</v>
      </c>
      <c r="R8" s="11" t="str">
        <f t="shared" si="1"/>
        <v>WR</v>
      </c>
    </row>
    <row r="9" ht="14.25" customHeight="1">
      <c r="A9" s="13">
        <v>5.0</v>
      </c>
      <c r="B9" s="14" t="s">
        <v>50</v>
      </c>
      <c r="C9" s="14" t="s">
        <v>51</v>
      </c>
      <c r="D9" s="14" t="s">
        <v>52</v>
      </c>
      <c r="E9" s="13">
        <v>6.0</v>
      </c>
      <c r="F9" s="13">
        <v>5.0</v>
      </c>
      <c r="G9" s="13">
        <v>6.0</v>
      </c>
      <c r="H9" s="13">
        <v>5.0</v>
      </c>
      <c r="I9" s="13">
        <v>5.0</v>
      </c>
      <c r="J9" s="14" t="s">
        <v>36</v>
      </c>
      <c r="K9" s="13">
        <v>7.0</v>
      </c>
      <c r="L9" s="13">
        <v>8.0</v>
      </c>
      <c r="M9" s="14" t="s">
        <v>36</v>
      </c>
      <c r="N9" s="13">
        <v>5.0</v>
      </c>
      <c r="O9" s="13">
        <v>5.0</v>
      </c>
      <c r="P9" s="13">
        <v>1.05</v>
      </c>
      <c r="Q9" s="13">
        <v>1.05</v>
      </c>
      <c r="R9" s="11" t="str">
        <f t="shared" si="1"/>
        <v>WR</v>
      </c>
    </row>
    <row r="10" ht="14.25" customHeight="1">
      <c r="A10" s="13">
        <v>6.0</v>
      </c>
      <c r="B10" s="14" t="s">
        <v>56</v>
      </c>
      <c r="C10" s="14" t="s">
        <v>57</v>
      </c>
      <c r="D10" s="14" t="s">
        <v>58</v>
      </c>
      <c r="E10" s="13">
        <v>7.0</v>
      </c>
      <c r="F10" s="13">
        <v>6.0</v>
      </c>
      <c r="G10" s="13">
        <v>5.0</v>
      </c>
      <c r="H10" s="13">
        <v>6.0</v>
      </c>
      <c r="I10" s="13">
        <v>7.0</v>
      </c>
      <c r="J10" s="14" t="s">
        <v>36</v>
      </c>
      <c r="K10" s="13">
        <v>5.0</v>
      </c>
      <c r="L10" s="13">
        <v>5.0</v>
      </c>
      <c r="M10" s="14" t="s">
        <v>36</v>
      </c>
      <c r="N10" s="13">
        <v>7.0</v>
      </c>
      <c r="O10" s="13">
        <v>6.0</v>
      </c>
      <c r="P10" s="13">
        <v>1.06</v>
      </c>
      <c r="Q10" s="13">
        <v>1.06</v>
      </c>
      <c r="R10" s="11" t="str">
        <f t="shared" si="1"/>
        <v>RB</v>
      </c>
    </row>
    <row r="11" ht="14.25" customHeight="1">
      <c r="A11" s="13">
        <v>7.0</v>
      </c>
      <c r="B11" s="14" t="s">
        <v>60</v>
      </c>
      <c r="C11" s="14" t="s">
        <v>61</v>
      </c>
      <c r="D11" s="14" t="s">
        <v>62</v>
      </c>
      <c r="E11" s="13">
        <v>4.0</v>
      </c>
      <c r="F11" s="13">
        <v>7.0</v>
      </c>
      <c r="G11" s="13">
        <v>7.0</v>
      </c>
      <c r="H11" s="13">
        <v>9.0</v>
      </c>
      <c r="I11" s="13">
        <v>8.0</v>
      </c>
      <c r="J11" s="14" t="s">
        <v>36</v>
      </c>
      <c r="K11" s="13">
        <v>6.0</v>
      </c>
      <c r="L11" s="13">
        <v>6.0</v>
      </c>
      <c r="M11" s="14" t="s">
        <v>36</v>
      </c>
      <c r="N11" s="13">
        <v>8.0</v>
      </c>
      <c r="O11" s="13">
        <v>8.0</v>
      </c>
      <c r="P11" s="13">
        <v>1.07</v>
      </c>
      <c r="Q11" s="13">
        <v>1.07</v>
      </c>
      <c r="R11" s="11" t="str">
        <f t="shared" si="1"/>
        <v>RB</v>
      </c>
    </row>
    <row r="12" ht="14.25" customHeight="1">
      <c r="A12" s="13">
        <v>8.0</v>
      </c>
      <c r="B12" s="14" t="s">
        <v>63</v>
      </c>
      <c r="C12" s="14" t="s">
        <v>64</v>
      </c>
      <c r="D12" s="14" t="s">
        <v>35</v>
      </c>
      <c r="E12" s="13">
        <v>8.0</v>
      </c>
      <c r="F12" s="13">
        <v>8.0</v>
      </c>
      <c r="G12" s="13">
        <v>8.0</v>
      </c>
      <c r="H12" s="13">
        <v>7.0</v>
      </c>
      <c r="I12" s="13">
        <v>6.0</v>
      </c>
      <c r="J12" s="14" t="s">
        <v>36</v>
      </c>
      <c r="K12" s="13">
        <v>8.0</v>
      </c>
      <c r="L12" s="13">
        <v>7.0</v>
      </c>
      <c r="M12" s="14" t="s">
        <v>36</v>
      </c>
      <c r="N12" s="13">
        <v>6.0</v>
      </c>
      <c r="O12" s="13">
        <v>7.0</v>
      </c>
      <c r="P12" s="13">
        <v>1.08</v>
      </c>
      <c r="Q12" s="13">
        <v>1.08</v>
      </c>
      <c r="R12" s="11" t="str">
        <f t="shared" si="1"/>
        <v>WR</v>
      </c>
    </row>
    <row r="13" ht="14.25" customHeight="1">
      <c r="A13" s="13">
        <v>9.0</v>
      </c>
      <c r="B13" s="14" t="s">
        <v>65</v>
      </c>
      <c r="C13" s="14" t="s">
        <v>66</v>
      </c>
      <c r="D13" s="14" t="s">
        <v>67</v>
      </c>
      <c r="E13" s="13">
        <v>9.0</v>
      </c>
      <c r="F13" s="13">
        <v>12.0</v>
      </c>
      <c r="G13" s="13">
        <v>9.0</v>
      </c>
      <c r="H13" s="13">
        <v>10.0</v>
      </c>
      <c r="I13" s="13">
        <v>9.0</v>
      </c>
      <c r="J13" s="14" t="s">
        <v>36</v>
      </c>
      <c r="K13" s="13">
        <v>9.0</v>
      </c>
      <c r="L13" s="13">
        <v>9.0</v>
      </c>
      <c r="M13" s="14" t="s">
        <v>36</v>
      </c>
      <c r="N13" s="13">
        <v>9.0</v>
      </c>
      <c r="O13" s="13">
        <v>10.0</v>
      </c>
      <c r="P13" s="13">
        <v>1.09</v>
      </c>
      <c r="Q13" s="13">
        <v>1.09</v>
      </c>
      <c r="R13" s="11" t="str">
        <f t="shared" si="1"/>
        <v>RB</v>
      </c>
    </row>
    <row r="14" ht="14.25" customHeight="1">
      <c r="A14" s="13">
        <v>10.0</v>
      </c>
      <c r="B14" s="14" t="s">
        <v>69</v>
      </c>
      <c r="C14" s="14" t="s">
        <v>70</v>
      </c>
      <c r="D14" s="14" t="s">
        <v>71</v>
      </c>
      <c r="E14" s="13">
        <v>14.0</v>
      </c>
      <c r="F14" s="13">
        <v>9.0</v>
      </c>
      <c r="G14" s="13">
        <v>11.0</v>
      </c>
      <c r="H14" s="13">
        <v>14.0</v>
      </c>
      <c r="I14" s="13">
        <v>10.0</v>
      </c>
      <c r="J14" s="14" t="s">
        <v>36</v>
      </c>
      <c r="K14" s="13">
        <v>10.0</v>
      </c>
      <c r="L14" s="13">
        <v>11.0</v>
      </c>
      <c r="M14" s="14" t="s">
        <v>36</v>
      </c>
      <c r="N14" s="13">
        <v>10.0</v>
      </c>
      <c r="O14" s="13">
        <v>9.0</v>
      </c>
      <c r="P14" s="13">
        <v>1.1</v>
      </c>
      <c r="Q14" s="13">
        <v>1.1</v>
      </c>
      <c r="R14" s="11" t="str">
        <f t="shared" si="1"/>
        <v>WR</v>
      </c>
    </row>
    <row r="15" ht="14.25" customHeight="1">
      <c r="A15" s="13">
        <v>11.0</v>
      </c>
      <c r="B15" s="14" t="s">
        <v>73</v>
      </c>
      <c r="C15" s="14" t="s">
        <v>74</v>
      </c>
      <c r="D15" s="14" t="s">
        <v>75</v>
      </c>
      <c r="E15" s="13">
        <v>16.0</v>
      </c>
      <c r="F15" s="13">
        <v>11.0</v>
      </c>
      <c r="G15" s="13">
        <v>10.0</v>
      </c>
      <c r="H15" s="13">
        <v>12.0</v>
      </c>
      <c r="I15" s="13">
        <v>12.0</v>
      </c>
      <c r="J15" s="14" t="s">
        <v>36</v>
      </c>
      <c r="K15" s="13">
        <v>11.0</v>
      </c>
      <c r="L15" s="13">
        <v>13.0</v>
      </c>
      <c r="M15" s="14" t="s">
        <v>36</v>
      </c>
      <c r="N15" s="13">
        <v>11.0</v>
      </c>
      <c r="O15" s="13">
        <v>11.0</v>
      </c>
      <c r="P15" s="13">
        <v>2.01</v>
      </c>
      <c r="Q15" s="13">
        <v>1.11</v>
      </c>
      <c r="R15" s="11" t="str">
        <f t="shared" si="1"/>
        <v>WR</v>
      </c>
    </row>
    <row r="16" ht="14.25" customHeight="1">
      <c r="A16" s="13">
        <v>12.0</v>
      </c>
      <c r="B16" s="14" t="s">
        <v>79</v>
      </c>
      <c r="C16" s="14" t="s">
        <v>80</v>
      </c>
      <c r="D16" s="14" t="s">
        <v>45</v>
      </c>
      <c r="E16" s="13">
        <v>11.0</v>
      </c>
      <c r="F16" s="13">
        <v>18.0</v>
      </c>
      <c r="G16" s="13">
        <v>12.0</v>
      </c>
      <c r="H16" s="13">
        <v>11.0</v>
      </c>
      <c r="I16" s="13">
        <v>13.0</v>
      </c>
      <c r="J16" s="14" t="s">
        <v>36</v>
      </c>
      <c r="K16" s="13">
        <v>15.0</v>
      </c>
      <c r="L16" s="13">
        <v>14.0</v>
      </c>
      <c r="M16" s="14" t="s">
        <v>36</v>
      </c>
      <c r="N16" s="13">
        <v>12.0</v>
      </c>
      <c r="O16" s="13">
        <v>14.0</v>
      </c>
      <c r="P16" s="13">
        <v>2.02</v>
      </c>
      <c r="Q16" s="13">
        <v>1.12</v>
      </c>
      <c r="R16" s="11" t="str">
        <f t="shared" si="1"/>
        <v>RB</v>
      </c>
    </row>
    <row r="17" ht="14.25" customHeight="1">
      <c r="A17" s="13">
        <v>13.0</v>
      </c>
      <c r="B17" s="14" t="s">
        <v>83</v>
      </c>
      <c r="C17" s="14" t="s">
        <v>84</v>
      </c>
      <c r="D17" s="14" t="s">
        <v>85</v>
      </c>
      <c r="E17" s="13">
        <v>13.0</v>
      </c>
      <c r="F17" s="13">
        <v>13.0</v>
      </c>
      <c r="G17" s="13">
        <v>14.0</v>
      </c>
      <c r="H17" s="13">
        <v>18.0</v>
      </c>
      <c r="I17" s="13">
        <v>16.0</v>
      </c>
      <c r="J17" s="14" t="s">
        <v>36</v>
      </c>
      <c r="K17" s="13">
        <v>13.0</v>
      </c>
      <c r="L17" s="13">
        <v>10.0</v>
      </c>
      <c r="M17" s="14" t="s">
        <v>36</v>
      </c>
      <c r="N17" s="13">
        <v>14.0</v>
      </c>
      <c r="O17" s="13">
        <v>12.0</v>
      </c>
      <c r="P17" s="13">
        <v>2.03</v>
      </c>
      <c r="Q17" s="13">
        <v>2.01</v>
      </c>
      <c r="R17" s="11" t="str">
        <f t="shared" si="1"/>
        <v>RB</v>
      </c>
    </row>
    <row r="18" ht="14.25" customHeight="1">
      <c r="A18" s="13">
        <v>14.0</v>
      </c>
      <c r="B18" s="14" t="s">
        <v>91</v>
      </c>
      <c r="C18" s="14" t="s">
        <v>92</v>
      </c>
      <c r="D18" s="14" t="s">
        <v>94</v>
      </c>
      <c r="E18" s="13">
        <v>10.0</v>
      </c>
      <c r="F18" s="13">
        <v>10.0</v>
      </c>
      <c r="G18" s="13">
        <v>13.0</v>
      </c>
      <c r="H18" s="13">
        <v>16.0</v>
      </c>
      <c r="I18" s="13">
        <v>15.0</v>
      </c>
      <c r="J18" s="14" t="s">
        <v>36</v>
      </c>
      <c r="K18" s="13">
        <v>16.0</v>
      </c>
      <c r="L18" s="13">
        <v>15.0</v>
      </c>
      <c r="M18" s="14" t="s">
        <v>36</v>
      </c>
      <c r="N18" s="13">
        <v>15.0</v>
      </c>
      <c r="O18" s="13">
        <v>17.0</v>
      </c>
      <c r="P18" s="13">
        <v>2.04</v>
      </c>
      <c r="Q18" s="13">
        <v>2.02</v>
      </c>
      <c r="R18" s="11" t="str">
        <f t="shared" si="1"/>
        <v>RB</v>
      </c>
    </row>
    <row r="19" ht="14.25" customHeight="1">
      <c r="A19" s="13">
        <v>15.0</v>
      </c>
      <c r="B19" s="14" t="s">
        <v>96</v>
      </c>
      <c r="C19" s="14" t="s">
        <v>97</v>
      </c>
      <c r="D19" s="14" t="s">
        <v>98</v>
      </c>
      <c r="E19" s="13">
        <v>15.0</v>
      </c>
      <c r="F19" s="13">
        <v>14.0</v>
      </c>
      <c r="G19" s="13">
        <v>18.0</v>
      </c>
      <c r="H19" s="13">
        <v>13.0</v>
      </c>
      <c r="I19" s="13">
        <v>11.0</v>
      </c>
      <c r="J19" s="14" t="s">
        <v>36</v>
      </c>
      <c r="K19" s="13">
        <v>12.0</v>
      </c>
      <c r="L19" s="13">
        <v>23.0</v>
      </c>
      <c r="M19" s="14" t="s">
        <v>36</v>
      </c>
      <c r="N19" s="13">
        <v>17.0</v>
      </c>
      <c r="O19" s="13">
        <v>18.0</v>
      </c>
      <c r="P19" s="13">
        <v>2.05</v>
      </c>
      <c r="Q19" s="13">
        <v>2.03</v>
      </c>
      <c r="R19" s="11" t="str">
        <f t="shared" si="1"/>
        <v>RB</v>
      </c>
    </row>
    <row r="20" ht="14.25" customHeight="1">
      <c r="A20" s="13">
        <v>16.0</v>
      </c>
      <c r="B20" s="14" t="s">
        <v>99</v>
      </c>
      <c r="C20" s="14" t="s">
        <v>101</v>
      </c>
      <c r="D20" s="14" t="s">
        <v>102</v>
      </c>
      <c r="E20" s="13">
        <v>17.0</v>
      </c>
      <c r="F20" s="13">
        <v>21.0</v>
      </c>
      <c r="G20" s="13">
        <v>16.0</v>
      </c>
      <c r="H20" s="13">
        <v>15.0</v>
      </c>
      <c r="I20" s="13">
        <v>17.0</v>
      </c>
      <c r="J20" s="14" t="s">
        <v>36</v>
      </c>
      <c r="K20" s="13">
        <v>18.0</v>
      </c>
      <c r="L20" s="13">
        <v>12.0</v>
      </c>
      <c r="M20" s="14" t="s">
        <v>36</v>
      </c>
      <c r="N20" s="13">
        <v>13.0</v>
      </c>
      <c r="O20" s="13">
        <v>13.0</v>
      </c>
      <c r="P20" s="13">
        <v>2.06</v>
      </c>
      <c r="Q20" s="13">
        <v>2.04</v>
      </c>
      <c r="R20" s="11" t="str">
        <f t="shared" si="1"/>
        <v>RB</v>
      </c>
    </row>
    <row r="21" ht="14.25" customHeight="1">
      <c r="A21" s="13">
        <v>17.0</v>
      </c>
      <c r="B21" s="14" t="s">
        <v>103</v>
      </c>
      <c r="C21" s="14" t="s">
        <v>104</v>
      </c>
      <c r="D21" s="14" t="s">
        <v>105</v>
      </c>
      <c r="E21" s="13">
        <v>20.0</v>
      </c>
      <c r="F21" s="13">
        <v>24.0</v>
      </c>
      <c r="G21" s="13">
        <v>15.0</v>
      </c>
      <c r="H21" s="13">
        <v>19.0</v>
      </c>
      <c r="I21" s="13">
        <v>14.0</v>
      </c>
      <c r="J21" s="14" t="s">
        <v>36</v>
      </c>
      <c r="K21" s="13">
        <v>14.0</v>
      </c>
      <c r="L21" s="13">
        <v>17.0</v>
      </c>
      <c r="M21" s="14" t="s">
        <v>36</v>
      </c>
      <c r="N21" s="13">
        <v>16.0</v>
      </c>
      <c r="O21" s="13">
        <v>15.0</v>
      </c>
      <c r="P21" s="13">
        <v>2.07</v>
      </c>
      <c r="Q21" s="13">
        <v>2.05</v>
      </c>
      <c r="R21" s="11" t="str">
        <f t="shared" si="1"/>
        <v>RB</v>
      </c>
    </row>
    <row r="22" ht="14.25" customHeight="1">
      <c r="A22" s="13">
        <v>18.0</v>
      </c>
      <c r="B22" s="14" t="s">
        <v>107</v>
      </c>
      <c r="C22" s="14" t="s">
        <v>108</v>
      </c>
      <c r="D22" s="14" t="s">
        <v>109</v>
      </c>
      <c r="E22" s="13">
        <v>12.0</v>
      </c>
      <c r="F22" s="13">
        <v>16.0</v>
      </c>
      <c r="G22" s="13">
        <v>20.0</v>
      </c>
      <c r="H22" s="13">
        <v>20.0</v>
      </c>
      <c r="I22" s="13">
        <v>21.0</v>
      </c>
      <c r="J22" s="14" t="s">
        <v>36</v>
      </c>
      <c r="K22" s="13">
        <v>17.0</v>
      </c>
      <c r="L22" s="13">
        <v>16.0</v>
      </c>
      <c r="M22" s="14" t="s">
        <v>36</v>
      </c>
      <c r="N22" s="13">
        <v>19.0</v>
      </c>
      <c r="O22" s="13">
        <v>16.0</v>
      </c>
      <c r="P22" s="13">
        <v>2.08</v>
      </c>
      <c r="Q22" s="13">
        <v>2.06</v>
      </c>
      <c r="R22" s="11" t="str">
        <f t="shared" si="1"/>
        <v>RB</v>
      </c>
    </row>
    <row r="23" ht="14.25" customHeight="1">
      <c r="A23" s="13">
        <v>19.0</v>
      </c>
      <c r="B23" s="14" t="s">
        <v>110</v>
      </c>
      <c r="C23" s="14" t="s">
        <v>111</v>
      </c>
      <c r="D23" s="14" t="s">
        <v>98</v>
      </c>
      <c r="E23" s="13">
        <v>27.0</v>
      </c>
      <c r="F23" s="13">
        <v>23.0</v>
      </c>
      <c r="G23" s="13">
        <v>19.0</v>
      </c>
      <c r="H23" s="13">
        <v>8.0</v>
      </c>
      <c r="I23" s="13">
        <v>20.0</v>
      </c>
      <c r="J23" s="14" t="s">
        <v>36</v>
      </c>
      <c r="K23" s="13">
        <v>21.0</v>
      </c>
      <c r="L23" s="13">
        <v>19.0</v>
      </c>
      <c r="M23" s="14" t="s">
        <v>36</v>
      </c>
      <c r="N23" s="13">
        <v>18.0</v>
      </c>
      <c r="O23" s="13">
        <v>20.0</v>
      </c>
      <c r="P23" s="13">
        <v>2.09</v>
      </c>
      <c r="Q23" s="13">
        <v>2.07</v>
      </c>
      <c r="R23" s="11" t="str">
        <f t="shared" si="1"/>
        <v>TE</v>
      </c>
    </row>
    <row r="24" ht="14.25" customHeight="1">
      <c r="A24" s="13">
        <v>20.0</v>
      </c>
      <c r="B24" s="14" t="s">
        <v>112</v>
      </c>
      <c r="C24" s="14" t="s">
        <v>114</v>
      </c>
      <c r="D24" s="14" t="s">
        <v>40</v>
      </c>
      <c r="E24" s="13">
        <v>19.0</v>
      </c>
      <c r="F24" s="13">
        <v>15.0</v>
      </c>
      <c r="G24" s="13">
        <v>21.0</v>
      </c>
      <c r="H24" s="13">
        <v>22.0</v>
      </c>
      <c r="I24" s="13">
        <v>19.0</v>
      </c>
      <c r="J24" s="14" t="s">
        <v>36</v>
      </c>
      <c r="K24" s="13">
        <v>19.0</v>
      </c>
      <c r="L24" s="13">
        <v>18.0</v>
      </c>
      <c r="M24" s="14" t="s">
        <v>36</v>
      </c>
      <c r="N24" s="13">
        <v>22.0</v>
      </c>
      <c r="O24" s="13">
        <v>22.0</v>
      </c>
      <c r="P24" s="13">
        <v>2.1</v>
      </c>
      <c r="Q24" s="13">
        <v>2.08</v>
      </c>
      <c r="R24" s="11" t="str">
        <f t="shared" si="1"/>
        <v>WR</v>
      </c>
    </row>
    <row r="25" ht="14.25" customHeight="1">
      <c r="A25" s="13">
        <v>21.0</v>
      </c>
      <c r="B25" s="14" t="s">
        <v>115</v>
      </c>
      <c r="C25" s="14" t="s">
        <v>113</v>
      </c>
      <c r="D25" s="14" t="s">
        <v>116</v>
      </c>
      <c r="E25" s="13">
        <v>21.0</v>
      </c>
      <c r="F25" s="13">
        <v>25.0</v>
      </c>
      <c r="G25" s="13">
        <v>17.0</v>
      </c>
      <c r="H25" s="13">
        <v>21.0</v>
      </c>
      <c r="I25" s="13">
        <v>18.0</v>
      </c>
      <c r="J25" s="14" t="s">
        <v>36</v>
      </c>
      <c r="K25" s="13">
        <v>20.0</v>
      </c>
      <c r="L25" s="13">
        <v>22.0</v>
      </c>
      <c r="M25" s="14" t="s">
        <v>36</v>
      </c>
      <c r="N25" s="13">
        <v>20.0</v>
      </c>
      <c r="O25" s="13">
        <v>19.0</v>
      </c>
      <c r="P25" s="13">
        <v>3.01</v>
      </c>
      <c r="Q25" s="13">
        <v>2.09</v>
      </c>
      <c r="R25" s="11" t="str">
        <f t="shared" si="1"/>
        <v>WR</v>
      </c>
    </row>
    <row r="26" ht="14.25" customHeight="1">
      <c r="A26" s="13">
        <v>22.0</v>
      </c>
      <c r="B26" s="14" t="s">
        <v>117</v>
      </c>
      <c r="C26" s="14" t="s">
        <v>118</v>
      </c>
      <c r="D26" s="14" t="s">
        <v>119</v>
      </c>
      <c r="E26" s="13">
        <v>25.0</v>
      </c>
      <c r="F26" s="13">
        <v>26.0</v>
      </c>
      <c r="G26" s="13">
        <v>22.0</v>
      </c>
      <c r="H26" s="13">
        <v>24.0</v>
      </c>
      <c r="I26" s="13">
        <v>23.0</v>
      </c>
      <c r="J26" s="14" t="s">
        <v>36</v>
      </c>
      <c r="K26" s="13">
        <v>24.0</v>
      </c>
      <c r="L26" s="13">
        <v>20.0</v>
      </c>
      <c r="M26" s="14" t="s">
        <v>36</v>
      </c>
      <c r="N26" s="13">
        <v>21.0</v>
      </c>
      <c r="O26" s="13">
        <v>21.0</v>
      </c>
      <c r="P26" s="13">
        <v>3.02</v>
      </c>
      <c r="Q26" s="13">
        <v>2.1</v>
      </c>
      <c r="R26" s="11" t="str">
        <f t="shared" si="1"/>
        <v>WR</v>
      </c>
    </row>
    <row r="27" ht="14.25" customHeight="1">
      <c r="A27" s="13">
        <v>23.0</v>
      </c>
      <c r="B27" s="14" t="s">
        <v>120</v>
      </c>
      <c r="C27" s="14" t="s">
        <v>121</v>
      </c>
      <c r="D27" s="14" t="s">
        <v>71</v>
      </c>
      <c r="E27" s="13">
        <v>22.0</v>
      </c>
      <c r="F27" s="13">
        <v>27.0</v>
      </c>
      <c r="G27" s="13">
        <v>26.0</v>
      </c>
      <c r="H27" s="13">
        <v>26.0</v>
      </c>
      <c r="I27" s="13">
        <v>22.0</v>
      </c>
      <c r="J27" s="14" t="s">
        <v>36</v>
      </c>
      <c r="K27" s="13">
        <v>26.0</v>
      </c>
      <c r="L27" s="13">
        <v>21.0</v>
      </c>
      <c r="M27" s="14" t="s">
        <v>36</v>
      </c>
      <c r="N27" s="13">
        <v>25.0</v>
      </c>
      <c r="O27" s="13">
        <v>24.0</v>
      </c>
      <c r="P27" s="13">
        <v>3.03</v>
      </c>
      <c r="Q27" s="13">
        <v>2.11</v>
      </c>
      <c r="R27" s="11" t="str">
        <f t="shared" si="1"/>
        <v>WR</v>
      </c>
    </row>
    <row r="28" ht="14.25" customHeight="1">
      <c r="A28" s="13">
        <v>24.0</v>
      </c>
      <c r="B28" s="14" t="s">
        <v>123</v>
      </c>
      <c r="C28" s="14" t="s">
        <v>124</v>
      </c>
      <c r="D28" s="14" t="s">
        <v>125</v>
      </c>
      <c r="E28" s="13">
        <v>28.0</v>
      </c>
      <c r="F28" s="13">
        <v>17.0</v>
      </c>
      <c r="G28" s="13">
        <v>25.0</v>
      </c>
      <c r="H28" s="13">
        <v>17.0</v>
      </c>
      <c r="I28" s="13">
        <v>27.0</v>
      </c>
      <c r="J28" s="14" t="s">
        <v>36</v>
      </c>
      <c r="K28" s="13">
        <v>22.0</v>
      </c>
      <c r="L28" s="13">
        <v>30.0</v>
      </c>
      <c r="M28" s="14" t="s">
        <v>36</v>
      </c>
      <c r="N28" s="13">
        <v>26.0</v>
      </c>
      <c r="O28" s="13">
        <v>28.0</v>
      </c>
      <c r="P28" s="13">
        <v>3.04</v>
      </c>
      <c r="Q28" s="13">
        <v>2.12</v>
      </c>
      <c r="R28" s="11" t="str">
        <f t="shared" si="1"/>
        <v>TE</v>
      </c>
    </row>
    <row r="29" ht="14.25" customHeight="1">
      <c r="A29" s="13">
        <v>25.0</v>
      </c>
      <c r="B29" s="14" t="s">
        <v>126</v>
      </c>
      <c r="C29" s="14" t="s">
        <v>127</v>
      </c>
      <c r="D29" s="14" t="s">
        <v>128</v>
      </c>
      <c r="E29" s="13">
        <v>30.0</v>
      </c>
      <c r="F29" s="13">
        <v>30.0</v>
      </c>
      <c r="G29" s="13">
        <v>23.0</v>
      </c>
      <c r="H29" s="13">
        <v>25.0</v>
      </c>
      <c r="I29" s="13">
        <v>25.0</v>
      </c>
      <c r="J29" s="14" t="s">
        <v>36</v>
      </c>
      <c r="K29" s="13">
        <v>31.0</v>
      </c>
      <c r="L29" s="13">
        <v>25.0</v>
      </c>
      <c r="M29" s="14" t="s">
        <v>36</v>
      </c>
      <c r="N29" s="13">
        <v>23.0</v>
      </c>
      <c r="O29" s="13">
        <v>23.0</v>
      </c>
      <c r="P29" s="13">
        <v>3.05</v>
      </c>
      <c r="Q29" s="13">
        <v>3.01</v>
      </c>
      <c r="R29" s="11" t="str">
        <f t="shared" si="1"/>
        <v>WR</v>
      </c>
    </row>
    <row r="30" ht="14.25" customHeight="1">
      <c r="A30" s="13">
        <v>26.0</v>
      </c>
      <c r="B30" s="14" t="s">
        <v>129</v>
      </c>
      <c r="C30" s="14" t="s">
        <v>130</v>
      </c>
      <c r="D30" s="14" t="s">
        <v>131</v>
      </c>
      <c r="E30" s="13">
        <v>29.0</v>
      </c>
      <c r="F30" s="13">
        <v>28.0</v>
      </c>
      <c r="G30" s="13">
        <v>24.0</v>
      </c>
      <c r="H30" s="13">
        <v>27.0</v>
      </c>
      <c r="I30" s="13">
        <v>24.0</v>
      </c>
      <c r="J30" s="14" t="s">
        <v>36</v>
      </c>
      <c r="K30" s="13">
        <v>32.0</v>
      </c>
      <c r="L30" s="13">
        <v>24.0</v>
      </c>
      <c r="M30" s="14" t="s">
        <v>36</v>
      </c>
      <c r="N30" s="13">
        <v>24.0</v>
      </c>
      <c r="O30" s="13">
        <v>25.0</v>
      </c>
      <c r="P30" s="13">
        <v>3.06</v>
      </c>
      <c r="Q30" s="13">
        <v>3.02</v>
      </c>
      <c r="R30" s="11" t="str">
        <f t="shared" si="1"/>
        <v>WR</v>
      </c>
    </row>
    <row r="31" ht="14.25" customHeight="1">
      <c r="A31" s="13">
        <v>27.0</v>
      </c>
      <c r="B31" s="14" t="s">
        <v>133</v>
      </c>
      <c r="C31" s="14" t="s">
        <v>134</v>
      </c>
      <c r="D31" s="14" t="s">
        <v>102</v>
      </c>
      <c r="E31" s="13">
        <v>23.0</v>
      </c>
      <c r="F31" s="13">
        <v>20.0</v>
      </c>
      <c r="G31" s="13">
        <v>28.0</v>
      </c>
      <c r="H31" s="13">
        <v>28.0</v>
      </c>
      <c r="I31" s="13">
        <v>26.0</v>
      </c>
      <c r="J31" s="14" t="s">
        <v>36</v>
      </c>
      <c r="K31" s="13">
        <v>28.0</v>
      </c>
      <c r="L31" s="13">
        <v>36.0</v>
      </c>
      <c r="M31" s="14" t="s">
        <v>36</v>
      </c>
      <c r="N31" s="13">
        <v>28.0</v>
      </c>
      <c r="O31" s="13">
        <v>26.0</v>
      </c>
      <c r="P31" s="13">
        <v>3.07</v>
      </c>
      <c r="Q31" s="13">
        <v>3.03</v>
      </c>
      <c r="R31" s="11" t="str">
        <f t="shared" si="1"/>
        <v>WR</v>
      </c>
    </row>
    <row r="32" ht="14.25" customHeight="1">
      <c r="A32" s="13">
        <v>28.0</v>
      </c>
      <c r="B32" s="14" t="s">
        <v>135</v>
      </c>
      <c r="C32" s="14" t="s">
        <v>136</v>
      </c>
      <c r="D32" s="14" t="s">
        <v>67</v>
      </c>
      <c r="E32" s="13">
        <v>18.0</v>
      </c>
      <c r="F32" s="13">
        <v>19.0</v>
      </c>
      <c r="G32" s="13">
        <v>31.0</v>
      </c>
      <c r="H32" s="13">
        <v>32.0</v>
      </c>
      <c r="I32" s="13">
        <v>29.0</v>
      </c>
      <c r="J32" s="14" t="s">
        <v>36</v>
      </c>
      <c r="K32" s="13">
        <v>23.0</v>
      </c>
      <c r="L32" s="13">
        <v>28.0</v>
      </c>
      <c r="M32" s="14" t="s">
        <v>36</v>
      </c>
      <c r="N32" s="13">
        <v>31.0</v>
      </c>
      <c r="O32" s="13">
        <v>37.0</v>
      </c>
      <c r="P32" s="13">
        <v>3.08</v>
      </c>
      <c r="Q32" s="13">
        <v>3.04</v>
      </c>
      <c r="R32" s="11" t="str">
        <f t="shared" si="1"/>
        <v>QB</v>
      </c>
    </row>
    <row r="33" ht="14.25" customHeight="1">
      <c r="A33" s="13">
        <v>29.0</v>
      </c>
      <c r="B33" s="14" t="s">
        <v>137</v>
      </c>
      <c r="C33" s="14" t="s">
        <v>138</v>
      </c>
      <c r="D33" s="14" t="s">
        <v>49</v>
      </c>
      <c r="E33" s="13">
        <v>24.0</v>
      </c>
      <c r="F33" s="13">
        <v>37.0</v>
      </c>
      <c r="G33" s="13">
        <v>27.0</v>
      </c>
      <c r="H33" s="13">
        <v>30.0</v>
      </c>
      <c r="I33" s="13">
        <v>33.0</v>
      </c>
      <c r="J33" s="14" t="s">
        <v>36</v>
      </c>
      <c r="K33" s="13">
        <v>27.0</v>
      </c>
      <c r="L33" s="13">
        <v>27.0</v>
      </c>
      <c r="M33" s="14" t="s">
        <v>36</v>
      </c>
      <c r="N33" s="13">
        <v>29.0</v>
      </c>
      <c r="O33" s="13">
        <v>30.0</v>
      </c>
      <c r="P33" s="13">
        <v>3.09</v>
      </c>
      <c r="Q33" s="13">
        <v>3.05</v>
      </c>
      <c r="R33" s="11" t="str">
        <f t="shared" si="1"/>
        <v>RB</v>
      </c>
    </row>
    <row r="34" ht="14.25" customHeight="1">
      <c r="A34" s="13">
        <v>30.0</v>
      </c>
      <c r="B34" s="14" t="s">
        <v>139</v>
      </c>
      <c r="C34" s="14" t="s">
        <v>140</v>
      </c>
      <c r="D34" s="14" t="s">
        <v>125</v>
      </c>
      <c r="E34" s="13">
        <v>31.0</v>
      </c>
      <c r="F34" s="13">
        <v>22.0</v>
      </c>
      <c r="G34" s="13">
        <v>33.0</v>
      </c>
      <c r="H34" s="13">
        <v>29.0</v>
      </c>
      <c r="I34" s="13">
        <v>31.0</v>
      </c>
      <c r="J34" s="14" t="s">
        <v>36</v>
      </c>
      <c r="K34" s="13">
        <v>25.0</v>
      </c>
      <c r="L34" s="13">
        <v>34.0</v>
      </c>
      <c r="M34" s="14" t="s">
        <v>36</v>
      </c>
      <c r="N34" s="13">
        <v>36.0</v>
      </c>
      <c r="O34" s="13">
        <v>29.0</v>
      </c>
      <c r="P34" s="13">
        <v>3.1</v>
      </c>
      <c r="Q34" s="13">
        <v>3.06</v>
      </c>
      <c r="R34" s="11" t="str">
        <f t="shared" si="1"/>
        <v>RB</v>
      </c>
    </row>
    <row r="35" ht="14.25" customHeight="1">
      <c r="A35" s="13">
        <v>31.0</v>
      </c>
      <c r="B35" s="14" t="s">
        <v>141</v>
      </c>
      <c r="C35" s="14" t="s">
        <v>142</v>
      </c>
      <c r="D35" s="14" t="s">
        <v>85</v>
      </c>
      <c r="E35" s="13">
        <v>36.0</v>
      </c>
      <c r="F35" s="13">
        <v>35.0</v>
      </c>
      <c r="G35" s="13">
        <v>29.0</v>
      </c>
      <c r="H35" s="13">
        <v>33.0</v>
      </c>
      <c r="I35" s="13">
        <v>28.0</v>
      </c>
      <c r="J35" s="14" t="s">
        <v>36</v>
      </c>
      <c r="K35" s="13">
        <v>35.0</v>
      </c>
      <c r="L35" s="13">
        <v>26.0</v>
      </c>
      <c r="M35" s="14" t="s">
        <v>36</v>
      </c>
      <c r="N35" s="13">
        <v>27.0</v>
      </c>
      <c r="O35" s="13">
        <v>27.0</v>
      </c>
      <c r="P35" s="13">
        <v>4.01</v>
      </c>
      <c r="Q35" s="13">
        <v>3.07</v>
      </c>
      <c r="R35" s="11" t="str">
        <f t="shared" si="1"/>
        <v>WR</v>
      </c>
    </row>
    <row r="36" ht="14.25" customHeight="1">
      <c r="A36" s="13">
        <v>32.0</v>
      </c>
      <c r="B36" s="14" t="s">
        <v>143</v>
      </c>
      <c r="C36" s="14" t="s">
        <v>144</v>
      </c>
      <c r="D36" s="14" t="s">
        <v>71</v>
      </c>
      <c r="E36" s="13">
        <v>32.0</v>
      </c>
      <c r="F36" s="13">
        <v>31.0</v>
      </c>
      <c r="G36" s="13">
        <v>30.0</v>
      </c>
      <c r="H36" s="13">
        <v>34.0</v>
      </c>
      <c r="I36" s="13">
        <v>34.0</v>
      </c>
      <c r="J36" s="14" t="s">
        <v>36</v>
      </c>
      <c r="K36" s="13">
        <v>33.0</v>
      </c>
      <c r="L36" s="13">
        <v>35.0</v>
      </c>
      <c r="M36" s="14" t="s">
        <v>36</v>
      </c>
      <c r="N36" s="13">
        <v>32.0</v>
      </c>
      <c r="O36" s="13">
        <v>33.0</v>
      </c>
      <c r="P36" s="13">
        <v>4.02</v>
      </c>
      <c r="Q36" s="13">
        <v>3.08</v>
      </c>
      <c r="R36" s="11" t="str">
        <f t="shared" si="1"/>
        <v>RB</v>
      </c>
    </row>
    <row r="37" ht="14.25" customHeight="1">
      <c r="A37" s="13">
        <v>33.0</v>
      </c>
      <c r="B37" s="14" t="s">
        <v>146</v>
      </c>
      <c r="C37" s="14" t="s">
        <v>147</v>
      </c>
      <c r="D37" s="14" t="s">
        <v>148</v>
      </c>
      <c r="E37" s="13">
        <v>38.0</v>
      </c>
      <c r="F37" s="13">
        <v>29.0</v>
      </c>
      <c r="G37" s="13">
        <v>32.0</v>
      </c>
      <c r="H37" s="13">
        <v>31.0</v>
      </c>
      <c r="I37" s="13">
        <v>36.0</v>
      </c>
      <c r="J37" s="14" t="s">
        <v>36</v>
      </c>
      <c r="K37" s="13">
        <v>30.0</v>
      </c>
      <c r="L37" s="13">
        <v>31.0</v>
      </c>
      <c r="M37" s="14" t="s">
        <v>36</v>
      </c>
      <c r="N37" s="13">
        <v>38.0</v>
      </c>
      <c r="O37" s="13">
        <v>32.0</v>
      </c>
      <c r="P37" s="13">
        <v>4.03</v>
      </c>
      <c r="Q37" s="13">
        <v>3.09</v>
      </c>
      <c r="R37" s="11" t="str">
        <f t="shared" si="1"/>
        <v>RB</v>
      </c>
    </row>
    <row r="38" ht="14.25" customHeight="1">
      <c r="A38" s="13">
        <v>34.0</v>
      </c>
      <c r="B38" s="14" t="s">
        <v>149</v>
      </c>
      <c r="C38" s="14" t="s">
        <v>150</v>
      </c>
      <c r="D38" s="14" t="s">
        <v>109</v>
      </c>
      <c r="E38" s="13">
        <v>34.0</v>
      </c>
      <c r="F38" s="13">
        <v>36.0</v>
      </c>
      <c r="G38" s="13">
        <v>34.0</v>
      </c>
      <c r="H38" s="13">
        <v>36.0</v>
      </c>
      <c r="I38" s="13">
        <v>30.0</v>
      </c>
      <c r="J38" s="14" t="s">
        <v>36</v>
      </c>
      <c r="K38" s="13">
        <v>43.0</v>
      </c>
      <c r="L38" s="13">
        <v>32.0</v>
      </c>
      <c r="M38" s="14" t="s">
        <v>36</v>
      </c>
      <c r="N38" s="13">
        <v>30.0</v>
      </c>
      <c r="O38" s="13">
        <v>31.0</v>
      </c>
      <c r="P38" s="13">
        <v>4.04</v>
      </c>
      <c r="Q38" s="13">
        <v>3.1</v>
      </c>
      <c r="R38" s="11" t="str">
        <f t="shared" si="1"/>
        <v>WR</v>
      </c>
    </row>
    <row r="39" ht="14.25" customHeight="1">
      <c r="A39" s="13">
        <v>35.0</v>
      </c>
      <c r="B39" s="14" t="s">
        <v>152</v>
      </c>
      <c r="C39" s="14" t="s">
        <v>153</v>
      </c>
      <c r="D39" s="14" t="s">
        <v>154</v>
      </c>
      <c r="E39" s="13">
        <v>26.0</v>
      </c>
      <c r="F39" s="13">
        <v>33.0</v>
      </c>
      <c r="G39" s="13">
        <v>40.0</v>
      </c>
      <c r="H39" s="13">
        <v>39.0</v>
      </c>
      <c r="I39" s="13">
        <v>41.0</v>
      </c>
      <c r="J39" s="14" t="s">
        <v>36</v>
      </c>
      <c r="K39" s="13">
        <v>29.0</v>
      </c>
      <c r="L39" s="13">
        <v>43.0</v>
      </c>
      <c r="M39" s="14" t="s">
        <v>36</v>
      </c>
      <c r="N39" s="13">
        <v>45.0</v>
      </c>
      <c r="O39" s="13">
        <v>42.0</v>
      </c>
      <c r="P39" s="13">
        <v>4.05</v>
      </c>
      <c r="Q39" s="13">
        <v>3.11</v>
      </c>
      <c r="R39" s="11" t="str">
        <f t="shared" si="1"/>
        <v>RB</v>
      </c>
    </row>
    <row r="40" ht="14.25" customHeight="1">
      <c r="A40" s="13">
        <v>36.0</v>
      </c>
      <c r="B40" s="14" t="s">
        <v>155</v>
      </c>
      <c r="C40" s="14" t="s">
        <v>156</v>
      </c>
      <c r="D40" s="14" t="s">
        <v>148</v>
      </c>
      <c r="E40" s="13">
        <v>46.0</v>
      </c>
      <c r="F40" s="13">
        <v>32.0</v>
      </c>
      <c r="G40" s="13">
        <v>39.0</v>
      </c>
      <c r="H40" s="13">
        <v>38.0</v>
      </c>
      <c r="I40" s="13">
        <v>38.0</v>
      </c>
      <c r="J40" s="14" t="s">
        <v>36</v>
      </c>
      <c r="K40" s="13">
        <v>39.0</v>
      </c>
      <c r="L40" s="13">
        <v>39.0</v>
      </c>
      <c r="M40" s="14" t="s">
        <v>36</v>
      </c>
      <c r="N40" s="13">
        <v>34.0</v>
      </c>
      <c r="O40" s="13">
        <v>39.0</v>
      </c>
      <c r="P40" s="13">
        <v>4.06</v>
      </c>
      <c r="Q40" s="13">
        <v>3.12</v>
      </c>
      <c r="R40" s="11" t="str">
        <f t="shared" si="1"/>
        <v>WR</v>
      </c>
    </row>
    <row r="41" ht="14.25" customHeight="1">
      <c r="A41" s="13">
        <v>37.0</v>
      </c>
      <c r="B41" s="14" t="s">
        <v>157</v>
      </c>
      <c r="C41" s="14" t="s">
        <v>158</v>
      </c>
      <c r="D41" s="14" t="s">
        <v>45</v>
      </c>
      <c r="E41" s="13">
        <v>39.0</v>
      </c>
      <c r="F41" s="13">
        <v>51.0</v>
      </c>
      <c r="G41" s="13">
        <v>37.0</v>
      </c>
      <c r="H41" s="13">
        <v>44.0</v>
      </c>
      <c r="I41" s="13">
        <v>37.0</v>
      </c>
      <c r="J41" s="14" t="s">
        <v>36</v>
      </c>
      <c r="K41" s="13">
        <v>37.0</v>
      </c>
      <c r="L41" s="13">
        <v>29.0</v>
      </c>
      <c r="M41" s="14" t="s">
        <v>36</v>
      </c>
      <c r="N41" s="13">
        <v>37.0</v>
      </c>
      <c r="O41" s="13">
        <v>35.0</v>
      </c>
      <c r="P41" s="13">
        <v>4.07</v>
      </c>
      <c r="Q41" s="13">
        <v>4.01</v>
      </c>
      <c r="R41" s="11" t="str">
        <f t="shared" si="1"/>
        <v>WR</v>
      </c>
    </row>
    <row r="42" ht="14.25" customHeight="1">
      <c r="A42" s="13">
        <v>38.0</v>
      </c>
      <c r="B42" s="14" t="s">
        <v>160</v>
      </c>
      <c r="C42" s="14" t="s">
        <v>161</v>
      </c>
      <c r="D42" s="14" t="s">
        <v>162</v>
      </c>
      <c r="E42" s="13">
        <v>42.0</v>
      </c>
      <c r="F42" s="13">
        <v>44.0</v>
      </c>
      <c r="G42" s="13">
        <v>38.0</v>
      </c>
      <c r="H42" s="13">
        <v>40.0</v>
      </c>
      <c r="I42" s="13">
        <v>32.0</v>
      </c>
      <c r="J42" s="14" t="s">
        <v>36</v>
      </c>
      <c r="K42" s="13">
        <v>40.0</v>
      </c>
      <c r="L42" s="13">
        <v>42.0</v>
      </c>
      <c r="M42" s="14" t="s">
        <v>36</v>
      </c>
      <c r="N42" s="13">
        <v>42.0</v>
      </c>
      <c r="O42" s="13">
        <v>36.0</v>
      </c>
      <c r="P42" s="13">
        <v>4.08</v>
      </c>
      <c r="Q42" s="13">
        <v>4.02</v>
      </c>
      <c r="R42" s="11" t="str">
        <f t="shared" si="1"/>
        <v>WR</v>
      </c>
    </row>
    <row r="43" ht="14.25" customHeight="1">
      <c r="A43" s="13">
        <v>39.0</v>
      </c>
      <c r="B43" s="14" t="s">
        <v>163</v>
      </c>
      <c r="C43" s="14" t="s">
        <v>164</v>
      </c>
      <c r="D43" s="14" t="s">
        <v>165</v>
      </c>
      <c r="E43" s="13">
        <v>44.0</v>
      </c>
      <c r="F43" s="13">
        <v>38.0</v>
      </c>
      <c r="G43" s="13">
        <v>36.0</v>
      </c>
      <c r="H43" s="13">
        <v>46.0</v>
      </c>
      <c r="I43" s="13">
        <v>39.0</v>
      </c>
      <c r="J43" s="14" t="s">
        <v>36</v>
      </c>
      <c r="K43" s="13">
        <v>34.0</v>
      </c>
      <c r="L43" s="13">
        <v>37.0</v>
      </c>
      <c r="M43" s="14" t="s">
        <v>36</v>
      </c>
      <c r="N43" s="13">
        <v>44.0</v>
      </c>
      <c r="O43" s="13">
        <v>41.0</v>
      </c>
      <c r="P43" s="13">
        <v>4.09</v>
      </c>
      <c r="Q43" s="13">
        <v>4.03</v>
      </c>
      <c r="R43" s="11" t="str">
        <f t="shared" si="1"/>
        <v>WR</v>
      </c>
    </row>
    <row r="44" ht="14.25" customHeight="1">
      <c r="A44" s="13">
        <v>40.0</v>
      </c>
      <c r="B44" s="14" t="s">
        <v>167</v>
      </c>
      <c r="C44" s="14" t="s">
        <v>168</v>
      </c>
      <c r="D44" s="14" t="s">
        <v>131</v>
      </c>
      <c r="E44" s="13">
        <v>37.0</v>
      </c>
      <c r="F44" s="13">
        <v>39.0</v>
      </c>
      <c r="G44" s="13">
        <v>35.0</v>
      </c>
      <c r="H44" s="13">
        <v>41.0</v>
      </c>
      <c r="I44" s="13">
        <v>44.0</v>
      </c>
      <c r="J44" s="14" t="s">
        <v>36</v>
      </c>
      <c r="K44" s="13">
        <v>42.0</v>
      </c>
      <c r="L44" s="13">
        <v>41.0</v>
      </c>
      <c r="M44" s="14" t="s">
        <v>36</v>
      </c>
      <c r="N44" s="13">
        <v>41.0</v>
      </c>
      <c r="O44" s="13">
        <v>40.0</v>
      </c>
      <c r="P44" s="13">
        <v>4.1</v>
      </c>
      <c r="Q44" s="13">
        <v>4.04</v>
      </c>
      <c r="R44" s="11" t="str">
        <f t="shared" si="1"/>
        <v>RB</v>
      </c>
    </row>
    <row r="45" ht="14.25" customHeight="1">
      <c r="A45" s="13">
        <v>41.0</v>
      </c>
      <c r="B45" s="14" t="s">
        <v>169</v>
      </c>
      <c r="C45" s="14" t="s">
        <v>170</v>
      </c>
      <c r="D45" s="14" t="s">
        <v>171</v>
      </c>
      <c r="E45" s="13">
        <v>45.0</v>
      </c>
      <c r="F45" s="13">
        <v>41.0</v>
      </c>
      <c r="G45" s="13">
        <v>42.0</v>
      </c>
      <c r="H45" s="13">
        <v>23.0</v>
      </c>
      <c r="I45" s="13">
        <v>42.0</v>
      </c>
      <c r="J45" s="14" t="s">
        <v>36</v>
      </c>
      <c r="K45" s="13">
        <v>44.0</v>
      </c>
      <c r="L45" s="13">
        <v>38.0</v>
      </c>
      <c r="M45" s="14" t="s">
        <v>36</v>
      </c>
      <c r="N45" s="13">
        <v>43.0</v>
      </c>
      <c r="O45" s="13">
        <v>43.0</v>
      </c>
      <c r="P45" s="13">
        <v>5.01</v>
      </c>
      <c r="Q45" s="13">
        <v>4.05</v>
      </c>
      <c r="R45" s="11" t="str">
        <f t="shared" si="1"/>
        <v>TE</v>
      </c>
    </row>
    <row r="46" ht="14.25" customHeight="1">
      <c r="A46" s="13">
        <v>42.0</v>
      </c>
      <c r="B46" s="14" t="s">
        <v>172</v>
      </c>
      <c r="C46" s="14" t="s">
        <v>173</v>
      </c>
      <c r="D46" s="14" t="s">
        <v>105</v>
      </c>
      <c r="E46" s="13">
        <v>43.0</v>
      </c>
      <c r="F46" s="13">
        <v>45.0</v>
      </c>
      <c r="G46" s="13">
        <v>54.0</v>
      </c>
      <c r="H46" s="13">
        <v>37.0</v>
      </c>
      <c r="I46" s="13">
        <v>35.0</v>
      </c>
      <c r="J46" s="14" t="s">
        <v>36</v>
      </c>
      <c r="K46" s="13">
        <v>41.0</v>
      </c>
      <c r="L46" s="13">
        <v>40.0</v>
      </c>
      <c r="M46" s="14" t="s">
        <v>36</v>
      </c>
      <c r="N46" s="13">
        <v>33.0</v>
      </c>
      <c r="O46" s="13">
        <v>34.0</v>
      </c>
      <c r="P46" s="13">
        <v>5.02</v>
      </c>
      <c r="Q46" s="13">
        <v>4.06</v>
      </c>
      <c r="R46" s="11" t="str">
        <f t="shared" si="1"/>
        <v>WR</v>
      </c>
    </row>
    <row r="47" ht="14.25" customHeight="1">
      <c r="A47" s="13">
        <v>43.0</v>
      </c>
      <c r="B47" s="14" t="s">
        <v>174</v>
      </c>
      <c r="C47" s="14" t="s">
        <v>175</v>
      </c>
      <c r="D47" s="14" t="s">
        <v>176</v>
      </c>
      <c r="E47" s="13">
        <v>49.0</v>
      </c>
      <c r="F47" s="13">
        <v>52.0</v>
      </c>
      <c r="G47" s="13">
        <v>43.0</v>
      </c>
      <c r="H47" s="13">
        <v>43.0</v>
      </c>
      <c r="I47" s="13">
        <v>40.0</v>
      </c>
      <c r="J47" s="14" t="s">
        <v>36</v>
      </c>
      <c r="K47" s="13">
        <v>47.0</v>
      </c>
      <c r="L47" s="13">
        <v>33.0</v>
      </c>
      <c r="M47" s="14" t="s">
        <v>36</v>
      </c>
      <c r="N47" s="13">
        <v>35.0</v>
      </c>
      <c r="O47" s="13">
        <v>38.0</v>
      </c>
      <c r="P47" s="13">
        <v>5.03</v>
      </c>
      <c r="Q47" s="13">
        <v>4.07</v>
      </c>
      <c r="R47" s="11" t="str">
        <f t="shared" si="1"/>
        <v>WR</v>
      </c>
    </row>
    <row r="48" ht="14.25" customHeight="1">
      <c r="A48" s="13">
        <v>44.0</v>
      </c>
      <c r="B48" s="14" t="s">
        <v>177</v>
      </c>
      <c r="C48" s="14" t="s">
        <v>178</v>
      </c>
      <c r="D48" s="14" t="s">
        <v>128</v>
      </c>
      <c r="E48" s="13">
        <v>33.0</v>
      </c>
      <c r="F48" s="13">
        <v>40.0</v>
      </c>
      <c r="G48" s="13">
        <v>41.0</v>
      </c>
      <c r="H48" s="13">
        <v>42.0</v>
      </c>
      <c r="I48" s="13">
        <v>45.0</v>
      </c>
      <c r="J48" s="14" t="s">
        <v>36</v>
      </c>
      <c r="K48" s="13">
        <v>38.0</v>
      </c>
      <c r="L48" s="13">
        <v>49.0</v>
      </c>
      <c r="M48" s="14" t="s">
        <v>36</v>
      </c>
      <c r="N48" s="13">
        <v>50.0</v>
      </c>
      <c r="O48" s="13">
        <v>46.0</v>
      </c>
      <c r="P48" s="13">
        <v>5.04</v>
      </c>
      <c r="Q48" s="13">
        <v>4.08</v>
      </c>
      <c r="R48" s="11" t="str">
        <f t="shared" si="1"/>
        <v>RB</v>
      </c>
    </row>
    <row r="49" ht="14.25" customHeight="1">
      <c r="A49" s="13">
        <v>45.0</v>
      </c>
      <c r="B49" s="14" t="s">
        <v>180</v>
      </c>
      <c r="C49" s="14" t="s">
        <v>181</v>
      </c>
      <c r="D49" s="14" t="s">
        <v>171</v>
      </c>
      <c r="E49" s="13">
        <v>35.0</v>
      </c>
      <c r="F49" s="13">
        <v>56.0</v>
      </c>
      <c r="G49" s="13">
        <v>44.0</v>
      </c>
      <c r="H49" s="13">
        <v>45.0</v>
      </c>
      <c r="I49" s="13">
        <v>52.0</v>
      </c>
      <c r="J49" s="14" t="s">
        <v>36</v>
      </c>
      <c r="K49" s="13">
        <v>54.0</v>
      </c>
      <c r="L49" s="13">
        <v>44.0</v>
      </c>
      <c r="M49" s="14" t="s">
        <v>36</v>
      </c>
      <c r="N49" s="13">
        <v>40.0</v>
      </c>
      <c r="O49" s="13">
        <v>44.0</v>
      </c>
      <c r="P49" s="13">
        <v>5.05</v>
      </c>
      <c r="Q49" s="13">
        <v>4.09</v>
      </c>
      <c r="R49" s="11" t="str">
        <f t="shared" si="1"/>
        <v>RB</v>
      </c>
    </row>
    <row r="50" ht="14.25" customHeight="1">
      <c r="A50" s="13">
        <v>46.0</v>
      </c>
      <c r="B50" s="14" t="s">
        <v>182</v>
      </c>
      <c r="C50" s="14" t="s">
        <v>183</v>
      </c>
      <c r="D50" s="14" t="s">
        <v>109</v>
      </c>
      <c r="E50" s="13">
        <v>40.0</v>
      </c>
      <c r="F50" s="13">
        <v>34.0</v>
      </c>
      <c r="G50" s="13">
        <v>46.0</v>
      </c>
      <c r="H50" s="13">
        <v>61.0</v>
      </c>
      <c r="I50" s="13">
        <v>63.0</v>
      </c>
      <c r="J50" s="14" t="s">
        <v>36</v>
      </c>
      <c r="K50" s="13">
        <v>36.0</v>
      </c>
      <c r="L50" s="13">
        <v>50.0</v>
      </c>
      <c r="M50" s="14" t="s">
        <v>36</v>
      </c>
      <c r="N50" s="13">
        <v>56.0</v>
      </c>
      <c r="O50" s="13">
        <v>57.0</v>
      </c>
      <c r="P50" s="13">
        <v>5.06</v>
      </c>
      <c r="Q50" s="13">
        <v>4.1</v>
      </c>
      <c r="R50" s="11" t="str">
        <f t="shared" si="1"/>
        <v>QB</v>
      </c>
    </row>
    <row r="51" ht="14.25" customHeight="1">
      <c r="A51" s="13">
        <v>47.0</v>
      </c>
      <c r="B51" s="14" t="s">
        <v>184</v>
      </c>
      <c r="C51" s="14" t="s">
        <v>185</v>
      </c>
      <c r="D51" s="14" t="s">
        <v>119</v>
      </c>
      <c r="E51" s="13">
        <v>48.0</v>
      </c>
      <c r="F51" s="13">
        <v>60.0</v>
      </c>
      <c r="G51" s="13">
        <v>47.0</v>
      </c>
      <c r="H51" s="13">
        <v>47.0</v>
      </c>
      <c r="I51" s="13">
        <v>49.0</v>
      </c>
      <c r="J51" s="14" t="s">
        <v>36</v>
      </c>
      <c r="K51" s="13">
        <v>49.0</v>
      </c>
      <c r="L51" s="13">
        <v>56.0</v>
      </c>
      <c r="M51" s="14" t="s">
        <v>36</v>
      </c>
      <c r="N51" s="13">
        <v>46.0</v>
      </c>
      <c r="O51" s="13">
        <v>47.0</v>
      </c>
      <c r="P51" s="13">
        <v>5.07</v>
      </c>
      <c r="Q51" s="13">
        <v>4.11</v>
      </c>
      <c r="R51" s="11" t="str">
        <f t="shared" si="1"/>
        <v>RB</v>
      </c>
    </row>
    <row r="52" ht="14.25" customHeight="1">
      <c r="A52" s="13">
        <v>48.0</v>
      </c>
      <c r="B52" s="14" t="s">
        <v>186</v>
      </c>
      <c r="C52" s="14" t="s">
        <v>187</v>
      </c>
      <c r="D52" s="14" t="s">
        <v>67</v>
      </c>
      <c r="E52" s="13">
        <v>53.0</v>
      </c>
      <c r="F52" s="13">
        <v>55.0</v>
      </c>
      <c r="G52" s="13">
        <v>52.0</v>
      </c>
      <c r="H52" s="13">
        <v>49.0</v>
      </c>
      <c r="I52" s="13">
        <v>47.0</v>
      </c>
      <c r="J52" s="14" t="s">
        <v>36</v>
      </c>
      <c r="K52" s="13">
        <v>57.0</v>
      </c>
      <c r="L52" s="13">
        <v>48.0</v>
      </c>
      <c r="M52" s="14" t="s">
        <v>36</v>
      </c>
      <c r="N52" s="13">
        <v>39.0</v>
      </c>
      <c r="O52" s="13">
        <v>53.0</v>
      </c>
      <c r="P52" s="13">
        <v>5.08</v>
      </c>
      <c r="Q52" s="13">
        <v>4.12</v>
      </c>
      <c r="R52" s="11" t="str">
        <f t="shared" si="1"/>
        <v>WR</v>
      </c>
    </row>
    <row r="53" ht="14.25" customHeight="1">
      <c r="A53" s="13">
        <v>49.0</v>
      </c>
      <c r="B53" s="14" t="s">
        <v>188</v>
      </c>
      <c r="C53" s="14" t="s">
        <v>189</v>
      </c>
      <c r="D53" s="14" t="s">
        <v>171</v>
      </c>
      <c r="E53" s="13">
        <v>60.0</v>
      </c>
      <c r="F53" s="13">
        <v>65.0</v>
      </c>
      <c r="G53" s="13">
        <v>49.0</v>
      </c>
      <c r="H53" s="13">
        <v>51.0</v>
      </c>
      <c r="I53" s="13">
        <v>43.0</v>
      </c>
      <c r="J53" s="14" t="s">
        <v>36</v>
      </c>
      <c r="K53" s="13">
        <v>52.0</v>
      </c>
      <c r="L53" s="13">
        <v>45.0</v>
      </c>
      <c r="M53" s="14" t="s">
        <v>36</v>
      </c>
      <c r="N53" s="13">
        <v>47.0</v>
      </c>
      <c r="O53" s="13">
        <v>45.0</v>
      </c>
      <c r="P53" s="13">
        <v>5.09</v>
      </c>
      <c r="Q53" s="13">
        <v>5.01</v>
      </c>
      <c r="R53" s="11" t="str">
        <f t="shared" si="1"/>
        <v>WR</v>
      </c>
    </row>
    <row r="54" ht="14.25" customHeight="1">
      <c r="A54" s="13">
        <v>50.0</v>
      </c>
      <c r="B54" s="14" t="s">
        <v>190</v>
      </c>
      <c r="C54" s="14" t="s">
        <v>191</v>
      </c>
      <c r="D54" s="14" t="s">
        <v>192</v>
      </c>
      <c r="E54" s="13">
        <v>57.0</v>
      </c>
      <c r="F54" s="13">
        <v>54.0</v>
      </c>
      <c r="G54" s="13">
        <v>50.0</v>
      </c>
      <c r="H54" s="13">
        <v>53.0</v>
      </c>
      <c r="I54" s="13">
        <v>46.0</v>
      </c>
      <c r="J54" s="14" t="s">
        <v>36</v>
      </c>
      <c r="K54" s="13">
        <v>51.0</v>
      </c>
      <c r="L54" s="13">
        <v>46.0</v>
      </c>
      <c r="M54" s="14" t="s">
        <v>36</v>
      </c>
      <c r="N54" s="13">
        <v>54.0</v>
      </c>
      <c r="O54" s="13">
        <v>48.0</v>
      </c>
      <c r="P54" s="13">
        <v>5.1</v>
      </c>
      <c r="Q54" s="13">
        <v>5.02</v>
      </c>
      <c r="R54" s="11" t="str">
        <f t="shared" si="1"/>
        <v>WR</v>
      </c>
    </row>
    <row r="55" ht="14.25" customHeight="1">
      <c r="A55" s="13">
        <v>51.0</v>
      </c>
      <c r="B55" s="14" t="s">
        <v>193</v>
      </c>
      <c r="C55" s="14" t="s">
        <v>194</v>
      </c>
      <c r="D55" s="14" t="s">
        <v>195</v>
      </c>
      <c r="E55" s="13">
        <v>47.0</v>
      </c>
      <c r="F55" s="13">
        <v>50.0</v>
      </c>
      <c r="G55" s="13">
        <v>48.0</v>
      </c>
      <c r="H55" s="13">
        <v>50.0</v>
      </c>
      <c r="I55" s="13">
        <v>54.0</v>
      </c>
      <c r="J55" s="14" t="s">
        <v>36</v>
      </c>
      <c r="K55" s="13">
        <v>48.0</v>
      </c>
      <c r="L55" s="13">
        <v>53.0</v>
      </c>
      <c r="M55" s="14" t="s">
        <v>36</v>
      </c>
      <c r="N55" s="13">
        <v>59.0</v>
      </c>
      <c r="O55" s="13">
        <v>55.0</v>
      </c>
      <c r="P55" s="13">
        <v>6.01</v>
      </c>
      <c r="Q55" s="13">
        <v>5.03</v>
      </c>
      <c r="R55" s="11" t="str">
        <f t="shared" si="1"/>
        <v>RB</v>
      </c>
    </row>
    <row r="56" ht="14.25" customHeight="1">
      <c r="A56" s="13">
        <v>52.0</v>
      </c>
      <c r="B56" s="14" t="s">
        <v>196</v>
      </c>
      <c r="C56" s="14" t="s">
        <v>197</v>
      </c>
      <c r="D56" s="14" t="s">
        <v>49</v>
      </c>
      <c r="E56" s="13">
        <v>56.0</v>
      </c>
      <c r="F56" s="13">
        <v>42.0</v>
      </c>
      <c r="G56" s="13">
        <v>45.0</v>
      </c>
      <c r="H56" s="13">
        <v>54.0</v>
      </c>
      <c r="I56" s="13">
        <v>51.0</v>
      </c>
      <c r="J56" s="14" t="s">
        <v>36</v>
      </c>
      <c r="K56" s="13">
        <v>58.0</v>
      </c>
      <c r="L56" s="13">
        <v>55.0</v>
      </c>
      <c r="M56" s="14" t="s">
        <v>36</v>
      </c>
      <c r="N56" s="13">
        <v>55.0</v>
      </c>
      <c r="O56" s="13">
        <v>51.0</v>
      </c>
      <c r="P56" s="13">
        <v>6.02</v>
      </c>
      <c r="Q56" s="13">
        <v>5.04</v>
      </c>
      <c r="R56" s="11" t="str">
        <f t="shared" si="1"/>
        <v>WR</v>
      </c>
    </row>
    <row r="57" ht="14.25" customHeight="1">
      <c r="A57" s="13">
        <v>53.0</v>
      </c>
      <c r="B57" s="14" t="s">
        <v>198</v>
      </c>
      <c r="C57" s="14" t="s">
        <v>199</v>
      </c>
      <c r="D57" s="14" t="s">
        <v>162</v>
      </c>
      <c r="E57" s="13">
        <v>41.0</v>
      </c>
      <c r="F57" s="13">
        <v>49.0</v>
      </c>
      <c r="G57" s="13">
        <v>57.0</v>
      </c>
      <c r="H57" s="13">
        <v>52.0</v>
      </c>
      <c r="I57" s="13">
        <v>60.0</v>
      </c>
      <c r="J57" s="14" t="s">
        <v>36</v>
      </c>
      <c r="K57" s="13">
        <v>45.0</v>
      </c>
      <c r="L57" s="13">
        <v>58.0</v>
      </c>
      <c r="M57" s="14" t="s">
        <v>36</v>
      </c>
      <c r="N57" s="13">
        <v>53.0</v>
      </c>
      <c r="O57" s="13">
        <v>54.0</v>
      </c>
      <c r="P57" s="13">
        <v>6.03</v>
      </c>
      <c r="Q57" s="13">
        <v>5.05</v>
      </c>
      <c r="R57" s="11" t="str">
        <f t="shared" si="1"/>
        <v>RB</v>
      </c>
    </row>
    <row r="58" ht="14.25" customHeight="1">
      <c r="A58" s="13">
        <v>54.0</v>
      </c>
      <c r="B58" s="14" t="s">
        <v>200</v>
      </c>
      <c r="C58" s="14" t="s">
        <v>201</v>
      </c>
      <c r="D58" s="14" t="s">
        <v>62</v>
      </c>
      <c r="E58" s="13">
        <v>59.0</v>
      </c>
      <c r="F58" s="13">
        <v>46.0</v>
      </c>
      <c r="G58" s="13">
        <v>51.0</v>
      </c>
      <c r="H58" s="13">
        <v>35.0</v>
      </c>
      <c r="I58" s="13">
        <v>56.0</v>
      </c>
      <c r="J58" s="14" t="s">
        <v>36</v>
      </c>
      <c r="K58" s="13">
        <v>50.0</v>
      </c>
      <c r="L58" s="13">
        <v>47.0</v>
      </c>
      <c r="M58" s="14" t="s">
        <v>36</v>
      </c>
      <c r="N58" s="13">
        <v>63.0</v>
      </c>
      <c r="O58" s="13">
        <v>63.0</v>
      </c>
      <c r="P58" s="13">
        <v>6.04</v>
      </c>
      <c r="Q58" s="13">
        <v>5.06</v>
      </c>
      <c r="R58" s="11" t="str">
        <f t="shared" si="1"/>
        <v>TE</v>
      </c>
    </row>
    <row r="59" ht="14.25" customHeight="1">
      <c r="A59" s="13">
        <v>55.0</v>
      </c>
      <c r="B59" s="14" t="s">
        <v>202</v>
      </c>
      <c r="C59" s="14" t="s">
        <v>203</v>
      </c>
      <c r="D59" s="14" t="s">
        <v>35</v>
      </c>
      <c r="E59" s="13">
        <v>54.0</v>
      </c>
      <c r="F59" s="13">
        <v>59.0</v>
      </c>
      <c r="G59" s="13">
        <v>56.0</v>
      </c>
      <c r="H59" s="13">
        <v>56.0</v>
      </c>
      <c r="I59" s="13">
        <v>48.0</v>
      </c>
      <c r="J59" s="14" t="s">
        <v>36</v>
      </c>
      <c r="K59" s="13">
        <v>56.0</v>
      </c>
      <c r="L59" s="13">
        <v>52.0</v>
      </c>
      <c r="M59" s="14" t="s">
        <v>36</v>
      </c>
      <c r="N59" s="13">
        <v>51.0</v>
      </c>
      <c r="O59" s="13">
        <v>50.0</v>
      </c>
      <c r="P59" s="13">
        <v>6.05</v>
      </c>
      <c r="Q59" s="13">
        <v>5.07</v>
      </c>
      <c r="R59" s="11" t="str">
        <f t="shared" si="1"/>
        <v>WR</v>
      </c>
    </row>
    <row r="60" ht="14.25" customHeight="1">
      <c r="A60" s="13">
        <v>56.0</v>
      </c>
      <c r="B60" s="14" t="s">
        <v>204</v>
      </c>
      <c r="C60" s="14" t="s">
        <v>205</v>
      </c>
      <c r="D60" s="14" t="s">
        <v>206</v>
      </c>
      <c r="E60" s="13">
        <v>52.0</v>
      </c>
      <c r="F60" s="13">
        <v>62.0</v>
      </c>
      <c r="G60" s="13">
        <v>60.0</v>
      </c>
      <c r="H60" s="13">
        <v>48.0</v>
      </c>
      <c r="I60" s="13">
        <v>58.0</v>
      </c>
      <c r="J60" s="14" t="s">
        <v>36</v>
      </c>
      <c r="K60" s="13">
        <v>59.0</v>
      </c>
      <c r="L60" s="13">
        <v>59.0</v>
      </c>
      <c r="M60" s="14" t="s">
        <v>36</v>
      </c>
      <c r="N60" s="13">
        <v>48.0</v>
      </c>
      <c r="O60" s="13">
        <v>49.0</v>
      </c>
      <c r="P60" s="13">
        <v>6.06</v>
      </c>
      <c r="Q60" s="13">
        <v>5.08</v>
      </c>
      <c r="R60" s="11" t="str">
        <f t="shared" si="1"/>
        <v>RB</v>
      </c>
    </row>
    <row r="61" ht="14.25" customHeight="1">
      <c r="A61" s="13">
        <v>57.0</v>
      </c>
      <c r="B61" s="14" t="s">
        <v>207</v>
      </c>
      <c r="C61" s="14" t="s">
        <v>208</v>
      </c>
      <c r="D61" s="14" t="s">
        <v>171</v>
      </c>
      <c r="E61" s="13">
        <v>64.0</v>
      </c>
      <c r="F61" s="13">
        <v>57.0</v>
      </c>
      <c r="G61" s="13">
        <v>64.0</v>
      </c>
      <c r="H61" s="13">
        <v>57.0</v>
      </c>
      <c r="I61" s="13">
        <v>53.0</v>
      </c>
      <c r="J61" s="14" t="s">
        <v>36</v>
      </c>
      <c r="K61" s="13">
        <v>63.0</v>
      </c>
      <c r="L61" s="13">
        <v>51.0</v>
      </c>
      <c r="M61" s="14" t="s">
        <v>36</v>
      </c>
      <c r="N61" s="13">
        <v>52.0</v>
      </c>
      <c r="O61" s="13">
        <v>59.0</v>
      </c>
      <c r="P61" s="13">
        <v>6.07</v>
      </c>
      <c r="Q61" s="13">
        <v>5.09</v>
      </c>
      <c r="R61" s="11" t="str">
        <f t="shared" si="1"/>
        <v>WR</v>
      </c>
    </row>
    <row r="62" ht="14.25" customHeight="1">
      <c r="A62" s="13">
        <v>58.0</v>
      </c>
      <c r="B62" s="14" t="s">
        <v>209</v>
      </c>
      <c r="C62" s="14" t="s">
        <v>210</v>
      </c>
      <c r="D62" s="14" t="s">
        <v>116</v>
      </c>
      <c r="E62" s="13">
        <v>51.0</v>
      </c>
      <c r="F62" s="13">
        <v>43.0</v>
      </c>
      <c r="G62" s="13">
        <v>55.0</v>
      </c>
      <c r="H62" s="13">
        <v>70.0</v>
      </c>
      <c r="I62" s="13">
        <v>64.0</v>
      </c>
      <c r="J62" s="14" t="s">
        <v>36</v>
      </c>
      <c r="K62" s="13">
        <v>53.0</v>
      </c>
      <c r="L62" s="13">
        <v>61.0</v>
      </c>
      <c r="M62" s="14" t="s">
        <v>36</v>
      </c>
      <c r="N62" s="13">
        <v>68.0</v>
      </c>
      <c r="O62" s="13">
        <v>66.0</v>
      </c>
      <c r="P62" s="13">
        <v>6.08</v>
      </c>
      <c r="Q62" s="13">
        <v>5.1</v>
      </c>
      <c r="R62" s="11" t="str">
        <f t="shared" si="1"/>
        <v>QB</v>
      </c>
    </row>
    <row r="63" ht="14.25" customHeight="1">
      <c r="A63" s="13">
        <v>59.0</v>
      </c>
      <c r="B63" s="14" t="s">
        <v>211</v>
      </c>
      <c r="C63" s="14" t="s">
        <v>212</v>
      </c>
      <c r="D63" s="14" t="s">
        <v>45</v>
      </c>
      <c r="E63" s="13">
        <v>50.0</v>
      </c>
      <c r="F63" s="13">
        <v>53.0</v>
      </c>
      <c r="G63" s="13">
        <v>53.0</v>
      </c>
      <c r="H63" s="13">
        <v>74.0</v>
      </c>
      <c r="I63" s="13">
        <v>61.0</v>
      </c>
      <c r="J63" s="14" t="s">
        <v>36</v>
      </c>
      <c r="K63" s="13">
        <v>55.0</v>
      </c>
      <c r="L63" s="13">
        <v>64.0</v>
      </c>
      <c r="M63" s="14" t="s">
        <v>36</v>
      </c>
      <c r="N63" s="13">
        <v>69.0</v>
      </c>
      <c r="O63" s="13">
        <v>68.0</v>
      </c>
      <c r="P63" s="13">
        <v>6.09</v>
      </c>
      <c r="Q63" s="13">
        <v>5.11</v>
      </c>
      <c r="R63" s="11" t="str">
        <f t="shared" si="1"/>
        <v>QB</v>
      </c>
    </row>
    <row r="64" ht="14.25" customHeight="1">
      <c r="A64" s="13">
        <v>60.0</v>
      </c>
      <c r="B64" s="14" t="s">
        <v>213</v>
      </c>
      <c r="C64" s="14" t="s">
        <v>214</v>
      </c>
      <c r="D64" s="14" t="s">
        <v>52</v>
      </c>
      <c r="E64" s="13">
        <v>55.0</v>
      </c>
      <c r="F64" s="13">
        <v>64.0</v>
      </c>
      <c r="G64" s="13">
        <v>66.0</v>
      </c>
      <c r="H64" s="13">
        <v>55.0</v>
      </c>
      <c r="I64" s="13">
        <v>66.0</v>
      </c>
      <c r="J64" s="14" t="s">
        <v>36</v>
      </c>
      <c r="K64" s="13">
        <v>61.0</v>
      </c>
      <c r="L64" s="13">
        <v>62.0</v>
      </c>
      <c r="M64" s="14" t="s">
        <v>36</v>
      </c>
      <c r="N64" s="13">
        <v>58.0</v>
      </c>
      <c r="O64" s="13">
        <v>60.0</v>
      </c>
      <c r="P64" s="13">
        <v>6.1</v>
      </c>
      <c r="Q64" s="13">
        <v>5.12</v>
      </c>
      <c r="R64" s="11" t="str">
        <f t="shared" si="1"/>
        <v>RB</v>
      </c>
    </row>
    <row r="65" ht="14.25" customHeight="1">
      <c r="A65" s="13">
        <v>61.0</v>
      </c>
      <c r="B65" s="14" t="s">
        <v>215</v>
      </c>
      <c r="C65" s="14" t="s">
        <v>216</v>
      </c>
      <c r="D65" s="14" t="s">
        <v>116</v>
      </c>
      <c r="E65" s="13">
        <v>62.0</v>
      </c>
      <c r="F65" s="13">
        <v>68.0</v>
      </c>
      <c r="G65" s="13">
        <v>62.0</v>
      </c>
      <c r="H65" s="13">
        <v>58.0</v>
      </c>
      <c r="I65" s="13">
        <v>57.0</v>
      </c>
      <c r="J65" s="14" t="s">
        <v>36</v>
      </c>
      <c r="K65" s="13">
        <v>46.0</v>
      </c>
      <c r="L65" s="13">
        <v>69.0</v>
      </c>
      <c r="M65" s="14" t="s">
        <v>36</v>
      </c>
      <c r="N65" s="13">
        <v>64.0</v>
      </c>
      <c r="O65" s="13">
        <v>61.0</v>
      </c>
      <c r="P65" s="13">
        <v>7.01</v>
      </c>
      <c r="Q65" s="13">
        <v>6.01</v>
      </c>
      <c r="R65" s="11" t="str">
        <f t="shared" si="1"/>
        <v>RB</v>
      </c>
    </row>
    <row r="66" ht="14.25" customHeight="1">
      <c r="A66" s="13">
        <v>62.0</v>
      </c>
      <c r="B66" s="14" t="s">
        <v>217</v>
      </c>
      <c r="C66" s="14" t="s">
        <v>218</v>
      </c>
      <c r="D66" s="14" t="s">
        <v>154</v>
      </c>
      <c r="E66" s="13">
        <v>66.0</v>
      </c>
      <c r="F66" s="13">
        <v>85.0</v>
      </c>
      <c r="G66" s="13">
        <v>59.0</v>
      </c>
      <c r="H66" s="13">
        <v>59.0</v>
      </c>
      <c r="I66" s="13">
        <v>50.0</v>
      </c>
      <c r="J66" s="14" t="s">
        <v>36</v>
      </c>
      <c r="K66" s="13">
        <v>66.0</v>
      </c>
      <c r="L66" s="13">
        <v>54.0</v>
      </c>
      <c r="M66" s="14" t="s">
        <v>36</v>
      </c>
      <c r="N66" s="13">
        <v>57.0</v>
      </c>
      <c r="O66" s="13">
        <v>58.0</v>
      </c>
      <c r="P66" s="13">
        <v>7.02</v>
      </c>
      <c r="Q66" s="13">
        <v>6.02</v>
      </c>
      <c r="R66" s="11" t="str">
        <f t="shared" si="1"/>
        <v>WR</v>
      </c>
    </row>
    <row r="67" ht="14.25" customHeight="1">
      <c r="A67" s="13">
        <v>63.0</v>
      </c>
      <c r="B67" s="14" t="s">
        <v>219</v>
      </c>
      <c r="C67" s="14" t="s">
        <v>220</v>
      </c>
      <c r="D67" s="14" t="s">
        <v>58</v>
      </c>
      <c r="E67" s="13">
        <v>63.0</v>
      </c>
      <c r="F67" s="13">
        <v>84.0</v>
      </c>
      <c r="G67" s="13">
        <v>65.0</v>
      </c>
      <c r="H67" s="13">
        <v>62.0</v>
      </c>
      <c r="I67" s="13">
        <v>55.0</v>
      </c>
      <c r="J67" s="14" t="s">
        <v>36</v>
      </c>
      <c r="K67" s="13">
        <v>60.0</v>
      </c>
      <c r="L67" s="13">
        <v>60.0</v>
      </c>
      <c r="M67" s="14" t="s">
        <v>36</v>
      </c>
      <c r="N67" s="13">
        <v>60.0</v>
      </c>
      <c r="O67" s="13">
        <v>52.0</v>
      </c>
      <c r="P67" s="13">
        <v>7.03</v>
      </c>
      <c r="Q67" s="13">
        <v>6.03</v>
      </c>
      <c r="R67" s="11" t="str">
        <f t="shared" si="1"/>
        <v>WR</v>
      </c>
    </row>
    <row r="68" ht="14.25" customHeight="1">
      <c r="A68" s="13">
        <v>64.0</v>
      </c>
      <c r="B68" s="14" t="s">
        <v>221</v>
      </c>
      <c r="C68" s="14" t="s">
        <v>222</v>
      </c>
      <c r="D68" s="14" t="s">
        <v>206</v>
      </c>
      <c r="E68" s="13">
        <v>77.0</v>
      </c>
      <c r="F68" s="13">
        <v>83.0</v>
      </c>
      <c r="G68" s="13">
        <v>61.0</v>
      </c>
      <c r="H68" s="13">
        <v>60.0</v>
      </c>
      <c r="I68" s="13">
        <v>59.0</v>
      </c>
      <c r="J68" s="14" t="s">
        <v>36</v>
      </c>
      <c r="K68" s="13">
        <v>77.0</v>
      </c>
      <c r="L68" s="13">
        <v>57.0</v>
      </c>
      <c r="M68" s="14" t="s">
        <v>36</v>
      </c>
      <c r="N68" s="13">
        <v>49.0</v>
      </c>
      <c r="O68" s="13">
        <v>56.0</v>
      </c>
      <c r="P68" s="13">
        <v>7.04</v>
      </c>
      <c r="Q68" s="13">
        <v>6.04</v>
      </c>
      <c r="R68" s="11" t="str">
        <f t="shared" si="1"/>
        <v>WR</v>
      </c>
    </row>
    <row r="69" ht="14.25" customHeight="1">
      <c r="A69" s="13">
        <v>65.0</v>
      </c>
      <c r="B69" s="14" t="s">
        <v>223</v>
      </c>
      <c r="C69" s="14" t="s">
        <v>224</v>
      </c>
      <c r="D69" s="14" t="s">
        <v>192</v>
      </c>
      <c r="E69" s="13">
        <v>61.0</v>
      </c>
      <c r="F69" s="13">
        <v>47.0</v>
      </c>
      <c r="G69" s="13">
        <v>68.0</v>
      </c>
      <c r="H69" s="13">
        <v>82.0</v>
      </c>
      <c r="I69" s="13">
        <v>79.0</v>
      </c>
      <c r="J69" s="14" t="s">
        <v>36</v>
      </c>
      <c r="K69" s="13">
        <v>64.0</v>
      </c>
      <c r="L69" s="13">
        <v>63.0</v>
      </c>
      <c r="M69" s="14" t="s">
        <v>36</v>
      </c>
      <c r="N69" s="13">
        <v>73.0</v>
      </c>
      <c r="O69" s="13">
        <v>69.0</v>
      </c>
      <c r="P69" s="13">
        <v>7.05</v>
      </c>
      <c r="Q69" s="13">
        <v>6.05</v>
      </c>
      <c r="R69" s="11" t="str">
        <f t="shared" si="1"/>
        <v>QB</v>
      </c>
    </row>
    <row r="70" ht="14.25" customHeight="1">
      <c r="A70" s="13">
        <v>66.0</v>
      </c>
      <c r="B70" s="14" t="s">
        <v>225</v>
      </c>
      <c r="C70" s="14" t="s">
        <v>226</v>
      </c>
      <c r="D70" s="14" t="s">
        <v>116</v>
      </c>
      <c r="E70" s="13">
        <v>74.0</v>
      </c>
      <c r="F70" s="13">
        <v>71.0</v>
      </c>
      <c r="G70" s="13">
        <v>58.0</v>
      </c>
      <c r="H70" s="13">
        <v>69.0</v>
      </c>
      <c r="I70" s="13">
        <v>72.0</v>
      </c>
      <c r="J70" s="14" t="s">
        <v>36</v>
      </c>
      <c r="K70" s="13">
        <v>78.0</v>
      </c>
      <c r="L70" s="13">
        <v>65.0</v>
      </c>
      <c r="M70" s="14" t="s">
        <v>36</v>
      </c>
      <c r="N70" s="13">
        <v>62.0</v>
      </c>
      <c r="O70" s="13">
        <v>67.0</v>
      </c>
      <c r="P70" s="13">
        <v>7.06</v>
      </c>
      <c r="Q70" s="13">
        <v>6.06</v>
      </c>
      <c r="R70" s="11" t="str">
        <f t="shared" si="1"/>
        <v>RB</v>
      </c>
    </row>
    <row r="71" ht="14.25" customHeight="1">
      <c r="A71" s="13">
        <v>67.0</v>
      </c>
      <c r="B71" s="14" t="s">
        <v>227</v>
      </c>
      <c r="C71" s="14" t="s">
        <v>228</v>
      </c>
      <c r="D71" s="14" t="s">
        <v>125</v>
      </c>
      <c r="E71" s="13">
        <v>69.0</v>
      </c>
      <c r="F71" s="13">
        <v>72.0</v>
      </c>
      <c r="G71" s="13">
        <v>73.0</v>
      </c>
      <c r="H71" s="13">
        <v>71.0</v>
      </c>
      <c r="I71" s="13">
        <v>65.0</v>
      </c>
      <c r="J71" s="14" t="s">
        <v>36</v>
      </c>
      <c r="K71" s="13">
        <v>74.0</v>
      </c>
      <c r="L71" s="13">
        <v>68.0</v>
      </c>
      <c r="M71" s="14" t="s">
        <v>36</v>
      </c>
      <c r="N71" s="13">
        <v>61.0</v>
      </c>
      <c r="O71" s="13">
        <v>65.0</v>
      </c>
      <c r="P71" s="13">
        <v>7.07</v>
      </c>
      <c r="Q71" s="13">
        <v>6.07</v>
      </c>
      <c r="R71" s="11" t="str">
        <f t="shared" si="1"/>
        <v>WR</v>
      </c>
    </row>
    <row r="72" ht="14.25" customHeight="1">
      <c r="A72" s="13">
        <v>68.0</v>
      </c>
      <c r="B72" s="14" t="s">
        <v>229</v>
      </c>
      <c r="C72" s="14" t="s">
        <v>230</v>
      </c>
      <c r="D72" s="14" t="s">
        <v>231</v>
      </c>
      <c r="E72" s="13">
        <v>89.0</v>
      </c>
      <c r="F72" s="13">
        <v>67.0</v>
      </c>
      <c r="G72" s="13">
        <v>67.0</v>
      </c>
      <c r="H72" s="13">
        <v>72.0</v>
      </c>
      <c r="I72" s="13">
        <v>62.0</v>
      </c>
      <c r="J72" s="14" t="s">
        <v>36</v>
      </c>
      <c r="K72" s="13">
        <v>62.0</v>
      </c>
      <c r="L72" s="13">
        <v>74.0</v>
      </c>
      <c r="M72" s="14" t="s">
        <v>36</v>
      </c>
      <c r="N72" s="13">
        <v>66.0</v>
      </c>
      <c r="O72" s="13">
        <v>62.0</v>
      </c>
      <c r="P72" s="13">
        <v>7.08</v>
      </c>
      <c r="Q72" s="13">
        <v>6.08</v>
      </c>
      <c r="R72" s="11" t="str">
        <f t="shared" si="1"/>
        <v>WR</v>
      </c>
    </row>
    <row r="73" ht="14.25" customHeight="1">
      <c r="A73" s="13">
        <v>69.0</v>
      </c>
      <c r="B73" s="14" t="s">
        <v>232</v>
      </c>
      <c r="C73" s="14" t="s">
        <v>234</v>
      </c>
      <c r="D73" s="14" t="s">
        <v>85</v>
      </c>
      <c r="E73" s="13">
        <v>65.0</v>
      </c>
      <c r="F73" s="13">
        <v>48.0</v>
      </c>
      <c r="G73" s="13">
        <v>72.0</v>
      </c>
      <c r="H73" s="13">
        <v>88.0</v>
      </c>
      <c r="I73" s="13">
        <v>90.0</v>
      </c>
      <c r="J73" s="14" t="s">
        <v>36</v>
      </c>
      <c r="K73" s="13">
        <v>65.0</v>
      </c>
      <c r="L73" s="13">
        <v>66.0</v>
      </c>
      <c r="M73" s="14" t="s">
        <v>36</v>
      </c>
      <c r="N73" s="13">
        <v>74.0</v>
      </c>
      <c r="O73" s="13">
        <v>71.0</v>
      </c>
      <c r="P73" s="13">
        <v>7.09</v>
      </c>
      <c r="Q73" s="13">
        <v>6.09</v>
      </c>
      <c r="R73" s="11" t="str">
        <f t="shared" si="1"/>
        <v>QB</v>
      </c>
    </row>
    <row r="74" ht="14.25" customHeight="1">
      <c r="A74" s="13">
        <v>70.0</v>
      </c>
      <c r="B74" s="14" t="s">
        <v>235</v>
      </c>
      <c r="C74" s="14" t="s">
        <v>236</v>
      </c>
      <c r="D74" s="14" t="s">
        <v>237</v>
      </c>
      <c r="E74" s="13">
        <v>68.0</v>
      </c>
      <c r="F74" s="13">
        <v>87.0</v>
      </c>
      <c r="G74" s="13">
        <v>71.0</v>
      </c>
      <c r="H74" s="13">
        <v>68.0</v>
      </c>
      <c r="I74" s="13">
        <v>68.0</v>
      </c>
      <c r="J74" s="14" t="s">
        <v>36</v>
      </c>
      <c r="K74" s="13">
        <v>69.0</v>
      </c>
      <c r="L74" s="13">
        <v>71.0</v>
      </c>
      <c r="M74" s="14" t="s">
        <v>36</v>
      </c>
      <c r="N74" s="13">
        <v>67.0</v>
      </c>
      <c r="O74" s="13">
        <v>70.0</v>
      </c>
      <c r="P74" s="13">
        <v>7.1</v>
      </c>
      <c r="Q74" s="13">
        <v>6.1</v>
      </c>
      <c r="R74" s="11" t="str">
        <f t="shared" si="1"/>
        <v>RB</v>
      </c>
    </row>
    <row r="75" ht="14.25" customHeight="1">
      <c r="A75" s="13">
        <v>71.0</v>
      </c>
      <c r="B75" s="14" t="s">
        <v>238</v>
      </c>
      <c r="C75" s="14" t="s">
        <v>239</v>
      </c>
      <c r="D75" s="14" t="s">
        <v>154</v>
      </c>
      <c r="E75" s="13">
        <v>73.0</v>
      </c>
      <c r="F75" s="13">
        <v>77.0</v>
      </c>
      <c r="G75" s="13">
        <v>74.0</v>
      </c>
      <c r="H75" s="13">
        <v>64.0</v>
      </c>
      <c r="I75" s="13">
        <v>76.0</v>
      </c>
      <c r="J75" s="14" t="s">
        <v>36</v>
      </c>
      <c r="K75" s="13">
        <v>67.0</v>
      </c>
      <c r="L75" s="13">
        <v>67.0</v>
      </c>
      <c r="M75" s="14" t="s">
        <v>36</v>
      </c>
      <c r="N75" s="13">
        <v>82.0</v>
      </c>
      <c r="O75" s="13">
        <v>76.0</v>
      </c>
      <c r="P75" s="13">
        <v>8.01</v>
      </c>
      <c r="Q75" s="13">
        <v>6.11</v>
      </c>
      <c r="R75" s="11" t="str">
        <f t="shared" si="1"/>
        <v>TE</v>
      </c>
    </row>
    <row r="76" ht="14.25" customHeight="1">
      <c r="A76" s="13">
        <v>72.0</v>
      </c>
      <c r="B76" s="14" t="s">
        <v>241</v>
      </c>
      <c r="C76" s="14" t="s">
        <v>242</v>
      </c>
      <c r="D76" s="14" t="s">
        <v>206</v>
      </c>
      <c r="E76" s="13">
        <v>83.0</v>
      </c>
      <c r="F76" s="13">
        <v>95.0</v>
      </c>
      <c r="G76" s="13">
        <v>69.0</v>
      </c>
      <c r="H76" s="13">
        <v>76.0</v>
      </c>
      <c r="I76" s="13">
        <v>67.0</v>
      </c>
      <c r="J76" s="14" t="s">
        <v>36</v>
      </c>
      <c r="K76" s="13">
        <v>70.0</v>
      </c>
      <c r="L76" s="13">
        <v>73.0</v>
      </c>
      <c r="M76" s="14" t="s">
        <v>36</v>
      </c>
      <c r="N76" s="13">
        <v>65.0</v>
      </c>
      <c r="O76" s="13">
        <v>64.0</v>
      </c>
      <c r="P76" s="13">
        <v>8.02</v>
      </c>
      <c r="Q76" s="13">
        <v>6.12</v>
      </c>
      <c r="R76" s="11" t="str">
        <f t="shared" si="1"/>
        <v>WR</v>
      </c>
    </row>
    <row r="77" ht="14.25" customHeight="1">
      <c r="A77" s="13">
        <v>73.0</v>
      </c>
      <c r="B77" s="14" t="s">
        <v>243</v>
      </c>
      <c r="C77" s="14" t="s">
        <v>244</v>
      </c>
      <c r="D77" s="14" t="s">
        <v>171</v>
      </c>
      <c r="E77" s="13">
        <v>70.0</v>
      </c>
      <c r="F77" s="13">
        <v>81.0</v>
      </c>
      <c r="G77" s="13">
        <v>70.0</v>
      </c>
      <c r="H77" s="13">
        <v>89.0</v>
      </c>
      <c r="I77" s="13">
        <v>74.0</v>
      </c>
      <c r="J77" s="14" t="s">
        <v>36</v>
      </c>
      <c r="K77" s="13">
        <v>80.0</v>
      </c>
      <c r="L77" s="13">
        <v>72.0</v>
      </c>
      <c r="M77" s="14" t="s">
        <v>36</v>
      </c>
      <c r="N77" s="13">
        <v>72.0</v>
      </c>
      <c r="O77" s="13">
        <v>72.0</v>
      </c>
      <c r="P77" s="13">
        <v>8.03</v>
      </c>
      <c r="Q77" s="13">
        <v>7.01</v>
      </c>
      <c r="R77" s="11" t="str">
        <f t="shared" si="1"/>
        <v>QB</v>
      </c>
    </row>
    <row r="78" ht="14.25" customHeight="1">
      <c r="A78" s="13">
        <v>74.0</v>
      </c>
      <c r="B78" s="14" t="s">
        <v>245</v>
      </c>
      <c r="C78" s="14" t="s">
        <v>246</v>
      </c>
      <c r="D78" s="14" t="s">
        <v>35</v>
      </c>
      <c r="E78" s="13">
        <v>72.0</v>
      </c>
      <c r="F78" s="13">
        <v>61.0</v>
      </c>
      <c r="G78" s="13">
        <v>83.0</v>
      </c>
      <c r="H78" s="13">
        <v>67.0</v>
      </c>
      <c r="I78" s="13">
        <v>93.0</v>
      </c>
      <c r="J78" s="14" t="s">
        <v>36</v>
      </c>
      <c r="K78" s="13">
        <v>68.0</v>
      </c>
      <c r="L78" s="13">
        <v>70.0</v>
      </c>
      <c r="M78" s="14" t="s">
        <v>36</v>
      </c>
      <c r="N78" s="13">
        <v>90.0</v>
      </c>
      <c r="O78" s="13">
        <v>91.0</v>
      </c>
      <c r="P78" s="13">
        <v>8.04</v>
      </c>
      <c r="Q78" s="13">
        <v>7.02</v>
      </c>
      <c r="R78" s="11" t="str">
        <f t="shared" si="1"/>
        <v>TE</v>
      </c>
    </row>
    <row r="79" ht="14.25" customHeight="1">
      <c r="A79" s="13">
        <v>75.0</v>
      </c>
      <c r="B79" s="14" t="s">
        <v>247</v>
      </c>
      <c r="C79" s="14" t="s">
        <v>248</v>
      </c>
      <c r="D79" s="14" t="s">
        <v>40</v>
      </c>
      <c r="E79" s="13">
        <v>67.0</v>
      </c>
      <c r="F79" s="13">
        <v>58.0</v>
      </c>
      <c r="G79" s="13">
        <v>81.0</v>
      </c>
      <c r="H79" s="13">
        <v>65.0</v>
      </c>
      <c r="I79" s="13">
        <v>80.0</v>
      </c>
      <c r="J79" s="14" t="s">
        <v>36</v>
      </c>
      <c r="K79" s="13">
        <v>72.0</v>
      </c>
      <c r="L79" s="13">
        <v>81.0</v>
      </c>
      <c r="M79" s="14" t="s">
        <v>36</v>
      </c>
      <c r="N79" s="13">
        <v>95.0</v>
      </c>
      <c r="O79" s="13">
        <v>102.0</v>
      </c>
      <c r="P79" s="13">
        <v>8.05</v>
      </c>
      <c r="Q79" s="13">
        <v>7.03</v>
      </c>
      <c r="R79" s="11" t="str">
        <f t="shared" si="1"/>
        <v>TE</v>
      </c>
    </row>
    <row r="80" ht="14.25" customHeight="1">
      <c r="A80" s="13">
        <v>76.0</v>
      </c>
      <c r="B80" s="14" t="s">
        <v>249</v>
      </c>
      <c r="C80" s="14" t="s">
        <v>250</v>
      </c>
      <c r="D80" s="14" t="s">
        <v>237</v>
      </c>
      <c r="E80" s="13">
        <v>90.0</v>
      </c>
      <c r="F80" s="13">
        <v>74.0</v>
      </c>
      <c r="G80" s="13">
        <v>80.0</v>
      </c>
      <c r="H80" s="13">
        <v>85.0</v>
      </c>
      <c r="I80" s="13">
        <v>70.0</v>
      </c>
      <c r="J80" s="14" t="s">
        <v>36</v>
      </c>
      <c r="K80" s="13">
        <v>76.0</v>
      </c>
      <c r="L80" s="13">
        <v>78.0</v>
      </c>
      <c r="M80" s="14" t="s">
        <v>36</v>
      </c>
      <c r="N80" s="13">
        <v>77.0</v>
      </c>
      <c r="O80" s="13">
        <v>73.0</v>
      </c>
      <c r="P80" s="13">
        <v>8.06</v>
      </c>
      <c r="Q80" s="13">
        <v>7.04</v>
      </c>
      <c r="R80" s="11" t="str">
        <f t="shared" si="1"/>
        <v>WR</v>
      </c>
    </row>
    <row r="81" ht="14.25" customHeight="1">
      <c r="A81" s="13">
        <v>77.0</v>
      </c>
      <c r="B81" s="14" t="s">
        <v>252</v>
      </c>
      <c r="C81" s="14" t="s">
        <v>253</v>
      </c>
      <c r="D81" s="14" t="s">
        <v>165</v>
      </c>
      <c r="E81" s="13">
        <v>84.0</v>
      </c>
      <c r="F81" s="13">
        <v>106.0</v>
      </c>
      <c r="G81" s="13">
        <v>63.0</v>
      </c>
      <c r="H81" s="13">
        <v>66.0</v>
      </c>
      <c r="I81" s="13">
        <v>71.0</v>
      </c>
      <c r="J81" s="14" t="s">
        <v>36</v>
      </c>
      <c r="K81" s="13">
        <v>92.0</v>
      </c>
      <c r="L81" s="13">
        <v>76.0</v>
      </c>
      <c r="M81" s="14" t="s">
        <v>36</v>
      </c>
      <c r="N81" s="13">
        <v>71.0</v>
      </c>
      <c r="O81" s="13">
        <v>75.0</v>
      </c>
      <c r="P81" s="13">
        <v>8.07</v>
      </c>
      <c r="Q81" s="13">
        <v>7.05</v>
      </c>
      <c r="R81" s="11" t="str">
        <f t="shared" si="1"/>
        <v>RB</v>
      </c>
    </row>
    <row r="82" ht="14.25" customHeight="1">
      <c r="A82" s="13">
        <v>78.0</v>
      </c>
      <c r="B82" s="14" t="s">
        <v>254</v>
      </c>
      <c r="C82" s="14" t="s">
        <v>255</v>
      </c>
      <c r="D82" s="14" t="s">
        <v>231</v>
      </c>
      <c r="E82" s="13">
        <v>71.0</v>
      </c>
      <c r="F82" s="13">
        <v>96.0</v>
      </c>
      <c r="G82" s="13">
        <v>78.0</v>
      </c>
      <c r="H82" s="13">
        <v>75.0</v>
      </c>
      <c r="I82" s="13">
        <v>78.0</v>
      </c>
      <c r="J82" s="14" t="s">
        <v>36</v>
      </c>
      <c r="K82" s="13">
        <v>82.0</v>
      </c>
      <c r="L82" s="13">
        <v>79.0</v>
      </c>
      <c r="M82" s="14" t="s">
        <v>36</v>
      </c>
      <c r="N82" s="13">
        <v>84.0</v>
      </c>
      <c r="O82" s="13">
        <v>77.0</v>
      </c>
      <c r="P82" s="13">
        <v>8.08</v>
      </c>
      <c r="Q82" s="13">
        <v>7.06</v>
      </c>
      <c r="R82" s="11" t="str">
        <f t="shared" si="1"/>
        <v>RB</v>
      </c>
    </row>
    <row r="83" ht="14.25" customHeight="1">
      <c r="A83" s="13">
        <v>79.0</v>
      </c>
      <c r="B83" s="14" t="s">
        <v>256</v>
      </c>
      <c r="C83" s="14" t="s">
        <v>257</v>
      </c>
      <c r="D83" s="14" t="s">
        <v>195</v>
      </c>
      <c r="E83" s="13">
        <v>79.0</v>
      </c>
      <c r="F83" s="13">
        <v>63.0</v>
      </c>
      <c r="G83" s="13">
        <v>77.0</v>
      </c>
      <c r="H83" s="13">
        <v>63.0</v>
      </c>
      <c r="I83" s="13">
        <v>92.0</v>
      </c>
      <c r="J83" s="14" t="s">
        <v>36</v>
      </c>
      <c r="K83" s="13">
        <v>71.0</v>
      </c>
      <c r="L83" s="13">
        <v>77.0</v>
      </c>
      <c r="M83" s="14" t="s">
        <v>36</v>
      </c>
      <c r="N83" s="13">
        <v>103.0</v>
      </c>
      <c r="O83" s="13">
        <v>105.0</v>
      </c>
      <c r="P83" s="13">
        <v>8.09</v>
      </c>
      <c r="Q83" s="13">
        <v>7.07</v>
      </c>
      <c r="R83" s="11" t="str">
        <f t="shared" si="1"/>
        <v>TE</v>
      </c>
    </row>
    <row r="84" ht="14.25" customHeight="1">
      <c r="A84" s="13">
        <v>80.0</v>
      </c>
      <c r="B84" s="14" t="s">
        <v>258</v>
      </c>
      <c r="C84" s="14" t="s">
        <v>259</v>
      </c>
      <c r="D84" s="14" t="s">
        <v>71</v>
      </c>
      <c r="E84" s="13">
        <v>58.0</v>
      </c>
      <c r="F84" s="13">
        <v>73.0</v>
      </c>
      <c r="G84" s="13">
        <v>79.0</v>
      </c>
      <c r="H84" s="13">
        <v>95.0</v>
      </c>
      <c r="I84" s="13">
        <v>86.0</v>
      </c>
      <c r="J84" s="14" t="s">
        <v>36</v>
      </c>
      <c r="K84" s="13">
        <v>90.0</v>
      </c>
      <c r="L84" s="13">
        <v>82.0</v>
      </c>
      <c r="M84" s="14" t="s">
        <v>36</v>
      </c>
      <c r="N84" s="13">
        <v>89.0</v>
      </c>
      <c r="O84" s="13">
        <v>79.0</v>
      </c>
      <c r="P84" s="13">
        <v>8.1</v>
      </c>
      <c r="Q84" s="13">
        <v>7.08</v>
      </c>
      <c r="R84" s="11" t="str">
        <f t="shared" si="1"/>
        <v>QB</v>
      </c>
    </row>
    <row r="85" ht="14.25" customHeight="1">
      <c r="A85" s="13">
        <v>81.0</v>
      </c>
      <c r="B85" s="14" t="s">
        <v>260</v>
      </c>
      <c r="C85" s="14" t="s">
        <v>261</v>
      </c>
      <c r="D85" s="14" t="s">
        <v>176</v>
      </c>
      <c r="E85" s="13">
        <v>78.0</v>
      </c>
      <c r="F85" s="13">
        <v>69.0</v>
      </c>
      <c r="G85" s="13">
        <v>76.0</v>
      </c>
      <c r="H85" s="13">
        <v>86.0</v>
      </c>
      <c r="I85" s="13">
        <v>69.0</v>
      </c>
      <c r="J85" s="14" t="s">
        <v>36</v>
      </c>
      <c r="K85" s="13">
        <v>87.0</v>
      </c>
      <c r="L85" s="13">
        <v>99.0</v>
      </c>
      <c r="M85" s="14" t="s">
        <v>36</v>
      </c>
      <c r="N85" s="13">
        <v>91.0</v>
      </c>
      <c r="O85" s="13">
        <v>81.0</v>
      </c>
      <c r="P85" s="13">
        <v>9.01</v>
      </c>
      <c r="Q85" s="13">
        <v>7.09</v>
      </c>
      <c r="R85" s="11" t="str">
        <f t="shared" si="1"/>
        <v>WR</v>
      </c>
    </row>
    <row r="86" ht="14.25" customHeight="1">
      <c r="A86" s="13">
        <v>82.0</v>
      </c>
      <c r="B86" s="14" t="s">
        <v>262</v>
      </c>
      <c r="C86" s="14" t="s">
        <v>263</v>
      </c>
      <c r="D86" s="14" t="s">
        <v>237</v>
      </c>
      <c r="E86" s="13">
        <v>75.0</v>
      </c>
      <c r="F86" s="13">
        <v>93.0</v>
      </c>
      <c r="G86" s="13">
        <v>84.0</v>
      </c>
      <c r="H86" s="13">
        <v>77.0</v>
      </c>
      <c r="I86" s="13">
        <v>94.0</v>
      </c>
      <c r="J86" s="14" t="s">
        <v>36</v>
      </c>
      <c r="K86" s="13">
        <v>84.0</v>
      </c>
      <c r="L86" s="13">
        <v>83.0</v>
      </c>
      <c r="M86" s="14" t="s">
        <v>36</v>
      </c>
      <c r="N86" s="13">
        <v>79.0</v>
      </c>
      <c r="O86" s="13">
        <v>83.0</v>
      </c>
      <c r="P86" s="13">
        <v>9.02</v>
      </c>
      <c r="Q86" s="13">
        <v>7.1</v>
      </c>
      <c r="R86" s="11" t="str">
        <f t="shared" si="1"/>
        <v>RB</v>
      </c>
    </row>
    <row r="87" ht="14.25" customHeight="1">
      <c r="A87" s="13">
        <v>83.0</v>
      </c>
      <c r="B87" s="14" t="s">
        <v>264</v>
      </c>
      <c r="C87" s="14" t="s">
        <v>266</v>
      </c>
      <c r="D87" s="14" t="s">
        <v>105</v>
      </c>
      <c r="E87" s="13">
        <v>87.0</v>
      </c>
      <c r="F87" s="13">
        <v>97.0</v>
      </c>
      <c r="G87" s="13">
        <v>86.0</v>
      </c>
      <c r="H87" s="13">
        <v>96.0</v>
      </c>
      <c r="I87" s="13">
        <v>82.0</v>
      </c>
      <c r="J87" s="14" t="s">
        <v>36</v>
      </c>
      <c r="K87" s="13">
        <v>81.0</v>
      </c>
      <c r="L87" s="13">
        <v>75.0</v>
      </c>
      <c r="M87" s="14" t="s">
        <v>36</v>
      </c>
      <c r="N87" s="13">
        <v>88.0</v>
      </c>
      <c r="O87" s="13">
        <v>84.0</v>
      </c>
      <c r="P87" s="13">
        <v>9.03</v>
      </c>
      <c r="Q87" s="13">
        <v>7.11</v>
      </c>
      <c r="R87" s="11" t="str">
        <f t="shared" si="1"/>
        <v>QB</v>
      </c>
    </row>
    <row r="88" ht="14.25" customHeight="1">
      <c r="A88" s="13">
        <v>84.0</v>
      </c>
      <c r="B88" s="14" t="s">
        <v>267</v>
      </c>
      <c r="C88" s="14" t="s">
        <v>268</v>
      </c>
      <c r="D88" s="14" t="s">
        <v>206</v>
      </c>
      <c r="E88" s="13">
        <v>76.0</v>
      </c>
      <c r="F88" s="13">
        <v>82.0</v>
      </c>
      <c r="G88" s="13">
        <v>88.0</v>
      </c>
      <c r="H88" s="13">
        <v>100.0</v>
      </c>
      <c r="I88" s="13">
        <v>84.0</v>
      </c>
      <c r="J88" s="14" t="s">
        <v>36</v>
      </c>
      <c r="K88" s="13">
        <v>97.0</v>
      </c>
      <c r="L88" s="13">
        <v>80.0</v>
      </c>
      <c r="M88" s="14" t="s">
        <v>36</v>
      </c>
      <c r="N88" s="13">
        <v>85.0</v>
      </c>
      <c r="O88" s="13">
        <v>86.0</v>
      </c>
      <c r="P88" s="13">
        <v>9.04</v>
      </c>
      <c r="Q88" s="13">
        <v>7.12</v>
      </c>
      <c r="R88" s="11" t="str">
        <f t="shared" si="1"/>
        <v>QB</v>
      </c>
    </row>
    <row r="89" ht="14.25" customHeight="1">
      <c r="A89" s="13">
        <v>85.0</v>
      </c>
      <c r="B89" s="14" t="s">
        <v>269</v>
      </c>
      <c r="C89" s="14" t="s">
        <v>270</v>
      </c>
      <c r="D89" s="14" t="s">
        <v>162</v>
      </c>
      <c r="E89" s="13">
        <v>93.0</v>
      </c>
      <c r="F89" s="13">
        <v>138.0</v>
      </c>
      <c r="G89" s="13">
        <v>85.0</v>
      </c>
      <c r="H89" s="13">
        <v>83.0</v>
      </c>
      <c r="I89" s="13">
        <v>75.0</v>
      </c>
      <c r="J89" s="14" t="s">
        <v>36</v>
      </c>
      <c r="K89" s="13">
        <v>96.0</v>
      </c>
      <c r="L89" s="13">
        <v>85.0</v>
      </c>
      <c r="M89" s="14" t="s">
        <v>36</v>
      </c>
      <c r="N89" s="13">
        <v>70.0</v>
      </c>
      <c r="O89" s="13">
        <v>85.0</v>
      </c>
      <c r="P89" s="13">
        <v>9.05</v>
      </c>
      <c r="Q89" s="13">
        <v>8.01</v>
      </c>
      <c r="R89" s="11" t="str">
        <f t="shared" si="1"/>
        <v>WR</v>
      </c>
    </row>
    <row r="90" ht="14.25" customHeight="1">
      <c r="A90" s="13">
        <v>86.0</v>
      </c>
      <c r="B90" s="14" t="s">
        <v>272</v>
      </c>
      <c r="C90" s="14" t="s">
        <v>273</v>
      </c>
      <c r="D90" s="14" t="s">
        <v>125</v>
      </c>
      <c r="E90" s="13">
        <v>101.0</v>
      </c>
      <c r="F90" s="13">
        <v>94.0</v>
      </c>
      <c r="G90" s="13">
        <v>92.0</v>
      </c>
      <c r="H90" s="13">
        <v>98.0</v>
      </c>
      <c r="I90" s="13">
        <v>77.0</v>
      </c>
      <c r="J90" s="14" t="s">
        <v>36</v>
      </c>
      <c r="K90" s="13">
        <v>88.0</v>
      </c>
      <c r="L90" s="13">
        <v>87.0</v>
      </c>
      <c r="M90" s="14" t="s">
        <v>36</v>
      </c>
      <c r="N90" s="13">
        <v>87.0</v>
      </c>
      <c r="O90" s="13">
        <v>90.0</v>
      </c>
      <c r="P90" s="13">
        <v>9.06</v>
      </c>
      <c r="Q90" s="13">
        <v>8.02</v>
      </c>
      <c r="R90" s="11" t="str">
        <f t="shared" si="1"/>
        <v>WR</v>
      </c>
    </row>
    <row r="91" ht="14.25" customHeight="1">
      <c r="A91" s="13">
        <v>87.0</v>
      </c>
      <c r="B91" s="14" t="s">
        <v>274</v>
      </c>
      <c r="C91" s="14" t="s">
        <v>275</v>
      </c>
      <c r="D91" s="14" t="s">
        <v>176</v>
      </c>
      <c r="E91" s="13">
        <v>85.0</v>
      </c>
      <c r="F91" s="13">
        <v>134.0</v>
      </c>
      <c r="G91" s="13">
        <v>75.0</v>
      </c>
      <c r="H91" s="13">
        <v>84.0</v>
      </c>
      <c r="I91" s="13">
        <v>88.0</v>
      </c>
      <c r="J91" s="14" t="s">
        <v>36</v>
      </c>
      <c r="K91" s="13">
        <v>79.0</v>
      </c>
      <c r="L91" s="13">
        <v>109.0</v>
      </c>
      <c r="M91" s="14" t="s">
        <v>36</v>
      </c>
      <c r="N91" s="13">
        <v>75.0</v>
      </c>
      <c r="O91" s="13">
        <v>88.0</v>
      </c>
      <c r="P91" s="13">
        <v>9.07</v>
      </c>
      <c r="Q91" s="13">
        <v>8.03</v>
      </c>
      <c r="R91" s="11" t="str">
        <f t="shared" si="1"/>
        <v>RB</v>
      </c>
    </row>
    <row r="92" ht="14.25" customHeight="1">
      <c r="A92" s="13">
        <v>88.0</v>
      </c>
      <c r="B92" s="14" t="s">
        <v>277</v>
      </c>
      <c r="C92" s="14" t="s">
        <v>278</v>
      </c>
      <c r="D92" s="14" t="s">
        <v>176</v>
      </c>
      <c r="E92" s="13">
        <v>81.0</v>
      </c>
      <c r="F92" s="13">
        <v>107.0</v>
      </c>
      <c r="G92" s="13">
        <v>93.0</v>
      </c>
      <c r="H92" s="13">
        <v>90.0</v>
      </c>
      <c r="I92" s="13">
        <v>98.0</v>
      </c>
      <c r="J92" s="14" t="s">
        <v>36</v>
      </c>
      <c r="K92" s="13">
        <v>86.0</v>
      </c>
      <c r="L92" s="13">
        <v>84.0</v>
      </c>
      <c r="M92" s="14" t="s">
        <v>36</v>
      </c>
      <c r="N92" s="13">
        <v>101.0</v>
      </c>
      <c r="O92" s="13">
        <v>95.0</v>
      </c>
      <c r="P92" s="13">
        <v>9.08</v>
      </c>
      <c r="Q92" s="13">
        <v>8.04</v>
      </c>
      <c r="R92" s="11" t="str">
        <f t="shared" si="1"/>
        <v>RB</v>
      </c>
    </row>
    <row r="93" ht="14.25" customHeight="1">
      <c r="A93" s="13">
        <v>89.0</v>
      </c>
      <c r="B93" s="14" t="s">
        <v>279</v>
      </c>
      <c r="C93" s="14" t="s">
        <v>280</v>
      </c>
      <c r="D93" s="14" t="s">
        <v>105</v>
      </c>
      <c r="E93" s="13">
        <v>102.0</v>
      </c>
      <c r="F93" s="13">
        <v>133.0</v>
      </c>
      <c r="G93" s="13">
        <v>89.0</v>
      </c>
      <c r="H93" s="13">
        <v>94.0</v>
      </c>
      <c r="I93" s="13">
        <v>73.0</v>
      </c>
      <c r="J93" s="14" t="s">
        <v>36</v>
      </c>
      <c r="K93" s="13">
        <v>102.0</v>
      </c>
      <c r="L93" s="13">
        <v>95.0</v>
      </c>
      <c r="M93" s="14" t="s">
        <v>36</v>
      </c>
      <c r="N93" s="13">
        <v>83.0</v>
      </c>
      <c r="O93" s="13">
        <v>74.0</v>
      </c>
      <c r="P93" s="13">
        <v>9.09</v>
      </c>
      <c r="Q93" s="13">
        <v>8.05</v>
      </c>
      <c r="R93" s="11" t="str">
        <f t="shared" si="1"/>
        <v>WR</v>
      </c>
    </row>
    <row r="94" ht="14.25" customHeight="1">
      <c r="A94" s="13">
        <v>90.0</v>
      </c>
      <c r="B94" s="14" t="s">
        <v>281</v>
      </c>
      <c r="C94" s="14" t="s">
        <v>282</v>
      </c>
      <c r="D94" s="14" t="s">
        <v>49</v>
      </c>
      <c r="E94" s="13">
        <v>105.0</v>
      </c>
      <c r="F94" s="13">
        <v>128.0</v>
      </c>
      <c r="G94" s="13">
        <v>97.0</v>
      </c>
      <c r="H94" s="13">
        <v>79.0</v>
      </c>
      <c r="I94" s="13">
        <v>85.0</v>
      </c>
      <c r="J94" s="14" t="s">
        <v>36</v>
      </c>
      <c r="K94" s="13">
        <v>91.0</v>
      </c>
      <c r="L94" s="13">
        <v>91.0</v>
      </c>
      <c r="M94" s="14" t="s">
        <v>36</v>
      </c>
      <c r="N94" s="13">
        <v>92.0</v>
      </c>
      <c r="O94" s="13">
        <v>87.0</v>
      </c>
      <c r="P94" s="13">
        <v>9.1</v>
      </c>
      <c r="Q94" s="13">
        <v>8.06</v>
      </c>
      <c r="R94" s="11" t="str">
        <f t="shared" si="1"/>
        <v>RB</v>
      </c>
    </row>
    <row r="95" ht="14.25" customHeight="1">
      <c r="A95" s="13">
        <v>91.0</v>
      </c>
      <c r="B95" s="14" t="s">
        <v>283</v>
      </c>
      <c r="C95" s="14" t="s">
        <v>284</v>
      </c>
      <c r="D95" s="14" t="s">
        <v>58</v>
      </c>
      <c r="E95" s="13">
        <v>86.0</v>
      </c>
      <c r="F95" s="13">
        <v>80.0</v>
      </c>
      <c r="G95" s="13">
        <v>102.0</v>
      </c>
      <c r="H95" s="13">
        <v>73.0</v>
      </c>
      <c r="I95" s="13">
        <v>111.0</v>
      </c>
      <c r="J95" s="14" t="s">
        <v>36</v>
      </c>
      <c r="K95" s="13">
        <v>94.0</v>
      </c>
      <c r="L95" s="13">
        <v>93.0</v>
      </c>
      <c r="M95" s="14" t="s">
        <v>36</v>
      </c>
      <c r="N95" s="13">
        <v>112.0</v>
      </c>
      <c r="O95" s="13">
        <v>113.0</v>
      </c>
      <c r="P95" s="13">
        <v>10.01</v>
      </c>
      <c r="Q95" s="13">
        <v>8.07</v>
      </c>
      <c r="R95" s="11" t="str">
        <f t="shared" si="1"/>
        <v>TE</v>
      </c>
    </row>
    <row r="96" ht="14.25" customHeight="1">
      <c r="A96" s="13">
        <v>92.0</v>
      </c>
      <c r="B96" s="14" t="s">
        <v>285</v>
      </c>
      <c r="C96" s="14" t="s">
        <v>286</v>
      </c>
      <c r="D96" s="14" t="s">
        <v>237</v>
      </c>
      <c r="E96" s="13">
        <v>113.0</v>
      </c>
      <c r="F96" s="13">
        <v>79.0</v>
      </c>
      <c r="G96" s="13">
        <v>94.0</v>
      </c>
      <c r="H96" s="13">
        <v>101.0</v>
      </c>
      <c r="I96" s="13">
        <v>81.0</v>
      </c>
      <c r="J96" s="14" t="s">
        <v>36</v>
      </c>
      <c r="K96" s="13">
        <v>98.0</v>
      </c>
      <c r="L96" s="13">
        <v>100.0</v>
      </c>
      <c r="M96" s="14" t="s">
        <v>36</v>
      </c>
      <c r="N96" s="13">
        <v>99.0</v>
      </c>
      <c r="O96" s="13">
        <v>101.0</v>
      </c>
      <c r="P96" s="13">
        <v>10.02</v>
      </c>
      <c r="Q96" s="13">
        <v>8.08</v>
      </c>
      <c r="R96" s="11" t="str">
        <f t="shared" si="1"/>
        <v>WR</v>
      </c>
    </row>
    <row r="97" ht="14.25" customHeight="1">
      <c r="A97" s="13">
        <v>93.0</v>
      </c>
      <c r="B97" s="14" t="s">
        <v>287</v>
      </c>
      <c r="C97" s="14" t="s">
        <v>288</v>
      </c>
      <c r="D97" s="14" t="s">
        <v>165</v>
      </c>
      <c r="E97" s="13">
        <v>98.0</v>
      </c>
      <c r="F97" s="13">
        <v>113.0</v>
      </c>
      <c r="G97" s="13">
        <v>90.0</v>
      </c>
      <c r="H97" s="13">
        <v>102.0</v>
      </c>
      <c r="I97" s="13">
        <v>97.0</v>
      </c>
      <c r="J97" s="14" t="s">
        <v>36</v>
      </c>
      <c r="K97" s="13">
        <v>73.0</v>
      </c>
      <c r="L97" s="13">
        <v>92.0</v>
      </c>
      <c r="M97" s="14" t="s">
        <v>36</v>
      </c>
      <c r="N97" s="13">
        <v>110.0</v>
      </c>
      <c r="O97" s="13">
        <v>98.0</v>
      </c>
      <c r="P97" s="13">
        <v>10.03</v>
      </c>
      <c r="Q97" s="13">
        <v>8.09</v>
      </c>
      <c r="R97" s="11" t="str">
        <f t="shared" si="1"/>
        <v>RB</v>
      </c>
    </row>
    <row r="98" ht="14.25" customHeight="1">
      <c r="A98" s="13">
        <v>94.0</v>
      </c>
      <c r="B98" s="14" t="s">
        <v>289</v>
      </c>
      <c r="C98" s="14" t="s">
        <v>290</v>
      </c>
      <c r="D98" s="14" t="s">
        <v>62</v>
      </c>
      <c r="E98" s="13">
        <v>82.0</v>
      </c>
      <c r="F98" s="13">
        <v>90.0</v>
      </c>
      <c r="G98" s="13">
        <v>108.0</v>
      </c>
      <c r="H98" s="13">
        <v>110.0</v>
      </c>
      <c r="I98" s="13">
        <v>87.0</v>
      </c>
      <c r="J98" s="14" t="s">
        <v>36</v>
      </c>
      <c r="K98" s="13">
        <v>89.0</v>
      </c>
      <c r="L98" s="13">
        <v>97.0</v>
      </c>
      <c r="M98" s="14" t="s">
        <v>36</v>
      </c>
      <c r="N98" s="13">
        <v>123.0</v>
      </c>
      <c r="O98" s="13">
        <v>94.0</v>
      </c>
      <c r="P98" s="13">
        <v>10.04</v>
      </c>
      <c r="Q98" s="13">
        <v>8.1</v>
      </c>
      <c r="R98" s="11" t="str">
        <f t="shared" si="1"/>
        <v>WR</v>
      </c>
    </row>
    <row r="99" ht="14.25" customHeight="1">
      <c r="A99" s="13">
        <v>95.0</v>
      </c>
      <c r="B99" s="14" t="s">
        <v>291</v>
      </c>
      <c r="C99" s="14" t="s">
        <v>292</v>
      </c>
      <c r="D99" s="14" t="s">
        <v>62</v>
      </c>
      <c r="E99" s="13">
        <v>116.0</v>
      </c>
      <c r="F99" s="13">
        <v>131.0</v>
      </c>
      <c r="G99" s="13">
        <v>98.0</v>
      </c>
      <c r="H99" s="13">
        <v>92.0</v>
      </c>
      <c r="I99" s="13">
        <v>83.0</v>
      </c>
      <c r="J99" s="14" t="s">
        <v>36</v>
      </c>
      <c r="K99" s="13">
        <v>111.0</v>
      </c>
      <c r="L99" s="13">
        <v>90.0</v>
      </c>
      <c r="M99" s="14" t="s">
        <v>36</v>
      </c>
      <c r="N99" s="13">
        <v>78.0</v>
      </c>
      <c r="O99" s="13">
        <v>82.0</v>
      </c>
      <c r="P99" s="13">
        <v>10.05</v>
      </c>
      <c r="Q99" s="13">
        <v>8.11</v>
      </c>
      <c r="R99" s="11" t="str">
        <f t="shared" si="1"/>
        <v>WR</v>
      </c>
    </row>
    <row r="100" ht="14.25" customHeight="1">
      <c r="A100" s="13">
        <v>96.0</v>
      </c>
      <c r="B100" s="14" t="s">
        <v>293</v>
      </c>
      <c r="C100" s="14" t="s">
        <v>294</v>
      </c>
      <c r="D100" s="14" t="s">
        <v>162</v>
      </c>
      <c r="E100" s="13">
        <v>94.0</v>
      </c>
      <c r="F100" s="13">
        <v>108.0</v>
      </c>
      <c r="G100" s="13">
        <v>101.0</v>
      </c>
      <c r="H100" s="13">
        <v>81.0</v>
      </c>
      <c r="I100" s="13">
        <v>89.0</v>
      </c>
      <c r="J100" s="14" t="s">
        <v>36</v>
      </c>
      <c r="K100" s="13">
        <v>109.0</v>
      </c>
      <c r="L100" s="13">
        <v>115.0</v>
      </c>
      <c r="M100" s="14" t="s">
        <v>36</v>
      </c>
      <c r="N100" s="13">
        <v>76.0</v>
      </c>
      <c r="O100" s="13">
        <v>109.0</v>
      </c>
      <c r="P100" s="13">
        <v>10.06</v>
      </c>
      <c r="Q100" s="13">
        <v>8.12</v>
      </c>
      <c r="R100" s="11" t="str">
        <f t="shared" si="1"/>
        <v>RB</v>
      </c>
    </row>
    <row r="101" ht="14.25" customHeight="1">
      <c r="A101" s="13">
        <v>97.0</v>
      </c>
      <c r="B101" s="14" t="s">
        <v>295</v>
      </c>
      <c r="C101" s="14" t="s">
        <v>296</v>
      </c>
      <c r="D101" s="14" t="s">
        <v>128</v>
      </c>
      <c r="E101" s="13">
        <v>106.0</v>
      </c>
      <c r="F101" s="13">
        <v>66.0</v>
      </c>
      <c r="G101" s="13">
        <v>106.0</v>
      </c>
      <c r="H101" s="13">
        <v>114.0</v>
      </c>
      <c r="I101" s="13">
        <v>112.0</v>
      </c>
      <c r="J101" s="14" t="s">
        <v>36</v>
      </c>
      <c r="K101" s="13">
        <v>93.0</v>
      </c>
      <c r="L101" s="13">
        <v>102.0</v>
      </c>
      <c r="M101" s="14" t="s">
        <v>36</v>
      </c>
      <c r="N101" s="13">
        <v>105.0</v>
      </c>
      <c r="O101" s="13">
        <v>104.0</v>
      </c>
      <c r="P101" s="13">
        <v>10.07</v>
      </c>
      <c r="Q101" s="13">
        <v>9.01</v>
      </c>
      <c r="R101" s="11" t="str">
        <f t="shared" si="1"/>
        <v>QB</v>
      </c>
    </row>
    <row r="102" ht="14.25" customHeight="1">
      <c r="A102" s="13">
        <v>98.0</v>
      </c>
      <c r="B102" s="14" t="s">
        <v>298</v>
      </c>
      <c r="C102" s="14" t="s">
        <v>299</v>
      </c>
      <c r="D102" s="14" t="s">
        <v>192</v>
      </c>
      <c r="E102" s="13">
        <v>114.0</v>
      </c>
      <c r="F102" s="13">
        <v>117.0</v>
      </c>
      <c r="G102" s="13">
        <v>82.0</v>
      </c>
      <c r="H102" s="13">
        <v>103.0</v>
      </c>
      <c r="I102" s="13">
        <v>103.0</v>
      </c>
      <c r="J102" s="14" t="s">
        <v>36</v>
      </c>
      <c r="K102" s="13">
        <v>123.0</v>
      </c>
      <c r="L102" s="13">
        <v>88.0</v>
      </c>
      <c r="M102" s="14" t="s">
        <v>36</v>
      </c>
      <c r="N102" s="13">
        <v>86.0</v>
      </c>
      <c r="O102" s="13">
        <v>92.0</v>
      </c>
      <c r="P102" s="13">
        <v>10.08</v>
      </c>
      <c r="Q102" s="13">
        <v>9.02</v>
      </c>
      <c r="R102" s="11" t="str">
        <f t="shared" si="1"/>
        <v>WR</v>
      </c>
    </row>
    <row r="103" ht="14.25" customHeight="1">
      <c r="A103" s="13">
        <v>99.0</v>
      </c>
      <c r="B103" s="14" t="s">
        <v>300</v>
      </c>
      <c r="C103" s="14" t="s">
        <v>301</v>
      </c>
      <c r="D103" s="14" t="s">
        <v>154</v>
      </c>
      <c r="E103" s="13">
        <v>128.0</v>
      </c>
      <c r="F103" s="13">
        <v>116.0</v>
      </c>
      <c r="G103" s="13">
        <v>110.0</v>
      </c>
      <c r="H103" s="13">
        <v>107.0</v>
      </c>
      <c r="I103" s="13">
        <v>96.0</v>
      </c>
      <c r="J103" s="14" t="s">
        <v>36</v>
      </c>
      <c r="K103" s="13">
        <v>104.0</v>
      </c>
      <c r="L103" s="13">
        <v>96.0</v>
      </c>
      <c r="M103" s="14" t="s">
        <v>36</v>
      </c>
      <c r="N103" s="13">
        <v>80.0</v>
      </c>
      <c r="O103" s="13">
        <v>78.0</v>
      </c>
      <c r="P103" s="13">
        <v>10.09</v>
      </c>
      <c r="Q103" s="13">
        <v>9.03</v>
      </c>
      <c r="R103" s="11" t="str">
        <f t="shared" si="1"/>
        <v>WR</v>
      </c>
    </row>
    <row r="104" ht="14.25" customHeight="1">
      <c r="A104" s="13">
        <v>100.0</v>
      </c>
      <c r="B104" s="14" t="s">
        <v>302</v>
      </c>
      <c r="C104" s="14" t="s">
        <v>303</v>
      </c>
      <c r="D104" s="14" t="s">
        <v>75</v>
      </c>
      <c r="E104" s="13">
        <v>115.0</v>
      </c>
      <c r="F104" s="13">
        <v>105.0</v>
      </c>
      <c r="G104" s="13">
        <v>107.0</v>
      </c>
      <c r="H104" s="13">
        <v>115.0</v>
      </c>
      <c r="I104" s="13">
        <v>101.0</v>
      </c>
      <c r="J104" s="14" t="s">
        <v>36</v>
      </c>
      <c r="K104" s="13">
        <v>99.0</v>
      </c>
      <c r="L104" s="13">
        <v>94.0</v>
      </c>
      <c r="M104" s="14" t="s">
        <v>36</v>
      </c>
      <c r="N104" s="13">
        <v>97.0</v>
      </c>
      <c r="O104" s="13">
        <v>89.0</v>
      </c>
      <c r="P104" s="13">
        <v>10.1</v>
      </c>
      <c r="Q104" s="13">
        <v>9.04</v>
      </c>
      <c r="R104" s="11" t="str">
        <f t="shared" si="1"/>
        <v>WR</v>
      </c>
    </row>
    <row r="105" ht="14.25" customHeight="1">
      <c r="A105" s="13">
        <v>101.0</v>
      </c>
      <c r="B105" s="14" t="s">
        <v>305</v>
      </c>
      <c r="C105" s="14" t="s">
        <v>306</v>
      </c>
      <c r="D105" s="14" t="s">
        <v>192</v>
      </c>
      <c r="E105" s="13">
        <v>103.0</v>
      </c>
      <c r="F105" s="13">
        <v>122.0</v>
      </c>
      <c r="G105" s="13">
        <v>112.0</v>
      </c>
      <c r="H105" s="13">
        <v>97.0</v>
      </c>
      <c r="I105" s="13">
        <v>110.0</v>
      </c>
      <c r="J105" s="14" t="s">
        <v>36</v>
      </c>
      <c r="K105" s="13">
        <v>100.0</v>
      </c>
      <c r="L105" s="13">
        <v>86.0</v>
      </c>
      <c r="M105" s="14" t="s">
        <v>36</v>
      </c>
      <c r="N105" s="13">
        <v>96.0</v>
      </c>
      <c r="O105" s="13">
        <v>99.0</v>
      </c>
      <c r="P105" s="13">
        <v>11.01</v>
      </c>
      <c r="Q105" s="13">
        <v>9.05</v>
      </c>
      <c r="R105" s="11" t="str">
        <f t="shared" si="1"/>
        <v>RB</v>
      </c>
    </row>
    <row r="106" ht="14.25" customHeight="1">
      <c r="A106" s="13">
        <v>102.0</v>
      </c>
      <c r="B106" s="14" t="s">
        <v>307</v>
      </c>
      <c r="C106" s="14" t="s">
        <v>308</v>
      </c>
      <c r="D106" s="14" t="s">
        <v>231</v>
      </c>
      <c r="E106" s="13">
        <v>107.0</v>
      </c>
      <c r="F106" s="13">
        <v>104.0</v>
      </c>
      <c r="G106" s="13">
        <v>100.0</v>
      </c>
      <c r="H106" s="13">
        <v>106.0</v>
      </c>
      <c r="I106" s="13">
        <v>91.0</v>
      </c>
      <c r="J106" s="14" t="s">
        <v>36</v>
      </c>
      <c r="K106" s="13">
        <v>107.0</v>
      </c>
      <c r="L106" s="13">
        <v>114.0</v>
      </c>
      <c r="M106" s="14" t="s">
        <v>36</v>
      </c>
      <c r="N106" s="13">
        <v>81.0</v>
      </c>
      <c r="O106" s="13">
        <v>115.0</v>
      </c>
      <c r="P106" s="13">
        <v>11.02</v>
      </c>
      <c r="Q106" s="13">
        <v>9.06</v>
      </c>
      <c r="R106" s="11" t="str">
        <f t="shared" si="1"/>
        <v>WR</v>
      </c>
    </row>
    <row r="107" ht="14.25" customHeight="1">
      <c r="A107" s="13">
        <v>103.0</v>
      </c>
      <c r="B107" s="14" t="s">
        <v>309</v>
      </c>
      <c r="C107" s="14" t="s">
        <v>310</v>
      </c>
      <c r="D107" s="14" t="s">
        <v>49</v>
      </c>
      <c r="E107" s="13">
        <v>91.0</v>
      </c>
      <c r="F107" s="13">
        <v>70.0</v>
      </c>
      <c r="G107" s="13">
        <v>95.0</v>
      </c>
      <c r="H107" s="13">
        <v>125.0</v>
      </c>
      <c r="I107" s="13">
        <v>102.0</v>
      </c>
      <c r="J107" s="14" t="s">
        <v>36</v>
      </c>
      <c r="K107" s="13">
        <v>112.0</v>
      </c>
      <c r="L107" s="13">
        <v>110.0</v>
      </c>
      <c r="M107" s="14" t="s">
        <v>36</v>
      </c>
      <c r="N107" s="13">
        <v>111.0</v>
      </c>
      <c r="O107" s="13">
        <v>111.0</v>
      </c>
      <c r="P107" s="13">
        <v>11.03</v>
      </c>
      <c r="Q107" s="13">
        <v>9.07</v>
      </c>
      <c r="R107" s="11" t="str">
        <f t="shared" si="1"/>
        <v>QB</v>
      </c>
    </row>
    <row r="108" ht="14.25" customHeight="1">
      <c r="A108" s="13">
        <v>104.0</v>
      </c>
      <c r="B108" s="14" t="s">
        <v>312</v>
      </c>
      <c r="C108" s="14" t="s">
        <v>313</v>
      </c>
      <c r="D108" s="14" t="s">
        <v>75</v>
      </c>
      <c r="E108" s="13">
        <v>97.0</v>
      </c>
      <c r="F108" s="13">
        <v>135.0</v>
      </c>
      <c r="G108" s="13">
        <v>104.0</v>
      </c>
      <c r="H108" s="13">
        <v>93.0</v>
      </c>
      <c r="I108" s="13">
        <v>99.0</v>
      </c>
      <c r="J108" s="14" t="s">
        <v>36</v>
      </c>
      <c r="K108" s="13">
        <v>110.0</v>
      </c>
      <c r="L108" s="13">
        <v>103.0</v>
      </c>
      <c r="M108" s="14" t="s">
        <v>36</v>
      </c>
      <c r="N108" s="13">
        <v>94.0</v>
      </c>
      <c r="O108" s="13">
        <v>96.0</v>
      </c>
      <c r="P108" s="13">
        <v>11.04</v>
      </c>
      <c r="Q108" s="13">
        <v>9.08</v>
      </c>
      <c r="R108" s="11" t="str">
        <f t="shared" si="1"/>
        <v>RB</v>
      </c>
    </row>
    <row r="109" ht="14.25" customHeight="1">
      <c r="A109" s="13">
        <v>105.0</v>
      </c>
      <c r="B109" s="14" t="s">
        <v>314</v>
      </c>
      <c r="C109" s="14" t="s">
        <v>315</v>
      </c>
      <c r="D109" s="14" t="s">
        <v>58</v>
      </c>
      <c r="E109" s="13">
        <v>92.0</v>
      </c>
      <c r="F109" s="13">
        <v>92.0</v>
      </c>
      <c r="G109" s="13">
        <v>113.0</v>
      </c>
      <c r="H109" s="13">
        <v>111.0</v>
      </c>
      <c r="I109" s="13">
        <v>109.0</v>
      </c>
      <c r="J109" s="14" t="s">
        <v>36</v>
      </c>
      <c r="K109" s="13">
        <v>114.0</v>
      </c>
      <c r="L109" s="13">
        <v>98.0</v>
      </c>
      <c r="M109" s="14" t="s">
        <v>36</v>
      </c>
      <c r="N109" s="13">
        <v>102.0</v>
      </c>
      <c r="O109" s="13">
        <v>103.0</v>
      </c>
      <c r="P109" s="13">
        <v>11.05</v>
      </c>
      <c r="Q109" s="13">
        <v>9.09</v>
      </c>
      <c r="R109" s="11" t="str">
        <f t="shared" si="1"/>
        <v>QB</v>
      </c>
    </row>
    <row r="110" ht="14.25" customHeight="1">
      <c r="A110" s="13">
        <v>106.0</v>
      </c>
      <c r="B110" s="14" t="s">
        <v>316</v>
      </c>
      <c r="C110" s="14" t="s">
        <v>317</v>
      </c>
      <c r="D110" s="14" t="s">
        <v>85</v>
      </c>
      <c r="E110" s="13">
        <v>132.0</v>
      </c>
      <c r="F110" s="13">
        <v>136.0</v>
      </c>
      <c r="G110" s="13">
        <v>96.0</v>
      </c>
      <c r="H110" s="13">
        <v>119.0</v>
      </c>
      <c r="I110" s="13">
        <v>100.0</v>
      </c>
      <c r="J110" s="14" t="s">
        <v>36</v>
      </c>
      <c r="K110" s="13">
        <v>83.0</v>
      </c>
      <c r="L110" s="13">
        <v>107.0</v>
      </c>
      <c r="M110" s="14" t="s">
        <v>36</v>
      </c>
      <c r="N110" s="13">
        <v>104.0</v>
      </c>
      <c r="O110" s="13">
        <v>80.0</v>
      </c>
      <c r="P110" s="13">
        <v>11.06</v>
      </c>
      <c r="Q110" s="13">
        <v>9.1</v>
      </c>
      <c r="R110" s="11" t="str">
        <f t="shared" si="1"/>
        <v>WR</v>
      </c>
    </row>
    <row r="111" ht="14.25" customHeight="1">
      <c r="A111" s="13">
        <v>107.0</v>
      </c>
      <c r="B111" s="14" t="s">
        <v>318</v>
      </c>
      <c r="C111" s="14" t="s">
        <v>319</v>
      </c>
      <c r="D111" s="14" t="s">
        <v>102</v>
      </c>
      <c r="E111" s="13">
        <v>96.0</v>
      </c>
      <c r="F111" s="13">
        <v>98.0</v>
      </c>
      <c r="G111" s="13">
        <v>105.0</v>
      </c>
      <c r="H111" s="13">
        <v>121.0</v>
      </c>
      <c r="I111" s="13">
        <v>114.0</v>
      </c>
      <c r="J111" s="14" t="s">
        <v>36</v>
      </c>
      <c r="K111" s="13">
        <v>105.0</v>
      </c>
      <c r="L111" s="13">
        <v>118.0</v>
      </c>
      <c r="M111" s="14" t="s">
        <v>36</v>
      </c>
      <c r="N111" s="13">
        <v>106.0</v>
      </c>
      <c r="O111" s="13">
        <v>97.0</v>
      </c>
      <c r="P111" s="13">
        <v>11.07</v>
      </c>
      <c r="Q111" s="13">
        <v>9.11</v>
      </c>
      <c r="R111" s="11" t="str">
        <f t="shared" si="1"/>
        <v>QB</v>
      </c>
    </row>
    <row r="112" ht="14.25" customHeight="1">
      <c r="A112" s="13">
        <v>108.0</v>
      </c>
      <c r="B112" s="14" t="s">
        <v>320</v>
      </c>
      <c r="C112" s="14" t="s">
        <v>321</v>
      </c>
      <c r="D112" s="14" t="s">
        <v>102</v>
      </c>
      <c r="E112" s="13">
        <v>100.0</v>
      </c>
      <c r="F112" s="13">
        <v>86.0</v>
      </c>
      <c r="G112" s="13">
        <v>114.0</v>
      </c>
      <c r="H112" s="13">
        <v>80.0</v>
      </c>
      <c r="I112" s="13">
        <v>120.0</v>
      </c>
      <c r="J112" s="14" t="s">
        <v>36</v>
      </c>
      <c r="K112" s="13">
        <v>101.0</v>
      </c>
      <c r="L112" s="13">
        <v>119.0</v>
      </c>
      <c r="M112" s="14" t="s">
        <v>36</v>
      </c>
      <c r="N112" s="13">
        <v>119.0</v>
      </c>
      <c r="O112" s="13">
        <v>123.0</v>
      </c>
      <c r="P112" s="13">
        <v>11.08</v>
      </c>
      <c r="Q112" s="13">
        <v>9.12</v>
      </c>
      <c r="R112" s="11" t="str">
        <f t="shared" si="1"/>
        <v>TE</v>
      </c>
    </row>
    <row r="113" ht="14.25" customHeight="1">
      <c r="A113" s="13">
        <v>109.0</v>
      </c>
      <c r="B113" s="14" t="s">
        <v>322</v>
      </c>
      <c r="C113" s="14" t="s">
        <v>323</v>
      </c>
      <c r="D113" s="14" t="s">
        <v>171</v>
      </c>
      <c r="E113" s="13">
        <v>108.0</v>
      </c>
      <c r="F113" s="13">
        <v>119.0</v>
      </c>
      <c r="G113" s="13">
        <v>99.0</v>
      </c>
      <c r="H113" s="13">
        <v>109.0</v>
      </c>
      <c r="I113" s="13">
        <v>107.0</v>
      </c>
      <c r="J113" s="14" t="s">
        <v>36</v>
      </c>
      <c r="K113" s="13">
        <v>85.0</v>
      </c>
      <c r="L113" s="13">
        <v>108.0</v>
      </c>
      <c r="M113" s="14" t="s">
        <v>36</v>
      </c>
      <c r="N113" s="13">
        <v>129.0</v>
      </c>
      <c r="O113" s="13">
        <v>108.0</v>
      </c>
      <c r="P113" s="13">
        <v>11.09</v>
      </c>
      <c r="Q113" s="13">
        <v>10.01</v>
      </c>
      <c r="R113" s="11" t="str">
        <f t="shared" si="1"/>
        <v>RB</v>
      </c>
    </row>
    <row r="114" ht="14.25" customHeight="1">
      <c r="A114" s="13">
        <v>110.0</v>
      </c>
      <c r="B114" s="14" t="s">
        <v>325</v>
      </c>
      <c r="C114" s="14" t="s">
        <v>326</v>
      </c>
      <c r="D114" s="14" t="s">
        <v>176</v>
      </c>
      <c r="E114" s="13">
        <v>117.0</v>
      </c>
      <c r="F114" s="13">
        <v>75.0</v>
      </c>
      <c r="G114" s="13">
        <v>116.0</v>
      </c>
      <c r="H114" s="13">
        <v>122.0</v>
      </c>
      <c r="I114" s="13">
        <v>116.0</v>
      </c>
      <c r="J114" s="14" t="s">
        <v>36</v>
      </c>
      <c r="K114" s="13">
        <v>116.0</v>
      </c>
      <c r="L114" s="13">
        <v>101.0</v>
      </c>
      <c r="M114" s="14" t="s">
        <v>36</v>
      </c>
      <c r="N114" s="13">
        <v>109.0</v>
      </c>
      <c r="O114" s="13">
        <v>106.0</v>
      </c>
      <c r="P114" s="13">
        <v>11.1</v>
      </c>
      <c r="Q114" s="13">
        <v>10.02</v>
      </c>
      <c r="R114" s="11" t="str">
        <f t="shared" si="1"/>
        <v>QB</v>
      </c>
    </row>
    <row r="115" ht="14.25" customHeight="1">
      <c r="A115" s="13">
        <v>111.0</v>
      </c>
      <c r="B115" s="14" t="s">
        <v>327</v>
      </c>
      <c r="C115" s="14" t="s">
        <v>328</v>
      </c>
      <c r="D115" s="14" t="s">
        <v>85</v>
      </c>
      <c r="E115" s="13">
        <v>80.0</v>
      </c>
      <c r="F115" s="13">
        <v>88.0</v>
      </c>
      <c r="G115" s="13">
        <v>126.0</v>
      </c>
      <c r="H115" s="13">
        <v>87.0</v>
      </c>
      <c r="I115" s="13">
        <v>124.0</v>
      </c>
      <c r="J115" s="14" t="s">
        <v>36</v>
      </c>
      <c r="K115" s="13">
        <v>119.0</v>
      </c>
      <c r="L115" s="13">
        <v>116.0</v>
      </c>
      <c r="M115" s="14" t="s">
        <v>36</v>
      </c>
      <c r="N115" s="13">
        <v>126.0</v>
      </c>
      <c r="O115" s="13">
        <v>132.0</v>
      </c>
      <c r="P115" s="13">
        <v>12.01</v>
      </c>
      <c r="Q115" s="13">
        <v>10.03</v>
      </c>
      <c r="R115" s="11" t="str">
        <f t="shared" si="1"/>
        <v>TE</v>
      </c>
    </row>
    <row r="116" ht="14.25" customHeight="1">
      <c r="A116" s="13">
        <v>112.0</v>
      </c>
      <c r="B116" s="14" t="s">
        <v>329</v>
      </c>
      <c r="C116" s="14" t="s">
        <v>330</v>
      </c>
      <c r="D116" s="14" t="s">
        <v>154</v>
      </c>
      <c r="E116" s="13">
        <v>136.0</v>
      </c>
      <c r="F116" s="13">
        <v>91.0</v>
      </c>
      <c r="G116" s="13">
        <v>125.0</v>
      </c>
      <c r="H116" s="13">
        <v>117.0</v>
      </c>
      <c r="I116" s="13">
        <v>106.0</v>
      </c>
      <c r="J116" s="14" t="s">
        <v>36</v>
      </c>
      <c r="K116" s="13">
        <v>126.0</v>
      </c>
      <c r="L116" s="13">
        <v>104.0</v>
      </c>
      <c r="M116" s="14" t="s">
        <v>36</v>
      </c>
      <c r="N116" s="13">
        <v>98.0</v>
      </c>
      <c r="O116" s="13">
        <v>100.0</v>
      </c>
      <c r="P116" s="13">
        <v>12.02</v>
      </c>
      <c r="Q116" s="13">
        <v>10.04</v>
      </c>
      <c r="R116" s="11" t="str">
        <f t="shared" si="1"/>
        <v>WR</v>
      </c>
    </row>
    <row r="117" ht="14.25" customHeight="1">
      <c r="A117" s="13">
        <v>113.0</v>
      </c>
      <c r="B117" s="14" t="s">
        <v>331</v>
      </c>
      <c r="C117" s="14" t="s">
        <v>332</v>
      </c>
      <c r="D117" s="14" t="s">
        <v>192</v>
      </c>
      <c r="E117" s="13">
        <v>122.0</v>
      </c>
      <c r="F117" s="13">
        <v>129.0</v>
      </c>
      <c r="G117" s="13">
        <v>87.0</v>
      </c>
      <c r="H117" s="13">
        <v>105.0</v>
      </c>
      <c r="I117" s="13">
        <v>105.0</v>
      </c>
      <c r="J117" s="14" t="s">
        <v>36</v>
      </c>
      <c r="K117" s="13">
        <v>115.0</v>
      </c>
      <c r="L117" s="13">
        <v>113.0</v>
      </c>
      <c r="M117" s="14" t="s">
        <v>36</v>
      </c>
      <c r="N117" s="13">
        <v>118.0</v>
      </c>
      <c r="O117" s="13">
        <v>119.0</v>
      </c>
      <c r="P117" s="13">
        <v>12.03</v>
      </c>
      <c r="Q117" s="13">
        <v>10.05</v>
      </c>
      <c r="R117" s="11" t="str">
        <f t="shared" si="1"/>
        <v>RB</v>
      </c>
    </row>
    <row r="118" ht="14.25" customHeight="1">
      <c r="A118" s="13">
        <v>114.0</v>
      </c>
      <c r="B118" s="14" t="s">
        <v>333</v>
      </c>
      <c r="C118" s="14" t="s">
        <v>334</v>
      </c>
      <c r="D118" s="14" t="s">
        <v>67</v>
      </c>
      <c r="E118" s="13">
        <v>124.0</v>
      </c>
      <c r="F118" s="13">
        <v>121.0</v>
      </c>
      <c r="G118" s="13">
        <v>132.0</v>
      </c>
      <c r="H118" s="13">
        <v>91.0</v>
      </c>
      <c r="I118" s="13">
        <v>117.0</v>
      </c>
      <c r="J118" s="14" t="s">
        <v>36</v>
      </c>
      <c r="K118" s="13">
        <v>95.0</v>
      </c>
      <c r="L118" s="13">
        <v>106.0</v>
      </c>
      <c r="M118" s="14" t="s">
        <v>36</v>
      </c>
      <c r="N118" s="13">
        <v>107.0</v>
      </c>
      <c r="O118" s="13">
        <v>120.0</v>
      </c>
      <c r="P118" s="13">
        <v>12.04</v>
      </c>
      <c r="Q118" s="13">
        <v>10.06</v>
      </c>
      <c r="R118" s="11" t="str">
        <f t="shared" si="1"/>
        <v>TE</v>
      </c>
    </row>
    <row r="119" ht="14.25" customHeight="1">
      <c r="A119" s="13">
        <v>115.0</v>
      </c>
      <c r="B119" s="14" t="s">
        <v>336</v>
      </c>
      <c r="C119" s="14" t="s">
        <v>337</v>
      </c>
      <c r="D119" s="14" t="s">
        <v>128</v>
      </c>
      <c r="E119" s="13">
        <v>95.0</v>
      </c>
      <c r="F119" s="13">
        <v>118.0</v>
      </c>
      <c r="G119" s="13">
        <v>124.0</v>
      </c>
      <c r="H119" s="13">
        <v>78.0</v>
      </c>
      <c r="I119" s="13">
        <v>118.0</v>
      </c>
      <c r="J119" s="14" t="s">
        <v>36</v>
      </c>
      <c r="K119" s="13">
        <v>120.0</v>
      </c>
      <c r="L119" s="13">
        <v>121.0</v>
      </c>
      <c r="M119" s="14" t="s">
        <v>36</v>
      </c>
      <c r="N119" s="13">
        <v>124.0</v>
      </c>
      <c r="O119" s="13">
        <v>125.0</v>
      </c>
      <c r="P119" s="13">
        <v>12.05</v>
      </c>
      <c r="Q119" s="13">
        <v>10.07</v>
      </c>
      <c r="R119" s="11" t="str">
        <f t="shared" si="1"/>
        <v>TE</v>
      </c>
    </row>
    <row r="120" ht="14.25" customHeight="1">
      <c r="A120" s="13">
        <v>116.0</v>
      </c>
      <c r="B120" s="14" t="s">
        <v>338</v>
      </c>
      <c r="C120" s="14" t="s">
        <v>339</v>
      </c>
      <c r="D120" s="14" t="s">
        <v>58</v>
      </c>
      <c r="E120" s="13">
        <v>118.0</v>
      </c>
      <c r="F120" s="13">
        <v>146.0</v>
      </c>
      <c r="G120" s="13">
        <v>91.0</v>
      </c>
      <c r="H120" s="13">
        <v>108.0</v>
      </c>
      <c r="I120" s="13">
        <v>126.0</v>
      </c>
      <c r="J120" s="14" t="s">
        <v>36</v>
      </c>
      <c r="K120" s="13">
        <v>152.0</v>
      </c>
      <c r="L120" s="13">
        <v>89.0</v>
      </c>
      <c r="M120" s="14" t="s">
        <v>36</v>
      </c>
      <c r="N120" s="13">
        <v>93.0</v>
      </c>
      <c r="O120" s="13">
        <v>110.0</v>
      </c>
      <c r="P120" s="13">
        <v>12.06</v>
      </c>
      <c r="Q120" s="13">
        <v>10.08</v>
      </c>
      <c r="R120" s="11" t="str">
        <f t="shared" si="1"/>
        <v>WR</v>
      </c>
    </row>
    <row r="121" ht="14.25" customHeight="1">
      <c r="A121" s="13">
        <v>117.0</v>
      </c>
      <c r="B121" s="14" t="s">
        <v>341</v>
      </c>
      <c r="C121" s="14" t="s">
        <v>342</v>
      </c>
      <c r="D121" s="14" t="s">
        <v>206</v>
      </c>
      <c r="E121" s="13">
        <v>125.0</v>
      </c>
      <c r="F121" s="13">
        <v>103.0</v>
      </c>
      <c r="G121" s="13">
        <v>111.0</v>
      </c>
      <c r="H121" s="13">
        <v>128.0</v>
      </c>
      <c r="I121" s="13">
        <v>104.0</v>
      </c>
      <c r="J121" s="14" t="s">
        <v>36</v>
      </c>
      <c r="K121" s="13">
        <v>103.0</v>
      </c>
      <c r="L121" s="13">
        <v>123.0</v>
      </c>
      <c r="M121" s="14" t="s">
        <v>36</v>
      </c>
      <c r="N121" s="13">
        <v>120.0</v>
      </c>
      <c r="O121" s="13">
        <v>121.0</v>
      </c>
      <c r="P121" s="13">
        <v>12.07</v>
      </c>
      <c r="Q121" s="13">
        <v>10.09</v>
      </c>
      <c r="R121" s="11" t="str">
        <f t="shared" si="1"/>
        <v>WR</v>
      </c>
    </row>
    <row r="122" ht="14.25" customHeight="1">
      <c r="A122" s="13">
        <v>118.0</v>
      </c>
      <c r="B122" s="14" t="s">
        <v>343</v>
      </c>
      <c r="C122" s="14" t="s">
        <v>344</v>
      </c>
      <c r="D122" s="14" t="s">
        <v>195</v>
      </c>
      <c r="E122" s="13">
        <v>126.0</v>
      </c>
      <c r="F122" s="13">
        <v>140.0</v>
      </c>
      <c r="G122" s="13">
        <v>118.0</v>
      </c>
      <c r="H122" s="13">
        <v>113.0</v>
      </c>
      <c r="I122" s="13">
        <v>115.0</v>
      </c>
      <c r="J122" s="14" t="s">
        <v>36</v>
      </c>
      <c r="K122" s="13">
        <v>113.0</v>
      </c>
      <c r="L122" s="13">
        <v>105.0</v>
      </c>
      <c r="M122" s="14" t="s">
        <v>36</v>
      </c>
      <c r="N122" s="13">
        <v>108.0</v>
      </c>
      <c r="O122" s="13">
        <v>112.0</v>
      </c>
      <c r="P122" s="13">
        <v>12.08</v>
      </c>
      <c r="Q122" s="13">
        <v>10.1</v>
      </c>
      <c r="R122" s="11" t="str">
        <f t="shared" si="1"/>
        <v>WR</v>
      </c>
    </row>
    <row r="123" ht="14.25" customHeight="1">
      <c r="A123" s="13">
        <v>119.0</v>
      </c>
      <c r="B123" s="14" t="s">
        <v>345</v>
      </c>
      <c r="C123" s="14" t="s">
        <v>346</v>
      </c>
      <c r="D123" s="14" t="s">
        <v>35</v>
      </c>
      <c r="E123" s="13">
        <v>109.0</v>
      </c>
      <c r="F123" s="13">
        <v>132.0</v>
      </c>
      <c r="G123" s="13">
        <v>117.0</v>
      </c>
      <c r="H123" s="13">
        <v>126.0</v>
      </c>
      <c r="I123" s="13">
        <v>108.0</v>
      </c>
      <c r="J123" s="14" t="s">
        <v>36</v>
      </c>
      <c r="K123" s="13">
        <v>128.0</v>
      </c>
      <c r="L123" s="13">
        <v>120.0</v>
      </c>
      <c r="M123" s="14" t="s">
        <v>36</v>
      </c>
      <c r="N123" s="13">
        <v>100.0</v>
      </c>
      <c r="O123" s="13">
        <v>114.0</v>
      </c>
      <c r="P123" s="13">
        <v>12.09</v>
      </c>
      <c r="Q123" s="13">
        <v>10.11</v>
      </c>
      <c r="R123" s="11" t="str">
        <f t="shared" si="1"/>
        <v>QB</v>
      </c>
    </row>
    <row r="124" ht="14.25" customHeight="1">
      <c r="A124" s="13">
        <v>120.0</v>
      </c>
      <c r="B124" s="14" t="s">
        <v>347</v>
      </c>
      <c r="C124" s="14" t="s">
        <v>348</v>
      </c>
      <c r="D124" s="14" t="s">
        <v>71</v>
      </c>
      <c r="E124" s="13">
        <v>120.0</v>
      </c>
      <c r="F124" s="13">
        <v>102.0</v>
      </c>
      <c r="G124" s="13">
        <v>109.0</v>
      </c>
      <c r="H124" s="13">
        <v>99.0</v>
      </c>
      <c r="I124" s="13">
        <v>123.0</v>
      </c>
      <c r="J124" s="14" t="s">
        <v>36</v>
      </c>
      <c r="K124" s="13">
        <v>108.0</v>
      </c>
      <c r="L124" s="13">
        <v>146.0</v>
      </c>
      <c r="M124" s="14" t="s">
        <v>36</v>
      </c>
      <c r="N124" s="13">
        <v>138.0</v>
      </c>
      <c r="O124" s="13">
        <v>136.0</v>
      </c>
      <c r="P124" s="13">
        <v>12.1</v>
      </c>
      <c r="Q124" s="13">
        <v>10.12</v>
      </c>
      <c r="R124" s="11" t="str">
        <f t="shared" si="1"/>
        <v>TE</v>
      </c>
    </row>
    <row r="125" ht="14.25" customHeight="1">
      <c r="A125" s="13">
        <v>121.0</v>
      </c>
      <c r="B125" s="14" t="s">
        <v>349</v>
      </c>
      <c r="C125" s="14" t="s">
        <v>350</v>
      </c>
      <c r="D125" s="14" t="s">
        <v>75</v>
      </c>
      <c r="E125" s="13">
        <v>111.0</v>
      </c>
      <c r="F125" s="13">
        <v>123.0</v>
      </c>
      <c r="G125" s="13">
        <v>115.0</v>
      </c>
      <c r="H125" s="13">
        <v>116.0</v>
      </c>
      <c r="I125" s="13">
        <v>128.0</v>
      </c>
      <c r="J125" s="14" t="s">
        <v>36</v>
      </c>
      <c r="K125" s="13">
        <v>106.0</v>
      </c>
      <c r="L125" s="13">
        <v>124.0</v>
      </c>
      <c r="M125" s="14" t="s">
        <v>36</v>
      </c>
      <c r="N125" s="13">
        <v>134.0</v>
      </c>
      <c r="O125" s="13">
        <v>128.0</v>
      </c>
      <c r="P125" s="13">
        <v>13.01</v>
      </c>
      <c r="Q125" s="13">
        <v>11.01</v>
      </c>
      <c r="R125" s="11" t="str">
        <f t="shared" si="1"/>
        <v>RB</v>
      </c>
    </row>
    <row r="126" ht="14.25" customHeight="1">
      <c r="A126" s="13">
        <v>122.0</v>
      </c>
      <c r="B126" s="14" t="s">
        <v>352</v>
      </c>
      <c r="C126" s="14" t="s">
        <v>353</v>
      </c>
      <c r="D126" s="14" t="s">
        <v>102</v>
      </c>
      <c r="E126" s="13">
        <v>142.0</v>
      </c>
      <c r="F126" s="13">
        <v>114.0</v>
      </c>
      <c r="G126" s="13">
        <v>129.0</v>
      </c>
      <c r="H126" s="13">
        <v>133.0</v>
      </c>
      <c r="I126" s="13">
        <v>119.0</v>
      </c>
      <c r="J126" s="14" t="s">
        <v>36</v>
      </c>
      <c r="K126" s="13">
        <v>122.0</v>
      </c>
      <c r="L126" s="13">
        <v>127.0</v>
      </c>
      <c r="M126" s="14" t="s">
        <v>36</v>
      </c>
      <c r="N126" s="13">
        <v>125.0</v>
      </c>
      <c r="O126" s="13">
        <v>107.0</v>
      </c>
      <c r="P126" s="13">
        <v>13.02</v>
      </c>
      <c r="Q126" s="13">
        <v>11.02</v>
      </c>
      <c r="R126" s="11" t="str">
        <f t="shared" si="1"/>
        <v>WR</v>
      </c>
    </row>
    <row r="127" ht="14.25" customHeight="1">
      <c r="A127" s="13">
        <v>123.0</v>
      </c>
      <c r="B127" s="14" t="s">
        <v>354</v>
      </c>
      <c r="C127" s="14" t="s">
        <v>355</v>
      </c>
      <c r="D127" s="14" t="s">
        <v>131</v>
      </c>
      <c r="E127" s="13">
        <v>144.0</v>
      </c>
      <c r="F127" s="13">
        <v>179.0</v>
      </c>
      <c r="G127" s="13">
        <v>148.0</v>
      </c>
      <c r="H127" s="13">
        <v>118.0</v>
      </c>
      <c r="I127" s="13">
        <v>95.0</v>
      </c>
      <c r="J127" s="14" t="s">
        <v>36</v>
      </c>
      <c r="K127" s="13">
        <v>75.0</v>
      </c>
      <c r="L127" s="13">
        <v>129.0</v>
      </c>
      <c r="M127" s="14" t="s">
        <v>36</v>
      </c>
      <c r="N127" s="13">
        <v>143.0</v>
      </c>
      <c r="O127" s="13">
        <v>93.0</v>
      </c>
      <c r="P127" s="13">
        <v>13.03</v>
      </c>
      <c r="Q127" s="13">
        <v>11.03</v>
      </c>
      <c r="R127" s="11" t="str">
        <f t="shared" si="1"/>
        <v>WR</v>
      </c>
    </row>
    <row r="128" ht="14.25" customHeight="1">
      <c r="A128" s="13">
        <v>124.0</v>
      </c>
      <c r="B128" s="14" t="s">
        <v>356</v>
      </c>
      <c r="C128" s="14" t="s">
        <v>357</v>
      </c>
      <c r="D128" s="14" t="s">
        <v>109</v>
      </c>
      <c r="E128" s="13">
        <v>119.0</v>
      </c>
      <c r="F128" s="13">
        <v>111.0</v>
      </c>
      <c r="G128" s="13">
        <v>142.0</v>
      </c>
      <c r="H128" s="13">
        <v>104.0</v>
      </c>
      <c r="I128" s="13">
        <v>136.0</v>
      </c>
      <c r="J128" s="14" t="s">
        <v>36</v>
      </c>
      <c r="K128" s="13">
        <v>118.0</v>
      </c>
      <c r="L128" s="13">
        <v>128.0</v>
      </c>
      <c r="M128" s="14" t="s">
        <v>36</v>
      </c>
      <c r="N128" s="13">
        <v>142.0</v>
      </c>
      <c r="O128" s="13">
        <v>133.0</v>
      </c>
      <c r="P128" s="13">
        <v>13.04</v>
      </c>
      <c r="Q128" s="13">
        <v>11.04</v>
      </c>
      <c r="R128" s="11" t="str">
        <f t="shared" si="1"/>
        <v>TE</v>
      </c>
    </row>
    <row r="129" ht="14.25" customHeight="1">
      <c r="A129" s="13">
        <v>125.0</v>
      </c>
      <c r="B129" s="14" t="s">
        <v>358</v>
      </c>
      <c r="C129" s="14" t="s">
        <v>359</v>
      </c>
      <c r="D129" s="14" t="s">
        <v>116</v>
      </c>
      <c r="E129" s="13">
        <v>141.0</v>
      </c>
      <c r="F129" s="13">
        <v>148.0</v>
      </c>
      <c r="G129" s="13">
        <v>123.0</v>
      </c>
      <c r="H129" s="13">
        <v>137.0</v>
      </c>
      <c r="I129" s="13">
        <v>113.0</v>
      </c>
      <c r="J129" s="14" t="s">
        <v>36</v>
      </c>
      <c r="K129" s="13">
        <v>121.0</v>
      </c>
      <c r="L129" s="13">
        <v>122.0</v>
      </c>
      <c r="M129" s="14" t="s">
        <v>36</v>
      </c>
      <c r="N129" s="13">
        <v>113.0</v>
      </c>
      <c r="O129" s="13">
        <v>118.0</v>
      </c>
      <c r="P129" s="13">
        <v>13.05</v>
      </c>
      <c r="Q129" s="13">
        <v>11.05</v>
      </c>
      <c r="R129" s="11" t="str">
        <f t="shared" si="1"/>
        <v>WR</v>
      </c>
    </row>
    <row r="130" ht="14.25" customHeight="1">
      <c r="A130" s="13">
        <v>126.0</v>
      </c>
      <c r="B130" s="14" t="s">
        <v>360</v>
      </c>
      <c r="C130" s="14" t="s">
        <v>361</v>
      </c>
      <c r="D130" s="14" t="s">
        <v>75</v>
      </c>
      <c r="E130" s="13">
        <v>135.0</v>
      </c>
      <c r="F130" s="13">
        <v>142.0</v>
      </c>
      <c r="G130" s="13">
        <v>127.0</v>
      </c>
      <c r="H130" s="13">
        <v>132.0</v>
      </c>
      <c r="I130" s="13">
        <v>130.0</v>
      </c>
      <c r="J130" s="14" t="s">
        <v>36</v>
      </c>
      <c r="K130" s="13">
        <v>165.0</v>
      </c>
      <c r="L130" s="13">
        <v>112.0</v>
      </c>
      <c r="M130" s="14" t="s">
        <v>36</v>
      </c>
      <c r="N130" s="13">
        <v>117.0</v>
      </c>
      <c r="O130" s="13">
        <v>116.0</v>
      </c>
      <c r="P130" s="13">
        <v>13.06</v>
      </c>
      <c r="Q130" s="13">
        <v>11.06</v>
      </c>
      <c r="R130" s="11" t="str">
        <f t="shared" si="1"/>
        <v>QB</v>
      </c>
    </row>
    <row r="131" ht="14.25" customHeight="1">
      <c r="A131" s="13">
        <v>127.0</v>
      </c>
      <c r="B131" s="14" t="s">
        <v>363</v>
      </c>
      <c r="C131" s="14" t="s">
        <v>364</v>
      </c>
      <c r="D131" s="14" t="s">
        <v>58</v>
      </c>
      <c r="E131" s="13">
        <v>127.0</v>
      </c>
      <c r="F131" s="13">
        <v>120.0</v>
      </c>
      <c r="G131" s="13">
        <v>149.0</v>
      </c>
      <c r="H131" s="13">
        <v>129.0</v>
      </c>
      <c r="I131" s="13">
        <v>127.0</v>
      </c>
      <c r="J131" s="14" t="s">
        <v>36</v>
      </c>
      <c r="K131" s="13">
        <v>144.0</v>
      </c>
      <c r="L131" s="13">
        <v>148.0</v>
      </c>
      <c r="M131" s="14" t="s">
        <v>36</v>
      </c>
      <c r="N131" s="13">
        <v>115.0</v>
      </c>
      <c r="O131" s="13">
        <v>127.0</v>
      </c>
      <c r="P131" s="13">
        <v>13.07</v>
      </c>
      <c r="Q131" s="13">
        <v>11.07</v>
      </c>
      <c r="R131" s="11" t="str">
        <f t="shared" si="1"/>
        <v>WR</v>
      </c>
    </row>
    <row r="132" ht="14.25" customHeight="1">
      <c r="A132" s="13">
        <v>128.0</v>
      </c>
      <c r="B132" s="14" t="s">
        <v>365</v>
      </c>
      <c r="C132" s="14" t="s">
        <v>366</v>
      </c>
      <c r="D132" s="14" t="s">
        <v>206</v>
      </c>
      <c r="E132" s="13">
        <v>138.0</v>
      </c>
      <c r="F132" s="13">
        <v>174.0</v>
      </c>
      <c r="G132" s="13">
        <v>130.0</v>
      </c>
      <c r="H132" s="13">
        <v>124.0</v>
      </c>
      <c r="I132" s="13">
        <v>135.0</v>
      </c>
      <c r="J132" s="14" t="s">
        <v>36</v>
      </c>
      <c r="K132" s="13">
        <v>141.0</v>
      </c>
      <c r="L132" s="13">
        <v>117.0</v>
      </c>
      <c r="M132" s="14" t="s">
        <v>36</v>
      </c>
      <c r="N132" s="13">
        <v>116.0</v>
      </c>
      <c r="O132" s="13">
        <v>124.0</v>
      </c>
      <c r="P132" s="13">
        <v>13.08</v>
      </c>
      <c r="Q132" s="13">
        <v>11.08</v>
      </c>
      <c r="R132" s="11" t="str">
        <f t="shared" si="1"/>
        <v>RB</v>
      </c>
    </row>
    <row r="133" ht="14.25" customHeight="1">
      <c r="A133" s="13">
        <v>129.0</v>
      </c>
      <c r="B133" s="14" t="s">
        <v>368</v>
      </c>
      <c r="C133" s="14" t="s">
        <v>369</v>
      </c>
      <c r="D133" s="14" t="s">
        <v>162</v>
      </c>
      <c r="E133" s="13">
        <v>131.0</v>
      </c>
      <c r="F133" s="13">
        <v>144.0</v>
      </c>
      <c r="G133" s="13">
        <v>136.0</v>
      </c>
      <c r="H133" s="13">
        <v>144.0</v>
      </c>
      <c r="I133" s="13">
        <v>125.0</v>
      </c>
      <c r="J133" s="14" t="s">
        <v>36</v>
      </c>
      <c r="K133" s="13">
        <v>151.0</v>
      </c>
      <c r="L133" s="13">
        <v>134.0</v>
      </c>
      <c r="M133" s="14" t="s">
        <v>36</v>
      </c>
      <c r="N133" s="13">
        <v>122.0</v>
      </c>
      <c r="O133" s="13">
        <v>122.0</v>
      </c>
      <c r="P133" s="13">
        <v>13.09</v>
      </c>
      <c r="Q133" s="13">
        <v>11.09</v>
      </c>
      <c r="R133" s="11" t="str">
        <f t="shared" si="1"/>
        <v>QB</v>
      </c>
    </row>
    <row r="134" ht="14.25" customHeight="1">
      <c r="A134" s="13">
        <v>130.0</v>
      </c>
      <c r="B134" s="14" t="s">
        <v>370</v>
      </c>
      <c r="C134" s="14" t="s">
        <v>371</v>
      </c>
      <c r="D134" s="14" t="s">
        <v>165</v>
      </c>
      <c r="E134" s="13">
        <v>154.0</v>
      </c>
      <c r="F134" s="13">
        <v>159.0</v>
      </c>
      <c r="G134" s="13">
        <v>135.0</v>
      </c>
      <c r="H134" s="13">
        <v>139.0</v>
      </c>
      <c r="I134" s="13">
        <v>122.0</v>
      </c>
      <c r="J134" s="14" t="s">
        <v>36</v>
      </c>
      <c r="K134" s="13">
        <v>143.0</v>
      </c>
      <c r="L134" s="13">
        <v>111.0</v>
      </c>
      <c r="M134" s="14" t="s">
        <v>36</v>
      </c>
      <c r="N134" s="13">
        <v>121.0</v>
      </c>
      <c r="O134" s="13">
        <v>129.0</v>
      </c>
      <c r="P134" s="13">
        <v>13.1</v>
      </c>
      <c r="Q134" s="13">
        <v>11.1</v>
      </c>
      <c r="R134" s="11" t="str">
        <f t="shared" si="1"/>
        <v>WR</v>
      </c>
    </row>
    <row r="135" ht="14.25" customHeight="1">
      <c r="A135" s="13">
        <v>131.0</v>
      </c>
      <c r="B135" s="14" t="s">
        <v>373</v>
      </c>
      <c r="C135" s="14" t="s">
        <v>374</v>
      </c>
      <c r="D135" s="14" t="s">
        <v>67</v>
      </c>
      <c r="E135" s="13">
        <v>159.0</v>
      </c>
      <c r="F135" s="13">
        <v>115.0</v>
      </c>
      <c r="G135" s="13">
        <v>138.0</v>
      </c>
      <c r="H135" s="13">
        <v>146.0</v>
      </c>
      <c r="I135" s="13">
        <v>121.0</v>
      </c>
      <c r="J135" s="14" t="s">
        <v>36</v>
      </c>
      <c r="K135" s="13">
        <v>130.0</v>
      </c>
      <c r="L135" s="13">
        <v>141.0</v>
      </c>
      <c r="M135" s="14" t="s">
        <v>36</v>
      </c>
      <c r="N135" s="13">
        <v>133.0</v>
      </c>
      <c r="O135" s="13">
        <v>131.0</v>
      </c>
      <c r="P135" s="13">
        <v>14.01</v>
      </c>
      <c r="Q135" s="13">
        <v>11.11</v>
      </c>
      <c r="R135" s="11" t="str">
        <f t="shared" si="1"/>
        <v>WR</v>
      </c>
    </row>
    <row r="136" ht="14.25" customHeight="1">
      <c r="A136" s="13">
        <v>132.0</v>
      </c>
      <c r="B136" s="14" t="s">
        <v>375</v>
      </c>
      <c r="C136" s="14" t="s">
        <v>376</v>
      </c>
      <c r="D136" s="14" t="s">
        <v>154</v>
      </c>
      <c r="E136" s="13">
        <v>149.0</v>
      </c>
      <c r="F136" s="13">
        <v>157.0</v>
      </c>
      <c r="G136" s="13">
        <v>133.0</v>
      </c>
      <c r="H136" s="13">
        <v>148.0</v>
      </c>
      <c r="I136" s="13">
        <v>131.0</v>
      </c>
      <c r="J136" s="14" t="s">
        <v>36</v>
      </c>
      <c r="K136" s="13">
        <v>149.0</v>
      </c>
      <c r="L136" s="13">
        <v>130.0</v>
      </c>
      <c r="M136" s="14" t="s">
        <v>36</v>
      </c>
      <c r="N136" s="13">
        <v>114.0</v>
      </c>
      <c r="O136" s="13">
        <v>117.0</v>
      </c>
      <c r="P136" s="13">
        <v>14.02</v>
      </c>
      <c r="Q136" s="13">
        <v>11.12</v>
      </c>
      <c r="R136" s="11" t="str">
        <f t="shared" si="1"/>
        <v>QB</v>
      </c>
    </row>
    <row r="137" ht="14.25" customHeight="1">
      <c r="A137" s="13">
        <v>133.0</v>
      </c>
      <c r="B137" s="14" t="s">
        <v>377</v>
      </c>
      <c r="C137" s="14" t="s">
        <v>378</v>
      </c>
      <c r="D137" s="14" t="s">
        <v>119</v>
      </c>
      <c r="E137" s="13">
        <v>137.0</v>
      </c>
      <c r="F137" s="13">
        <v>145.0</v>
      </c>
      <c r="G137" s="13">
        <v>147.0</v>
      </c>
      <c r="H137" s="13">
        <v>131.0</v>
      </c>
      <c r="I137" s="13">
        <v>138.0</v>
      </c>
      <c r="J137" s="14" t="s">
        <v>36</v>
      </c>
      <c r="K137" s="13">
        <v>145.0</v>
      </c>
      <c r="L137" s="13">
        <v>132.0</v>
      </c>
      <c r="M137" s="14" t="s">
        <v>36</v>
      </c>
      <c r="N137" s="13">
        <v>135.0</v>
      </c>
      <c r="O137" s="13">
        <v>137.0</v>
      </c>
      <c r="P137" s="13">
        <v>14.03</v>
      </c>
      <c r="Q137" s="13">
        <v>12.01</v>
      </c>
      <c r="R137" s="11" t="str">
        <f t="shared" si="1"/>
        <v>RB</v>
      </c>
    </row>
    <row r="138" ht="14.25" customHeight="1">
      <c r="A138" s="13">
        <v>134.0</v>
      </c>
      <c r="B138" s="14" t="s">
        <v>379</v>
      </c>
      <c r="C138" s="14" t="s">
        <v>380</v>
      </c>
      <c r="D138" s="14" t="s">
        <v>125</v>
      </c>
      <c r="E138" s="13">
        <v>151.0</v>
      </c>
      <c r="F138" s="13">
        <v>164.0</v>
      </c>
      <c r="G138" s="13">
        <v>143.0</v>
      </c>
      <c r="H138" s="13">
        <v>136.0</v>
      </c>
      <c r="I138" s="13">
        <v>134.0</v>
      </c>
      <c r="J138" s="14" t="s">
        <v>36</v>
      </c>
      <c r="K138" s="13">
        <v>127.0</v>
      </c>
      <c r="L138" s="13">
        <v>139.0</v>
      </c>
      <c r="M138" s="14" t="s">
        <v>36</v>
      </c>
      <c r="N138" s="13">
        <v>132.0</v>
      </c>
      <c r="O138" s="13">
        <v>138.0</v>
      </c>
      <c r="P138" s="13">
        <v>14.04</v>
      </c>
      <c r="Q138" s="13">
        <v>12.02</v>
      </c>
      <c r="R138" s="11" t="str">
        <f t="shared" si="1"/>
        <v>RB</v>
      </c>
    </row>
    <row r="139" ht="14.25" customHeight="1">
      <c r="A139" s="13">
        <v>135.0</v>
      </c>
      <c r="B139" s="14" t="s">
        <v>381</v>
      </c>
      <c r="C139" s="14" t="s">
        <v>382</v>
      </c>
      <c r="D139" s="14" t="s">
        <v>131</v>
      </c>
      <c r="E139" s="13">
        <v>152.0</v>
      </c>
      <c r="F139" s="13">
        <v>153.0</v>
      </c>
      <c r="G139" s="13">
        <v>141.0</v>
      </c>
      <c r="H139" s="13">
        <v>143.0</v>
      </c>
      <c r="I139" s="13">
        <v>133.0</v>
      </c>
      <c r="J139" s="14" t="s">
        <v>36</v>
      </c>
      <c r="K139" s="13">
        <v>164.0</v>
      </c>
      <c r="L139" s="13">
        <v>138.0</v>
      </c>
      <c r="M139" s="14" t="s">
        <v>36</v>
      </c>
      <c r="N139" s="13">
        <v>127.0</v>
      </c>
      <c r="O139" s="13">
        <v>126.0</v>
      </c>
      <c r="P139" s="13">
        <v>14.05</v>
      </c>
      <c r="Q139" s="13">
        <v>12.03</v>
      </c>
      <c r="R139" s="11" t="str">
        <f t="shared" si="1"/>
        <v>QB</v>
      </c>
    </row>
    <row r="140" ht="14.25" customHeight="1">
      <c r="A140" s="13">
        <v>136.0</v>
      </c>
      <c r="B140" s="14" t="s">
        <v>384</v>
      </c>
      <c r="C140" s="14" t="s">
        <v>385</v>
      </c>
      <c r="D140" s="14" t="s">
        <v>52</v>
      </c>
      <c r="E140" s="13">
        <v>143.0</v>
      </c>
      <c r="F140" s="13">
        <v>151.0</v>
      </c>
      <c r="G140" s="13">
        <v>152.0</v>
      </c>
      <c r="H140" s="13">
        <v>152.0</v>
      </c>
      <c r="I140" s="13">
        <v>129.0</v>
      </c>
      <c r="J140" s="14" t="s">
        <v>36</v>
      </c>
      <c r="K140" s="13">
        <v>153.0</v>
      </c>
      <c r="L140" s="13">
        <v>135.0</v>
      </c>
      <c r="M140" s="14" t="s">
        <v>36</v>
      </c>
      <c r="N140" s="13">
        <v>136.0</v>
      </c>
      <c r="O140" s="13">
        <v>135.0</v>
      </c>
      <c r="P140" s="13">
        <v>14.06</v>
      </c>
      <c r="Q140" s="13">
        <v>12.04</v>
      </c>
      <c r="R140" s="11" t="str">
        <f t="shared" si="1"/>
        <v>WR</v>
      </c>
    </row>
    <row r="141" ht="14.25" customHeight="1">
      <c r="A141" s="13">
        <v>137.0</v>
      </c>
      <c r="B141" s="14" t="s">
        <v>386</v>
      </c>
      <c r="C141" s="14" t="s">
        <v>387</v>
      </c>
      <c r="D141" s="14" t="s">
        <v>105</v>
      </c>
      <c r="E141" s="13">
        <v>164.0</v>
      </c>
      <c r="F141" s="13">
        <v>195.0</v>
      </c>
      <c r="G141" s="13">
        <v>140.0</v>
      </c>
      <c r="H141" s="13">
        <v>120.0</v>
      </c>
      <c r="I141" s="13">
        <v>132.0</v>
      </c>
      <c r="J141" s="14" t="s">
        <v>36</v>
      </c>
      <c r="K141" s="13">
        <v>163.0</v>
      </c>
      <c r="L141" s="13">
        <v>125.0</v>
      </c>
      <c r="M141" s="14" t="s">
        <v>36</v>
      </c>
      <c r="N141" s="13">
        <v>128.0</v>
      </c>
      <c r="O141" s="13">
        <v>130.0</v>
      </c>
      <c r="P141" s="13">
        <v>14.07</v>
      </c>
      <c r="Q141" s="13">
        <v>12.05</v>
      </c>
      <c r="R141" s="11" t="str">
        <f t="shared" si="1"/>
        <v>RB</v>
      </c>
    </row>
    <row r="142" ht="14.25" customHeight="1">
      <c r="A142" s="13">
        <v>138.0</v>
      </c>
      <c r="B142" s="14" t="s">
        <v>388</v>
      </c>
      <c r="C142" s="14" t="s">
        <v>389</v>
      </c>
      <c r="D142" s="14" t="s">
        <v>131</v>
      </c>
      <c r="E142" s="13">
        <v>148.0</v>
      </c>
      <c r="F142" s="13">
        <v>163.0</v>
      </c>
      <c r="G142" s="13">
        <v>164.0</v>
      </c>
      <c r="H142" s="13">
        <v>112.0</v>
      </c>
      <c r="I142" s="13">
        <v>146.0</v>
      </c>
      <c r="J142" s="14" t="s">
        <v>36</v>
      </c>
      <c r="K142" s="13">
        <v>173.0</v>
      </c>
      <c r="L142" s="13">
        <v>133.0</v>
      </c>
      <c r="M142" s="14" t="s">
        <v>36</v>
      </c>
      <c r="N142" s="13">
        <v>137.0</v>
      </c>
      <c r="O142" s="13">
        <v>140.0</v>
      </c>
      <c r="P142" s="13">
        <v>14.08</v>
      </c>
      <c r="Q142" s="13">
        <v>12.06</v>
      </c>
      <c r="R142" s="11" t="str">
        <f t="shared" si="1"/>
        <v>TE</v>
      </c>
    </row>
    <row r="143" ht="14.25" customHeight="1">
      <c r="A143" s="13">
        <v>139.0</v>
      </c>
      <c r="B143" s="14" t="s">
        <v>390</v>
      </c>
      <c r="C143" s="14" t="s">
        <v>391</v>
      </c>
      <c r="D143" s="14" t="s">
        <v>52</v>
      </c>
      <c r="E143" s="13">
        <v>139.0</v>
      </c>
      <c r="F143" s="13">
        <v>155.0</v>
      </c>
      <c r="G143" s="13">
        <v>154.0</v>
      </c>
      <c r="H143" s="13">
        <v>140.0</v>
      </c>
      <c r="I143" s="13">
        <v>145.0</v>
      </c>
      <c r="J143" s="14" t="s">
        <v>36</v>
      </c>
      <c r="K143" s="13">
        <v>125.0</v>
      </c>
      <c r="L143" s="13">
        <v>145.0</v>
      </c>
      <c r="M143" s="14" t="s">
        <v>36</v>
      </c>
      <c r="N143" s="13">
        <v>168.0</v>
      </c>
      <c r="O143" s="13">
        <v>164.0</v>
      </c>
      <c r="P143" s="13">
        <v>14.09</v>
      </c>
      <c r="Q143" s="13">
        <v>12.07</v>
      </c>
      <c r="R143" s="11" t="str">
        <f t="shared" si="1"/>
        <v>RB</v>
      </c>
    </row>
    <row r="144" ht="14.25" customHeight="1">
      <c r="A144" s="13">
        <v>140.0</v>
      </c>
      <c r="B144" s="14" t="s">
        <v>392</v>
      </c>
      <c r="C144" s="14" t="s">
        <v>393</v>
      </c>
      <c r="D144" s="14" t="s">
        <v>231</v>
      </c>
      <c r="E144" s="13">
        <v>145.0</v>
      </c>
      <c r="F144" s="13">
        <v>160.0</v>
      </c>
      <c r="G144" s="13">
        <v>153.0</v>
      </c>
      <c r="H144" s="13">
        <v>141.0</v>
      </c>
      <c r="I144" s="13">
        <v>149.0</v>
      </c>
      <c r="J144" s="14" t="s">
        <v>36</v>
      </c>
      <c r="K144" s="13">
        <v>159.0</v>
      </c>
      <c r="L144" s="13">
        <v>140.0</v>
      </c>
      <c r="M144" s="14" t="s">
        <v>36</v>
      </c>
      <c r="N144" s="13">
        <v>145.0</v>
      </c>
      <c r="O144" s="13">
        <v>156.0</v>
      </c>
      <c r="P144" s="13">
        <v>14.1</v>
      </c>
      <c r="Q144" s="13">
        <v>12.08</v>
      </c>
      <c r="R144" s="11" t="str">
        <f t="shared" si="1"/>
        <v>RB</v>
      </c>
    </row>
    <row r="145" ht="14.25" customHeight="1">
      <c r="A145" s="13">
        <v>141.0</v>
      </c>
      <c r="B145" s="14" t="s">
        <v>394</v>
      </c>
      <c r="C145" s="14" t="s">
        <v>395</v>
      </c>
      <c r="D145" s="14" t="s">
        <v>98</v>
      </c>
      <c r="E145" s="13">
        <v>133.0</v>
      </c>
      <c r="F145" s="13">
        <v>166.0</v>
      </c>
      <c r="G145" s="13">
        <v>144.0</v>
      </c>
      <c r="H145" s="13">
        <v>150.0</v>
      </c>
      <c r="I145" s="13">
        <v>160.0</v>
      </c>
      <c r="J145" s="14" t="s">
        <v>36</v>
      </c>
      <c r="K145" s="13">
        <v>198.0</v>
      </c>
      <c r="L145" s="13">
        <v>126.0</v>
      </c>
      <c r="M145" s="14" t="s">
        <v>36</v>
      </c>
      <c r="N145" s="13">
        <v>131.0</v>
      </c>
      <c r="O145" s="13">
        <v>142.0</v>
      </c>
      <c r="P145" s="13">
        <v>15.01</v>
      </c>
      <c r="Q145" s="13">
        <v>12.09</v>
      </c>
      <c r="R145" s="11" t="str">
        <f t="shared" si="1"/>
        <v>RB</v>
      </c>
    </row>
    <row r="146" ht="14.25" customHeight="1">
      <c r="A146" s="13">
        <v>142.0</v>
      </c>
      <c r="B146" s="14" t="s">
        <v>396</v>
      </c>
      <c r="C146" s="14" t="s">
        <v>397</v>
      </c>
      <c r="D146" s="14" t="s">
        <v>94</v>
      </c>
      <c r="E146" s="13">
        <v>162.0</v>
      </c>
      <c r="F146" s="13">
        <v>178.0</v>
      </c>
      <c r="G146" s="13">
        <v>150.0</v>
      </c>
      <c r="H146" s="13">
        <v>151.0</v>
      </c>
      <c r="I146" s="13">
        <v>144.0</v>
      </c>
      <c r="J146" s="14" t="s">
        <v>36</v>
      </c>
      <c r="K146" s="13">
        <v>178.0</v>
      </c>
      <c r="L146" s="13">
        <v>131.0</v>
      </c>
      <c r="M146" s="14" t="s">
        <v>36</v>
      </c>
      <c r="N146" s="13">
        <v>130.0</v>
      </c>
      <c r="O146" s="13">
        <v>134.0</v>
      </c>
      <c r="P146" s="13">
        <v>15.02</v>
      </c>
      <c r="Q146" s="13">
        <v>12.1</v>
      </c>
      <c r="R146" s="11" t="str">
        <f t="shared" si="1"/>
        <v>QB</v>
      </c>
    </row>
    <row r="147" ht="14.25" customHeight="1">
      <c r="A147" s="13">
        <v>143.0</v>
      </c>
      <c r="B147" s="14" t="s">
        <v>398</v>
      </c>
      <c r="C147" s="14" t="s">
        <v>399</v>
      </c>
      <c r="D147" s="14" t="s">
        <v>206</v>
      </c>
      <c r="E147" s="13">
        <v>147.0</v>
      </c>
      <c r="F147" s="13">
        <v>185.0</v>
      </c>
      <c r="G147" s="13">
        <v>161.0</v>
      </c>
      <c r="H147" s="13">
        <v>123.0</v>
      </c>
      <c r="I147" s="13">
        <v>151.0</v>
      </c>
      <c r="J147" s="14" t="s">
        <v>36</v>
      </c>
      <c r="K147" s="13">
        <v>148.0</v>
      </c>
      <c r="L147" s="13">
        <v>157.0</v>
      </c>
      <c r="M147" s="14" t="s">
        <v>36</v>
      </c>
      <c r="N147" s="13">
        <v>156.0</v>
      </c>
      <c r="O147" s="13">
        <v>148.0</v>
      </c>
      <c r="P147" s="13">
        <v>15.03</v>
      </c>
      <c r="Q147" s="13">
        <v>12.11</v>
      </c>
      <c r="R147" s="11" t="str">
        <f t="shared" si="1"/>
        <v>TE</v>
      </c>
    </row>
    <row r="148" ht="14.25" customHeight="1">
      <c r="A148" s="13">
        <v>144.0</v>
      </c>
      <c r="B148" s="14" t="s">
        <v>400</v>
      </c>
      <c r="C148" s="14" t="s">
        <v>401</v>
      </c>
      <c r="D148" s="14" t="s">
        <v>195</v>
      </c>
      <c r="E148" s="13">
        <v>176.0</v>
      </c>
      <c r="F148" s="13">
        <v>176.0</v>
      </c>
      <c r="G148" s="13">
        <v>165.0</v>
      </c>
      <c r="H148" s="13">
        <v>153.0</v>
      </c>
      <c r="I148" s="13">
        <v>140.0</v>
      </c>
      <c r="J148" s="14" t="s">
        <v>36</v>
      </c>
      <c r="K148" s="13">
        <v>155.0</v>
      </c>
      <c r="L148" s="13">
        <v>136.0</v>
      </c>
      <c r="M148" s="14" t="s">
        <v>36</v>
      </c>
      <c r="N148" s="13">
        <v>147.0</v>
      </c>
      <c r="O148" s="13">
        <v>139.0</v>
      </c>
      <c r="P148" s="13">
        <v>15.04</v>
      </c>
      <c r="Q148" s="13">
        <v>12.12</v>
      </c>
      <c r="R148" s="11" t="str">
        <f t="shared" si="1"/>
        <v>WR</v>
      </c>
    </row>
    <row r="149" ht="14.25" customHeight="1">
      <c r="A149" s="13">
        <v>145.0</v>
      </c>
      <c r="B149" s="14" t="s">
        <v>402</v>
      </c>
      <c r="C149" s="14" t="s">
        <v>403</v>
      </c>
      <c r="D149" s="14" t="s">
        <v>176</v>
      </c>
      <c r="E149" s="13">
        <v>161.0</v>
      </c>
      <c r="F149" s="13">
        <v>205.0</v>
      </c>
      <c r="G149" s="13">
        <v>190.0</v>
      </c>
      <c r="H149" s="13">
        <v>135.0</v>
      </c>
      <c r="I149" s="13">
        <v>139.0</v>
      </c>
      <c r="J149" s="14" t="s">
        <v>36</v>
      </c>
      <c r="K149" s="13">
        <v>140.0</v>
      </c>
      <c r="L149" s="13">
        <v>143.0</v>
      </c>
      <c r="M149" s="14" t="s">
        <v>36</v>
      </c>
      <c r="N149" s="13">
        <v>146.0</v>
      </c>
      <c r="O149" s="13">
        <v>143.0</v>
      </c>
      <c r="P149" s="13">
        <v>15.05</v>
      </c>
      <c r="Q149" s="13">
        <v>13.01</v>
      </c>
      <c r="R149" s="11" t="str">
        <f t="shared" si="1"/>
        <v>RB</v>
      </c>
    </row>
    <row r="150" ht="14.25" customHeight="1">
      <c r="A150" s="13">
        <v>146.0</v>
      </c>
      <c r="B150" s="14" t="s">
        <v>404</v>
      </c>
      <c r="C150" s="14" t="s">
        <v>405</v>
      </c>
      <c r="D150" s="14" t="s">
        <v>116</v>
      </c>
      <c r="E150" s="13">
        <v>170.0</v>
      </c>
      <c r="F150" s="13">
        <v>139.0</v>
      </c>
      <c r="G150" s="13">
        <v>214.0</v>
      </c>
      <c r="H150" s="13">
        <v>138.0</v>
      </c>
      <c r="I150" s="13">
        <v>164.0</v>
      </c>
      <c r="J150" s="14" t="s">
        <v>36</v>
      </c>
      <c r="K150" s="13">
        <v>139.0</v>
      </c>
      <c r="L150" s="13">
        <v>159.0</v>
      </c>
      <c r="M150" s="14" t="s">
        <v>36</v>
      </c>
      <c r="N150" s="13">
        <v>167.0</v>
      </c>
      <c r="O150" s="13">
        <v>154.0</v>
      </c>
      <c r="P150" s="13">
        <v>15.06</v>
      </c>
      <c r="Q150" s="13">
        <v>13.02</v>
      </c>
      <c r="R150" s="11" t="str">
        <f t="shared" si="1"/>
        <v>TE</v>
      </c>
    </row>
    <row r="151" ht="14.25" customHeight="1">
      <c r="A151" s="13">
        <v>147.0</v>
      </c>
      <c r="B151" s="14" t="s">
        <v>406</v>
      </c>
      <c r="C151" s="14" t="s">
        <v>407</v>
      </c>
      <c r="D151" s="14" t="s">
        <v>85</v>
      </c>
      <c r="E151" s="13">
        <v>174.0</v>
      </c>
      <c r="F151" s="13">
        <v>202.0</v>
      </c>
      <c r="G151" s="13">
        <v>176.0</v>
      </c>
      <c r="H151" s="13">
        <v>149.0</v>
      </c>
      <c r="I151" s="13">
        <v>154.0</v>
      </c>
      <c r="J151" s="14" t="s">
        <v>36</v>
      </c>
      <c r="K151" s="13">
        <v>176.0</v>
      </c>
      <c r="L151" s="13">
        <v>137.0</v>
      </c>
      <c r="M151" s="14" t="s">
        <v>36</v>
      </c>
      <c r="N151" s="13">
        <v>157.0</v>
      </c>
      <c r="O151" s="13">
        <v>152.0</v>
      </c>
      <c r="P151" s="13">
        <v>15.07</v>
      </c>
      <c r="Q151" s="13">
        <v>13.03</v>
      </c>
      <c r="R151" s="11" t="str">
        <f t="shared" si="1"/>
        <v>RB</v>
      </c>
    </row>
    <row r="152" ht="14.25" customHeight="1">
      <c r="A152" s="13">
        <v>148.0</v>
      </c>
      <c r="B152" s="14" t="s">
        <v>408</v>
      </c>
      <c r="C152" s="14" t="s">
        <v>409</v>
      </c>
      <c r="D152" s="14" t="s">
        <v>192</v>
      </c>
      <c r="E152" s="13">
        <v>189.0</v>
      </c>
      <c r="F152" s="13">
        <v>232.0</v>
      </c>
      <c r="G152" s="13">
        <v>170.0</v>
      </c>
      <c r="H152" s="13">
        <v>127.0</v>
      </c>
      <c r="I152" s="13">
        <v>156.0</v>
      </c>
      <c r="J152" s="14" t="s">
        <v>36</v>
      </c>
      <c r="K152" s="13">
        <v>170.0</v>
      </c>
      <c r="L152" s="13">
        <v>152.0</v>
      </c>
      <c r="M152" s="14" t="s">
        <v>36</v>
      </c>
      <c r="N152" s="13">
        <v>151.0</v>
      </c>
      <c r="O152" s="13">
        <v>146.0</v>
      </c>
      <c r="P152" s="13">
        <v>15.08</v>
      </c>
      <c r="Q152" s="13">
        <v>13.04</v>
      </c>
      <c r="R152" s="11" t="str">
        <f t="shared" si="1"/>
        <v>TE</v>
      </c>
    </row>
    <row r="153" ht="14.25" customHeight="1">
      <c r="A153" s="13">
        <v>149.0</v>
      </c>
      <c r="B153" s="14" t="s">
        <v>410</v>
      </c>
      <c r="C153" s="14" t="s">
        <v>411</v>
      </c>
      <c r="D153" s="14" t="s">
        <v>62</v>
      </c>
      <c r="E153" s="13">
        <v>158.0</v>
      </c>
      <c r="F153" s="13">
        <v>158.0</v>
      </c>
      <c r="G153" s="13">
        <v>220.0</v>
      </c>
      <c r="H153" s="13">
        <v>169.0</v>
      </c>
      <c r="I153" s="13">
        <v>163.0</v>
      </c>
      <c r="J153" s="14" t="s">
        <v>36</v>
      </c>
      <c r="K153" s="13">
        <v>195.0</v>
      </c>
      <c r="L153" s="13">
        <v>156.0</v>
      </c>
      <c r="M153" s="14" t="s">
        <v>36</v>
      </c>
      <c r="N153" s="13">
        <v>140.0</v>
      </c>
      <c r="O153" s="13">
        <v>144.0</v>
      </c>
      <c r="P153" s="13">
        <v>15.09</v>
      </c>
      <c r="Q153" s="13">
        <v>13.05</v>
      </c>
      <c r="R153" s="11" t="str">
        <f t="shared" si="1"/>
        <v>QB</v>
      </c>
    </row>
    <row r="154" ht="14.25" customHeight="1">
      <c r="A154" s="13">
        <v>150.0</v>
      </c>
      <c r="B154" s="14" t="s">
        <v>412</v>
      </c>
      <c r="C154" s="14" t="s">
        <v>413</v>
      </c>
      <c r="D154" s="14" t="s">
        <v>98</v>
      </c>
      <c r="E154" s="13">
        <v>185.0</v>
      </c>
      <c r="F154" s="13">
        <v>187.0</v>
      </c>
      <c r="G154" s="13">
        <v>166.0</v>
      </c>
      <c r="H154" s="13">
        <v>163.0</v>
      </c>
      <c r="I154" s="13">
        <v>153.0</v>
      </c>
      <c r="J154" s="14" t="s">
        <v>36</v>
      </c>
      <c r="K154" s="13">
        <v>207.0</v>
      </c>
      <c r="L154" s="13">
        <v>149.0</v>
      </c>
      <c r="M154" s="14" t="s">
        <v>36</v>
      </c>
      <c r="N154" s="13">
        <v>149.0</v>
      </c>
      <c r="O154" s="13">
        <v>150.0</v>
      </c>
      <c r="P154" s="13">
        <v>15.1</v>
      </c>
      <c r="Q154" s="13">
        <v>13.06</v>
      </c>
      <c r="R154" s="11" t="str">
        <f t="shared" si="1"/>
        <v>WR</v>
      </c>
    </row>
    <row r="155" ht="14.25" customHeight="1">
      <c r="A155" s="13">
        <v>151.0</v>
      </c>
      <c r="B155" s="14" t="s">
        <v>415</v>
      </c>
      <c r="C155" s="14" t="s">
        <v>416</v>
      </c>
      <c r="D155" s="14" t="s">
        <v>131</v>
      </c>
      <c r="E155" s="13">
        <v>156.0</v>
      </c>
      <c r="F155" s="13">
        <v>161.0</v>
      </c>
      <c r="G155" s="13">
        <v>163.0</v>
      </c>
      <c r="H155" s="13">
        <v>157.0</v>
      </c>
      <c r="I155" s="13">
        <v>165.0</v>
      </c>
      <c r="J155" s="14" t="s">
        <v>36</v>
      </c>
      <c r="K155" s="13">
        <v>156.0</v>
      </c>
      <c r="L155" s="13">
        <v>188.0</v>
      </c>
      <c r="M155" s="14" t="s">
        <v>36</v>
      </c>
      <c r="N155" s="13">
        <v>193.0</v>
      </c>
      <c r="O155" s="13">
        <v>183.0</v>
      </c>
      <c r="P155" s="13">
        <v>16.01</v>
      </c>
      <c r="Q155" s="13">
        <v>13.07</v>
      </c>
      <c r="R155" s="11" t="str">
        <f t="shared" si="1"/>
        <v>RB</v>
      </c>
    </row>
    <row r="156" ht="14.25" customHeight="1">
      <c r="A156" s="13">
        <v>152.0</v>
      </c>
      <c r="B156" s="14" t="s">
        <v>417</v>
      </c>
      <c r="C156" s="14" t="s">
        <v>418</v>
      </c>
      <c r="D156" s="14" t="s">
        <v>35</v>
      </c>
      <c r="E156" s="13">
        <v>153.0</v>
      </c>
      <c r="F156" s="13">
        <v>165.0</v>
      </c>
      <c r="G156" s="13">
        <v>160.0</v>
      </c>
      <c r="H156" s="13">
        <v>161.0</v>
      </c>
      <c r="I156" s="13">
        <v>161.0</v>
      </c>
      <c r="J156" s="14" t="s">
        <v>36</v>
      </c>
      <c r="K156" s="13">
        <v>179.0</v>
      </c>
      <c r="L156" s="13">
        <v>178.0</v>
      </c>
      <c r="M156" s="14" t="s">
        <v>36</v>
      </c>
      <c r="N156" s="13">
        <v>197.0</v>
      </c>
      <c r="O156" s="13">
        <v>187.0</v>
      </c>
      <c r="P156" s="13">
        <v>16.02</v>
      </c>
      <c r="Q156" s="13">
        <v>13.08</v>
      </c>
      <c r="R156" s="11" t="str">
        <f t="shared" si="1"/>
        <v>RB</v>
      </c>
    </row>
    <row r="157" ht="14.25" customHeight="1">
      <c r="A157" s="13">
        <v>153.0</v>
      </c>
      <c r="B157" s="14" t="s">
        <v>419</v>
      </c>
      <c r="C157" s="14" t="s">
        <v>420</v>
      </c>
      <c r="D157" s="14" t="s">
        <v>119</v>
      </c>
      <c r="E157" s="13">
        <v>173.0</v>
      </c>
      <c r="F157" s="13">
        <v>188.0</v>
      </c>
      <c r="G157" s="13">
        <v>201.0</v>
      </c>
      <c r="H157" s="13">
        <v>145.0</v>
      </c>
      <c r="I157" s="13">
        <v>181.0</v>
      </c>
      <c r="J157" s="14" t="s">
        <v>36</v>
      </c>
      <c r="K157" s="13">
        <v>189.0</v>
      </c>
      <c r="L157" s="13">
        <v>151.0</v>
      </c>
      <c r="M157" s="14" t="s">
        <v>36</v>
      </c>
      <c r="N157" s="13">
        <v>161.0</v>
      </c>
      <c r="O157" s="13">
        <v>163.0</v>
      </c>
      <c r="P157" s="13">
        <v>16.03</v>
      </c>
      <c r="Q157" s="13">
        <v>13.09</v>
      </c>
      <c r="R157" s="11" t="str">
        <f t="shared" si="1"/>
        <v>TE</v>
      </c>
    </row>
    <row r="158" ht="14.25" customHeight="1">
      <c r="A158" s="13">
        <v>154.0</v>
      </c>
      <c r="B158" s="14" t="s">
        <v>421</v>
      </c>
      <c r="C158" s="14" t="s">
        <v>422</v>
      </c>
      <c r="D158" s="14" t="s">
        <v>40</v>
      </c>
      <c r="E158" s="13">
        <v>184.0</v>
      </c>
      <c r="F158" s="13">
        <v>170.0</v>
      </c>
      <c r="G158" s="13">
        <v>183.0</v>
      </c>
      <c r="H158" s="13">
        <v>165.0</v>
      </c>
      <c r="I158" s="13">
        <v>172.0</v>
      </c>
      <c r="J158" s="14" t="s">
        <v>36</v>
      </c>
      <c r="K158" s="13">
        <v>160.0</v>
      </c>
      <c r="L158" s="13">
        <v>154.0</v>
      </c>
      <c r="M158" s="14" t="s">
        <v>36</v>
      </c>
      <c r="N158" s="13">
        <v>187.0</v>
      </c>
      <c r="O158" s="13">
        <v>182.0</v>
      </c>
      <c r="P158" s="13">
        <v>16.04</v>
      </c>
      <c r="Q158" s="13">
        <v>13.1</v>
      </c>
      <c r="R158" s="11" t="str">
        <f t="shared" si="1"/>
        <v>RB</v>
      </c>
    </row>
    <row r="159" ht="14.25" customHeight="1">
      <c r="A159" s="13">
        <v>155.0</v>
      </c>
      <c r="B159" s="14" t="s">
        <v>423</v>
      </c>
      <c r="C159" s="14" t="s">
        <v>424</v>
      </c>
      <c r="D159" s="14" t="s">
        <v>119</v>
      </c>
      <c r="E159" s="13">
        <v>166.0</v>
      </c>
      <c r="F159" s="13">
        <v>172.0</v>
      </c>
      <c r="G159" s="13">
        <v>212.0</v>
      </c>
      <c r="H159" s="13">
        <v>188.0</v>
      </c>
      <c r="I159" s="13">
        <v>175.0</v>
      </c>
      <c r="J159" s="14" t="s">
        <v>36</v>
      </c>
      <c r="K159" s="13">
        <v>191.0</v>
      </c>
      <c r="L159" s="13">
        <v>169.0</v>
      </c>
      <c r="M159" s="14" t="s">
        <v>36</v>
      </c>
      <c r="N159" s="13">
        <v>148.0</v>
      </c>
      <c r="O159" s="13">
        <v>145.0</v>
      </c>
      <c r="P159" s="13">
        <v>16.05</v>
      </c>
      <c r="Q159" s="13">
        <v>13.11</v>
      </c>
      <c r="R159" s="11" t="str">
        <f t="shared" si="1"/>
        <v>QB</v>
      </c>
    </row>
    <row r="160" ht="14.25" customHeight="1">
      <c r="A160" s="13">
        <v>156.0</v>
      </c>
      <c r="B160" s="14" t="s">
        <v>425</v>
      </c>
      <c r="C160" s="14" t="s">
        <v>426</v>
      </c>
      <c r="D160" s="14" t="s">
        <v>75</v>
      </c>
      <c r="E160" s="13">
        <v>196.0</v>
      </c>
      <c r="F160" s="13">
        <v>124.0</v>
      </c>
      <c r="G160" s="13">
        <v>197.0</v>
      </c>
      <c r="H160" s="13">
        <v>147.0</v>
      </c>
      <c r="I160" s="13">
        <v>189.0</v>
      </c>
      <c r="J160" s="14" t="s">
        <v>36</v>
      </c>
      <c r="K160" s="13">
        <v>186.0</v>
      </c>
      <c r="L160" s="13">
        <v>198.0</v>
      </c>
      <c r="M160" s="14" t="s">
        <v>36</v>
      </c>
      <c r="N160" s="13">
        <v>171.0</v>
      </c>
      <c r="O160" s="13">
        <v>167.0</v>
      </c>
      <c r="P160" s="13">
        <v>16.06</v>
      </c>
      <c r="Q160" s="13">
        <v>13.12</v>
      </c>
      <c r="R160" s="11" t="str">
        <f t="shared" si="1"/>
        <v>TE</v>
      </c>
    </row>
    <row r="161" ht="14.25" customHeight="1">
      <c r="A161" s="13">
        <v>157.0</v>
      </c>
      <c r="B161" s="14" t="s">
        <v>427</v>
      </c>
      <c r="C161" s="14" t="s">
        <v>428</v>
      </c>
      <c r="D161" s="14" t="s">
        <v>62</v>
      </c>
      <c r="E161" s="13">
        <v>182.0</v>
      </c>
      <c r="F161" s="13">
        <v>180.0</v>
      </c>
      <c r="G161" s="13">
        <v>122.0</v>
      </c>
      <c r="H161" s="13">
        <v>183.0</v>
      </c>
      <c r="I161" s="13">
        <v>209.0</v>
      </c>
      <c r="J161" s="14" t="s">
        <v>36</v>
      </c>
      <c r="K161" s="13">
        <v>265.0</v>
      </c>
      <c r="L161" s="13">
        <v>144.0</v>
      </c>
      <c r="M161" s="14" t="s">
        <v>36</v>
      </c>
      <c r="N161" s="13">
        <v>154.0</v>
      </c>
      <c r="O161" s="13">
        <v>155.0</v>
      </c>
      <c r="P161" s="13">
        <v>16.07</v>
      </c>
      <c r="Q161" s="13">
        <v>14.01</v>
      </c>
      <c r="R161" s="11" t="str">
        <f t="shared" si="1"/>
        <v>WR</v>
      </c>
    </row>
    <row r="162" ht="14.25" customHeight="1">
      <c r="A162" s="13">
        <v>158.0</v>
      </c>
      <c r="B162" s="14" t="s">
        <v>430</v>
      </c>
      <c r="C162" s="14" t="s">
        <v>431</v>
      </c>
      <c r="D162" s="14" t="s">
        <v>148</v>
      </c>
      <c r="E162" s="13">
        <v>187.0</v>
      </c>
      <c r="F162" s="13">
        <v>143.0</v>
      </c>
      <c r="G162" s="13">
        <v>193.0</v>
      </c>
      <c r="H162" s="13">
        <v>156.0</v>
      </c>
      <c r="I162" s="13">
        <v>191.0</v>
      </c>
      <c r="J162" s="14" t="s">
        <v>36</v>
      </c>
      <c r="K162" s="13">
        <v>150.0</v>
      </c>
      <c r="L162" s="13">
        <v>203.0</v>
      </c>
      <c r="M162" s="14" t="s">
        <v>36</v>
      </c>
      <c r="N162" s="13">
        <v>195.0</v>
      </c>
      <c r="O162" s="13">
        <v>178.0</v>
      </c>
      <c r="P162" s="13">
        <v>16.08</v>
      </c>
      <c r="Q162" s="13">
        <v>14.02</v>
      </c>
      <c r="R162" s="11" t="str">
        <f t="shared" si="1"/>
        <v>TE</v>
      </c>
    </row>
    <row r="163" ht="14.25" customHeight="1">
      <c r="A163" s="13">
        <v>159.0</v>
      </c>
      <c r="B163" s="14" t="s">
        <v>432</v>
      </c>
      <c r="C163" s="14" t="s">
        <v>433</v>
      </c>
      <c r="D163" s="14" t="s">
        <v>52</v>
      </c>
      <c r="E163" s="13">
        <v>205.0</v>
      </c>
      <c r="F163" s="13">
        <v>208.0</v>
      </c>
      <c r="G163" s="13">
        <v>240.0</v>
      </c>
      <c r="H163" s="13">
        <v>166.0</v>
      </c>
      <c r="I163" s="13">
        <v>200.0</v>
      </c>
      <c r="J163" s="14" t="s">
        <v>36</v>
      </c>
      <c r="K163" s="13">
        <v>166.0</v>
      </c>
      <c r="L163" s="13">
        <v>176.0</v>
      </c>
      <c r="M163" s="14" t="s">
        <v>36</v>
      </c>
      <c r="N163" s="13">
        <v>185.0</v>
      </c>
      <c r="O163" s="13">
        <v>175.0</v>
      </c>
      <c r="P163" s="13">
        <v>16.09</v>
      </c>
      <c r="Q163" s="13">
        <v>14.03</v>
      </c>
      <c r="R163" s="11" t="str">
        <f t="shared" si="1"/>
        <v>TE</v>
      </c>
    </row>
    <row r="164" ht="14.25" customHeight="1">
      <c r="A164" s="13">
        <v>160.0</v>
      </c>
      <c r="B164" s="14" t="s">
        <v>434</v>
      </c>
      <c r="C164" s="14" t="s">
        <v>435</v>
      </c>
      <c r="D164" s="14" t="s">
        <v>128</v>
      </c>
      <c r="E164" s="13">
        <v>134.0</v>
      </c>
      <c r="F164" s="14" t="s">
        <v>36</v>
      </c>
      <c r="G164" s="13">
        <v>139.0</v>
      </c>
      <c r="H164" s="13">
        <v>142.0</v>
      </c>
      <c r="I164" s="13">
        <v>137.0</v>
      </c>
      <c r="J164" s="14" t="s">
        <v>36</v>
      </c>
      <c r="K164" s="13">
        <v>129.0</v>
      </c>
      <c r="L164" s="13">
        <v>197.0</v>
      </c>
      <c r="M164" s="14" t="s">
        <v>36</v>
      </c>
      <c r="N164" s="13">
        <v>158.0</v>
      </c>
      <c r="O164" s="13">
        <v>153.0</v>
      </c>
      <c r="P164" s="13">
        <v>16.1</v>
      </c>
      <c r="Q164" s="13">
        <v>14.04</v>
      </c>
      <c r="R164" s="11" t="str">
        <f t="shared" si="1"/>
        <v>RB</v>
      </c>
    </row>
    <row r="165" ht="14.25" customHeight="1">
      <c r="A165" s="13">
        <v>161.0</v>
      </c>
      <c r="B165" s="14" t="s">
        <v>436</v>
      </c>
      <c r="C165" s="14" t="s">
        <v>437</v>
      </c>
      <c r="D165" s="14" t="s">
        <v>195</v>
      </c>
      <c r="E165" s="13">
        <v>193.0</v>
      </c>
      <c r="F165" s="13">
        <v>173.0</v>
      </c>
      <c r="G165" s="13">
        <v>216.0</v>
      </c>
      <c r="H165" s="13">
        <v>191.0</v>
      </c>
      <c r="I165" s="13">
        <v>178.0</v>
      </c>
      <c r="J165" s="14" t="s">
        <v>36</v>
      </c>
      <c r="K165" s="13">
        <v>204.0</v>
      </c>
      <c r="L165" s="13">
        <v>196.0</v>
      </c>
      <c r="M165" s="14" t="s">
        <v>36</v>
      </c>
      <c r="N165" s="13">
        <v>205.0</v>
      </c>
      <c r="O165" s="13">
        <v>204.0</v>
      </c>
      <c r="P165" s="13">
        <v>17.01</v>
      </c>
      <c r="Q165" s="13">
        <v>14.05</v>
      </c>
      <c r="R165" s="11" t="str">
        <f t="shared" si="1"/>
        <v>WR</v>
      </c>
    </row>
    <row r="166" ht="14.25" customHeight="1">
      <c r="A166" s="13">
        <v>162.0</v>
      </c>
      <c r="B166" s="14" t="s">
        <v>438</v>
      </c>
      <c r="C166" s="14" t="s">
        <v>439</v>
      </c>
      <c r="D166" s="14" t="s">
        <v>154</v>
      </c>
      <c r="E166" s="13">
        <v>157.0</v>
      </c>
      <c r="F166" s="14" t="s">
        <v>36</v>
      </c>
      <c r="G166" s="13">
        <v>120.0</v>
      </c>
      <c r="H166" s="13">
        <v>130.0</v>
      </c>
      <c r="I166" s="13">
        <v>147.0</v>
      </c>
      <c r="J166" s="14" t="s">
        <v>36</v>
      </c>
      <c r="K166" s="13">
        <v>217.0</v>
      </c>
      <c r="L166" s="13">
        <v>142.0</v>
      </c>
      <c r="M166" s="14" t="s">
        <v>36</v>
      </c>
      <c r="N166" s="13">
        <v>139.0</v>
      </c>
      <c r="O166" s="13">
        <v>147.0</v>
      </c>
      <c r="P166" s="13">
        <v>17.02</v>
      </c>
      <c r="Q166" s="13">
        <v>14.06</v>
      </c>
      <c r="R166" s="11" t="str">
        <f t="shared" si="1"/>
        <v>RB</v>
      </c>
    </row>
    <row r="167" ht="14.25" customHeight="1">
      <c r="A167" s="13">
        <v>163.0</v>
      </c>
      <c r="B167" s="14" t="s">
        <v>441</v>
      </c>
      <c r="C167" s="14" t="s">
        <v>442</v>
      </c>
      <c r="D167" s="14" t="s">
        <v>52</v>
      </c>
      <c r="E167" s="13">
        <v>146.0</v>
      </c>
      <c r="F167" s="13">
        <v>162.0</v>
      </c>
      <c r="G167" s="14" t="s">
        <v>36</v>
      </c>
      <c r="H167" s="13">
        <v>172.0</v>
      </c>
      <c r="I167" s="13">
        <v>157.0</v>
      </c>
      <c r="J167" s="14" t="s">
        <v>36</v>
      </c>
      <c r="K167" s="13">
        <v>169.0</v>
      </c>
      <c r="L167" s="13">
        <v>155.0</v>
      </c>
      <c r="M167" s="14" t="s">
        <v>36</v>
      </c>
      <c r="N167" s="13">
        <v>144.0</v>
      </c>
      <c r="O167" s="13">
        <v>141.0</v>
      </c>
      <c r="P167" s="13">
        <v>17.03</v>
      </c>
      <c r="Q167" s="13">
        <v>14.07</v>
      </c>
      <c r="R167" s="11" t="str">
        <f t="shared" si="1"/>
        <v>QB</v>
      </c>
    </row>
    <row r="168" ht="14.25" customHeight="1">
      <c r="A168" s="13">
        <v>164.0</v>
      </c>
      <c r="B168" s="14" t="s">
        <v>443</v>
      </c>
      <c r="C168" s="14" t="s">
        <v>444</v>
      </c>
      <c r="D168" s="14" t="s">
        <v>231</v>
      </c>
      <c r="E168" s="13">
        <v>192.0</v>
      </c>
      <c r="F168" s="13">
        <v>189.0</v>
      </c>
      <c r="G168" s="13">
        <v>225.0</v>
      </c>
      <c r="H168" s="13">
        <v>202.0</v>
      </c>
      <c r="I168" s="13">
        <v>219.0</v>
      </c>
      <c r="J168" s="14" t="s">
        <v>36</v>
      </c>
      <c r="K168" s="13">
        <v>245.0</v>
      </c>
      <c r="L168" s="13">
        <v>213.0</v>
      </c>
      <c r="M168" s="14" t="s">
        <v>36</v>
      </c>
      <c r="N168" s="13">
        <v>206.0</v>
      </c>
      <c r="O168" s="13">
        <v>205.0</v>
      </c>
      <c r="P168" s="13">
        <v>17.04</v>
      </c>
      <c r="Q168" s="13">
        <v>14.08</v>
      </c>
      <c r="R168" s="11" t="str">
        <f t="shared" si="1"/>
        <v>WR</v>
      </c>
    </row>
    <row r="169" ht="14.25" customHeight="1">
      <c r="A169" s="13">
        <v>165.0</v>
      </c>
      <c r="B169" s="14" t="s">
        <v>445</v>
      </c>
      <c r="C169" s="14" t="s">
        <v>446</v>
      </c>
      <c r="D169" s="14" t="s">
        <v>49</v>
      </c>
      <c r="E169" s="14" t="s">
        <v>36</v>
      </c>
      <c r="F169" s="13">
        <v>175.0</v>
      </c>
      <c r="G169" s="13">
        <v>167.0</v>
      </c>
      <c r="H169" s="13">
        <v>134.0</v>
      </c>
      <c r="I169" s="13">
        <v>171.0</v>
      </c>
      <c r="J169" s="14" t="s">
        <v>36</v>
      </c>
      <c r="K169" s="13">
        <v>203.0</v>
      </c>
      <c r="L169" s="13">
        <v>163.0</v>
      </c>
      <c r="M169" s="14" t="s">
        <v>36</v>
      </c>
      <c r="N169" s="13">
        <v>152.0</v>
      </c>
      <c r="O169" s="13">
        <v>159.0</v>
      </c>
      <c r="P169" s="13">
        <v>17.05</v>
      </c>
      <c r="Q169" s="13">
        <v>14.09</v>
      </c>
      <c r="R169" s="11" t="str">
        <f t="shared" si="1"/>
        <v>TE</v>
      </c>
    </row>
    <row r="170" ht="14.25" customHeight="1">
      <c r="A170" s="13">
        <v>166.0</v>
      </c>
      <c r="B170" s="14" t="s">
        <v>447</v>
      </c>
      <c r="C170" s="14" t="s">
        <v>448</v>
      </c>
      <c r="D170" s="14" t="s">
        <v>195</v>
      </c>
      <c r="E170" s="13">
        <v>169.0</v>
      </c>
      <c r="F170" s="14" t="s">
        <v>36</v>
      </c>
      <c r="G170" s="13">
        <v>168.0</v>
      </c>
      <c r="H170" s="13">
        <v>154.0</v>
      </c>
      <c r="I170" s="13">
        <v>152.0</v>
      </c>
      <c r="J170" s="14" t="s">
        <v>36</v>
      </c>
      <c r="K170" s="13">
        <v>177.0</v>
      </c>
      <c r="L170" s="13">
        <v>179.0</v>
      </c>
      <c r="M170" s="14" t="s">
        <v>36</v>
      </c>
      <c r="N170" s="13">
        <v>159.0</v>
      </c>
      <c r="O170" s="13">
        <v>171.0</v>
      </c>
      <c r="P170" s="13">
        <v>17.06</v>
      </c>
      <c r="Q170" s="13">
        <v>14.1</v>
      </c>
      <c r="R170" s="11" t="str">
        <f t="shared" si="1"/>
        <v>RB</v>
      </c>
    </row>
    <row r="171" ht="14.25" customHeight="1">
      <c r="A171" s="13">
        <v>167.0</v>
      </c>
      <c r="B171" s="14" t="s">
        <v>449</v>
      </c>
      <c r="C171" s="14" t="s">
        <v>451</v>
      </c>
      <c r="D171" s="14" t="s">
        <v>162</v>
      </c>
      <c r="E171" s="14" t="s">
        <v>36</v>
      </c>
      <c r="F171" s="13">
        <v>190.0</v>
      </c>
      <c r="G171" s="13">
        <v>182.0</v>
      </c>
      <c r="H171" s="13">
        <v>168.0</v>
      </c>
      <c r="I171" s="13">
        <v>150.0</v>
      </c>
      <c r="J171" s="14" t="s">
        <v>36</v>
      </c>
      <c r="K171" s="13">
        <v>192.0</v>
      </c>
      <c r="L171" s="13">
        <v>150.0</v>
      </c>
      <c r="M171" s="14" t="s">
        <v>36</v>
      </c>
      <c r="N171" s="13">
        <v>170.0</v>
      </c>
      <c r="O171" s="13">
        <v>157.0</v>
      </c>
      <c r="P171" s="13">
        <v>17.07</v>
      </c>
      <c r="Q171" s="13">
        <v>14.11</v>
      </c>
      <c r="R171" s="11" t="str">
        <f t="shared" si="1"/>
        <v>WR</v>
      </c>
    </row>
    <row r="172" ht="14.25" customHeight="1">
      <c r="A172" s="13">
        <v>168.0</v>
      </c>
      <c r="B172" s="14" t="s">
        <v>453</v>
      </c>
      <c r="C172" s="14" t="s">
        <v>454</v>
      </c>
      <c r="D172" s="14" t="s">
        <v>98</v>
      </c>
      <c r="E172" s="13">
        <v>197.0</v>
      </c>
      <c r="F172" s="14" t="s">
        <v>36</v>
      </c>
      <c r="G172" s="13">
        <v>180.0</v>
      </c>
      <c r="H172" s="13">
        <v>164.0</v>
      </c>
      <c r="I172" s="13">
        <v>148.0</v>
      </c>
      <c r="J172" s="14" t="s">
        <v>36</v>
      </c>
      <c r="K172" s="13">
        <v>190.0</v>
      </c>
      <c r="L172" s="13">
        <v>172.0</v>
      </c>
      <c r="M172" s="14" t="s">
        <v>36</v>
      </c>
      <c r="N172" s="13">
        <v>162.0</v>
      </c>
      <c r="O172" s="13">
        <v>149.0</v>
      </c>
      <c r="P172" s="13">
        <v>17.08</v>
      </c>
      <c r="Q172" s="13">
        <v>14.12</v>
      </c>
      <c r="R172" s="11" t="str">
        <f t="shared" si="1"/>
        <v>WR</v>
      </c>
    </row>
    <row r="173" ht="14.25" customHeight="1">
      <c r="A173" s="13">
        <v>169.0</v>
      </c>
      <c r="B173" s="14" t="s">
        <v>455</v>
      </c>
      <c r="C173" s="14" t="s">
        <v>456</v>
      </c>
      <c r="D173" s="14" t="s">
        <v>109</v>
      </c>
      <c r="E173" s="13">
        <v>168.0</v>
      </c>
      <c r="F173" s="13">
        <v>182.0</v>
      </c>
      <c r="G173" s="14" t="s">
        <v>36</v>
      </c>
      <c r="H173" s="13">
        <v>162.0</v>
      </c>
      <c r="I173" s="13">
        <v>192.0</v>
      </c>
      <c r="J173" s="14" t="s">
        <v>36</v>
      </c>
      <c r="K173" s="13">
        <v>184.0</v>
      </c>
      <c r="L173" s="13">
        <v>189.0</v>
      </c>
      <c r="M173" s="14" t="s">
        <v>36</v>
      </c>
      <c r="N173" s="13">
        <v>141.0</v>
      </c>
      <c r="O173" s="13">
        <v>151.0</v>
      </c>
      <c r="P173" s="13">
        <v>17.09</v>
      </c>
      <c r="Q173" s="13">
        <v>15.01</v>
      </c>
      <c r="R173" s="11" t="str">
        <f t="shared" si="1"/>
        <v>WR</v>
      </c>
    </row>
    <row r="174" ht="14.25" customHeight="1">
      <c r="A174" s="13">
        <v>170.0</v>
      </c>
      <c r="B174" s="14" t="s">
        <v>457</v>
      </c>
      <c r="C174" s="14" t="s">
        <v>458</v>
      </c>
      <c r="D174" s="14" t="s">
        <v>52</v>
      </c>
      <c r="E174" s="13">
        <v>199.0</v>
      </c>
      <c r="F174" s="13">
        <v>199.0</v>
      </c>
      <c r="G174" s="13">
        <v>247.0</v>
      </c>
      <c r="H174" s="13">
        <v>240.0</v>
      </c>
      <c r="I174" s="13">
        <v>224.0</v>
      </c>
      <c r="J174" s="14" t="s">
        <v>36</v>
      </c>
      <c r="K174" s="13">
        <v>236.0</v>
      </c>
      <c r="L174" s="13">
        <v>240.0</v>
      </c>
      <c r="M174" s="14" t="s">
        <v>36</v>
      </c>
      <c r="N174" s="13">
        <v>216.0</v>
      </c>
      <c r="O174" s="13">
        <v>216.0</v>
      </c>
      <c r="P174" s="13">
        <v>17.1</v>
      </c>
      <c r="Q174" s="13">
        <v>15.02</v>
      </c>
      <c r="R174" s="11" t="str">
        <f t="shared" si="1"/>
        <v>WR</v>
      </c>
    </row>
    <row r="175" ht="14.25" customHeight="1">
      <c r="A175" s="13">
        <v>171.0</v>
      </c>
      <c r="B175" s="14" t="s">
        <v>459</v>
      </c>
      <c r="C175" s="14" t="s">
        <v>460</v>
      </c>
      <c r="D175" s="14" t="s">
        <v>148</v>
      </c>
      <c r="E175" s="13">
        <v>171.0</v>
      </c>
      <c r="F175" s="14" t="s">
        <v>36</v>
      </c>
      <c r="G175" s="13">
        <v>189.0</v>
      </c>
      <c r="H175" s="13">
        <v>160.0</v>
      </c>
      <c r="I175" s="13">
        <v>185.0</v>
      </c>
      <c r="J175" s="14" t="s">
        <v>36</v>
      </c>
      <c r="K175" s="13">
        <v>205.0</v>
      </c>
      <c r="L175" s="13">
        <v>171.0</v>
      </c>
      <c r="M175" s="14" t="s">
        <v>36</v>
      </c>
      <c r="N175" s="13">
        <v>174.0</v>
      </c>
      <c r="O175" s="13">
        <v>184.0</v>
      </c>
      <c r="P175" s="13">
        <v>18.01</v>
      </c>
      <c r="Q175" s="13">
        <v>15.03</v>
      </c>
      <c r="R175" s="11" t="str">
        <f t="shared" si="1"/>
        <v>RB</v>
      </c>
    </row>
    <row r="176" ht="14.25" customHeight="1">
      <c r="A176" s="13">
        <v>172.0</v>
      </c>
      <c r="B176" s="14" t="s">
        <v>462</v>
      </c>
      <c r="C176" s="14" t="s">
        <v>463</v>
      </c>
      <c r="D176" s="14" t="s">
        <v>102</v>
      </c>
      <c r="E176" s="14" t="s">
        <v>36</v>
      </c>
      <c r="F176" s="13">
        <v>213.0</v>
      </c>
      <c r="G176" s="13">
        <v>156.0</v>
      </c>
      <c r="H176" s="13">
        <v>167.0</v>
      </c>
      <c r="I176" s="13">
        <v>188.0</v>
      </c>
      <c r="J176" s="14" t="s">
        <v>36</v>
      </c>
      <c r="K176" s="13">
        <v>216.0</v>
      </c>
      <c r="L176" s="13">
        <v>182.0</v>
      </c>
      <c r="M176" s="14" t="s">
        <v>36</v>
      </c>
      <c r="N176" s="13">
        <v>160.0</v>
      </c>
      <c r="O176" s="13">
        <v>165.0</v>
      </c>
      <c r="P176" s="13">
        <v>18.02</v>
      </c>
      <c r="Q176" s="13">
        <v>15.04</v>
      </c>
      <c r="R176" s="11" t="str">
        <f t="shared" si="1"/>
        <v>WR</v>
      </c>
    </row>
    <row r="177" ht="14.25" customHeight="1">
      <c r="A177" s="13">
        <v>173.0</v>
      </c>
      <c r="B177" s="14" t="s">
        <v>464</v>
      </c>
      <c r="C177" s="14" t="s">
        <v>465</v>
      </c>
      <c r="D177" s="14" t="s">
        <v>206</v>
      </c>
      <c r="E177" s="14" t="s">
        <v>36</v>
      </c>
      <c r="F177" s="13">
        <v>112.0</v>
      </c>
      <c r="G177" s="13">
        <v>290.0</v>
      </c>
      <c r="H177" s="13">
        <v>190.0</v>
      </c>
      <c r="I177" s="13">
        <v>198.0</v>
      </c>
      <c r="J177" s="14" t="s">
        <v>36</v>
      </c>
      <c r="K177" s="13">
        <v>162.0</v>
      </c>
      <c r="L177" s="13">
        <v>162.0</v>
      </c>
      <c r="M177" s="14" t="s">
        <v>36</v>
      </c>
      <c r="N177" s="13">
        <v>183.0</v>
      </c>
      <c r="O177" s="13">
        <v>160.0</v>
      </c>
      <c r="P177" s="13">
        <v>18.03</v>
      </c>
      <c r="Q177" s="13">
        <v>15.05</v>
      </c>
      <c r="R177" s="11" t="str">
        <f t="shared" si="1"/>
        <v>WR</v>
      </c>
    </row>
    <row r="178" ht="14.25" customHeight="1">
      <c r="A178" s="13">
        <v>174.0</v>
      </c>
      <c r="B178" s="14" t="s">
        <v>467</v>
      </c>
      <c r="C178" s="14" t="s">
        <v>468</v>
      </c>
      <c r="D178" s="14" t="s">
        <v>75</v>
      </c>
      <c r="E178" s="13">
        <v>210.0</v>
      </c>
      <c r="F178" s="14" t="s">
        <v>36</v>
      </c>
      <c r="G178" s="13">
        <v>159.0</v>
      </c>
      <c r="H178" s="13">
        <v>192.0</v>
      </c>
      <c r="I178" s="13">
        <v>162.0</v>
      </c>
      <c r="J178" s="14" t="s">
        <v>36</v>
      </c>
      <c r="K178" s="13">
        <v>180.0</v>
      </c>
      <c r="L178" s="13">
        <v>208.0</v>
      </c>
      <c r="M178" s="14" t="s">
        <v>36</v>
      </c>
      <c r="N178" s="13">
        <v>184.0</v>
      </c>
      <c r="O178" s="13">
        <v>173.0</v>
      </c>
      <c r="P178" s="13">
        <v>18.04</v>
      </c>
      <c r="Q178" s="13">
        <v>15.06</v>
      </c>
      <c r="R178" s="11" t="str">
        <f t="shared" si="1"/>
        <v>WR</v>
      </c>
    </row>
    <row r="179" ht="14.25" customHeight="1">
      <c r="A179" s="13">
        <v>175.0</v>
      </c>
      <c r="B179" s="14" t="s">
        <v>469</v>
      </c>
      <c r="C179" s="14" t="s">
        <v>470</v>
      </c>
      <c r="D179" s="14" t="s">
        <v>231</v>
      </c>
      <c r="E179" s="14" t="s">
        <v>36</v>
      </c>
      <c r="F179" s="13">
        <v>201.0</v>
      </c>
      <c r="G179" s="13">
        <v>222.0</v>
      </c>
      <c r="H179" s="13">
        <v>198.0</v>
      </c>
      <c r="I179" s="13">
        <v>176.0</v>
      </c>
      <c r="J179" s="14" t="s">
        <v>36</v>
      </c>
      <c r="K179" s="13">
        <v>193.0</v>
      </c>
      <c r="L179" s="13">
        <v>177.0</v>
      </c>
      <c r="M179" s="14" t="s">
        <v>36</v>
      </c>
      <c r="N179" s="13">
        <v>153.0</v>
      </c>
      <c r="O179" s="13">
        <v>158.0</v>
      </c>
      <c r="P179" s="13">
        <v>18.05</v>
      </c>
      <c r="Q179" s="13">
        <v>15.07</v>
      </c>
      <c r="R179" s="11" t="str">
        <f t="shared" si="1"/>
        <v>QB</v>
      </c>
    </row>
    <row r="180" ht="14.25" customHeight="1">
      <c r="A180" s="13">
        <v>176.0</v>
      </c>
      <c r="B180" s="14" t="s">
        <v>471</v>
      </c>
      <c r="C180" s="14" t="s">
        <v>472</v>
      </c>
      <c r="D180" s="14" t="s">
        <v>119</v>
      </c>
      <c r="E180" s="13">
        <v>178.0</v>
      </c>
      <c r="F180" s="13">
        <v>152.0</v>
      </c>
      <c r="G180" s="13">
        <v>207.0</v>
      </c>
      <c r="H180" s="13">
        <v>180.0</v>
      </c>
      <c r="I180" s="13">
        <v>196.0</v>
      </c>
      <c r="J180" s="14" t="s">
        <v>36</v>
      </c>
      <c r="K180" s="13">
        <v>197.0</v>
      </c>
      <c r="L180" s="14" t="s">
        <v>36</v>
      </c>
      <c r="M180" s="14" t="s">
        <v>36</v>
      </c>
      <c r="N180" s="13">
        <v>192.0</v>
      </c>
      <c r="O180" s="13">
        <v>179.0</v>
      </c>
      <c r="P180" s="13">
        <v>18.06</v>
      </c>
      <c r="Q180" s="13">
        <v>15.08</v>
      </c>
      <c r="R180" s="11" t="str">
        <f t="shared" si="1"/>
        <v>WR</v>
      </c>
    </row>
    <row r="181" ht="14.25" customHeight="1">
      <c r="A181" s="13">
        <v>177.0</v>
      </c>
      <c r="B181" s="14" t="s">
        <v>474</v>
      </c>
      <c r="C181" s="14" t="s">
        <v>475</v>
      </c>
      <c r="D181" s="14" t="s">
        <v>119</v>
      </c>
      <c r="E181" s="13">
        <v>99.0</v>
      </c>
      <c r="F181" s="13">
        <v>78.0</v>
      </c>
      <c r="G181" s="13">
        <v>103.0</v>
      </c>
      <c r="H181" s="13">
        <v>213.0</v>
      </c>
      <c r="I181" s="13">
        <v>141.0</v>
      </c>
      <c r="J181" s="14" t="s">
        <v>36</v>
      </c>
      <c r="K181" s="13">
        <v>133.0</v>
      </c>
      <c r="L181" s="13">
        <v>153.0</v>
      </c>
      <c r="M181" s="14" t="s">
        <v>36</v>
      </c>
      <c r="N181" s="14" t="s">
        <v>36</v>
      </c>
      <c r="O181" s="14" t="s">
        <v>36</v>
      </c>
      <c r="P181" s="13">
        <v>18.07</v>
      </c>
      <c r="Q181" s="13">
        <v>15.09</v>
      </c>
      <c r="R181" s="11" t="str">
        <f t="shared" si="1"/>
        <v>DE</v>
      </c>
    </row>
    <row r="182" ht="14.25" customHeight="1">
      <c r="A182" s="13">
        <v>178.0</v>
      </c>
      <c r="B182" s="14" t="s">
        <v>476</v>
      </c>
      <c r="C182" s="14" t="s">
        <v>477</v>
      </c>
      <c r="D182" s="14" t="s">
        <v>148</v>
      </c>
      <c r="E182" s="14" t="s">
        <v>36</v>
      </c>
      <c r="F182" s="13">
        <v>268.0</v>
      </c>
      <c r="G182" s="13">
        <v>228.0</v>
      </c>
      <c r="H182" s="13">
        <v>178.0</v>
      </c>
      <c r="I182" s="13">
        <v>170.0</v>
      </c>
      <c r="J182" s="14" t="s">
        <v>36</v>
      </c>
      <c r="K182" s="13">
        <v>211.0</v>
      </c>
      <c r="L182" s="13">
        <v>147.0</v>
      </c>
      <c r="M182" s="14" t="s">
        <v>36</v>
      </c>
      <c r="N182" s="13">
        <v>165.0</v>
      </c>
      <c r="O182" s="13">
        <v>169.0</v>
      </c>
      <c r="P182" s="13">
        <v>18.08</v>
      </c>
      <c r="Q182" s="13">
        <v>15.1</v>
      </c>
      <c r="R182" s="11" t="str">
        <f t="shared" si="1"/>
        <v>WR</v>
      </c>
    </row>
    <row r="183" ht="14.25" customHeight="1">
      <c r="A183" s="13">
        <v>179.0</v>
      </c>
      <c r="B183" s="14" t="s">
        <v>478</v>
      </c>
      <c r="C183" s="14" t="s">
        <v>479</v>
      </c>
      <c r="D183" s="14" t="s">
        <v>58</v>
      </c>
      <c r="E183" s="13">
        <v>177.0</v>
      </c>
      <c r="F183" s="14" t="s">
        <v>36</v>
      </c>
      <c r="G183" s="13">
        <v>200.0</v>
      </c>
      <c r="H183" s="13">
        <v>173.0</v>
      </c>
      <c r="I183" s="13">
        <v>197.0</v>
      </c>
      <c r="J183" s="14" t="s">
        <v>36</v>
      </c>
      <c r="K183" s="13">
        <v>233.0</v>
      </c>
      <c r="L183" s="13">
        <v>181.0</v>
      </c>
      <c r="M183" s="14" t="s">
        <v>36</v>
      </c>
      <c r="N183" s="13">
        <v>186.0</v>
      </c>
      <c r="O183" s="13">
        <v>193.0</v>
      </c>
      <c r="P183" s="13">
        <v>18.09</v>
      </c>
      <c r="Q183" s="13">
        <v>15.11</v>
      </c>
      <c r="R183" s="11" t="str">
        <f t="shared" si="1"/>
        <v>RB</v>
      </c>
    </row>
    <row r="184" ht="14.25" customHeight="1">
      <c r="A184" s="13">
        <v>180.0</v>
      </c>
      <c r="B184" s="14" t="s">
        <v>480</v>
      </c>
      <c r="C184" s="14" t="s">
        <v>481</v>
      </c>
      <c r="D184" s="14" t="s">
        <v>165</v>
      </c>
      <c r="E184" s="14" t="s">
        <v>36</v>
      </c>
      <c r="F184" s="13">
        <v>196.0</v>
      </c>
      <c r="G184" s="13">
        <v>232.0</v>
      </c>
      <c r="H184" s="13">
        <v>206.0</v>
      </c>
      <c r="I184" s="13">
        <v>206.0</v>
      </c>
      <c r="J184" s="14" t="s">
        <v>36</v>
      </c>
      <c r="K184" s="13">
        <v>224.0</v>
      </c>
      <c r="L184" s="13">
        <v>167.0</v>
      </c>
      <c r="M184" s="14" t="s">
        <v>36</v>
      </c>
      <c r="N184" s="13">
        <v>163.0</v>
      </c>
      <c r="O184" s="13">
        <v>166.0</v>
      </c>
      <c r="P184" s="13">
        <v>18.1</v>
      </c>
      <c r="Q184" s="13">
        <v>15.12</v>
      </c>
      <c r="R184" s="11" t="str">
        <f t="shared" si="1"/>
        <v>QB</v>
      </c>
    </row>
    <row r="185" ht="14.25" customHeight="1">
      <c r="A185" s="13">
        <v>181.0</v>
      </c>
      <c r="B185" s="14" t="s">
        <v>483</v>
      </c>
      <c r="C185" s="14" t="s">
        <v>485</v>
      </c>
      <c r="D185" s="14" t="s">
        <v>176</v>
      </c>
      <c r="E185" s="13">
        <v>88.0</v>
      </c>
      <c r="F185" s="13">
        <v>89.0</v>
      </c>
      <c r="G185" s="13">
        <v>128.0</v>
      </c>
      <c r="H185" s="13">
        <v>216.0</v>
      </c>
      <c r="I185" s="13">
        <v>159.0</v>
      </c>
      <c r="J185" s="14" t="s">
        <v>36</v>
      </c>
      <c r="K185" s="13">
        <v>136.0</v>
      </c>
      <c r="L185" s="13">
        <v>165.0</v>
      </c>
      <c r="M185" s="14" t="s">
        <v>36</v>
      </c>
      <c r="N185" s="14" t="s">
        <v>36</v>
      </c>
      <c r="O185" s="14" t="s">
        <v>36</v>
      </c>
      <c r="P185" s="13">
        <v>19.01</v>
      </c>
      <c r="Q185" s="13">
        <v>16.01</v>
      </c>
      <c r="R185" s="11" t="str">
        <f t="shared" si="1"/>
        <v>DE</v>
      </c>
    </row>
    <row r="186" ht="14.25" customHeight="1">
      <c r="A186" s="13">
        <v>182.0</v>
      </c>
      <c r="B186" s="14" t="s">
        <v>486</v>
      </c>
      <c r="C186" s="14" t="s">
        <v>487</v>
      </c>
      <c r="D186" s="14" t="s">
        <v>49</v>
      </c>
      <c r="E186" s="13">
        <v>110.0</v>
      </c>
      <c r="F186" s="13">
        <v>99.0</v>
      </c>
      <c r="G186" s="13">
        <v>131.0</v>
      </c>
      <c r="H186" s="13">
        <v>214.0</v>
      </c>
      <c r="I186" s="13">
        <v>142.0</v>
      </c>
      <c r="J186" s="14" t="s">
        <v>36</v>
      </c>
      <c r="K186" s="13">
        <v>132.0</v>
      </c>
      <c r="L186" s="13">
        <v>158.0</v>
      </c>
      <c r="M186" s="14" t="s">
        <v>36</v>
      </c>
      <c r="N186" s="14" t="s">
        <v>36</v>
      </c>
      <c r="O186" s="14" t="s">
        <v>36</v>
      </c>
      <c r="P186" s="13">
        <v>19.02</v>
      </c>
      <c r="Q186" s="13">
        <v>16.02</v>
      </c>
      <c r="R186" s="11" t="str">
        <f t="shared" si="1"/>
        <v>DE</v>
      </c>
    </row>
    <row r="187" ht="14.25" customHeight="1">
      <c r="A187" s="13">
        <v>183.0</v>
      </c>
      <c r="B187" s="14" t="s">
        <v>488</v>
      </c>
      <c r="C187" s="14" t="s">
        <v>489</v>
      </c>
      <c r="D187" s="14" t="s">
        <v>94</v>
      </c>
      <c r="E187" s="13">
        <v>211.0</v>
      </c>
      <c r="F187" s="14" t="s">
        <v>36</v>
      </c>
      <c r="G187" s="13">
        <v>243.0</v>
      </c>
      <c r="H187" s="13">
        <v>158.0</v>
      </c>
      <c r="I187" s="13">
        <v>201.0</v>
      </c>
      <c r="J187" s="14" t="s">
        <v>36</v>
      </c>
      <c r="K187" s="13">
        <v>237.0</v>
      </c>
      <c r="L187" s="13">
        <v>192.0</v>
      </c>
      <c r="M187" s="14" t="s">
        <v>36</v>
      </c>
      <c r="N187" s="13">
        <v>182.0</v>
      </c>
      <c r="O187" s="13">
        <v>189.0</v>
      </c>
      <c r="P187" s="13">
        <v>19.03</v>
      </c>
      <c r="Q187" s="13">
        <v>16.03</v>
      </c>
      <c r="R187" s="11" t="str">
        <f t="shared" si="1"/>
        <v>TE</v>
      </c>
    </row>
    <row r="188" ht="14.25" customHeight="1">
      <c r="A188" s="13">
        <v>184.0</v>
      </c>
      <c r="B188" s="14" t="s">
        <v>490</v>
      </c>
      <c r="C188" s="14" t="s">
        <v>491</v>
      </c>
      <c r="D188" s="14" t="s">
        <v>52</v>
      </c>
      <c r="E188" s="13">
        <v>112.0</v>
      </c>
      <c r="F188" s="13">
        <v>101.0</v>
      </c>
      <c r="G188" s="13">
        <v>146.0</v>
      </c>
      <c r="H188" s="13">
        <v>219.0</v>
      </c>
      <c r="I188" s="13">
        <v>158.0</v>
      </c>
      <c r="J188" s="14" t="s">
        <v>36</v>
      </c>
      <c r="K188" s="13">
        <v>134.0</v>
      </c>
      <c r="L188" s="13">
        <v>166.0</v>
      </c>
      <c r="M188" s="14" t="s">
        <v>36</v>
      </c>
      <c r="N188" s="14" t="s">
        <v>36</v>
      </c>
      <c r="O188" s="14" t="s">
        <v>36</v>
      </c>
      <c r="P188" s="13">
        <v>19.04</v>
      </c>
      <c r="Q188" s="13">
        <v>16.04</v>
      </c>
      <c r="R188" s="11" t="str">
        <f t="shared" si="1"/>
        <v>DE</v>
      </c>
    </row>
    <row r="189" ht="14.25" customHeight="1">
      <c r="A189" s="13">
        <v>185.0</v>
      </c>
      <c r="B189" s="14" t="s">
        <v>492</v>
      </c>
      <c r="C189" s="14" t="s">
        <v>493</v>
      </c>
      <c r="D189" s="14" t="s">
        <v>98</v>
      </c>
      <c r="E189" s="14" t="s">
        <v>36</v>
      </c>
      <c r="F189" s="13">
        <v>184.0</v>
      </c>
      <c r="G189" s="13">
        <v>330.0</v>
      </c>
      <c r="H189" s="13">
        <v>215.0</v>
      </c>
      <c r="I189" s="13">
        <v>218.0</v>
      </c>
      <c r="J189" s="14" t="s">
        <v>36</v>
      </c>
      <c r="K189" s="13">
        <v>199.0</v>
      </c>
      <c r="L189" s="13">
        <v>220.0</v>
      </c>
      <c r="M189" s="14" t="s">
        <v>36</v>
      </c>
      <c r="N189" s="13">
        <v>190.0</v>
      </c>
      <c r="O189" s="13">
        <v>188.0</v>
      </c>
      <c r="P189" s="13">
        <v>19.05</v>
      </c>
      <c r="Q189" s="13">
        <v>16.05</v>
      </c>
      <c r="R189" s="11" t="str">
        <f t="shared" si="1"/>
        <v>QB</v>
      </c>
    </row>
    <row r="190" ht="14.25" customHeight="1">
      <c r="A190" s="13">
        <v>186.0</v>
      </c>
      <c r="B190" s="14" t="s">
        <v>494</v>
      </c>
      <c r="C190" s="14" t="s">
        <v>495</v>
      </c>
      <c r="D190" s="14" t="s">
        <v>85</v>
      </c>
      <c r="E190" s="13">
        <v>129.0</v>
      </c>
      <c r="F190" s="13">
        <v>130.0</v>
      </c>
      <c r="G190" s="13">
        <v>172.0</v>
      </c>
      <c r="H190" s="13">
        <v>234.0</v>
      </c>
      <c r="I190" s="13">
        <v>180.0</v>
      </c>
      <c r="J190" s="14" t="s">
        <v>36</v>
      </c>
      <c r="K190" s="13">
        <v>137.0</v>
      </c>
      <c r="L190" s="13">
        <v>174.0</v>
      </c>
      <c r="M190" s="14" t="s">
        <v>36</v>
      </c>
      <c r="N190" s="14" t="s">
        <v>36</v>
      </c>
      <c r="O190" s="14" t="s">
        <v>36</v>
      </c>
      <c r="P190" s="13">
        <v>19.06</v>
      </c>
      <c r="Q190" s="13">
        <v>16.06</v>
      </c>
      <c r="R190" s="11" t="str">
        <f t="shared" si="1"/>
        <v>DE</v>
      </c>
    </row>
    <row r="191" ht="14.25" customHeight="1">
      <c r="A191" s="13">
        <v>187.0</v>
      </c>
      <c r="B191" s="14" t="s">
        <v>497</v>
      </c>
      <c r="C191" s="14" t="s">
        <v>498</v>
      </c>
      <c r="D191" s="14" t="s">
        <v>125</v>
      </c>
      <c r="E191" s="13">
        <v>209.0</v>
      </c>
      <c r="F191" s="14" t="s">
        <v>36</v>
      </c>
      <c r="G191" s="13">
        <v>238.0</v>
      </c>
      <c r="H191" s="13">
        <v>222.0</v>
      </c>
      <c r="I191" s="13">
        <v>235.0</v>
      </c>
      <c r="J191" s="14" t="s">
        <v>36</v>
      </c>
      <c r="K191" s="13">
        <v>200.0</v>
      </c>
      <c r="L191" s="13">
        <v>234.0</v>
      </c>
      <c r="M191" s="14" t="s">
        <v>36</v>
      </c>
      <c r="N191" s="13">
        <v>236.0</v>
      </c>
      <c r="O191" s="13">
        <v>245.0</v>
      </c>
      <c r="P191" s="13">
        <v>19.07</v>
      </c>
      <c r="Q191" s="13">
        <v>16.07</v>
      </c>
      <c r="R191" s="11" t="str">
        <f t="shared" si="1"/>
        <v>RB</v>
      </c>
    </row>
    <row r="192" ht="14.25" customHeight="1">
      <c r="A192" s="13">
        <v>188.0</v>
      </c>
      <c r="B192" s="14" t="s">
        <v>499</v>
      </c>
      <c r="C192" s="14" t="s">
        <v>500</v>
      </c>
      <c r="D192" s="14" t="s">
        <v>105</v>
      </c>
      <c r="E192" s="14" t="s">
        <v>36</v>
      </c>
      <c r="F192" s="14" t="s">
        <v>36</v>
      </c>
      <c r="G192" s="13">
        <v>162.0</v>
      </c>
      <c r="H192" s="13">
        <v>155.0</v>
      </c>
      <c r="I192" s="13">
        <v>167.0</v>
      </c>
      <c r="J192" s="14" t="s">
        <v>36</v>
      </c>
      <c r="K192" s="13">
        <v>117.0</v>
      </c>
      <c r="L192" s="13">
        <v>224.0</v>
      </c>
      <c r="M192" s="14" t="s">
        <v>36</v>
      </c>
      <c r="N192" s="13">
        <v>208.0</v>
      </c>
      <c r="O192" s="13">
        <v>190.0</v>
      </c>
      <c r="P192" s="13">
        <v>19.08</v>
      </c>
      <c r="Q192" s="13">
        <v>16.08</v>
      </c>
      <c r="R192" s="11" t="str">
        <f t="shared" si="1"/>
        <v>TE</v>
      </c>
    </row>
    <row r="193" ht="14.25" customHeight="1">
      <c r="A193" s="13">
        <v>189.0</v>
      </c>
      <c r="B193" s="14" t="s">
        <v>501</v>
      </c>
      <c r="C193" s="14" t="s">
        <v>502</v>
      </c>
      <c r="D193" s="14" t="s">
        <v>237</v>
      </c>
      <c r="E193" s="13">
        <v>150.0</v>
      </c>
      <c r="F193" s="13">
        <v>109.0</v>
      </c>
      <c r="G193" s="13">
        <v>191.0</v>
      </c>
      <c r="H193" s="13">
        <v>238.0</v>
      </c>
      <c r="I193" s="13">
        <v>187.0</v>
      </c>
      <c r="J193" s="14" t="s">
        <v>36</v>
      </c>
      <c r="K193" s="13">
        <v>172.0</v>
      </c>
      <c r="L193" s="13">
        <v>194.0</v>
      </c>
      <c r="M193" s="14" t="s">
        <v>36</v>
      </c>
      <c r="N193" s="14" t="s">
        <v>36</v>
      </c>
      <c r="O193" s="14" t="s">
        <v>36</v>
      </c>
      <c r="P193" s="13">
        <v>19.09</v>
      </c>
      <c r="Q193" s="13">
        <v>16.09</v>
      </c>
      <c r="R193" s="11" t="str">
        <f t="shared" si="1"/>
        <v>DE</v>
      </c>
    </row>
    <row r="194" ht="14.25" customHeight="1">
      <c r="A194" s="13">
        <v>190.0</v>
      </c>
      <c r="B194" s="14" t="s">
        <v>503</v>
      </c>
      <c r="C194" s="14" t="s">
        <v>504</v>
      </c>
      <c r="D194" s="14" t="s">
        <v>116</v>
      </c>
      <c r="E194" s="13">
        <v>155.0</v>
      </c>
      <c r="F194" s="13">
        <v>149.0</v>
      </c>
      <c r="G194" s="13">
        <v>188.0</v>
      </c>
      <c r="H194" s="13">
        <v>239.0</v>
      </c>
      <c r="I194" s="13">
        <v>177.0</v>
      </c>
      <c r="J194" s="14" t="s">
        <v>36</v>
      </c>
      <c r="K194" s="13">
        <v>154.0</v>
      </c>
      <c r="L194" s="13">
        <v>190.0</v>
      </c>
      <c r="M194" s="14" t="s">
        <v>36</v>
      </c>
      <c r="N194" s="14" t="s">
        <v>36</v>
      </c>
      <c r="O194" s="14" t="s">
        <v>36</v>
      </c>
      <c r="P194" s="13">
        <v>19.1</v>
      </c>
      <c r="Q194" s="13">
        <v>16.1</v>
      </c>
      <c r="R194" s="11" t="str">
        <f t="shared" si="1"/>
        <v>DE</v>
      </c>
    </row>
    <row r="195" ht="14.25" customHeight="1">
      <c r="A195" s="13">
        <v>191.0</v>
      </c>
      <c r="B195" s="14" t="s">
        <v>505</v>
      </c>
      <c r="C195" s="14" t="s">
        <v>506</v>
      </c>
      <c r="D195" s="14" t="s">
        <v>105</v>
      </c>
      <c r="E195" s="14" t="s">
        <v>36</v>
      </c>
      <c r="F195" s="14" t="s">
        <v>36</v>
      </c>
      <c r="G195" s="13">
        <v>217.0</v>
      </c>
      <c r="H195" s="13">
        <v>174.0</v>
      </c>
      <c r="I195" s="13">
        <v>155.0</v>
      </c>
      <c r="J195" s="14" t="s">
        <v>36</v>
      </c>
      <c r="K195" s="13">
        <v>208.0</v>
      </c>
      <c r="L195" s="13">
        <v>185.0</v>
      </c>
      <c r="M195" s="14" t="s">
        <v>36</v>
      </c>
      <c r="N195" s="13">
        <v>155.0</v>
      </c>
      <c r="O195" s="13">
        <v>162.0</v>
      </c>
      <c r="P195" s="13">
        <v>20.01</v>
      </c>
      <c r="Q195" s="13">
        <v>16.11</v>
      </c>
      <c r="R195" s="11" t="str">
        <f t="shared" si="1"/>
        <v>WR</v>
      </c>
    </row>
    <row r="196" ht="14.25" customHeight="1">
      <c r="A196" s="13">
        <v>192.0</v>
      </c>
      <c r="B196" s="14" t="s">
        <v>507</v>
      </c>
      <c r="C196" s="14" t="s">
        <v>508</v>
      </c>
      <c r="D196" s="14" t="s">
        <v>85</v>
      </c>
      <c r="E196" s="14" t="s">
        <v>36</v>
      </c>
      <c r="F196" s="14" t="s">
        <v>36</v>
      </c>
      <c r="G196" s="13">
        <v>226.0</v>
      </c>
      <c r="H196" s="13">
        <v>175.0</v>
      </c>
      <c r="I196" s="13">
        <v>174.0</v>
      </c>
      <c r="J196" s="14" t="s">
        <v>36</v>
      </c>
      <c r="K196" s="13">
        <v>228.0</v>
      </c>
      <c r="L196" s="13">
        <v>161.0</v>
      </c>
      <c r="M196" s="14" t="s">
        <v>36</v>
      </c>
      <c r="N196" s="13">
        <v>150.0</v>
      </c>
      <c r="O196" s="13">
        <v>161.0</v>
      </c>
      <c r="P196" s="13">
        <v>20.02</v>
      </c>
      <c r="Q196" s="13">
        <v>16.12</v>
      </c>
      <c r="R196" s="11" t="str">
        <f t="shared" si="1"/>
        <v>WR</v>
      </c>
    </row>
    <row r="197" ht="14.25" customHeight="1">
      <c r="A197" s="13">
        <v>193.0</v>
      </c>
      <c r="B197" s="14" t="s">
        <v>509</v>
      </c>
      <c r="C197" s="14" t="s">
        <v>510</v>
      </c>
      <c r="D197" s="14" t="s">
        <v>148</v>
      </c>
      <c r="E197" s="14" t="s">
        <v>36</v>
      </c>
      <c r="F197" s="14" t="s">
        <v>36</v>
      </c>
      <c r="G197" s="13">
        <v>177.0</v>
      </c>
      <c r="H197" s="13">
        <v>196.0</v>
      </c>
      <c r="I197" s="13">
        <v>184.0</v>
      </c>
      <c r="J197" s="14" t="s">
        <v>36</v>
      </c>
      <c r="K197" s="13">
        <v>161.0</v>
      </c>
      <c r="L197" s="13">
        <v>204.0</v>
      </c>
      <c r="M197" s="14" t="s">
        <v>36</v>
      </c>
      <c r="N197" s="13">
        <v>189.0</v>
      </c>
      <c r="O197" s="13">
        <v>170.0</v>
      </c>
      <c r="P197" s="13">
        <v>20.03</v>
      </c>
      <c r="Q197" s="13">
        <v>17.01</v>
      </c>
      <c r="R197" s="11" t="str">
        <f t="shared" si="1"/>
        <v>WR</v>
      </c>
    </row>
    <row r="198" ht="14.25" customHeight="1">
      <c r="A198" s="13">
        <v>194.0</v>
      </c>
      <c r="B198" s="14" t="s">
        <v>512</v>
      </c>
      <c r="C198" s="14" t="s">
        <v>513</v>
      </c>
      <c r="D198" s="14" t="s">
        <v>109</v>
      </c>
      <c r="E198" s="13">
        <v>160.0</v>
      </c>
      <c r="F198" s="13">
        <v>127.0</v>
      </c>
      <c r="G198" s="13">
        <v>202.0</v>
      </c>
      <c r="H198" s="13">
        <v>244.0</v>
      </c>
      <c r="I198" s="13">
        <v>199.0</v>
      </c>
      <c r="J198" s="14" t="s">
        <v>36</v>
      </c>
      <c r="K198" s="13">
        <v>147.0</v>
      </c>
      <c r="L198" s="13">
        <v>206.0</v>
      </c>
      <c r="M198" s="14" t="s">
        <v>36</v>
      </c>
      <c r="N198" s="14" t="s">
        <v>36</v>
      </c>
      <c r="O198" s="14" t="s">
        <v>36</v>
      </c>
      <c r="P198" s="13">
        <v>20.04</v>
      </c>
      <c r="Q198" s="13">
        <v>17.02</v>
      </c>
      <c r="R198" s="11" t="str">
        <f t="shared" si="1"/>
        <v>DE</v>
      </c>
    </row>
    <row r="199" ht="14.25" customHeight="1">
      <c r="A199" s="13">
        <v>195.0</v>
      </c>
      <c r="B199" s="14" t="s">
        <v>514</v>
      </c>
      <c r="C199" s="14" t="s">
        <v>515</v>
      </c>
      <c r="D199" s="14" t="s">
        <v>75</v>
      </c>
      <c r="E199" s="13">
        <v>123.0</v>
      </c>
      <c r="F199" s="13">
        <v>192.0</v>
      </c>
      <c r="G199" s="13">
        <v>196.0</v>
      </c>
      <c r="H199" s="13">
        <v>247.0</v>
      </c>
      <c r="I199" s="13">
        <v>193.0</v>
      </c>
      <c r="J199" s="14" t="s">
        <v>36</v>
      </c>
      <c r="K199" s="13">
        <v>158.0</v>
      </c>
      <c r="L199" s="13">
        <v>180.0</v>
      </c>
      <c r="M199" s="14" t="s">
        <v>36</v>
      </c>
      <c r="N199" s="14" t="s">
        <v>36</v>
      </c>
      <c r="O199" s="14" t="s">
        <v>36</v>
      </c>
      <c r="P199" s="13">
        <v>20.05</v>
      </c>
      <c r="Q199" s="13">
        <v>17.03</v>
      </c>
      <c r="R199" s="11" t="str">
        <f t="shared" si="1"/>
        <v>DE</v>
      </c>
    </row>
    <row r="200" ht="14.25" customHeight="1">
      <c r="A200" s="13">
        <v>196.0</v>
      </c>
      <c r="B200" s="14" t="s">
        <v>516</v>
      </c>
      <c r="C200" s="14" t="s">
        <v>517</v>
      </c>
      <c r="D200" s="14" t="s">
        <v>94</v>
      </c>
      <c r="E200" s="14" t="s">
        <v>36</v>
      </c>
      <c r="F200" s="14" t="s">
        <v>36</v>
      </c>
      <c r="G200" s="13">
        <v>187.0</v>
      </c>
      <c r="H200" s="13">
        <v>176.0</v>
      </c>
      <c r="I200" s="13">
        <v>166.0</v>
      </c>
      <c r="J200" s="14" t="s">
        <v>36</v>
      </c>
      <c r="K200" s="13">
        <v>222.0</v>
      </c>
      <c r="L200" s="13">
        <v>202.0</v>
      </c>
      <c r="M200" s="14" t="s">
        <v>36</v>
      </c>
      <c r="N200" s="13">
        <v>164.0</v>
      </c>
      <c r="O200" s="13">
        <v>174.0</v>
      </c>
      <c r="P200" s="13">
        <v>20.06</v>
      </c>
      <c r="Q200" s="13">
        <v>17.04</v>
      </c>
      <c r="R200" s="11" t="str">
        <f t="shared" si="1"/>
        <v>WR</v>
      </c>
    </row>
    <row r="201" ht="14.25" customHeight="1">
      <c r="A201" s="13">
        <v>197.0</v>
      </c>
      <c r="B201" s="14" t="s">
        <v>518</v>
      </c>
      <c r="C201" s="14" t="s">
        <v>519</v>
      </c>
      <c r="D201" s="14" t="s">
        <v>71</v>
      </c>
      <c r="E201" s="14" t="s">
        <v>36</v>
      </c>
      <c r="F201" s="14" t="s">
        <v>36</v>
      </c>
      <c r="G201" s="13">
        <v>205.0</v>
      </c>
      <c r="H201" s="13">
        <v>185.0</v>
      </c>
      <c r="I201" s="13">
        <v>168.0</v>
      </c>
      <c r="J201" s="14" t="s">
        <v>36</v>
      </c>
      <c r="K201" s="13">
        <v>234.0</v>
      </c>
      <c r="L201" s="13">
        <v>173.0</v>
      </c>
      <c r="M201" s="14" t="s">
        <v>36</v>
      </c>
      <c r="N201" s="13">
        <v>166.0</v>
      </c>
      <c r="O201" s="13">
        <v>168.0</v>
      </c>
      <c r="P201" s="13">
        <v>20.07</v>
      </c>
      <c r="Q201" s="13">
        <v>17.05</v>
      </c>
      <c r="R201" s="11" t="str">
        <f t="shared" si="1"/>
        <v>WR</v>
      </c>
    </row>
    <row r="202" ht="14.25" customHeight="1">
      <c r="A202" s="13">
        <v>198.0</v>
      </c>
      <c r="B202" s="14" t="s">
        <v>520</v>
      </c>
      <c r="C202" s="14" t="s">
        <v>521</v>
      </c>
      <c r="D202" s="14" t="s">
        <v>67</v>
      </c>
      <c r="E202" s="14" t="s">
        <v>36</v>
      </c>
      <c r="F202" s="14" t="s">
        <v>36</v>
      </c>
      <c r="G202" s="13">
        <v>215.0</v>
      </c>
      <c r="H202" s="13">
        <v>171.0</v>
      </c>
      <c r="I202" s="13">
        <v>179.0</v>
      </c>
      <c r="J202" s="14" t="s">
        <v>36</v>
      </c>
      <c r="K202" s="13">
        <v>210.0</v>
      </c>
      <c r="L202" s="13">
        <v>170.0</v>
      </c>
      <c r="M202" s="14" t="s">
        <v>36</v>
      </c>
      <c r="N202" s="13">
        <v>175.0</v>
      </c>
      <c r="O202" s="13">
        <v>186.0</v>
      </c>
      <c r="P202" s="13">
        <v>20.08</v>
      </c>
      <c r="Q202" s="13">
        <v>17.06</v>
      </c>
      <c r="R202" s="11" t="str">
        <f t="shared" si="1"/>
        <v>RB</v>
      </c>
    </row>
    <row r="203" ht="14.25" customHeight="1">
      <c r="A203" s="13">
        <v>199.0</v>
      </c>
      <c r="B203" s="14" t="s">
        <v>522</v>
      </c>
      <c r="C203" s="14" t="s">
        <v>523</v>
      </c>
      <c r="D203" s="14" t="s">
        <v>102</v>
      </c>
      <c r="E203" s="14" t="s">
        <v>36</v>
      </c>
      <c r="F203" s="14" t="s">
        <v>36</v>
      </c>
      <c r="G203" s="13">
        <v>260.0</v>
      </c>
      <c r="H203" s="13">
        <v>170.0</v>
      </c>
      <c r="I203" s="13">
        <v>169.0</v>
      </c>
      <c r="J203" s="14" t="s">
        <v>36</v>
      </c>
      <c r="K203" s="13">
        <v>181.0</v>
      </c>
      <c r="L203" s="13">
        <v>160.0</v>
      </c>
      <c r="M203" s="14" t="s">
        <v>36</v>
      </c>
      <c r="N203" s="13">
        <v>177.0</v>
      </c>
      <c r="O203" s="13">
        <v>191.0</v>
      </c>
      <c r="P203" s="13">
        <v>20.09</v>
      </c>
      <c r="Q203" s="13">
        <v>17.07</v>
      </c>
      <c r="R203" s="11" t="str">
        <f t="shared" si="1"/>
        <v>RB</v>
      </c>
    </row>
    <row r="204" ht="14.25" customHeight="1">
      <c r="A204" s="13">
        <v>200.0</v>
      </c>
      <c r="B204" s="14" t="s">
        <v>524</v>
      </c>
      <c r="C204" s="14" t="s">
        <v>525</v>
      </c>
      <c r="D204" s="14" t="s">
        <v>71</v>
      </c>
      <c r="E204" s="14" t="s">
        <v>36</v>
      </c>
      <c r="F204" s="14" t="s">
        <v>36</v>
      </c>
      <c r="G204" s="13">
        <v>223.0</v>
      </c>
      <c r="H204" s="13">
        <v>159.0</v>
      </c>
      <c r="I204" s="13">
        <v>173.0</v>
      </c>
      <c r="J204" s="14" t="s">
        <v>36</v>
      </c>
      <c r="K204" s="13">
        <v>223.0</v>
      </c>
      <c r="L204" s="13">
        <v>184.0</v>
      </c>
      <c r="M204" s="14" t="s">
        <v>36</v>
      </c>
      <c r="N204" s="13">
        <v>176.0</v>
      </c>
      <c r="O204" s="13">
        <v>177.0</v>
      </c>
      <c r="P204" s="13">
        <v>20.1</v>
      </c>
      <c r="Q204" s="13">
        <v>17.08</v>
      </c>
      <c r="R204" s="11" t="str">
        <f t="shared" si="1"/>
        <v>RB</v>
      </c>
    </row>
    <row r="205" ht="14.25" customHeight="1">
      <c r="A205" s="13">
        <v>201.0</v>
      </c>
      <c r="B205" s="14" t="s">
        <v>526</v>
      </c>
      <c r="C205" s="14" t="s">
        <v>527</v>
      </c>
      <c r="D205" s="14" t="s">
        <v>119</v>
      </c>
      <c r="E205" s="14" t="s">
        <v>36</v>
      </c>
      <c r="F205" s="14" t="s">
        <v>36</v>
      </c>
      <c r="G205" s="13">
        <v>171.0</v>
      </c>
      <c r="H205" s="13">
        <v>203.0</v>
      </c>
      <c r="I205" s="13">
        <v>195.0</v>
      </c>
      <c r="J205" s="14" t="s">
        <v>36</v>
      </c>
      <c r="K205" s="13">
        <v>212.0</v>
      </c>
      <c r="L205" s="13">
        <v>183.0</v>
      </c>
      <c r="M205" s="14" t="s">
        <v>36</v>
      </c>
      <c r="N205" s="13">
        <v>180.0</v>
      </c>
      <c r="O205" s="13">
        <v>181.0</v>
      </c>
      <c r="P205" s="13">
        <v>21.01</v>
      </c>
      <c r="Q205" s="13">
        <v>17.09</v>
      </c>
      <c r="R205" s="11" t="str">
        <f t="shared" si="1"/>
        <v>WR</v>
      </c>
    </row>
    <row r="206" ht="14.25" customHeight="1">
      <c r="A206" s="13">
        <v>202.0</v>
      </c>
      <c r="B206" s="14" t="s">
        <v>528</v>
      </c>
      <c r="C206" s="14" t="s">
        <v>529</v>
      </c>
      <c r="D206" s="14" t="s">
        <v>206</v>
      </c>
      <c r="E206" s="13">
        <v>180.0</v>
      </c>
      <c r="F206" s="13">
        <v>186.0</v>
      </c>
      <c r="G206" s="13">
        <v>198.0</v>
      </c>
      <c r="H206" s="13">
        <v>237.0</v>
      </c>
      <c r="I206" s="13">
        <v>182.0</v>
      </c>
      <c r="J206" s="14" t="s">
        <v>36</v>
      </c>
      <c r="K206" s="13">
        <v>167.0</v>
      </c>
      <c r="L206" s="13">
        <v>191.0</v>
      </c>
      <c r="M206" s="14" t="s">
        <v>36</v>
      </c>
      <c r="N206" s="14" t="s">
        <v>36</v>
      </c>
      <c r="O206" s="14" t="s">
        <v>36</v>
      </c>
      <c r="P206" s="13">
        <v>21.02</v>
      </c>
      <c r="Q206" s="13">
        <v>17.1</v>
      </c>
      <c r="R206" s="11" t="str">
        <f t="shared" si="1"/>
        <v>DE</v>
      </c>
    </row>
    <row r="207" ht="14.25" customHeight="1">
      <c r="A207" s="13">
        <v>203.0</v>
      </c>
      <c r="B207" s="14" t="s">
        <v>531</v>
      </c>
      <c r="C207" s="14" t="s">
        <v>532</v>
      </c>
      <c r="D207" s="14" t="s">
        <v>105</v>
      </c>
      <c r="E207" s="13">
        <v>167.0</v>
      </c>
      <c r="F207" s="13">
        <v>169.0</v>
      </c>
      <c r="G207" s="13">
        <v>204.0</v>
      </c>
      <c r="H207" s="13">
        <v>231.0</v>
      </c>
      <c r="I207" s="13">
        <v>186.0</v>
      </c>
      <c r="J207" s="14" t="s">
        <v>36</v>
      </c>
      <c r="K207" s="13">
        <v>183.0</v>
      </c>
      <c r="L207" s="13">
        <v>217.0</v>
      </c>
      <c r="M207" s="14" t="s">
        <v>36</v>
      </c>
      <c r="N207" s="14" t="s">
        <v>36</v>
      </c>
      <c r="O207" s="14" t="s">
        <v>36</v>
      </c>
      <c r="P207" s="13">
        <v>21.03</v>
      </c>
      <c r="Q207" s="13">
        <v>17.11</v>
      </c>
      <c r="R207" s="11" t="str">
        <f t="shared" si="1"/>
        <v>DE</v>
      </c>
    </row>
    <row r="208" ht="14.25" customHeight="1">
      <c r="A208" s="13">
        <v>204.0</v>
      </c>
      <c r="B208" s="14" t="s">
        <v>533</v>
      </c>
      <c r="C208" s="14" t="s">
        <v>534</v>
      </c>
      <c r="D208" s="14" t="s">
        <v>94</v>
      </c>
      <c r="E208" s="14" t="s">
        <v>36</v>
      </c>
      <c r="F208" s="13">
        <v>207.0</v>
      </c>
      <c r="G208" s="13">
        <v>297.0</v>
      </c>
      <c r="H208" s="13">
        <v>181.0</v>
      </c>
      <c r="I208" s="13">
        <v>211.0</v>
      </c>
      <c r="J208" s="14" t="s">
        <v>36</v>
      </c>
      <c r="K208" s="14" t="s">
        <v>36</v>
      </c>
      <c r="L208" s="13">
        <v>201.0</v>
      </c>
      <c r="M208" s="14" t="s">
        <v>36</v>
      </c>
      <c r="N208" s="13">
        <v>173.0</v>
      </c>
      <c r="O208" s="13">
        <v>176.0</v>
      </c>
      <c r="P208" s="13">
        <v>21.04</v>
      </c>
      <c r="Q208" s="13">
        <v>17.12</v>
      </c>
      <c r="R208" s="11" t="str">
        <f t="shared" si="1"/>
        <v>WR</v>
      </c>
    </row>
    <row r="209" ht="14.25" customHeight="1">
      <c r="A209" s="13">
        <v>205.0</v>
      </c>
      <c r="B209" s="14" t="s">
        <v>535</v>
      </c>
      <c r="C209" s="14" t="s">
        <v>536</v>
      </c>
      <c r="D209" s="14" t="s">
        <v>176</v>
      </c>
      <c r="E209" s="14" t="s">
        <v>36</v>
      </c>
      <c r="F209" s="14" t="s">
        <v>36</v>
      </c>
      <c r="G209" s="13">
        <v>339.0</v>
      </c>
      <c r="H209" s="13">
        <v>186.0</v>
      </c>
      <c r="I209" s="13">
        <v>202.0</v>
      </c>
      <c r="J209" s="14" t="s">
        <v>36</v>
      </c>
      <c r="K209" s="13">
        <v>215.0</v>
      </c>
      <c r="L209" s="13">
        <v>168.0</v>
      </c>
      <c r="M209" s="14" t="s">
        <v>36</v>
      </c>
      <c r="N209" s="13">
        <v>169.0</v>
      </c>
      <c r="O209" s="13">
        <v>172.0</v>
      </c>
      <c r="P209" s="13">
        <v>21.05</v>
      </c>
      <c r="Q209" s="13">
        <v>18.01</v>
      </c>
      <c r="R209" s="11" t="str">
        <f t="shared" si="1"/>
        <v>WR</v>
      </c>
    </row>
    <row r="210" ht="14.25" customHeight="1">
      <c r="A210" s="13">
        <v>206.0</v>
      </c>
      <c r="B210" s="14" t="s">
        <v>537</v>
      </c>
      <c r="C210" s="14" t="s">
        <v>538</v>
      </c>
      <c r="D210" s="14" t="s">
        <v>35</v>
      </c>
      <c r="E210" s="13">
        <v>172.0</v>
      </c>
      <c r="F210" s="13">
        <v>150.0</v>
      </c>
      <c r="G210" s="13">
        <v>252.0</v>
      </c>
      <c r="H210" s="13">
        <v>254.0</v>
      </c>
      <c r="I210" s="13">
        <v>222.0</v>
      </c>
      <c r="J210" s="14" t="s">
        <v>36</v>
      </c>
      <c r="K210" s="13">
        <v>171.0</v>
      </c>
      <c r="L210" s="13">
        <v>237.0</v>
      </c>
      <c r="M210" s="14" t="s">
        <v>36</v>
      </c>
      <c r="N210" s="14" t="s">
        <v>36</v>
      </c>
      <c r="O210" s="14" t="s">
        <v>36</v>
      </c>
      <c r="P210" s="13">
        <v>21.06</v>
      </c>
      <c r="Q210" s="13">
        <v>18.02</v>
      </c>
      <c r="R210" s="11" t="str">
        <f t="shared" si="1"/>
        <v>DE</v>
      </c>
    </row>
    <row r="211" ht="14.25" customHeight="1">
      <c r="A211" s="13">
        <v>207.0</v>
      </c>
      <c r="B211" s="14" t="s">
        <v>539</v>
      </c>
      <c r="C211" s="14" t="s">
        <v>540</v>
      </c>
      <c r="D211" s="14" t="s">
        <v>105</v>
      </c>
      <c r="E211" s="14" t="s">
        <v>36</v>
      </c>
      <c r="F211" s="14" t="s">
        <v>36</v>
      </c>
      <c r="G211" s="13">
        <v>221.0</v>
      </c>
      <c r="H211" s="13">
        <v>184.0</v>
      </c>
      <c r="I211" s="13">
        <v>190.0</v>
      </c>
      <c r="J211" s="14" t="s">
        <v>36</v>
      </c>
      <c r="K211" s="13">
        <v>227.0</v>
      </c>
      <c r="L211" s="13">
        <v>248.0</v>
      </c>
      <c r="M211" s="14" t="s">
        <v>36</v>
      </c>
      <c r="N211" s="13">
        <v>199.0</v>
      </c>
      <c r="O211" s="13">
        <v>211.0</v>
      </c>
      <c r="P211" s="13">
        <v>21.07</v>
      </c>
      <c r="Q211" s="13">
        <v>18.03</v>
      </c>
      <c r="R211" s="11" t="str">
        <f t="shared" si="1"/>
        <v>RB</v>
      </c>
    </row>
    <row r="212" ht="14.25" customHeight="1">
      <c r="A212" s="13">
        <v>208.0</v>
      </c>
      <c r="B212" s="14" t="s">
        <v>542</v>
      </c>
      <c r="C212" s="14" t="s">
        <v>543</v>
      </c>
      <c r="D212" s="14" t="s">
        <v>71</v>
      </c>
      <c r="E212" s="13">
        <v>104.0</v>
      </c>
      <c r="F212" s="13">
        <v>76.0</v>
      </c>
      <c r="G212" s="13">
        <v>119.0</v>
      </c>
      <c r="H212" s="13">
        <v>205.0</v>
      </c>
      <c r="I212" s="14" t="s">
        <v>36</v>
      </c>
      <c r="J212" s="14" t="s">
        <v>36</v>
      </c>
      <c r="K212" s="13">
        <v>131.0</v>
      </c>
      <c r="L212" s="13">
        <v>164.0</v>
      </c>
      <c r="M212" s="14" t="s">
        <v>36</v>
      </c>
      <c r="N212" s="14" t="s">
        <v>36</v>
      </c>
      <c r="O212" s="14" t="s">
        <v>36</v>
      </c>
      <c r="P212" s="13">
        <v>21.08</v>
      </c>
      <c r="Q212" s="13">
        <v>18.04</v>
      </c>
      <c r="R212" s="11" t="str">
        <f t="shared" si="1"/>
        <v>K-</v>
      </c>
    </row>
    <row r="213" ht="14.25" customHeight="1">
      <c r="A213" s="13">
        <v>209.0</v>
      </c>
      <c r="B213" s="14" t="s">
        <v>544</v>
      </c>
      <c r="C213" s="14" t="s">
        <v>545</v>
      </c>
      <c r="D213" s="14" t="s">
        <v>35</v>
      </c>
      <c r="E213" s="14" t="s">
        <v>36</v>
      </c>
      <c r="F213" s="14" t="s">
        <v>36</v>
      </c>
      <c r="G213" s="13">
        <v>208.0</v>
      </c>
      <c r="H213" s="13">
        <v>233.0</v>
      </c>
      <c r="I213" s="13">
        <v>183.0</v>
      </c>
      <c r="J213" s="14" t="s">
        <v>36</v>
      </c>
      <c r="K213" s="13">
        <v>206.0</v>
      </c>
      <c r="L213" s="13">
        <v>247.0</v>
      </c>
      <c r="M213" s="14" t="s">
        <v>36</v>
      </c>
      <c r="N213" s="13">
        <v>207.0</v>
      </c>
      <c r="O213" s="13">
        <v>202.0</v>
      </c>
      <c r="P213" s="13">
        <v>21.09</v>
      </c>
      <c r="Q213" s="13">
        <v>18.05</v>
      </c>
      <c r="R213" s="11" t="str">
        <f t="shared" si="1"/>
        <v>WR</v>
      </c>
    </row>
    <row r="214" ht="14.25" customHeight="1">
      <c r="A214" s="13">
        <v>210.0</v>
      </c>
      <c r="B214" s="14" t="s">
        <v>547</v>
      </c>
      <c r="C214" s="14" t="s">
        <v>548</v>
      </c>
      <c r="D214" s="14" t="s">
        <v>40</v>
      </c>
      <c r="E214" s="14" t="s">
        <v>36</v>
      </c>
      <c r="F214" s="14" t="s">
        <v>36</v>
      </c>
      <c r="G214" s="13">
        <v>264.0</v>
      </c>
      <c r="H214" s="13">
        <v>209.0</v>
      </c>
      <c r="I214" s="13">
        <v>208.0</v>
      </c>
      <c r="J214" s="14" t="s">
        <v>36</v>
      </c>
      <c r="K214" s="13">
        <v>196.0</v>
      </c>
      <c r="L214" s="13">
        <v>222.0</v>
      </c>
      <c r="M214" s="14" t="s">
        <v>36</v>
      </c>
      <c r="N214" s="13">
        <v>196.0</v>
      </c>
      <c r="O214" s="13">
        <v>196.0</v>
      </c>
      <c r="P214" s="13">
        <v>21.1</v>
      </c>
      <c r="Q214" s="13">
        <v>18.06</v>
      </c>
      <c r="R214" s="11" t="str">
        <f t="shared" si="1"/>
        <v>WR</v>
      </c>
    </row>
    <row r="215" ht="14.25" customHeight="1">
      <c r="A215" s="13">
        <v>211.0</v>
      </c>
      <c r="B215" s="14" t="s">
        <v>549</v>
      </c>
      <c r="C215" s="14" t="s">
        <v>550</v>
      </c>
      <c r="D215" s="14" t="s">
        <v>237</v>
      </c>
      <c r="E215" s="14" t="s">
        <v>36</v>
      </c>
      <c r="F215" s="13">
        <v>203.0</v>
      </c>
      <c r="G215" s="13">
        <v>281.0</v>
      </c>
      <c r="H215" s="13">
        <v>218.0</v>
      </c>
      <c r="I215" s="13">
        <v>214.0</v>
      </c>
      <c r="J215" s="14" t="s">
        <v>36</v>
      </c>
      <c r="K215" s="13">
        <v>232.0</v>
      </c>
      <c r="L215" s="14" t="s">
        <v>36</v>
      </c>
      <c r="M215" s="14" t="s">
        <v>36</v>
      </c>
      <c r="N215" s="13">
        <v>172.0</v>
      </c>
      <c r="O215" s="13">
        <v>180.0</v>
      </c>
      <c r="P215" s="13">
        <v>22.01</v>
      </c>
      <c r="Q215" s="13">
        <v>18.07</v>
      </c>
      <c r="R215" s="11" t="str">
        <f t="shared" si="1"/>
        <v>QB</v>
      </c>
    </row>
    <row r="216" ht="14.25" customHeight="1">
      <c r="A216" s="13">
        <v>212.0</v>
      </c>
      <c r="B216" s="14" t="s">
        <v>551</v>
      </c>
      <c r="C216" s="14" t="s">
        <v>552</v>
      </c>
      <c r="D216" s="14" t="s">
        <v>237</v>
      </c>
      <c r="E216" s="14" t="s">
        <v>36</v>
      </c>
      <c r="F216" s="13">
        <v>200.0</v>
      </c>
      <c r="G216" s="13">
        <v>272.0</v>
      </c>
      <c r="H216" s="13">
        <v>179.0</v>
      </c>
      <c r="I216" s="13">
        <v>232.0</v>
      </c>
      <c r="J216" s="14" t="s">
        <v>36</v>
      </c>
      <c r="K216" s="13">
        <v>235.0</v>
      </c>
      <c r="L216" s="14" t="s">
        <v>36</v>
      </c>
      <c r="M216" s="14" t="s">
        <v>36</v>
      </c>
      <c r="N216" s="13">
        <v>191.0</v>
      </c>
      <c r="O216" s="13">
        <v>198.0</v>
      </c>
      <c r="P216" s="13">
        <v>22.02</v>
      </c>
      <c r="Q216" s="13">
        <v>18.08</v>
      </c>
      <c r="R216" s="11" t="str">
        <f t="shared" si="1"/>
        <v>TE</v>
      </c>
    </row>
    <row r="217" ht="14.25" customHeight="1">
      <c r="A217" s="13">
        <v>213.0</v>
      </c>
      <c r="B217" s="14" t="s">
        <v>553</v>
      </c>
      <c r="C217" s="14" t="s">
        <v>554</v>
      </c>
      <c r="D217" s="14" t="s">
        <v>125</v>
      </c>
      <c r="E217" s="14" t="s">
        <v>36</v>
      </c>
      <c r="F217" s="14" t="s">
        <v>36</v>
      </c>
      <c r="G217" s="13">
        <v>263.0</v>
      </c>
      <c r="H217" s="13">
        <v>207.0</v>
      </c>
      <c r="I217" s="13">
        <v>207.0</v>
      </c>
      <c r="J217" s="14" t="s">
        <v>36</v>
      </c>
      <c r="K217" s="13">
        <v>239.0</v>
      </c>
      <c r="L217" s="13">
        <v>216.0</v>
      </c>
      <c r="M217" s="14" t="s">
        <v>36</v>
      </c>
      <c r="N217" s="13">
        <v>178.0</v>
      </c>
      <c r="O217" s="13">
        <v>199.0</v>
      </c>
      <c r="P217" s="13">
        <v>22.03</v>
      </c>
      <c r="Q217" s="13">
        <v>18.09</v>
      </c>
      <c r="R217" s="11" t="str">
        <f t="shared" si="1"/>
        <v>QB</v>
      </c>
    </row>
    <row r="218" ht="14.25" customHeight="1">
      <c r="A218" s="13">
        <v>214.0</v>
      </c>
      <c r="B218" s="14" t="s">
        <v>555</v>
      </c>
      <c r="C218" s="14" t="s">
        <v>556</v>
      </c>
      <c r="D218" s="14" t="s">
        <v>162</v>
      </c>
      <c r="E218" s="13">
        <v>212.0</v>
      </c>
      <c r="F218" s="14" t="s">
        <v>36</v>
      </c>
      <c r="G218" s="13">
        <v>279.0</v>
      </c>
      <c r="H218" s="13">
        <v>187.0</v>
      </c>
      <c r="I218" s="13">
        <v>230.0</v>
      </c>
      <c r="J218" s="14" t="s">
        <v>36</v>
      </c>
      <c r="K218" s="13">
        <v>209.0</v>
      </c>
      <c r="L218" s="14" t="s">
        <v>36</v>
      </c>
      <c r="M218" s="14" t="s">
        <v>36</v>
      </c>
      <c r="N218" s="13">
        <v>200.0</v>
      </c>
      <c r="O218" s="13">
        <v>195.0</v>
      </c>
      <c r="P218" s="13">
        <v>22.04</v>
      </c>
      <c r="Q218" s="13">
        <v>18.1</v>
      </c>
      <c r="R218" s="11" t="str">
        <f t="shared" si="1"/>
        <v>TE</v>
      </c>
    </row>
    <row r="219" ht="14.25" customHeight="1">
      <c r="A219" s="13">
        <v>215.0</v>
      </c>
      <c r="B219" s="14" t="s">
        <v>557</v>
      </c>
      <c r="C219" s="14" t="s">
        <v>558</v>
      </c>
      <c r="D219" s="14" t="s">
        <v>231</v>
      </c>
      <c r="E219" s="14" t="s">
        <v>36</v>
      </c>
      <c r="F219" s="14" t="s">
        <v>36</v>
      </c>
      <c r="G219" s="13">
        <v>291.0</v>
      </c>
      <c r="H219" s="13">
        <v>177.0</v>
      </c>
      <c r="I219" s="13">
        <v>215.0</v>
      </c>
      <c r="J219" s="14" t="s">
        <v>36</v>
      </c>
      <c r="K219" s="13">
        <v>221.0</v>
      </c>
      <c r="L219" s="13">
        <v>225.0</v>
      </c>
      <c r="M219" s="14" t="s">
        <v>36</v>
      </c>
      <c r="N219" s="13">
        <v>198.0</v>
      </c>
      <c r="O219" s="13">
        <v>197.0</v>
      </c>
      <c r="P219" s="13">
        <v>22.05</v>
      </c>
      <c r="Q219" s="13">
        <v>18.11</v>
      </c>
      <c r="R219" s="11" t="str">
        <f t="shared" si="1"/>
        <v>TE</v>
      </c>
    </row>
    <row r="220" ht="14.25" customHeight="1">
      <c r="A220" s="13">
        <v>216.0</v>
      </c>
      <c r="B220" s="14" t="s">
        <v>559</v>
      </c>
      <c r="C220" s="14" t="s">
        <v>560</v>
      </c>
      <c r="D220" s="14" t="s">
        <v>231</v>
      </c>
      <c r="E220" s="14" t="s">
        <v>36</v>
      </c>
      <c r="F220" s="14" t="s">
        <v>36</v>
      </c>
      <c r="G220" s="13">
        <v>315.0</v>
      </c>
      <c r="H220" s="13">
        <v>194.0</v>
      </c>
      <c r="I220" s="13">
        <v>203.0</v>
      </c>
      <c r="J220" s="14" t="s">
        <v>36</v>
      </c>
      <c r="K220" s="13">
        <v>194.0</v>
      </c>
      <c r="L220" s="13">
        <v>199.0</v>
      </c>
      <c r="M220" s="14" t="s">
        <v>36</v>
      </c>
      <c r="N220" s="13">
        <v>217.0</v>
      </c>
      <c r="O220" s="13">
        <v>212.0</v>
      </c>
      <c r="P220" s="13">
        <v>22.06</v>
      </c>
      <c r="Q220" s="13">
        <v>18.12</v>
      </c>
      <c r="R220" s="11" t="str">
        <f t="shared" si="1"/>
        <v>RB</v>
      </c>
    </row>
    <row r="221" ht="14.25" customHeight="1">
      <c r="A221" s="13">
        <v>217.0</v>
      </c>
      <c r="B221" s="14" t="s">
        <v>561</v>
      </c>
      <c r="C221" s="14" t="s">
        <v>562</v>
      </c>
      <c r="D221" s="14" t="s">
        <v>192</v>
      </c>
      <c r="E221" s="14" t="s">
        <v>36</v>
      </c>
      <c r="F221" s="14" t="s">
        <v>36</v>
      </c>
      <c r="G221" s="13">
        <v>308.0</v>
      </c>
      <c r="H221" s="13">
        <v>189.0</v>
      </c>
      <c r="I221" s="13">
        <v>194.0</v>
      </c>
      <c r="J221" s="14" t="s">
        <v>36</v>
      </c>
      <c r="K221" s="13">
        <v>229.0</v>
      </c>
      <c r="L221" s="13">
        <v>210.0</v>
      </c>
      <c r="M221" s="14" t="s">
        <v>36</v>
      </c>
      <c r="N221" s="13">
        <v>204.0</v>
      </c>
      <c r="O221" s="13">
        <v>218.0</v>
      </c>
      <c r="P221" s="13">
        <v>22.07</v>
      </c>
      <c r="Q221" s="13">
        <v>19.01</v>
      </c>
      <c r="R221" s="11" t="str">
        <f t="shared" si="1"/>
        <v>RB</v>
      </c>
    </row>
    <row r="222" ht="14.25" customHeight="1">
      <c r="A222" s="13">
        <v>218.0</v>
      </c>
      <c r="B222" s="14" t="s">
        <v>563</v>
      </c>
      <c r="C222" s="14" t="s">
        <v>564</v>
      </c>
      <c r="D222" s="14" t="s">
        <v>154</v>
      </c>
      <c r="E222" s="13">
        <v>207.0</v>
      </c>
      <c r="F222" s="13">
        <v>193.0</v>
      </c>
      <c r="G222" s="13">
        <v>241.0</v>
      </c>
      <c r="H222" s="13">
        <v>269.0</v>
      </c>
      <c r="I222" s="13">
        <v>225.0</v>
      </c>
      <c r="J222" s="14" t="s">
        <v>36</v>
      </c>
      <c r="K222" s="13">
        <v>213.0</v>
      </c>
      <c r="L222" s="13">
        <v>228.0</v>
      </c>
      <c r="M222" s="14" t="s">
        <v>36</v>
      </c>
      <c r="N222" s="14" t="s">
        <v>36</v>
      </c>
      <c r="O222" s="14" t="s">
        <v>36</v>
      </c>
      <c r="P222" s="13">
        <v>22.08</v>
      </c>
      <c r="Q222" s="13">
        <v>19.02</v>
      </c>
      <c r="R222" s="11" t="str">
        <f t="shared" si="1"/>
        <v>DE</v>
      </c>
    </row>
    <row r="223" ht="14.25" customHeight="1">
      <c r="A223" s="13">
        <v>219.0</v>
      </c>
      <c r="B223" s="14" t="s">
        <v>565</v>
      </c>
      <c r="C223" s="14" t="s">
        <v>566</v>
      </c>
      <c r="D223" s="14" t="s">
        <v>162</v>
      </c>
      <c r="E223" s="14" t="s">
        <v>36</v>
      </c>
      <c r="F223" s="14" t="s">
        <v>36</v>
      </c>
      <c r="G223" s="13">
        <v>277.0</v>
      </c>
      <c r="H223" s="13">
        <v>199.0</v>
      </c>
      <c r="I223" s="13">
        <v>210.0</v>
      </c>
      <c r="J223" s="14" t="s">
        <v>36</v>
      </c>
      <c r="K223" s="13">
        <v>244.0</v>
      </c>
      <c r="L223" s="13">
        <v>241.0</v>
      </c>
      <c r="M223" s="14" t="s">
        <v>36</v>
      </c>
      <c r="N223" s="13">
        <v>215.0</v>
      </c>
      <c r="O223" s="13">
        <v>209.0</v>
      </c>
      <c r="P223" s="13">
        <v>22.09</v>
      </c>
      <c r="Q223" s="13">
        <v>19.03</v>
      </c>
      <c r="R223" s="11" t="str">
        <f t="shared" si="1"/>
        <v>RB</v>
      </c>
    </row>
    <row r="224" ht="14.25" customHeight="1">
      <c r="A224" s="13">
        <v>220.0</v>
      </c>
      <c r="B224" s="14" t="s">
        <v>567</v>
      </c>
      <c r="C224" s="14" t="s">
        <v>568</v>
      </c>
      <c r="D224" s="14" t="s">
        <v>128</v>
      </c>
      <c r="E224" s="14" t="s">
        <v>36</v>
      </c>
      <c r="F224" s="14" t="s">
        <v>36</v>
      </c>
      <c r="G224" s="13">
        <v>309.0</v>
      </c>
      <c r="H224" s="13">
        <v>211.0</v>
      </c>
      <c r="I224" s="13">
        <v>213.0</v>
      </c>
      <c r="J224" s="14" t="s">
        <v>36</v>
      </c>
      <c r="K224" s="13">
        <v>243.0</v>
      </c>
      <c r="L224" s="13">
        <v>242.0</v>
      </c>
      <c r="M224" s="14" t="s">
        <v>36</v>
      </c>
      <c r="N224" s="13">
        <v>188.0</v>
      </c>
      <c r="O224" s="13">
        <v>194.0</v>
      </c>
      <c r="P224" s="13">
        <v>22.1</v>
      </c>
      <c r="Q224" s="13">
        <v>19.04</v>
      </c>
      <c r="R224" s="11" t="str">
        <f t="shared" si="1"/>
        <v>WR</v>
      </c>
    </row>
    <row r="225" ht="14.25" customHeight="1">
      <c r="A225" s="13">
        <v>221.0</v>
      </c>
      <c r="B225" s="14" t="s">
        <v>569</v>
      </c>
      <c r="C225" s="14" t="s">
        <v>570</v>
      </c>
      <c r="D225" s="14" t="s">
        <v>162</v>
      </c>
      <c r="E225" s="14" t="s">
        <v>36</v>
      </c>
      <c r="F225" s="14" t="s">
        <v>36</v>
      </c>
      <c r="G225" s="13">
        <v>299.0</v>
      </c>
      <c r="H225" s="13">
        <v>217.0</v>
      </c>
      <c r="I225" s="13">
        <v>223.0</v>
      </c>
      <c r="J225" s="14" t="s">
        <v>36</v>
      </c>
      <c r="K225" s="13">
        <v>225.0</v>
      </c>
      <c r="L225" s="13">
        <v>244.0</v>
      </c>
      <c r="M225" s="14" t="s">
        <v>36</v>
      </c>
      <c r="N225" s="13">
        <v>194.0</v>
      </c>
      <c r="O225" s="13">
        <v>201.0</v>
      </c>
      <c r="P225" s="13">
        <v>23.01</v>
      </c>
      <c r="Q225" s="13">
        <v>19.05</v>
      </c>
      <c r="R225" s="11" t="str">
        <f t="shared" si="1"/>
        <v>WR</v>
      </c>
    </row>
    <row r="226" ht="14.25" customHeight="1">
      <c r="A226" s="13">
        <v>222.0</v>
      </c>
      <c r="B226" s="14" t="s">
        <v>571</v>
      </c>
      <c r="C226" s="14" t="s">
        <v>572</v>
      </c>
      <c r="D226" s="14" t="s">
        <v>102</v>
      </c>
      <c r="E226" s="13">
        <v>206.0</v>
      </c>
      <c r="F226" s="13">
        <v>168.0</v>
      </c>
      <c r="G226" s="13">
        <v>259.0</v>
      </c>
      <c r="H226" s="13">
        <v>293.0</v>
      </c>
      <c r="I226" s="13">
        <v>233.0</v>
      </c>
      <c r="J226" s="14" t="s">
        <v>36</v>
      </c>
      <c r="K226" s="13">
        <v>219.0</v>
      </c>
      <c r="L226" s="13">
        <v>233.0</v>
      </c>
      <c r="M226" s="14" t="s">
        <v>36</v>
      </c>
      <c r="N226" s="14" t="s">
        <v>36</v>
      </c>
      <c r="O226" s="14" t="s">
        <v>36</v>
      </c>
      <c r="P226" s="13">
        <v>23.02</v>
      </c>
      <c r="Q226" s="13">
        <v>19.06</v>
      </c>
      <c r="R226" s="11" t="str">
        <f t="shared" si="1"/>
        <v>DE</v>
      </c>
    </row>
    <row r="227" ht="14.25" customHeight="1">
      <c r="A227" s="13">
        <v>223.0</v>
      </c>
      <c r="B227" s="14" t="s">
        <v>573</v>
      </c>
      <c r="C227" s="14" t="s">
        <v>574</v>
      </c>
      <c r="D227" s="14" t="s">
        <v>192</v>
      </c>
      <c r="E227" s="14" t="s">
        <v>36</v>
      </c>
      <c r="F227" s="14" t="s">
        <v>36</v>
      </c>
      <c r="G227" s="13">
        <v>233.0</v>
      </c>
      <c r="H227" s="13">
        <v>255.0</v>
      </c>
      <c r="I227" s="13">
        <v>212.0</v>
      </c>
      <c r="J227" s="14" t="s">
        <v>36</v>
      </c>
      <c r="K227" s="13">
        <v>202.0</v>
      </c>
      <c r="L227" s="13">
        <v>239.0</v>
      </c>
      <c r="M227" s="14" t="s">
        <v>36</v>
      </c>
      <c r="N227" s="13">
        <v>254.0</v>
      </c>
      <c r="O227" s="13">
        <v>231.0</v>
      </c>
      <c r="P227" s="13">
        <v>23.03</v>
      </c>
      <c r="Q227" s="13">
        <v>19.07</v>
      </c>
      <c r="R227" s="11" t="str">
        <f t="shared" si="1"/>
        <v>WR</v>
      </c>
    </row>
    <row r="228" ht="14.25" customHeight="1">
      <c r="A228" s="13">
        <v>224.0</v>
      </c>
      <c r="B228" s="14" t="s">
        <v>575</v>
      </c>
      <c r="C228" s="14" t="s">
        <v>576</v>
      </c>
      <c r="D228" s="14" t="s">
        <v>58</v>
      </c>
      <c r="E228" s="13">
        <v>195.0</v>
      </c>
      <c r="F228" s="14" t="s">
        <v>36</v>
      </c>
      <c r="G228" s="13">
        <v>282.0</v>
      </c>
      <c r="H228" s="13">
        <v>197.0</v>
      </c>
      <c r="I228" s="13">
        <v>220.0</v>
      </c>
      <c r="J228" s="14" t="s">
        <v>36</v>
      </c>
      <c r="K228" s="13">
        <v>268.0</v>
      </c>
      <c r="L228" s="14" t="s">
        <v>36</v>
      </c>
      <c r="M228" s="14" t="s">
        <v>36</v>
      </c>
      <c r="N228" s="13">
        <v>243.0</v>
      </c>
      <c r="O228" s="13">
        <v>228.0</v>
      </c>
      <c r="P228" s="13">
        <v>23.04</v>
      </c>
      <c r="Q228" s="13">
        <v>19.08</v>
      </c>
      <c r="R228" s="11" t="str">
        <f t="shared" si="1"/>
        <v>RB</v>
      </c>
    </row>
    <row r="229" ht="14.25" customHeight="1">
      <c r="A229" s="13">
        <v>225.0</v>
      </c>
      <c r="B229" s="14" t="s">
        <v>577</v>
      </c>
      <c r="C229" s="14" t="s">
        <v>578</v>
      </c>
      <c r="D229" s="14" t="s">
        <v>105</v>
      </c>
      <c r="E229" s="14" t="s">
        <v>36</v>
      </c>
      <c r="F229" s="13">
        <v>216.0</v>
      </c>
      <c r="G229" s="13">
        <v>312.0</v>
      </c>
      <c r="H229" s="13">
        <v>195.0</v>
      </c>
      <c r="I229" s="13">
        <v>249.0</v>
      </c>
      <c r="J229" s="14" t="s">
        <v>36</v>
      </c>
      <c r="K229" s="13">
        <v>230.0</v>
      </c>
      <c r="L229" s="14" t="s">
        <v>36</v>
      </c>
      <c r="M229" s="14" t="s">
        <v>36</v>
      </c>
      <c r="N229" s="13">
        <v>222.0</v>
      </c>
      <c r="O229" s="13">
        <v>210.0</v>
      </c>
      <c r="P229" s="13">
        <v>23.05</v>
      </c>
      <c r="Q229" s="13">
        <v>19.09</v>
      </c>
      <c r="R229" s="11" t="str">
        <f t="shared" si="1"/>
        <v>TE</v>
      </c>
    </row>
    <row r="230" ht="14.25" customHeight="1">
      <c r="A230" s="13">
        <v>226.0</v>
      </c>
      <c r="B230" s="14" t="s">
        <v>579</v>
      </c>
      <c r="C230" s="14" t="s">
        <v>580</v>
      </c>
      <c r="D230" s="14" t="s">
        <v>119</v>
      </c>
      <c r="E230" s="13">
        <v>130.0</v>
      </c>
      <c r="F230" s="13">
        <v>126.0</v>
      </c>
      <c r="G230" s="13">
        <v>157.0</v>
      </c>
      <c r="H230" s="13">
        <v>232.0</v>
      </c>
      <c r="I230" s="14" t="s">
        <v>36</v>
      </c>
      <c r="J230" s="14" t="s">
        <v>36</v>
      </c>
      <c r="K230" s="13">
        <v>142.0</v>
      </c>
      <c r="L230" s="13">
        <v>175.0</v>
      </c>
      <c r="M230" s="14" t="s">
        <v>36</v>
      </c>
      <c r="N230" s="14" t="s">
        <v>36</v>
      </c>
      <c r="O230" s="14" t="s">
        <v>36</v>
      </c>
      <c r="P230" s="13">
        <v>23.06</v>
      </c>
      <c r="Q230" s="13">
        <v>19.1</v>
      </c>
      <c r="R230" s="11" t="str">
        <f t="shared" si="1"/>
        <v>K-</v>
      </c>
    </row>
    <row r="231" ht="14.25" customHeight="1">
      <c r="A231" s="13">
        <v>227.0</v>
      </c>
      <c r="B231" s="14" t="s">
        <v>581</v>
      </c>
      <c r="C231" s="14" t="s">
        <v>582</v>
      </c>
      <c r="D231" s="14" t="s">
        <v>52</v>
      </c>
      <c r="E231" s="13">
        <v>121.0</v>
      </c>
      <c r="F231" s="13">
        <v>110.0</v>
      </c>
      <c r="G231" s="13">
        <v>181.0</v>
      </c>
      <c r="H231" s="13">
        <v>230.0</v>
      </c>
      <c r="I231" s="14" t="s">
        <v>36</v>
      </c>
      <c r="J231" s="14" t="s">
        <v>36</v>
      </c>
      <c r="K231" s="13">
        <v>138.0</v>
      </c>
      <c r="L231" s="13">
        <v>186.0</v>
      </c>
      <c r="M231" s="14" t="s">
        <v>36</v>
      </c>
      <c r="N231" s="14" t="s">
        <v>36</v>
      </c>
      <c r="O231" s="14" t="s">
        <v>36</v>
      </c>
      <c r="P231" s="13">
        <v>23.07</v>
      </c>
      <c r="Q231" s="13">
        <v>19.11</v>
      </c>
      <c r="R231" s="11" t="str">
        <f t="shared" si="1"/>
        <v>K-</v>
      </c>
    </row>
    <row r="232" ht="14.25" customHeight="1">
      <c r="A232" s="13">
        <v>228.0</v>
      </c>
      <c r="B232" s="14" t="s">
        <v>583</v>
      </c>
      <c r="C232" s="14" t="s">
        <v>584</v>
      </c>
      <c r="D232" s="14" t="s">
        <v>109</v>
      </c>
      <c r="E232" s="14" t="s">
        <v>36</v>
      </c>
      <c r="F232" s="14" t="s">
        <v>36</v>
      </c>
      <c r="G232" s="13">
        <v>311.0</v>
      </c>
      <c r="H232" s="13">
        <v>225.0</v>
      </c>
      <c r="I232" s="13">
        <v>239.0</v>
      </c>
      <c r="J232" s="14" t="s">
        <v>36</v>
      </c>
      <c r="K232" s="13">
        <v>267.0</v>
      </c>
      <c r="L232" s="13">
        <v>219.0</v>
      </c>
      <c r="M232" s="14" t="s">
        <v>36</v>
      </c>
      <c r="N232" s="13">
        <v>211.0</v>
      </c>
      <c r="O232" s="13">
        <v>215.0</v>
      </c>
      <c r="P232" s="13">
        <v>23.08</v>
      </c>
      <c r="Q232" s="13">
        <v>19.12</v>
      </c>
      <c r="R232" s="11" t="str">
        <f t="shared" si="1"/>
        <v>WR</v>
      </c>
    </row>
    <row r="233" ht="14.25" customHeight="1">
      <c r="A233" s="13">
        <v>229.0</v>
      </c>
      <c r="B233" s="14" t="s">
        <v>585</v>
      </c>
      <c r="C233" s="14" t="s">
        <v>586</v>
      </c>
      <c r="D233" s="14" t="s">
        <v>105</v>
      </c>
      <c r="E233" s="13">
        <v>140.0</v>
      </c>
      <c r="F233" s="13">
        <v>100.0</v>
      </c>
      <c r="G233" s="13">
        <v>185.0</v>
      </c>
      <c r="H233" s="13">
        <v>228.0</v>
      </c>
      <c r="I233" s="14" t="s">
        <v>36</v>
      </c>
      <c r="J233" s="14" t="s">
        <v>36</v>
      </c>
      <c r="K233" s="13">
        <v>135.0</v>
      </c>
      <c r="L233" s="13">
        <v>187.0</v>
      </c>
      <c r="M233" s="14" t="s">
        <v>36</v>
      </c>
      <c r="N233" s="14" t="s">
        <v>36</v>
      </c>
      <c r="O233" s="14" t="s">
        <v>36</v>
      </c>
      <c r="P233" s="13">
        <v>23.09</v>
      </c>
      <c r="Q233" s="13">
        <v>20.01</v>
      </c>
      <c r="R233" s="11" t="str">
        <f t="shared" si="1"/>
        <v>K-</v>
      </c>
    </row>
    <row r="234" ht="14.25" customHeight="1">
      <c r="A234" s="13">
        <v>230.0</v>
      </c>
      <c r="B234" s="14" t="s">
        <v>587</v>
      </c>
      <c r="C234" s="14" t="s">
        <v>588</v>
      </c>
      <c r="D234" s="14" t="s">
        <v>71</v>
      </c>
      <c r="E234" s="13">
        <v>190.0</v>
      </c>
      <c r="F234" s="13">
        <v>177.0</v>
      </c>
      <c r="G234" s="13">
        <v>321.0</v>
      </c>
      <c r="H234" s="13">
        <v>279.0</v>
      </c>
      <c r="I234" s="13">
        <v>246.0</v>
      </c>
      <c r="J234" s="14" t="s">
        <v>36</v>
      </c>
      <c r="K234" s="13">
        <v>256.0</v>
      </c>
      <c r="L234" s="13">
        <v>227.0</v>
      </c>
      <c r="M234" s="14" t="s">
        <v>36</v>
      </c>
      <c r="N234" s="14" t="s">
        <v>36</v>
      </c>
      <c r="O234" s="14" t="s">
        <v>36</v>
      </c>
      <c r="P234" s="13">
        <v>23.1</v>
      </c>
      <c r="Q234" s="13">
        <v>20.02</v>
      </c>
      <c r="R234" s="11" t="str">
        <f t="shared" si="1"/>
        <v>DE</v>
      </c>
    </row>
    <row r="235" ht="14.25" customHeight="1">
      <c r="A235" s="13">
        <v>231.0</v>
      </c>
      <c r="B235" s="14" t="s">
        <v>589</v>
      </c>
      <c r="C235" s="14" t="s">
        <v>590</v>
      </c>
      <c r="D235" s="14" t="s">
        <v>128</v>
      </c>
      <c r="E235" s="14" t="s">
        <v>36</v>
      </c>
      <c r="F235" s="14" t="s">
        <v>36</v>
      </c>
      <c r="G235" s="13">
        <v>251.0</v>
      </c>
      <c r="H235" s="13">
        <v>282.0</v>
      </c>
      <c r="I235" s="13">
        <v>229.0</v>
      </c>
      <c r="J235" s="14" t="s">
        <v>36</v>
      </c>
      <c r="K235" s="13">
        <v>240.0</v>
      </c>
      <c r="L235" s="13">
        <v>245.0</v>
      </c>
      <c r="M235" s="14" t="s">
        <v>36</v>
      </c>
      <c r="N235" s="13">
        <v>240.0</v>
      </c>
      <c r="O235" s="13">
        <v>239.0</v>
      </c>
      <c r="P235" s="13">
        <v>24.01</v>
      </c>
      <c r="Q235" s="13">
        <v>20.03</v>
      </c>
      <c r="R235" s="11" t="str">
        <f t="shared" si="1"/>
        <v>WR</v>
      </c>
    </row>
    <row r="236" ht="14.25" customHeight="1">
      <c r="A236" s="13">
        <v>232.0</v>
      </c>
      <c r="B236" s="14" t="s">
        <v>592</v>
      </c>
      <c r="C236" s="14" t="s">
        <v>593</v>
      </c>
      <c r="D236" s="14" t="s">
        <v>206</v>
      </c>
      <c r="E236" s="13">
        <v>163.0</v>
      </c>
      <c r="F236" s="13">
        <v>137.0</v>
      </c>
      <c r="G236" s="13">
        <v>184.0</v>
      </c>
      <c r="H236" s="13">
        <v>235.0</v>
      </c>
      <c r="I236" s="14" t="s">
        <v>36</v>
      </c>
      <c r="J236" s="14" t="s">
        <v>36</v>
      </c>
      <c r="K236" s="13">
        <v>146.0</v>
      </c>
      <c r="L236" s="13">
        <v>193.0</v>
      </c>
      <c r="M236" s="14" t="s">
        <v>36</v>
      </c>
      <c r="N236" s="14" t="s">
        <v>36</v>
      </c>
      <c r="O236" s="14" t="s">
        <v>36</v>
      </c>
      <c r="P236" s="13">
        <v>24.02</v>
      </c>
      <c r="Q236" s="13">
        <v>20.04</v>
      </c>
      <c r="R236" s="11" t="str">
        <f t="shared" si="1"/>
        <v>K-</v>
      </c>
    </row>
    <row r="237" ht="14.25" customHeight="1">
      <c r="A237" s="13">
        <v>233.0</v>
      </c>
      <c r="B237" s="14" t="s">
        <v>594</v>
      </c>
      <c r="C237" s="14" t="s">
        <v>595</v>
      </c>
      <c r="D237" s="14" t="s">
        <v>195</v>
      </c>
      <c r="E237" s="14" t="s">
        <v>36</v>
      </c>
      <c r="F237" s="13">
        <v>217.0</v>
      </c>
      <c r="G237" s="13">
        <v>340.0</v>
      </c>
      <c r="H237" s="13">
        <v>259.0</v>
      </c>
      <c r="I237" s="13">
        <v>266.0</v>
      </c>
      <c r="J237" s="14" t="s">
        <v>36</v>
      </c>
      <c r="K237" s="13">
        <v>261.0</v>
      </c>
      <c r="L237" s="14" t="s">
        <v>36</v>
      </c>
      <c r="M237" s="14" t="s">
        <v>36</v>
      </c>
      <c r="N237" s="13">
        <v>230.0</v>
      </c>
      <c r="O237" s="13">
        <v>227.0</v>
      </c>
      <c r="P237" s="13">
        <v>24.03</v>
      </c>
      <c r="Q237" s="13">
        <v>20.05</v>
      </c>
      <c r="R237" s="11" t="str">
        <f t="shared" si="1"/>
        <v>QB</v>
      </c>
    </row>
    <row r="238" ht="14.25" customHeight="1">
      <c r="A238" s="13">
        <v>234.0</v>
      </c>
      <c r="B238" s="14" t="s">
        <v>596</v>
      </c>
      <c r="C238" s="14" t="s">
        <v>132</v>
      </c>
      <c r="D238" s="14" t="s">
        <v>36</v>
      </c>
      <c r="E238" s="14" t="s">
        <v>36</v>
      </c>
      <c r="F238" s="13">
        <v>229.0</v>
      </c>
      <c r="G238" s="13">
        <v>317.0</v>
      </c>
      <c r="H238" s="13">
        <v>299.0</v>
      </c>
      <c r="I238" s="13">
        <v>341.0</v>
      </c>
      <c r="J238" s="14" t="s">
        <v>36</v>
      </c>
      <c r="K238" s="13">
        <v>201.0</v>
      </c>
      <c r="L238" s="14" t="s">
        <v>36</v>
      </c>
      <c r="M238" s="14" t="s">
        <v>36</v>
      </c>
      <c r="N238" s="13">
        <v>239.0</v>
      </c>
      <c r="O238" s="13">
        <v>242.0</v>
      </c>
      <c r="P238" s="13">
        <v>24.04</v>
      </c>
      <c r="Q238" s="13">
        <v>20.06</v>
      </c>
      <c r="R238" s="11" t="str">
        <f t="shared" si="1"/>
        <v>WR</v>
      </c>
    </row>
    <row r="239" ht="14.25" customHeight="1">
      <c r="A239" s="13">
        <v>235.0</v>
      </c>
      <c r="B239" s="14" t="s">
        <v>597</v>
      </c>
      <c r="C239" s="14" t="s">
        <v>598</v>
      </c>
      <c r="D239" s="14" t="s">
        <v>35</v>
      </c>
      <c r="E239" s="13">
        <v>165.0</v>
      </c>
      <c r="F239" s="13">
        <v>156.0</v>
      </c>
      <c r="G239" s="13">
        <v>211.0</v>
      </c>
      <c r="H239" s="13">
        <v>246.0</v>
      </c>
      <c r="I239" s="14" t="s">
        <v>36</v>
      </c>
      <c r="J239" s="14" t="s">
        <v>36</v>
      </c>
      <c r="K239" s="13">
        <v>168.0</v>
      </c>
      <c r="L239" s="13">
        <v>238.0</v>
      </c>
      <c r="M239" s="14" t="s">
        <v>36</v>
      </c>
      <c r="N239" s="14" t="s">
        <v>36</v>
      </c>
      <c r="O239" s="14" t="s">
        <v>36</v>
      </c>
      <c r="P239" s="13">
        <v>24.05</v>
      </c>
      <c r="Q239" s="13">
        <v>20.07</v>
      </c>
      <c r="R239" s="11" t="str">
        <f t="shared" si="1"/>
        <v>K-</v>
      </c>
    </row>
    <row r="240" ht="14.25" customHeight="1">
      <c r="A240" s="13">
        <v>236.0</v>
      </c>
      <c r="B240" s="14" t="s">
        <v>599</v>
      </c>
      <c r="C240" s="14" t="s">
        <v>600</v>
      </c>
      <c r="D240" s="14" t="s">
        <v>85</v>
      </c>
      <c r="E240" s="14" t="s">
        <v>36</v>
      </c>
      <c r="F240" s="13">
        <v>302.0</v>
      </c>
      <c r="G240" s="13">
        <v>348.0</v>
      </c>
      <c r="H240" s="13">
        <v>264.0</v>
      </c>
      <c r="I240" s="13">
        <v>274.0</v>
      </c>
      <c r="J240" s="14" t="s">
        <v>36</v>
      </c>
      <c r="K240" s="13">
        <v>238.0</v>
      </c>
      <c r="L240" s="14" t="s">
        <v>36</v>
      </c>
      <c r="M240" s="14" t="s">
        <v>36</v>
      </c>
      <c r="N240" s="13">
        <v>279.0</v>
      </c>
      <c r="O240" s="13">
        <v>244.0</v>
      </c>
      <c r="P240" s="13">
        <v>24.06</v>
      </c>
      <c r="Q240" s="13">
        <v>20.08</v>
      </c>
      <c r="R240" s="11" t="str">
        <f t="shared" si="1"/>
        <v>TE</v>
      </c>
    </row>
    <row r="241" ht="14.25" customHeight="1">
      <c r="A241" s="13">
        <v>237.0</v>
      </c>
      <c r="B241" s="14" t="s">
        <v>601</v>
      </c>
      <c r="C241" s="14" t="s">
        <v>602</v>
      </c>
      <c r="D241" s="14" t="s">
        <v>109</v>
      </c>
      <c r="E241" s="13">
        <v>203.0</v>
      </c>
      <c r="F241" s="13">
        <v>171.0</v>
      </c>
      <c r="G241" s="13">
        <v>199.0</v>
      </c>
      <c r="H241" s="13">
        <v>251.0</v>
      </c>
      <c r="I241" s="14" t="s">
        <v>36</v>
      </c>
      <c r="J241" s="14" t="s">
        <v>36</v>
      </c>
      <c r="K241" s="13">
        <v>187.0</v>
      </c>
      <c r="L241" s="13">
        <v>205.0</v>
      </c>
      <c r="M241" s="14" t="s">
        <v>36</v>
      </c>
      <c r="N241" s="14" t="s">
        <v>36</v>
      </c>
      <c r="O241" s="14" t="s">
        <v>36</v>
      </c>
      <c r="P241" s="13">
        <v>24.07</v>
      </c>
      <c r="Q241" s="13">
        <v>20.09</v>
      </c>
      <c r="R241" s="11" t="str">
        <f t="shared" si="1"/>
        <v>K-</v>
      </c>
    </row>
    <row r="242" ht="14.25" customHeight="1">
      <c r="A242" s="13">
        <v>238.0</v>
      </c>
      <c r="B242" s="14" t="s">
        <v>603</v>
      </c>
      <c r="C242" s="14" t="s">
        <v>604</v>
      </c>
      <c r="D242" s="14" t="s">
        <v>58</v>
      </c>
      <c r="E242" s="13">
        <v>198.0</v>
      </c>
      <c r="F242" s="13">
        <v>147.0</v>
      </c>
      <c r="G242" s="13">
        <v>242.0</v>
      </c>
      <c r="H242" s="13">
        <v>250.0</v>
      </c>
      <c r="I242" s="14" t="s">
        <v>36</v>
      </c>
      <c r="J242" s="14" t="s">
        <v>36</v>
      </c>
      <c r="K242" s="13">
        <v>175.0</v>
      </c>
      <c r="L242" s="13">
        <v>214.0</v>
      </c>
      <c r="M242" s="14" t="s">
        <v>36</v>
      </c>
      <c r="N242" s="14" t="s">
        <v>36</v>
      </c>
      <c r="O242" s="14" t="s">
        <v>36</v>
      </c>
      <c r="P242" s="13">
        <v>24.08</v>
      </c>
      <c r="Q242" s="13">
        <v>20.1</v>
      </c>
      <c r="R242" s="11" t="str">
        <f t="shared" si="1"/>
        <v>K-</v>
      </c>
    </row>
    <row r="243" ht="14.25" customHeight="1">
      <c r="A243" s="13">
        <v>239.0</v>
      </c>
      <c r="B243" s="14" t="s">
        <v>605</v>
      </c>
      <c r="C243" s="14" t="s">
        <v>606</v>
      </c>
      <c r="D243" s="14" t="s">
        <v>109</v>
      </c>
      <c r="E243" s="14" t="s">
        <v>36</v>
      </c>
      <c r="F243" s="14" t="s">
        <v>36</v>
      </c>
      <c r="G243" s="13">
        <v>213.0</v>
      </c>
      <c r="H243" s="13">
        <v>182.0</v>
      </c>
      <c r="I243" s="13">
        <v>227.0</v>
      </c>
      <c r="J243" s="14" t="s">
        <v>36</v>
      </c>
      <c r="K243" s="13">
        <v>258.0</v>
      </c>
      <c r="L243" s="14" t="s">
        <v>36</v>
      </c>
      <c r="M243" s="14" t="s">
        <v>36</v>
      </c>
      <c r="N243" s="13">
        <v>201.0</v>
      </c>
      <c r="O243" s="13">
        <v>220.0</v>
      </c>
      <c r="P243" s="13">
        <v>24.09</v>
      </c>
      <c r="Q243" s="13">
        <v>20.11</v>
      </c>
      <c r="R243" s="11" t="str">
        <f t="shared" si="1"/>
        <v>RB</v>
      </c>
    </row>
    <row r="244" ht="14.25" customHeight="1">
      <c r="A244" s="13">
        <v>240.0</v>
      </c>
      <c r="B244" s="14" t="s">
        <v>608</v>
      </c>
      <c r="C244" s="14" t="s">
        <v>609</v>
      </c>
      <c r="D244" s="14" t="s">
        <v>75</v>
      </c>
      <c r="E244" s="14" t="s">
        <v>36</v>
      </c>
      <c r="F244" s="14" t="s">
        <v>36</v>
      </c>
      <c r="G244" s="14" t="s">
        <v>36</v>
      </c>
      <c r="H244" s="13">
        <v>193.0</v>
      </c>
      <c r="I244" s="13">
        <v>204.0</v>
      </c>
      <c r="J244" s="14" t="s">
        <v>36</v>
      </c>
      <c r="K244" s="13">
        <v>226.0</v>
      </c>
      <c r="L244" s="13">
        <v>207.0</v>
      </c>
      <c r="M244" s="14" t="s">
        <v>36</v>
      </c>
      <c r="N244" s="13">
        <v>247.0</v>
      </c>
      <c r="O244" s="13">
        <v>243.0</v>
      </c>
      <c r="P244" s="13">
        <v>24.1</v>
      </c>
      <c r="Q244" s="13">
        <v>20.12</v>
      </c>
      <c r="R244" s="11" t="str">
        <f t="shared" si="1"/>
        <v>RB</v>
      </c>
    </row>
    <row r="245" ht="14.25" customHeight="1">
      <c r="A245" s="13">
        <v>241.0</v>
      </c>
      <c r="B245" s="14" t="s">
        <v>610</v>
      </c>
      <c r="C245" s="14" t="s">
        <v>611</v>
      </c>
      <c r="D245" s="14" t="s">
        <v>52</v>
      </c>
      <c r="E245" s="14" t="s">
        <v>36</v>
      </c>
      <c r="F245" s="14" t="s">
        <v>36</v>
      </c>
      <c r="G245" s="13">
        <v>283.0</v>
      </c>
      <c r="H245" s="13">
        <v>201.0</v>
      </c>
      <c r="I245" s="13">
        <v>205.0</v>
      </c>
      <c r="J245" s="14" t="s">
        <v>36</v>
      </c>
      <c r="K245" s="14" t="s">
        <v>36</v>
      </c>
      <c r="L245" s="13">
        <v>215.0</v>
      </c>
      <c r="M245" s="14" t="s">
        <v>36</v>
      </c>
      <c r="N245" s="13">
        <v>209.0</v>
      </c>
      <c r="O245" s="13">
        <v>225.0</v>
      </c>
      <c r="P245" s="13">
        <v>25.01</v>
      </c>
      <c r="Q245" s="13">
        <v>21.01</v>
      </c>
      <c r="R245" s="11" t="str">
        <f t="shared" si="1"/>
        <v>RB</v>
      </c>
    </row>
    <row r="246" ht="14.25" customHeight="1">
      <c r="A246" s="13">
        <v>242.0</v>
      </c>
      <c r="B246" s="14" t="s">
        <v>612</v>
      </c>
      <c r="C246" s="14" t="s">
        <v>613</v>
      </c>
      <c r="D246" s="14" t="s">
        <v>119</v>
      </c>
      <c r="E246" s="14" t="s">
        <v>36</v>
      </c>
      <c r="F246" s="14" t="s">
        <v>36</v>
      </c>
      <c r="G246" s="14" t="s">
        <v>36</v>
      </c>
      <c r="H246" s="13">
        <v>248.0</v>
      </c>
      <c r="I246" s="13">
        <v>243.0</v>
      </c>
      <c r="J246" s="14" t="s">
        <v>36</v>
      </c>
      <c r="K246" s="13">
        <v>259.0</v>
      </c>
      <c r="L246" s="13">
        <v>195.0</v>
      </c>
      <c r="M246" s="14" t="s">
        <v>36</v>
      </c>
      <c r="N246" s="13">
        <v>203.0</v>
      </c>
      <c r="O246" s="13">
        <v>200.0</v>
      </c>
      <c r="P246" s="13">
        <v>25.02</v>
      </c>
      <c r="Q246" s="13">
        <v>21.02</v>
      </c>
      <c r="R246" s="11" t="str">
        <f t="shared" si="1"/>
        <v>WR</v>
      </c>
    </row>
    <row r="247" ht="14.25" customHeight="1">
      <c r="A247" s="13">
        <v>243.0</v>
      </c>
      <c r="B247" s="14" t="s">
        <v>614</v>
      </c>
      <c r="C247" s="14" t="s">
        <v>615</v>
      </c>
      <c r="D247" s="14" t="s">
        <v>94</v>
      </c>
      <c r="E247" s="14" t="s">
        <v>36</v>
      </c>
      <c r="F247" s="14" t="s">
        <v>36</v>
      </c>
      <c r="G247" s="14" t="s">
        <v>36</v>
      </c>
      <c r="H247" s="13">
        <v>241.0</v>
      </c>
      <c r="I247" s="13">
        <v>251.0</v>
      </c>
      <c r="J247" s="14" t="s">
        <v>36</v>
      </c>
      <c r="K247" s="13">
        <v>220.0</v>
      </c>
      <c r="L247" s="13">
        <v>236.0</v>
      </c>
      <c r="M247" s="14" t="s">
        <v>36</v>
      </c>
      <c r="N247" s="13">
        <v>202.0</v>
      </c>
      <c r="O247" s="13">
        <v>203.0</v>
      </c>
      <c r="P247" s="13">
        <v>25.03</v>
      </c>
      <c r="Q247" s="13">
        <v>21.03</v>
      </c>
      <c r="R247" s="11" t="str">
        <f t="shared" si="1"/>
        <v>WR</v>
      </c>
    </row>
    <row r="248" ht="14.25" customHeight="1">
      <c r="A248" s="13">
        <v>244.0</v>
      </c>
      <c r="B248" s="14" t="s">
        <v>616</v>
      </c>
      <c r="C248" s="14" t="s">
        <v>617</v>
      </c>
      <c r="D248" s="14" t="s">
        <v>75</v>
      </c>
      <c r="E248" s="13">
        <v>202.0</v>
      </c>
      <c r="F248" s="13">
        <v>181.0</v>
      </c>
      <c r="G248" s="13">
        <v>327.0</v>
      </c>
      <c r="H248" s="13">
        <v>256.0</v>
      </c>
      <c r="I248" s="14" t="s">
        <v>36</v>
      </c>
      <c r="J248" s="14" t="s">
        <v>36</v>
      </c>
      <c r="K248" s="13">
        <v>182.0</v>
      </c>
      <c r="L248" s="13">
        <v>211.0</v>
      </c>
      <c r="M248" s="14" t="s">
        <v>36</v>
      </c>
      <c r="N248" s="14" t="s">
        <v>36</v>
      </c>
      <c r="O248" s="14" t="s">
        <v>36</v>
      </c>
      <c r="P248" s="13">
        <v>25.04</v>
      </c>
      <c r="Q248" s="13">
        <v>21.04</v>
      </c>
      <c r="R248" s="11" t="str">
        <f t="shared" si="1"/>
        <v>K-</v>
      </c>
    </row>
    <row r="249" ht="14.25" customHeight="1">
      <c r="A249" s="13">
        <v>245.0</v>
      </c>
      <c r="B249" s="14" t="s">
        <v>619</v>
      </c>
      <c r="C249" s="14" t="s">
        <v>620</v>
      </c>
      <c r="D249" s="14" t="s">
        <v>45</v>
      </c>
      <c r="E249" s="13">
        <v>204.0</v>
      </c>
      <c r="F249" s="13">
        <v>204.0</v>
      </c>
      <c r="G249" s="13">
        <v>249.0</v>
      </c>
      <c r="H249" s="13">
        <v>267.0</v>
      </c>
      <c r="I249" s="14" t="s">
        <v>36</v>
      </c>
      <c r="J249" s="14" t="s">
        <v>36</v>
      </c>
      <c r="K249" s="13">
        <v>214.0</v>
      </c>
      <c r="L249" s="13">
        <v>221.0</v>
      </c>
      <c r="M249" s="14" t="s">
        <v>36</v>
      </c>
      <c r="N249" s="14" t="s">
        <v>36</v>
      </c>
      <c r="O249" s="14" t="s">
        <v>36</v>
      </c>
      <c r="P249" s="13">
        <v>25.05</v>
      </c>
      <c r="Q249" s="13">
        <v>21.05</v>
      </c>
      <c r="R249" s="11" t="str">
        <f t="shared" si="1"/>
        <v>K-</v>
      </c>
    </row>
    <row r="250" ht="14.25" customHeight="1">
      <c r="A250" s="13">
        <v>246.0</v>
      </c>
      <c r="B250" s="14" t="s">
        <v>622</v>
      </c>
      <c r="C250" s="14" t="s">
        <v>623</v>
      </c>
      <c r="D250" s="14" t="s">
        <v>148</v>
      </c>
      <c r="E250" s="14" t="s">
        <v>36</v>
      </c>
      <c r="F250" s="14" t="s">
        <v>36</v>
      </c>
      <c r="G250" s="13">
        <v>335.0</v>
      </c>
      <c r="H250" s="13">
        <v>223.0</v>
      </c>
      <c r="I250" s="13">
        <v>216.0</v>
      </c>
      <c r="J250" s="14" t="s">
        <v>36</v>
      </c>
      <c r="K250" s="13">
        <v>248.0</v>
      </c>
      <c r="L250" s="14" t="s">
        <v>36</v>
      </c>
      <c r="M250" s="14" t="s">
        <v>36</v>
      </c>
      <c r="N250" s="13">
        <v>181.0</v>
      </c>
      <c r="O250" s="13">
        <v>192.0</v>
      </c>
      <c r="P250" s="13">
        <v>25.06</v>
      </c>
      <c r="Q250" s="13">
        <v>21.06</v>
      </c>
      <c r="R250" s="11" t="str">
        <f t="shared" si="1"/>
        <v>QB</v>
      </c>
    </row>
    <row r="251" ht="14.25" customHeight="1">
      <c r="A251" s="13">
        <v>247.0</v>
      </c>
      <c r="B251" s="14" t="s">
        <v>625</v>
      </c>
      <c r="C251" s="14" t="s">
        <v>626</v>
      </c>
      <c r="D251" s="14" t="s">
        <v>67</v>
      </c>
      <c r="E251" s="13">
        <v>191.0</v>
      </c>
      <c r="F251" s="13">
        <v>197.0</v>
      </c>
      <c r="G251" s="13">
        <v>274.0</v>
      </c>
      <c r="H251" s="13">
        <v>262.0</v>
      </c>
      <c r="I251" s="13">
        <v>231.0</v>
      </c>
      <c r="J251" s="14" t="s">
        <v>36</v>
      </c>
      <c r="K251" s="14" t="s">
        <v>36</v>
      </c>
      <c r="L251" s="13">
        <v>243.0</v>
      </c>
      <c r="M251" s="14" t="s">
        <v>36</v>
      </c>
      <c r="N251" s="14" t="s">
        <v>36</v>
      </c>
      <c r="O251" s="14" t="s">
        <v>36</v>
      </c>
      <c r="P251" s="13">
        <v>25.07</v>
      </c>
      <c r="Q251" s="13">
        <v>21.07</v>
      </c>
      <c r="R251" s="11" t="str">
        <f t="shared" si="1"/>
        <v>DE</v>
      </c>
    </row>
    <row r="252" ht="14.25" customHeight="1">
      <c r="A252" s="13">
        <v>248.0</v>
      </c>
      <c r="B252" s="14" t="s">
        <v>627</v>
      </c>
      <c r="C252" s="14" t="s">
        <v>628</v>
      </c>
      <c r="D252" s="14" t="s">
        <v>49</v>
      </c>
      <c r="E252" s="14" t="s">
        <v>36</v>
      </c>
      <c r="F252" s="14" t="s">
        <v>36</v>
      </c>
      <c r="G252" s="13">
        <v>294.0</v>
      </c>
      <c r="H252" s="13">
        <v>221.0</v>
      </c>
      <c r="I252" s="13">
        <v>236.0</v>
      </c>
      <c r="J252" s="14" t="s">
        <v>36</v>
      </c>
      <c r="K252" s="13">
        <v>250.0</v>
      </c>
      <c r="L252" s="14" t="s">
        <v>36</v>
      </c>
      <c r="M252" s="14" t="s">
        <v>36</v>
      </c>
      <c r="N252" s="13">
        <v>214.0</v>
      </c>
      <c r="O252" s="13">
        <v>217.0</v>
      </c>
      <c r="P252" s="13">
        <v>25.08</v>
      </c>
      <c r="Q252" s="13">
        <v>21.08</v>
      </c>
      <c r="R252" s="11" t="str">
        <f t="shared" si="1"/>
        <v>TE</v>
      </c>
    </row>
    <row r="253" ht="14.25" customHeight="1">
      <c r="A253" s="13">
        <v>249.0</v>
      </c>
      <c r="B253" s="14" t="s">
        <v>629</v>
      </c>
      <c r="C253" s="14" t="s">
        <v>630</v>
      </c>
      <c r="D253" s="14" t="s">
        <v>171</v>
      </c>
      <c r="E253" s="13">
        <v>200.0</v>
      </c>
      <c r="F253" s="13">
        <v>211.0</v>
      </c>
      <c r="G253" s="13">
        <v>289.0</v>
      </c>
      <c r="H253" s="13">
        <v>285.0</v>
      </c>
      <c r="I253" s="13">
        <v>217.0</v>
      </c>
      <c r="J253" s="14" t="s">
        <v>36</v>
      </c>
      <c r="K253" s="13">
        <v>254.0</v>
      </c>
      <c r="L253" s="14" t="s">
        <v>36</v>
      </c>
      <c r="M253" s="14" t="s">
        <v>36</v>
      </c>
      <c r="N253" s="14" t="s">
        <v>36</v>
      </c>
      <c r="O253" s="14" t="s">
        <v>36</v>
      </c>
      <c r="P253" s="13">
        <v>25.09</v>
      </c>
      <c r="Q253" s="13">
        <v>21.09</v>
      </c>
      <c r="R253" s="11" t="str">
        <f t="shared" si="1"/>
        <v>DE</v>
      </c>
    </row>
    <row r="254" ht="14.25" customHeight="1">
      <c r="A254" s="13">
        <v>250.0</v>
      </c>
      <c r="B254" s="14" t="s">
        <v>631</v>
      </c>
      <c r="C254" s="14" t="s">
        <v>632</v>
      </c>
      <c r="D254" s="14" t="s">
        <v>171</v>
      </c>
      <c r="E254" s="13">
        <v>194.0</v>
      </c>
      <c r="F254" s="13">
        <v>191.0</v>
      </c>
      <c r="G254" s="13">
        <v>316.0</v>
      </c>
      <c r="H254" s="13">
        <v>286.0</v>
      </c>
      <c r="I254" s="14" t="s">
        <v>36</v>
      </c>
      <c r="J254" s="14" t="s">
        <v>36</v>
      </c>
      <c r="K254" s="13">
        <v>253.0</v>
      </c>
      <c r="L254" s="13">
        <v>218.0</v>
      </c>
      <c r="M254" s="14" t="s">
        <v>36</v>
      </c>
      <c r="N254" s="14" t="s">
        <v>36</v>
      </c>
      <c r="O254" s="14" t="s">
        <v>36</v>
      </c>
      <c r="P254" s="13">
        <v>25.1</v>
      </c>
      <c r="Q254" s="13">
        <v>21.1</v>
      </c>
      <c r="R254" s="11" t="str">
        <f t="shared" si="1"/>
        <v>K-</v>
      </c>
    </row>
    <row r="255" ht="14.25" customHeight="1">
      <c r="A255" s="13">
        <v>251.0</v>
      </c>
      <c r="B255" s="14" t="s">
        <v>633</v>
      </c>
      <c r="C255" s="14" t="s">
        <v>634</v>
      </c>
      <c r="D255" s="14" t="s">
        <v>94</v>
      </c>
      <c r="E255" s="14" t="s">
        <v>36</v>
      </c>
      <c r="F255" s="14" t="s">
        <v>36</v>
      </c>
      <c r="G255" s="13">
        <v>314.0</v>
      </c>
      <c r="H255" s="13">
        <v>220.0</v>
      </c>
      <c r="I255" s="13">
        <v>221.0</v>
      </c>
      <c r="J255" s="14" t="s">
        <v>36</v>
      </c>
      <c r="K255" s="13">
        <v>231.0</v>
      </c>
      <c r="L255" s="14" t="s">
        <v>36</v>
      </c>
      <c r="M255" s="14" t="s">
        <v>36</v>
      </c>
      <c r="N255" s="13">
        <v>227.0</v>
      </c>
      <c r="O255" s="13">
        <v>250.0</v>
      </c>
      <c r="P255" s="13">
        <v>26.01</v>
      </c>
      <c r="Q255" s="13">
        <v>21.11</v>
      </c>
      <c r="R255" s="11" t="str">
        <f t="shared" si="1"/>
        <v>RB</v>
      </c>
    </row>
    <row r="256" ht="14.25" customHeight="1">
      <c r="A256" s="13">
        <v>252.0</v>
      </c>
      <c r="B256" s="14" t="s">
        <v>636</v>
      </c>
      <c r="C256" s="14" t="s">
        <v>637</v>
      </c>
      <c r="D256" s="14" t="s">
        <v>237</v>
      </c>
      <c r="E256" s="14" t="s">
        <v>36</v>
      </c>
      <c r="F256" s="14" t="s">
        <v>36</v>
      </c>
      <c r="G256" s="13">
        <v>313.0</v>
      </c>
      <c r="H256" s="13">
        <v>242.0</v>
      </c>
      <c r="I256" s="13">
        <v>245.0</v>
      </c>
      <c r="J256" s="14" t="s">
        <v>36</v>
      </c>
      <c r="K256" s="13">
        <v>247.0</v>
      </c>
      <c r="L256" s="14" t="s">
        <v>36</v>
      </c>
      <c r="M256" s="14" t="s">
        <v>36</v>
      </c>
      <c r="N256" s="13">
        <v>213.0</v>
      </c>
      <c r="O256" s="13">
        <v>207.0</v>
      </c>
      <c r="P256" s="13">
        <v>26.02</v>
      </c>
      <c r="Q256" s="13">
        <v>21.12</v>
      </c>
      <c r="R256" s="11" t="str">
        <f t="shared" si="1"/>
        <v>WR</v>
      </c>
    </row>
    <row r="257" ht="14.25" customHeight="1">
      <c r="A257" s="13">
        <v>253.0</v>
      </c>
      <c r="B257" s="14" t="s">
        <v>638</v>
      </c>
      <c r="C257" s="14" t="s">
        <v>639</v>
      </c>
      <c r="D257" s="14" t="s">
        <v>40</v>
      </c>
      <c r="E257" s="14" t="s">
        <v>36</v>
      </c>
      <c r="F257" s="14" t="s">
        <v>36</v>
      </c>
      <c r="G257" s="13">
        <v>319.0</v>
      </c>
      <c r="H257" s="13">
        <v>245.0</v>
      </c>
      <c r="I257" s="13">
        <v>237.0</v>
      </c>
      <c r="J257" s="14" t="s">
        <v>36</v>
      </c>
      <c r="K257" s="13">
        <v>249.0</v>
      </c>
      <c r="L257" s="14" t="s">
        <v>36</v>
      </c>
      <c r="M257" s="14" t="s">
        <v>36</v>
      </c>
      <c r="N257" s="13">
        <v>212.0</v>
      </c>
      <c r="O257" s="13">
        <v>224.0</v>
      </c>
      <c r="P257" s="13">
        <v>26.03</v>
      </c>
      <c r="Q257" s="13">
        <v>22.01</v>
      </c>
      <c r="R257" s="11" t="str">
        <f t="shared" si="1"/>
        <v>QB</v>
      </c>
    </row>
    <row r="258" ht="14.25" customHeight="1">
      <c r="A258" s="13">
        <v>254.0</v>
      </c>
      <c r="B258" s="14" t="s">
        <v>640</v>
      </c>
      <c r="C258" s="14" t="s">
        <v>641</v>
      </c>
      <c r="D258" s="14" t="s">
        <v>58</v>
      </c>
      <c r="E258" s="14" t="s">
        <v>36</v>
      </c>
      <c r="F258" s="14" t="s">
        <v>36</v>
      </c>
      <c r="G258" s="13">
        <v>342.0</v>
      </c>
      <c r="H258" s="13">
        <v>208.0</v>
      </c>
      <c r="I258" s="13">
        <v>234.0</v>
      </c>
      <c r="J258" s="14" t="s">
        <v>36</v>
      </c>
      <c r="K258" s="13">
        <v>242.0</v>
      </c>
      <c r="L258" s="14" t="s">
        <v>36</v>
      </c>
      <c r="M258" s="14" t="s">
        <v>36</v>
      </c>
      <c r="N258" s="13">
        <v>248.0</v>
      </c>
      <c r="O258" s="13">
        <v>252.0</v>
      </c>
      <c r="P258" s="13">
        <v>26.04</v>
      </c>
      <c r="Q258" s="13">
        <v>22.02</v>
      </c>
      <c r="R258" s="11" t="str">
        <f t="shared" si="1"/>
        <v>TE</v>
      </c>
    </row>
    <row r="259" ht="14.25" customHeight="1">
      <c r="A259" s="13">
        <v>255.0</v>
      </c>
      <c r="B259" s="14" t="s">
        <v>642</v>
      </c>
      <c r="C259" s="14" t="s">
        <v>643</v>
      </c>
      <c r="D259" s="14" t="s">
        <v>176</v>
      </c>
      <c r="E259" s="14" t="s">
        <v>36</v>
      </c>
      <c r="F259" s="14" t="s">
        <v>36</v>
      </c>
      <c r="G259" s="13">
        <v>278.0</v>
      </c>
      <c r="H259" s="13">
        <v>281.0</v>
      </c>
      <c r="I259" s="13">
        <v>228.0</v>
      </c>
      <c r="J259" s="14" t="s">
        <v>36</v>
      </c>
      <c r="K259" s="13">
        <v>270.0</v>
      </c>
      <c r="L259" s="14" t="s">
        <v>36</v>
      </c>
      <c r="M259" s="14" t="s">
        <v>36</v>
      </c>
      <c r="N259" s="13">
        <v>246.0</v>
      </c>
      <c r="O259" s="13">
        <v>237.0</v>
      </c>
      <c r="P259" s="13">
        <v>26.05</v>
      </c>
      <c r="Q259" s="13">
        <v>22.03</v>
      </c>
      <c r="R259" s="11" t="str">
        <f t="shared" si="1"/>
        <v>WR</v>
      </c>
    </row>
    <row r="260" ht="14.25" customHeight="1">
      <c r="A260" s="13">
        <v>256.0</v>
      </c>
      <c r="B260" s="14" t="s">
        <v>644</v>
      </c>
      <c r="C260" s="14" t="s">
        <v>645</v>
      </c>
      <c r="D260" s="14" t="s">
        <v>45</v>
      </c>
      <c r="E260" s="14" t="s">
        <v>36</v>
      </c>
      <c r="F260" s="14" t="s">
        <v>36</v>
      </c>
      <c r="G260" s="13">
        <v>307.0</v>
      </c>
      <c r="H260" s="13">
        <v>236.0</v>
      </c>
      <c r="I260" s="13">
        <v>275.0</v>
      </c>
      <c r="J260" s="14" t="s">
        <v>36</v>
      </c>
      <c r="K260" s="13">
        <v>271.0</v>
      </c>
      <c r="L260" s="14" t="s">
        <v>36</v>
      </c>
      <c r="M260" s="14" t="s">
        <v>36</v>
      </c>
      <c r="N260" s="13">
        <v>249.0</v>
      </c>
      <c r="O260" s="13">
        <v>230.0</v>
      </c>
      <c r="P260" s="13">
        <v>26.06</v>
      </c>
      <c r="Q260" s="13">
        <v>22.04</v>
      </c>
      <c r="R260" s="11" t="str">
        <f t="shared" si="1"/>
        <v>TE</v>
      </c>
    </row>
    <row r="261" ht="14.25" customHeight="1">
      <c r="A261" s="13">
        <v>257.0</v>
      </c>
      <c r="B261" s="14" t="s">
        <v>646</v>
      </c>
      <c r="C261" s="14" t="s">
        <v>647</v>
      </c>
      <c r="D261" s="14" t="s">
        <v>71</v>
      </c>
      <c r="E261" s="14" t="s">
        <v>36</v>
      </c>
      <c r="F261" s="13">
        <v>298.0</v>
      </c>
      <c r="G261" s="14" t="s">
        <v>36</v>
      </c>
      <c r="H261" s="13">
        <v>272.0</v>
      </c>
      <c r="I261" s="13">
        <v>293.0</v>
      </c>
      <c r="J261" s="14" t="s">
        <v>36</v>
      </c>
      <c r="K261" s="14" t="s">
        <v>36</v>
      </c>
      <c r="L261" s="13">
        <v>250.0</v>
      </c>
      <c r="M261" s="14" t="s">
        <v>36</v>
      </c>
      <c r="N261" s="13">
        <v>237.0</v>
      </c>
      <c r="O261" s="13">
        <v>232.0</v>
      </c>
      <c r="P261" s="13">
        <v>26.07</v>
      </c>
      <c r="Q261" s="13">
        <v>22.05</v>
      </c>
      <c r="R261" s="11" t="str">
        <f t="shared" si="1"/>
        <v>RB</v>
      </c>
    </row>
    <row r="262" ht="14.25" customHeight="1">
      <c r="A262" s="13">
        <v>258.0</v>
      </c>
      <c r="B262" s="14" t="s">
        <v>648</v>
      </c>
      <c r="C262" s="14" t="s">
        <v>649</v>
      </c>
      <c r="D262" s="14" t="s">
        <v>98</v>
      </c>
      <c r="E262" s="14" t="s">
        <v>36</v>
      </c>
      <c r="F262" s="14" t="s">
        <v>36</v>
      </c>
      <c r="G262" s="13">
        <v>337.0</v>
      </c>
      <c r="H262" s="13">
        <v>288.0</v>
      </c>
      <c r="I262" s="13">
        <v>270.0</v>
      </c>
      <c r="J262" s="14" t="s">
        <v>36</v>
      </c>
      <c r="K262" s="14" t="s">
        <v>36</v>
      </c>
      <c r="L262" s="13">
        <v>232.0</v>
      </c>
      <c r="M262" s="14" t="s">
        <v>36</v>
      </c>
      <c r="N262" s="13">
        <v>257.0</v>
      </c>
      <c r="O262" s="13">
        <v>236.0</v>
      </c>
      <c r="P262" s="13">
        <v>26.08</v>
      </c>
      <c r="Q262" s="13">
        <v>22.06</v>
      </c>
      <c r="R262" s="11" t="str">
        <f t="shared" si="1"/>
        <v>WR</v>
      </c>
    </row>
    <row r="263" ht="14.25" customHeight="1">
      <c r="A263" s="13">
        <v>259.0</v>
      </c>
      <c r="B263" s="14" t="s">
        <v>650</v>
      </c>
      <c r="C263" s="14" t="s">
        <v>651</v>
      </c>
      <c r="D263" s="14" t="s">
        <v>98</v>
      </c>
      <c r="E263" s="14" t="s">
        <v>36</v>
      </c>
      <c r="F263" s="13">
        <v>338.0</v>
      </c>
      <c r="G263" s="13">
        <v>310.0</v>
      </c>
      <c r="H263" s="13">
        <v>265.0</v>
      </c>
      <c r="I263" s="13">
        <v>252.0</v>
      </c>
      <c r="J263" s="14" t="s">
        <v>36</v>
      </c>
      <c r="K263" s="14" t="s">
        <v>36</v>
      </c>
      <c r="L263" s="14" t="s">
        <v>36</v>
      </c>
      <c r="M263" s="14" t="s">
        <v>36</v>
      </c>
      <c r="N263" s="13">
        <v>219.0</v>
      </c>
      <c r="O263" s="13">
        <v>247.0</v>
      </c>
      <c r="P263" s="13">
        <v>26.09</v>
      </c>
      <c r="Q263" s="13">
        <v>22.07</v>
      </c>
      <c r="R263" s="11" t="str">
        <f t="shared" si="1"/>
        <v>QB</v>
      </c>
    </row>
    <row r="264" ht="14.25" customHeight="1">
      <c r="A264" s="13">
        <v>260.0</v>
      </c>
      <c r="B264" s="14" t="s">
        <v>652</v>
      </c>
      <c r="C264" s="14" t="s">
        <v>653</v>
      </c>
      <c r="D264" s="14" t="s">
        <v>58</v>
      </c>
      <c r="E264" s="14" t="s">
        <v>36</v>
      </c>
      <c r="F264" s="13">
        <v>264.0</v>
      </c>
      <c r="G264" s="13">
        <v>347.0</v>
      </c>
      <c r="H264" s="13">
        <v>306.0</v>
      </c>
      <c r="I264" s="13">
        <v>253.0</v>
      </c>
      <c r="J264" s="14" t="s">
        <v>36</v>
      </c>
      <c r="K264" s="14" t="s">
        <v>36</v>
      </c>
      <c r="L264" s="14" t="s">
        <v>36</v>
      </c>
      <c r="M264" s="14" t="s">
        <v>36</v>
      </c>
      <c r="N264" s="13">
        <v>234.0</v>
      </c>
      <c r="O264" s="13">
        <v>267.0</v>
      </c>
      <c r="P264" s="13">
        <v>26.1</v>
      </c>
      <c r="Q264" s="13">
        <v>22.08</v>
      </c>
      <c r="R264" s="11" t="str">
        <f t="shared" si="1"/>
        <v>WR</v>
      </c>
    </row>
    <row r="265" ht="14.25" customHeight="1">
      <c r="A265" s="13">
        <v>261.0</v>
      </c>
      <c r="B265" s="14" t="s">
        <v>654</v>
      </c>
      <c r="C265" s="14" t="s">
        <v>655</v>
      </c>
      <c r="D265" s="14" t="s">
        <v>49</v>
      </c>
      <c r="E265" s="13">
        <v>181.0</v>
      </c>
      <c r="F265" s="13">
        <v>125.0</v>
      </c>
      <c r="G265" s="13">
        <v>227.0</v>
      </c>
      <c r="H265" s="13">
        <v>243.0</v>
      </c>
      <c r="I265" s="14" t="s">
        <v>36</v>
      </c>
      <c r="J265" s="14" t="s">
        <v>36</v>
      </c>
      <c r="K265" s="13">
        <v>157.0</v>
      </c>
      <c r="L265" s="14" t="s">
        <v>36</v>
      </c>
      <c r="M265" s="14" t="s">
        <v>36</v>
      </c>
      <c r="N265" s="14" t="s">
        <v>36</v>
      </c>
      <c r="O265" s="14" t="s">
        <v>36</v>
      </c>
      <c r="P265" s="13">
        <v>27.01</v>
      </c>
      <c r="Q265" s="13">
        <v>22.09</v>
      </c>
      <c r="R265" s="11" t="str">
        <f t="shared" si="1"/>
        <v>K-</v>
      </c>
    </row>
    <row r="266" ht="14.25" customHeight="1">
      <c r="A266" s="13">
        <v>262.0</v>
      </c>
      <c r="B266" s="14" t="s">
        <v>656</v>
      </c>
      <c r="C266" s="14" t="s">
        <v>657</v>
      </c>
      <c r="D266" s="14" t="s">
        <v>131</v>
      </c>
      <c r="E266" s="14" t="s">
        <v>36</v>
      </c>
      <c r="F266" s="14" t="s">
        <v>36</v>
      </c>
      <c r="G266" s="14" t="s">
        <v>36</v>
      </c>
      <c r="H266" s="13">
        <v>229.0</v>
      </c>
      <c r="I266" s="13">
        <v>247.0</v>
      </c>
      <c r="J266" s="14" t="s">
        <v>36</v>
      </c>
      <c r="K266" s="14" t="s">
        <v>36</v>
      </c>
      <c r="L266" s="13">
        <v>200.0</v>
      </c>
      <c r="M266" s="14" t="s">
        <v>36</v>
      </c>
      <c r="N266" s="13">
        <v>179.0</v>
      </c>
      <c r="O266" s="13">
        <v>185.0</v>
      </c>
      <c r="P266" s="13">
        <v>27.02</v>
      </c>
      <c r="Q266" s="13">
        <v>22.1</v>
      </c>
      <c r="R266" s="11" t="str">
        <f t="shared" si="1"/>
        <v>WR</v>
      </c>
    </row>
    <row r="267" ht="14.25" customHeight="1">
      <c r="A267" s="13">
        <v>263.0</v>
      </c>
      <c r="B267" s="14" t="s">
        <v>658</v>
      </c>
      <c r="C267" s="14" t="s">
        <v>659</v>
      </c>
      <c r="D267" s="14" t="s">
        <v>102</v>
      </c>
      <c r="E267" s="13">
        <v>188.0</v>
      </c>
      <c r="F267" s="13">
        <v>141.0</v>
      </c>
      <c r="G267" s="13">
        <v>262.0</v>
      </c>
      <c r="H267" s="13">
        <v>277.0</v>
      </c>
      <c r="I267" s="14" t="s">
        <v>36</v>
      </c>
      <c r="J267" s="14" t="s">
        <v>36</v>
      </c>
      <c r="K267" s="13">
        <v>188.0</v>
      </c>
      <c r="L267" s="14" t="s">
        <v>36</v>
      </c>
      <c r="M267" s="14" t="s">
        <v>36</v>
      </c>
      <c r="N267" s="14" t="s">
        <v>36</v>
      </c>
      <c r="O267" s="14" t="s">
        <v>36</v>
      </c>
      <c r="P267" s="13">
        <v>27.03</v>
      </c>
      <c r="Q267" s="13">
        <v>22.11</v>
      </c>
      <c r="R267" s="11" t="str">
        <f t="shared" si="1"/>
        <v>K-</v>
      </c>
    </row>
    <row r="268" ht="14.25" customHeight="1">
      <c r="A268" s="13">
        <v>264.0</v>
      </c>
      <c r="B268" s="14" t="s">
        <v>660</v>
      </c>
      <c r="C268" s="14" t="s">
        <v>661</v>
      </c>
      <c r="D268" s="14" t="s">
        <v>128</v>
      </c>
      <c r="E268" s="14" t="s">
        <v>36</v>
      </c>
      <c r="F268" s="14" t="s">
        <v>36</v>
      </c>
      <c r="G268" s="14" t="s">
        <v>36</v>
      </c>
      <c r="H268" s="13">
        <v>224.0</v>
      </c>
      <c r="I268" s="13">
        <v>257.0</v>
      </c>
      <c r="J268" s="14" t="s">
        <v>36</v>
      </c>
      <c r="K268" s="14" t="s">
        <v>36</v>
      </c>
      <c r="L268" s="13">
        <v>209.0</v>
      </c>
      <c r="M268" s="14" t="s">
        <v>36</v>
      </c>
      <c r="N268" s="13">
        <v>210.0</v>
      </c>
      <c r="O268" s="13">
        <v>206.0</v>
      </c>
      <c r="P268" s="13">
        <v>27.04</v>
      </c>
      <c r="Q268" s="13">
        <v>22.12</v>
      </c>
      <c r="R268" s="11" t="str">
        <f t="shared" si="1"/>
        <v>RB</v>
      </c>
    </row>
    <row r="269" ht="14.25" customHeight="1">
      <c r="A269" s="13">
        <v>265.0</v>
      </c>
      <c r="B269" s="14" t="s">
        <v>663</v>
      </c>
      <c r="C269" s="14" t="s">
        <v>664</v>
      </c>
      <c r="D269" s="14" t="s">
        <v>195</v>
      </c>
      <c r="E269" s="13">
        <v>201.0</v>
      </c>
      <c r="F269" s="13">
        <v>154.0</v>
      </c>
      <c r="G269" s="13">
        <v>273.0</v>
      </c>
      <c r="H269" s="13">
        <v>319.0</v>
      </c>
      <c r="I269" s="13">
        <v>226.0</v>
      </c>
      <c r="J269" s="14" t="s">
        <v>36</v>
      </c>
      <c r="K269" s="14" t="s">
        <v>36</v>
      </c>
      <c r="L269" s="14" t="s">
        <v>36</v>
      </c>
      <c r="M269" s="14" t="s">
        <v>36</v>
      </c>
      <c r="N269" s="14" t="s">
        <v>36</v>
      </c>
      <c r="O269" s="14" t="s">
        <v>36</v>
      </c>
      <c r="P269" s="13">
        <v>27.05</v>
      </c>
      <c r="Q269" s="13">
        <v>23.01</v>
      </c>
      <c r="R269" s="11" t="str">
        <f t="shared" si="1"/>
        <v>DE</v>
      </c>
    </row>
    <row r="270" ht="14.25" customHeight="1">
      <c r="A270" s="13">
        <v>266.0</v>
      </c>
      <c r="B270" s="14" t="s">
        <v>665</v>
      </c>
      <c r="C270" s="14" t="s">
        <v>666</v>
      </c>
      <c r="D270" s="14" t="s">
        <v>176</v>
      </c>
      <c r="E270" s="14" t="s">
        <v>36</v>
      </c>
      <c r="F270" s="14" t="s">
        <v>36</v>
      </c>
      <c r="G270" s="13">
        <v>295.0</v>
      </c>
      <c r="H270" s="13">
        <v>200.0</v>
      </c>
      <c r="I270" s="13">
        <v>255.0</v>
      </c>
      <c r="J270" s="14" t="s">
        <v>36</v>
      </c>
      <c r="K270" s="14" t="s">
        <v>36</v>
      </c>
      <c r="L270" s="14" t="s">
        <v>36</v>
      </c>
      <c r="M270" s="14" t="s">
        <v>36</v>
      </c>
      <c r="N270" s="13">
        <v>233.0</v>
      </c>
      <c r="O270" s="13">
        <v>221.0</v>
      </c>
      <c r="P270" s="13">
        <v>27.06</v>
      </c>
      <c r="Q270" s="13">
        <v>23.02</v>
      </c>
      <c r="R270" s="11" t="str">
        <f t="shared" si="1"/>
        <v>TE</v>
      </c>
    </row>
    <row r="271" ht="14.25" customHeight="1">
      <c r="A271" s="13">
        <v>267.0</v>
      </c>
      <c r="B271" s="14" t="s">
        <v>667</v>
      </c>
      <c r="C271" s="14" t="s">
        <v>668</v>
      </c>
      <c r="D271" s="14" t="s">
        <v>237</v>
      </c>
      <c r="E271" s="14" t="s">
        <v>36</v>
      </c>
      <c r="F271" s="13">
        <v>167.0</v>
      </c>
      <c r="G271" s="13">
        <v>336.0</v>
      </c>
      <c r="H271" s="13">
        <v>284.0</v>
      </c>
      <c r="I271" s="14" t="s">
        <v>36</v>
      </c>
      <c r="J271" s="14" t="s">
        <v>36</v>
      </c>
      <c r="K271" s="13">
        <v>185.0</v>
      </c>
      <c r="L271" s="13">
        <v>249.0</v>
      </c>
      <c r="M271" s="14" t="s">
        <v>36</v>
      </c>
      <c r="N271" s="14" t="s">
        <v>36</v>
      </c>
      <c r="O271" s="14" t="s">
        <v>36</v>
      </c>
      <c r="P271" s="13">
        <v>27.07</v>
      </c>
      <c r="Q271" s="13">
        <v>23.03</v>
      </c>
      <c r="R271" s="11" t="str">
        <f t="shared" si="1"/>
        <v>K-</v>
      </c>
    </row>
    <row r="272" ht="14.25" customHeight="1">
      <c r="A272" s="13">
        <v>268.0</v>
      </c>
      <c r="B272" s="14" t="s">
        <v>669</v>
      </c>
      <c r="C272" s="14" t="s">
        <v>670</v>
      </c>
      <c r="D272" s="14" t="s">
        <v>45</v>
      </c>
      <c r="E272" s="14" t="s">
        <v>36</v>
      </c>
      <c r="F272" s="14" t="s">
        <v>36</v>
      </c>
      <c r="G272" s="13">
        <v>331.0</v>
      </c>
      <c r="H272" s="13">
        <v>204.0</v>
      </c>
      <c r="I272" s="13">
        <v>258.0</v>
      </c>
      <c r="J272" s="14" t="s">
        <v>36</v>
      </c>
      <c r="K272" s="14" t="s">
        <v>36</v>
      </c>
      <c r="L272" s="14" t="s">
        <v>36</v>
      </c>
      <c r="M272" s="14" t="s">
        <v>36</v>
      </c>
      <c r="N272" s="13">
        <v>218.0</v>
      </c>
      <c r="O272" s="13">
        <v>222.0</v>
      </c>
      <c r="P272" s="13">
        <v>27.08</v>
      </c>
      <c r="Q272" s="13">
        <v>23.04</v>
      </c>
      <c r="R272" s="11" t="str">
        <f t="shared" si="1"/>
        <v>RB</v>
      </c>
    </row>
    <row r="273" ht="14.25" customHeight="1">
      <c r="A273" s="13">
        <v>269.0</v>
      </c>
      <c r="B273" s="14" t="s">
        <v>671</v>
      </c>
      <c r="C273" s="14" t="s">
        <v>672</v>
      </c>
      <c r="D273" s="14" t="s">
        <v>67</v>
      </c>
      <c r="E273" s="14" t="s">
        <v>36</v>
      </c>
      <c r="F273" s="14" t="s">
        <v>36</v>
      </c>
      <c r="G273" s="14" t="s">
        <v>36</v>
      </c>
      <c r="H273" s="13">
        <v>271.0</v>
      </c>
      <c r="I273" s="13">
        <v>256.0</v>
      </c>
      <c r="J273" s="14" t="s">
        <v>36</v>
      </c>
      <c r="K273" s="13">
        <v>266.0</v>
      </c>
      <c r="L273" s="14" t="s">
        <v>36</v>
      </c>
      <c r="M273" s="14" t="s">
        <v>36</v>
      </c>
      <c r="N273" s="13">
        <v>226.0</v>
      </c>
      <c r="O273" s="13">
        <v>214.0</v>
      </c>
      <c r="P273" s="13">
        <v>27.09</v>
      </c>
      <c r="Q273" s="13">
        <v>23.05</v>
      </c>
      <c r="R273" s="11" t="str">
        <f t="shared" si="1"/>
        <v>WR</v>
      </c>
    </row>
    <row r="274" ht="14.25" customHeight="1">
      <c r="A274" s="13">
        <v>270.0</v>
      </c>
      <c r="B274" s="14" t="s">
        <v>673</v>
      </c>
      <c r="C274" s="14" t="s">
        <v>674</v>
      </c>
      <c r="D274" s="14" t="s">
        <v>102</v>
      </c>
      <c r="E274" s="14" t="s">
        <v>36</v>
      </c>
      <c r="F274" s="14" t="s">
        <v>36</v>
      </c>
      <c r="G274" s="14" t="s">
        <v>36</v>
      </c>
      <c r="H274" s="13">
        <v>266.0</v>
      </c>
      <c r="I274" s="13">
        <v>276.0</v>
      </c>
      <c r="J274" s="14" t="s">
        <v>36</v>
      </c>
      <c r="K274" s="14" t="s">
        <v>36</v>
      </c>
      <c r="L274" s="13">
        <v>231.0</v>
      </c>
      <c r="M274" s="14" t="s">
        <v>36</v>
      </c>
      <c r="N274" s="13">
        <v>229.0</v>
      </c>
      <c r="O274" s="13">
        <v>234.0</v>
      </c>
      <c r="P274" s="13">
        <v>27.1</v>
      </c>
      <c r="Q274" s="13">
        <v>23.06</v>
      </c>
      <c r="R274" s="11" t="str">
        <f t="shared" si="1"/>
        <v>WR</v>
      </c>
    </row>
    <row r="275" ht="14.25" customHeight="1">
      <c r="A275" s="13">
        <v>271.0</v>
      </c>
      <c r="B275" s="14" t="s">
        <v>675</v>
      </c>
      <c r="C275" s="14" t="s">
        <v>676</v>
      </c>
      <c r="D275" s="14" t="s">
        <v>58</v>
      </c>
      <c r="E275" s="14" t="s">
        <v>36</v>
      </c>
      <c r="F275" s="13">
        <v>194.0</v>
      </c>
      <c r="G275" s="13">
        <v>296.0</v>
      </c>
      <c r="H275" s="13">
        <v>289.0</v>
      </c>
      <c r="I275" s="13">
        <v>240.0</v>
      </c>
      <c r="J275" s="14" t="s">
        <v>36</v>
      </c>
      <c r="K275" s="13">
        <v>257.0</v>
      </c>
      <c r="L275" s="14" t="s">
        <v>36</v>
      </c>
      <c r="M275" s="14" t="s">
        <v>36</v>
      </c>
      <c r="N275" s="14" t="s">
        <v>36</v>
      </c>
      <c r="O275" s="14" t="s">
        <v>36</v>
      </c>
      <c r="P275" s="13">
        <v>28.01</v>
      </c>
      <c r="Q275" s="13">
        <v>23.07</v>
      </c>
      <c r="R275" s="11" t="str">
        <f t="shared" si="1"/>
        <v>DE</v>
      </c>
    </row>
    <row r="276" ht="14.25" customHeight="1">
      <c r="A276" s="13">
        <v>272.0</v>
      </c>
      <c r="B276" s="14" t="s">
        <v>677</v>
      </c>
      <c r="C276" s="14" t="s">
        <v>678</v>
      </c>
      <c r="D276" s="14" t="s">
        <v>94</v>
      </c>
      <c r="E276" s="14" t="s">
        <v>36</v>
      </c>
      <c r="F276" s="14" t="s">
        <v>36</v>
      </c>
      <c r="G276" s="14" t="s">
        <v>36</v>
      </c>
      <c r="H276" s="13">
        <v>270.0</v>
      </c>
      <c r="I276" s="13">
        <v>264.0</v>
      </c>
      <c r="J276" s="14" t="s">
        <v>36</v>
      </c>
      <c r="K276" s="14" t="s">
        <v>36</v>
      </c>
      <c r="L276" s="13">
        <v>223.0</v>
      </c>
      <c r="M276" s="14" t="s">
        <v>36</v>
      </c>
      <c r="N276" s="13">
        <v>256.0</v>
      </c>
      <c r="O276" s="13">
        <v>280.0</v>
      </c>
      <c r="P276" s="13">
        <v>28.02</v>
      </c>
      <c r="Q276" s="13">
        <v>23.08</v>
      </c>
      <c r="R276" s="11" t="str">
        <f t="shared" si="1"/>
        <v>RB</v>
      </c>
    </row>
    <row r="277" ht="14.25" customHeight="1">
      <c r="A277" s="13">
        <v>273.0</v>
      </c>
      <c r="B277" s="14" t="s">
        <v>679</v>
      </c>
      <c r="C277" s="14" t="s">
        <v>680</v>
      </c>
      <c r="D277" s="14" t="s">
        <v>109</v>
      </c>
      <c r="E277" s="14" t="s">
        <v>36</v>
      </c>
      <c r="F277" s="14" t="s">
        <v>36</v>
      </c>
      <c r="G277" s="14" t="s">
        <v>36</v>
      </c>
      <c r="H277" s="13">
        <v>253.0</v>
      </c>
      <c r="I277" s="13">
        <v>268.0</v>
      </c>
      <c r="J277" s="14" t="s">
        <v>36</v>
      </c>
      <c r="K277" s="14" t="s">
        <v>36</v>
      </c>
      <c r="L277" s="13">
        <v>230.0</v>
      </c>
      <c r="M277" s="14" t="s">
        <v>36</v>
      </c>
      <c r="N277" s="13">
        <v>274.0</v>
      </c>
      <c r="O277" s="13">
        <v>268.0</v>
      </c>
      <c r="P277" s="13">
        <v>28.03</v>
      </c>
      <c r="Q277" s="13">
        <v>23.09</v>
      </c>
      <c r="R277" s="11" t="str">
        <f t="shared" si="1"/>
        <v>RB</v>
      </c>
    </row>
    <row r="278" ht="14.25" customHeight="1">
      <c r="A278" s="13">
        <v>274.0</v>
      </c>
      <c r="B278" s="14" t="s">
        <v>681</v>
      </c>
      <c r="C278" s="14" t="s">
        <v>682</v>
      </c>
      <c r="D278" s="14" t="s">
        <v>40</v>
      </c>
      <c r="E278" s="14" t="s">
        <v>36</v>
      </c>
      <c r="F278" s="14" t="s">
        <v>36</v>
      </c>
      <c r="G278" s="13">
        <v>343.0</v>
      </c>
      <c r="H278" s="13">
        <v>261.0</v>
      </c>
      <c r="I278" s="13">
        <v>263.0</v>
      </c>
      <c r="J278" s="14" t="s">
        <v>36</v>
      </c>
      <c r="K278" s="14" t="s">
        <v>36</v>
      </c>
      <c r="L278" s="14" t="s">
        <v>36</v>
      </c>
      <c r="M278" s="14" t="s">
        <v>36</v>
      </c>
      <c r="N278" s="13">
        <v>225.0</v>
      </c>
      <c r="O278" s="13">
        <v>219.0</v>
      </c>
      <c r="P278" s="13">
        <v>28.04</v>
      </c>
      <c r="Q278" s="13">
        <v>23.1</v>
      </c>
      <c r="R278" s="11" t="str">
        <f t="shared" si="1"/>
        <v>QB</v>
      </c>
    </row>
    <row r="279" ht="14.25" customHeight="1">
      <c r="A279" s="13">
        <v>275.0</v>
      </c>
      <c r="B279" s="14" t="s">
        <v>683</v>
      </c>
      <c r="C279" s="14" t="s">
        <v>684</v>
      </c>
      <c r="D279" s="14" t="s">
        <v>52</v>
      </c>
      <c r="E279" s="14" t="s">
        <v>36</v>
      </c>
      <c r="F279" s="14" t="s">
        <v>36</v>
      </c>
      <c r="G279" s="14" t="s">
        <v>36</v>
      </c>
      <c r="H279" s="13">
        <v>291.0</v>
      </c>
      <c r="I279" s="13">
        <v>271.0</v>
      </c>
      <c r="J279" s="14" t="s">
        <v>36</v>
      </c>
      <c r="K279" s="13">
        <v>251.0</v>
      </c>
      <c r="L279" s="14" t="s">
        <v>36</v>
      </c>
      <c r="M279" s="14" t="s">
        <v>36</v>
      </c>
      <c r="N279" s="13">
        <v>252.0</v>
      </c>
      <c r="O279" s="13">
        <v>256.0</v>
      </c>
      <c r="P279" s="13">
        <v>28.05</v>
      </c>
      <c r="Q279" s="13">
        <v>23.11</v>
      </c>
      <c r="R279" s="11" t="str">
        <f t="shared" si="1"/>
        <v>WR</v>
      </c>
    </row>
    <row r="280" ht="14.25" customHeight="1">
      <c r="A280" s="13">
        <v>276.0</v>
      </c>
      <c r="B280" s="14" t="s">
        <v>685</v>
      </c>
      <c r="C280" s="14" t="s">
        <v>686</v>
      </c>
      <c r="D280" s="14" t="s">
        <v>195</v>
      </c>
      <c r="E280" s="14" t="s">
        <v>36</v>
      </c>
      <c r="F280" s="14" t="s">
        <v>36</v>
      </c>
      <c r="G280" s="13">
        <v>345.0</v>
      </c>
      <c r="H280" s="13">
        <v>260.0</v>
      </c>
      <c r="I280" s="13">
        <v>260.0</v>
      </c>
      <c r="J280" s="14" t="s">
        <v>36</v>
      </c>
      <c r="K280" s="14" t="s">
        <v>36</v>
      </c>
      <c r="L280" s="14" t="s">
        <v>36</v>
      </c>
      <c r="M280" s="14" t="s">
        <v>36</v>
      </c>
      <c r="N280" s="13">
        <v>224.0</v>
      </c>
      <c r="O280" s="13">
        <v>233.0</v>
      </c>
      <c r="P280" s="13">
        <v>28.06</v>
      </c>
      <c r="Q280" s="13">
        <v>23.12</v>
      </c>
      <c r="R280" s="11" t="str">
        <f t="shared" si="1"/>
        <v>QB</v>
      </c>
    </row>
    <row r="281" ht="14.25" customHeight="1">
      <c r="A281" s="13">
        <v>277.0</v>
      </c>
      <c r="B281" s="14" t="s">
        <v>687</v>
      </c>
      <c r="C281" s="14" t="s">
        <v>688</v>
      </c>
      <c r="D281" s="14" t="s">
        <v>128</v>
      </c>
      <c r="E281" s="14" t="s">
        <v>36</v>
      </c>
      <c r="F281" s="13">
        <v>209.0</v>
      </c>
      <c r="G281" s="13">
        <v>332.0</v>
      </c>
      <c r="H281" s="13">
        <v>308.0</v>
      </c>
      <c r="I281" s="13">
        <v>241.0</v>
      </c>
      <c r="J281" s="14" t="s">
        <v>36</v>
      </c>
      <c r="K281" s="13">
        <v>260.0</v>
      </c>
      <c r="L281" s="14" t="s">
        <v>36</v>
      </c>
      <c r="M281" s="14" t="s">
        <v>36</v>
      </c>
      <c r="N281" s="14" t="s">
        <v>36</v>
      </c>
      <c r="O281" s="14" t="s">
        <v>36</v>
      </c>
      <c r="P281" s="13">
        <v>28.07</v>
      </c>
      <c r="Q281" s="13">
        <v>24.01</v>
      </c>
      <c r="R281" s="11" t="str">
        <f t="shared" si="1"/>
        <v>DE</v>
      </c>
    </row>
    <row r="282" ht="14.25" customHeight="1">
      <c r="A282" s="13">
        <v>278.0</v>
      </c>
      <c r="B282" s="14" t="s">
        <v>689</v>
      </c>
      <c r="C282" s="14" t="s">
        <v>690</v>
      </c>
      <c r="D282" s="14" t="s">
        <v>102</v>
      </c>
      <c r="E282" s="14" t="s">
        <v>36</v>
      </c>
      <c r="F282" s="14" t="s">
        <v>36</v>
      </c>
      <c r="G282" s="13">
        <v>325.0</v>
      </c>
      <c r="H282" s="13">
        <v>258.0</v>
      </c>
      <c r="I282" s="13">
        <v>250.0</v>
      </c>
      <c r="J282" s="14" t="s">
        <v>36</v>
      </c>
      <c r="K282" s="14" t="s">
        <v>36</v>
      </c>
      <c r="L282" s="14" t="s">
        <v>36</v>
      </c>
      <c r="M282" s="14" t="s">
        <v>36</v>
      </c>
      <c r="N282" s="13">
        <v>245.0</v>
      </c>
      <c r="O282" s="13">
        <v>279.0</v>
      </c>
      <c r="P282" s="13">
        <v>28.08</v>
      </c>
      <c r="Q282" s="13">
        <v>24.02</v>
      </c>
      <c r="R282" s="11" t="str">
        <f t="shared" si="1"/>
        <v>RB</v>
      </c>
    </row>
    <row r="283" ht="14.25" customHeight="1">
      <c r="A283" s="13">
        <v>279.0</v>
      </c>
      <c r="B283" s="14" t="s">
        <v>691</v>
      </c>
      <c r="C283" s="14" t="s">
        <v>692</v>
      </c>
      <c r="D283" s="14" t="s">
        <v>148</v>
      </c>
      <c r="E283" s="14" t="s">
        <v>36</v>
      </c>
      <c r="F283" s="14" t="s">
        <v>36</v>
      </c>
      <c r="G283" s="14" t="s">
        <v>36</v>
      </c>
      <c r="H283" s="13">
        <v>249.0</v>
      </c>
      <c r="I283" s="13">
        <v>327.0</v>
      </c>
      <c r="J283" s="14" t="s">
        <v>36</v>
      </c>
      <c r="K283" s="13">
        <v>263.0</v>
      </c>
      <c r="L283" s="14" t="s">
        <v>36</v>
      </c>
      <c r="M283" s="14" t="s">
        <v>36</v>
      </c>
      <c r="N283" s="13">
        <v>265.0</v>
      </c>
      <c r="O283" s="13">
        <v>253.0</v>
      </c>
      <c r="P283" s="13">
        <v>28.09</v>
      </c>
      <c r="Q283" s="13">
        <v>24.03</v>
      </c>
      <c r="R283" s="11" t="str">
        <f t="shared" si="1"/>
        <v>TE</v>
      </c>
    </row>
    <row r="284" ht="14.25" customHeight="1">
      <c r="A284" s="13">
        <v>280.0</v>
      </c>
      <c r="B284" s="14" t="s">
        <v>693</v>
      </c>
      <c r="C284" s="14" t="s">
        <v>694</v>
      </c>
      <c r="D284" s="14" t="s">
        <v>52</v>
      </c>
      <c r="E284" s="14" t="s">
        <v>36</v>
      </c>
      <c r="F284" s="14" t="s">
        <v>36</v>
      </c>
      <c r="G284" s="13">
        <v>286.0</v>
      </c>
      <c r="H284" s="13">
        <v>304.0</v>
      </c>
      <c r="I284" s="13">
        <v>244.0</v>
      </c>
      <c r="J284" s="14" t="s">
        <v>36</v>
      </c>
      <c r="K284" s="13">
        <v>269.0</v>
      </c>
      <c r="L284" s="14" t="s">
        <v>36</v>
      </c>
      <c r="M284" s="14" t="s">
        <v>36</v>
      </c>
      <c r="N284" s="14" t="s">
        <v>36</v>
      </c>
      <c r="O284" s="13">
        <v>262.0</v>
      </c>
      <c r="P284" s="13">
        <v>28.1</v>
      </c>
      <c r="Q284" s="13">
        <v>24.04</v>
      </c>
      <c r="R284" s="11" t="str">
        <f t="shared" si="1"/>
        <v>RB</v>
      </c>
    </row>
    <row r="285" ht="14.25" customHeight="1">
      <c r="A285" s="13">
        <v>281.0</v>
      </c>
      <c r="B285" s="14" t="s">
        <v>695</v>
      </c>
      <c r="C285" s="14" t="s">
        <v>696</v>
      </c>
      <c r="D285" s="14" t="s">
        <v>148</v>
      </c>
      <c r="E285" s="14" t="s">
        <v>36</v>
      </c>
      <c r="F285" s="14" t="s">
        <v>36</v>
      </c>
      <c r="G285" s="14" t="s">
        <v>36</v>
      </c>
      <c r="H285" s="13">
        <v>310.0</v>
      </c>
      <c r="I285" s="13">
        <v>277.0</v>
      </c>
      <c r="J285" s="14" t="s">
        <v>36</v>
      </c>
      <c r="K285" s="14" t="s">
        <v>36</v>
      </c>
      <c r="L285" s="13">
        <v>212.0</v>
      </c>
      <c r="M285" s="14" t="s">
        <v>36</v>
      </c>
      <c r="N285" s="13">
        <v>273.0</v>
      </c>
      <c r="O285" s="13">
        <v>296.0</v>
      </c>
      <c r="P285" s="13">
        <v>29.01</v>
      </c>
      <c r="Q285" s="13">
        <v>24.05</v>
      </c>
      <c r="R285" s="11" t="str">
        <f t="shared" si="1"/>
        <v>RB</v>
      </c>
    </row>
    <row r="286" ht="14.25" customHeight="1">
      <c r="A286" s="13">
        <v>282.0</v>
      </c>
      <c r="B286" s="14" t="s">
        <v>697</v>
      </c>
      <c r="C286" s="14" t="s">
        <v>624</v>
      </c>
      <c r="D286" s="14" t="s">
        <v>58</v>
      </c>
      <c r="E286" s="14" t="s">
        <v>36</v>
      </c>
      <c r="F286" s="13">
        <v>287.0</v>
      </c>
      <c r="G286" s="14" t="s">
        <v>36</v>
      </c>
      <c r="H286" s="13">
        <v>328.0</v>
      </c>
      <c r="I286" s="13">
        <v>273.0</v>
      </c>
      <c r="J286" s="14" t="s">
        <v>36</v>
      </c>
      <c r="K286" s="13">
        <v>252.0</v>
      </c>
      <c r="L286" s="14" t="s">
        <v>36</v>
      </c>
      <c r="M286" s="14" t="s">
        <v>36</v>
      </c>
      <c r="N286" s="14" t="s">
        <v>36</v>
      </c>
      <c r="O286" s="13">
        <v>301.0</v>
      </c>
      <c r="P286" s="13">
        <v>29.02</v>
      </c>
      <c r="Q286" s="13">
        <v>24.06</v>
      </c>
      <c r="R286" s="11" t="str">
        <f t="shared" si="1"/>
        <v>WR</v>
      </c>
    </row>
    <row r="287" ht="14.25" customHeight="1">
      <c r="A287" s="13">
        <v>283.0</v>
      </c>
      <c r="B287" s="14" t="s">
        <v>698</v>
      </c>
      <c r="C287" s="14" t="s">
        <v>699</v>
      </c>
      <c r="D287" s="14" t="s">
        <v>119</v>
      </c>
      <c r="E287" s="14" t="s">
        <v>36</v>
      </c>
      <c r="F287" s="13">
        <v>275.0</v>
      </c>
      <c r="G287" s="14" t="s">
        <v>36</v>
      </c>
      <c r="H287" s="13">
        <v>212.0</v>
      </c>
      <c r="I287" s="13">
        <v>143.0</v>
      </c>
      <c r="J287" s="14" t="s">
        <v>36</v>
      </c>
      <c r="K287" s="13">
        <v>124.0</v>
      </c>
      <c r="L287" s="14" t="s">
        <v>36</v>
      </c>
      <c r="M287" s="14" t="s">
        <v>36</v>
      </c>
      <c r="N287" s="14" t="s">
        <v>36</v>
      </c>
      <c r="O287" s="14" t="s">
        <v>36</v>
      </c>
      <c r="P287" s="13">
        <v>29.03</v>
      </c>
      <c r="Q287" s="13">
        <v>24.07</v>
      </c>
      <c r="R287" s="11" t="str">
        <f t="shared" si="1"/>
        <v>WR</v>
      </c>
    </row>
    <row r="288" ht="14.25" customHeight="1">
      <c r="A288" s="13">
        <v>284.0</v>
      </c>
      <c r="B288" s="14" t="s">
        <v>700</v>
      </c>
      <c r="C288" s="14" t="s">
        <v>701</v>
      </c>
      <c r="D288" s="14" t="s">
        <v>165</v>
      </c>
      <c r="E288" s="14" t="s">
        <v>36</v>
      </c>
      <c r="F288" s="14" t="s">
        <v>36</v>
      </c>
      <c r="G288" s="14" t="s">
        <v>36</v>
      </c>
      <c r="H288" s="13">
        <v>210.0</v>
      </c>
      <c r="I288" s="13">
        <v>280.0</v>
      </c>
      <c r="J288" s="14" t="s">
        <v>36</v>
      </c>
      <c r="K288" s="14" t="s">
        <v>36</v>
      </c>
      <c r="L288" s="14" t="s">
        <v>36</v>
      </c>
      <c r="M288" s="14" t="s">
        <v>36</v>
      </c>
      <c r="N288" s="13">
        <v>221.0</v>
      </c>
      <c r="O288" s="13">
        <v>208.0</v>
      </c>
      <c r="P288" s="13">
        <v>29.04</v>
      </c>
      <c r="Q288" s="13">
        <v>24.08</v>
      </c>
      <c r="R288" s="11" t="str">
        <f t="shared" si="1"/>
        <v>TE</v>
      </c>
    </row>
    <row r="289" ht="14.25" customHeight="1">
      <c r="A289" s="13">
        <v>285.0</v>
      </c>
      <c r="B289" s="14" t="s">
        <v>702</v>
      </c>
      <c r="C289" s="14" t="s">
        <v>703</v>
      </c>
      <c r="D289" s="14" t="s">
        <v>62</v>
      </c>
      <c r="E289" s="14" t="s">
        <v>36</v>
      </c>
      <c r="F289" s="14" t="s">
        <v>36</v>
      </c>
      <c r="G289" s="14" t="s">
        <v>36</v>
      </c>
      <c r="H289" s="13">
        <v>227.0</v>
      </c>
      <c r="I289" s="13">
        <v>248.0</v>
      </c>
      <c r="J289" s="14" t="s">
        <v>36</v>
      </c>
      <c r="K289" s="14" t="s">
        <v>36</v>
      </c>
      <c r="L289" s="14" t="s">
        <v>36</v>
      </c>
      <c r="M289" s="14" t="s">
        <v>36</v>
      </c>
      <c r="N289" s="13">
        <v>228.0</v>
      </c>
      <c r="O289" s="13">
        <v>223.0</v>
      </c>
      <c r="P289" s="13">
        <v>29.05</v>
      </c>
      <c r="Q289" s="13">
        <v>24.09</v>
      </c>
      <c r="R289" s="11" t="str">
        <f t="shared" si="1"/>
        <v>RB</v>
      </c>
    </row>
    <row r="290" ht="14.25" customHeight="1">
      <c r="A290" s="13">
        <v>286.0</v>
      </c>
      <c r="B290" s="14" t="s">
        <v>704</v>
      </c>
      <c r="C290" s="14" t="s">
        <v>705</v>
      </c>
      <c r="D290" s="14" t="s">
        <v>176</v>
      </c>
      <c r="E290" s="13">
        <v>213.0</v>
      </c>
      <c r="F290" s="13">
        <v>226.0</v>
      </c>
      <c r="G290" s="14" t="s">
        <v>36</v>
      </c>
      <c r="H290" s="13">
        <v>292.0</v>
      </c>
      <c r="I290" s="14" t="s">
        <v>36</v>
      </c>
      <c r="J290" s="14" t="s">
        <v>36</v>
      </c>
      <c r="K290" s="14" t="s">
        <v>36</v>
      </c>
      <c r="L290" s="13">
        <v>229.0</v>
      </c>
      <c r="M290" s="14" t="s">
        <v>36</v>
      </c>
      <c r="N290" s="14" t="s">
        <v>36</v>
      </c>
      <c r="O290" s="14" t="s">
        <v>36</v>
      </c>
      <c r="P290" s="13">
        <v>29.06</v>
      </c>
      <c r="Q290" s="13">
        <v>24.1</v>
      </c>
      <c r="R290" s="11" t="str">
        <f t="shared" si="1"/>
        <v>K-</v>
      </c>
    </row>
    <row r="291" ht="14.25" customHeight="1">
      <c r="A291" s="13">
        <v>287.0</v>
      </c>
      <c r="B291" s="14" t="s">
        <v>706</v>
      </c>
      <c r="C291" s="14" t="s">
        <v>707</v>
      </c>
      <c r="D291" s="14" t="s">
        <v>98</v>
      </c>
      <c r="E291" s="14" t="s">
        <v>36</v>
      </c>
      <c r="F291" s="14" t="s">
        <v>36</v>
      </c>
      <c r="G291" s="14" t="s">
        <v>36</v>
      </c>
      <c r="H291" s="13">
        <v>226.0</v>
      </c>
      <c r="I291" s="13">
        <v>278.0</v>
      </c>
      <c r="J291" s="14" t="s">
        <v>36</v>
      </c>
      <c r="K291" s="14" t="s">
        <v>36</v>
      </c>
      <c r="L291" s="14" t="s">
        <v>36</v>
      </c>
      <c r="M291" s="14" t="s">
        <v>36</v>
      </c>
      <c r="N291" s="13">
        <v>235.0</v>
      </c>
      <c r="O291" s="13">
        <v>229.0</v>
      </c>
      <c r="P291" s="13">
        <v>29.07</v>
      </c>
      <c r="Q291" s="13">
        <v>24.11</v>
      </c>
      <c r="R291" s="11" t="str">
        <f t="shared" si="1"/>
        <v>TE</v>
      </c>
    </row>
    <row r="292" ht="14.25" customHeight="1">
      <c r="A292" s="13">
        <v>288.0</v>
      </c>
      <c r="B292" s="14" t="s">
        <v>708</v>
      </c>
      <c r="C292" s="14" t="s">
        <v>709</v>
      </c>
      <c r="D292" s="14" t="s">
        <v>237</v>
      </c>
      <c r="E292" s="14" t="s">
        <v>36</v>
      </c>
      <c r="F292" s="13">
        <v>218.0</v>
      </c>
      <c r="G292" s="14" t="s">
        <v>36</v>
      </c>
      <c r="H292" s="13">
        <v>268.0</v>
      </c>
      <c r="I292" s="14" t="s">
        <v>36</v>
      </c>
      <c r="J292" s="14" t="s">
        <v>36</v>
      </c>
      <c r="K292" s="14" t="s">
        <v>36</v>
      </c>
      <c r="L292" s="14" t="s">
        <v>36</v>
      </c>
      <c r="M292" s="14" t="s">
        <v>36</v>
      </c>
      <c r="N292" s="13">
        <v>267.0</v>
      </c>
      <c r="O292" s="13">
        <v>251.0</v>
      </c>
      <c r="P292" s="13">
        <v>29.08</v>
      </c>
      <c r="Q292" s="13">
        <v>24.12</v>
      </c>
      <c r="R292" s="11" t="str">
        <f t="shared" si="1"/>
        <v>TE</v>
      </c>
    </row>
    <row r="293" ht="14.25" customHeight="1">
      <c r="A293" s="13">
        <v>289.0</v>
      </c>
      <c r="B293" s="14" t="s">
        <v>711</v>
      </c>
      <c r="C293" s="14" t="s">
        <v>712</v>
      </c>
      <c r="D293" s="14" t="s">
        <v>116</v>
      </c>
      <c r="E293" s="14" t="s">
        <v>36</v>
      </c>
      <c r="F293" s="14" t="s">
        <v>36</v>
      </c>
      <c r="G293" s="13">
        <v>322.0</v>
      </c>
      <c r="H293" s="13">
        <v>274.0</v>
      </c>
      <c r="I293" s="14" t="s">
        <v>36</v>
      </c>
      <c r="J293" s="14" t="s">
        <v>36</v>
      </c>
      <c r="K293" s="13">
        <v>174.0</v>
      </c>
      <c r="L293" s="13">
        <v>246.0</v>
      </c>
      <c r="M293" s="14" t="s">
        <v>36</v>
      </c>
      <c r="N293" s="14" t="s">
        <v>36</v>
      </c>
      <c r="O293" s="14" t="s">
        <v>36</v>
      </c>
      <c r="P293" s="13">
        <v>29.09</v>
      </c>
      <c r="Q293" s="13">
        <v>25.01</v>
      </c>
      <c r="R293" s="11" t="str">
        <f t="shared" si="1"/>
        <v>K-</v>
      </c>
    </row>
    <row r="294" ht="14.25" customHeight="1">
      <c r="A294" s="13">
        <v>290.0</v>
      </c>
      <c r="B294" s="14" t="s">
        <v>713</v>
      </c>
      <c r="C294" s="14" t="s">
        <v>714</v>
      </c>
      <c r="D294" s="14" t="s">
        <v>128</v>
      </c>
      <c r="E294" s="14" t="s">
        <v>36</v>
      </c>
      <c r="F294" s="13">
        <v>206.0</v>
      </c>
      <c r="G294" s="14" t="s">
        <v>36</v>
      </c>
      <c r="H294" s="14" t="s">
        <v>36</v>
      </c>
      <c r="I294" s="13">
        <v>294.0</v>
      </c>
      <c r="J294" s="14" t="s">
        <v>36</v>
      </c>
      <c r="K294" s="14" t="s">
        <v>36</v>
      </c>
      <c r="L294" s="14" t="s">
        <v>36</v>
      </c>
      <c r="M294" s="14" t="s">
        <v>36</v>
      </c>
      <c r="N294" s="13">
        <v>258.0</v>
      </c>
      <c r="O294" s="13">
        <v>270.0</v>
      </c>
      <c r="P294" s="13">
        <v>29.1</v>
      </c>
      <c r="Q294" s="13">
        <v>25.02</v>
      </c>
      <c r="R294" s="11" t="str">
        <f t="shared" si="1"/>
        <v>WR</v>
      </c>
    </row>
    <row r="295" ht="14.25" customHeight="1">
      <c r="A295" s="13">
        <v>291.0</v>
      </c>
      <c r="B295" s="14" t="s">
        <v>715</v>
      </c>
      <c r="C295" s="14" t="s">
        <v>716</v>
      </c>
      <c r="D295" s="14" t="s">
        <v>119</v>
      </c>
      <c r="E295" s="14" t="s">
        <v>36</v>
      </c>
      <c r="F295" s="14" t="s">
        <v>36</v>
      </c>
      <c r="G295" s="14" t="s">
        <v>36</v>
      </c>
      <c r="H295" s="13">
        <v>300.0</v>
      </c>
      <c r="I295" s="13">
        <v>283.0</v>
      </c>
      <c r="J295" s="14" t="s">
        <v>36</v>
      </c>
      <c r="K295" s="14" t="s">
        <v>36</v>
      </c>
      <c r="L295" s="14" t="s">
        <v>36</v>
      </c>
      <c r="M295" s="14" t="s">
        <v>36</v>
      </c>
      <c r="N295" s="13">
        <v>220.0</v>
      </c>
      <c r="O295" s="13">
        <v>235.0</v>
      </c>
      <c r="P295" s="13">
        <v>30.01</v>
      </c>
      <c r="Q295" s="13">
        <v>25.03</v>
      </c>
      <c r="R295" s="11" t="str">
        <f t="shared" si="1"/>
        <v>WR</v>
      </c>
    </row>
    <row r="296" ht="14.25" customHeight="1">
      <c r="A296" s="13">
        <v>292.0</v>
      </c>
      <c r="B296" s="14" t="s">
        <v>717</v>
      </c>
      <c r="C296" s="14" t="s">
        <v>718</v>
      </c>
      <c r="D296" s="14" t="s">
        <v>67</v>
      </c>
      <c r="E296" s="14" t="s">
        <v>36</v>
      </c>
      <c r="F296" s="13">
        <v>225.0</v>
      </c>
      <c r="G296" s="14" t="s">
        <v>36</v>
      </c>
      <c r="H296" s="13">
        <v>296.0</v>
      </c>
      <c r="I296" s="14" t="s">
        <v>36</v>
      </c>
      <c r="J296" s="14" t="s">
        <v>36</v>
      </c>
      <c r="K296" s="14" t="s">
        <v>36</v>
      </c>
      <c r="L296" s="14" t="s">
        <v>36</v>
      </c>
      <c r="M296" s="14" t="s">
        <v>36</v>
      </c>
      <c r="N296" s="13">
        <v>253.0</v>
      </c>
      <c r="O296" s="13">
        <v>264.0</v>
      </c>
      <c r="P296" s="13">
        <v>30.02</v>
      </c>
      <c r="Q296" s="13">
        <v>25.04</v>
      </c>
      <c r="R296" s="11" t="str">
        <f t="shared" si="1"/>
        <v>TE</v>
      </c>
    </row>
    <row r="297" ht="14.25" customHeight="1">
      <c r="A297" s="13">
        <v>293.0</v>
      </c>
      <c r="B297" s="14" t="s">
        <v>719</v>
      </c>
      <c r="C297" s="14" t="s">
        <v>720</v>
      </c>
      <c r="D297" s="14" t="s">
        <v>52</v>
      </c>
      <c r="E297" s="14" t="s">
        <v>36</v>
      </c>
      <c r="F297" s="13">
        <v>245.0</v>
      </c>
      <c r="G297" s="14" t="s">
        <v>36</v>
      </c>
      <c r="H297" s="13">
        <v>275.0</v>
      </c>
      <c r="I297" s="14" t="s">
        <v>36</v>
      </c>
      <c r="J297" s="14" t="s">
        <v>36</v>
      </c>
      <c r="K297" s="14" t="s">
        <v>36</v>
      </c>
      <c r="L297" s="14" t="s">
        <v>36</v>
      </c>
      <c r="M297" s="14" t="s">
        <v>36</v>
      </c>
      <c r="N297" s="13">
        <v>269.0</v>
      </c>
      <c r="O297" s="13">
        <v>254.0</v>
      </c>
      <c r="P297" s="13">
        <v>30.03</v>
      </c>
      <c r="Q297" s="13">
        <v>25.05</v>
      </c>
      <c r="R297" s="11" t="str">
        <f t="shared" si="1"/>
        <v>TE</v>
      </c>
    </row>
    <row r="298" ht="14.25" customHeight="1">
      <c r="A298" s="13">
        <v>294.0</v>
      </c>
      <c r="B298" s="14" t="s">
        <v>721</v>
      </c>
      <c r="C298" s="14" t="s">
        <v>722</v>
      </c>
      <c r="D298" s="14" t="s">
        <v>40</v>
      </c>
      <c r="E298" s="13">
        <v>186.0</v>
      </c>
      <c r="F298" s="14" t="s">
        <v>36</v>
      </c>
      <c r="G298" s="13">
        <v>300.0</v>
      </c>
      <c r="H298" s="13">
        <v>317.0</v>
      </c>
      <c r="I298" s="13">
        <v>242.0</v>
      </c>
      <c r="J298" s="14" t="s">
        <v>36</v>
      </c>
      <c r="K298" s="14" t="s">
        <v>36</v>
      </c>
      <c r="L298" s="14" t="s">
        <v>36</v>
      </c>
      <c r="M298" s="14" t="s">
        <v>36</v>
      </c>
      <c r="N298" s="14" t="s">
        <v>36</v>
      </c>
      <c r="O298" s="14" t="s">
        <v>36</v>
      </c>
      <c r="P298" s="13">
        <v>30.04</v>
      </c>
      <c r="Q298" s="13">
        <v>25.06</v>
      </c>
      <c r="R298" s="11" t="str">
        <f t="shared" si="1"/>
        <v>DE</v>
      </c>
    </row>
    <row r="299" ht="14.25" customHeight="1">
      <c r="A299" s="13">
        <v>295.0</v>
      </c>
      <c r="B299" s="14" t="s">
        <v>723</v>
      </c>
      <c r="C299" s="14" t="s">
        <v>724</v>
      </c>
      <c r="D299" s="14" t="s">
        <v>162</v>
      </c>
      <c r="E299" s="13">
        <v>208.0</v>
      </c>
      <c r="F299" s="14" t="s">
        <v>36</v>
      </c>
      <c r="G299" s="13">
        <v>334.0</v>
      </c>
      <c r="H299" s="13">
        <v>252.0</v>
      </c>
      <c r="I299" s="14" t="s">
        <v>36</v>
      </c>
      <c r="J299" s="14" t="s">
        <v>36</v>
      </c>
      <c r="K299" s="13">
        <v>255.0</v>
      </c>
      <c r="L299" s="14" t="s">
        <v>36</v>
      </c>
      <c r="M299" s="14" t="s">
        <v>36</v>
      </c>
      <c r="N299" s="14" t="s">
        <v>36</v>
      </c>
      <c r="O299" s="14" t="s">
        <v>36</v>
      </c>
      <c r="P299" s="13">
        <v>30.05</v>
      </c>
      <c r="Q299" s="13">
        <v>25.07</v>
      </c>
      <c r="R299" s="11" t="str">
        <f t="shared" si="1"/>
        <v>K-</v>
      </c>
    </row>
    <row r="300" ht="14.25" customHeight="1">
      <c r="A300" s="13">
        <v>296.0</v>
      </c>
      <c r="B300" s="14" t="s">
        <v>725</v>
      </c>
      <c r="C300" s="14" t="s">
        <v>726</v>
      </c>
      <c r="D300" s="14" t="s">
        <v>131</v>
      </c>
      <c r="E300" s="14" t="s">
        <v>36</v>
      </c>
      <c r="F300" s="14" t="s">
        <v>36</v>
      </c>
      <c r="G300" s="14" t="s">
        <v>36</v>
      </c>
      <c r="H300" s="13">
        <v>294.0</v>
      </c>
      <c r="I300" s="13">
        <v>279.0</v>
      </c>
      <c r="J300" s="14" t="s">
        <v>36</v>
      </c>
      <c r="K300" s="14" t="s">
        <v>36</v>
      </c>
      <c r="L300" s="14" t="s">
        <v>36</v>
      </c>
      <c r="M300" s="14" t="s">
        <v>36</v>
      </c>
      <c r="N300" s="13">
        <v>231.0</v>
      </c>
      <c r="O300" s="13">
        <v>249.0</v>
      </c>
      <c r="P300" s="13">
        <v>30.06</v>
      </c>
      <c r="Q300" s="13">
        <v>25.08</v>
      </c>
      <c r="R300" s="11" t="str">
        <f t="shared" si="1"/>
        <v>WR</v>
      </c>
    </row>
    <row r="301" ht="14.25" customHeight="1">
      <c r="A301" s="13">
        <v>297.0</v>
      </c>
      <c r="B301" s="14" t="s">
        <v>727</v>
      </c>
      <c r="C301" s="14" t="s">
        <v>728</v>
      </c>
      <c r="D301" s="14" t="s">
        <v>116</v>
      </c>
      <c r="E301" s="14" t="s">
        <v>36</v>
      </c>
      <c r="F301" s="13">
        <v>280.0</v>
      </c>
      <c r="G301" s="14" t="s">
        <v>36</v>
      </c>
      <c r="H301" s="13">
        <v>257.0</v>
      </c>
      <c r="I301" s="14" t="s">
        <v>36</v>
      </c>
      <c r="J301" s="14" t="s">
        <v>36</v>
      </c>
      <c r="K301" s="14" t="s">
        <v>36</v>
      </c>
      <c r="L301" s="14" t="s">
        <v>36</v>
      </c>
      <c r="M301" s="14" t="s">
        <v>36</v>
      </c>
      <c r="N301" s="13">
        <v>276.0</v>
      </c>
      <c r="O301" s="13">
        <v>241.0</v>
      </c>
      <c r="P301" s="13">
        <v>30.07</v>
      </c>
      <c r="Q301" s="13">
        <v>25.09</v>
      </c>
      <c r="R301" s="11" t="str">
        <f t="shared" si="1"/>
        <v>TE</v>
      </c>
    </row>
    <row r="302" ht="14.25" customHeight="1">
      <c r="A302" s="13">
        <v>298.0</v>
      </c>
      <c r="B302" s="14" t="s">
        <v>731</v>
      </c>
      <c r="C302" s="14" t="s">
        <v>732</v>
      </c>
      <c r="D302" s="14" t="s">
        <v>131</v>
      </c>
      <c r="E302" s="13">
        <v>183.0</v>
      </c>
      <c r="F302" s="14" t="s">
        <v>36</v>
      </c>
      <c r="G302" s="13">
        <v>318.0</v>
      </c>
      <c r="H302" s="13">
        <v>320.0</v>
      </c>
      <c r="I302" s="13">
        <v>238.0</v>
      </c>
      <c r="J302" s="14" t="s">
        <v>36</v>
      </c>
      <c r="K302" s="14" t="s">
        <v>36</v>
      </c>
      <c r="L302" s="14" t="s">
        <v>36</v>
      </c>
      <c r="M302" s="14" t="s">
        <v>36</v>
      </c>
      <c r="N302" s="14" t="s">
        <v>36</v>
      </c>
      <c r="O302" s="14" t="s">
        <v>36</v>
      </c>
      <c r="P302" s="13">
        <v>30.08</v>
      </c>
      <c r="Q302" s="13">
        <v>25.1</v>
      </c>
      <c r="R302" s="11" t="str">
        <f t="shared" si="1"/>
        <v>DE</v>
      </c>
    </row>
    <row r="303" ht="14.25" customHeight="1">
      <c r="A303" s="13">
        <v>299.0</v>
      </c>
      <c r="B303" s="14" t="s">
        <v>733</v>
      </c>
      <c r="C303" s="14" t="s">
        <v>734</v>
      </c>
      <c r="D303" s="14" t="s">
        <v>125</v>
      </c>
      <c r="E303" s="14" t="s">
        <v>36</v>
      </c>
      <c r="F303" s="13">
        <v>299.0</v>
      </c>
      <c r="G303" s="14" t="s">
        <v>36</v>
      </c>
      <c r="H303" s="13">
        <v>273.0</v>
      </c>
      <c r="I303" s="14" t="s">
        <v>36</v>
      </c>
      <c r="J303" s="14" t="s">
        <v>36</v>
      </c>
      <c r="K303" s="14" t="s">
        <v>36</v>
      </c>
      <c r="L303" s="14" t="s">
        <v>36</v>
      </c>
      <c r="M303" s="14" t="s">
        <v>36</v>
      </c>
      <c r="N303" s="13">
        <v>242.0</v>
      </c>
      <c r="O303" s="13">
        <v>248.0</v>
      </c>
      <c r="P303" s="13">
        <v>30.09</v>
      </c>
      <c r="Q303" s="13">
        <v>25.11</v>
      </c>
      <c r="R303" s="11" t="str">
        <f t="shared" si="1"/>
        <v>QB</v>
      </c>
    </row>
    <row r="304" ht="14.25" customHeight="1">
      <c r="A304" s="13">
        <v>300.0</v>
      </c>
      <c r="B304" s="14" t="s">
        <v>735</v>
      </c>
      <c r="C304" s="14" t="s">
        <v>736</v>
      </c>
      <c r="D304" s="14" t="s">
        <v>206</v>
      </c>
      <c r="E304" s="14" t="s">
        <v>36</v>
      </c>
      <c r="F304" s="14" t="s">
        <v>36</v>
      </c>
      <c r="G304" s="14" t="s">
        <v>36</v>
      </c>
      <c r="H304" s="13">
        <v>276.0</v>
      </c>
      <c r="I304" s="13">
        <v>262.0</v>
      </c>
      <c r="J304" s="14" t="s">
        <v>36</v>
      </c>
      <c r="K304" s="14" t="s">
        <v>36</v>
      </c>
      <c r="L304" s="14" t="s">
        <v>36</v>
      </c>
      <c r="M304" s="14" t="s">
        <v>36</v>
      </c>
      <c r="N304" s="13">
        <v>238.0</v>
      </c>
      <c r="O304" s="13">
        <v>289.0</v>
      </c>
      <c r="P304" s="13">
        <v>30.1</v>
      </c>
      <c r="Q304" s="13">
        <v>25.12</v>
      </c>
      <c r="R304" s="11" t="str">
        <f t="shared" si="1"/>
        <v>RB</v>
      </c>
    </row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</sheetData>
  <autoFilter ref="$A$4:$R$299">
    <sortState ref="A4:R299">
      <sortCondition ref="F4:F299"/>
    </sortState>
  </autoFilter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2" width="8.71"/>
    <col customWidth="1" min="3" max="5" width="9.71"/>
    <col customWidth="1" min="6" max="6" width="8.71"/>
    <col customWidth="1" min="7" max="7" width="21.14"/>
    <col customWidth="1" min="8" max="9" width="8.71"/>
    <col customWidth="1" min="10" max="10" width="27.43"/>
    <col customWidth="1" min="11" max="31" width="8.71"/>
  </cols>
  <sheetData>
    <row r="1" ht="14.25" customHeight="1">
      <c r="A1" s="2" t="s">
        <v>3</v>
      </c>
      <c r="D1" s="3"/>
      <c r="E1" s="5"/>
      <c r="F1" s="3"/>
      <c r="G1" s="3"/>
      <c r="I1" s="3"/>
      <c r="J1" s="3" t="s">
        <v>4</v>
      </c>
      <c r="K1" s="6">
        <v>1.0</v>
      </c>
      <c r="L1" s="6">
        <v>2.0</v>
      </c>
      <c r="M1" s="6">
        <v>3.0</v>
      </c>
      <c r="N1" s="6">
        <v>4.0</v>
      </c>
      <c r="O1" s="6">
        <v>5.0</v>
      </c>
      <c r="P1" s="6">
        <v>6.0</v>
      </c>
      <c r="Q1" s="6">
        <v>7.0</v>
      </c>
      <c r="R1" s="6">
        <v>8.0</v>
      </c>
      <c r="S1" s="6">
        <v>9.0</v>
      </c>
      <c r="T1" s="6">
        <v>10.0</v>
      </c>
      <c r="U1" s="6">
        <v>11.0</v>
      </c>
      <c r="V1" s="6">
        <v>12.0</v>
      </c>
      <c r="W1" s="6">
        <v>13.0</v>
      </c>
      <c r="X1" s="6">
        <v>14.0</v>
      </c>
      <c r="Y1" s="6">
        <v>15.0</v>
      </c>
      <c r="Z1" s="6">
        <v>16.0</v>
      </c>
      <c r="AA1" s="6"/>
      <c r="AB1" s="6"/>
      <c r="AC1" s="6"/>
      <c r="AE1" s="3"/>
    </row>
    <row r="2" ht="14.25" customHeight="1">
      <c r="A2" s="1" t="s">
        <v>26</v>
      </c>
      <c r="B2" s="3" t="s">
        <v>28</v>
      </c>
      <c r="C2" s="3"/>
      <c r="D2" s="3"/>
      <c r="E2" s="5"/>
      <c r="F2" s="3"/>
      <c r="G2" s="3"/>
      <c r="H2" s="4"/>
      <c r="I2" s="3"/>
      <c r="J2" s="3" t="s">
        <v>32</v>
      </c>
      <c r="K2" s="3">
        <f t="shared" ref="K2:Z2" si="1">COUNTIF($D$7:$D$301, K1)</f>
        <v>12</v>
      </c>
      <c r="L2" s="3">
        <f t="shared" si="1"/>
        <v>12</v>
      </c>
      <c r="M2" s="3">
        <f t="shared" si="1"/>
        <v>2</v>
      </c>
      <c r="N2" s="3">
        <f t="shared" si="1"/>
        <v>0</v>
      </c>
      <c r="O2" s="17">
        <f t="shared" si="1"/>
        <v>0</v>
      </c>
      <c r="P2" s="3">
        <f t="shared" si="1"/>
        <v>0</v>
      </c>
      <c r="Q2" s="3">
        <f t="shared" si="1"/>
        <v>0</v>
      </c>
      <c r="R2" s="18">
        <f t="shared" si="1"/>
        <v>0</v>
      </c>
      <c r="S2" s="3">
        <f t="shared" si="1"/>
        <v>0</v>
      </c>
      <c r="T2" s="17">
        <f t="shared" si="1"/>
        <v>0</v>
      </c>
      <c r="U2" s="18">
        <f t="shared" si="1"/>
        <v>0</v>
      </c>
      <c r="V2" s="3">
        <f t="shared" si="1"/>
        <v>0</v>
      </c>
      <c r="W2" s="3">
        <f t="shared" si="1"/>
        <v>0</v>
      </c>
      <c r="X2" s="3">
        <f t="shared" si="1"/>
        <v>0</v>
      </c>
      <c r="Y2" s="3">
        <f t="shared" si="1"/>
        <v>0</v>
      </c>
      <c r="Z2" s="3">
        <f t="shared" si="1"/>
        <v>0</v>
      </c>
      <c r="AA2" s="3"/>
      <c r="AB2" s="3"/>
      <c r="AC2" s="3"/>
      <c r="AE2" s="3"/>
    </row>
    <row r="3" ht="14.25" customHeight="1">
      <c r="B3" s="3" t="s">
        <v>55</v>
      </c>
      <c r="C3" s="3"/>
      <c r="D3" s="3"/>
      <c r="E3" s="5"/>
      <c r="F3" s="3"/>
      <c r="G3" s="3"/>
      <c r="H3" s="4"/>
      <c r="I3" s="3"/>
      <c r="J3" s="3" t="s">
        <v>46</v>
      </c>
      <c r="K3" s="3">
        <f>K2</f>
        <v>12</v>
      </c>
      <c r="L3" s="3">
        <f t="shared" ref="L3:Z3" si="2">K3+L2</f>
        <v>24</v>
      </c>
      <c r="M3" s="3">
        <f t="shared" si="2"/>
        <v>26</v>
      </c>
      <c r="N3" s="3">
        <f t="shared" si="2"/>
        <v>26</v>
      </c>
      <c r="O3" s="3">
        <f t="shared" si="2"/>
        <v>26</v>
      </c>
      <c r="P3" s="3">
        <f t="shared" si="2"/>
        <v>26</v>
      </c>
      <c r="Q3" s="3">
        <f t="shared" si="2"/>
        <v>26</v>
      </c>
      <c r="R3" s="3">
        <f t="shared" si="2"/>
        <v>26</v>
      </c>
      <c r="S3" s="3">
        <f t="shared" si="2"/>
        <v>26</v>
      </c>
      <c r="T3" s="3">
        <f t="shared" si="2"/>
        <v>26</v>
      </c>
      <c r="U3" s="3">
        <f t="shared" si="2"/>
        <v>26</v>
      </c>
      <c r="V3" s="3">
        <f t="shared" si="2"/>
        <v>26</v>
      </c>
      <c r="W3" s="3">
        <f t="shared" si="2"/>
        <v>26</v>
      </c>
      <c r="X3" s="3">
        <f t="shared" si="2"/>
        <v>26</v>
      </c>
      <c r="Y3" s="3">
        <f t="shared" si="2"/>
        <v>26</v>
      </c>
      <c r="Z3" s="3">
        <f t="shared" si="2"/>
        <v>26</v>
      </c>
      <c r="AA3" s="3"/>
      <c r="AB3" s="3"/>
      <c r="AC3" s="3"/>
      <c r="AE3" s="3"/>
    </row>
    <row r="4" ht="14.25" customHeight="1">
      <c r="B4" s="1" t="s">
        <v>53</v>
      </c>
      <c r="C4" s="3"/>
      <c r="D4" s="3"/>
      <c r="E4" s="5"/>
      <c r="G4" s="3"/>
      <c r="H4" s="4"/>
      <c r="I4" s="3"/>
      <c r="J4" s="3" t="s">
        <v>54</v>
      </c>
      <c r="K4" s="19">
        <v>2.0</v>
      </c>
      <c r="L4" s="19">
        <f>K4+21</f>
        <v>23</v>
      </c>
      <c r="M4" s="3">
        <f>L4+3</f>
        <v>26</v>
      </c>
      <c r="N4" s="19">
        <f>M4+21</f>
        <v>47</v>
      </c>
      <c r="O4" s="3">
        <f>N4+3</f>
        <v>50</v>
      </c>
      <c r="P4" s="19">
        <f>O4+21</f>
        <v>71</v>
      </c>
      <c r="Q4" s="3">
        <f>P4+3</f>
        <v>74</v>
      </c>
      <c r="R4" s="19">
        <f>Q4+21</f>
        <v>95</v>
      </c>
      <c r="S4" s="3">
        <f>R4+3</f>
        <v>98</v>
      </c>
      <c r="T4" s="19">
        <f>S4+21</f>
        <v>119</v>
      </c>
      <c r="U4" s="3">
        <f>T4+3</f>
        <v>122</v>
      </c>
      <c r="V4" s="19">
        <f>U4+21</f>
        <v>143</v>
      </c>
      <c r="W4" s="3">
        <f>V4+3</f>
        <v>146</v>
      </c>
      <c r="X4" s="19">
        <f>W4+21</f>
        <v>167</v>
      </c>
      <c r="Y4" s="3">
        <f>X4+3</f>
        <v>170</v>
      </c>
      <c r="Z4" s="19">
        <f>Y4+21</f>
        <v>191</v>
      </c>
      <c r="AA4" s="3"/>
      <c r="AB4" s="3"/>
      <c r="AC4" s="3"/>
      <c r="AE4" s="3"/>
    </row>
    <row r="5" ht="14.25" customHeight="1">
      <c r="C5" s="3"/>
      <c r="D5" s="3"/>
      <c r="E5" s="5"/>
      <c r="F5" s="3"/>
      <c r="G5" s="3"/>
      <c r="H5" s="4"/>
      <c r="I5" s="3"/>
      <c r="J5" s="3" t="s">
        <v>68</v>
      </c>
      <c r="K5" s="3">
        <f t="shared" ref="K5:Z5" si="3">K3-K4</f>
        <v>10</v>
      </c>
      <c r="L5" s="3">
        <f t="shared" si="3"/>
        <v>1</v>
      </c>
      <c r="M5" s="3">
        <f t="shared" si="3"/>
        <v>0</v>
      </c>
      <c r="N5" s="3">
        <f t="shared" si="3"/>
        <v>-21</v>
      </c>
      <c r="O5" s="3">
        <f t="shared" si="3"/>
        <v>-24</v>
      </c>
      <c r="P5" s="3">
        <f t="shared" si="3"/>
        <v>-45</v>
      </c>
      <c r="Q5" s="3">
        <f t="shared" si="3"/>
        <v>-48</v>
      </c>
      <c r="R5" s="3">
        <f t="shared" si="3"/>
        <v>-69</v>
      </c>
      <c r="S5" s="3">
        <f t="shared" si="3"/>
        <v>-72</v>
      </c>
      <c r="T5" s="3">
        <f t="shared" si="3"/>
        <v>-93</v>
      </c>
      <c r="U5" s="3">
        <f t="shared" si="3"/>
        <v>-96</v>
      </c>
      <c r="V5" s="3">
        <f t="shared" si="3"/>
        <v>-117</v>
      </c>
      <c r="W5" s="3">
        <f t="shared" si="3"/>
        <v>-120</v>
      </c>
      <c r="X5" s="3">
        <f t="shared" si="3"/>
        <v>-141</v>
      </c>
      <c r="Y5" s="3">
        <f t="shared" si="3"/>
        <v>-144</v>
      </c>
      <c r="Z5" s="3">
        <f t="shared" si="3"/>
        <v>-165</v>
      </c>
      <c r="AA5" s="3"/>
      <c r="AB5" s="3"/>
      <c r="AC5" s="3"/>
      <c r="AE5" s="3"/>
    </row>
    <row r="6" ht="14.25" customHeight="1">
      <c r="A6" s="20" t="s">
        <v>72</v>
      </c>
      <c r="B6" s="21" t="s">
        <v>76</v>
      </c>
      <c r="C6" s="22" t="s">
        <v>77</v>
      </c>
      <c r="D6" s="22" t="s">
        <v>9</v>
      </c>
      <c r="E6" s="25" t="s">
        <v>78</v>
      </c>
      <c r="F6" s="22" t="s">
        <v>10</v>
      </c>
      <c r="G6" s="6" t="s">
        <v>5</v>
      </c>
      <c r="H6" s="6" t="s">
        <v>7</v>
      </c>
      <c r="I6" s="6" t="s">
        <v>8</v>
      </c>
      <c r="J6" s="6" t="s">
        <v>11</v>
      </c>
      <c r="K6" s="6" t="s">
        <v>12</v>
      </c>
      <c r="L6" s="23" t="s">
        <v>81</v>
      </c>
      <c r="M6" s="23" t="s">
        <v>17</v>
      </c>
      <c r="N6" s="20" t="s">
        <v>16</v>
      </c>
      <c r="O6" s="24" t="s">
        <v>86</v>
      </c>
      <c r="P6" s="20" t="s">
        <v>13</v>
      </c>
      <c r="Q6" s="20" t="s">
        <v>15</v>
      </c>
      <c r="R6" s="20" t="s">
        <v>20</v>
      </c>
      <c r="S6" s="20" t="s">
        <v>24</v>
      </c>
      <c r="T6" s="20" t="s">
        <v>23</v>
      </c>
      <c r="U6" s="21" t="s">
        <v>87</v>
      </c>
      <c r="V6" s="21" t="s">
        <v>88</v>
      </c>
      <c r="W6" s="21" t="s">
        <v>89</v>
      </c>
      <c r="X6" s="21" t="s">
        <v>90</v>
      </c>
      <c r="Y6" s="6" t="s">
        <v>14</v>
      </c>
    </row>
    <row r="7" ht="14.25" customHeight="1">
      <c r="A7" s="11"/>
      <c r="B7" s="11">
        <f t="shared" ref="B7:B209" si="4">IFERROR(INT(AVERAGE(P7:T7)/12)+1, INT(AVERAGE(M7)/12)+1)</f>
        <v>1</v>
      </c>
      <c r="C7" s="11" t="s">
        <v>106</v>
      </c>
      <c r="D7" s="16">
        <v>1.0</v>
      </c>
      <c r="E7" s="27"/>
      <c r="F7" s="11" t="str">
        <f>VLOOKUP($G7, SeanRanks26!$A$2:$H$303, 5, FALSE)</f>
        <v/>
      </c>
      <c r="G7" s="16" t="s">
        <v>25</v>
      </c>
      <c r="H7" s="11" t="str">
        <f>VLOOKUP($G7, '26 ADP Data'!$C$4:$Q$298, 2, FALSE)</f>
        <v>DET</v>
      </c>
      <c r="I7" s="11" t="str">
        <f>VLOOKUP(G7, '26 ADP Data'!$C$4:$R$496, 16, FALSE)</f>
        <v>RB</v>
      </c>
      <c r="J7" s="11" t="str">
        <f>VLOOKUP($G7, SeanRanks26!$A$2:$H$303, 6, FALSE)</f>
        <v>RB1 - 1 - Elite</v>
      </c>
      <c r="K7" s="11">
        <f>VLOOKUP($G7, SeanRanks26!$A$2:$H$303, 7, FALSE)</f>
        <v>1</v>
      </c>
      <c r="L7" s="11">
        <f t="shared" ref="L7:L306" si="5">IFERROR(INT(M7/12)+1, 16)</f>
        <v>1</v>
      </c>
      <c r="M7" s="11">
        <f>VLOOKUP($G7, '26 ADP Data'!$C$4:$Q$298, 10, FALSE)</f>
        <v>1</v>
      </c>
      <c r="N7" s="11">
        <f>VLOOKUP($G7, '26 ADP Data'!$C$4:$Q$298, 13, FALSE)</f>
        <v>1</v>
      </c>
      <c r="O7" s="11">
        <f t="shared" ref="O7:O306" si="6">M7-N7</f>
        <v>0</v>
      </c>
      <c r="P7" s="11">
        <f>VLOOKUP($G7, '26 ADP Data'!$C$4:$Q$298, 3, FALSE)</f>
        <v>1</v>
      </c>
      <c r="Q7" s="11">
        <f>VLOOKUP($G7, '26 ADP Data'!$C$4:$Q$298, 4, FALSE)</f>
        <v>1</v>
      </c>
      <c r="R7" s="11">
        <f>VLOOKUP($G7, '26 ADP Data'!$C$4:$Q$298, 6, FALSE)</f>
        <v>1</v>
      </c>
      <c r="S7" s="11">
        <f>VLOOKUP($G7, '26 ADP Data'!$C$4:$Q$298, 9, FALSE)</f>
        <v>1</v>
      </c>
      <c r="T7" s="11" t="str">
        <f>VLOOKUP($G7, '26 ADP Data'!$C$4:$Q$298, 8, FALSE)</f>
        <v>-</v>
      </c>
      <c r="U7" s="11">
        <f t="shared" ref="U7:U306" si="7">INT(AVERAGE(M7:N7,P7:T7))</f>
        <v>1</v>
      </c>
      <c r="V7" s="11">
        <f t="shared" ref="V7:V306" si="8">IFERROR(INT(U7/12)+1, 16)</f>
        <v>1</v>
      </c>
      <c r="W7" s="11"/>
      <c r="X7" s="11">
        <f>VLOOKUP($G7, SeanRanks26!$A$2:$K$303, 10, FALSE)-U7</f>
        <v>0</v>
      </c>
      <c r="Y7" s="29" t="str">
        <f>IF(VLOOKUP($G7, SeanRanks26!$A$2:$H$303, 8, FALSE)=0, "", VLOOKUP($G7, SeanRanks26!$A$2:$H$303, 8, FALSE))</f>
        <v/>
      </c>
    </row>
    <row r="8" ht="14.25" customHeight="1">
      <c r="A8" s="16" t="s">
        <v>106</v>
      </c>
      <c r="B8" s="11">
        <f t="shared" si="4"/>
        <v>1</v>
      </c>
      <c r="C8" s="16" t="s">
        <v>95</v>
      </c>
      <c r="D8" s="16">
        <v>1.0</v>
      </c>
      <c r="E8" s="27"/>
      <c r="F8" s="11" t="str">
        <f>VLOOKUP($G8, SeanRanks26!$A$2:$H$303, 5, FALSE)</f>
        <v/>
      </c>
      <c r="G8" s="16" t="s">
        <v>39</v>
      </c>
      <c r="H8" s="11" t="str">
        <f>VLOOKUP($G8, '26 ADP Data'!$C$4:$Q$298, 2, FALSE)</f>
        <v>ATL</v>
      </c>
      <c r="I8" s="11" t="str">
        <f>VLOOKUP(G8, '26 ADP Data'!$C$4:$R$496, 16, FALSE)</f>
        <v>RB</v>
      </c>
      <c r="J8" s="11" t="str">
        <f>VLOOKUP($G8, SeanRanks26!$A$2:$H$303, 6, FALSE)</f>
        <v>RB1 - 1 - Elite</v>
      </c>
      <c r="K8" s="11">
        <f>VLOOKUP($G8, SeanRanks26!$A$2:$H$303, 7, FALSE)</f>
        <v>2</v>
      </c>
      <c r="L8" s="11">
        <f t="shared" si="5"/>
        <v>1</v>
      </c>
      <c r="M8" s="11">
        <f>VLOOKUP($G8, '26 ADP Data'!$C$4:$Q$298, 10, FALSE)</f>
        <v>2</v>
      </c>
      <c r="N8" s="11">
        <f>VLOOKUP($G8, '26 ADP Data'!$C$4:$Q$298, 13, FALSE)</f>
        <v>2</v>
      </c>
      <c r="O8" s="11">
        <f t="shared" si="6"/>
        <v>0</v>
      </c>
      <c r="P8" s="11">
        <f>VLOOKUP($G8, '26 ADP Data'!$C$4:$Q$298, 3, FALSE)</f>
        <v>2</v>
      </c>
      <c r="Q8" s="11">
        <f>VLOOKUP($G8, '26 ADP Data'!$C$4:$Q$298, 4, FALSE)</f>
        <v>2</v>
      </c>
      <c r="R8" s="11">
        <f>VLOOKUP($G8, '26 ADP Data'!$C$4:$Q$298, 6, FALSE)</f>
        <v>2</v>
      </c>
      <c r="S8" s="11">
        <f>VLOOKUP($G8, '26 ADP Data'!$C$4:$Q$298, 9, FALSE)</f>
        <v>2</v>
      </c>
      <c r="T8" s="11" t="str">
        <f>VLOOKUP($G8, '26 ADP Data'!$C$4:$Q$298, 8, FALSE)</f>
        <v>-</v>
      </c>
      <c r="U8" s="11">
        <f t="shared" si="7"/>
        <v>2</v>
      </c>
      <c r="V8" s="11">
        <f t="shared" si="8"/>
        <v>1</v>
      </c>
      <c r="W8" s="11"/>
      <c r="X8" s="11">
        <f>VLOOKUP($G8, SeanRanks26!$A$2:$K$303, 10, FALSE)-U8</f>
        <v>0</v>
      </c>
      <c r="Y8" s="29" t="str">
        <f>IF(VLOOKUP($G8, SeanRanks26!$A$2:$H$303, 8, FALSE)=0, "", VLOOKUP($G8, SeanRanks26!$A$2:$H$303, 8, FALSE))</f>
        <v/>
      </c>
    </row>
    <row r="9" ht="14.25" customHeight="1">
      <c r="A9" s="11"/>
      <c r="B9" s="11">
        <f t="shared" si="4"/>
        <v>1</v>
      </c>
      <c r="C9" s="11" t="s">
        <v>106</v>
      </c>
      <c r="D9" s="11"/>
      <c r="E9" s="27"/>
      <c r="F9" s="11" t="str">
        <f>VLOOKUP($G9, SeanRanks26!$A$2:$H$303, 5, FALSE)</f>
        <v/>
      </c>
      <c r="G9" s="16" t="s">
        <v>44</v>
      </c>
      <c r="H9" s="11" t="str">
        <f>VLOOKUP($G9, '26 ADP Data'!$C$4:$Q$298, 2, FALSE)</f>
        <v>CIN</v>
      </c>
      <c r="I9" s="11" t="str">
        <f>VLOOKUP(G9, '26 ADP Data'!$C$4:$R$496, 16, FALSE)</f>
        <v>WR</v>
      </c>
      <c r="J9" s="11" t="str">
        <f>VLOOKUP($G9, SeanRanks26!$A$2:$H$303, 6, FALSE)</f>
        <v>WR1 - 1 - Elite</v>
      </c>
      <c r="K9" s="11">
        <f>VLOOKUP($G9, SeanRanks26!$A$2:$H$303, 7, FALSE)</f>
        <v>1</v>
      </c>
      <c r="L9" s="11">
        <f t="shared" si="5"/>
        <v>1</v>
      </c>
      <c r="M9" s="11">
        <f>VLOOKUP($G9, '26 ADP Data'!$C$4:$Q$298, 10, FALSE)</f>
        <v>3</v>
      </c>
      <c r="N9" s="11">
        <f>VLOOKUP($G9, '26 ADP Data'!$C$4:$Q$298, 13, FALSE)</f>
        <v>3</v>
      </c>
      <c r="O9" s="11">
        <f t="shared" si="6"/>
        <v>0</v>
      </c>
      <c r="P9" s="11">
        <f>VLOOKUP($G9, '26 ADP Data'!$C$4:$Q$298, 3, FALSE)</f>
        <v>3</v>
      </c>
      <c r="Q9" s="11">
        <f>VLOOKUP($G9, '26 ADP Data'!$C$4:$Q$298, 4, FALSE)</f>
        <v>3</v>
      </c>
      <c r="R9" s="11">
        <f>VLOOKUP($G9, '26 ADP Data'!$C$4:$Q$298, 6, FALSE)</f>
        <v>3</v>
      </c>
      <c r="S9" s="11">
        <f>VLOOKUP($G9, '26 ADP Data'!$C$4:$Q$298, 9, FALSE)</f>
        <v>3</v>
      </c>
      <c r="T9" s="11" t="str">
        <f>VLOOKUP($G9, '26 ADP Data'!$C$4:$Q$298, 8, FALSE)</f>
        <v>-</v>
      </c>
      <c r="U9" s="11">
        <f t="shared" si="7"/>
        <v>3</v>
      </c>
      <c r="V9" s="11">
        <f t="shared" si="8"/>
        <v>1</v>
      </c>
      <c r="W9" s="11"/>
      <c r="X9" s="11">
        <f>VLOOKUP($G9, SeanRanks26!$A$2:$K$303, 10, FALSE)-U9</f>
        <v>0</v>
      </c>
      <c r="Y9" s="29" t="str">
        <f>IF(VLOOKUP($G9, SeanRanks26!$A$2:$H$303, 8, FALSE)=0, "", VLOOKUP($G9, SeanRanks26!$A$2:$H$303, 8, FALSE))</f>
        <v/>
      </c>
    </row>
    <row r="10" ht="14.25" customHeight="1">
      <c r="A10" s="11"/>
      <c r="B10" s="11">
        <f t="shared" si="4"/>
        <v>1</v>
      </c>
      <c r="C10" s="11" t="s">
        <v>106</v>
      </c>
      <c r="D10" s="11"/>
      <c r="E10" s="27"/>
      <c r="F10" s="11" t="str">
        <f>VLOOKUP($G10, SeanRanks26!$A$2:$H$303, 5, FALSE)</f>
        <v/>
      </c>
      <c r="G10" s="16" t="s">
        <v>48</v>
      </c>
      <c r="H10" s="11" t="str">
        <f>VLOOKUP($G10, '26 ADP Data'!$C$4:$Q$298, 2, FALSE)</f>
        <v>LAR</v>
      </c>
      <c r="I10" s="11" t="str">
        <f>VLOOKUP(G10, '26 ADP Data'!$C$4:$R$496, 16, FALSE)</f>
        <v>WR</v>
      </c>
      <c r="J10" s="11" t="str">
        <f>VLOOKUP($G10, SeanRanks26!$A$2:$H$303, 6, FALSE)</f>
        <v>WR1 - 1 - Elite</v>
      </c>
      <c r="K10" s="11">
        <f>VLOOKUP($G10, SeanRanks26!$A$2:$H$303, 7, FALSE)</f>
        <v>3</v>
      </c>
      <c r="L10" s="11">
        <f t="shared" si="5"/>
        <v>1</v>
      </c>
      <c r="M10" s="11">
        <f>VLOOKUP($G10, '26 ADP Data'!$C$4:$Q$298, 10, FALSE)</f>
        <v>4</v>
      </c>
      <c r="N10" s="11">
        <f>VLOOKUP($G10, '26 ADP Data'!$C$4:$Q$298, 13, FALSE)</f>
        <v>4</v>
      </c>
      <c r="O10" s="11">
        <f t="shared" si="6"/>
        <v>0</v>
      </c>
      <c r="P10" s="11">
        <f>VLOOKUP($G10, '26 ADP Data'!$C$4:$Q$298, 3, FALSE)</f>
        <v>5</v>
      </c>
      <c r="Q10" s="11">
        <f>VLOOKUP($G10, '26 ADP Data'!$C$4:$Q$298, 4, FALSE)</f>
        <v>4</v>
      </c>
      <c r="R10" s="11">
        <f>VLOOKUP($G10, '26 ADP Data'!$C$4:$Q$298, 6, FALSE)</f>
        <v>4</v>
      </c>
      <c r="S10" s="11">
        <f>VLOOKUP($G10, '26 ADP Data'!$C$4:$Q$298, 9, FALSE)</f>
        <v>4</v>
      </c>
      <c r="T10" s="11" t="str">
        <f>VLOOKUP($G10, '26 ADP Data'!$C$4:$Q$298, 8, FALSE)</f>
        <v>-</v>
      </c>
      <c r="U10" s="11">
        <f t="shared" si="7"/>
        <v>4</v>
      </c>
      <c r="V10" s="11">
        <f t="shared" si="8"/>
        <v>1</v>
      </c>
      <c r="W10" s="11"/>
      <c r="X10" s="11">
        <f>VLOOKUP($G10, SeanRanks26!$A$2:$K$303, 10, FALSE)-U10</f>
        <v>0</v>
      </c>
      <c r="Y10" s="29" t="str">
        <f>IF(VLOOKUP($G10, SeanRanks26!$A$2:$H$303, 8, FALSE)=0, "", VLOOKUP($G10, SeanRanks26!$A$2:$H$303, 8, FALSE))</f>
        <v/>
      </c>
    </row>
    <row r="11" ht="14.25" customHeight="1">
      <c r="A11" s="11"/>
      <c r="B11" s="11">
        <f t="shared" si="4"/>
        <v>1</v>
      </c>
      <c r="C11" s="11" t="s">
        <v>106</v>
      </c>
      <c r="D11" s="16">
        <v>1.0</v>
      </c>
      <c r="E11" s="27"/>
      <c r="F11" s="11" t="str">
        <f>VLOOKUP($G11, SeanRanks26!$A$2:$H$303, 5, FALSE)</f>
        <v/>
      </c>
      <c r="G11" s="16" t="s">
        <v>57</v>
      </c>
      <c r="H11" s="11" t="str">
        <f>VLOOKUP($G11, '26 ADP Data'!$C$4:$Q$298, 2, FALSE)</f>
        <v>SF</v>
      </c>
      <c r="I11" s="11" t="str">
        <f>VLOOKUP(G11, '26 ADP Data'!$C$4:$R$496, 16, FALSE)</f>
        <v>RB</v>
      </c>
      <c r="J11" s="11" t="str">
        <f>VLOOKUP($G11, SeanRanks26!$A$2:$H$303, 6, FALSE)</f>
        <v>RB1 - 2 - Could be RB1</v>
      </c>
      <c r="K11" s="11">
        <f>VLOOKUP($G11, SeanRanks26!$A$2:$H$303, 7, FALSE)</f>
        <v>3</v>
      </c>
      <c r="L11" s="11">
        <f t="shared" si="5"/>
        <v>1</v>
      </c>
      <c r="M11" s="11">
        <f>VLOOKUP($G11, '26 ADP Data'!$C$4:$Q$298, 10, FALSE)</f>
        <v>5</v>
      </c>
      <c r="N11" s="11">
        <f>VLOOKUP($G11, '26 ADP Data'!$C$4:$Q$298, 13, FALSE)</f>
        <v>6</v>
      </c>
      <c r="O11" s="11">
        <f t="shared" si="6"/>
        <v>-1</v>
      </c>
      <c r="P11" s="11">
        <f>VLOOKUP($G11, '26 ADP Data'!$C$4:$Q$298, 3, FALSE)</f>
        <v>7</v>
      </c>
      <c r="Q11" s="11">
        <f>VLOOKUP($G11, '26 ADP Data'!$C$4:$Q$298, 4, FALSE)</f>
        <v>6</v>
      </c>
      <c r="R11" s="11">
        <f>VLOOKUP($G11, '26 ADP Data'!$C$4:$Q$298, 6, FALSE)</f>
        <v>6</v>
      </c>
      <c r="S11" s="11">
        <f>VLOOKUP($G11, '26 ADP Data'!$C$4:$Q$298, 9, FALSE)</f>
        <v>5</v>
      </c>
      <c r="T11" s="11" t="str">
        <f>VLOOKUP($G11, '26 ADP Data'!$C$4:$Q$298, 8, FALSE)</f>
        <v>-</v>
      </c>
      <c r="U11" s="11">
        <f t="shared" si="7"/>
        <v>5</v>
      </c>
      <c r="V11" s="11">
        <f t="shared" si="8"/>
        <v>1</v>
      </c>
      <c r="W11" s="11"/>
      <c r="X11" s="11">
        <f>VLOOKUP($G11, SeanRanks26!$A$2:$K$303, 10, FALSE)-U11</f>
        <v>0</v>
      </c>
      <c r="Y11" s="29" t="str">
        <f>IF(VLOOKUP($G11, SeanRanks26!$A$2:$H$303, 8, FALSE)=0, "", VLOOKUP($G11, SeanRanks26!$A$2:$H$303, 8, FALSE))</f>
        <v/>
      </c>
    </row>
    <row r="12" ht="14.25" customHeight="1">
      <c r="A12" s="11"/>
      <c r="B12" s="11">
        <f t="shared" si="4"/>
        <v>1</v>
      </c>
      <c r="C12" s="11" t="s">
        <v>106</v>
      </c>
      <c r="D12" s="11"/>
      <c r="E12" s="27"/>
      <c r="F12" s="11" t="str">
        <f>VLOOKUP($G12, SeanRanks26!$A$2:$H$303, 5, FALSE)</f>
        <v/>
      </c>
      <c r="G12" s="16" t="s">
        <v>61</v>
      </c>
      <c r="H12" s="11" t="str">
        <f>VLOOKUP($G12, '26 ADP Data'!$C$4:$Q$298, 2, FALSE)</f>
        <v>IND</v>
      </c>
      <c r="I12" s="11" t="str">
        <f>VLOOKUP(G12, '26 ADP Data'!$C$4:$R$496, 16, FALSE)</f>
        <v>RB</v>
      </c>
      <c r="J12" s="11" t="str">
        <f>VLOOKUP($G12, SeanRanks26!$A$2:$H$303, 6, FALSE)</f>
        <v>RB1 - 2 - Could be RB1</v>
      </c>
      <c r="K12" s="11">
        <f>VLOOKUP($G12, SeanRanks26!$A$2:$H$303, 7, FALSE)</f>
        <v>4</v>
      </c>
      <c r="L12" s="11">
        <f t="shared" si="5"/>
        <v>1</v>
      </c>
      <c r="M12" s="11">
        <f>VLOOKUP($G12, '26 ADP Data'!$C$4:$Q$298, 10, FALSE)</f>
        <v>6</v>
      </c>
      <c r="N12" s="11">
        <f>VLOOKUP($G12, '26 ADP Data'!$C$4:$Q$298, 13, FALSE)</f>
        <v>8</v>
      </c>
      <c r="O12" s="11">
        <f t="shared" si="6"/>
        <v>-2</v>
      </c>
      <c r="P12" s="11">
        <f>VLOOKUP($G12, '26 ADP Data'!$C$4:$Q$298, 3, FALSE)</f>
        <v>4</v>
      </c>
      <c r="Q12" s="11">
        <f>VLOOKUP($G12, '26 ADP Data'!$C$4:$Q$298, 4, FALSE)</f>
        <v>7</v>
      </c>
      <c r="R12" s="11">
        <f>VLOOKUP($G12, '26 ADP Data'!$C$4:$Q$298, 6, FALSE)</f>
        <v>9</v>
      </c>
      <c r="S12" s="11">
        <f>VLOOKUP($G12, '26 ADP Data'!$C$4:$Q$298, 9, FALSE)</f>
        <v>6</v>
      </c>
      <c r="T12" s="11" t="str">
        <f>VLOOKUP($G12, '26 ADP Data'!$C$4:$Q$298, 8, FALSE)</f>
        <v>-</v>
      </c>
      <c r="U12" s="11">
        <f t="shared" si="7"/>
        <v>6</v>
      </c>
      <c r="V12" s="11">
        <f t="shared" si="8"/>
        <v>1</v>
      </c>
      <c r="W12" s="11"/>
      <c r="X12" s="11">
        <f>VLOOKUP($G12, SeanRanks26!$A$2:$K$303, 10, FALSE)-U12</f>
        <v>0</v>
      </c>
      <c r="Y12" s="29" t="str">
        <f>IF(VLOOKUP($G12, SeanRanks26!$A$2:$H$303, 8, FALSE)=0, "", VLOOKUP($G12, SeanRanks26!$A$2:$H$303, 8, FALSE))</f>
        <v/>
      </c>
    </row>
    <row r="13" ht="14.25" customHeight="1">
      <c r="A13" s="11"/>
      <c r="B13" s="11">
        <f t="shared" si="4"/>
        <v>1</v>
      </c>
      <c r="C13" s="11" t="s">
        <v>106</v>
      </c>
      <c r="D13" s="11"/>
      <c r="E13" s="27"/>
      <c r="F13" s="11" t="str">
        <f>VLOOKUP($G13, SeanRanks26!$A$2:$H$303, 5, FALSE)</f>
        <v/>
      </c>
      <c r="G13" s="16" t="s">
        <v>51</v>
      </c>
      <c r="H13" s="11" t="str">
        <f>VLOOKUP($G13, '26 ADP Data'!$C$4:$Q$298, 2, FALSE)</f>
        <v>SEA</v>
      </c>
      <c r="I13" s="11" t="str">
        <f>VLOOKUP(G13, '26 ADP Data'!$C$4:$R$496, 16, FALSE)</f>
        <v>WR</v>
      </c>
      <c r="J13" s="11" t="str">
        <f>VLOOKUP($G13, SeanRanks26!$A$2:$H$303, 6, FALSE)</f>
        <v>WR1 - 1 - Elite</v>
      </c>
      <c r="K13" s="11">
        <f>VLOOKUP($G13, SeanRanks26!$A$2:$H$303, 7, FALSE)</f>
        <v>2</v>
      </c>
      <c r="L13" s="11">
        <f t="shared" si="5"/>
        <v>1</v>
      </c>
      <c r="M13" s="11">
        <f>VLOOKUP($G13, '26 ADP Data'!$C$4:$Q$298, 10, FALSE)</f>
        <v>8</v>
      </c>
      <c r="N13" s="11">
        <f>VLOOKUP($G13, '26 ADP Data'!$C$4:$Q$298, 13, FALSE)</f>
        <v>5</v>
      </c>
      <c r="O13" s="11">
        <f t="shared" si="6"/>
        <v>3</v>
      </c>
      <c r="P13" s="11">
        <f>VLOOKUP($G13, '26 ADP Data'!$C$4:$Q$298, 3, FALSE)</f>
        <v>6</v>
      </c>
      <c r="Q13" s="11">
        <f>VLOOKUP($G13, '26 ADP Data'!$C$4:$Q$298, 4, FALSE)</f>
        <v>5</v>
      </c>
      <c r="R13" s="11">
        <f>VLOOKUP($G13, '26 ADP Data'!$C$4:$Q$298, 6, FALSE)</f>
        <v>5</v>
      </c>
      <c r="S13" s="11">
        <f>VLOOKUP($G13, '26 ADP Data'!$C$4:$Q$298, 9, FALSE)</f>
        <v>7</v>
      </c>
      <c r="T13" s="11" t="str">
        <f>VLOOKUP($G13, '26 ADP Data'!$C$4:$Q$298, 8, FALSE)</f>
        <v>-</v>
      </c>
      <c r="U13" s="11">
        <f t="shared" si="7"/>
        <v>6</v>
      </c>
      <c r="V13" s="11">
        <f t="shared" si="8"/>
        <v>1</v>
      </c>
      <c r="W13" s="11"/>
      <c r="X13" s="11">
        <f>VLOOKUP($G13, SeanRanks26!$A$2:$K$303, 10, FALSE)-U13</f>
        <v>2</v>
      </c>
      <c r="Y13" s="29" t="str">
        <f>IF(VLOOKUP($G13, SeanRanks26!$A$2:$H$303, 8, FALSE)=0, "", VLOOKUP($G13, SeanRanks26!$A$2:$H$303, 8, FALSE))</f>
        <v/>
      </c>
    </row>
    <row r="14" ht="14.25" customHeight="1">
      <c r="A14" s="11"/>
      <c r="B14" s="11">
        <f t="shared" si="4"/>
        <v>1</v>
      </c>
      <c r="C14" s="11" t="s">
        <v>106</v>
      </c>
      <c r="D14" s="16">
        <v>1.0</v>
      </c>
      <c r="E14" s="27"/>
      <c r="F14" s="11" t="str">
        <f>VLOOKUP($G14, SeanRanks26!$A$2:$H$303, 5, FALSE)</f>
        <v/>
      </c>
      <c r="G14" s="16" t="s">
        <v>64</v>
      </c>
      <c r="H14" s="11" t="str">
        <f>VLOOKUP($G14, '26 ADP Data'!$C$4:$Q$298, 2, FALSE)</f>
        <v>DET</v>
      </c>
      <c r="I14" s="11" t="str">
        <f>VLOOKUP(G14, '26 ADP Data'!$C$4:$R$496, 16, FALSE)</f>
        <v>WR</v>
      </c>
      <c r="J14" s="11" t="str">
        <f>VLOOKUP($G14, SeanRanks26!$A$2:$H$303, 6, FALSE)</f>
        <v>WR1 - 2 - Volotile</v>
      </c>
      <c r="K14" s="11">
        <f>VLOOKUP($G14, SeanRanks26!$A$2:$H$303, 7, FALSE)</f>
        <v>4</v>
      </c>
      <c r="L14" s="11">
        <f t="shared" si="5"/>
        <v>1</v>
      </c>
      <c r="M14" s="11">
        <f>VLOOKUP($G14, '26 ADP Data'!$C$4:$Q$298, 10, FALSE)</f>
        <v>7</v>
      </c>
      <c r="N14" s="11">
        <f>VLOOKUP($G14, '26 ADP Data'!$C$4:$Q$298, 13, FALSE)</f>
        <v>7</v>
      </c>
      <c r="O14" s="11">
        <f t="shared" si="6"/>
        <v>0</v>
      </c>
      <c r="P14" s="11">
        <f>VLOOKUP($G14, '26 ADP Data'!$C$4:$Q$298, 3, FALSE)</f>
        <v>8</v>
      </c>
      <c r="Q14" s="11">
        <f>VLOOKUP($G14, '26 ADP Data'!$C$4:$Q$298, 4, FALSE)</f>
        <v>8</v>
      </c>
      <c r="R14" s="11">
        <f>VLOOKUP($G14, '26 ADP Data'!$C$4:$Q$298, 6, FALSE)</f>
        <v>7</v>
      </c>
      <c r="S14" s="11">
        <f>VLOOKUP($G14, '26 ADP Data'!$C$4:$Q$298, 9, FALSE)</f>
        <v>8</v>
      </c>
      <c r="T14" s="11" t="str">
        <f>VLOOKUP($G14, '26 ADP Data'!$C$4:$Q$298, 8, FALSE)</f>
        <v>-</v>
      </c>
      <c r="U14" s="11">
        <f t="shared" si="7"/>
        <v>7</v>
      </c>
      <c r="V14" s="11">
        <f t="shared" si="8"/>
        <v>1</v>
      </c>
      <c r="W14" s="11"/>
      <c r="X14" s="11">
        <f>VLOOKUP($G14, SeanRanks26!$A$2:$K$303, 10, FALSE)-U14</f>
        <v>0</v>
      </c>
      <c r="Y14" s="29" t="str">
        <f>IF(VLOOKUP($G14, SeanRanks26!$A$2:$H$303, 8, FALSE)=0, "", VLOOKUP($G14, SeanRanks26!$A$2:$H$303, 8, FALSE))</f>
        <v/>
      </c>
    </row>
    <row r="15" ht="14.25" customHeight="1">
      <c r="A15" s="11"/>
      <c r="B15" s="11">
        <f t="shared" si="4"/>
        <v>1</v>
      </c>
      <c r="C15" s="11" t="s">
        <v>106</v>
      </c>
      <c r="D15" s="11"/>
      <c r="E15" s="27"/>
      <c r="F15" s="11" t="str">
        <f>VLOOKUP($G15, SeanRanks26!$A$2:$H$303, 5, FALSE)</f>
        <v/>
      </c>
      <c r="G15" s="16" t="s">
        <v>66</v>
      </c>
      <c r="H15" s="11" t="str">
        <f>VLOOKUP($G15, '26 ADP Data'!$C$4:$Q$298, 2, FALSE)</f>
        <v>BUF</v>
      </c>
      <c r="I15" s="11" t="str">
        <f>VLOOKUP(G15, '26 ADP Data'!$C$4:$R$496, 16, FALSE)</f>
        <v>RB</v>
      </c>
      <c r="J15" s="11" t="str">
        <f>VLOOKUP($G15, SeanRanks26!$A$2:$H$303, 6, FALSE)</f>
        <v>RB1 - 3 - Weekly RB1</v>
      </c>
      <c r="K15" s="11">
        <f>VLOOKUP($G15, SeanRanks26!$A$2:$H$303, 7, FALSE)</f>
        <v>5</v>
      </c>
      <c r="L15" s="11">
        <f t="shared" si="5"/>
        <v>1</v>
      </c>
      <c r="M15" s="11">
        <f>VLOOKUP($G15, '26 ADP Data'!$C$4:$Q$298, 10, FALSE)</f>
        <v>9</v>
      </c>
      <c r="N15" s="11">
        <f>VLOOKUP($G15, '26 ADP Data'!$C$4:$Q$298, 13, FALSE)</f>
        <v>10</v>
      </c>
      <c r="O15" s="11">
        <f t="shared" si="6"/>
        <v>-1</v>
      </c>
      <c r="P15" s="11">
        <f>VLOOKUP($G15, '26 ADP Data'!$C$4:$Q$298, 3, FALSE)</f>
        <v>9</v>
      </c>
      <c r="Q15" s="11">
        <f>VLOOKUP($G15, '26 ADP Data'!$C$4:$Q$298, 4, FALSE)</f>
        <v>12</v>
      </c>
      <c r="R15" s="11">
        <f>VLOOKUP($G15, '26 ADP Data'!$C$4:$Q$298, 6, FALSE)</f>
        <v>10</v>
      </c>
      <c r="S15" s="11">
        <f>VLOOKUP($G15, '26 ADP Data'!$C$4:$Q$298, 9, FALSE)</f>
        <v>9</v>
      </c>
      <c r="T15" s="11" t="str">
        <f>VLOOKUP($G15, '26 ADP Data'!$C$4:$Q$298, 8, FALSE)</f>
        <v>-</v>
      </c>
      <c r="U15" s="11">
        <f t="shared" si="7"/>
        <v>9</v>
      </c>
      <c r="V15" s="11">
        <f t="shared" si="8"/>
        <v>1</v>
      </c>
      <c r="W15" s="11"/>
      <c r="X15" s="11">
        <f>VLOOKUP($G15, SeanRanks26!$A$2:$K$303, 10, FALSE)-U15</f>
        <v>0</v>
      </c>
      <c r="Y15" s="29" t="str">
        <f>IF(VLOOKUP($G15, SeanRanks26!$A$2:$H$303, 8, FALSE)=0, "", VLOOKUP($G15, SeanRanks26!$A$2:$H$303, 8, FALSE))</f>
        <v/>
      </c>
    </row>
    <row r="16" ht="14.25" customHeight="1">
      <c r="A16" s="11"/>
      <c r="B16" s="11">
        <f t="shared" si="4"/>
        <v>1</v>
      </c>
      <c r="C16" s="11" t="s">
        <v>106</v>
      </c>
      <c r="D16" s="16">
        <v>1.0</v>
      </c>
      <c r="E16" s="27"/>
      <c r="F16" s="11" t="str">
        <f>VLOOKUP($G16, SeanRanks26!$A$2:$H$303, 5, FALSE)</f>
        <v/>
      </c>
      <c r="G16" s="16" t="s">
        <v>70</v>
      </c>
      <c r="H16" s="11" t="str">
        <f>VLOOKUP($G16, '26 ADP Data'!$C$4:$Q$298, 2, FALSE)</f>
        <v>DAL</v>
      </c>
      <c r="I16" s="11" t="str">
        <f>VLOOKUP(G16, '26 ADP Data'!$C$4:$R$496, 16, FALSE)</f>
        <v>WR</v>
      </c>
      <c r="J16" s="11" t="str">
        <f>VLOOKUP($G16, SeanRanks26!$A$2:$H$303, 6, FALSE)</f>
        <v>WR1 - 2 - Volotile</v>
      </c>
      <c r="K16" s="11">
        <f>VLOOKUP($G16, SeanRanks26!$A$2:$H$303, 7, FALSE)</f>
        <v>6</v>
      </c>
      <c r="L16" s="11">
        <f t="shared" si="5"/>
        <v>1</v>
      </c>
      <c r="M16" s="11">
        <f>VLOOKUP($G16, '26 ADP Data'!$C$4:$Q$298, 10, FALSE)</f>
        <v>11</v>
      </c>
      <c r="N16" s="11">
        <f>VLOOKUP($G16, '26 ADP Data'!$C$4:$Q$298, 13, FALSE)</f>
        <v>9</v>
      </c>
      <c r="O16" s="11">
        <f t="shared" si="6"/>
        <v>2</v>
      </c>
      <c r="P16" s="11">
        <f>VLOOKUP($G16, '26 ADP Data'!$C$4:$Q$298, 3, FALSE)</f>
        <v>14</v>
      </c>
      <c r="Q16" s="11">
        <f>VLOOKUP($G16, '26 ADP Data'!$C$4:$Q$298, 4, FALSE)</f>
        <v>9</v>
      </c>
      <c r="R16" s="11">
        <f>VLOOKUP($G16, '26 ADP Data'!$C$4:$Q$298, 6, FALSE)</f>
        <v>14</v>
      </c>
      <c r="S16" s="11">
        <f>VLOOKUP($G16, '26 ADP Data'!$C$4:$Q$298, 9, FALSE)</f>
        <v>10</v>
      </c>
      <c r="T16" s="11" t="str">
        <f>VLOOKUP($G16, '26 ADP Data'!$C$4:$Q$298, 8, FALSE)</f>
        <v>-</v>
      </c>
      <c r="U16" s="11">
        <f t="shared" si="7"/>
        <v>11</v>
      </c>
      <c r="V16" s="11">
        <f t="shared" si="8"/>
        <v>1</v>
      </c>
      <c r="W16" s="11"/>
      <c r="X16" s="11">
        <f>VLOOKUP($G16, SeanRanks26!$A$2:$K$303, 10, FALSE)-U16</f>
        <v>0</v>
      </c>
      <c r="Y16" s="29" t="str">
        <f>IF(VLOOKUP($G16, SeanRanks26!$A$2:$H$303, 8, FALSE)=0, "", VLOOKUP($G16, SeanRanks26!$A$2:$H$303, 8, FALSE))</f>
        <v/>
      </c>
    </row>
    <row r="17" ht="14.25" customHeight="1">
      <c r="A17" s="11"/>
      <c r="B17" s="11">
        <f t="shared" si="4"/>
        <v>2</v>
      </c>
      <c r="C17" s="11" t="s">
        <v>106</v>
      </c>
      <c r="D17" s="11"/>
      <c r="E17" s="27"/>
      <c r="F17" s="11" t="str">
        <f>VLOOKUP($G17, SeanRanks26!$A$2:$H$303, 5, FALSE)</f>
        <v/>
      </c>
      <c r="G17" s="16" t="s">
        <v>74</v>
      </c>
      <c r="H17" s="11" t="str">
        <f>VLOOKUP($G17, '26 ADP Data'!$C$4:$Q$298, 2, FALSE)</f>
        <v>MIN</v>
      </c>
      <c r="I17" s="11" t="str">
        <f>VLOOKUP(G17, '26 ADP Data'!$C$4:$R$496, 16, FALSE)</f>
        <v>WR</v>
      </c>
      <c r="J17" s="11" t="str">
        <f>VLOOKUP($G17, SeanRanks26!$A$2:$H$303, 6, FALSE)</f>
        <v>WR1 - 2 - Volotile</v>
      </c>
      <c r="K17" s="11">
        <f>VLOOKUP($G17, SeanRanks26!$A$2:$H$303, 7, FALSE)</f>
        <v>7</v>
      </c>
      <c r="L17" s="11">
        <f t="shared" si="5"/>
        <v>2</v>
      </c>
      <c r="M17" s="11">
        <f>VLOOKUP($G17, '26 ADP Data'!$C$4:$Q$298, 10, FALSE)</f>
        <v>13</v>
      </c>
      <c r="N17" s="11">
        <f>VLOOKUP($G17, '26 ADP Data'!$C$4:$Q$298, 13, FALSE)</f>
        <v>11</v>
      </c>
      <c r="O17" s="11">
        <f t="shared" si="6"/>
        <v>2</v>
      </c>
      <c r="P17" s="11">
        <f>VLOOKUP($G17, '26 ADP Data'!$C$4:$Q$298, 3, FALSE)</f>
        <v>16</v>
      </c>
      <c r="Q17" s="11">
        <f>VLOOKUP($G17, '26 ADP Data'!$C$4:$Q$298, 4, FALSE)</f>
        <v>11</v>
      </c>
      <c r="R17" s="11">
        <f>VLOOKUP($G17, '26 ADP Data'!$C$4:$Q$298, 6, FALSE)</f>
        <v>12</v>
      </c>
      <c r="S17" s="11">
        <f>VLOOKUP($G17, '26 ADP Data'!$C$4:$Q$298, 9, FALSE)</f>
        <v>11</v>
      </c>
      <c r="T17" s="11" t="str">
        <f>VLOOKUP($G17, '26 ADP Data'!$C$4:$Q$298, 8, FALSE)</f>
        <v>-</v>
      </c>
      <c r="U17" s="11">
        <f t="shared" si="7"/>
        <v>12</v>
      </c>
      <c r="V17" s="11">
        <f t="shared" si="8"/>
        <v>2</v>
      </c>
      <c r="W17" s="11"/>
      <c r="X17" s="11">
        <f>VLOOKUP($G17, SeanRanks26!$A$2:$K$303, 10, FALSE)-U17</f>
        <v>1</v>
      </c>
      <c r="Y17" s="29" t="str">
        <f>IF(VLOOKUP($G17, SeanRanks26!$A$2:$H$303, 8, FALSE)=0, "", VLOOKUP($G17, SeanRanks26!$A$2:$H$303, 8, FALSE))</f>
        <v/>
      </c>
    </row>
    <row r="18" ht="14.25" customHeight="1">
      <c r="A18" s="11"/>
      <c r="B18" s="11">
        <f t="shared" si="4"/>
        <v>2</v>
      </c>
      <c r="C18" s="11" t="s">
        <v>106</v>
      </c>
      <c r="D18" s="16">
        <v>1.0</v>
      </c>
      <c r="E18" s="27"/>
      <c r="F18" s="11" t="str">
        <f>VLOOKUP($G18, SeanRanks26!$A$2:$H$303, 5, FALSE)</f>
        <v/>
      </c>
      <c r="G18" s="16" t="s">
        <v>84</v>
      </c>
      <c r="H18" s="11" t="str">
        <f>VLOOKUP($G18, '26 ADP Data'!$C$4:$Q$298, 2, FALSE)</f>
        <v>PHI</v>
      </c>
      <c r="I18" s="11" t="str">
        <f>VLOOKUP(G18, '26 ADP Data'!$C$4:$R$496, 16, FALSE)</f>
        <v>RB</v>
      </c>
      <c r="J18" s="11" t="str">
        <f>VLOOKUP($G18, SeanRanks26!$A$2:$H$303, 6, FALSE)</f>
        <v>RB1 - 3 - Weekly RB1</v>
      </c>
      <c r="K18" s="11">
        <f>VLOOKUP($G18, SeanRanks26!$A$2:$H$303, 7, FALSE)</f>
        <v>9</v>
      </c>
      <c r="L18" s="11">
        <f t="shared" si="5"/>
        <v>1</v>
      </c>
      <c r="M18" s="11">
        <f>VLOOKUP($G18, '26 ADP Data'!$C$4:$Q$298, 10, FALSE)</f>
        <v>10</v>
      </c>
      <c r="N18" s="11">
        <f>VLOOKUP($G18, '26 ADP Data'!$C$4:$Q$298, 13, FALSE)</f>
        <v>12</v>
      </c>
      <c r="O18" s="11">
        <f t="shared" si="6"/>
        <v>-2</v>
      </c>
      <c r="P18" s="11">
        <f>VLOOKUP($G18, '26 ADP Data'!$C$4:$Q$298, 3, FALSE)</f>
        <v>13</v>
      </c>
      <c r="Q18" s="11">
        <f>VLOOKUP($G18, '26 ADP Data'!$C$4:$Q$298, 4, FALSE)</f>
        <v>13</v>
      </c>
      <c r="R18" s="11">
        <f>VLOOKUP($G18, '26 ADP Data'!$C$4:$Q$298, 6, FALSE)</f>
        <v>18</v>
      </c>
      <c r="S18" s="11">
        <f>VLOOKUP($G18, '26 ADP Data'!$C$4:$Q$298, 9, FALSE)</f>
        <v>13</v>
      </c>
      <c r="T18" s="11" t="str">
        <f>VLOOKUP($G18, '26 ADP Data'!$C$4:$Q$298, 8, FALSE)</f>
        <v>-</v>
      </c>
      <c r="U18" s="11">
        <f t="shared" si="7"/>
        <v>13</v>
      </c>
      <c r="V18" s="11">
        <f t="shared" si="8"/>
        <v>2</v>
      </c>
      <c r="W18" s="11">
        <f>D18-V18</f>
        <v>-1</v>
      </c>
      <c r="X18" s="11">
        <f>VLOOKUP($G18, SeanRanks26!$A$2:$K$303, 10, FALSE)-U18</f>
        <v>-3</v>
      </c>
      <c r="Y18" s="29" t="str">
        <f>IF(VLOOKUP($G18, SeanRanks26!$A$2:$H$303, 8, FALSE)=0, "", VLOOKUP($G18, SeanRanks26!$A$2:$H$303, 8, FALSE))</f>
        <v/>
      </c>
    </row>
    <row r="19" ht="14.25" customHeight="1">
      <c r="A19" s="11"/>
      <c r="B19" s="11">
        <f t="shared" si="4"/>
        <v>2</v>
      </c>
      <c r="C19" s="11" t="s">
        <v>106</v>
      </c>
      <c r="D19" s="16">
        <v>1.0</v>
      </c>
      <c r="E19" s="27"/>
      <c r="F19" s="11" t="str">
        <f>VLOOKUP($G19, SeanRanks26!$A$2:$H$303, 5, FALSE)</f>
        <v/>
      </c>
      <c r="G19" s="16" t="s">
        <v>80</v>
      </c>
      <c r="H19" s="11" t="str">
        <f>VLOOKUP($G19, '26 ADP Data'!$C$4:$Q$298, 2, FALSE)</f>
        <v>CIN</v>
      </c>
      <c r="I19" s="11" t="str">
        <f>VLOOKUP(G19, '26 ADP Data'!$C$4:$R$496, 16, FALSE)</f>
        <v>RB</v>
      </c>
      <c r="J19" s="11" t="str">
        <f>VLOOKUP($G19, SeanRanks26!$A$2:$H$303, 6, FALSE)</f>
        <v>RB1 - 4 - More Qs</v>
      </c>
      <c r="K19" s="11">
        <f>VLOOKUP($G19, SeanRanks26!$A$2:$H$303, 7, FALSE)</f>
        <v>14</v>
      </c>
      <c r="L19" s="11">
        <f t="shared" si="5"/>
        <v>2</v>
      </c>
      <c r="M19" s="11">
        <f>VLOOKUP($G19, '26 ADP Data'!$C$4:$Q$298, 10, FALSE)</f>
        <v>14</v>
      </c>
      <c r="N19" s="11">
        <f>VLOOKUP($G19, '26 ADP Data'!$C$4:$Q$298, 13, FALSE)</f>
        <v>14</v>
      </c>
      <c r="O19" s="11">
        <f t="shared" si="6"/>
        <v>0</v>
      </c>
      <c r="P19" s="11">
        <f>VLOOKUP($G19, '26 ADP Data'!$C$4:$Q$298, 3, FALSE)</f>
        <v>11</v>
      </c>
      <c r="Q19" s="11">
        <f>VLOOKUP($G19, '26 ADP Data'!$C$4:$Q$298, 4, FALSE)</f>
        <v>18</v>
      </c>
      <c r="R19" s="11">
        <f>VLOOKUP($G19, '26 ADP Data'!$C$4:$Q$298, 6, FALSE)</f>
        <v>11</v>
      </c>
      <c r="S19" s="11">
        <f>VLOOKUP($G19, '26 ADP Data'!$C$4:$Q$298, 9, FALSE)</f>
        <v>15</v>
      </c>
      <c r="T19" s="11" t="str">
        <f>VLOOKUP($G19, '26 ADP Data'!$C$4:$Q$298, 8, FALSE)</f>
        <v>-</v>
      </c>
      <c r="U19" s="11">
        <f t="shared" si="7"/>
        <v>13</v>
      </c>
      <c r="V19" s="11">
        <f t="shared" si="8"/>
        <v>2</v>
      </c>
      <c r="W19" s="11"/>
      <c r="X19" s="11">
        <f>VLOOKUP($G19, SeanRanks26!$A$2:$K$303, 10, FALSE)-U19</f>
        <v>1</v>
      </c>
      <c r="Y19" s="29" t="str">
        <f>IF(VLOOKUP($G19, SeanRanks26!$A$2:$H$303, 8, FALSE)=0, "", VLOOKUP($G19, SeanRanks26!$A$2:$H$303, 8, FALSE))</f>
        <v/>
      </c>
    </row>
    <row r="20" ht="14.25" customHeight="1">
      <c r="A20" s="11"/>
      <c r="B20" s="11">
        <f t="shared" si="4"/>
        <v>2</v>
      </c>
      <c r="C20" s="11" t="s">
        <v>106</v>
      </c>
      <c r="D20" s="16">
        <v>2.0</v>
      </c>
      <c r="E20" s="27"/>
      <c r="F20" s="11" t="str">
        <f>VLOOKUP($G20, SeanRanks26!$A$2:$H$303, 5, FALSE)</f>
        <v/>
      </c>
      <c r="G20" s="16" t="s">
        <v>92</v>
      </c>
      <c r="H20" s="11" t="str">
        <f>VLOOKUP($G20, '26 ADP Data'!$C$4:$Q$298, 2, FALSE)</f>
        <v>MIA</v>
      </c>
      <c r="I20" s="11" t="str">
        <f>VLOOKUP(G20, '26 ADP Data'!$C$4:$R$496, 16, FALSE)</f>
        <v>RB</v>
      </c>
      <c r="J20" s="11" t="str">
        <f>VLOOKUP($G20, SeanRanks26!$A$2:$H$303, 6, FALSE)</f>
        <v>RB1 - 3 - Weekly RB1</v>
      </c>
      <c r="K20" s="11">
        <f>VLOOKUP($G20, SeanRanks26!$A$2:$H$303, 7, FALSE)</f>
        <v>6</v>
      </c>
      <c r="L20" s="11">
        <f t="shared" si="5"/>
        <v>2</v>
      </c>
      <c r="M20" s="11">
        <f>VLOOKUP($G20, '26 ADP Data'!$C$4:$Q$298, 10, FALSE)</f>
        <v>15</v>
      </c>
      <c r="N20" s="11">
        <f>VLOOKUP($G20, '26 ADP Data'!$C$4:$Q$298, 13, FALSE)</f>
        <v>17</v>
      </c>
      <c r="O20" s="11">
        <f t="shared" si="6"/>
        <v>-2</v>
      </c>
      <c r="P20" s="11">
        <f>VLOOKUP($G20, '26 ADP Data'!$C$4:$Q$298, 3, FALSE)</f>
        <v>10</v>
      </c>
      <c r="Q20" s="11">
        <f>VLOOKUP($G20, '26 ADP Data'!$C$4:$Q$298, 4, FALSE)</f>
        <v>10</v>
      </c>
      <c r="R20" s="11">
        <f>VLOOKUP($G20, '26 ADP Data'!$C$4:$Q$298, 6, FALSE)</f>
        <v>16</v>
      </c>
      <c r="S20" s="11">
        <f>VLOOKUP($G20, '26 ADP Data'!$C$4:$Q$298, 9, FALSE)</f>
        <v>16</v>
      </c>
      <c r="T20" s="11" t="str">
        <f>VLOOKUP($G20, '26 ADP Data'!$C$4:$Q$298, 8, FALSE)</f>
        <v>-</v>
      </c>
      <c r="U20" s="11">
        <f t="shared" si="7"/>
        <v>14</v>
      </c>
      <c r="V20" s="11">
        <f t="shared" si="8"/>
        <v>2</v>
      </c>
      <c r="W20" s="11">
        <f>D20-V20</f>
        <v>0</v>
      </c>
      <c r="X20" s="11">
        <f>VLOOKUP($G20, SeanRanks26!$A$2:$K$303, 10, FALSE)-U20</f>
        <v>1</v>
      </c>
      <c r="Y20" s="29" t="str">
        <f>IF(VLOOKUP($G20, SeanRanks26!$A$2:$H$303, 8, FALSE)=0, "", VLOOKUP($G20, SeanRanks26!$A$2:$H$303, 8, FALSE))</f>
        <v/>
      </c>
    </row>
    <row r="21" ht="14.25" customHeight="1">
      <c r="A21" s="11"/>
      <c r="B21" s="11">
        <f t="shared" si="4"/>
        <v>2</v>
      </c>
      <c r="C21" s="11" t="s">
        <v>106</v>
      </c>
      <c r="D21" s="16">
        <v>1.0</v>
      </c>
      <c r="E21" s="27"/>
      <c r="F21" s="11" t="str">
        <f>VLOOKUP($G21, SeanRanks26!$A$2:$H$303, 5, FALSE)</f>
        <v/>
      </c>
      <c r="G21" s="16" t="s">
        <v>97</v>
      </c>
      <c r="H21" s="11" t="str">
        <f>VLOOKUP($G21, '26 ADP Data'!$C$4:$Q$298, 2, FALSE)</f>
        <v>LV</v>
      </c>
      <c r="I21" s="11" t="str">
        <f>VLOOKUP(G21, '26 ADP Data'!$C$4:$R$496, 16, FALSE)</f>
        <v>RB</v>
      </c>
      <c r="J21" s="11" t="str">
        <f>VLOOKUP($G21, SeanRanks26!$A$2:$H$303, 6, FALSE)</f>
        <v>RB1 - 3 - Weekly RB1</v>
      </c>
      <c r="K21" s="11">
        <f>VLOOKUP($G21, SeanRanks26!$A$2:$H$303, 7, FALSE)</f>
        <v>11</v>
      </c>
      <c r="L21" s="11">
        <f t="shared" si="5"/>
        <v>2</v>
      </c>
      <c r="M21" s="11">
        <f>VLOOKUP($G21, '26 ADP Data'!$C$4:$Q$298, 10, FALSE)</f>
        <v>23</v>
      </c>
      <c r="N21" s="11">
        <f>VLOOKUP($G21, '26 ADP Data'!$C$4:$Q$298, 13, FALSE)</f>
        <v>18</v>
      </c>
      <c r="O21" s="11">
        <f t="shared" si="6"/>
        <v>5</v>
      </c>
      <c r="P21" s="11">
        <f>VLOOKUP($G21, '26 ADP Data'!$C$4:$Q$298, 3, FALSE)</f>
        <v>15</v>
      </c>
      <c r="Q21" s="11">
        <f>VLOOKUP($G21, '26 ADP Data'!$C$4:$Q$298, 4, FALSE)</f>
        <v>14</v>
      </c>
      <c r="R21" s="11">
        <f>VLOOKUP($G21, '26 ADP Data'!$C$4:$Q$298, 6, FALSE)</f>
        <v>13</v>
      </c>
      <c r="S21" s="11">
        <f>VLOOKUP($G21, '26 ADP Data'!$C$4:$Q$298, 9, FALSE)</f>
        <v>12</v>
      </c>
      <c r="T21" s="11" t="str">
        <f>VLOOKUP($G21, '26 ADP Data'!$C$4:$Q$298, 8, FALSE)</f>
        <v>-</v>
      </c>
      <c r="U21" s="11">
        <f t="shared" si="7"/>
        <v>15</v>
      </c>
      <c r="V21" s="11">
        <f t="shared" si="8"/>
        <v>2</v>
      </c>
      <c r="W21" s="11"/>
      <c r="X21" s="11">
        <f>VLOOKUP($G21, SeanRanks26!$A$2:$K$303, 10, FALSE)-U21</f>
        <v>8</v>
      </c>
      <c r="Y21" s="29" t="str">
        <f>IF(VLOOKUP($G21, SeanRanks26!$A$2:$H$303, 8, FALSE)=0, "", VLOOKUP($G21, SeanRanks26!$A$2:$H$303, 8, FALSE))</f>
        <v>2025 Rookie R1.6</v>
      </c>
    </row>
    <row r="22" ht="14.25" customHeight="1">
      <c r="A22" s="11"/>
      <c r="B22" s="11">
        <f t="shared" si="4"/>
        <v>2</v>
      </c>
      <c r="C22" s="11" t="s">
        <v>106</v>
      </c>
      <c r="D22" s="16">
        <v>1.0</v>
      </c>
      <c r="E22" s="27"/>
      <c r="F22" s="11" t="str">
        <f>VLOOKUP($G22, SeanRanks26!$A$2:$H$303, 5, FALSE)</f>
        <v>Yes</v>
      </c>
      <c r="G22" s="16" t="s">
        <v>101</v>
      </c>
      <c r="H22" s="11" t="str">
        <f>VLOOKUP($G22, '26 ADP Data'!$C$4:$Q$298, 2, FALSE)</f>
        <v>KC</v>
      </c>
      <c r="I22" s="11" t="str">
        <f>VLOOKUP(G22, '26 ADP Data'!$C$4:$R$496, 16, FALSE)</f>
        <v>RB</v>
      </c>
      <c r="J22" s="11" t="str">
        <f>VLOOKUP($G22, SeanRanks26!$A$2:$H$303, 6, FALSE)</f>
        <v>RB1 - 3 - Weekly RB1</v>
      </c>
      <c r="K22" s="11">
        <f>VLOOKUP($G22, SeanRanks26!$A$2:$H$303, 7, FALSE)</f>
        <v>8</v>
      </c>
      <c r="L22" s="11">
        <f t="shared" si="5"/>
        <v>2</v>
      </c>
      <c r="M22" s="11">
        <f>VLOOKUP($G22, '26 ADP Data'!$C$4:$Q$298, 10, FALSE)</f>
        <v>12</v>
      </c>
      <c r="N22" s="11">
        <f>VLOOKUP($G22, '26 ADP Data'!$C$4:$Q$298, 13, FALSE)</f>
        <v>13</v>
      </c>
      <c r="O22" s="11">
        <f t="shared" si="6"/>
        <v>-1</v>
      </c>
      <c r="P22" s="11">
        <f>VLOOKUP($G22, '26 ADP Data'!$C$4:$Q$298, 3, FALSE)</f>
        <v>17</v>
      </c>
      <c r="Q22" s="11">
        <f>VLOOKUP($G22, '26 ADP Data'!$C$4:$Q$298, 4, FALSE)</f>
        <v>21</v>
      </c>
      <c r="R22" s="11">
        <f>VLOOKUP($G22, '26 ADP Data'!$C$4:$Q$298, 6, FALSE)</f>
        <v>15</v>
      </c>
      <c r="S22" s="11">
        <f>VLOOKUP($G22, '26 ADP Data'!$C$4:$Q$298, 9, FALSE)</f>
        <v>18</v>
      </c>
      <c r="T22" s="11" t="str">
        <f>VLOOKUP($G22, '26 ADP Data'!$C$4:$Q$298, 8, FALSE)</f>
        <v>-</v>
      </c>
      <c r="U22" s="11">
        <f t="shared" si="7"/>
        <v>16</v>
      </c>
      <c r="V22" s="11">
        <f t="shared" si="8"/>
        <v>2</v>
      </c>
      <c r="W22" s="11"/>
      <c r="X22" s="11">
        <f>VLOOKUP($G22, SeanRanks26!$A$2:$K$303, 10, FALSE)-U22</f>
        <v>-4</v>
      </c>
      <c r="Y22" s="29" t="str">
        <f>IF(VLOOKUP($G22, SeanRanks26!$A$2:$H$303, 8, FALSE)=0, "", VLOOKUP($G22, SeanRanks26!$A$2:$H$303, 8, FALSE))</f>
        <v>FFB My Guy</v>
      </c>
    </row>
    <row r="23" ht="14.25" customHeight="1">
      <c r="A23" s="11"/>
      <c r="B23" s="11">
        <f t="shared" si="4"/>
        <v>2</v>
      </c>
      <c r="C23" s="11" t="s">
        <v>106</v>
      </c>
      <c r="D23" s="11"/>
      <c r="E23" s="27"/>
      <c r="F23" s="11" t="str">
        <f>VLOOKUP($G23, SeanRanks26!$A$2:$H$303, 5, FALSE)</f>
        <v/>
      </c>
      <c r="G23" s="16" t="s">
        <v>108</v>
      </c>
      <c r="H23" s="11" t="str">
        <f>VLOOKUP($G23, '26 ADP Data'!$C$4:$Q$298, 2, FALSE)</f>
        <v>BAL</v>
      </c>
      <c r="I23" s="11" t="str">
        <f>VLOOKUP(G23, '26 ADP Data'!$C$4:$R$496, 16, FALSE)</f>
        <v>RB</v>
      </c>
      <c r="J23" s="11" t="str">
        <f>VLOOKUP($G23, SeanRanks26!$A$2:$H$303, 6, FALSE)</f>
        <v>RB1 - 3 - Weekly RB1</v>
      </c>
      <c r="K23" s="11">
        <f>VLOOKUP($G23, SeanRanks26!$A$2:$H$303, 7, FALSE)</f>
        <v>7</v>
      </c>
      <c r="L23" s="11">
        <f t="shared" si="5"/>
        <v>2</v>
      </c>
      <c r="M23" s="11">
        <f>VLOOKUP($G23, '26 ADP Data'!$C$4:$Q$298, 10, FALSE)</f>
        <v>16</v>
      </c>
      <c r="N23" s="11">
        <f>VLOOKUP($G23, '26 ADP Data'!$C$4:$Q$298, 13, FALSE)</f>
        <v>16</v>
      </c>
      <c r="O23" s="11">
        <f t="shared" si="6"/>
        <v>0</v>
      </c>
      <c r="P23" s="11">
        <f>VLOOKUP($G23, '26 ADP Data'!$C$4:$Q$298, 3, FALSE)</f>
        <v>12</v>
      </c>
      <c r="Q23" s="11">
        <f>VLOOKUP($G23, '26 ADP Data'!$C$4:$Q$298, 4, FALSE)</f>
        <v>16</v>
      </c>
      <c r="R23" s="11">
        <f>VLOOKUP($G23, '26 ADP Data'!$C$4:$Q$298, 6, FALSE)</f>
        <v>20</v>
      </c>
      <c r="S23" s="11">
        <f>VLOOKUP($G23, '26 ADP Data'!$C$4:$Q$298, 9, FALSE)</f>
        <v>17</v>
      </c>
      <c r="T23" s="11" t="str">
        <f>VLOOKUP($G23, '26 ADP Data'!$C$4:$Q$298, 8, FALSE)</f>
        <v>-</v>
      </c>
      <c r="U23" s="11">
        <f t="shared" si="7"/>
        <v>16</v>
      </c>
      <c r="V23" s="11">
        <f t="shared" si="8"/>
        <v>2</v>
      </c>
      <c r="W23" s="11"/>
      <c r="X23" s="11">
        <f>VLOOKUP($G23, SeanRanks26!$A$2:$K$303, 10, FALSE)-U23</f>
        <v>0</v>
      </c>
      <c r="Y23" s="29" t="str">
        <f>IF(VLOOKUP($G23, SeanRanks26!$A$2:$H$303, 8, FALSE)=0, "", VLOOKUP($G23, SeanRanks26!$A$2:$H$303, 8, FALSE))</f>
        <v/>
      </c>
    </row>
    <row r="24" ht="14.25" customHeight="1">
      <c r="A24" s="11"/>
      <c r="B24" s="11">
        <f t="shared" si="4"/>
        <v>2</v>
      </c>
      <c r="C24" s="11" t="s">
        <v>106</v>
      </c>
      <c r="D24" s="11"/>
      <c r="E24" s="27"/>
      <c r="F24" s="11" t="str">
        <f>VLOOKUP($G24, SeanRanks26!$A$2:$H$303, 5, FALSE)</f>
        <v/>
      </c>
      <c r="G24" s="16" t="s">
        <v>104</v>
      </c>
      <c r="H24" s="11" t="str">
        <f>VLOOKUP($G24, '26 ADP Data'!$C$4:$Q$298, 2, FALSE)</f>
        <v>LAC</v>
      </c>
      <c r="I24" s="11" t="str">
        <f>VLOOKUP(G24, '26 ADP Data'!$C$4:$R$496, 16, FALSE)</f>
        <v>RB</v>
      </c>
      <c r="J24" s="11" t="str">
        <f>VLOOKUP($G24, SeanRanks26!$A$2:$H$303, 6, FALSE)</f>
        <v>RB1 - 3 - Weekly RB1</v>
      </c>
      <c r="K24" s="11">
        <f>VLOOKUP($G24, SeanRanks26!$A$2:$H$303, 7, FALSE)</f>
        <v>10</v>
      </c>
      <c r="L24" s="11">
        <f t="shared" si="5"/>
        <v>2</v>
      </c>
      <c r="M24" s="11">
        <f>VLOOKUP($G24, '26 ADP Data'!$C$4:$Q$298, 10, FALSE)</f>
        <v>17</v>
      </c>
      <c r="N24" s="11">
        <f>VLOOKUP($G24, '26 ADP Data'!$C$4:$Q$298, 13, FALSE)</f>
        <v>15</v>
      </c>
      <c r="O24" s="11">
        <f t="shared" si="6"/>
        <v>2</v>
      </c>
      <c r="P24" s="11">
        <f>VLOOKUP($G24, '26 ADP Data'!$C$4:$Q$298, 3, FALSE)</f>
        <v>20</v>
      </c>
      <c r="Q24" s="11">
        <f>VLOOKUP($G24, '26 ADP Data'!$C$4:$Q$298, 4, FALSE)</f>
        <v>24</v>
      </c>
      <c r="R24" s="11">
        <f>VLOOKUP($G24, '26 ADP Data'!$C$4:$Q$298, 6, FALSE)</f>
        <v>19</v>
      </c>
      <c r="S24" s="11">
        <f>VLOOKUP($G24, '26 ADP Data'!$C$4:$Q$298, 9, FALSE)</f>
        <v>14</v>
      </c>
      <c r="T24" s="11" t="str">
        <f>VLOOKUP($G24, '26 ADP Data'!$C$4:$Q$298, 8, FALSE)</f>
        <v>-</v>
      </c>
      <c r="U24" s="11">
        <f t="shared" si="7"/>
        <v>18</v>
      </c>
      <c r="V24" s="11">
        <f t="shared" si="8"/>
        <v>2</v>
      </c>
      <c r="W24" s="11"/>
      <c r="X24" s="11">
        <f>VLOOKUP($G24, SeanRanks26!$A$2:$K$303, 10, FALSE)-U24</f>
        <v>-1</v>
      </c>
      <c r="Y24" s="29" t="str">
        <f>IF(VLOOKUP($G24, SeanRanks26!$A$2:$H$303, 8, FALSE)=0, "", VLOOKUP($G24, SeanRanks26!$A$2:$H$303, 8, FALSE))</f>
        <v>2025 Rookie R1.22. FFB My Guy</v>
      </c>
    </row>
    <row r="25" ht="14.25" customHeight="1">
      <c r="A25" s="11"/>
      <c r="B25" s="11">
        <f t="shared" si="4"/>
        <v>2</v>
      </c>
      <c r="C25" s="11" t="s">
        <v>106</v>
      </c>
      <c r="D25" s="11"/>
      <c r="E25" s="27"/>
      <c r="F25" s="11" t="str">
        <f>VLOOKUP($G25, SeanRanks26!$A$2:$H$303, 5, FALSE)</f>
        <v/>
      </c>
      <c r="G25" s="16" t="s">
        <v>114</v>
      </c>
      <c r="H25" s="11" t="str">
        <f>VLOOKUP($G25, '26 ADP Data'!$C$4:$Q$298, 2, FALSE)</f>
        <v>ATL</v>
      </c>
      <c r="I25" s="11" t="str">
        <f>VLOOKUP(G25, '26 ADP Data'!$C$4:$R$496, 16, FALSE)</f>
        <v>WR</v>
      </c>
      <c r="J25" s="11" t="str">
        <f>VLOOKUP($G25, SeanRanks26!$A$2:$H$303, 6, FALSE)</f>
        <v>WR1 - 2 - Volotile</v>
      </c>
      <c r="K25" s="11">
        <f>VLOOKUP($G25, SeanRanks26!$A$2:$H$303, 7, FALSE)</f>
        <v>8</v>
      </c>
      <c r="L25" s="11">
        <f t="shared" si="5"/>
        <v>2</v>
      </c>
      <c r="M25" s="11">
        <f>VLOOKUP($G25, '26 ADP Data'!$C$4:$Q$298, 10, FALSE)</f>
        <v>18</v>
      </c>
      <c r="N25" s="11">
        <f>VLOOKUP($G25, '26 ADP Data'!$C$4:$Q$298, 13, FALSE)</f>
        <v>22</v>
      </c>
      <c r="O25" s="11">
        <f t="shared" si="6"/>
        <v>-4</v>
      </c>
      <c r="P25" s="11">
        <f>VLOOKUP($G25, '26 ADP Data'!$C$4:$Q$298, 3, FALSE)</f>
        <v>19</v>
      </c>
      <c r="Q25" s="11">
        <f>VLOOKUP($G25, '26 ADP Data'!$C$4:$Q$298, 4, FALSE)</f>
        <v>15</v>
      </c>
      <c r="R25" s="11">
        <f>VLOOKUP($G25, '26 ADP Data'!$C$4:$Q$298, 6, FALSE)</f>
        <v>22</v>
      </c>
      <c r="S25" s="11">
        <f>VLOOKUP($G25, '26 ADP Data'!$C$4:$Q$298, 9, FALSE)</f>
        <v>19</v>
      </c>
      <c r="T25" s="11" t="str">
        <f>VLOOKUP($G25, '26 ADP Data'!$C$4:$Q$298, 8, FALSE)</f>
        <v>-</v>
      </c>
      <c r="U25" s="11">
        <f t="shared" si="7"/>
        <v>19</v>
      </c>
      <c r="V25" s="11">
        <f t="shared" si="8"/>
        <v>2</v>
      </c>
      <c r="W25" s="11">
        <f>D25-V25</f>
        <v>-2</v>
      </c>
      <c r="X25" s="11">
        <f>VLOOKUP($G25, SeanRanks26!$A$2:$K$303, 10, FALSE)-U25</f>
        <v>-1</v>
      </c>
      <c r="Y25" s="29" t="str">
        <f>IF(VLOOKUP($G25, SeanRanks26!$A$2:$H$303, 8, FALSE)=0, "", VLOOKUP($G25, SeanRanks26!$A$2:$H$303, 8, FALSE))</f>
        <v/>
      </c>
    </row>
    <row r="26" ht="14.25" customHeight="1">
      <c r="A26" s="11"/>
      <c r="B26" s="11">
        <f t="shared" si="4"/>
        <v>2</v>
      </c>
      <c r="C26" s="11" t="s">
        <v>106</v>
      </c>
      <c r="D26" s="16">
        <v>1.0</v>
      </c>
      <c r="E26" s="27"/>
      <c r="F26" s="11" t="str">
        <f>VLOOKUP($G26, SeanRanks26!$A$2:$H$303, 5, FALSE)</f>
        <v/>
      </c>
      <c r="G26" s="16" t="s">
        <v>111</v>
      </c>
      <c r="H26" s="11" t="str">
        <f>VLOOKUP($G26, '26 ADP Data'!$C$4:$Q$298, 2, FALSE)</f>
        <v>LV</v>
      </c>
      <c r="I26" s="11" t="str">
        <f>VLOOKUP(G26, '26 ADP Data'!$C$4:$R$496, 16, FALSE)</f>
        <v>TE</v>
      </c>
      <c r="J26" s="11" t="str">
        <f>VLOOKUP($G26, SeanRanks26!$A$2:$H$303, 6, FALSE)</f>
        <v>TE1 - 1 - Elite</v>
      </c>
      <c r="K26" s="11">
        <f>VLOOKUP($G26, SeanRanks26!$A$2:$H$303, 7, FALSE)</f>
        <v>1</v>
      </c>
      <c r="L26" s="11">
        <f t="shared" si="5"/>
        <v>2</v>
      </c>
      <c r="M26" s="11">
        <f>VLOOKUP($G26, '26 ADP Data'!$C$4:$Q$298, 10, FALSE)</f>
        <v>19</v>
      </c>
      <c r="N26" s="11">
        <f>VLOOKUP($G26, '26 ADP Data'!$C$4:$Q$298, 13, FALSE)</f>
        <v>20</v>
      </c>
      <c r="O26" s="11">
        <f t="shared" si="6"/>
        <v>-1</v>
      </c>
      <c r="P26" s="11">
        <f>VLOOKUP($G26, '26 ADP Data'!$C$4:$Q$298, 3, FALSE)</f>
        <v>27</v>
      </c>
      <c r="Q26" s="11">
        <f>VLOOKUP($G26, '26 ADP Data'!$C$4:$Q$298, 4, FALSE)</f>
        <v>23</v>
      </c>
      <c r="R26" s="11">
        <f>VLOOKUP($G26, '26 ADP Data'!$C$4:$Q$298, 6, FALSE)</f>
        <v>8</v>
      </c>
      <c r="S26" s="11">
        <f>VLOOKUP($G26, '26 ADP Data'!$C$4:$Q$298, 9, FALSE)</f>
        <v>21</v>
      </c>
      <c r="T26" s="11" t="str">
        <f>VLOOKUP($G26, '26 ADP Data'!$C$4:$Q$298, 8, FALSE)</f>
        <v>-</v>
      </c>
      <c r="U26" s="11">
        <f t="shared" si="7"/>
        <v>19</v>
      </c>
      <c r="V26" s="11">
        <f t="shared" si="8"/>
        <v>2</v>
      </c>
      <c r="W26" s="11"/>
      <c r="X26" s="11">
        <f>VLOOKUP($G26, SeanRanks26!$A$2:$K$303, 10, FALSE)-U26</f>
        <v>0</v>
      </c>
      <c r="Y26" s="29" t="str">
        <f>IF(VLOOKUP($G26, SeanRanks26!$A$2:$H$303, 8, FALSE)=0, "", VLOOKUP($G26, SeanRanks26!$A$2:$H$303, 8, FALSE))</f>
        <v/>
      </c>
    </row>
    <row r="27" ht="14.25" customHeight="1">
      <c r="A27" s="11"/>
      <c r="B27" s="11">
        <f t="shared" si="4"/>
        <v>2</v>
      </c>
      <c r="C27" s="11" t="s">
        <v>106</v>
      </c>
      <c r="D27" s="16">
        <v>1.0</v>
      </c>
      <c r="E27" s="27"/>
      <c r="F27" s="11" t="str">
        <f>VLOOKUP($G27, SeanRanks26!$A$2:$H$303, 5, FALSE)</f>
        <v/>
      </c>
      <c r="G27" s="16" t="s">
        <v>113</v>
      </c>
      <c r="H27" s="11" t="str">
        <f>VLOOKUP($G27, '26 ADP Data'!$C$4:$Q$298, 2, FALSE)</f>
        <v>NE</v>
      </c>
      <c r="I27" s="11" t="str">
        <f>VLOOKUP(G27, '26 ADP Data'!$C$4:$R$496, 16, FALSE)</f>
        <v>WR</v>
      </c>
      <c r="J27" s="11" t="str">
        <f>VLOOKUP($G27, SeanRanks26!$A$2:$H$303, 6, FALSE)</f>
        <v>WR1 - 2 - Volotile</v>
      </c>
      <c r="K27" s="11">
        <f>VLOOKUP($G27, SeanRanks26!$A$2:$H$303, 7, FALSE)</f>
        <v>5</v>
      </c>
      <c r="L27" s="11">
        <f t="shared" si="5"/>
        <v>2</v>
      </c>
      <c r="M27" s="11">
        <f>VLOOKUP($G27, '26 ADP Data'!$C$4:$Q$298, 10, FALSE)</f>
        <v>22</v>
      </c>
      <c r="N27" s="11">
        <f>VLOOKUP($G27, '26 ADP Data'!$C$4:$Q$298, 13, FALSE)</f>
        <v>19</v>
      </c>
      <c r="O27" s="11">
        <f t="shared" si="6"/>
        <v>3</v>
      </c>
      <c r="P27" s="11">
        <f>VLOOKUP($G27, '26 ADP Data'!$C$4:$Q$298, 3, FALSE)</f>
        <v>21</v>
      </c>
      <c r="Q27" s="11">
        <f>VLOOKUP($G27, '26 ADP Data'!$C$4:$Q$298, 4, FALSE)</f>
        <v>25</v>
      </c>
      <c r="R27" s="11">
        <f>VLOOKUP($G27, '26 ADP Data'!$C$4:$Q$298, 6, FALSE)</f>
        <v>21</v>
      </c>
      <c r="S27" s="11">
        <f>VLOOKUP($G27, '26 ADP Data'!$C$4:$Q$298, 9, FALSE)</f>
        <v>20</v>
      </c>
      <c r="T27" s="11" t="str">
        <f>VLOOKUP($G27, '26 ADP Data'!$C$4:$Q$298, 8, FALSE)</f>
        <v>-</v>
      </c>
      <c r="U27" s="11">
        <f t="shared" si="7"/>
        <v>21</v>
      </c>
      <c r="V27" s="11">
        <f t="shared" si="8"/>
        <v>2</v>
      </c>
      <c r="W27" s="11"/>
      <c r="X27" s="11">
        <f>VLOOKUP($G27, SeanRanks26!$A$2:$K$303, 10, FALSE)-U27</f>
        <v>1</v>
      </c>
      <c r="Y27" s="29" t="str">
        <f>IF(VLOOKUP($G27, SeanRanks26!$A$2:$H$303, 8, FALSE)=0, "", VLOOKUP($G27, SeanRanks26!$A$2:$H$303, 8, FALSE))</f>
        <v/>
      </c>
    </row>
    <row r="28" ht="14.25" customHeight="1">
      <c r="A28" s="11"/>
      <c r="B28" s="11">
        <f t="shared" si="4"/>
        <v>3</v>
      </c>
      <c r="C28" s="11" t="s">
        <v>106</v>
      </c>
      <c r="D28" s="11"/>
      <c r="E28" s="27"/>
      <c r="F28" s="11" t="str">
        <f>VLOOKUP($G28, SeanRanks26!$A$2:$H$303, 5, FALSE)</f>
        <v/>
      </c>
      <c r="G28" s="16" t="s">
        <v>118</v>
      </c>
      <c r="H28" s="11" t="str">
        <f>VLOOKUP($G28, '26 ADP Data'!$C$4:$Q$298, 2, FALSE)</f>
        <v>HOU</v>
      </c>
      <c r="I28" s="11" t="str">
        <f>VLOOKUP(G28, '26 ADP Data'!$C$4:$R$496, 16, FALSE)</f>
        <v>WR</v>
      </c>
      <c r="J28" s="11" t="str">
        <f>VLOOKUP($G28, SeanRanks26!$A$2:$H$303, 6, FALSE)</f>
        <v>WR1 - 2 - Volotile</v>
      </c>
      <c r="K28" s="11">
        <f>VLOOKUP($G28, SeanRanks26!$A$2:$H$303, 7, FALSE)</f>
        <v>10</v>
      </c>
      <c r="L28" s="11">
        <f t="shared" si="5"/>
        <v>2</v>
      </c>
      <c r="M28" s="11">
        <f>VLOOKUP($G28, '26 ADP Data'!$C$4:$Q$298, 10, FALSE)</f>
        <v>20</v>
      </c>
      <c r="N28" s="11">
        <f>VLOOKUP($G28, '26 ADP Data'!$C$4:$Q$298, 13, FALSE)</f>
        <v>21</v>
      </c>
      <c r="O28" s="11">
        <f t="shared" si="6"/>
        <v>-1</v>
      </c>
      <c r="P28" s="11">
        <f>VLOOKUP($G28, '26 ADP Data'!$C$4:$Q$298, 3, FALSE)</f>
        <v>25</v>
      </c>
      <c r="Q28" s="11">
        <f>VLOOKUP($G28, '26 ADP Data'!$C$4:$Q$298, 4, FALSE)</f>
        <v>26</v>
      </c>
      <c r="R28" s="11">
        <f>VLOOKUP($G28, '26 ADP Data'!$C$4:$Q$298, 6, FALSE)</f>
        <v>24</v>
      </c>
      <c r="S28" s="11">
        <f>VLOOKUP($G28, '26 ADP Data'!$C$4:$Q$298, 9, FALSE)</f>
        <v>24</v>
      </c>
      <c r="T28" s="11" t="str">
        <f>VLOOKUP($G28, '26 ADP Data'!$C$4:$Q$298, 8, FALSE)</f>
        <v>-</v>
      </c>
      <c r="U28" s="11">
        <f t="shared" si="7"/>
        <v>23</v>
      </c>
      <c r="V28" s="11">
        <f t="shared" si="8"/>
        <v>2</v>
      </c>
      <c r="W28" s="11"/>
      <c r="X28" s="11">
        <f>VLOOKUP($G28, SeanRanks26!$A$2:$K$303, 10, FALSE)-U28</f>
        <v>-3</v>
      </c>
      <c r="Y28" s="29" t="str">
        <f>IF(VLOOKUP($G28, SeanRanks26!$A$2:$H$303, 8, FALSE)=0, "", VLOOKUP($G28, SeanRanks26!$A$2:$H$303, 8, FALSE))</f>
        <v/>
      </c>
    </row>
    <row r="29" ht="14.25" customHeight="1">
      <c r="A29" s="11"/>
      <c r="B29" s="11">
        <f t="shared" si="4"/>
        <v>2</v>
      </c>
      <c r="C29" s="11" t="s">
        <v>106</v>
      </c>
      <c r="D29" s="16">
        <v>2.0</v>
      </c>
      <c r="E29" s="27"/>
      <c r="F29" s="11" t="str">
        <f>VLOOKUP($G29, SeanRanks26!$A$2:$H$303, 5, FALSE)</f>
        <v/>
      </c>
      <c r="G29" s="16" t="s">
        <v>124</v>
      </c>
      <c r="H29" s="11" t="str">
        <f>VLOOKUP($G29, '26 ADP Data'!$C$4:$Q$298, 2, FALSE)</f>
        <v>ARI</v>
      </c>
      <c r="I29" s="11" t="str">
        <f>VLOOKUP(G29, '26 ADP Data'!$C$4:$R$496, 16, FALSE)</f>
        <v>TE</v>
      </c>
      <c r="J29" s="11" t="str">
        <f>VLOOKUP($G29, SeanRanks26!$A$2:$H$303, 6, FALSE)</f>
        <v>TE1 - 1 - Elite</v>
      </c>
      <c r="K29" s="11">
        <f>VLOOKUP($G29, SeanRanks26!$A$2:$H$303, 7, FALSE)</f>
        <v>2</v>
      </c>
      <c r="L29" s="11">
        <f t="shared" si="5"/>
        <v>3</v>
      </c>
      <c r="M29" s="11">
        <f>VLOOKUP($G29, '26 ADP Data'!$C$4:$Q$298, 10, FALSE)</f>
        <v>30</v>
      </c>
      <c r="N29" s="11">
        <f>VLOOKUP($G29, '26 ADP Data'!$C$4:$Q$298, 13, FALSE)</f>
        <v>28</v>
      </c>
      <c r="O29" s="11">
        <f t="shared" si="6"/>
        <v>2</v>
      </c>
      <c r="P29" s="11">
        <f>VLOOKUP($G29, '26 ADP Data'!$C$4:$Q$298, 3, FALSE)</f>
        <v>28</v>
      </c>
      <c r="Q29" s="11">
        <f>VLOOKUP($G29, '26 ADP Data'!$C$4:$Q$298, 4, FALSE)</f>
        <v>17</v>
      </c>
      <c r="R29" s="11">
        <f>VLOOKUP($G29, '26 ADP Data'!$C$4:$Q$298, 6, FALSE)</f>
        <v>17</v>
      </c>
      <c r="S29" s="11">
        <f>VLOOKUP($G29, '26 ADP Data'!$C$4:$Q$298, 9, FALSE)</f>
        <v>22</v>
      </c>
      <c r="T29" s="11" t="str">
        <f>VLOOKUP($G29, '26 ADP Data'!$C$4:$Q$298, 8, FALSE)</f>
        <v>-</v>
      </c>
      <c r="U29" s="11">
        <f t="shared" si="7"/>
        <v>23</v>
      </c>
      <c r="V29" s="11">
        <f t="shared" si="8"/>
        <v>2</v>
      </c>
      <c r="W29" s="11"/>
      <c r="X29" s="11">
        <f>VLOOKUP($G29, SeanRanks26!$A$2:$K$303, 10, FALSE)-U29</f>
        <v>7</v>
      </c>
      <c r="Y29" s="29" t="str">
        <f>IF(VLOOKUP($G29, SeanRanks26!$A$2:$H$303, 8, FALSE)=0, "", VLOOKUP($G29, SeanRanks26!$A$2:$H$303, 8, FALSE))</f>
        <v/>
      </c>
    </row>
    <row r="30" ht="14.25" customHeight="1">
      <c r="A30" s="11"/>
      <c r="B30" s="11">
        <f t="shared" si="4"/>
        <v>3</v>
      </c>
      <c r="C30" s="11" t="s">
        <v>106</v>
      </c>
      <c r="D30" s="11"/>
      <c r="E30" s="27"/>
      <c r="F30" s="11" t="str">
        <f>VLOOKUP($G30, SeanRanks26!$A$2:$H$303, 5, FALSE)</f>
        <v/>
      </c>
      <c r="G30" s="16" t="s">
        <v>121</v>
      </c>
      <c r="H30" s="11" t="str">
        <f>VLOOKUP($G30, '26 ADP Data'!$C$4:$Q$298, 2, FALSE)</f>
        <v>DAL</v>
      </c>
      <c r="I30" s="11" t="str">
        <f>VLOOKUP(G30, '26 ADP Data'!$C$4:$R$496, 16, FALSE)</f>
        <v>WR</v>
      </c>
      <c r="J30" s="11" t="str">
        <f>VLOOKUP($G30, SeanRanks26!$A$2:$H$303, 6, FALSE)</f>
        <v>WR1 - 2 - Volotile</v>
      </c>
      <c r="K30" s="11">
        <f>VLOOKUP($G30, SeanRanks26!$A$2:$H$303, 7, FALSE)</f>
        <v>13</v>
      </c>
      <c r="L30" s="11">
        <f t="shared" si="5"/>
        <v>2</v>
      </c>
      <c r="M30" s="11">
        <f>VLOOKUP($G30, '26 ADP Data'!$C$4:$Q$298, 10, FALSE)</f>
        <v>21</v>
      </c>
      <c r="N30" s="11">
        <f>VLOOKUP($G30, '26 ADP Data'!$C$4:$Q$298, 13, FALSE)</f>
        <v>24</v>
      </c>
      <c r="O30" s="11">
        <f t="shared" si="6"/>
        <v>-3</v>
      </c>
      <c r="P30" s="11">
        <f>VLOOKUP($G30, '26 ADP Data'!$C$4:$Q$298, 3, FALSE)</f>
        <v>22</v>
      </c>
      <c r="Q30" s="11">
        <f>VLOOKUP($G30, '26 ADP Data'!$C$4:$Q$298, 4, FALSE)</f>
        <v>27</v>
      </c>
      <c r="R30" s="11">
        <f>VLOOKUP($G30, '26 ADP Data'!$C$4:$Q$298, 6, FALSE)</f>
        <v>26</v>
      </c>
      <c r="S30" s="11">
        <f>VLOOKUP($G30, '26 ADP Data'!$C$4:$Q$298, 9, FALSE)</f>
        <v>26</v>
      </c>
      <c r="T30" s="11" t="str">
        <f>VLOOKUP($G30, '26 ADP Data'!$C$4:$Q$298, 8, FALSE)</f>
        <v>-</v>
      </c>
      <c r="U30" s="11">
        <f t="shared" si="7"/>
        <v>24</v>
      </c>
      <c r="V30" s="11">
        <f t="shared" si="8"/>
        <v>3</v>
      </c>
      <c r="W30" s="11">
        <f>D30-V30</f>
        <v>-3</v>
      </c>
      <c r="X30" s="11">
        <f>VLOOKUP($G30, SeanRanks26!$A$2:$K$303, 10, FALSE)-U30</f>
        <v>-3</v>
      </c>
      <c r="Y30" s="29" t="str">
        <f>IF(VLOOKUP($G30, SeanRanks26!$A$2:$H$303, 8, FALSE)=0, "", VLOOKUP($G30, SeanRanks26!$A$2:$H$303, 8, FALSE))</f>
        <v/>
      </c>
    </row>
    <row r="31" ht="14.25" customHeight="1">
      <c r="A31" s="11"/>
      <c r="B31" s="11">
        <f t="shared" si="4"/>
        <v>2</v>
      </c>
      <c r="C31" s="11" t="s">
        <v>106</v>
      </c>
      <c r="D31" s="11"/>
      <c r="E31" s="27"/>
      <c r="F31" s="11" t="str">
        <f>VLOOKUP($G31, SeanRanks26!$A$2:$H$303, 5, FALSE)</f>
        <v>Yes</v>
      </c>
      <c r="G31" s="16" t="s">
        <v>136</v>
      </c>
      <c r="H31" s="11" t="str">
        <f>VLOOKUP($G31, '26 ADP Data'!$C$4:$Q$298, 2, FALSE)</f>
        <v>BUF</v>
      </c>
      <c r="I31" s="11" t="str">
        <f>VLOOKUP(G31, '26 ADP Data'!$C$4:$R$496, 16, FALSE)</f>
        <v>QB</v>
      </c>
      <c r="J31" s="11" t="str">
        <f>VLOOKUP($G31, SeanRanks26!$A$2:$H$303, 6, FALSE)</f>
        <v>QB1 - 1 - Elite</v>
      </c>
      <c r="K31" s="11">
        <f>VLOOKUP($G31, SeanRanks26!$A$2:$H$303, 7, FALSE)</f>
        <v>1</v>
      </c>
      <c r="L31" s="11">
        <f t="shared" si="5"/>
        <v>3</v>
      </c>
      <c r="M31" s="11">
        <f>VLOOKUP($G31, '26 ADP Data'!$C$4:$Q$298, 10, FALSE)</f>
        <v>28</v>
      </c>
      <c r="N31" s="11">
        <f>VLOOKUP($G31, '26 ADP Data'!$C$4:$Q$298, 13, FALSE)</f>
        <v>37</v>
      </c>
      <c r="O31" s="11">
        <f t="shared" si="6"/>
        <v>-9</v>
      </c>
      <c r="P31" s="11">
        <f>VLOOKUP($G31, '26 ADP Data'!$C$4:$Q$298, 3, FALSE)</f>
        <v>18</v>
      </c>
      <c r="Q31" s="11">
        <f>VLOOKUP($G31, '26 ADP Data'!$C$4:$Q$298, 4, FALSE)</f>
        <v>19</v>
      </c>
      <c r="R31" s="11">
        <f>VLOOKUP($G31, '26 ADP Data'!$C$4:$Q$298, 6, FALSE)</f>
        <v>32</v>
      </c>
      <c r="S31" s="11">
        <f>VLOOKUP($G31, '26 ADP Data'!$C$4:$Q$298, 9, FALSE)</f>
        <v>23</v>
      </c>
      <c r="T31" s="11" t="str">
        <f>VLOOKUP($G31, '26 ADP Data'!$C$4:$Q$298, 8, FALSE)</f>
        <v>-</v>
      </c>
      <c r="U31" s="11">
        <f t="shared" si="7"/>
        <v>26</v>
      </c>
      <c r="V31" s="11">
        <f t="shared" si="8"/>
        <v>3</v>
      </c>
      <c r="W31" s="11"/>
      <c r="X31" s="11">
        <f>VLOOKUP($G31, SeanRanks26!$A$2:$K$303, 10, FALSE)-U31</f>
        <v>2</v>
      </c>
      <c r="Y31" s="29" t="str">
        <f>IF(VLOOKUP($G31, SeanRanks26!$A$2:$H$303, 8, FALSE)=0, "", VLOOKUP($G31, SeanRanks26!$A$2:$H$303, 8, FALSE))</f>
        <v/>
      </c>
    </row>
    <row r="32" ht="14.25" customHeight="1">
      <c r="A32" s="11"/>
      <c r="B32" s="11">
        <f t="shared" si="4"/>
        <v>3</v>
      </c>
      <c r="C32" s="11" t="s">
        <v>106</v>
      </c>
      <c r="D32" s="11"/>
      <c r="E32" s="27"/>
      <c r="F32" s="11" t="str">
        <f>VLOOKUP($G32, SeanRanks26!$A$2:$H$303, 5, FALSE)</f>
        <v/>
      </c>
      <c r="G32" s="16" t="s">
        <v>134</v>
      </c>
      <c r="H32" s="11" t="str">
        <f>VLOOKUP($G32, '26 ADP Data'!$C$4:$Q$298, 2, FALSE)</f>
        <v>KC</v>
      </c>
      <c r="I32" s="11" t="str">
        <f>VLOOKUP(G32, '26 ADP Data'!$C$4:$R$496, 16, FALSE)</f>
        <v>WR</v>
      </c>
      <c r="J32" s="11" t="str">
        <f>VLOOKUP($G32, SeanRanks26!$A$2:$H$303, 6, FALSE)</f>
        <v>WR1 - 2 - Volotile</v>
      </c>
      <c r="K32" s="11">
        <f>VLOOKUP($G32, SeanRanks26!$A$2:$H$303, 7, FALSE)</f>
        <v>11</v>
      </c>
      <c r="L32" s="11">
        <f t="shared" si="5"/>
        <v>4</v>
      </c>
      <c r="M32" s="11">
        <f>VLOOKUP($G32, '26 ADP Data'!$C$4:$Q$298, 10, FALSE)</f>
        <v>36</v>
      </c>
      <c r="N32" s="11">
        <f>VLOOKUP($G32, '26 ADP Data'!$C$4:$Q$298, 13, FALSE)</f>
        <v>26</v>
      </c>
      <c r="O32" s="11">
        <f t="shared" si="6"/>
        <v>10</v>
      </c>
      <c r="P32" s="11">
        <f>VLOOKUP($G32, '26 ADP Data'!$C$4:$Q$298, 3, FALSE)</f>
        <v>23</v>
      </c>
      <c r="Q32" s="11">
        <f>VLOOKUP($G32, '26 ADP Data'!$C$4:$Q$298, 4, FALSE)</f>
        <v>20</v>
      </c>
      <c r="R32" s="11">
        <f>VLOOKUP($G32, '26 ADP Data'!$C$4:$Q$298, 6, FALSE)</f>
        <v>28</v>
      </c>
      <c r="S32" s="11">
        <f>VLOOKUP($G32, '26 ADP Data'!$C$4:$Q$298, 9, FALSE)</f>
        <v>28</v>
      </c>
      <c r="T32" s="11" t="str">
        <f>VLOOKUP($G32, '26 ADP Data'!$C$4:$Q$298, 8, FALSE)</f>
        <v>-</v>
      </c>
      <c r="U32" s="11">
        <f t="shared" si="7"/>
        <v>26</v>
      </c>
      <c r="V32" s="11">
        <f t="shared" si="8"/>
        <v>3</v>
      </c>
      <c r="W32" s="11"/>
      <c r="X32" s="11">
        <f>VLOOKUP($G32, SeanRanks26!$A$2:$K$303, 10, FALSE)-U32</f>
        <v>10</v>
      </c>
      <c r="Y32" s="29" t="str">
        <f>IF(VLOOKUP($G32, SeanRanks26!$A$2:$H$303, 8, FALSE)=0, "", VLOOKUP($G32, SeanRanks26!$A$2:$H$303, 8, FALSE))</f>
        <v/>
      </c>
    </row>
    <row r="33" ht="14.25" customHeight="1">
      <c r="A33" s="11"/>
      <c r="B33" s="11">
        <f t="shared" si="4"/>
        <v>3</v>
      </c>
      <c r="C33" s="11" t="s">
        <v>106</v>
      </c>
      <c r="D33" s="11"/>
      <c r="E33" s="27"/>
      <c r="F33" s="11" t="str">
        <f>VLOOKUP($G33, SeanRanks26!$A$2:$H$303, 5, FALSE)</f>
        <v/>
      </c>
      <c r="G33" s="16" t="s">
        <v>130</v>
      </c>
      <c r="H33" s="11" t="str">
        <f>VLOOKUP($G33, '26 ADP Data'!$C$4:$Q$298, 2, FALSE)</f>
        <v>NO</v>
      </c>
      <c r="I33" s="11" t="str">
        <f>VLOOKUP(G33, '26 ADP Data'!$C$4:$R$496, 16, FALSE)</f>
        <v>WR</v>
      </c>
      <c r="J33" s="11" t="str">
        <f>VLOOKUP($G33, SeanRanks26!$A$2:$H$303, 6, FALSE)</f>
        <v>WR1 - 2 - Volotile</v>
      </c>
      <c r="K33" s="11">
        <f>VLOOKUP($G33, SeanRanks26!$A$2:$H$303, 7, FALSE)</f>
        <v>12</v>
      </c>
      <c r="L33" s="11">
        <f t="shared" si="5"/>
        <v>3</v>
      </c>
      <c r="M33" s="11">
        <f>VLOOKUP($G33, '26 ADP Data'!$C$4:$Q$298, 10, FALSE)</f>
        <v>24</v>
      </c>
      <c r="N33" s="11">
        <f>VLOOKUP($G33, '26 ADP Data'!$C$4:$Q$298, 13, FALSE)</f>
        <v>25</v>
      </c>
      <c r="O33" s="11">
        <f t="shared" si="6"/>
        <v>-1</v>
      </c>
      <c r="P33" s="11">
        <f>VLOOKUP($G33, '26 ADP Data'!$C$4:$Q$298, 3, FALSE)</f>
        <v>29</v>
      </c>
      <c r="Q33" s="11">
        <f>VLOOKUP($G33, '26 ADP Data'!$C$4:$Q$298, 4, FALSE)</f>
        <v>28</v>
      </c>
      <c r="R33" s="11">
        <f>VLOOKUP($G33, '26 ADP Data'!$C$4:$Q$298, 6, FALSE)</f>
        <v>27</v>
      </c>
      <c r="S33" s="11">
        <f>VLOOKUP($G33, '26 ADP Data'!$C$4:$Q$298, 9, FALSE)</f>
        <v>32</v>
      </c>
      <c r="T33" s="11" t="str">
        <f>VLOOKUP($G33, '26 ADP Data'!$C$4:$Q$298, 8, FALSE)</f>
        <v>-</v>
      </c>
      <c r="U33" s="11">
        <f t="shared" si="7"/>
        <v>27</v>
      </c>
      <c r="V33" s="11">
        <f t="shared" si="8"/>
        <v>3</v>
      </c>
      <c r="W33" s="11"/>
      <c r="X33" s="11">
        <f>VLOOKUP($G33, SeanRanks26!$A$2:$K$303, 10, FALSE)-U33</f>
        <v>-3</v>
      </c>
      <c r="Y33" s="29" t="str">
        <f>IF(VLOOKUP($G33, SeanRanks26!$A$2:$H$303, 8, FALSE)=0, "", VLOOKUP($G33, SeanRanks26!$A$2:$H$303, 8, FALSE))</f>
        <v/>
      </c>
    </row>
    <row r="34" ht="14.25" customHeight="1">
      <c r="A34" s="11"/>
      <c r="B34" s="11">
        <f t="shared" si="4"/>
        <v>3</v>
      </c>
      <c r="C34" s="11" t="s">
        <v>106</v>
      </c>
      <c r="D34" s="11"/>
      <c r="E34" s="27"/>
      <c r="F34" s="11" t="str">
        <f>VLOOKUP($G34, SeanRanks26!$A$2:$H$303, 5, FALSE)</f>
        <v/>
      </c>
      <c r="G34" s="16" t="s">
        <v>127</v>
      </c>
      <c r="H34" s="11" t="str">
        <f>VLOOKUP($G34, '26 ADP Data'!$C$4:$Q$298, 2, FALSE)</f>
        <v>NYG</v>
      </c>
      <c r="I34" s="11" t="str">
        <f>VLOOKUP(G34, '26 ADP Data'!$C$4:$R$496, 16, FALSE)</f>
        <v>WR</v>
      </c>
      <c r="J34" s="11" t="str">
        <f>VLOOKUP($G34, SeanRanks26!$A$2:$H$303, 6, FALSE)</f>
        <v>WR2 - 1 - High Ceiling</v>
      </c>
      <c r="K34" s="11">
        <f>VLOOKUP($G34, SeanRanks26!$A$2:$H$303, 7, FALSE)</f>
        <v>15</v>
      </c>
      <c r="L34" s="11">
        <f t="shared" si="5"/>
        <v>3</v>
      </c>
      <c r="M34" s="11">
        <f>VLOOKUP($G34, '26 ADP Data'!$C$4:$Q$298, 10, FALSE)</f>
        <v>25</v>
      </c>
      <c r="N34" s="11">
        <f>VLOOKUP($G34, '26 ADP Data'!$C$4:$Q$298, 13, FALSE)</f>
        <v>23</v>
      </c>
      <c r="O34" s="11">
        <f t="shared" si="6"/>
        <v>2</v>
      </c>
      <c r="P34" s="11">
        <f>VLOOKUP($G34, '26 ADP Data'!$C$4:$Q$298, 3, FALSE)</f>
        <v>30</v>
      </c>
      <c r="Q34" s="11">
        <f>VLOOKUP($G34, '26 ADP Data'!$C$4:$Q$298, 4, FALSE)</f>
        <v>30</v>
      </c>
      <c r="R34" s="11">
        <f>VLOOKUP($G34, '26 ADP Data'!$C$4:$Q$298, 6, FALSE)</f>
        <v>25</v>
      </c>
      <c r="S34" s="11">
        <f>VLOOKUP($G34, '26 ADP Data'!$C$4:$Q$298, 9, FALSE)</f>
        <v>31</v>
      </c>
      <c r="T34" s="11" t="str">
        <f>VLOOKUP($G34, '26 ADP Data'!$C$4:$Q$298, 8, FALSE)</f>
        <v>-</v>
      </c>
      <c r="U34" s="11">
        <f t="shared" si="7"/>
        <v>27</v>
      </c>
      <c r="V34" s="11">
        <f t="shared" si="8"/>
        <v>3</v>
      </c>
      <c r="W34" s="11"/>
      <c r="X34" s="11">
        <f>VLOOKUP($G34, SeanRanks26!$A$2:$K$303, 10, FALSE)-U34</f>
        <v>-2</v>
      </c>
      <c r="Y34" s="29" t="str">
        <f>IF(VLOOKUP($G34, SeanRanks26!$A$2:$H$303, 8, FALSE)=0, "", VLOOKUP($G34, SeanRanks26!$A$2:$H$303, 8, FALSE))</f>
        <v/>
      </c>
    </row>
    <row r="35" ht="14.25" customHeight="1">
      <c r="A35" s="11"/>
      <c r="B35" s="11">
        <f t="shared" si="4"/>
        <v>3</v>
      </c>
      <c r="C35" s="16" t="s">
        <v>95</v>
      </c>
      <c r="D35" s="16">
        <v>2.0</v>
      </c>
      <c r="E35" s="27"/>
      <c r="F35" s="11" t="str">
        <f>VLOOKUP($G35, SeanRanks26!$A$2:$H$303, 5, FALSE)</f>
        <v/>
      </c>
      <c r="G35" s="16" t="s">
        <v>140</v>
      </c>
      <c r="H35" s="11" t="str">
        <f>VLOOKUP($G35, '26 ADP Data'!$C$4:$Q$298, 2, FALSE)</f>
        <v>ARI</v>
      </c>
      <c r="I35" s="11" t="str">
        <f>VLOOKUP(G35, '26 ADP Data'!$C$4:$R$496, 16, FALSE)</f>
        <v>RB</v>
      </c>
      <c r="J35" s="11" t="str">
        <f>VLOOKUP($G35, SeanRanks26!$A$2:$H$303, 6, FALSE)</f>
        <v>RB1 - 4 - More Qs</v>
      </c>
      <c r="K35" s="11">
        <f>VLOOKUP($G35, SeanRanks26!$A$2:$H$303, 7, FALSE)</f>
        <v>17</v>
      </c>
      <c r="L35" s="11">
        <f t="shared" si="5"/>
        <v>3</v>
      </c>
      <c r="M35" s="11">
        <f>VLOOKUP($G35, '26 ADP Data'!$C$4:$Q$298, 10, FALSE)</f>
        <v>34</v>
      </c>
      <c r="N35" s="11">
        <f>VLOOKUP($G35, '26 ADP Data'!$C$4:$Q$298, 13, FALSE)</f>
        <v>29</v>
      </c>
      <c r="O35" s="11">
        <f t="shared" si="6"/>
        <v>5</v>
      </c>
      <c r="P35" s="11">
        <f>VLOOKUP($G35, '26 ADP Data'!$C$4:$Q$298, 3, FALSE)</f>
        <v>31</v>
      </c>
      <c r="Q35" s="11">
        <f>VLOOKUP($G35, '26 ADP Data'!$C$4:$Q$298, 4, FALSE)</f>
        <v>22</v>
      </c>
      <c r="R35" s="11">
        <f>VLOOKUP($G35, '26 ADP Data'!$C$4:$Q$298, 6, FALSE)</f>
        <v>29</v>
      </c>
      <c r="S35" s="11">
        <f>VLOOKUP($G35, '26 ADP Data'!$C$4:$Q$298, 9, FALSE)</f>
        <v>25</v>
      </c>
      <c r="T35" s="11" t="str">
        <f>VLOOKUP($G35, '26 ADP Data'!$C$4:$Q$298, 8, FALSE)</f>
        <v>-</v>
      </c>
      <c r="U35" s="11">
        <f t="shared" si="7"/>
        <v>28</v>
      </c>
      <c r="V35" s="11">
        <f t="shared" si="8"/>
        <v>3</v>
      </c>
      <c r="W35" s="11"/>
      <c r="X35" s="11">
        <f>VLOOKUP($G35, SeanRanks26!$A$2:$K$303, 10, FALSE)-U35</f>
        <v>6</v>
      </c>
      <c r="Y35" s="29" t="s">
        <v>265</v>
      </c>
    </row>
    <row r="36" ht="14.25" customHeight="1">
      <c r="A36" s="11"/>
      <c r="B36" s="11">
        <f t="shared" si="4"/>
        <v>3</v>
      </c>
      <c r="C36" s="11" t="s">
        <v>106</v>
      </c>
      <c r="D36" s="11"/>
      <c r="E36" s="27"/>
      <c r="F36" s="11" t="str">
        <f>VLOOKUP($G36, SeanRanks26!$A$2:$H$303, 5, FALSE)</f>
        <v/>
      </c>
      <c r="G36" s="16" t="s">
        <v>138</v>
      </c>
      <c r="H36" s="11" t="str">
        <f>VLOOKUP($G36, '26 ADP Data'!$C$4:$Q$298, 2, FALSE)</f>
        <v>LAR</v>
      </c>
      <c r="I36" s="11" t="str">
        <f>VLOOKUP(G36, '26 ADP Data'!$C$4:$R$496, 16, FALSE)</f>
        <v>RB</v>
      </c>
      <c r="J36" s="11" t="str">
        <f>VLOOKUP($G36, SeanRanks26!$A$2:$H$303, 6, FALSE)</f>
        <v>RB1 - 4 - More Qs</v>
      </c>
      <c r="K36" s="11">
        <f>VLOOKUP($G36, SeanRanks26!$A$2:$H$303, 7, FALSE)</f>
        <v>16</v>
      </c>
      <c r="L36" s="11">
        <f t="shared" si="5"/>
        <v>3</v>
      </c>
      <c r="M36" s="11">
        <f>VLOOKUP($G36, '26 ADP Data'!$C$4:$Q$298, 10, FALSE)</f>
        <v>27</v>
      </c>
      <c r="N36" s="11">
        <f>VLOOKUP($G36, '26 ADP Data'!$C$4:$Q$298, 13, FALSE)</f>
        <v>30</v>
      </c>
      <c r="O36" s="11">
        <f t="shared" si="6"/>
        <v>-3</v>
      </c>
      <c r="P36" s="11">
        <f>VLOOKUP($G36, '26 ADP Data'!$C$4:$Q$298, 3, FALSE)</f>
        <v>24</v>
      </c>
      <c r="Q36" s="11">
        <f>VLOOKUP($G36, '26 ADP Data'!$C$4:$Q$298, 4, FALSE)</f>
        <v>37</v>
      </c>
      <c r="R36" s="11">
        <f>VLOOKUP($G36, '26 ADP Data'!$C$4:$Q$298, 6, FALSE)</f>
        <v>30</v>
      </c>
      <c r="S36" s="11">
        <f>VLOOKUP($G36, '26 ADP Data'!$C$4:$Q$298, 9, FALSE)</f>
        <v>27</v>
      </c>
      <c r="T36" s="11" t="str">
        <f>VLOOKUP($G36, '26 ADP Data'!$C$4:$Q$298, 8, FALSE)</f>
        <v>-</v>
      </c>
      <c r="U36" s="11">
        <f t="shared" si="7"/>
        <v>29</v>
      </c>
      <c r="V36" s="11">
        <f t="shared" si="8"/>
        <v>3</v>
      </c>
      <c r="W36" s="11"/>
      <c r="X36" s="11">
        <f>VLOOKUP($G36, SeanRanks26!$A$2:$K$303, 10, FALSE)-U36</f>
        <v>-2</v>
      </c>
      <c r="Y36" s="29" t="str">
        <f>IF(VLOOKUP($G36, SeanRanks26!$A$2:$H$303, 8, FALSE)=0, "", VLOOKUP($G36, SeanRanks26!$A$2:$H$303, 8, FALSE))</f>
        <v/>
      </c>
    </row>
    <row r="37" ht="14.25" customHeight="1">
      <c r="A37" s="11"/>
      <c r="B37" s="11">
        <f t="shared" si="4"/>
        <v>3</v>
      </c>
      <c r="C37" s="11" t="s">
        <v>106</v>
      </c>
      <c r="D37" s="11"/>
      <c r="E37" s="27"/>
      <c r="F37" s="11" t="str">
        <f>VLOOKUP($G37, SeanRanks26!$A$2:$H$303, 5, FALSE)</f>
        <v/>
      </c>
      <c r="G37" s="16" t="s">
        <v>147</v>
      </c>
      <c r="H37" s="11" t="str">
        <f>VLOOKUP($G37, '26 ADP Data'!$C$4:$Q$298, 2, FALSE)</f>
        <v>NYJ</v>
      </c>
      <c r="I37" s="11" t="str">
        <f>VLOOKUP(G37, '26 ADP Data'!$C$4:$R$496, 16, FALSE)</f>
        <v>RB</v>
      </c>
      <c r="J37" s="11" t="str">
        <f>VLOOKUP($G37, SeanRanks26!$A$2:$H$303, 6, FALSE)</f>
        <v>RB1 - 3 - Weekly RB1</v>
      </c>
      <c r="K37" s="11">
        <f>VLOOKUP($G37, SeanRanks26!$A$2:$H$303, 7, FALSE)</f>
        <v>13</v>
      </c>
      <c r="L37" s="11">
        <f t="shared" si="5"/>
        <v>3</v>
      </c>
      <c r="M37" s="11">
        <f>VLOOKUP($G37, '26 ADP Data'!$C$4:$Q$298, 10, FALSE)</f>
        <v>31</v>
      </c>
      <c r="N37" s="11">
        <f>VLOOKUP($G37, '26 ADP Data'!$C$4:$Q$298, 13, FALSE)</f>
        <v>32</v>
      </c>
      <c r="O37" s="11">
        <f t="shared" si="6"/>
        <v>-1</v>
      </c>
      <c r="P37" s="11">
        <f>VLOOKUP($G37, '26 ADP Data'!$C$4:$Q$298, 3, FALSE)</f>
        <v>38</v>
      </c>
      <c r="Q37" s="11">
        <f>VLOOKUP($G37, '26 ADP Data'!$C$4:$Q$298, 4, FALSE)</f>
        <v>29</v>
      </c>
      <c r="R37" s="11">
        <f>VLOOKUP($G37, '26 ADP Data'!$C$4:$Q$298, 6, FALSE)</f>
        <v>31</v>
      </c>
      <c r="S37" s="11">
        <f>VLOOKUP($G37, '26 ADP Data'!$C$4:$Q$298, 9, FALSE)</f>
        <v>30</v>
      </c>
      <c r="T37" s="11" t="str">
        <f>VLOOKUP($G37, '26 ADP Data'!$C$4:$Q$298, 8, FALSE)</f>
        <v>-</v>
      </c>
      <c r="U37" s="11">
        <f t="shared" si="7"/>
        <v>31</v>
      </c>
      <c r="V37" s="11">
        <f t="shared" si="8"/>
        <v>3</v>
      </c>
      <c r="W37" s="11"/>
      <c r="X37" s="11">
        <f>VLOOKUP($G37, SeanRanks26!$A$2:$K$303, 10, FALSE)-U37</f>
        <v>0</v>
      </c>
      <c r="Y37" s="29" t="str">
        <f>IF(VLOOKUP($G37, SeanRanks26!$A$2:$H$303, 8, FALSE)=0, "", VLOOKUP($G37, SeanRanks26!$A$2:$H$303, 8, FALSE))</f>
        <v/>
      </c>
    </row>
    <row r="38" ht="14.25" customHeight="1">
      <c r="A38" s="11"/>
      <c r="B38" s="11">
        <f t="shared" si="4"/>
        <v>3</v>
      </c>
      <c r="C38" s="11" t="s">
        <v>106</v>
      </c>
      <c r="D38" s="16">
        <v>2.0</v>
      </c>
      <c r="E38" s="27"/>
      <c r="F38" s="11" t="str">
        <f>VLOOKUP($G38, SeanRanks26!$A$2:$H$303, 5, FALSE)</f>
        <v>Yes</v>
      </c>
      <c r="G38" s="16" t="s">
        <v>142</v>
      </c>
      <c r="H38" s="11" t="str">
        <f>VLOOKUP($G38, '26 ADP Data'!$C$4:$Q$298, 2, FALSE)</f>
        <v>PHI</v>
      </c>
      <c r="I38" s="11" t="str">
        <f>VLOOKUP(G38, '26 ADP Data'!$C$4:$R$496, 16, FALSE)</f>
        <v>WR</v>
      </c>
      <c r="J38" s="11" t="str">
        <f>VLOOKUP($G38, SeanRanks26!$A$2:$H$303, 6, FALSE)</f>
        <v>WR1 - 2 - Volotile</v>
      </c>
      <c r="K38" s="11">
        <f>VLOOKUP($G38, SeanRanks26!$A$2:$H$303, 7, FALSE)</f>
        <v>9</v>
      </c>
      <c r="L38" s="11">
        <f t="shared" si="5"/>
        <v>3</v>
      </c>
      <c r="M38" s="11">
        <f>VLOOKUP($G38, '26 ADP Data'!$C$4:$Q$298, 10, FALSE)</f>
        <v>26</v>
      </c>
      <c r="N38" s="11">
        <f>VLOOKUP($G38, '26 ADP Data'!$C$4:$Q$298, 13, FALSE)</f>
        <v>27</v>
      </c>
      <c r="O38" s="11">
        <f t="shared" si="6"/>
        <v>-1</v>
      </c>
      <c r="P38" s="11">
        <f>VLOOKUP($G38, '26 ADP Data'!$C$4:$Q$298, 3, FALSE)</f>
        <v>36</v>
      </c>
      <c r="Q38" s="11">
        <f>VLOOKUP($G38, '26 ADP Data'!$C$4:$Q$298, 4, FALSE)</f>
        <v>35</v>
      </c>
      <c r="R38" s="11">
        <f>VLOOKUP($G38, '26 ADP Data'!$C$4:$Q$298, 6, FALSE)</f>
        <v>33</v>
      </c>
      <c r="S38" s="11">
        <f>VLOOKUP($G38, '26 ADP Data'!$C$4:$Q$298, 9, FALSE)</f>
        <v>35</v>
      </c>
      <c r="T38" s="11" t="str">
        <f>VLOOKUP($G38, '26 ADP Data'!$C$4:$Q$298, 8, FALSE)</f>
        <v>-</v>
      </c>
      <c r="U38" s="11">
        <f t="shared" si="7"/>
        <v>32</v>
      </c>
      <c r="V38" s="11">
        <f t="shared" si="8"/>
        <v>3</v>
      </c>
      <c r="W38" s="11"/>
      <c r="X38" s="11">
        <f>VLOOKUP($G38, SeanRanks26!$A$2:$K$303, 10, FALSE)-U38</f>
        <v>-6</v>
      </c>
      <c r="Y38" s="29" t="str">
        <f>IF(VLOOKUP($G38, SeanRanks26!$A$2:$H$303, 8, FALSE)=0, "", VLOOKUP($G38, SeanRanks26!$A$2:$H$303, 8, FALSE))</f>
        <v/>
      </c>
    </row>
    <row r="39" ht="14.25" customHeight="1">
      <c r="A39" s="11"/>
      <c r="B39" s="11">
        <f t="shared" si="4"/>
        <v>3</v>
      </c>
      <c r="C39" s="11" t="s">
        <v>106</v>
      </c>
      <c r="D39" s="11"/>
      <c r="E39" s="27"/>
      <c r="F39" s="11" t="str">
        <f>VLOOKUP($G39, SeanRanks26!$A$2:$H$303, 5, FALSE)</f>
        <v/>
      </c>
      <c r="G39" s="16" t="s">
        <v>144</v>
      </c>
      <c r="H39" s="11" t="str">
        <f>VLOOKUP($G39, '26 ADP Data'!$C$4:$Q$298, 2, FALSE)</f>
        <v>DAL</v>
      </c>
      <c r="I39" s="11" t="str">
        <f>VLOOKUP(G39, '26 ADP Data'!$C$4:$R$496, 16, FALSE)</f>
        <v>RB</v>
      </c>
      <c r="J39" s="11" t="str">
        <f>VLOOKUP($G39, SeanRanks26!$A$2:$H$303, 6, FALSE)</f>
        <v>RB1 - 3 - Weekly RB1</v>
      </c>
      <c r="K39" s="11">
        <f>VLOOKUP($G39, SeanRanks26!$A$2:$H$303, 7, FALSE)</f>
        <v>12</v>
      </c>
      <c r="L39" s="11">
        <f t="shared" si="5"/>
        <v>3</v>
      </c>
      <c r="M39" s="11">
        <f>VLOOKUP($G39, '26 ADP Data'!$C$4:$Q$298, 10, FALSE)</f>
        <v>35</v>
      </c>
      <c r="N39" s="11">
        <f>VLOOKUP($G39, '26 ADP Data'!$C$4:$Q$298, 13, FALSE)</f>
        <v>33</v>
      </c>
      <c r="O39" s="11">
        <f t="shared" si="6"/>
        <v>2</v>
      </c>
      <c r="P39" s="11">
        <f>VLOOKUP($G39, '26 ADP Data'!$C$4:$Q$298, 3, FALSE)</f>
        <v>32</v>
      </c>
      <c r="Q39" s="11">
        <f>VLOOKUP($G39, '26 ADP Data'!$C$4:$Q$298, 4, FALSE)</f>
        <v>31</v>
      </c>
      <c r="R39" s="11">
        <f>VLOOKUP($G39, '26 ADP Data'!$C$4:$Q$298, 6, FALSE)</f>
        <v>34</v>
      </c>
      <c r="S39" s="11">
        <f>VLOOKUP($G39, '26 ADP Data'!$C$4:$Q$298, 9, FALSE)</f>
        <v>33</v>
      </c>
      <c r="T39" s="11" t="str">
        <f>VLOOKUP($G39, '26 ADP Data'!$C$4:$Q$298, 8, FALSE)</f>
        <v>-</v>
      </c>
      <c r="U39" s="11">
        <f t="shared" si="7"/>
        <v>33</v>
      </c>
      <c r="V39" s="11">
        <f t="shared" si="8"/>
        <v>3</v>
      </c>
      <c r="W39" s="11"/>
      <c r="X39" s="11">
        <f>VLOOKUP($G39, SeanRanks26!$A$2:$K$303, 10, FALSE)-U39</f>
        <v>2</v>
      </c>
      <c r="Y39" s="29" t="str">
        <f>IF(VLOOKUP($G39, SeanRanks26!$A$2:$H$303, 8, FALSE)=0, "", VLOOKUP($G39, SeanRanks26!$A$2:$H$303, 8, FALSE))</f>
        <v/>
      </c>
    </row>
    <row r="40" ht="14.25" customHeight="1">
      <c r="A40" s="11"/>
      <c r="B40" s="11">
        <f t="shared" si="4"/>
        <v>4</v>
      </c>
      <c r="C40" s="11" t="s">
        <v>106</v>
      </c>
      <c r="D40" s="16">
        <v>2.0</v>
      </c>
      <c r="E40" s="27"/>
      <c r="F40" s="11" t="str">
        <f>VLOOKUP($G40, SeanRanks26!$A$2:$H$303, 5, FALSE)</f>
        <v/>
      </c>
      <c r="G40" s="16" t="s">
        <v>150</v>
      </c>
      <c r="H40" s="11" t="str">
        <f>VLOOKUP($G40, '26 ADP Data'!$C$4:$Q$298, 2, FALSE)</f>
        <v>BAL</v>
      </c>
      <c r="I40" s="11" t="str">
        <f>VLOOKUP(G40, '26 ADP Data'!$C$4:$R$496, 16, FALSE)</f>
        <v>WR</v>
      </c>
      <c r="J40" s="11" t="str">
        <f>VLOOKUP($G40, SeanRanks26!$A$2:$H$303, 6, FALSE)</f>
        <v>WR2 - 1 - High Ceiling</v>
      </c>
      <c r="K40" s="11">
        <f>VLOOKUP($G40, SeanRanks26!$A$2:$H$303, 7, FALSE)</f>
        <v>18</v>
      </c>
      <c r="L40" s="11">
        <f t="shared" si="5"/>
        <v>3</v>
      </c>
      <c r="M40" s="11">
        <f>VLOOKUP($G40, '26 ADP Data'!$C$4:$Q$298, 10, FALSE)</f>
        <v>32</v>
      </c>
      <c r="N40" s="11">
        <f>VLOOKUP($G40, '26 ADP Data'!$C$4:$Q$298, 13, FALSE)</f>
        <v>31</v>
      </c>
      <c r="O40" s="11">
        <f t="shared" si="6"/>
        <v>1</v>
      </c>
      <c r="P40" s="11">
        <f>VLOOKUP($G40, '26 ADP Data'!$C$4:$Q$298, 3, FALSE)</f>
        <v>34</v>
      </c>
      <c r="Q40" s="11">
        <f>VLOOKUP($G40, '26 ADP Data'!$C$4:$Q$298, 4, FALSE)</f>
        <v>36</v>
      </c>
      <c r="R40" s="11">
        <f>VLOOKUP($G40, '26 ADP Data'!$C$4:$Q$298, 6, FALSE)</f>
        <v>36</v>
      </c>
      <c r="S40" s="11">
        <f>VLOOKUP($G40, '26 ADP Data'!$C$4:$Q$298, 9, FALSE)</f>
        <v>43</v>
      </c>
      <c r="T40" s="11" t="str">
        <f>VLOOKUP($G40, '26 ADP Data'!$C$4:$Q$298, 8, FALSE)</f>
        <v>-</v>
      </c>
      <c r="U40" s="11">
        <f t="shared" si="7"/>
        <v>35</v>
      </c>
      <c r="V40" s="11">
        <f t="shared" si="8"/>
        <v>3</v>
      </c>
      <c r="W40" s="11"/>
      <c r="X40" s="11">
        <f>VLOOKUP($G40, SeanRanks26!$A$2:$K$303, 10, FALSE)-U40</f>
        <v>-3</v>
      </c>
      <c r="Y40" s="29" t="str">
        <f>IF(VLOOKUP($G40, SeanRanks26!$A$2:$H$303, 8, FALSE)=0, "", VLOOKUP($G40, SeanRanks26!$A$2:$H$303, 8, FALSE))</f>
        <v/>
      </c>
    </row>
    <row r="41" ht="14.25" customHeight="1">
      <c r="A41" s="11"/>
      <c r="B41" s="11">
        <f t="shared" si="4"/>
        <v>3</v>
      </c>
      <c r="C41" s="11" t="s">
        <v>106</v>
      </c>
      <c r="D41" s="16">
        <v>2.0</v>
      </c>
      <c r="E41" s="27"/>
      <c r="F41" s="11" t="str">
        <f>VLOOKUP($G41, SeanRanks26!$A$2:$H$303, 5, FALSE)</f>
        <v>Yes</v>
      </c>
      <c r="G41" s="16" t="s">
        <v>153</v>
      </c>
      <c r="H41" s="11" t="str">
        <f>VLOOKUP($G41, '26 ADP Data'!$C$4:$Q$298, 2, FALSE)</f>
        <v>GB</v>
      </c>
      <c r="I41" s="11" t="str">
        <f>VLOOKUP(G41, '26 ADP Data'!$C$4:$R$496, 16, FALSE)</f>
        <v>RB</v>
      </c>
      <c r="J41" s="11" t="str">
        <f>VLOOKUP($G41, SeanRanks26!$A$2:$H$303, 6, FALSE)</f>
        <v>RB1 - 4 - More Qs</v>
      </c>
      <c r="K41" s="11">
        <f>VLOOKUP($G41, SeanRanks26!$A$2:$H$303, 7, FALSE)</f>
        <v>15</v>
      </c>
      <c r="L41" s="11">
        <f t="shared" si="5"/>
        <v>4</v>
      </c>
      <c r="M41" s="11">
        <f>VLOOKUP($G41, '26 ADP Data'!$C$4:$Q$298, 10, FALSE)</f>
        <v>43</v>
      </c>
      <c r="N41" s="11">
        <f>VLOOKUP($G41, '26 ADP Data'!$C$4:$Q$298, 13, FALSE)</f>
        <v>42</v>
      </c>
      <c r="O41" s="11">
        <f t="shared" si="6"/>
        <v>1</v>
      </c>
      <c r="P41" s="11">
        <f>VLOOKUP($G41, '26 ADP Data'!$C$4:$Q$298, 3, FALSE)</f>
        <v>26</v>
      </c>
      <c r="Q41" s="11">
        <f>VLOOKUP($G41, '26 ADP Data'!$C$4:$Q$298, 4, FALSE)</f>
        <v>33</v>
      </c>
      <c r="R41" s="11">
        <f>VLOOKUP($G41, '26 ADP Data'!$C$4:$Q$298, 6, FALSE)</f>
        <v>39</v>
      </c>
      <c r="S41" s="11">
        <f>VLOOKUP($G41, '26 ADP Data'!$C$4:$Q$298, 9, FALSE)</f>
        <v>29</v>
      </c>
      <c r="T41" s="11" t="str">
        <f>VLOOKUP($G41, '26 ADP Data'!$C$4:$Q$298, 8, FALSE)</f>
        <v>-</v>
      </c>
      <c r="U41" s="11">
        <f t="shared" si="7"/>
        <v>35</v>
      </c>
      <c r="V41" s="11">
        <f t="shared" si="8"/>
        <v>3</v>
      </c>
      <c r="W41" s="11"/>
      <c r="X41" s="11">
        <f>VLOOKUP($G41, SeanRanks26!$A$2:$K$303, 10, FALSE)-U41</f>
        <v>8</v>
      </c>
      <c r="Y41" s="29" t="str">
        <f>IF(VLOOKUP($G41, SeanRanks26!$A$2:$H$303, 8, FALSE)=0, "", VLOOKUP($G41, SeanRanks26!$A$2:$H$303, 8, FALSE))</f>
        <v/>
      </c>
    </row>
    <row r="42" ht="14.25" customHeight="1">
      <c r="A42" s="11"/>
      <c r="B42" s="11">
        <f t="shared" si="4"/>
        <v>4</v>
      </c>
      <c r="C42" s="11" t="s">
        <v>106</v>
      </c>
      <c r="D42" s="16">
        <v>2.0</v>
      </c>
      <c r="E42" s="27"/>
      <c r="F42" s="11" t="str">
        <f>VLOOKUP($G42, SeanRanks26!$A$2:$H$303, 5, FALSE)</f>
        <v>Yes</v>
      </c>
      <c r="G42" s="16" t="s">
        <v>156</v>
      </c>
      <c r="H42" s="11" t="str">
        <f>VLOOKUP($G42, '26 ADP Data'!$C$4:$Q$298, 2, FALSE)</f>
        <v>NYJ</v>
      </c>
      <c r="I42" s="11" t="str">
        <f>VLOOKUP(G42, '26 ADP Data'!$C$4:$R$496, 16, FALSE)</f>
        <v>WR</v>
      </c>
      <c r="J42" s="11" t="str">
        <f>VLOOKUP($G42, SeanRanks26!$A$2:$H$303, 6, FALSE)</f>
        <v>WR2 - 1 - High Ceiling</v>
      </c>
      <c r="K42" s="11">
        <f>VLOOKUP($G42, SeanRanks26!$A$2:$H$303, 7, FALSE)</f>
        <v>19</v>
      </c>
      <c r="L42" s="11">
        <f t="shared" si="5"/>
        <v>4</v>
      </c>
      <c r="M42" s="11">
        <f>VLOOKUP($G42, '26 ADP Data'!$C$4:$Q$298, 10, FALSE)</f>
        <v>39</v>
      </c>
      <c r="N42" s="11">
        <f>VLOOKUP($G42, '26 ADP Data'!$C$4:$Q$298, 13, FALSE)</f>
        <v>39</v>
      </c>
      <c r="O42" s="11">
        <f t="shared" si="6"/>
        <v>0</v>
      </c>
      <c r="P42" s="11">
        <f>VLOOKUP($G42, '26 ADP Data'!$C$4:$Q$298, 3, FALSE)</f>
        <v>46</v>
      </c>
      <c r="Q42" s="11">
        <f>VLOOKUP($G42, '26 ADP Data'!$C$4:$Q$298, 4, FALSE)</f>
        <v>32</v>
      </c>
      <c r="R42" s="11">
        <f>VLOOKUP($G42, '26 ADP Data'!$C$4:$Q$298, 6, FALSE)</f>
        <v>38</v>
      </c>
      <c r="S42" s="11">
        <f>VLOOKUP($G42, '26 ADP Data'!$C$4:$Q$298, 9, FALSE)</f>
        <v>39</v>
      </c>
      <c r="T42" s="11" t="str">
        <f>VLOOKUP($G42, '26 ADP Data'!$C$4:$Q$298, 8, FALSE)</f>
        <v>-</v>
      </c>
      <c r="U42" s="11">
        <f t="shared" si="7"/>
        <v>38</v>
      </c>
      <c r="V42" s="11">
        <f t="shared" si="8"/>
        <v>4</v>
      </c>
      <c r="W42" s="11">
        <f t="shared" ref="W42:W43" si="9">D42-V42</f>
        <v>-2</v>
      </c>
      <c r="X42" s="11">
        <f>VLOOKUP($G42, SeanRanks26!$A$2:$K$303, 10, FALSE)-U42</f>
        <v>1</v>
      </c>
      <c r="Y42" s="29" t="str">
        <f>IF(VLOOKUP($G42, SeanRanks26!$A$2:$H$303, 8, FALSE)=0, "", VLOOKUP($G42, SeanRanks26!$A$2:$H$303, 8, FALSE))</f>
        <v>FFB My Guy</v>
      </c>
    </row>
    <row r="43" ht="14.25" customHeight="1">
      <c r="A43" s="11"/>
      <c r="B43" s="11">
        <f t="shared" si="4"/>
        <v>4</v>
      </c>
      <c r="C43" s="11" t="s">
        <v>106</v>
      </c>
      <c r="D43" s="11"/>
      <c r="E43" s="27"/>
      <c r="F43" s="11" t="str">
        <f>VLOOKUP($G43, SeanRanks26!$A$2:$H$303, 5, FALSE)</f>
        <v/>
      </c>
      <c r="G43" s="16" t="s">
        <v>158</v>
      </c>
      <c r="H43" s="11" t="str">
        <f>VLOOKUP($G43, '26 ADP Data'!$C$4:$Q$298, 2, FALSE)</f>
        <v>CIN</v>
      </c>
      <c r="I43" s="11" t="str">
        <f>VLOOKUP(G43, '26 ADP Data'!$C$4:$R$496, 16, FALSE)</f>
        <v>WR</v>
      </c>
      <c r="J43" s="11" t="str">
        <f>VLOOKUP($G43, SeanRanks26!$A$2:$H$303, 6, FALSE)</f>
        <v>WR2 - 1 - High Ceiling</v>
      </c>
      <c r="K43" s="11">
        <f>VLOOKUP($G43, SeanRanks26!$A$2:$H$303, 7, FALSE)</f>
        <v>14</v>
      </c>
      <c r="L43" s="11">
        <f t="shared" si="5"/>
        <v>3</v>
      </c>
      <c r="M43" s="11">
        <f>VLOOKUP($G43, '26 ADP Data'!$C$4:$Q$298, 10, FALSE)</f>
        <v>29</v>
      </c>
      <c r="N43" s="11">
        <f>VLOOKUP($G43, '26 ADP Data'!$C$4:$Q$298, 13, FALSE)</f>
        <v>35</v>
      </c>
      <c r="O43" s="11">
        <f t="shared" si="6"/>
        <v>-6</v>
      </c>
      <c r="P43" s="11">
        <f>VLOOKUP($G43, '26 ADP Data'!$C$4:$Q$298, 3, FALSE)</f>
        <v>39</v>
      </c>
      <c r="Q43" s="11">
        <f>VLOOKUP($G43, '26 ADP Data'!$C$4:$Q$298, 4, FALSE)</f>
        <v>51</v>
      </c>
      <c r="R43" s="11">
        <f>VLOOKUP($G43, '26 ADP Data'!$C$4:$Q$298, 6, FALSE)</f>
        <v>44</v>
      </c>
      <c r="S43" s="11">
        <f>VLOOKUP($G43, '26 ADP Data'!$C$4:$Q$298, 9, FALSE)</f>
        <v>37</v>
      </c>
      <c r="T43" s="11" t="str">
        <f>VLOOKUP($G43, '26 ADP Data'!$C$4:$Q$298, 8, FALSE)</f>
        <v>-</v>
      </c>
      <c r="U43" s="11">
        <f t="shared" si="7"/>
        <v>39</v>
      </c>
      <c r="V43" s="11">
        <f t="shared" si="8"/>
        <v>4</v>
      </c>
      <c r="W43" s="11">
        <f t="shared" si="9"/>
        <v>-4</v>
      </c>
      <c r="X43" s="11">
        <f>VLOOKUP($G43, SeanRanks26!$A$2:$K$303, 10, FALSE)-U43</f>
        <v>-10</v>
      </c>
      <c r="Y43" s="29" t="str">
        <f>IF(VLOOKUP($G43, SeanRanks26!$A$2:$H$303, 8, FALSE)=0, "", VLOOKUP($G43, SeanRanks26!$A$2:$H$303, 8, FALSE))</f>
        <v/>
      </c>
    </row>
    <row r="44" ht="14.25" customHeight="1">
      <c r="A44" s="11"/>
      <c r="B44" s="11">
        <f t="shared" si="4"/>
        <v>4</v>
      </c>
      <c r="C44" s="11" t="s">
        <v>106</v>
      </c>
      <c r="D44" s="11"/>
      <c r="E44" s="27"/>
      <c r="F44" s="11" t="str">
        <f>VLOOKUP($G44, SeanRanks26!$A$2:$H$303, 5, FALSE)</f>
        <v/>
      </c>
      <c r="G44" s="16" t="s">
        <v>170</v>
      </c>
      <c r="H44" s="11" t="str">
        <f>VLOOKUP($G44, '26 ADP Data'!$C$4:$Q$298, 2, FALSE)</f>
        <v>CHI</v>
      </c>
      <c r="I44" s="11" t="str">
        <f>VLOOKUP(G44, '26 ADP Data'!$C$4:$R$496, 16, FALSE)</f>
        <v>TE</v>
      </c>
      <c r="J44" s="11" t="str">
        <f>VLOOKUP($G44, SeanRanks26!$A$2:$H$303, 6, FALSE)</f>
        <v>TE1 - 2 - Weekly Advantage</v>
      </c>
      <c r="K44" s="11">
        <f>VLOOKUP($G44, SeanRanks26!$A$2:$H$303, 7, FALSE)</f>
        <v>4</v>
      </c>
      <c r="L44" s="11">
        <f t="shared" si="5"/>
        <v>4</v>
      </c>
      <c r="M44" s="11">
        <f>VLOOKUP($G44, '26 ADP Data'!$C$4:$Q$298, 10, FALSE)</f>
        <v>38</v>
      </c>
      <c r="N44" s="11">
        <f>VLOOKUP($G44, '26 ADP Data'!$C$4:$Q$298, 13, FALSE)</f>
        <v>43</v>
      </c>
      <c r="O44" s="11">
        <f t="shared" si="6"/>
        <v>-5</v>
      </c>
      <c r="P44" s="11">
        <f>VLOOKUP($G44, '26 ADP Data'!$C$4:$Q$298, 3, FALSE)</f>
        <v>45</v>
      </c>
      <c r="Q44" s="11">
        <f>VLOOKUP($G44, '26 ADP Data'!$C$4:$Q$298, 4, FALSE)</f>
        <v>41</v>
      </c>
      <c r="R44" s="11">
        <f>VLOOKUP($G44, '26 ADP Data'!$C$4:$Q$298, 6, FALSE)</f>
        <v>23</v>
      </c>
      <c r="S44" s="11">
        <f>VLOOKUP($G44, '26 ADP Data'!$C$4:$Q$298, 9, FALSE)</f>
        <v>44</v>
      </c>
      <c r="T44" s="11" t="str">
        <f>VLOOKUP($G44, '26 ADP Data'!$C$4:$Q$298, 8, FALSE)</f>
        <v>-</v>
      </c>
      <c r="U44" s="11">
        <f t="shared" si="7"/>
        <v>39</v>
      </c>
      <c r="V44" s="11">
        <f t="shared" si="8"/>
        <v>4</v>
      </c>
      <c r="W44" s="11"/>
      <c r="X44" s="11">
        <f>VLOOKUP($G44, SeanRanks26!$A$2:$K$303, 10, FALSE)-U44</f>
        <v>-1</v>
      </c>
      <c r="Y44" s="29" t="str">
        <f>IF(VLOOKUP($G44, SeanRanks26!$A$2:$H$303, 8, FALSE)=0, "", VLOOKUP($G44, SeanRanks26!$A$2:$H$303, 8, FALSE))</f>
        <v>FFB My Guy</v>
      </c>
    </row>
    <row r="45" ht="14.25" customHeight="1">
      <c r="A45" s="11"/>
      <c r="B45" s="11">
        <f t="shared" si="4"/>
        <v>4</v>
      </c>
      <c r="C45" s="11" t="s">
        <v>106</v>
      </c>
      <c r="D45" s="11"/>
      <c r="E45" s="27"/>
      <c r="F45" s="11" t="str">
        <f>VLOOKUP($G45, SeanRanks26!$A$2:$H$303, 5, FALSE)</f>
        <v/>
      </c>
      <c r="G45" s="16" t="s">
        <v>164</v>
      </c>
      <c r="H45" s="11" t="str">
        <f>VLOOKUP($G45, '26 ADP Data'!$C$4:$Q$298, 2, FALSE)</f>
        <v>CAR</v>
      </c>
      <c r="I45" s="11" t="str">
        <f>VLOOKUP(G45, '26 ADP Data'!$C$4:$R$496, 16, FALSE)</f>
        <v>WR</v>
      </c>
      <c r="J45" s="11" t="str">
        <f>VLOOKUP($G45, SeanRanks26!$A$2:$H$303, 6, FALSE)</f>
        <v>WR2 - 1 - High Ceiling</v>
      </c>
      <c r="K45" s="11">
        <f>VLOOKUP($G45, SeanRanks26!$A$2:$H$303, 7, FALSE)</f>
        <v>16</v>
      </c>
      <c r="L45" s="11">
        <f t="shared" si="5"/>
        <v>4</v>
      </c>
      <c r="M45" s="11">
        <f>VLOOKUP($G45, '26 ADP Data'!$C$4:$Q$298, 10, FALSE)</f>
        <v>37</v>
      </c>
      <c r="N45" s="11">
        <f>VLOOKUP($G45, '26 ADP Data'!$C$4:$Q$298, 13, FALSE)</f>
        <v>41</v>
      </c>
      <c r="O45" s="11">
        <f t="shared" si="6"/>
        <v>-4</v>
      </c>
      <c r="P45" s="11">
        <f>VLOOKUP($G45, '26 ADP Data'!$C$4:$Q$298, 3, FALSE)</f>
        <v>44</v>
      </c>
      <c r="Q45" s="11">
        <f>VLOOKUP($G45, '26 ADP Data'!$C$4:$Q$298, 4, FALSE)</f>
        <v>38</v>
      </c>
      <c r="R45" s="11">
        <f>VLOOKUP($G45, '26 ADP Data'!$C$4:$Q$298, 6, FALSE)</f>
        <v>46</v>
      </c>
      <c r="S45" s="11">
        <f>VLOOKUP($G45, '26 ADP Data'!$C$4:$Q$298, 9, FALSE)</f>
        <v>34</v>
      </c>
      <c r="T45" s="11" t="str">
        <f>VLOOKUP($G45, '26 ADP Data'!$C$4:$Q$298, 8, FALSE)</f>
        <v>-</v>
      </c>
      <c r="U45" s="11">
        <f t="shared" si="7"/>
        <v>40</v>
      </c>
      <c r="V45" s="11">
        <f t="shared" si="8"/>
        <v>4</v>
      </c>
      <c r="W45" s="11"/>
      <c r="X45" s="11">
        <f>VLOOKUP($G45, SeanRanks26!$A$2:$K$303, 10, FALSE)-U45</f>
        <v>-3</v>
      </c>
      <c r="Y45" s="29" t="str">
        <f>IF(VLOOKUP($G45, SeanRanks26!$A$2:$H$303, 8, FALSE)=0, "", VLOOKUP($G45, SeanRanks26!$A$2:$H$303, 8, FALSE))</f>
        <v>2025 R1</v>
      </c>
    </row>
    <row r="46" ht="14.25" customHeight="1">
      <c r="A46" s="11"/>
      <c r="B46" s="11">
        <f t="shared" si="4"/>
        <v>4</v>
      </c>
      <c r="C46" s="11" t="s">
        <v>106</v>
      </c>
      <c r="D46" s="11"/>
      <c r="E46" s="27"/>
      <c r="F46" s="11" t="str">
        <f>VLOOKUP($G46, SeanRanks26!$A$2:$H$303, 5, FALSE)</f>
        <v>Yes</v>
      </c>
      <c r="G46" s="16" t="s">
        <v>173</v>
      </c>
      <c r="H46" s="11" t="str">
        <f>VLOOKUP($G46, '26 ADP Data'!$C$4:$Q$298, 2, FALSE)</f>
        <v>LAC</v>
      </c>
      <c r="I46" s="11" t="str">
        <f>VLOOKUP(G46, '26 ADP Data'!$C$4:$R$496, 16, FALSE)</f>
        <v>WR</v>
      </c>
      <c r="J46" s="11" t="str">
        <f>VLOOKUP($G46, SeanRanks26!$A$2:$H$303, 6, FALSE)</f>
        <v>WR2 - 2 - Lower Floor</v>
      </c>
      <c r="K46" s="11">
        <f>VLOOKUP($G46, SeanRanks26!$A$2:$H$303, 7, FALSE)</f>
        <v>24</v>
      </c>
      <c r="L46" s="11">
        <f t="shared" si="5"/>
        <v>4</v>
      </c>
      <c r="M46" s="11">
        <f>VLOOKUP($G46, '26 ADP Data'!$C$4:$Q$298, 10, FALSE)</f>
        <v>40</v>
      </c>
      <c r="N46" s="11">
        <f>VLOOKUP($G46, '26 ADP Data'!$C$4:$Q$298, 13, FALSE)</f>
        <v>34</v>
      </c>
      <c r="O46" s="11">
        <f t="shared" si="6"/>
        <v>6</v>
      </c>
      <c r="P46" s="11">
        <f>VLOOKUP($G46, '26 ADP Data'!$C$4:$Q$298, 3, FALSE)</f>
        <v>43</v>
      </c>
      <c r="Q46" s="11">
        <f>VLOOKUP($G46, '26 ADP Data'!$C$4:$Q$298, 4, FALSE)</f>
        <v>45</v>
      </c>
      <c r="R46" s="11">
        <f>VLOOKUP($G46, '26 ADP Data'!$C$4:$Q$298, 6, FALSE)</f>
        <v>37</v>
      </c>
      <c r="S46" s="11">
        <f>VLOOKUP($G46, '26 ADP Data'!$C$4:$Q$298, 9, FALSE)</f>
        <v>41</v>
      </c>
      <c r="T46" s="11" t="str">
        <f>VLOOKUP($G46, '26 ADP Data'!$C$4:$Q$298, 8, FALSE)</f>
        <v>-</v>
      </c>
      <c r="U46" s="11">
        <f t="shared" si="7"/>
        <v>40</v>
      </c>
      <c r="V46" s="11">
        <f t="shared" si="8"/>
        <v>4</v>
      </c>
      <c r="W46" s="11"/>
      <c r="X46" s="11">
        <f>VLOOKUP($G46, SeanRanks26!$A$2:$K$303, 10, FALSE)-U46</f>
        <v>0</v>
      </c>
      <c r="Y46" s="29" t="str">
        <f>IF(VLOOKUP($G46, SeanRanks26!$A$2:$H$303, 8, FALSE)=0, "", VLOOKUP($G46, SeanRanks26!$A$2:$H$303, 8, FALSE))</f>
        <v>FFB My Guy</v>
      </c>
    </row>
    <row r="47" ht="14.25" customHeight="1">
      <c r="A47" s="11"/>
      <c r="B47" s="11">
        <f t="shared" si="4"/>
        <v>4</v>
      </c>
      <c r="C47" s="11" t="s">
        <v>106</v>
      </c>
      <c r="D47" s="11"/>
      <c r="E47" s="27"/>
      <c r="F47" s="11" t="str">
        <f>VLOOKUP($G47, SeanRanks26!$A$2:$H$303, 5, FALSE)</f>
        <v/>
      </c>
      <c r="G47" s="16" t="s">
        <v>168</v>
      </c>
      <c r="H47" s="11" t="str">
        <f>VLOOKUP($G47, '26 ADP Data'!$C$4:$Q$298, 2, FALSE)</f>
        <v>NO</v>
      </c>
      <c r="I47" s="11" t="str">
        <f>VLOOKUP(G47, '26 ADP Data'!$C$4:$R$496, 16, FALSE)</f>
        <v>RB</v>
      </c>
      <c r="J47" s="11" t="str">
        <f>VLOOKUP($G47, SeanRanks26!$A$2:$H$303, 6, FALSE)</f>
        <v>RB2 - 1 - Weekly Start</v>
      </c>
      <c r="K47" s="11">
        <f>VLOOKUP($G47, SeanRanks26!$A$2:$H$303, 7, FALSE)</f>
        <v>18</v>
      </c>
      <c r="L47" s="11">
        <f t="shared" si="5"/>
        <v>4</v>
      </c>
      <c r="M47" s="11">
        <f>VLOOKUP($G47, '26 ADP Data'!$C$4:$Q$298, 10, FALSE)</f>
        <v>41</v>
      </c>
      <c r="N47" s="11">
        <f>VLOOKUP($G47, '26 ADP Data'!$C$4:$Q$298, 13, FALSE)</f>
        <v>40</v>
      </c>
      <c r="O47" s="11">
        <f t="shared" si="6"/>
        <v>1</v>
      </c>
      <c r="P47" s="11">
        <f>VLOOKUP($G47, '26 ADP Data'!$C$4:$Q$298, 3, FALSE)</f>
        <v>37</v>
      </c>
      <c r="Q47" s="11">
        <f>VLOOKUP($G47, '26 ADP Data'!$C$4:$Q$298, 4, FALSE)</f>
        <v>39</v>
      </c>
      <c r="R47" s="11">
        <f>VLOOKUP($G47, '26 ADP Data'!$C$4:$Q$298, 6, FALSE)</f>
        <v>41</v>
      </c>
      <c r="S47" s="11">
        <f>VLOOKUP($G47, '26 ADP Data'!$C$4:$Q$298, 9, FALSE)</f>
        <v>42</v>
      </c>
      <c r="T47" s="11" t="str">
        <f>VLOOKUP($G47, '26 ADP Data'!$C$4:$Q$298, 8, FALSE)</f>
        <v>-</v>
      </c>
      <c r="U47" s="11">
        <f t="shared" si="7"/>
        <v>40</v>
      </c>
      <c r="V47" s="11">
        <f t="shared" si="8"/>
        <v>4</v>
      </c>
      <c r="W47" s="11"/>
      <c r="X47" s="11">
        <f>VLOOKUP($G47, SeanRanks26!$A$2:$K$303, 10, FALSE)-U47</f>
        <v>1</v>
      </c>
      <c r="Y47" s="29" t="str">
        <f>IF(VLOOKUP($G47, SeanRanks26!$A$2:$H$303, 8, FALSE)=0, "", VLOOKUP($G47, SeanRanks26!$A$2:$H$303, 8, FALSE))</f>
        <v/>
      </c>
    </row>
    <row r="48" ht="14.25" customHeight="1">
      <c r="A48" s="11"/>
      <c r="B48" s="11">
        <f t="shared" si="4"/>
        <v>4</v>
      </c>
      <c r="C48" s="11" t="s">
        <v>106</v>
      </c>
      <c r="D48" s="11"/>
      <c r="E48" s="27"/>
      <c r="F48" s="11" t="str">
        <f>VLOOKUP($G48, SeanRanks26!$A$2:$H$303, 5, FALSE)</f>
        <v>Yes</v>
      </c>
      <c r="G48" s="16" t="s">
        <v>161</v>
      </c>
      <c r="H48" s="11" t="str">
        <f>VLOOKUP($G48, '26 ADP Data'!$C$4:$Q$298, 2, FALSE)</f>
        <v>TB</v>
      </c>
      <c r="I48" s="11" t="str">
        <f>VLOOKUP(G48, '26 ADP Data'!$C$4:$R$496, 16, FALSE)</f>
        <v>WR</v>
      </c>
      <c r="J48" s="11" t="str">
        <f>VLOOKUP($G48, SeanRanks26!$A$2:$H$303, 6, FALSE)</f>
        <v>WR2 - 1 - High Ceiling</v>
      </c>
      <c r="K48" s="11">
        <f>VLOOKUP($G48, SeanRanks26!$A$2:$H$303, 7, FALSE)</f>
        <v>17</v>
      </c>
      <c r="L48" s="11">
        <f t="shared" si="5"/>
        <v>4</v>
      </c>
      <c r="M48" s="11">
        <f>VLOOKUP($G48, '26 ADP Data'!$C$4:$Q$298, 10, FALSE)</f>
        <v>42</v>
      </c>
      <c r="N48" s="11">
        <f>VLOOKUP($G48, '26 ADP Data'!$C$4:$Q$298, 13, FALSE)</f>
        <v>36</v>
      </c>
      <c r="O48" s="11">
        <f t="shared" si="6"/>
        <v>6</v>
      </c>
      <c r="P48" s="11">
        <f>VLOOKUP($G48, '26 ADP Data'!$C$4:$Q$298, 3, FALSE)</f>
        <v>42</v>
      </c>
      <c r="Q48" s="11">
        <f>VLOOKUP($G48, '26 ADP Data'!$C$4:$Q$298, 4, FALSE)</f>
        <v>44</v>
      </c>
      <c r="R48" s="11">
        <f>VLOOKUP($G48, '26 ADP Data'!$C$4:$Q$298, 6, FALSE)</f>
        <v>40</v>
      </c>
      <c r="S48" s="11">
        <f>VLOOKUP($G48, '26 ADP Data'!$C$4:$Q$298, 9, FALSE)</f>
        <v>40</v>
      </c>
      <c r="T48" s="11" t="str">
        <f>VLOOKUP($G48, '26 ADP Data'!$C$4:$Q$298, 8, FALSE)</f>
        <v>-</v>
      </c>
      <c r="U48" s="11">
        <f t="shared" si="7"/>
        <v>40</v>
      </c>
      <c r="V48" s="11">
        <f t="shared" si="8"/>
        <v>4</v>
      </c>
      <c r="W48" s="11"/>
      <c r="X48" s="11">
        <f>VLOOKUP($G48, SeanRanks26!$A$2:$K$303, 10, FALSE)-U48</f>
        <v>2</v>
      </c>
      <c r="Y48" s="29" t="str">
        <f>IF(VLOOKUP($G48, SeanRanks26!$A$2:$H$303, 8, FALSE)=0, "", VLOOKUP($G48, SeanRanks26!$A$2:$H$303, 8, FALSE))</f>
        <v>2025 R1</v>
      </c>
    </row>
    <row r="49" ht="14.25" customHeight="1">
      <c r="A49" s="11"/>
      <c r="B49" s="11">
        <f t="shared" si="4"/>
        <v>4</v>
      </c>
      <c r="C49" s="11" t="s">
        <v>106</v>
      </c>
      <c r="D49" s="11"/>
      <c r="E49" s="27"/>
      <c r="F49" s="11" t="str">
        <f>VLOOKUP($G49, SeanRanks26!$A$2:$H$303, 5, FALSE)</f>
        <v/>
      </c>
      <c r="G49" s="16" t="s">
        <v>178</v>
      </c>
      <c r="H49" s="11" t="str">
        <f>VLOOKUP($G49, '26 ADP Data'!$C$4:$Q$298, 2, FALSE)</f>
        <v>NYG</v>
      </c>
      <c r="I49" s="11" t="str">
        <f>VLOOKUP(G49, '26 ADP Data'!$C$4:$R$496, 16, FALSE)</f>
        <v>RB</v>
      </c>
      <c r="J49" s="11" t="str">
        <f>VLOOKUP($G49, SeanRanks26!$A$2:$H$303, 6, FALSE)</f>
        <v>RB2 - 1 - Weekly Start</v>
      </c>
      <c r="K49" s="11">
        <f>VLOOKUP($G49, SeanRanks26!$A$2:$H$303, 7, FALSE)</f>
        <v>20</v>
      </c>
      <c r="L49" s="11">
        <f t="shared" si="5"/>
        <v>5</v>
      </c>
      <c r="M49" s="11">
        <f>VLOOKUP($G49, '26 ADP Data'!$C$4:$Q$298, 10, FALSE)</f>
        <v>49</v>
      </c>
      <c r="N49" s="11">
        <f>VLOOKUP($G49, '26 ADP Data'!$C$4:$Q$298, 13, FALSE)</f>
        <v>46</v>
      </c>
      <c r="O49" s="11">
        <f t="shared" si="6"/>
        <v>3</v>
      </c>
      <c r="P49" s="11">
        <f>VLOOKUP($G49, '26 ADP Data'!$C$4:$Q$298, 3, FALSE)</f>
        <v>33</v>
      </c>
      <c r="Q49" s="11">
        <f>VLOOKUP($G49, '26 ADP Data'!$C$4:$Q$298, 4, FALSE)</f>
        <v>40</v>
      </c>
      <c r="R49" s="11">
        <f>VLOOKUP($G49, '26 ADP Data'!$C$4:$Q$298, 6, FALSE)</f>
        <v>42</v>
      </c>
      <c r="S49" s="11">
        <f>VLOOKUP($G49, '26 ADP Data'!$C$4:$Q$298, 9, FALSE)</f>
        <v>38</v>
      </c>
      <c r="T49" s="11" t="str">
        <f>VLOOKUP($G49, '26 ADP Data'!$C$4:$Q$298, 8, FALSE)</f>
        <v>-</v>
      </c>
      <c r="U49" s="11">
        <f t="shared" si="7"/>
        <v>41</v>
      </c>
      <c r="V49" s="11">
        <f t="shared" si="8"/>
        <v>4</v>
      </c>
      <c r="W49" s="11"/>
      <c r="X49" s="11">
        <f>VLOOKUP($G49, SeanRanks26!$A$2:$K$303, 10, FALSE)-U49</f>
        <v>8</v>
      </c>
      <c r="Y49" s="29" t="str">
        <f>IF(VLOOKUP($G49, SeanRanks26!$A$2:$H$303, 8, FALSE)=0, "", VLOOKUP($G49, SeanRanks26!$A$2:$H$303, 8, FALSE))</f>
        <v>2025 Rookie R4</v>
      </c>
    </row>
    <row r="50" ht="14.25" customHeight="1">
      <c r="A50" s="11"/>
      <c r="B50" s="11">
        <f t="shared" si="4"/>
        <v>4</v>
      </c>
      <c r="C50" s="11" t="s">
        <v>106</v>
      </c>
      <c r="D50" s="16">
        <v>2.0</v>
      </c>
      <c r="E50" s="27"/>
      <c r="F50" s="11" t="str">
        <f>VLOOKUP($G50, SeanRanks26!$A$2:$H$303, 5, FALSE)</f>
        <v/>
      </c>
      <c r="G50" s="16" t="s">
        <v>175</v>
      </c>
      <c r="H50" s="11" t="str">
        <f>VLOOKUP($G50, '26 ADP Data'!$C$4:$Q$298, 2, FALSE)</f>
        <v>DEN</v>
      </c>
      <c r="I50" s="11" t="str">
        <f>VLOOKUP(G50, '26 ADP Data'!$C$4:$R$496, 16, FALSE)</f>
        <v>WR</v>
      </c>
      <c r="J50" s="11" t="str">
        <f>VLOOKUP($G50, SeanRanks26!$A$2:$H$303, 6, FALSE)</f>
        <v>WR2 - 2 - Lower Floor</v>
      </c>
      <c r="K50" s="11">
        <f>VLOOKUP($G50, SeanRanks26!$A$2:$H$303, 7, FALSE)</f>
        <v>20</v>
      </c>
      <c r="L50" s="11">
        <f t="shared" si="5"/>
        <v>3</v>
      </c>
      <c r="M50" s="11">
        <f>VLOOKUP($G50, '26 ADP Data'!$C$4:$Q$298, 10, FALSE)</f>
        <v>33</v>
      </c>
      <c r="N50" s="11">
        <f>VLOOKUP($G50, '26 ADP Data'!$C$4:$Q$298, 13, FALSE)</f>
        <v>38</v>
      </c>
      <c r="O50" s="11">
        <f t="shared" si="6"/>
        <v>-5</v>
      </c>
      <c r="P50" s="11">
        <f>VLOOKUP($G50, '26 ADP Data'!$C$4:$Q$298, 3, FALSE)</f>
        <v>49</v>
      </c>
      <c r="Q50" s="11">
        <f>VLOOKUP($G50, '26 ADP Data'!$C$4:$Q$298, 4, FALSE)</f>
        <v>52</v>
      </c>
      <c r="R50" s="11">
        <f>VLOOKUP($G50, '26 ADP Data'!$C$4:$Q$298, 6, FALSE)</f>
        <v>43</v>
      </c>
      <c r="S50" s="11">
        <f>VLOOKUP($G50, '26 ADP Data'!$C$4:$Q$298, 9, FALSE)</f>
        <v>47</v>
      </c>
      <c r="T50" s="11" t="str">
        <f>VLOOKUP($G50, '26 ADP Data'!$C$4:$Q$298, 8, FALSE)</f>
        <v>-</v>
      </c>
      <c r="U50" s="11">
        <f t="shared" si="7"/>
        <v>43</v>
      </c>
      <c r="V50" s="11">
        <f t="shared" si="8"/>
        <v>4</v>
      </c>
      <c r="W50" s="11"/>
      <c r="X50" s="11">
        <f>VLOOKUP($G50, SeanRanks26!$A$2:$K$303, 10, FALSE)-U50</f>
        <v>-10</v>
      </c>
      <c r="Y50" s="29" t="str">
        <f>IF(VLOOKUP($G50, SeanRanks26!$A$2:$H$303, 8, FALSE)=0, "", VLOOKUP($G50, SeanRanks26!$A$2:$H$303, 8, FALSE))</f>
        <v/>
      </c>
    </row>
    <row r="51" ht="14.25" customHeight="1">
      <c r="A51" s="11"/>
      <c r="B51" s="11">
        <f t="shared" si="4"/>
        <v>4</v>
      </c>
      <c r="C51" s="11" t="s">
        <v>106</v>
      </c>
      <c r="D51" s="11"/>
      <c r="E51" s="27"/>
      <c r="F51" s="11" t="str">
        <f>VLOOKUP($G51, SeanRanks26!$A$2:$H$303, 5, FALSE)</f>
        <v/>
      </c>
      <c r="G51" s="16" t="s">
        <v>181</v>
      </c>
      <c r="H51" s="11" t="str">
        <f>VLOOKUP($G51, '26 ADP Data'!$C$4:$Q$298, 2, FALSE)</f>
        <v>CHI</v>
      </c>
      <c r="I51" s="11" t="str">
        <f>VLOOKUP(G51, '26 ADP Data'!$C$4:$R$496, 16, FALSE)</f>
        <v>RB</v>
      </c>
      <c r="J51" s="11" t="str">
        <f>VLOOKUP($G51, SeanRanks26!$A$2:$H$303, 6, FALSE)</f>
        <v>RB2 - 1 - Weekly Start</v>
      </c>
      <c r="K51" s="11">
        <f>VLOOKUP($G51, SeanRanks26!$A$2:$H$303, 7, FALSE)</f>
        <v>21</v>
      </c>
      <c r="L51" s="11">
        <f t="shared" si="5"/>
        <v>4</v>
      </c>
      <c r="M51" s="11">
        <f>VLOOKUP($G51, '26 ADP Data'!$C$4:$Q$298, 10, FALSE)</f>
        <v>44</v>
      </c>
      <c r="N51" s="11">
        <f>VLOOKUP($G51, '26 ADP Data'!$C$4:$Q$298, 13, FALSE)</f>
        <v>44</v>
      </c>
      <c r="O51" s="11">
        <f t="shared" si="6"/>
        <v>0</v>
      </c>
      <c r="P51" s="11">
        <f>VLOOKUP($G51, '26 ADP Data'!$C$4:$Q$298, 3, FALSE)</f>
        <v>35</v>
      </c>
      <c r="Q51" s="11">
        <f>VLOOKUP($G51, '26 ADP Data'!$C$4:$Q$298, 4, FALSE)</f>
        <v>56</v>
      </c>
      <c r="R51" s="11">
        <f>VLOOKUP($G51, '26 ADP Data'!$C$4:$Q$298, 6, FALSE)</f>
        <v>45</v>
      </c>
      <c r="S51" s="11">
        <f>VLOOKUP($G51, '26 ADP Data'!$C$4:$Q$298, 9, FALSE)</f>
        <v>54</v>
      </c>
      <c r="T51" s="11" t="str">
        <f>VLOOKUP($G51, '26 ADP Data'!$C$4:$Q$298, 8, FALSE)</f>
        <v>-</v>
      </c>
      <c r="U51" s="11">
        <f t="shared" si="7"/>
        <v>46</v>
      </c>
      <c r="V51" s="11">
        <f t="shared" si="8"/>
        <v>4</v>
      </c>
      <c r="W51" s="11"/>
      <c r="X51" s="11">
        <f>VLOOKUP($G51, SeanRanks26!$A$2:$K$303, 10, FALSE)-U51</f>
        <v>-2</v>
      </c>
      <c r="Y51" s="29" t="str">
        <f>IF(VLOOKUP($G51, SeanRanks26!$A$2:$H$303, 8, FALSE)=0, "", VLOOKUP($G51, SeanRanks26!$A$2:$H$303, 8, FALSE))</f>
        <v/>
      </c>
    </row>
    <row r="52" ht="14.25" customHeight="1">
      <c r="A52" s="11"/>
      <c r="B52" s="11">
        <f t="shared" si="4"/>
        <v>4</v>
      </c>
      <c r="C52" s="11" t="s">
        <v>106</v>
      </c>
      <c r="D52" s="11"/>
      <c r="E52" s="27"/>
      <c r="F52" s="11" t="str">
        <f>VLOOKUP($G52, SeanRanks26!$A$2:$H$303, 5, FALSE)</f>
        <v>Yes</v>
      </c>
      <c r="G52" s="16" t="s">
        <v>183</v>
      </c>
      <c r="H52" s="11" t="str">
        <f>VLOOKUP($G52, '26 ADP Data'!$C$4:$Q$298, 2, FALSE)</f>
        <v>BAL</v>
      </c>
      <c r="I52" s="11" t="str">
        <f>VLOOKUP(G52, '26 ADP Data'!$C$4:$R$496, 16, FALSE)</f>
        <v>QB</v>
      </c>
      <c r="J52" s="11" t="str">
        <f>VLOOKUP($G52, SeanRanks26!$A$2:$H$303, 6, FALSE)</f>
        <v>QB1 - 2 - Very Good</v>
      </c>
      <c r="K52" s="11">
        <f>VLOOKUP($G52, SeanRanks26!$A$2:$H$303, 7, FALSE)</f>
        <v>2</v>
      </c>
      <c r="L52" s="11">
        <f t="shared" si="5"/>
        <v>5</v>
      </c>
      <c r="M52" s="11">
        <f>VLOOKUP($G52, '26 ADP Data'!$C$4:$Q$298, 10, FALSE)</f>
        <v>50</v>
      </c>
      <c r="N52" s="11">
        <f>VLOOKUP($G52, '26 ADP Data'!$C$4:$Q$298, 13, FALSE)</f>
        <v>57</v>
      </c>
      <c r="O52" s="11">
        <f t="shared" si="6"/>
        <v>-7</v>
      </c>
      <c r="P52" s="11">
        <f>VLOOKUP($G52, '26 ADP Data'!$C$4:$Q$298, 3, FALSE)</f>
        <v>40</v>
      </c>
      <c r="Q52" s="11">
        <f>VLOOKUP($G52, '26 ADP Data'!$C$4:$Q$298, 4, FALSE)</f>
        <v>34</v>
      </c>
      <c r="R52" s="11">
        <f>VLOOKUP($G52, '26 ADP Data'!$C$4:$Q$298, 6, FALSE)</f>
        <v>61</v>
      </c>
      <c r="S52" s="11">
        <f>VLOOKUP($G52, '26 ADP Data'!$C$4:$Q$298, 9, FALSE)</f>
        <v>36</v>
      </c>
      <c r="T52" s="11" t="str">
        <f>VLOOKUP($G52, '26 ADP Data'!$C$4:$Q$298, 8, FALSE)</f>
        <v>-</v>
      </c>
      <c r="U52" s="11">
        <f t="shared" si="7"/>
        <v>46</v>
      </c>
      <c r="V52" s="11">
        <f t="shared" si="8"/>
        <v>4</v>
      </c>
      <c r="W52" s="11"/>
      <c r="X52" s="11">
        <f>VLOOKUP($G52, SeanRanks26!$A$2:$K$303, 10, FALSE)-U52</f>
        <v>4</v>
      </c>
      <c r="Y52" s="29" t="str">
        <f>IF(VLOOKUP($G52, SeanRanks26!$A$2:$H$303, 8, FALSE)=0, "", VLOOKUP($G52, SeanRanks26!$A$2:$H$303, 8, FALSE))</f>
        <v/>
      </c>
    </row>
    <row r="53" ht="14.25" customHeight="1">
      <c r="A53" s="11"/>
      <c r="B53" s="11">
        <f t="shared" si="4"/>
        <v>4</v>
      </c>
      <c r="C53" s="11" t="s">
        <v>106</v>
      </c>
      <c r="D53" s="16">
        <v>2.0</v>
      </c>
      <c r="E53" s="27"/>
      <c r="F53" s="11" t="str">
        <f>VLOOKUP($G53, SeanRanks26!$A$2:$H$303, 5, FALSE)</f>
        <v/>
      </c>
      <c r="G53" s="16" t="s">
        <v>199</v>
      </c>
      <c r="H53" s="11" t="str">
        <f>VLOOKUP($G53, '26 ADP Data'!$C$4:$Q$298, 2, FALSE)</f>
        <v>TB</v>
      </c>
      <c r="I53" s="11" t="str">
        <f>VLOOKUP(G53, '26 ADP Data'!$C$4:$R$496, 16, FALSE)</f>
        <v>RB</v>
      </c>
      <c r="J53" s="11" t="str">
        <f>VLOOKUP($G53, SeanRanks26!$A$2:$H$303, 6, FALSE)</f>
        <v>RB2 - 1 - Weekly Start</v>
      </c>
      <c r="K53" s="11">
        <f>VLOOKUP($G53, SeanRanks26!$A$2:$H$303, 7, FALSE)</f>
        <v>22</v>
      </c>
      <c r="L53" s="11">
        <f t="shared" si="5"/>
        <v>5</v>
      </c>
      <c r="M53" s="11">
        <f>VLOOKUP($G53, '26 ADP Data'!$C$4:$Q$298, 10, FALSE)</f>
        <v>58</v>
      </c>
      <c r="N53" s="11">
        <f>VLOOKUP($G53, '26 ADP Data'!$C$4:$Q$298, 13, FALSE)</f>
        <v>54</v>
      </c>
      <c r="O53" s="11">
        <f t="shared" si="6"/>
        <v>4</v>
      </c>
      <c r="P53" s="11">
        <f>VLOOKUP($G53, '26 ADP Data'!$C$4:$Q$298, 3, FALSE)</f>
        <v>41</v>
      </c>
      <c r="Q53" s="11">
        <f>VLOOKUP($G53, '26 ADP Data'!$C$4:$Q$298, 4, FALSE)</f>
        <v>49</v>
      </c>
      <c r="R53" s="11">
        <f>VLOOKUP($G53, '26 ADP Data'!$C$4:$Q$298, 6, FALSE)</f>
        <v>52</v>
      </c>
      <c r="S53" s="11">
        <f>VLOOKUP($G53, '26 ADP Data'!$C$4:$Q$298, 9, FALSE)</f>
        <v>45</v>
      </c>
      <c r="T53" s="11" t="str">
        <f>VLOOKUP($G53, '26 ADP Data'!$C$4:$Q$298, 8, FALSE)</f>
        <v>-</v>
      </c>
      <c r="U53" s="11">
        <f t="shared" si="7"/>
        <v>49</v>
      </c>
      <c r="V53" s="11">
        <f t="shared" si="8"/>
        <v>5</v>
      </c>
      <c r="W53" s="11"/>
      <c r="X53" s="11">
        <f>VLOOKUP($G53, SeanRanks26!$A$2:$K$303, 10, FALSE)-U53</f>
        <v>9</v>
      </c>
      <c r="Y53" s="29" t="str">
        <f>IF(VLOOKUP($G53, SeanRanks26!$A$2:$H$303, 8, FALSE)=0, "", VLOOKUP($G53, SeanRanks26!$A$2:$H$303, 8, FALSE))</f>
        <v>2024 Rookie R4</v>
      </c>
    </row>
    <row r="54" ht="14.25" customHeight="1">
      <c r="A54" s="11"/>
      <c r="B54" s="11">
        <f t="shared" si="4"/>
        <v>4</v>
      </c>
      <c r="C54" s="11" t="s">
        <v>106</v>
      </c>
      <c r="D54" s="11"/>
      <c r="E54" s="27"/>
      <c r="F54" s="11" t="str">
        <f>VLOOKUP($G54, SeanRanks26!$A$2:$H$303, 5, FALSE)</f>
        <v/>
      </c>
      <c r="G54" s="16" t="s">
        <v>201</v>
      </c>
      <c r="H54" s="11" t="str">
        <f>VLOOKUP($G54, '26 ADP Data'!$C$4:$Q$298, 2, FALSE)</f>
        <v>IND</v>
      </c>
      <c r="I54" s="11" t="str">
        <f>VLOOKUP(G54, '26 ADP Data'!$C$4:$R$496, 16, FALSE)</f>
        <v>TE</v>
      </c>
      <c r="J54" s="11" t="str">
        <f>VLOOKUP($G54, SeanRanks26!$A$2:$H$303, 6, FALSE)</f>
        <v>TE1 - 2 - Weekly Advantage</v>
      </c>
      <c r="K54" s="11">
        <f>VLOOKUP($G54, SeanRanks26!$A$2:$H$303, 7, FALSE)</f>
        <v>3</v>
      </c>
      <c r="L54" s="11">
        <f t="shared" si="5"/>
        <v>4</v>
      </c>
      <c r="M54" s="11">
        <f>VLOOKUP($G54, '26 ADP Data'!$C$4:$Q$298, 10, FALSE)</f>
        <v>47</v>
      </c>
      <c r="N54" s="11">
        <f>VLOOKUP($G54, '26 ADP Data'!$C$4:$Q$298, 13, FALSE)</f>
        <v>63</v>
      </c>
      <c r="O54" s="11">
        <f t="shared" si="6"/>
        <v>-16</v>
      </c>
      <c r="P54" s="11">
        <f>VLOOKUP($G54, '26 ADP Data'!$C$4:$Q$298, 3, FALSE)</f>
        <v>59</v>
      </c>
      <c r="Q54" s="11">
        <f>VLOOKUP($G54, '26 ADP Data'!$C$4:$Q$298, 4, FALSE)</f>
        <v>46</v>
      </c>
      <c r="R54" s="11">
        <f>VLOOKUP($G54, '26 ADP Data'!$C$4:$Q$298, 6, FALSE)</f>
        <v>35</v>
      </c>
      <c r="S54" s="11">
        <f>VLOOKUP($G54, '26 ADP Data'!$C$4:$Q$298, 9, FALSE)</f>
        <v>50</v>
      </c>
      <c r="T54" s="11" t="str">
        <f>VLOOKUP($G54, '26 ADP Data'!$C$4:$Q$298, 8, FALSE)</f>
        <v>-</v>
      </c>
      <c r="U54" s="11">
        <f t="shared" si="7"/>
        <v>50</v>
      </c>
      <c r="V54" s="11">
        <f t="shared" si="8"/>
        <v>5</v>
      </c>
      <c r="W54" s="11"/>
      <c r="X54" s="11">
        <f>VLOOKUP($G54, SeanRanks26!$A$2:$K$303, 10, FALSE)-U54</f>
        <v>-3</v>
      </c>
      <c r="Y54" s="29" t="str">
        <f>IF(VLOOKUP($G54, SeanRanks26!$A$2:$H$303, 8, FALSE)=0, "", VLOOKUP($G54, SeanRanks26!$A$2:$H$303, 8, FALSE))</f>
        <v/>
      </c>
    </row>
    <row r="55" ht="14.25" customHeight="1">
      <c r="A55" s="11"/>
      <c r="B55" s="11">
        <f t="shared" si="4"/>
        <v>5</v>
      </c>
      <c r="C55" s="11" t="s">
        <v>106</v>
      </c>
      <c r="D55" s="16">
        <v>2.0</v>
      </c>
      <c r="E55" s="27"/>
      <c r="F55" s="11" t="str">
        <f>VLOOKUP($G55, SeanRanks26!$A$2:$H$303, 5, FALSE)</f>
        <v/>
      </c>
      <c r="G55" s="16" t="s">
        <v>194</v>
      </c>
      <c r="H55" s="11" t="str">
        <f>VLOOKUP($G55, '26 ADP Data'!$C$4:$Q$298, 2, FALSE)</f>
        <v>CLE</v>
      </c>
      <c r="I55" s="11" t="str">
        <f>VLOOKUP(G55, '26 ADP Data'!$C$4:$R$496, 16, FALSE)</f>
        <v>RB</v>
      </c>
      <c r="J55" s="11" t="str">
        <f>VLOOKUP($G55, SeanRanks26!$A$2:$H$303, 6, FALSE)</f>
        <v>RB2 - 1 - Weekly Start</v>
      </c>
      <c r="K55" s="11">
        <f>VLOOKUP($G55, SeanRanks26!$A$2:$H$303, 7, FALSE)</f>
        <v>19</v>
      </c>
      <c r="L55" s="11">
        <f t="shared" si="5"/>
        <v>5</v>
      </c>
      <c r="M55" s="11">
        <f>VLOOKUP($G55, '26 ADP Data'!$C$4:$Q$298, 10, FALSE)</f>
        <v>53</v>
      </c>
      <c r="N55" s="11">
        <f>VLOOKUP($G55, '26 ADP Data'!$C$4:$Q$298, 13, FALSE)</f>
        <v>55</v>
      </c>
      <c r="O55" s="11">
        <f t="shared" si="6"/>
        <v>-2</v>
      </c>
      <c r="P55" s="11">
        <f>VLOOKUP($G55, '26 ADP Data'!$C$4:$Q$298, 3, FALSE)</f>
        <v>47</v>
      </c>
      <c r="Q55" s="11">
        <f>VLOOKUP($G55, '26 ADP Data'!$C$4:$Q$298, 4, FALSE)</f>
        <v>50</v>
      </c>
      <c r="R55" s="11">
        <f>VLOOKUP($G55, '26 ADP Data'!$C$4:$Q$298, 6, FALSE)</f>
        <v>50</v>
      </c>
      <c r="S55" s="11">
        <f>VLOOKUP($G55, '26 ADP Data'!$C$4:$Q$298, 9, FALSE)</f>
        <v>48</v>
      </c>
      <c r="T55" s="11" t="str">
        <f>VLOOKUP($G55, '26 ADP Data'!$C$4:$Q$298, 8, FALSE)</f>
        <v>-</v>
      </c>
      <c r="U55" s="11">
        <f t="shared" si="7"/>
        <v>50</v>
      </c>
      <c r="V55" s="11">
        <f t="shared" si="8"/>
        <v>5</v>
      </c>
      <c r="W55" s="11">
        <f>D55-V55</f>
        <v>-3</v>
      </c>
      <c r="X55" s="11">
        <f>VLOOKUP($G55, SeanRanks26!$A$2:$K$303, 10, FALSE)-U55</f>
        <v>3</v>
      </c>
      <c r="Y55" s="29" t="str">
        <f>IF(VLOOKUP($G55, SeanRanks26!$A$2:$H$303, 8, FALSE)=0, "", VLOOKUP($G55, SeanRanks26!$A$2:$H$303, 8, FALSE))</f>
        <v>2025 Rookie R2</v>
      </c>
    </row>
    <row r="56" ht="14.25" customHeight="1">
      <c r="A56" s="11"/>
      <c r="B56" s="11">
        <f t="shared" si="4"/>
        <v>5</v>
      </c>
      <c r="C56" s="11" t="s">
        <v>106</v>
      </c>
      <c r="D56" s="16">
        <v>1.0</v>
      </c>
      <c r="E56" s="27"/>
      <c r="F56" s="11" t="str">
        <f>VLOOKUP($G56, SeanRanks26!$A$2:$H$303, 5, FALSE)</f>
        <v/>
      </c>
      <c r="G56" s="16" t="s">
        <v>191</v>
      </c>
      <c r="H56" s="11" t="str">
        <f>VLOOKUP($G56, '26 ADP Data'!$C$4:$Q$298, 2, FALSE)</f>
        <v>WAS</v>
      </c>
      <c r="I56" s="11" t="str">
        <f>VLOOKUP(G56, '26 ADP Data'!$C$4:$R$496, 16, FALSE)</f>
        <v>WR</v>
      </c>
      <c r="J56" s="11" t="str">
        <f>VLOOKUP($G56, SeanRanks26!$A$2:$H$303, 6, FALSE)</f>
        <v>WR2 - 2 - Lower Floor</v>
      </c>
      <c r="K56" s="11">
        <f>VLOOKUP($G56, SeanRanks26!$A$2:$H$303, 7, FALSE)</f>
        <v>22</v>
      </c>
      <c r="L56" s="11">
        <f t="shared" si="5"/>
        <v>4</v>
      </c>
      <c r="M56" s="11">
        <f>VLOOKUP($G56, '26 ADP Data'!$C$4:$Q$298, 10, FALSE)</f>
        <v>46</v>
      </c>
      <c r="N56" s="11">
        <f>VLOOKUP($G56, '26 ADP Data'!$C$4:$Q$298, 13, FALSE)</f>
        <v>48</v>
      </c>
      <c r="O56" s="11">
        <f t="shared" si="6"/>
        <v>-2</v>
      </c>
      <c r="P56" s="11">
        <f>VLOOKUP($G56, '26 ADP Data'!$C$4:$Q$298, 3, FALSE)</f>
        <v>57</v>
      </c>
      <c r="Q56" s="11">
        <f>VLOOKUP($G56, '26 ADP Data'!$C$4:$Q$298, 4, FALSE)</f>
        <v>54</v>
      </c>
      <c r="R56" s="11">
        <f>VLOOKUP($G56, '26 ADP Data'!$C$4:$Q$298, 6, FALSE)</f>
        <v>53</v>
      </c>
      <c r="S56" s="11">
        <f>VLOOKUP($G56, '26 ADP Data'!$C$4:$Q$298, 9, FALSE)</f>
        <v>51</v>
      </c>
      <c r="T56" s="11" t="str">
        <f>VLOOKUP($G56, '26 ADP Data'!$C$4:$Q$298, 8, FALSE)</f>
        <v>-</v>
      </c>
      <c r="U56" s="11">
        <f t="shared" si="7"/>
        <v>51</v>
      </c>
      <c r="V56" s="11">
        <f t="shared" si="8"/>
        <v>5</v>
      </c>
      <c r="W56" s="11"/>
      <c r="X56" s="11">
        <f>VLOOKUP($G56, SeanRanks26!$A$2:$K$303, 10, FALSE)-U56</f>
        <v>-5</v>
      </c>
      <c r="Y56" s="29" t="str">
        <f>IF(VLOOKUP($G56, SeanRanks26!$A$2:$H$303, 8, FALSE)=0, "", VLOOKUP($G56, SeanRanks26!$A$2:$H$303, 8, FALSE))</f>
        <v/>
      </c>
    </row>
    <row r="57" ht="14.25" customHeight="1">
      <c r="A57" s="11"/>
      <c r="B57" s="11">
        <f t="shared" si="4"/>
        <v>5</v>
      </c>
      <c r="C57" s="11" t="s">
        <v>106</v>
      </c>
      <c r="D57" s="11"/>
      <c r="E57" s="27"/>
      <c r="F57" s="11" t="str">
        <f>VLOOKUP($G57, SeanRanks26!$A$2:$H$303, 5, FALSE)</f>
        <v/>
      </c>
      <c r="G57" s="16" t="s">
        <v>185</v>
      </c>
      <c r="H57" s="11" t="str">
        <f>VLOOKUP($G57, '26 ADP Data'!$C$4:$Q$298, 2, FALSE)</f>
        <v>HOU</v>
      </c>
      <c r="I57" s="11" t="str">
        <f>VLOOKUP(G57, '26 ADP Data'!$C$4:$R$496, 16, FALSE)</f>
        <v>RB</v>
      </c>
      <c r="J57" s="11" t="str">
        <f>VLOOKUP($G57, SeanRanks26!$A$2:$H$303, 6, FALSE)</f>
        <v>RB2 - 2 - 2 of 3</v>
      </c>
      <c r="K57" s="11">
        <f>VLOOKUP($G57, SeanRanks26!$A$2:$H$303, 7, FALSE)</f>
        <v>25</v>
      </c>
      <c r="L57" s="11">
        <f t="shared" si="5"/>
        <v>5</v>
      </c>
      <c r="M57" s="11">
        <f>VLOOKUP($G57, '26 ADP Data'!$C$4:$Q$298, 10, FALSE)</f>
        <v>56</v>
      </c>
      <c r="N57" s="11">
        <f>VLOOKUP($G57, '26 ADP Data'!$C$4:$Q$298, 13, FALSE)</f>
        <v>47</v>
      </c>
      <c r="O57" s="11">
        <f t="shared" si="6"/>
        <v>9</v>
      </c>
      <c r="P57" s="11">
        <f>VLOOKUP($G57, '26 ADP Data'!$C$4:$Q$298, 3, FALSE)</f>
        <v>48</v>
      </c>
      <c r="Q57" s="11">
        <f>VLOOKUP($G57, '26 ADP Data'!$C$4:$Q$298, 4, FALSE)</f>
        <v>60</v>
      </c>
      <c r="R57" s="11">
        <f>VLOOKUP($G57, '26 ADP Data'!$C$4:$Q$298, 6, FALSE)</f>
        <v>47</v>
      </c>
      <c r="S57" s="11">
        <f>VLOOKUP($G57, '26 ADP Data'!$C$4:$Q$298, 9, FALSE)</f>
        <v>49</v>
      </c>
      <c r="T57" s="11" t="str">
        <f>VLOOKUP($G57, '26 ADP Data'!$C$4:$Q$298, 8, FALSE)</f>
        <v>-</v>
      </c>
      <c r="U57" s="11">
        <f t="shared" si="7"/>
        <v>51</v>
      </c>
      <c r="V57" s="11">
        <f t="shared" si="8"/>
        <v>5</v>
      </c>
      <c r="W57" s="11"/>
      <c r="X57" s="11">
        <f>VLOOKUP($G57, SeanRanks26!$A$2:$K$303, 10, FALSE)-U57</f>
        <v>5</v>
      </c>
      <c r="Y57" s="29" t="str">
        <f>IF(VLOOKUP($G57, SeanRanks26!$A$2:$H$303, 8, FALSE)=0, "", VLOOKUP($G57, SeanRanks26!$A$2:$H$303, 8, FALSE))</f>
        <v/>
      </c>
    </row>
    <row r="58" ht="14.25" customHeight="1">
      <c r="A58" s="11"/>
      <c r="B58" s="11">
        <f t="shared" si="4"/>
        <v>5</v>
      </c>
      <c r="C58" s="11" t="s">
        <v>106</v>
      </c>
      <c r="D58" s="11"/>
      <c r="E58" s="27"/>
      <c r="F58" s="11" t="str">
        <f>VLOOKUP($G58, SeanRanks26!$A$2:$H$303, 5, FALSE)</f>
        <v/>
      </c>
      <c r="G58" s="16" t="s">
        <v>187</v>
      </c>
      <c r="H58" s="11" t="str">
        <f>VLOOKUP($G58, '26 ADP Data'!$C$4:$Q$298, 2, FALSE)</f>
        <v>BUF</v>
      </c>
      <c r="I58" s="11" t="str">
        <f>VLOOKUP(G58, '26 ADP Data'!$C$4:$R$496, 16, FALSE)</f>
        <v>WR</v>
      </c>
      <c r="J58" s="11" t="str">
        <f>VLOOKUP($G58, SeanRanks26!$A$2:$H$303, 6, FALSE)</f>
        <v>WR3 - 1 - Clear path to WR2</v>
      </c>
      <c r="K58" s="11">
        <f>VLOOKUP($G58, SeanRanks26!$A$2:$H$303, 7, FALSE)</f>
        <v>32</v>
      </c>
      <c r="L58" s="11">
        <f t="shared" si="5"/>
        <v>5</v>
      </c>
      <c r="M58" s="11">
        <f>VLOOKUP($G58, '26 ADP Data'!$C$4:$Q$298, 10, FALSE)</f>
        <v>48</v>
      </c>
      <c r="N58" s="11">
        <f>VLOOKUP($G58, '26 ADP Data'!$C$4:$Q$298, 13, FALSE)</f>
        <v>53</v>
      </c>
      <c r="O58" s="11">
        <f t="shared" si="6"/>
        <v>-5</v>
      </c>
      <c r="P58" s="11">
        <f>VLOOKUP($G58, '26 ADP Data'!$C$4:$Q$298, 3, FALSE)</f>
        <v>53</v>
      </c>
      <c r="Q58" s="11">
        <f>VLOOKUP($G58, '26 ADP Data'!$C$4:$Q$298, 4, FALSE)</f>
        <v>55</v>
      </c>
      <c r="R58" s="11">
        <f>VLOOKUP($G58, '26 ADP Data'!$C$4:$Q$298, 6, FALSE)</f>
        <v>49</v>
      </c>
      <c r="S58" s="11">
        <f>VLOOKUP($G58, '26 ADP Data'!$C$4:$Q$298, 9, FALSE)</f>
        <v>57</v>
      </c>
      <c r="T58" s="11" t="str">
        <f>VLOOKUP($G58, '26 ADP Data'!$C$4:$Q$298, 8, FALSE)</f>
        <v>-</v>
      </c>
      <c r="U58" s="11">
        <f t="shared" si="7"/>
        <v>52</v>
      </c>
      <c r="V58" s="11">
        <f t="shared" si="8"/>
        <v>5</v>
      </c>
      <c r="W58" s="11"/>
      <c r="X58" s="11">
        <f>VLOOKUP($G58, SeanRanks26!$A$2:$K$303, 10, FALSE)-U58</f>
        <v>-4</v>
      </c>
      <c r="Y58" s="29" t="str">
        <f>IF(VLOOKUP($G58, SeanRanks26!$A$2:$H$303, 8, FALSE)=0, "", VLOOKUP($G58, SeanRanks26!$A$2:$H$303, 8, FALSE))</f>
        <v/>
      </c>
    </row>
    <row r="59" ht="14.25" customHeight="1">
      <c r="A59" s="11"/>
      <c r="B59" s="11">
        <f t="shared" si="4"/>
        <v>5</v>
      </c>
      <c r="C59" s="11" t="s">
        <v>106</v>
      </c>
      <c r="D59" s="11"/>
      <c r="E59" s="27"/>
      <c r="F59" s="11" t="str">
        <f>VLOOKUP($G59, SeanRanks26!$A$2:$H$303, 5, FALSE)</f>
        <v>Yes</v>
      </c>
      <c r="G59" s="16" t="s">
        <v>197</v>
      </c>
      <c r="H59" s="11" t="str">
        <f>VLOOKUP($G59, '26 ADP Data'!$C$4:$Q$298, 2, FALSE)</f>
        <v>LAR</v>
      </c>
      <c r="I59" s="11" t="str">
        <f>VLOOKUP(G59, '26 ADP Data'!$C$4:$R$496, 16, FALSE)</f>
        <v>WR</v>
      </c>
      <c r="J59" s="11" t="str">
        <f>VLOOKUP($G59, SeanRanks26!$A$2:$H$303, 6, FALSE)</f>
        <v>WR2 - 1 - High Ceiling</v>
      </c>
      <c r="K59" s="11">
        <f>VLOOKUP($G59, SeanRanks26!$A$2:$H$303, 7, FALSE)</f>
        <v>21</v>
      </c>
      <c r="L59" s="11">
        <f t="shared" si="5"/>
        <v>5</v>
      </c>
      <c r="M59" s="11">
        <f>VLOOKUP($G59, '26 ADP Data'!$C$4:$Q$298, 10, FALSE)</f>
        <v>55</v>
      </c>
      <c r="N59" s="11">
        <f>VLOOKUP($G59, '26 ADP Data'!$C$4:$Q$298, 13, FALSE)</f>
        <v>51</v>
      </c>
      <c r="O59" s="11">
        <f t="shared" si="6"/>
        <v>4</v>
      </c>
      <c r="P59" s="11">
        <f>VLOOKUP($G59, '26 ADP Data'!$C$4:$Q$298, 3, FALSE)</f>
        <v>56</v>
      </c>
      <c r="Q59" s="11">
        <f>VLOOKUP($G59, '26 ADP Data'!$C$4:$Q$298, 4, FALSE)</f>
        <v>42</v>
      </c>
      <c r="R59" s="11">
        <f>VLOOKUP($G59, '26 ADP Data'!$C$4:$Q$298, 6, FALSE)</f>
        <v>54</v>
      </c>
      <c r="S59" s="11">
        <f>VLOOKUP($G59, '26 ADP Data'!$C$4:$Q$298, 9, FALSE)</f>
        <v>58</v>
      </c>
      <c r="T59" s="11" t="str">
        <f>VLOOKUP($G59, '26 ADP Data'!$C$4:$Q$298, 8, FALSE)</f>
        <v>-</v>
      </c>
      <c r="U59" s="11">
        <f t="shared" si="7"/>
        <v>52</v>
      </c>
      <c r="V59" s="11">
        <f t="shared" si="8"/>
        <v>5</v>
      </c>
      <c r="W59" s="11"/>
      <c r="X59" s="11">
        <f>VLOOKUP($G59, SeanRanks26!$A$2:$K$303, 10, FALSE)-U59</f>
        <v>3</v>
      </c>
      <c r="Y59" s="29" t="str">
        <f>IF(VLOOKUP($G59, SeanRanks26!$A$2:$H$303, 8, FALSE)=0, "", VLOOKUP($G59, SeanRanks26!$A$2:$H$303, 8, FALSE))</f>
        <v/>
      </c>
    </row>
    <row r="60" ht="14.25" customHeight="1">
      <c r="A60" s="11"/>
      <c r="B60" s="11">
        <f t="shared" si="4"/>
        <v>5</v>
      </c>
      <c r="C60" s="11" t="s">
        <v>106</v>
      </c>
      <c r="D60" s="16">
        <v>2.0</v>
      </c>
      <c r="E60" s="27"/>
      <c r="F60" s="11" t="str">
        <f>VLOOKUP($G60, SeanRanks26!$A$2:$H$303, 5, FALSE)</f>
        <v/>
      </c>
      <c r="G60" s="16" t="s">
        <v>189</v>
      </c>
      <c r="H60" s="11" t="str">
        <f>VLOOKUP($G60, '26 ADP Data'!$C$4:$Q$298, 2, FALSE)</f>
        <v>CHI</v>
      </c>
      <c r="I60" s="11" t="str">
        <f>VLOOKUP(G60, '26 ADP Data'!$C$4:$R$496, 16, FALSE)</f>
        <v>WR</v>
      </c>
      <c r="J60" s="11" t="str">
        <f>VLOOKUP($G60, SeanRanks26!$A$2:$H$303, 6, FALSE)</f>
        <v>WR3 - 1 - Clear path to WR2</v>
      </c>
      <c r="K60" s="11">
        <f>VLOOKUP($G60, SeanRanks26!$A$2:$H$303, 7, FALSE)</f>
        <v>30</v>
      </c>
      <c r="L60" s="11">
        <f t="shared" si="5"/>
        <v>4</v>
      </c>
      <c r="M60" s="11">
        <f>VLOOKUP($G60, '26 ADP Data'!$C$4:$Q$298, 10, FALSE)</f>
        <v>45</v>
      </c>
      <c r="N60" s="11">
        <f>VLOOKUP($G60, '26 ADP Data'!$C$4:$Q$298, 13, FALSE)</f>
        <v>45</v>
      </c>
      <c r="O60" s="11">
        <f t="shared" si="6"/>
        <v>0</v>
      </c>
      <c r="P60" s="11">
        <f>VLOOKUP($G60, '26 ADP Data'!$C$4:$Q$298, 3, FALSE)</f>
        <v>60</v>
      </c>
      <c r="Q60" s="11">
        <f>VLOOKUP($G60, '26 ADP Data'!$C$4:$Q$298, 4, FALSE)</f>
        <v>65</v>
      </c>
      <c r="R60" s="11">
        <f>VLOOKUP($G60, '26 ADP Data'!$C$4:$Q$298, 6, FALSE)</f>
        <v>51</v>
      </c>
      <c r="S60" s="11">
        <f>VLOOKUP($G60, '26 ADP Data'!$C$4:$Q$298, 9, FALSE)</f>
        <v>52</v>
      </c>
      <c r="T60" s="11" t="str">
        <f>VLOOKUP($G60, '26 ADP Data'!$C$4:$Q$298, 8, FALSE)</f>
        <v>-</v>
      </c>
      <c r="U60" s="11">
        <f t="shared" si="7"/>
        <v>53</v>
      </c>
      <c r="V60" s="11">
        <f t="shared" si="8"/>
        <v>5</v>
      </c>
      <c r="W60" s="11"/>
      <c r="X60" s="11">
        <f>VLOOKUP($G60, SeanRanks26!$A$2:$K$303, 10, FALSE)-U60</f>
        <v>-8</v>
      </c>
      <c r="Y60" s="29" t="str">
        <f>IF(VLOOKUP($G60, SeanRanks26!$A$2:$H$303, 8, FALSE)=0, "", VLOOKUP($G60, SeanRanks26!$A$2:$H$303, 8, FALSE))</f>
        <v>2025 R2</v>
      </c>
    </row>
    <row r="61" ht="14.25" customHeight="1">
      <c r="A61" s="11"/>
      <c r="B61" s="11">
        <f t="shared" si="4"/>
        <v>5</v>
      </c>
      <c r="C61" s="11" t="s">
        <v>106</v>
      </c>
      <c r="D61" s="16">
        <v>2.0</v>
      </c>
      <c r="E61" s="27"/>
      <c r="F61" s="11" t="str">
        <f>VLOOKUP($G61, SeanRanks26!$A$2:$H$303, 5, FALSE)</f>
        <v/>
      </c>
      <c r="G61" s="16" t="s">
        <v>203</v>
      </c>
      <c r="H61" s="11" t="str">
        <f>VLOOKUP($G61, '26 ADP Data'!$C$4:$Q$298, 2, FALSE)</f>
        <v>DET</v>
      </c>
      <c r="I61" s="11" t="str">
        <f>VLOOKUP(G61, '26 ADP Data'!$C$4:$R$496, 16, FALSE)</f>
        <v>WR</v>
      </c>
      <c r="J61" s="11" t="str">
        <f>VLOOKUP($G61, SeanRanks26!$A$2:$H$303, 6, FALSE)</f>
        <v>WR3 - 1 - Clear path to WR2</v>
      </c>
      <c r="K61" s="11">
        <f>VLOOKUP($G61, SeanRanks26!$A$2:$H$303, 7, FALSE)</f>
        <v>28</v>
      </c>
      <c r="L61" s="11">
        <f t="shared" si="5"/>
        <v>5</v>
      </c>
      <c r="M61" s="11">
        <f>VLOOKUP($G61, '26 ADP Data'!$C$4:$Q$298, 10, FALSE)</f>
        <v>52</v>
      </c>
      <c r="N61" s="11">
        <f>VLOOKUP($G61, '26 ADP Data'!$C$4:$Q$298, 13, FALSE)</f>
        <v>50</v>
      </c>
      <c r="O61" s="11">
        <f t="shared" si="6"/>
        <v>2</v>
      </c>
      <c r="P61" s="11">
        <f>VLOOKUP($G61, '26 ADP Data'!$C$4:$Q$298, 3, FALSE)</f>
        <v>54</v>
      </c>
      <c r="Q61" s="11">
        <f>VLOOKUP($G61, '26 ADP Data'!$C$4:$Q$298, 4, FALSE)</f>
        <v>59</v>
      </c>
      <c r="R61" s="11">
        <f>VLOOKUP($G61, '26 ADP Data'!$C$4:$Q$298, 6, FALSE)</f>
        <v>56</v>
      </c>
      <c r="S61" s="11">
        <f>VLOOKUP($G61, '26 ADP Data'!$C$4:$Q$298, 9, FALSE)</f>
        <v>56</v>
      </c>
      <c r="T61" s="11" t="str">
        <f>VLOOKUP($G61, '26 ADP Data'!$C$4:$Q$298, 8, FALSE)</f>
        <v>-</v>
      </c>
      <c r="U61" s="11">
        <f t="shared" si="7"/>
        <v>54</v>
      </c>
      <c r="V61" s="11">
        <f t="shared" si="8"/>
        <v>5</v>
      </c>
      <c r="W61" s="11"/>
      <c r="X61" s="11">
        <f>VLOOKUP($G61, SeanRanks26!$A$2:$K$303, 10, FALSE)-U61</f>
        <v>-2</v>
      </c>
      <c r="Y61" s="29" t="str">
        <f>IF(VLOOKUP($G61, SeanRanks26!$A$2:$H$303, 8, FALSE)=0, "", VLOOKUP($G61, SeanRanks26!$A$2:$H$303, 8, FALSE))</f>
        <v/>
      </c>
    </row>
    <row r="62" ht="14.25" customHeight="1">
      <c r="A62" s="11"/>
      <c r="B62" s="11">
        <f t="shared" si="4"/>
        <v>5</v>
      </c>
      <c r="C62" s="11" t="s">
        <v>106</v>
      </c>
      <c r="D62" s="11"/>
      <c r="E62" s="27"/>
      <c r="F62" s="11" t="str">
        <f>VLOOKUP($G62, SeanRanks26!$A$2:$H$303, 5, FALSE)</f>
        <v/>
      </c>
      <c r="G62" s="16" t="s">
        <v>205</v>
      </c>
      <c r="H62" s="11" t="str">
        <f>VLOOKUP($G62, '26 ADP Data'!$C$4:$Q$298, 2, FALSE)</f>
        <v>JAX</v>
      </c>
      <c r="I62" s="11" t="str">
        <f>VLOOKUP(G62, '26 ADP Data'!$C$4:$R$496, 16, FALSE)</f>
        <v>RB</v>
      </c>
      <c r="J62" s="11" t="str">
        <f>VLOOKUP($G62, SeanRanks26!$A$2:$H$303, 6, FALSE)</f>
        <v>RB2 - 2 - 2 of 3</v>
      </c>
      <c r="K62" s="11">
        <f>VLOOKUP($G62, SeanRanks26!$A$2:$H$303, 7, FALSE)</f>
        <v>24</v>
      </c>
      <c r="L62" s="11">
        <f t="shared" si="5"/>
        <v>5</v>
      </c>
      <c r="M62" s="11">
        <f>VLOOKUP($G62, '26 ADP Data'!$C$4:$Q$298, 10, FALSE)</f>
        <v>59</v>
      </c>
      <c r="N62" s="11">
        <f>VLOOKUP($G62, '26 ADP Data'!$C$4:$Q$298, 13, FALSE)</f>
        <v>49</v>
      </c>
      <c r="O62" s="11">
        <f t="shared" si="6"/>
        <v>10</v>
      </c>
      <c r="P62" s="11">
        <f>VLOOKUP($G62, '26 ADP Data'!$C$4:$Q$298, 3, FALSE)</f>
        <v>52</v>
      </c>
      <c r="Q62" s="11">
        <f>VLOOKUP($G62, '26 ADP Data'!$C$4:$Q$298, 4, FALSE)</f>
        <v>62</v>
      </c>
      <c r="R62" s="11">
        <f>VLOOKUP($G62, '26 ADP Data'!$C$4:$Q$298, 6, FALSE)</f>
        <v>48</v>
      </c>
      <c r="S62" s="11">
        <f>VLOOKUP($G62, '26 ADP Data'!$C$4:$Q$298, 9, FALSE)</f>
        <v>59</v>
      </c>
      <c r="T62" s="11" t="str">
        <f>VLOOKUP($G62, '26 ADP Data'!$C$4:$Q$298, 8, FALSE)</f>
        <v>-</v>
      </c>
      <c r="U62" s="11">
        <f t="shared" si="7"/>
        <v>54</v>
      </c>
      <c r="V62" s="11">
        <f t="shared" si="8"/>
        <v>5</v>
      </c>
      <c r="W62" s="11"/>
      <c r="X62" s="11">
        <f>VLOOKUP($G62, SeanRanks26!$A$2:$K$303, 10, FALSE)-U62</f>
        <v>5</v>
      </c>
      <c r="Y62" s="29" t="str">
        <f>IF(VLOOKUP($G62, SeanRanks26!$A$2:$H$303, 8, FALSE)=0, "", VLOOKUP($G62, SeanRanks26!$A$2:$H$303, 8, FALSE))</f>
        <v>2025 Rookie R4</v>
      </c>
    </row>
    <row r="63" ht="14.25" customHeight="1">
      <c r="A63" s="11"/>
      <c r="B63" s="11">
        <f t="shared" si="4"/>
        <v>5</v>
      </c>
      <c r="C63" s="11" t="s">
        <v>106</v>
      </c>
      <c r="D63" s="11"/>
      <c r="E63" s="27"/>
      <c r="F63" s="11" t="str">
        <f>VLOOKUP($G63, SeanRanks26!$A$2:$H$303, 5, FALSE)</f>
        <v>Yes</v>
      </c>
      <c r="G63" s="16" t="s">
        <v>210</v>
      </c>
      <c r="H63" s="11" t="str">
        <f>VLOOKUP($G63, '26 ADP Data'!$C$4:$Q$298, 2, FALSE)</f>
        <v>NE</v>
      </c>
      <c r="I63" s="11" t="str">
        <f>VLOOKUP(G63, '26 ADP Data'!$C$4:$R$496, 16, FALSE)</f>
        <v>QB</v>
      </c>
      <c r="J63" s="11" t="str">
        <f>VLOOKUP($G63, SeanRanks26!$A$2:$H$303, 6, FALSE)</f>
        <v>QB1 - 3 - Weekly Starter</v>
      </c>
      <c r="K63" s="11">
        <f>VLOOKUP($G63, SeanRanks26!$A$2:$H$303, 7, FALSE)</f>
        <v>5</v>
      </c>
      <c r="L63" s="11">
        <f t="shared" si="5"/>
        <v>6</v>
      </c>
      <c r="M63" s="11">
        <f>VLOOKUP($G63, '26 ADP Data'!$C$4:$Q$298, 10, FALSE)</f>
        <v>61</v>
      </c>
      <c r="N63" s="11">
        <f>VLOOKUP($G63, '26 ADP Data'!$C$4:$Q$298, 13, FALSE)</f>
        <v>66</v>
      </c>
      <c r="O63" s="11">
        <f t="shared" si="6"/>
        <v>-5</v>
      </c>
      <c r="P63" s="11">
        <f>VLOOKUP($G63, '26 ADP Data'!$C$4:$Q$298, 3, FALSE)</f>
        <v>51</v>
      </c>
      <c r="Q63" s="11">
        <f>VLOOKUP($G63, '26 ADP Data'!$C$4:$Q$298, 4, FALSE)</f>
        <v>43</v>
      </c>
      <c r="R63" s="11">
        <f>VLOOKUP($G63, '26 ADP Data'!$C$4:$Q$298, 6, FALSE)</f>
        <v>70</v>
      </c>
      <c r="S63" s="11">
        <f>VLOOKUP($G63, '26 ADP Data'!$C$4:$Q$298, 9, FALSE)</f>
        <v>53</v>
      </c>
      <c r="T63" s="11" t="str">
        <f>VLOOKUP($G63, '26 ADP Data'!$C$4:$Q$298, 8, FALSE)</f>
        <v>-</v>
      </c>
      <c r="U63" s="11">
        <f t="shared" si="7"/>
        <v>57</v>
      </c>
      <c r="V63" s="11">
        <f t="shared" si="8"/>
        <v>5</v>
      </c>
      <c r="W63" s="11"/>
      <c r="X63" s="11">
        <f>VLOOKUP($G63, SeanRanks26!$A$2:$K$303, 10, FALSE)-U63</f>
        <v>4</v>
      </c>
      <c r="Y63" s="29" t="str">
        <f>IF(VLOOKUP($G63, SeanRanks26!$A$2:$H$303, 8, FALSE)=0, "", VLOOKUP($G63, SeanRanks26!$A$2:$H$303, 8, FALSE))</f>
        <v/>
      </c>
    </row>
    <row r="64" ht="14.25" customHeight="1">
      <c r="A64" s="11"/>
      <c r="B64" s="11">
        <f t="shared" si="4"/>
        <v>6</v>
      </c>
      <c r="C64" s="11" t="s">
        <v>106</v>
      </c>
      <c r="D64" s="11"/>
      <c r="E64" s="27"/>
      <c r="F64" s="11" t="str">
        <f>VLOOKUP($G64, SeanRanks26!$A$2:$H$303, 5, FALSE)</f>
        <v/>
      </c>
      <c r="G64" s="16" t="s">
        <v>208</v>
      </c>
      <c r="H64" s="11" t="str">
        <f>VLOOKUP($G64, '26 ADP Data'!$C$4:$Q$298, 2, FALSE)</f>
        <v>CHI</v>
      </c>
      <c r="I64" s="11" t="str">
        <f>VLOOKUP(G64, '26 ADP Data'!$C$4:$R$496, 16, FALSE)</f>
        <v>WR</v>
      </c>
      <c r="J64" s="11" t="str">
        <f>VLOOKUP($G64, SeanRanks26!$A$2:$H$303, 6, FALSE)</f>
        <v>WR3 - 1 - Clear path to WR2</v>
      </c>
      <c r="K64" s="11">
        <f>VLOOKUP($G64, SeanRanks26!$A$2:$H$303, 7, FALSE)</f>
        <v>26</v>
      </c>
      <c r="L64" s="11">
        <f t="shared" si="5"/>
        <v>5</v>
      </c>
      <c r="M64" s="11">
        <f>VLOOKUP($G64, '26 ADP Data'!$C$4:$Q$298, 10, FALSE)</f>
        <v>51</v>
      </c>
      <c r="N64" s="11">
        <f>VLOOKUP($G64, '26 ADP Data'!$C$4:$Q$298, 13, FALSE)</f>
        <v>59</v>
      </c>
      <c r="O64" s="11">
        <f t="shared" si="6"/>
        <v>-8</v>
      </c>
      <c r="P64" s="11">
        <f>VLOOKUP($G64, '26 ADP Data'!$C$4:$Q$298, 3, FALSE)</f>
        <v>64</v>
      </c>
      <c r="Q64" s="11">
        <f>VLOOKUP($G64, '26 ADP Data'!$C$4:$Q$298, 4, FALSE)</f>
        <v>57</v>
      </c>
      <c r="R64" s="11">
        <f>VLOOKUP($G64, '26 ADP Data'!$C$4:$Q$298, 6, FALSE)</f>
        <v>57</v>
      </c>
      <c r="S64" s="11">
        <f>VLOOKUP($G64, '26 ADP Data'!$C$4:$Q$298, 9, FALSE)</f>
        <v>63</v>
      </c>
      <c r="T64" s="11" t="str">
        <f>VLOOKUP($G64, '26 ADP Data'!$C$4:$Q$298, 8, FALSE)</f>
        <v>-</v>
      </c>
      <c r="U64" s="11">
        <f t="shared" si="7"/>
        <v>58</v>
      </c>
      <c r="V64" s="11">
        <f t="shared" si="8"/>
        <v>5</v>
      </c>
      <c r="W64" s="11"/>
      <c r="X64" s="11">
        <f>VLOOKUP($G64, SeanRanks26!$A$2:$K$303, 10, FALSE)-U64</f>
        <v>-7</v>
      </c>
      <c r="Y64" s="29" t="str">
        <f>IF(VLOOKUP($G64, SeanRanks26!$A$2:$H$303, 8, FALSE)=0, "", VLOOKUP($G64, SeanRanks26!$A$2:$H$303, 8, FALSE))</f>
        <v/>
      </c>
    </row>
    <row r="65" ht="14.25" customHeight="1">
      <c r="A65" s="11"/>
      <c r="B65" s="11">
        <f t="shared" si="4"/>
        <v>5</v>
      </c>
      <c r="C65" s="11" t="s">
        <v>106</v>
      </c>
      <c r="D65" s="16">
        <v>3.0</v>
      </c>
      <c r="E65" s="27"/>
      <c r="F65" s="11" t="str">
        <f>VLOOKUP($G65, SeanRanks26!$A$2:$H$303, 5, FALSE)</f>
        <v>Yes</v>
      </c>
      <c r="G65" s="16" t="s">
        <v>214</v>
      </c>
      <c r="H65" s="11" t="str">
        <f>VLOOKUP($G65, '26 ADP Data'!$C$4:$Q$298, 2, FALSE)</f>
        <v>SEA</v>
      </c>
      <c r="I65" s="11" t="str">
        <f>VLOOKUP(G65, '26 ADP Data'!$C$4:$R$496, 16, FALSE)</f>
        <v>RB</v>
      </c>
      <c r="J65" s="11" t="str">
        <f>VLOOKUP($G65, SeanRanks26!$A$2:$H$303, 6, FALSE)</f>
        <v>RB2 - 1 - Weekly Start</v>
      </c>
      <c r="K65" s="11">
        <f>VLOOKUP($G65, SeanRanks26!$A$2:$H$303, 7, FALSE)</f>
        <v>23</v>
      </c>
      <c r="L65" s="11">
        <f t="shared" si="5"/>
        <v>6</v>
      </c>
      <c r="M65" s="11">
        <f>VLOOKUP($G65, '26 ADP Data'!$C$4:$Q$298, 10, FALSE)</f>
        <v>62</v>
      </c>
      <c r="N65" s="11">
        <f>VLOOKUP($G65, '26 ADP Data'!$C$4:$Q$298, 13, FALSE)</f>
        <v>60</v>
      </c>
      <c r="O65" s="11">
        <f t="shared" si="6"/>
        <v>2</v>
      </c>
      <c r="P65" s="11">
        <f>VLOOKUP($G65, '26 ADP Data'!$C$4:$Q$298, 3, FALSE)</f>
        <v>55</v>
      </c>
      <c r="Q65" s="11">
        <f>VLOOKUP($G65, '26 ADP Data'!$C$4:$Q$298, 4, FALSE)</f>
        <v>64</v>
      </c>
      <c r="R65" s="11">
        <f>VLOOKUP($G65, '26 ADP Data'!$C$4:$Q$298, 6, FALSE)</f>
        <v>55</v>
      </c>
      <c r="S65" s="11">
        <f>VLOOKUP($G65, '26 ADP Data'!$C$4:$Q$298, 9, FALSE)</f>
        <v>61</v>
      </c>
      <c r="T65" s="11" t="str">
        <f>VLOOKUP($G65, '26 ADP Data'!$C$4:$Q$298, 8, FALSE)</f>
        <v>-</v>
      </c>
      <c r="U65" s="11">
        <f t="shared" si="7"/>
        <v>59</v>
      </c>
      <c r="V65" s="11">
        <f t="shared" si="8"/>
        <v>5</v>
      </c>
      <c r="W65" s="11"/>
      <c r="X65" s="11">
        <f>VLOOKUP($G65, SeanRanks26!$A$2:$K$303, 10, FALSE)-U65</f>
        <v>3</v>
      </c>
      <c r="Y65" s="29" t="str">
        <f>IF(VLOOKUP($G65, SeanRanks26!$A$2:$H$303, 8, FALSE)=0, "", VLOOKUP($G65, SeanRanks26!$A$2:$H$303, 8, FALSE))</f>
        <v>Rookie R1.32</v>
      </c>
    </row>
    <row r="66" ht="14.25" customHeight="1">
      <c r="A66" s="11"/>
      <c r="B66" s="11">
        <f t="shared" si="4"/>
        <v>5</v>
      </c>
      <c r="C66" s="11" t="s">
        <v>106</v>
      </c>
      <c r="D66" s="11"/>
      <c r="E66" s="27"/>
      <c r="F66" s="11" t="str">
        <f>VLOOKUP($G66, SeanRanks26!$A$2:$H$303, 5, FALSE)</f>
        <v>Yes</v>
      </c>
      <c r="G66" s="16" t="s">
        <v>212</v>
      </c>
      <c r="H66" s="11" t="str">
        <f>VLOOKUP($G66, '26 ADP Data'!$C$4:$Q$298, 2, FALSE)</f>
        <v>CIN</v>
      </c>
      <c r="I66" s="11" t="str">
        <f>VLOOKUP(G66, '26 ADP Data'!$C$4:$R$496, 16, FALSE)</f>
        <v>QB</v>
      </c>
      <c r="J66" s="11" t="str">
        <f>VLOOKUP($G66, SeanRanks26!$A$2:$H$303, 6, FALSE)</f>
        <v>QB1 - 3 - Weekly Starter</v>
      </c>
      <c r="K66" s="11">
        <f>VLOOKUP($G66, SeanRanks26!$A$2:$H$303, 7, FALSE)</f>
        <v>3</v>
      </c>
      <c r="L66" s="11">
        <f t="shared" si="5"/>
        <v>6</v>
      </c>
      <c r="M66" s="11">
        <f>VLOOKUP($G66, '26 ADP Data'!$C$4:$Q$298, 10, FALSE)</f>
        <v>64</v>
      </c>
      <c r="N66" s="11">
        <f>VLOOKUP($G66, '26 ADP Data'!$C$4:$Q$298, 13, FALSE)</f>
        <v>68</v>
      </c>
      <c r="O66" s="11">
        <f t="shared" si="6"/>
        <v>-4</v>
      </c>
      <c r="P66" s="11">
        <f>VLOOKUP($G66, '26 ADP Data'!$C$4:$Q$298, 3, FALSE)</f>
        <v>50</v>
      </c>
      <c r="Q66" s="11">
        <f>VLOOKUP($G66, '26 ADP Data'!$C$4:$Q$298, 4, FALSE)</f>
        <v>53</v>
      </c>
      <c r="R66" s="11">
        <f>VLOOKUP($G66, '26 ADP Data'!$C$4:$Q$298, 6, FALSE)</f>
        <v>74</v>
      </c>
      <c r="S66" s="11">
        <f>VLOOKUP($G66, '26 ADP Data'!$C$4:$Q$298, 9, FALSE)</f>
        <v>55</v>
      </c>
      <c r="T66" s="11" t="str">
        <f>VLOOKUP($G66, '26 ADP Data'!$C$4:$Q$298, 8, FALSE)</f>
        <v>-</v>
      </c>
      <c r="U66" s="11">
        <f t="shared" si="7"/>
        <v>60</v>
      </c>
      <c r="V66" s="11">
        <f t="shared" si="8"/>
        <v>6</v>
      </c>
      <c r="W66" s="11"/>
      <c r="X66" s="11">
        <f>VLOOKUP($G66, SeanRanks26!$A$2:$K$303, 10, FALSE)-U66</f>
        <v>4</v>
      </c>
      <c r="Y66" s="29" t="str">
        <f>IF(VLOOKUP($G66, SeanRanks26!$A$2:$H$303, 8, FALSE)=0, "", VLOOKUP($G66, SeanRanks26!$A$2:$H$303, 8, FALSE))</f>
        <v/>
      </c>
    </row>
    <row r="67" ht="14.25" customHeight="1">
      <c r="A67" s="11"/>
      <c r="B67" s="11">
        <f t="shared" si="4"/>
        <v>5</v>
      </c>
      <c r="C67" s="11" t="s">
        <v>106</v>
      </c>
      <c r="D67" s="11"/>
      <c r="E67" s="27"/>
      <c r="F67" s="11" t="str">
        <f>VLOOKUP($G67, SeanRanks26!$A$2:$H$303, 5, FALSE)</f>
        <v/>
      </c>
      <c r="G67" s="16" t="s">
        <v>216</v>
      </c>
      <c r="H67" s="11" t="str">
        <f>VLOOKUP($G67, '26 ADP Data'!$C$4:$Q$298, 2, FALSE)</f>
        <v>NE</v>
      </c>
      <c r="I67" s="11" t="str">
        <f>VLOOKUP(G67, '26 ADP Data'!$C$4:$R$496, 16, FALSE)</f>
        <v>RB</v>
      </c>
      <c r="J67" s="11" t="str">
        <f>VLOOKUP($G67, SeanRanks26!$A$2:$H$303, 6, FALSE)</f>
        <v>RB2 - 2 - 2 of 3</v>
      </c>
      <c r="K67" s="11">
        <f>VLOOKUP($G67, SeanRanks26!$A$2:$H$303, 7, FALSE)</f>
        <v>26</v>
      </c>
      <c r="L67" s="11">
        <f t="shared" si="5"/>
        <v>6</v>
      </c>
      <c r="M67" s="11">
        <f>VLOOKUP($G67, '26 ADP Data'!$C$4:$Q$298, 10, FALSE)</f>
        <v>69</v>
      </c>
      <c r="N67" s="11">
        <f>VLOOKUP($G67, '26 ADP Data'!$C$4:$Q$298, 13, FALSE)</f>
        <v>61</v>
      </c>
      <c r="O67" s="11">
        <f t="shared" si="6"/>
        <v>8</v>
      </c>
      <c r="P67" s="11">
        <f>VLOOKUP($G67, '26 ADP Data'!$C$4:$Q$298, 3, FALSE)</f>
        <v>62</v>
      </c>
      <c r="Q67" s="11">
        <f>VLOOKUP($G67, '26 ADP Data'!$C$4:$Q$298, 4, FALSE)</f>
        <v>68</v>
      </c>
      <c r="R67" s="11">
        <f>VLOOKUP($G67, '26 ADP Data'!$C$4:$Q$298, 6, FALSE)</f>
        <v>58</v>
      </c>
      <c r="S67" s="11">
        <f>VLOOKUP($G67, '26 ADP Data'!$C$4:$Q$298, 9, FALSE)</f>
        <v>46</v>
      </c>
      <c r="T67" s="11" t="str">
        <f>VLOOKUP($G67, '26 ADP Data'!$C$4:$Q$298, 8, FALSE)</f>
        <v>-</v>
      </c>
      <c r="U67" s="11">
        <f t="shared" si="7"/>
        <v>60</v>
      </c>
      <c r="V67" s="11">
        <f t="shared" si="8"/>
        <v>6</v>
      </c>
      <c r="W67" s="11"/>
      <c r="X67" s="11">
        <f>VLOOKUP($G67, SeanRanks26!$A$2:$K$303, 10, FALSE)-U67</f>
        <v>9</v>
      </c>
      <c r="Y67" s="29" t="str">
        <f>IF(VLOOKUP($G67, SeanRanks26!$A$2:$H$303, 8, FALSE)=0, "", VLOOKUP($G67, SeanRanks26!$A$2:$H$303, 8, FALSE))</f>
        <v>2025 Rookie R2</v>
      </c>
    </row>
    <row r="68" ht="14.25" customHeight="1">
      <c r="A68" s="11"/>
      <c r="B68" s="11">
        <f t="shared" si="4"/>
        <v>6</v>
      </c>
      <c r="C68" s="11" t="s">
        <v>106</v>
      </c>
      <c r="D68" s="11"/>
      <c r="E68" s="27"/>
      <c r="F68" s="11" t="str">
        <f>VLOOKUP($G68, SeanRanks26!$A$2:$H$303, 5, FALSE)</f>
        <v/>
      </c>
      <c r="G68" s="16" t="s">
        <v>220</v>
      </c>
      <c r="H68" s="11" t="str">
        <f>VLOOKUP($G68, '26 ADP Data'!$C$4:$Q$298, 2, FALSE)</f>
        <v>SF</v>
      </c>
      <c r="I68" s="11" t="str">
        <f>VLOOKUP(G68, '26 ADP Data'!$C$4:$R$496, 16, FALSE)</f>
        <v>WR</v>
      </c>
      <c r="J68" s="11" t="str">
        <f>VLOOKUP($G68, SeanRanks26!$A$2:$H$303, 6, FALSE)</f>
        <v>WR3 - 1 - Clear path to WR2</v>
      </c>
      <c r="K68" s="11">
        <f>VLOOKUP($G68, SeanRanks26!$A$2:$H$303, 7, FALSE)</f>
        <v>27</v>
      </c>
      <c r="L68" s="11">
        <f t="shared" si="5"/>
        <v>6</v>
      </c>
      <c r="M68" s="11">
        <f>VLOOKUP($G68, '26 ADP Data'!$C$4:$Q$298, 10, FALSE)</f>
        <v>60</v>
      </c>
      <c r="N68" s="11">
        <f>VLOOKUP($G68, '26 ADP Data'!$C$4:$Q$298, 13, FALSE)</f>
        <v>52</v>
      </c>
      <c r="O68" s="11">
        <f t="shared" si="6"/>
        <v>8</v>
      </c>
      <c r="P68" s="11">
        <f>VLOOKUP($G68, '26 ADP Data'!$C$4:$Q$298, 3, FALSE)</f>
        <v>63</v>
      </c>
      <c r="Q68" s="11">
        <f>VLOOKUP($G68, '26 ADP Data'!$C$4:$Q$298, 4, FALSE)</f>
        <v>84</v>
      </c>
      <c r="R68" s="11">
        <f>VLOOKUP($G68, '26 ADP Data'!$C$4:$Q$298, 6, FALSE)</f>
        <v>62</v>
      </c>
      <c r="S68" s="11">
        <f>VLOOKUP($G68, '26 ADP Data'!$C$4:$Q$298, 9, FALSE)</f>
        <v>60</v>
      </c>
      <c r="T68" s="11" t="str">
        <f>VLOOKUP($G68, '26 ADP Data'!$C$4:$Q$298, 8, FALSE)</f>
        <v>-</v>
      </c>
      <c r="U68" s="11">
        <f t="shared" si="7"/>
        <v>63</v>
      </c>
      <c r="V68" s="11">
        <f t="shared" si="8"/>
        <v>6</v>
      </c>
      <c r="W68" s="11"/>
      <c r="X68" s="11">
        <f>VLOOKUP($G68, SeanRanks26!$A$2:$K$303, 10, FALSE)-U68</f>
        <v>-3</v>
      </c>
      <c r="Y68" s="29" t="s">
        <v>803</v>
      </c>
    </row>
    <row r="69" ht="14.25" customHeight="1">
      <c r="A69" s="11"/>
      <c r="B69" s="11">
        <f t="shared" si="4"/>
        <v>6</v>
      </c>
      <c r="C69" s="11" t="s">
        <v>106</v>
      </c>
      <c r="D69" s="11"/>
      <c r="E69" s="27"/>
      <c r="F69" s="11" t="str">
        <f>VLOOKUP($G69, SeanRanks26!$A$2:$H$303, 5, FALSE)</f>
        <v>Yes</v>
      </c>
      <c r="G69" s="16" t="s">
        <v>218</v>
      </c>
      <c r="H69" s="11" t="str">
        <f>VLOOKUP($G69, '26 ADP Data'!$C$4:$Q$298, 2, FALSE)</f>
        <v>GB</v>
      </c>
      <c r="I69" s="11" t="str">
        <f>VLOOKUP(G69, '26 ADP Data'!$C$4:$R$496, 16, FALSE)</f>
        <v>WR</v>
      </c>
      <c r="J69" s="11" t="str">
        <f>VLOOKUP($G69, SeanRanks26!$A$2:$H$303, 6, FALSE)</f>
        <v>WR3 - 1 - Clear path to WR2</v>
      </c>
      <c r="K69" s="11">
        <f>VLOOKUP($G69, SeanRanks26!$A$2:$H$303, 7, FALSE)</f>
        <v>25</v>
      </c>
      <c r="L69" s="11">
        <f t="shared" si="5"/>
        <v>5</v>
      </c>
      <c r="M69" s="11">
        <f>VLOOKUP($G69, '26 ADP Data'!$C$4:$Q$298, 10, FALSE)</f>
        <v>54</v>
      </c>
      <c r="N69" s="11">
        <f>VLOOKUP($G69, '26 ADP Data'!$C$4:$Q$298, 13, FALSE)</f>
        <v>58</v>
      </c>
      <c r="O69" s="11">
        <f t="shared" si="6"/>
        <v>-4</v>
      </c>
      <c r="P69" s="11">
        <f>VLOOKUP($G69, '26 ADP Data'!$C$4:$Q$298, 3, FALSE)</f>
        <v>66</v>
      </c>
      <c r="Q69" s="11">
        <f>VLOOKUP($G69, '26 ADP Data'!$C$4:$Q$298, 4, FALSE)</f>
        <v>85</v>
      </c>
      <c r="R69" s="11">
        <f>VLOOKUP($G69, '26 ADP Data'!$C$4:$Q$298, 6, FALSE)</f>
        <v>59</v>
      </c>
      <c r="S69" s="11">
        <f>VLOOKUP($G69, '26 ADP Data'!$C$4:$Q$298, 9, FALSE)</f>
        <v>66</v>
      </c>
      <c r="T69" s="11" t="str">
        <f>VLOOKUP($G69, '26 ADP Data'!$C$4:$Q$298, 8, FALSE)</f>
        <v>-</v>
      </c>
      <c r="U69" s="11">
        <f t="shared" si="7"/>
        <v>64</v>
      </c>
      <c r="V69" s="11">
        <f t="shared" si="8"/>
        <v>6</v>
      </c>
      <c r="W69" s="11"/>
      <c r="X69" s="11">
        <f>VLOOKUP($G69, SeanRanks26!$A$2:$K$303, 10, FALSE)-U69</f>
        <v>-10</v>
      </c>
      <c r="Y69" s="29" t="str">
        <f>IF(VLOOKUP($G69, SeanRanks26!$A$2:$H$303, 8, FALSE)=0, "", VLOOKUP($G69, SeanRanks26!$A$2:$H$303, 8, FALSE))</f>
        <v>FFB My Guy</v>
      </c>
    </row>
    <row r="70" ht="14.25" customHeight="1">
      <c r="A70" s="11"/>
      <c r="B70" s="11">
        <f t="shared" si="4"/>
        <v>6</v>
      </c>
      <c r="C70" s="11" t="s">
        <v>106</v>
      </c>
      <c r="D70" s="16">
        <v>3.0</v>
      </c>
      <c r="E70" s="27"/>
      <c r="F70" s="11" t="str">
        <f>VLOOKUP($G70, SeanRanks26!$A$2:$H$303, 5, FALSE)</f>
        <v>Yes</v>
      </c>
      <c r="G70" s="16" t="s">
        <v>224</v>
      </c>
      <c r="H70" s="11" t="str">
        <f>VLOOKUP($G70, '26 ADP Data'!$C$4:$Q$298, 2, FALSE)</f>
        <v>WAS</v>
      </c>
      <c r="I70" s="11" t="str">
        <f>VLOOKUP(G70, '26 ADP Data'!$C$4:$R$496, 16, FALSE)</f>
        <v>QB</v>
      </c>
      <c r="J70" s="11" t="str">
        <f>VLOOKUP($G70, SeanRanks26!$A$2:$H$303, 6, FALSE)</f>
        <v>QB1 - 3 - Weekly Starter</v>
      </c>
      <c r="K70" s="11">
        <f>VLOOKUP($G70, SeanRanks26!$A$2:$H$303, 7, FALSE)</f>
        <v>4</v>
      </c>
      <c r="L70" s="11">
        <f t="shared" si="5"/>
        <v>6</v>
      </c>
      <c r="M70" s="11">
        <f>VLOOKUP($G70, '26 ADP Data'!$C$4:$Q$298, 10, FALSE)</f>
        <v>63</v>
      </c>
      <c r="N70" s="11">
        <f>VLOOKUP($G70, '26 ADP Data'!$C$4:$Q$298, 13, FALSE)</f>
        <v>69</v>
      </c>
      <c r="O70" s="11">
        <f t="shared" si="6"/>
        <v>-6</v>
      </c>
      <c r="P70" s="11">
        <f>VLOOKUP($G70, '26 ADP Data'!$C$4:$Q$298, 3, FALSE)</f>
        <v>61</v>
      </c>
      <c r="Q70" s="11">
        <f>VLOOKUP($G70, '26 ADP Data'!$C$4:$Q$298, 4, FALSE)</f>
        <v>47</v>
      </c>
      <c r="R70" s="11">
        <f>VLOOKUP($G70, '26 ADP Data'!$C$4:$Q$298, 6, FALSE)</f>
        <v>82</v>
      </c>
      <c r="S70" s="11">
        <f>VLOOKUP($G70, '26 ADP Data'!$C$4:$Q$298, 9, FALSE)</f>
        <v>64</v>
      </c>
      <c r="T70" s="11" t="str">
        <f>VLOOKUP($G70, '26 ADP Data'!$C$4:$Q$298, 8, FALSE)</f>
        <v>-</v>
      </c>
      <c r="U70" s="11">
        <f t="shared" si="7"/>
        <v>64</v>
      </c>
      <c r="V70" s="11">
        <f t="shared" si="8"/>
        <v>6</v>
      </c>
      <c r="W70" s="11"/>
      <c r="X70" s="11">
        <f>VLOOKUP($G70, SeanRanks26!$A$2:$K$303, 10, FALSE)-U70</f>
        <v>-1</v>
      </c>
      <c r="Y70" s="29" t="str">
        <f>IF(VLOOKUP($G70, SeanRanks26!$A$2:$H$303, 8, FALSE)=0, "", VLOOKUP($G70, SeanRanks26!$A$2:$H$303, 8, FALSE))</f>
        <v/>
      </c>
    </row>
    <row r="71" ht="14.25" customHeight="1">
      <c r="A71" s="11"/>
      <c r="B71" s="11">
        <f t="shared" si="4"/>
        <v>6</v>
      </c>
      <c r="C71" s="11" t="s">
        <v>106</v>
      </c>
      <c r="D71" s="11"/>
      <c r="E71" s="27"/>
      <c r="F71" s="11" t="str">
        <f>VLOOKUP($G71, SeanRanks26!$A$2:$H$303, 5, FALSE)</f>
        <v>Yes</v>
      </c>
      <c r="G71" s="16" t="s">
        <v>234</v>
      </c>
      <c r="H71" s="11" t="str">
        <f>VLOOKUP($G71, '26 ADP Data'!$C$4:$Q$298, 2, FALSE)</f>
        <v>PHI</v>
      </c>
      <c r="I71" s="11" t="str">
        <f>VLOOKUP(G71, '26 ADP Data'!$C$4:$R$496, 16, FALSE)</f>
        <v>QB</v>
      </c>
      <c r="J71" s="11" t="str">
        <f>VLOOKUP($G71, SeanRanks26!$A$2:$H$303, 6, FALSE)</f>
        <v>QB1 - 3 - Weekly Starter</v>
      </c>
      <c r="K71" s="11">
        <f>VLOOKUP($G71, SeanRanks26!$A$2:$H$303, 7, FALSE)</f>
        <v>6</v>
      </c>
      <c r="L71" s="11">
        <f t="shared" si="5"/>
        <v>6</v>
      </c>
      <c r="M71" s="11">
        <f>VLOOKUP($G71, '26 ADP Data'!$C$4:$Q$298, 10, FALSE)</f>
        <v>66</v>
      </c>
      <c r="N71" s="11">
        <f>VLOOKUP($G71, '26 ADP Data'!$C$4:$Q$298, 13, FALSE)</f>
        <v>71</v>
      </c>
      <c r="O71" s="11">
        <f t="shared" si="6"/>
        <v>-5</v>
      </c>
      <c r="P71" s="11">
        <f>VLOOKUP($G71, '26 ADP Data'!$C$4:$Q$298, 3, FALSE)</f>
        <v>65</v>
      </c>
      <c r="Q71" s="11">
        <f>VLOOKUP($G71, '26 ADP Data'!$C$4:$Q$298, 4, FALSE)</f>
        <v>48</v>
      </c>
      <c r="R71" s="11">
        <f>VLOOKUP($G71, '26 ADP Data'!$C$4:$Q$298, 6, FALSE)</f>
        <v>88</v>
      </c>
      <c r="S71" s="11">
        <f>VLOOKUP($G71, '26 ADP Data'!$C$4:$Q$298, 9, FALSE)</f>
        <v>65</v>
      </c>
      <c r="T71" s="11" t="str">
        <f>VLOOKUP($G71, '26 ADP Data'!$C$4:$Q$298, 8, FALSE)</f>
        <v>-</v>
      </c>
      <c r="U71" s="11">
        <f t="shared" si="7"/>
        <v>67</v>
      </c>
      <c r="V71" s="11">
        <f t="shared" si="8"/>
        <v>6</v>
      </c>
      <c r="W71" s="11"/>
      <c r="X71" s="11">
        <f>VLOOKUP($G71, SeanRanks26!$A$2:$K$303, 10, FALSE)-U71</f>
        <v>-1</v>
      </c>
      <c r="Y71" s="29" t="str">
        <f>IF(VLOOKUP($G71, SeanRanks26!$A$2:$H$303, 8, FALSE)=0, "", VLOOKUP($G71, SeanRanks26!$A$2:$H$303, 8, FALSE))</f>
        <v/>
      </c>
    </row>
    <row r="72" ht="14.25" customHeight="1">
      <c r="A72" s="11"/>
      <c r="B72" s="11">
        <f t="shared" si="4"/>
        <v>7</v>
      </c>
      <c r="C72" s="11" t="s">
        <v>106</v>
      </c>
      <c r="D72" s="11"/>
      <c r="E72" s="27"/>
      <c r="F72" s="11" t="str">
        <f>VLOOKUP($G72, SeanRanks26!$A$2:$H$303, 5, FALSE)</f>
        <v/>
      </c>
      <c r="G72" s="16" t="s">
        <v>222</v>
      </c>
      <c r="H72" s="11" t="str">
        <f>VLOOKUP($G72, '26 ADP Data'!$C$4:$Q$298, 2, FALSE)</f>
        <v>JAX</v>
      </c>
      <c r="I72" s="11" t="str">
        <f>VLOOKUP(G72, '26 ADP Data'!$C$4:$R$496, 16, FALSE)</f>
        <v>WR</v>
      </c>
      <c r="J72" s="11" t="str">
        <f>VLOOKUP($G72, SeanRanks26!$A$2:$H$303, 6, FALSE)</f>
        <v>WR4 - 1 - Path to WR2</v>
      </c>
      <c r="K72" s="11">
        <f>VLOOKUP($G72, SeanRanks26!$A$2:$H$303, 7, FALSE)</f>
        <v>36</v>
      </c>
      <c r="L72" s="11">
        <f t="shared" si="5"/>
        <v>5</v>
      </c>
      <c r="M72" s="11">
        <f>VLOOKUP($G72, '26 ADP Data'!$C$4:$Q$298, 10, FALSE)</f>
        <v>57</v>
      </c>
      <c r="N72" s="11">
        <f>VLOOKUP($G72, '26 ADP Data'!$C$4:$Q$298, 13, FALSE)</f>
        <v>56</v>
      </c>
      <c r="O72" s="11">
        <f t="shared" si="6"/>
        <v>1</v>
      </c>
      <c r="P72" s="11">
        <f>VLOOKUP($G72, '26 ADP Data'!$C$4:$Q$298, 3, FALSE)</f>
        <v>77</v>
      </c>
      <c r="Q72" s="11">
        <f>VLOOKUP($G72, '26 ADP Data'!$C$4:$Q$298, 4, FALSE)</f>
        <v>83</v>
      </c>
      <c r="R72" s="11">
        <f>VLOOKUP($G72, '26 ADP Data'!$C$4:$Q$298, 6, FALSE)</f>
        <v>60</v>
      </c>
      <c r="S72" s="11">
        <f>VLOOKUP($G72, '26 ADP Data'!$C$4:$Q$298, 9, FALSE)</f>
        <v>77</v>
      </c>
      <c r="T72" s="11" t="str">
        <f>VLOOKUP($G72, '26 ADP Data'!$C$4:$Q$298, 8, FALSE)</f>
        <v>-</v>
      </c>
      <c r="U72" s="11">
        <f t="shared" si="7"/>
        <v>68</v>
      </c>
      <c r="V72" s="11">
        <f t="shared" si="8"/>
        <v>6</v>
      </c>
      <c r="W72" s="11"/>
      <c r="X72" s="11">
        <f>VLOOKUP($G72, SeanRanks26!$A$2:$K$303, 10, FALSE)-U72</f>
        <v>-11</v>
      </c>
      <c r="Y72" s="29" t="str">
        <f>IF(VLOOKUP($G72, SeanRanks26!$A$2:$H$303, 8, FALSE)=0, "", VLOOKUP($G72, SeanRanks26!$A$2:$H$303, 8, FALSE))</f>
        <v>2026 6th rd WR</v>
      </c>
    </row>
    <row r="73" ht="14.25" customHeight="1">
      <c r="A73" s="11"/>
      <c r="B73" s="11">
        <f t="shared" si="4"/>
        <v>6</v>
      </c>
      <c r="C73" s="11" t="s">
        <v>106</v>
      </c>
      <c r="D73" s="11"/>
      <c r="E73" s="27"/>
      <c r="F73" s="11" t="str">
        <f>VLOOKUP($G73, SeanRanks26!$A$2:$H$303, 5, FALSE)</f>
        <v/>
      </c>
      <c r="G73" s="16" t="s">
        <v>228</v>
      </c>
      <c r="H73" s="11" t="str">
        <f>VLOOKUP($G73, '26 ADP Data'!$C$4:$Q$298, 2, FALSE)</f>
        <v>ARI</v>
      </c>
      <c r="I73" s="11" t="str">
        <f>VLOOKUP(G73, '26 ADP Data'!$C$4:$R$496, 16, FALSE)</f>
        <v>WR</v>
      </c>
      <c r="J73" s="11" t="str">
        <f>VLOOKUP($G73, SeanRanks26!$A$2:$H$303, 6, FALSE)</f>
        <v>WR3 - 1 - Clear path to WR2</v>
      </c>
      <c r="K73" s="11">
        <f>VLOOKUP($G73, SeanRanks26!$A$2:$H$303, 7, FALSE)</f>
        <v>35</v>
      </c>
      <c r="L73" s="11">
        <f t="shared" si="5"/>
        <v>6</v>
      </c>
      <c r="M73" s="11">
        <f>VLOOKUP($G73, '26 ADP Data'!$C$4:$Q$298, 10, FALSE)</f>
        <v>68</v>
      </c>
      <c r="N73" s="11">
        <f>VLOOKUP($G73, '26 ADP Data'!$C$4:$Q$298, 13, FALSE)</f>
        <v>65</v>
      </c>
      <c r="O73" s="11">
        <f t="shared" si="6"/>
        <v>3</v>
      </c>
      <c r="P73" s="11">
        <f>VLOOKUP($G73, '26 ADP Data'!$C$4:$Q$298, 3, FALSE)</f>
        <v>69</v>
      </c>
      <c r="Q73" s="11">
        <f>VLOOKUP($G73, '26 ADP Data'!$C$4:$Q$298, 4, FALSE)</f>
        <v>72</v>
      </c>
      <c r="R73" s="11">
        <f>VLOOKUP($G73, '26 ADP Data'!$C$4:$Q$298, 6, FALSE)</f>
        <v>71</v>
      </c>
      <c r="S73" s="11">
        <f>VLOOKUP($G73, '26 ADP Data'!$C$4:$Q$298, 9, FALSE)</f>
        <v>74</v>
      </c>
      <c r="T73" s="11" t="str">
        <f>VLOOKUP($G73, '26 ADP Data'!$C$4:$Q$298, 8, FALSE)</f>
        <v>-</v>
      </c>
      <c r="U73" s="11">
        <f t="shared" si="7"/>
        <v>69</v>
      </c>
      <c r="V73" s="11">
        <f t="shared" si="8"/>
        <v>6</v>
      </c>
      <c r="W73" s="11"/>
      <c r="X73" s="11">
        <f>VLOOKUP($G73, SeanRanks26!$A$2:$K$303, 10, FALSE)-U73</f>
        <v>-1</v>
      </c>
      <c r="Y73" s="29" t="str">
        <f>IF(VLOOKUP($G73, SeanRanks26!$A$2:$H$303, 8, FALSE)=0, "", VLOOKUP($G73, SeanRanks26!$A$2:$H$303, 8, FALSE))</f>
        <v/>
      </c>
    </row>
    <row r="74" ht="14.25" customHeight="1">
      <c r="A74" s="11"/>
      <c r="B74" s="11">
        <f t="shared" si="4"/>
        <v>7</v>
      </c>
      <c r="C74" s="11" t="s">
        <v>106</v>
      </c>
      <c r="D74" s="11"/>
      <c r="E74" s="27"/>
      <c r="F74" s="11" t="str">
        <f>VLOOKUP($G74, SeanRanks26!$A$2:$H$303, 5, FALSE)</f>
        <v/>
      </c>
      <c r="G74" s="16" t="s">
        <v>226</v>
      </c>
      <c r="H74" s="11" t="str">
        <f>VLOOKUP($G74, '26 ADP Data'!$C$4:$Q$298, 2, FALSE)</f>
        <v>NE</v>
      </c>
      <c r="I74" s="11" t="str">
        <f>VLOOKUP(G74, '26 ADP Data'!$C$4:$R$496, 16, FALSE)</f>
        <v>RB</v>
      </c>
      <c r="J74" s="11" t="str">
        <f>VLOOKUP($G74, SeanRanks26!$A$2:$H$303, 6, FALSE)</f>
        <v>RB3</v>
      </c>
      <c r="K74" s="11">
        <f>VLOOKUP($G74, SeanRanks26!$A$2:$H$303, 7, FALSE)</f>
        <v>33</v>
      </c>
      <c r="L74" s="11">
        <f t="shared" si="5"/>
        <v>6</v>
      </c>
      <c r="M74" s="11">
        <f>VLOOKUP($G74, '26 ADP Data'!$C$4:$Q$298, 10, FALSE)</f>
        <v>65</v>
      </c>
      <c r="N74" s="11">
        <f>VLOOKUP($G74, '26 ADP Data'!$C$4:$Q$298, 13, FALSE)</f>
        <v>67</v>
      </c>
      <c r="O74" s="11">
        <f t="shared" si="6"/>
        <v>-2</v>
      </c>
      <c r="P74" s="11">
        <f>VLOOKUP($G74, '26 ADP Data'!$C$4:$Q$298, 3, FALSE)</f>
        <v>74</v>
      </c>
      <c r="Q74" s="11">
        <f>VLOOKUP($G74, '26 ADP Data'!$C$4:$Q$298, 4, FALSE)</f>
        <v>71</v>
      </c>
      <c r="R74" s="11">
        <f>VLOOKUP($G74, '26 ADP Data'!$C$4:$Q$298, 6, FALSE)</f>
        <v>69</v>
      </c>
      <c r="S74" s="11">
        <f>VLOOKUP($G74, '26 ADP Data'!$C$4:$Q$298, 9, FALSE)</f>
        <v>78</v>
      </c>
      <c r="T74" s="11" t="str">
        <f>VLOOKUP($G74, '26 ADP Data'!$C$4:$Q$298, 8, FALSE)</f>
        <v>-</v>
      </c>
      <c r="U74" s="11">
        <f t="shared" si="7"/>
        <v>70</v>
      </c>
      <c r="V74" s="11">
        <f t="shared" si="8"/>
        <v>6</v>
      </c>
      <c r="W74" s="11"/>
      <c r="X74" s="11">
        <f>VLOOKUP($G74, SeanRanks26!$A$2:$K$303, 10, FALSE)-U74</f>
        <v>-5</v>
      </c>
      <c r="Y74" s="29" t="str">
        <f>IF(VLOOKUP($G74, SeanRanks26!$A$2:$H$303, 8, FALSE)=0, "", VLOOKUP($G74, SeanRanks26!$A$2:$H$303, 8, FALSE))</f>
        <v/>
      </c>
    </row>
    <row r="75" ht="14.25" customHeight="1">
      <c r="A75" s="11"/>
      <c r="B75" s="11">
        <f t="shared" si="4"/>
        <v>6</v>
      </c>
      <c r="C75" s="11" t="s">
        <v>106</v>
      </c>
      <c r="D75" s="11"/>
      <c r="E75" s="27"/>
      <c r="F75" s="11" t="str">
        <f>VLOOKUP($G75, SeanRanks26!$A$2:$H$303, 5, FALSE)</f>
        <v/>
      </c>
      <c r="G75" s="16" t="s">
        <v>239</v>
      </c>
      <c r="H75" s="11" t="str">
        <f>VLOOKUP($G75, '26 ADP Data'!$C$4:$Q$298, 2, FALSE)</f>
        <v>GB</v>
      </c>
      <c r="I75" s="11" t="str">
        <f>VLOOKUP(G75, '26 ADP Data'!$C$4:$R$496, 16, FALSE)</f>
        <v>TE</v>
      </c>
      <c r="J75" s="11" t="str">
        <f>VLOOKUP($G75, SeanRanks26!$A$2:$H$303, 6, FALSE)</f>
        <v>TE1 - 3 - Weekly starter</v>
      </c>
      <c r="K75" s="11">
        <f>VLOOKUP($G75, SeanRanks26!$A$2:$H$303, 7, FALSE)</f>
        <v>5</v>
      </c>
      <c r="L75" s="11">
        <f t="shared" si="5"/>
        <v>6</v>
      </c>
      <c r="M75" s="11">
        <f>VLOOKUP($G75, '26 ADP Data'!$C$4:$Q$298, 10, FALSE)</f>
        <v>67</v>
      </c>
      <c r="N75" s="11">
        <f>VLOOKUP($G75, '26 ADP Data'!$C$4:$Q$298, 13, FALSE)</f>
        <v>76</v>
      </c>
      <c r="O75" s="11">
        <f t="shared" si="6"/>
        <v>-9</v>
      </c>
      <c r="P75" s="11">
        <f>VLOOKUP($G75, '26 ADP Data'!$C$4:$Q$298, 3, FALSE)</f>
        <v>73</v>
      </c>
      <c r="Q75" s="11">
        <f>VLOOKUP($G75, '26 ADP Data'!$C$4:$Q$298, 4, FALSE)</f>
        <v>77</v>
      </c>
      <c r="R75" s="11">
        <f>VLOOKUP($G75, '26 ADP Data'!$C$4:$Q$298, 6, FALSE)</f>
        <v>64</v>
      </c>
      <c r="S75" s="11">
        <f>VLOOKUP($G75, '26 ADP Data'!$C$4:$Q$298, 9, FALSE)</f>
        <v>67</v>
      </c>
      <c r="T75" s="11" t="str">
        <f>VLOOKUP($G75, '26 ADP Data'!$C$4:$Q$298, 8, FALSE)</f>
        <v>-</v>
      </c>
      <c r="U75" s="11">
        <f t="shared" si="7"/>
        <v>70</v>
      </c>
      <c r="V75" s="11">
        <f t="shared" si="8"/>
        <v>6</v>
      </c>
      <c r="W75" s="11"/>
      <c r="X75" s="11">
        <f>VLOOKUP($G75, SeanRanks26!$A$2:$K$303, 10, FALSE)-U75</f>
        <v>-3</v>
      </c>
      <c r="Y75" s="29" t="str">
        <f>IF(VLOOKUP($G75, SeanRanks26!$A$2:$H$303, 8, FALSE)=0, "", VLOOKUP($G75, SeanRanks26!$A$2:$H$303, 8, FALSE))</f>
        <v/>
      </c>
    </row>
    <row r="76" ht="14.25" customHeight="1">
      <c r="A76" s="11"/>
      <c r="B76" s="11">
        <f t="shared" si="4"/>
        <v>6</v>
      </c>
      <c r="C76" s="11" t="s">
        <v>106</v>
      </c>
      <c r="D76" s="11"/>
      <c r="E76" s="27"/>
      <c r="F76" s="11" t="str">
        <f>VLOOKUP($G76, SeanRanks26!$A$2:$H$303, 5, FALSE)</f>
        <v/>
      </c>
      <c r="G76" s="16" t="s">
        <v>246</v>
      </c>
      <c r="H76" s="11" t="str">
        <f>VLOOKUP($G76, '26 ADP Data'!$C$4:$Q$298, 2, FALSE)</f>
        <v>DET</v>
      </c>
      <c r="I76" s="11" t="str">
        <f>VLOOKUP(G76, '26 ADP Data'!$C$4:$R$496, 16, FALSE)</f>
        <v>TE</v>
      </c>
      <c r="J76" s="11" t="str">
        <f>VLOOKUP($G76, SeanRanks26!$A$2:$H$303, 6, FALSE)</f>
        <v>TE1 - 3 - Weekly starter</v>
      </c>
      <c r="K76" s="11">
        <f>VLOOKUP($G76, SeanRanks26!$A$2:$H$303, 7, FALSE)</f>
        <v>8</v>
      </c>
      <c r="L76" s="11">
        <f t="shared" si="5"/>
        <v>6</v>
      </c>
      <c r="M76" s="11">
        <f>VLOOKUP($G76, '26 ADP Data'!$C$4:$Q$298, 10, FALSE)</f>
        <v>70</v>
      </c>
      <c r="N76" s="11">
        <f>VLOOKUP($G76, '26 ADP Data'!$C$4:$Q$298, 13, FALSE)</f>
        <v>91</v>
      </c>
      <c r="O76" s="11">
        <f t="shared" si="6"/>
        <v>-21</v>
      </c>
      <c r="P76" s="11">
        <f>VLOOKUP($G76, '26 ADP Data'!$C$4:$Q$298, 3, FALSE)</f>
        <v>72</v>
      </c>
      <c r="Q76" s="11">
        <f>VLOOKUP($G76, '26 ADP Data'!$C$4:$Q$298, 4, FALSE)</f>
        <v>61</v>
      </c>
      <c r="R76" s="11">
        <f>VLOOKUP($G76, '26 ADP Data'!$C$4:$Q$298, 6, FALSE)</f>
        <v>67</v>
      </c>
      <c r="S76" s="11">
        <f>VLOOKUP($G76, '26 ADP Data'!$C$4:$Q$298, 9, FALSE)</f>
        <v>68</v>
      </c>
      <c r="T76" s="11" t="str">
        <f>VLOOKUP($G76, '26 ADP Data'!$C$4:$Q$298, 8, FALSE)</f>
        <v>-</v>
      </c>
      <c r="U76" s="11">
        <f t="shared" si="7"/>
        <v>71</v>
      </c>
      <c r="V76" s="11">
        <f t="shared" si="8"/>
        <v>6</v>
      </c>
      <c r="W76" s="11"/>
      <c r="X76" s="11">
        <f>VLOOKUP($G76, SeanRanks26!$A$2:$K$303, 10, FALSE)-U76</f>
        <v>-1</v>
      </c>
      <c r="Y76" s="29" t="s">
        <v>362</v>
      </c>
    </row>
    <row r="77" ht="14.25" customHeight="1">
      <c r="A77" s="11"/>
      <c r="B77" s="11">
        <f t="shared" si="4"/>
        <v>7</v>
      </c>
      <c r="C77" s="11" t="s">
        <v>106</v>
      </c>
      <c r="D77" s="11"/>
      <c r="E77" s="27"/>
      <c r="F77" s="11" t="str">
        <f>VLOOKUP($G77, SeanRanks26!$A$2:$H$303, 5, FALSE)</f>
        <v>Yes</v>
      </c>
      <c r="G77" s="16" t="s">
        <v>230</v>
      </c>
      <c r="H77" s="11" t="str">
        <f>VLOOKUP($G77, '26 ADP Data'!$C$4:$Q$298, 2, FALSE)</f>
        <v>TEN</v>
      </c>
      <c r="I77" s="11" t="str">
        <f>VLOOKUP(G77, '26 ADP Data'!$C$4:$R$496, 16, FALSE)</f>
        <v>WR</v>
      </c>
      <c r="J77" s="11" t="str">
        <f>VLOOKUP($G77, SeanRanks26!$A$2:$H$303, 6, FALSE)</f>
        <v>WR2 - 2 - Lower Floor</v>
      </c>
      <c r="K77" s="11">
        <f>VLOOKUP($G77, SeanRanks26!$A$2:$H$303, 7, FALSE)</f>
        <v>23</v>
      </c>
      <c r="L77" s="11">
        <f t="shared" si="5"/>
        <v>7</v>
      </c>
      <c r="M77" s="11">
        <f>VLOOKUP($G77, '26 ADP Data'!$C$4:$Q$298, 10, FALSE)</f>
        <v>74</v>
      </c>
      <c r="N77" s="11">
        <f>VLOOKUP($G77, '26 ADP Data'!$C$4:$Q$298, 13, FALSE)</f>
        <v>62</v>
      </c>
      <c r="O77" s="11">
        <f t="shared" si="6"/>
        <v>12</v>
      </c>
      <c r="P77" s="11">
        <f>VLOOKUP($G77, '26 ADP Data'!$C$4:$Q$298, 3, FALSE)</f>
        <v>89</v>
      </c>
      <c r="Q77" s="11">
        <f>VLOOKUP($G77, '26 ADP Data'!$C$4:$Q$298, 4, FALSE)</f>
        <v>67</v>
      </c>
      <c r="R77" s="11">
        <f>VLOOKUP($G77, '26 ADP Data'!$C$4:$Q$298, 6, FALSE)</f>
        <v>72</v>
      </c>
      <c r="S77" s="11">
        <f>VLOOKUP($G77, '26 ADP Data'!$C$4:$Q$298, 9, FALSE)</f>
        <v>62</v>
      </c>
      <c r="T77" s="11" t="str">
        <f>VLOOKUP($G77, '26 ADP Data'!$C$4:$Q$298, 8, FALSE)</f>
        <v>-</v>
      </c>
      <c r="U77" s="11">
        <f t="shared" si="7"/>
        <v>71</v>
      </c>
      <c r="V77" s="11">
        <f t="shared" si="8"/>
        <v>6</v>
      </c>
      <c r="W77" s="11">
        <f>D77-V77</f>
        <v>-6</v>
      </c>
      <c r="X77" s="11">
        <f>VLOOKUP($G77, SeanRanks26!$A$2:$K$303, 10, FALSE)-U77</f>
        <v>3</v>
      </c>
      <c r="Y77" s="29" t="str">
        <f>IF(VLOOKUP($G77, SeanRanks26!$A$2:$H$303, 8, FALSE)=0, "", VLOOKUP($G77, SeanRanks26!$A$2:$H$303, 8, FALSE))</f>
        <v>Rookie R1.4.  FFB My Guy</v>
      </c>
    </row>
    <row r="78" ht="14.25" customHeight="1">
      <c r="A78" s="11"/>
      <c r="B78" s="11">
        <f t="shared" si="4"/>
        <v>7</v>
      </c>
      <c r="C78" s="11" t="s">
        <v>106</v>
      </c>
      <c r="D78" s="11"/>
      <c r="E78" s="27"/>
      <c r="F78" s="11" t="str">
        <f>VLOOKUP($G78, SeanRanks26!$A$2:$H$303, 5, FALSE)</f>
        <v/>
      </c>
      <c r="G78" s="16" t="s">
        <v>236</v>
      </c>
      <c r="H78" s="11" t="str">
        <f>VLOOKUP($G78, '26 ADP Data'!$C$4:$Q$298, 2, FALSE)</f>
        <v>PIT</v>
      </c>
      <c r="I78" s="11" t="str">
        <f>VLOOKUP(G78, '26 ADP Data'!$C$4:$R$496, 16, FALSE)</f>
        <v>RB</v>
      </c>
      <c r="J78" s="11" t="str">
        <f>VLOOKUP($G78, SeanRanks26!$A$2:$H$303, 6, FALSE)</f>
        <v>RB3</v>
      </c>
      <c r="K78" s="11">
        <f>VLOOKUP($G78, SeanRanks26!$A$2:$H$303, 7, FALSE)</f>
        <v>34</v>
      </c>
      <c r="L78" s="11">
        <f t="shared" si="5"/>
        <v>6</v>
      </c>
      <c r="M78" s="11">
        <f>VLOOKUP($G78, '26 ADP Data'!$C$4:$Q$298, 10, FALSE)</f>
        <v>71</v>
      </c>
      <c r="N78" s="11">
        <f>VLOOKUP($G78, '26 ADP Data'!$C$4:$Q$298, 13, FALSE)</f>
        <v>70</v>
      </c>
      <c r="O78" s="11">
        <f t="shared" si="6"/>
        <v>1</v>
      </c>
      <c r="P78" s="11">
        <f>VLOOKUP($G78, '26 ADP Data'!$C$4:$Q$298, 3, FALSE)</f>
        <v>68</v>
      </c>
      <c r="Q78" s="11">
        <f>VLOOKUP($G78, '26 ADP Data'!$C$4:$Q$298, 4, FALSE)</f>
        <v>87</v>
      </c>
      <c r="R78" s="11">
        <f>VLOOKUP($G78, '26 ADP Data'!$C$4:$Q$298, 6, FALSE)</f>
        <v>68</v>
      </c>
      <c r="S78" s="11">
        <f>VLOOKUP($G78, '26 ADP Data'!$C$4:$Q$298, 9, FALSE)</f>
        <v>69</v>
      </c>
      <c r="T78" s="11" t="str">
        <f>VLOOKUP($G78, '26 ADP Data'!$C$4:$Q$298, 8, FALSE)</f>
        <v>-</v>
      </c>
      <c r="U78" s="11">
        <f t="shared" si="7"/>
        <v>72</v>
      </c>
      <c r="V78" s="11">
        <f t="shared" si="8"/>
        <v>7</v>
      </c>
      <c r="W78" s="11"/>
      <c r="X78" s="11">
        <f>VLOOKUP($G78, SeanRanks26!$A$2:$K$303, 10, FALSE)-U78</f>
        <v>-1</v>
      </c>
      <c r="Y78" s="29" t="s">
        <v>662</v>
      </c>
    </row>
    <row r="79" ht="14.25" customHeight="1">
      <c r="A79" s="11"/>
      <c r="B79" s="11">
        <f t="shared" si="4"/>
        <v>6</v>
      </c>
      <c r="C79" s="11" t="s">
        <v>106</v>
      </c>
      <c r="D79" s="11"/>
      <c r="E79" s="27"/>
      <c r="F79" s="11" t="str">
        <f>VLOOKUP($G79, SeanRanks26!$A$2:$H$303, 5, FALSE)</f>
        <v>Yes</v>
      </c>
      <c r="G79" s="16" t="s">
        <v>248</v>
      </c>
      <c r="H79" s="11" t="str">
        <f>VLOOKUP($G79, '26 ADP Data'!$C$4:$Q$298, 2, FALSE)</f>
        <v>ATL</v>
      </c>
      <c r="I79" s="11" t="str">
        <f>VLOOKUP(G79, '26 ADP Data'!$C$4:$R$496, 16, FALSE)</f>
        <v>TE</v>
      </c>
      <c r="J79" s="11" t="str">
        <f>VLOOKUP($G79, SeanRanks26!$A$2:$H$303, 6, FALSE)</f>
        <v>TE1 - 3 - Weekly starter</v>
      </c>
      <c r="K79" s="11">
        <f>VLOOKUP($G79, SeanRanks26!$A$2:$H$303, 7, FALSE)</f>
        <v>7</v>
      </c>
      <c r="L79" s="11">
        <f t="shared" si="5"/>
        <v>7</v>
      </c>
      <c r="M79" s="11">
        <f>VLOOKUP($G79, '26 ADP Data'!$C$4:$Q$298, 10, FALSE)</f>
        <v>81</v>
      </c>
      <c r="N79" s="11">
        <f>VLOOKUP($G79, '26 ADP Data'!$C$4:$Q$298, 13, FALSE)</f>
        <v>102</v>
      </c>
      <c r="O79" s="11">
        <f t="shared" si="6"/>
        <v>-21</v>
      </c>
      <c r="P79" s="11">
        <f>VLOOKUP($G79, '26 ADP Data'!$C$4:$Q$298, 3, FALSE)</f>
        <v>67</v>
      </c>
      <c r="Q79" s="11">
        <f>VLOOKUP($G79, '26 ADP Data'!$C$4:$Q$298, 4, FALSE)</f>
        <v>58</v>
      </c>
      <c r="R79" s="11">
        <f>VLOOKUP($G79, '26 ADP Data'!$C$4:$Q$298, 6, FALSE)</f>
        <v>65</v>
      </c>
      <c r="S79" s="11">
        <f>VLOOKUP($G79, '26 ADP Data'!$C$4:$Q$298, 9, FALSE)</f>
        <v>72</v>
      </c>
      <c r="T79" s="11" t="str">
        <f>VLOOKUP($G79, '26 ADP Data'!$C$4:$Q$298, 8, FALSE)</f>
        <v>-</v>
      </c>
      <c r="U79" s="11">
        <f t="shared" si="7"/>
        <v>74</v>
      </c>
      <c r="V79" s="11">
        <f t="shared" si="8"/>
        <v>7</v>
      </c>
      <c r="W79" s="11"/>
      <c r="X79" s="11">
        <f>VLOOKUP($G79, SeanRanks26!$A$2:$K$303, 10, FALSE)-U79</f>
        <v>7</v>
      </c>
      <c r="Y79" s="29" t="str">
        <f>IF(VLOOKUP($G79, SeanRanks26!$A$2:$H$303, 8, FALSE)=0, "", VLOOKUP($G79, SeanRanks26!$A$2:$H$303, 8, FALSE))</f>
        <v/>
      </c>
    </row>
    <row r="80" ht="14.25" customHeight="1">
      <c r="A80" s="11"/>
      <c r="B80" s="11">
        <f t="shared" si="4"/>
        <v>7</v>
      </c>
      <c r="C80" s="11" t="s">
        <v>106</v>
      </c>
      <c r="D80" s="11"/>
      <c r="E80" s="27"/>
      <c r="F80" s="11" t="str">
        <f>VLOOKUP($G80, SeanRanks26!$A$2:$H$303, 5, FALSE)</f>
        <v>No</v>
      </c>
      <c r="G80" s="16" t="s">
        <v>242</v>
      </c>
      <c r="H80" s="11" t="str">
        <f>VLOOKUP($G80, '26 ADP Data'!$C$4:$Q$298, 2, FALSE)</f>
        <v>JAX</v>
      </c>
      <c r="I80" s="11" t="str">
        <f>VLOOKUP(G80, '26 ADP Data'!$C$4:$R$496, 16, FALSE)</f>
        <v>WR</v>
      </c>
      <c r="J80" s="11" t="str">
        <f>VLOOKUP($G80, SeanRanks26!$A$2:$H$303, 6, FALSE)</f>
        <v>WR4 - 2 - Spot Start</v>
      </c>
      <c r="K80" s="11">
        <f>VLOOKUP($G80, SeanRanks26!$A$2:$H$303, 7, FALSE)</f>
        <v>40</v>
      </c>
      <c r="L80" s="11">
        <f t="shared" si="5"/>
        <v>7</v>
      </c>
      <c r="M80" s="11">
        <f>VLOOKUP($G80, '26 ADP Data'!$C$4:$Q$298, 10, FALSE)</f>
        <v>73</v>
      </c>
      <c r="N80" s="11">
        <f>VLOOKUP($G80, '26 ADP Data'!$C$4:$Q$298, 13, FALSE)</f>
        <v>64</v>
      </c>
      <c r="O80" s="11">
        <f t="shared" si="6"/>
        <v>9</v>
      </c>
      <c r="P80" s="11">
        <f>VLOOKUP($G80, '26 ADP Data'!$C$4:$Q$298, 3, FALSE)</f>
        <v>83</v>
      </c>
      <c r="Q80" s="11">
        <f>VLOOKUP($G80, '26 ADP Data'!$C$4:$Q$298, 4, FALSE)</f>
        <v>95</v>
      </c>
      <c r="R80" s="11">
        <f>VLOOKUP($G80, '26 ADP Data'!$C$4:$Q$298, 6, FALSE)</f>
        <v>76</v>
      </c>
      <c r="S80" s="11">
        <f>VLOOKUP($G80, '26 ADP Data'!$C$4:$Q$298, 9, FALSE)</f>
        <v>70</v>
      </c>
      <c r="T80" s="11" t="str">
        <f>VLOOKUP($G80, '26 ADP Data'!$C$4:$Q$298, 8, FALSE)</f>
        <v>-</v>
      </c>
      <c r="U80" s="11">
        <f t="shared" si="7"/>
        <v>76</v>
      </c>
      <c r="V80" s="11">
        <f t="shared" si="8"/>
        <v>7</v>
      </c>
      <c r="W80" s="11"/>
      <c r="X80" s="11">
        <f>VLOOKUP($G80, SeanRanks26!$A$2:$K$303, 10, FALSE)-U80</f>
        <v>-3</v>
      </c>
      <c r="Y80" s="29" t="str">
        <f>IF(VLOOKUP($G80, SeanRanks26!$A$2:$H$303, 8, FALSE)=0, "", VLOOKUP($G80, SeanRanks26!$A$2:$H$303, 8, FALSE))</f>
        <v/>
      </c>
    </row>
    <row r="81" ht="14.25" customHeight="1">
      <c r="A81" s="11"/>
      <c r="B81" s="11">
        <f t="shared" si="4"/>
        <v>6</v>
      </c>
      <c r="C81" s="11" t="s">
        <v>106</v>
      </c>
      <c r="D81" s="11"/>
      <c r="E81" s="27"/>
      <c r="F81" s="11" t="str">
        <f>VLOOKUP($G81, SeanRanks26!$A$2:$H$303, 5, FALSE)</f>
        <v/>
      </c>
      <c r="G81" s="16" t="s">
        <v>257</v>
      </c>
      <c r="H81" s="11" t="str">
        <f>VLOOKUP($G81, '26 ADP Data'!$C$4:$Q$298, 2, FALSE)</f>
        <v>CLE</v>
      </c>
      <c r="I81" s="11" t="str">
        <f>VLOOKUP(G81, '26 ADP Data'!$C$4:$R$496, 16, FALSE)</f>
        <v>TE</v>
      </c>
      <c r="J81" s="11" t="str">
        <f>VLOOKUP($G81, SeanRanks26!$A$2:$H$303, 6, FALSE)</f>
        <v>TE1 - 3 - Weekly starter</v>
      </c>
      <c r="K81" s="11">
        <f>VLOOKUP($G81, SeanRanks26!$A$2:$H$303, 7, FALSE)</f>
        <v>6</v>
      </c>
      <c r="L81" s="11">
        <f t="shared" si="5"/>
        <v>7</v>
      </c>
      <c r="M81" s="11">
        <f>VLOOKUP($G81, '26 ADP Data'!$C$4:$Q$298, 10, FALSE)</f>
        <v>77</v>
      </c>
      <c r="N81" s="11">
        <f>VLOOKUP($G81, '26 ADP Data'!$C$4:$Q$298, 13, FALSE)</f>
        <v>105</v>
      </c>
      <c r="O81" s="11">
        <f t="shared" si="6"/>
        <v>-28</v>
      </c>
      <c r="P81" s="11">
        <f>VLOOKUP($G81, '26 ADP Data'!$C$4:$Q$298, 3, FALSE)</f>
        <v>79</v>
      </c>
      <c r="Q81" s="11">
        <f>VLOOKUP($G81, '26 ADP Data'!$C$4:$Q$298, 4, FALSE)</f>
        <v>63</v>
      </c>
      <c r="R81" s="11">
        <f>VLOOKUP($G81, '26 ADP Data'!$C$4:$Q$298, 6, FALSE)</f>
        <v>63</v>
      </c>
      <c r="S81" s="11">
        <f>VLOOKUP($G81, '26 ADP Data'!$C$4:$Q$298, 9, FALSE)</f>
        <v>71</v>
      </c>
      <c r="T81" s="11" t="str">
        <f>VLOOKUP($G81, '26 ADP Data'!$C$4:$Q$298, 8, FALSE)</f>
        <v>-</v>
      </c>
      <c r="U81" s="11">
        <f t="shared" si="7"/>
        <v>76</v>
      </c>
      <c r="V81" s="11">
        <f t="shared" si="8"/>
        <v>7</v>
      </c>
      <c r="W81" s="11"/>
      <c r="X81" s="11">
        <f>VLOOKUP($G81, SeanRanks26!$A$2:$K$303, 10, FALSE)-U81</f>
        <v>1</v>
      </c>
      <c r="Y81" s="29" t="str">
        <f>IF(VLOOKUP($G81, SeanRanks26!$A$2:$H$303, 8, FALSE)=0, "", VLOOKUP($G81, SeanRanks26!$A$2:$H$303, 8, FALSE))</f>
        <v/>
      </c>
    </row>
    <row r="82" ht="14.25" customHeight="1">
      <c r="A82" s="11"/>
      <c r="B82" s="11">
        <f t="shared" si="4"/>
        <v>7</v>
      </c>
      <c r="C82" s="11" t="s">
        <v>106</v>
      </c>
      <c r="D82" s="11"/>
      <c r="E82" s="27"/>
      <c r="F82" s="11" t="str">
        <f>VLOOKUP($G82, SeanRanks26!$A$2:$H$303, 5, FALSE)</f>
        <v/>
      </c>
      <c r="G82" s="16" t="s">
        <v>244</v>
      </c>
      <c r="H82" s="11" t="str">
        <f>VLOOKUP($G82, '26 ADP Data'!$C$4:$Q$298, 2, FALSE)</f>
        <v>CHI</v>
      </c>
      <c r="I82" s="11" t="str">
        <f>VLOOKUP(G82, '26 ADP Data'!$C$4:$R$496, 16, FALSE)</f>
        <v>QB</v>
      </c>
      <c r="J82" s="11" t="str">
        <f>VLOOKUP($G82, SeanRanks26!$A$2:$H$303, 6, FALSE)</f>
        <v>QB1 - 4 - Lower Floor</v>
      </c>
      <c r="K82" s="11">
        <f>VLOOKUP($G82, SeanRanks26!$A$2:$H$303, 7, FALSE)</f>
        <v>7</v>
      </c>
      <c r="L82" s="11">
        <f t="shared" si="5"/>
        <v>7</v>
      </c>
      <c r="M82" s="11">
        <f>VLOOKUP($G82, '26 ADP Data'!$C$4:$Q$298, 10, FALSE)</f>
        <v>72</v>
      </c>
      <c r="N82" s="11">
        <f>VLOOKUP($G82, '26 ADP Data'!$C$4:$Q$298, 13, FALSE)</f>
        <v>72</v>
      </c>
      <c r="O82" s="11">
        <f t="shared" si="6"/>
        <v>0</v>
      </c>
      <c r="P82" s="11">
        <f>VLOOKUP($G82, '26 ADP Data'!$C$4:$Q$298, 3, FALSE)</f>
        <v>70</v>
      </c>
      <c r="Q82" s="11">
        <f>VLOOKUP($G82, '26 ADP Data'!$C$4:$Q$298, 4, FALSE)</f>
        <v>81</v>
      </c>
      <c r="R82" s="11">
        <f>VLOOKUP($G82, '26 ADP Data'!$C$4:$Q$298, 6, FALSE)</f>
        <v>89</v>
      </c>
      <c r="S82" s="11">
        <f>VLOOKUP($G82, '26 ADP Data'!$C$4:$Q$298, 9, FALSE)</f>
        <v>80</v>
      </c>
      <c r="T82" s="11" t="str">
        <f>VLOOKUP($G82, '26 ADP Data'!$C$4:$Q$298, 8, FALSE)</f>
        <v>-</v>
      </c>
      <c r="U82" s="11">
        <f t="shared" si="7"/>
        <v>77</v>
      </c>
      <c r="V82" s="11">
        <f t="shared" si="8"/>
        <v>7</v>
      </c>
      <c r="W82" s="11"/>
      <c r="X82" s="11">
        <f>VLOOKUP($G82, SeanRanks26!$A$2:$K$303, 10, FALSE)-U82</f>
        <v>-5</v>
      </c>
      <c r="Y82" s="29" t="str">
        <f>IF(VLOOKUP($G82, SeanRanks26!$A$2:$H$303, 8, FALSE)=0, "", VLOOKUP($G82, SeanRanks26!$A$2:$H$303, 8, FALSE))</f>
        <v>FFB My Guy</v>
      </c>
    </row>
    <row r="83" ht="14.25" customHeight="1">
      <c r="A83" s="11"/>
      <c r="B83" s="11">
        <f t="shared" si="4"/>
        <v>7</v>
      </c>
      <c r="C83" s="11" t="s">
        <v>106</v>
      </c>
      <c r="D83" s="11"/>
      <c r="E83" s="27"/>
      <c r="F83" s="11" t="str">
        <f>VLOOKUP($G83, SeanRanks26!$A$2:$H$303, 5, FALSE)</f>
        <v/>
      </c>
      <c r="G83" s="16" t="s">
        <v>250</v>
      </c>
      <c r="H83" s="11" t="str">
        <f>VLOOKUP($G83, '26 ADP Data'!$C$4:$Q$298, 2, FALSE)</f>
        <v>PIT</v>
      </c>
      <c r="I83" s="11" t="str">
        <f>VLOOKUP(G83, '26 ADP Data'!$C$4:$R$496, 16, FALSE)</f>
        <v>WR</v>
      </c>
      <c r="J83" s="11" t="str">
        <f>VLOOKUP($G83, SeanRanks26!$A$2:$H$303, 6, FALSE)</f>
        <v>WR3 - 1 - Clear path to WR2</v>
      </c>
      <c r="K83" s="11">
        <f>VLOOKUP($G83, SeanRanks26!$A$2:$H$303, 7, FALSE)</f>
        <v>29</v>
      </c>
      <c r="L83" s="11">
        <f t="shared" si="5"/>
        <v>7</v>
      </c>
      <c r="M83" s="11">
        <f>VLOOKUP($G83, '26 ADP Data'!$C$4:$Q$298, 10, FALSE)</f>
        <v>78</v>
      </c>
      <c r="N83" s="11">
        <f>VLOOKUP($G83, '26 ADP Data'!$C$4:$Q$298, 13, FALSE)</f>
        <v>73</v>
      </c>
      <c r="O83" s="11">
        <f t="shared" si="6"/>
        <v>5</v>
      </c>
      <c r="P83" s="11">
        <f>VLOOKUP($G83, '26 ADP Data'!$C$4:$Q$298, 3, FALSE)</f>
        <v>90</v>
      </c>
      <c r="Q83" s="11">
        <f>VLOOKUP($G83, '26 ADP Data'!$C$4:$Q$298, 4, FALSE)</f>
        <v>74</v>
      </c>
      <c r="R83" s="11">
        <f>VLOOKUP($G83, '26 ADP Data'!$C$4:$Q$298, 6, FALSE)</f>
        <v>85</v>
      </c>
      <c r="S83" s="11">
        <f>VLOOKUP($G83, '26 ADP Data'!$C$4:$Q$298, 9, FALSE)</f>
        <v>76</v>
      </c>
      <c r="T83" s="11" t="str">
        <f>VLOOKUP($G83, '26 ADP Data'!$C$4:$Q$298, 8, FALSE)</f>
        <v>-</v>
      </c>
      <c r="U83" s="11">
        <f t="shared" si="7"/>
        <v>79</v>
      </c>
      <c r="V83" s="11">
        <f t="shared" si="8"/>
        <v>7</v>
      </c>
      <c r="W83" s="11"/>
      <c r="X83" s="11">
        <f>VLOOKUP($G83, SeanRanks26!$A$2:$K$303, 10, FALSE)-U83</f>
        <v>-1</v>
      </c>
      <c r="Y83" s="29" t="str">
        <f>IF(VLOOKUP($G83, SeanRanks26!$A$2:$H$303, 8, FALSE)=0, "", VLOOKUP($G83, SeanRanks26!$A$2:$H$303, 8, FALSE))</f>
        <v/>
      </c>
    </row>
    <row r="84" ht="14.25" customHeight="1">
      <c r="A84" s="11"/>
      <c r="B84" s="11">
        <f t="shared" si="4"/>
        <v>7</v>
      </c>
      <c r="C84" s="11" t="s">
        <v>106</v>
      </c>
      <c r="D84" s="11"/>
      <c r="E84" s="27"/>
      <c r="F84" s="11" t="str">
        <f>VLOOKUP($G84, SeanRanks26!$A$2:$H$303, 5, FALSE)</f>
        <v/>
      </c>
      <c r="G84" s="16" t="s">
        <v>259</v>
      </c>
      <c r="H84" s="11" t="str">
        <f>VLOOKUP($G84, '26 ADP Data'!$C$4:$Q$298, 2, FALSE)</f>
        <v>DAL</v>
      </c>
      <c r="I84" s="11" t="str">
        <f>VLOOKUP(G84, '26 ADP Data'!$C$4:$R$496, 16, FALSE)</f>
        <v>QB</v>
      </c>
      <c r="J84" s="11" t="str">
        <f>VLOOKUP($G84, SeanRanks26!$A$2:$H$303, 6, FALSE)</f>
        <v>QB1 - 4 - Lower Floor</v>
      </c>
      <c r="K84" s="11">
        <f>VLOOKUP($G84, SeanRanks26!$A$2:$H$303, 7, FALSE)</f>
        <v>8</v>
      </c>
      <c r="L84" s="11">
        <f t="shared" si="5"/>
        <v>7</v>
      </c>
      <c r="M84" s="11">
        <f>VLOOKUP($G84, '26 ADP Data'!$C$4:$Q$298, 10, FALSE)</f>
        <v>82</v>
      </c>
      <c r="N84" s="11">
        <f>VLOOKUP($G84, '26 ADP Data'!$C$4:$Q$298, 13, FALSE)</f>
        <v>79</v>
      </c>
      <c r="O84" s="11">
        <f t="shared" si="6"/>
        <v>3</v>
      </c>
      <c r="P84" s="11">
        <f>VLOOKUP($G84, '26 ADP Data'!$C$4:$Q$298, 3, FALSE)</f>
        <v>58</v>
      </c>
      <c r="Q84" s="11">
        <f>VLOOKUP($G84, '26 ADP Data'!$C$4:$Q$298, 4, FALSE)</f>
        <v>73</v>
      </c>
      <c r="R84" s="11">
        <f>VLOOKUP($G84, '26 ADP Data'!$C$4:$Q$298, 6, FALSE)</f>
        <v>95</v>
      </c>
      <c r="S84" s="11">
        <f>VLOOKUP($G84, '26 ADP Data'!$C$4:$Q$298, 9, FALSE)</f>
        <v>90</v>
      </c>
      <c r="T84" s="11" t="str">
        <f>VLOOKUP($G84, '26 ADP Data'!$C$4:$Q$298, 8, FALSE)</f>
        <v>-</v>
      </c>
      <c r="U84" s="11">
        <f t="shared" si="7"/>
        <v>79</v>
      </c>
      <c r="V84" s="11">
        <f t="shared" si="8"/>
        <v>7</v>
      </c>
      <c r="W84" s="11"/>
      <c r="X84" s="11">
        <f>VLOOKUP($G84, SeanRanks26!$A$2:$K$303, 10, FALSE)-U84</f>
        <v>3</v>
      </c>
      <c r="Y84" s="29" t="str">
        <f>IF(VLOOKUP($G84, SeanRanks26!$A$2:$H$303, 8, FALSE)=0, "", VLOOKUP($G84, SeanRanks26!$A$2:$H$303, 8, FALSE))</f>
        <v/>
      </c>
    </row>
    <row r="85" ht="14.25" customHeight="1">
      <c r="A85" s="11"/>
      <c r="B85" s="11">
        <f t="shared" si="4"/>
        <v>7</v>
      </c>
      <c r="C85" s="11" t="s">
        <v>106</v>
      </c>
      <c r="D85" s="11"/>
      <c r="E85" s="27"/>
      <c r="F85" s="11" t="str">
        <f>VLOOKUP($G85, SeanRanks26!$A$2:$H$303, 5, FALSE)</f>
        <v/>
      </c>
      <c r="G85" s="16" t="s">
        <v>255</v>
      </c>
      <c r="H85" s="11" t="str">
        <f>VLOOKUP($G85, '26 ADP Data'!$C$4:$Q$298, 2, FALSE)</f>
        <v>TEN</v>
      </c>
      <c r="I85" s="11" t="str">
        <f>VLOOKUP(G85, '26 ADP Data'!$C$4:$R$496, 16, FALSE)</f>
        <v>RB</v>
      </c>
      <c r="J85" s="11" t="str">
        <f>VLOOKUP($G85, SeanRanks26!$A$2:$H$303, 6, FALSE)</f>
        <v>RB3</v>
      </c>
      <c r="K85" s="11">
        <f>VLOOKUP($G85, SeanRanks26!$A$2:$H$303, 7, FALSE)</f>
        <v>28</v>
      </c>
      <c r="L85" s="11">
        <f t="shared" si="5"/>
        <v>7</v>
      </c>
      <c r="M85" s="11">
        <f>VLOOKUP($G85, '26 ADP Data'!$C$4:$Q$298, 10, FALSE)</f>
        <v>79</v>
      </c>
      <c r="N85" s="11">
        <f>VLOOKUP($G85, '26 ADP Data'!$C$4:$Q$298, 13, FALSE)</f>
        <v>77</v>
      </c>
      <c r="O85" s="11">
        <f t="shared" si="6"/>
        <v>2</v>
      </c>
      <c r="P85" s="11">
        <f>VLOOKUP($G85, '26 ADP Data'!$C$4:$Q$298, 3, FALSE)</f>
        <v>71</v>
      </c>
      <c r="Q85" s="11">
        <f>VLOOKUP($G85, '26 ADP Data'!$C$4:$Q$298, 4, FALSE)</f>
        <v>96</v>
      </c>
      <c r="R85" s="11">
        <f>VLOOKUP($G85, '26 ADP Data'!$C$4:$Q$298, 6, FALSE)</f>
        <v>75</v>
      </c>
      <c r="S85" s="11">
        <f>VLOOKUP($G85, '26 ADP Data'!$C$4:$Q$298, 9, FALSE)</f>
        <v>82</v>
      </c>
      <c r="T85" s="11" t="str">
        <f>VLOOKUP($G85, '26 ADP Data'!$C$4:$Q$298, 8, FALSE)</f>
        <v>-</v>
      </c>
      <c r="U85" s="11">
        <f t="shared" si="7"/>
        <v>80</v>
      </c>
      <c r="V85" s="11">
        <f t="shared" si="8"/>
        <v>7</v>
      </c>
      <c r="W85" s="11"/>
      <c r="X85" s="11">
        <f>VLOOKUP($G85, SeanRanks26!$A$2:$K$303, 10, FALSE)-U85</f>
        <v>-1</v>
      </c>
      <c r="Y85" s="29" t="str">
        <f>IF(VLOOKUP($G85, SeanRanks26!$A$2:$H$303, 8, FALSE)=0, "", VLOOKUP($G85, SeanRanks26!$A$2:$H$303, 8, FALSE))</f>
        <v/>
      </c>
    </row>
    <row r="86" ht="14.25" customHeight="1">
      <c r="A86" s="11"/>
      <c r="B86" s="11">
        <f t="shared" si="4"/>
        <v>7</v>
      </c>
      <c r="C86" s="11" t="s">
        <v>106</v>
      </c>
      <c r="D86" s="11"/>
      <c r="E86" s="27"/>
      <c r="F86" s="11" t="str">
        <f>VLOOKUP($G86, SeanRanks26!$A$2:$H$303, 5, FALSE)</f>
        <v/>
      </c>
      <c r="G86" s="16" t="s">
        <v>263</v>
      </c>
      <c r="H86" s="11" t="str">
        <f>VLOOKUP($G86, '26 ADP Data'!$C$4:$Q$298, 2, FALSE)</f>
        <v>PIT</v>
      </c>
      <c r="I86" s="11" t="str">
        <f>VLOOKUP(G86, '26 ADP Data'!$C$4:$R$496, 16, FALSE)</f>
        <v>RB</v>
      </c>
      <c r="J86" s="11" t="str">
        <f>VLOOKUP($G86, SeanRanks26!$A$2:$H$303, 6, FALSE)</f>
        <v>RB3</v>
      </c>
      <c r="K86" s="11">
        <f>VLOOKUP($G86, SeanRanks26!$A$2:$H$303, 7, FALSE)</f>
        <v>27</v>
      </c>
      <c r="L86" s="11">
        <f t="shared" si="5"/>
        <v>7</v>
      </c>
      <c r="M86" s="11">
        <f>VLOOKUP($G86, '26 ADP Data'!$C$4:$Q$298, 10, FALSE)</f>
        <v>83</v>
      </c>
      <c r="N86" s="11">
        <f>VLOOKUP($G86, '26 ADP Data'!$C$4:$Q$298, 13, FALSE)</f>
        <v>83</v>
      </c>
      <c r="O86" s="11">
        <f t="shared" si="6"/>
        <v>0</v>
      </c>
      <c r="P86" s="11">
        <f>VLOOKUP($G86, '26 ADP Data'!$C$4:$Q$298, 3, FALSE)</f>
        <v>75</v>
      </c>
      <c r="Q86" s="11">
        <f>VLOOKUP($G86, '26 ADP Data'!$C$4:$Q$298, 4, FALSE)</f>
        <v>93</v>
      </c>
      <c r="R86" s="11">
        <f>VLOOKUP($G86, '26 ADP Data'!$C$4:$Q$298, 6, FALSE)</f>
        <v>77</v>
      </c>
      <c r="S86" s="11">
        <f>VLOOKUP($G86, '26 ADP Data'!$C$4:$Q$298, 9, FALSE)</f>
        <v>84</v>
      </c>
      <c r="T86" s="11" t="str">
        <f>VLOOKUP($G86, '26 ADP Data'!$C$4:$Q$298, 8, FALSE)</f>
        <v>-</v>
      </c>
      <c r="U86" s="11">
        <f t="shared" si="7"/>
        <v>82</v>
      </c>
      <c r="V86" s="11">
        <f t="shared" si="8"/>
        <v>7</v>
      </c>
      <c r="W86" s="11"/>
      <c r="X86" s="11">
        <f>VLOOKUP($G86, SeanRanks26!$A$2:$K$303, 10, FALSE)-U86</f>
        <v>1</v>
      </c>
      <c r="Y86" s="29" t="str">
        <f>IF(VLOOKUP($G86, SeanRanks26!$A$2:$H$303, 8, FALSE)=0, "", VLOOKUP($G86, SeanRanks26!$A$2:$H$303, 8, FALSE))</f>
        <v/>
      </c>
    </row>
    <row r="87" ht="14.25" customHeight="1">
      <c r="A87" s="11"/>
      <c r="B87" s="11">
        <f t="shared" si="4"/>
        <v>8</v>
      </c>
      <c r="C87" s="11" t="s">
        <v>106</v>
      </c>
      <c r="D87" s="11"/>
      <c r="E87" s="27"/>
      <c r="F87" s="11" t="str">
        <f>VLOOKUP($G87, SeanRanks26!$A$2:$H$303, 5, FALSE)</f>
        <v/>
      </c>
      <c r="G87" s="16" t="s">
        <v>253</v>
      </c>
      <c r="H87" s="11" t="str">
        <f>VLOOKUP($G87, '26 ADP Data'!$C$4:$Q$298, 2, FALSE)</f>
        <v>CAR</v>
      </c>
      <c r="I87" s="11" t="str">
        <f>VLOOKUP(G87, '26 ADP Data'!$C$4:$R$496, 16, FALSE)</f>
        <v>RB</v>
      </c>
      <c r="J87" s="11" t="str">
        <f>VLOOKUP($G87, SeanRanks26!$A$2:$H$303, 6, FALSE)</f>
        <v>RB3</v>
      </c>
      <c r="K87" s="11">
        <f>VLOOKUP($G87, SeanRanks26!$A$2:$H$303, 7, FALSE)</f>
        <v>29</v>
      </c>
      <c r="L87" s="11">
        <f t="shared" si="5"/>
        <v>7</v>
      </c>
      <c r="M87" s="11">
        <f>VLOOKUP($G87, '26 ADP Data'!$C$4:$Q$298, 10, FALSE)</f>
        <v>76</v>
      </c>
      <c r="N87" s="11">
        <f>VLOOKUP($G87, '26 ADP Data'!$C$4:$Q$298, 13, FALSE)</f>
        <v>75</v>
      </c>
      <c r="O87" s="11">
        <f t="shared" si="6"/>
        <v>1</v>
      </c>
      <c r="P87" s="11">
        <f>VLOOKUP($G87, '26 ADP Data'!$C$4:$Q$298, 3, FALSE)</f>
        <v>84</v>
      </c>
      <c r="Q87" s="11">
        <f>VLOOKUP($G87, '26 ADP Data'!$C$4:$Q$298, 4, FALSE)</f>
        <v>106</v>
      </c>
      <c r="R87" s="11">
        <f>VLOOKUP($G87, '26 ADP Data'!$C$4:$Q$298, 6, FALSE)</f>
        <v>66</v>
      </c>
      <c r="S87" s="11">
        <f>VLOOKUP($G87, '26 ADP Data'!$C$4:$Q$298, 9, FALSE)</f>
        <v>92</v>
      </c>
      <c r="T87" s="11" t="str">
        <f>VLOOKUP($G87, '26 ADP Data'!$C$4:$Q$298, 8, FALSE)</f>
        <v>-</v>
      </c>
      <c r="U87" s="11">
        <f t="shared" si="7"/>
        <v>83</v>
      </c>
      <c r="V87" s="11">
        <f t="shared" si="8"/>
        <v>7</v>
      </c>
      <c r="W87" s="11"/>
      <c r="X87" s="11">
        <f>VLOOKUP($G87, SeanRanks26!$A$2:$K$303, 10, FALSE)-U87</f>
        <v>-7</v>
      </c>
      <c r="Y87" s="29" t="str">
        <f>IF(VLOOKUP($G87, SeanRanks26!$A$2:$H$303, 8, FALSE)=0, "", VLOOKUP($G87, SeanRanks26!$A$2:$H$303, 8, FALSE))</f>
        <v>2024 Rookie R2</v>
      </c>
    </row>
    <row r="88" ht="14.25" customHeight="1">
      <c r="A88" s="11"/>
      <c r="B88" s="11">
        <f t="shared" si="4"/>
        <v>7</v>
      </c>
      <c r="C88" s="11" t="s">
        <v>106</v>
      </c>
      <c r="D88" s="11"/>
      <c r="E88" s="27"/>
      <c r="F88" s="11" t="str">
        <f>VLOOKUP($G88, SeanRanks26!$A$2:$H$303, 5, FALSE)</f>
        <v/>
      </c>
      <c r="G88" s="16" t="s">
        <v>261</v>
      </c>
      <c r="H88" s="11" t="str">
        <f>VLOOKUP($G88, '26 ADP Data'!$C$4:$Q$298, 2, FALSE)</f>
        <v>DEN</v>
      </c>
      <c r="I88" s="11" t="str">
        <f>VLOOKUP(G88, '26 ADP Data'!$C$4:$R$496, 16, FALSE)</f>
        <v>WR</v>
      </c>
      <c r="J88" s="11" t="str">
        <f>VLOOKUP($G88, SeanRanks26!$A$2:$H$303, 6, FALSE)</f>
        <v>WR4 - 1 - Path to WR2</v>
      </c>
      <c r="K88" s="11">
        <f>VLOOKUP($G88, SeanRanks26!$A$2:$H$303, 7, FALSE)</f>
        <v>37</v>
      </c>
      <c r="L88" s="11">
        <f t="shared" si="5"/>
        <v>9</v>
      </c>
      <c r="M88" s="11">
        <f>VLOOKUP($G88, '26 ADP Data'!$C$4:$Q$298, 10, FALSE)</f>
        <v>99</v>
      </c>
      <c r="N88" s="11">
        <f>VLOOKUP($G88, '26 ADP Data'!$C$4:$Q$298, 13, FALSE)</f>
        <v>81</v>
      </c>
      <c r="O88" s="11">
        <f t="shared" si="6"/>
        <v>18</v>
      </c>
      <c r="P88" s="11">
        <f>VLOOKUP($G88, '26 ADP Data'!$C$4:$Q$298, 3, FALSE)</f>
        <v>78</v>
      </c>
      <c r="Q88" s="11">
        <f>VLOOKUP($G88, '26 ADP Data'!$C$4:$Q$298, 4, FALSE)</f>
        <v>69</v>
      </c>
      <c r="R88" s="11">
        <f>VLOOKUP($G88, '26 ADP Data'!$C$4:$Q$298, 6, FALSE)</f>
        <v>86</v>
      </c>
      <c r="S88" s="11">
        <f>VLOOKUP($G88, '26 ADP Data'!$C$4:$Q$298, 9, FALSE)</f>
        <v>87</v>
      </c>
      <c r="T88" s="11" t="str">
        <f>VLOOKUP($G88, '26 ADP Data'!$C$4:$Q$298, 8, FALSE)</f>
        <v>-</v>
      </c>
      <c r="U88" s="11">
        <f t="shared" si="7"/>
        <v>83</v>
      </c>
      <c r="V88" s="11">
        <f t="shared" si="8"/>
        <v>7</v>
      </c>
      <c r="W88" s="11"/>
      <c r="X88" s="11">
        <f>VLOOKUP($G88, SeanRanks26!$A$2:$K$303, 10, FALSE)-U88</f>
        <v>16</v>
      </c>
      <c r="Y88" s="29" t="str">
        <f>IF(VLOOKUP($G88, SeanRanks26!$A$2:$H$303, 8, FALSE)=0, "", VLOOKUP($G88, SeanRanks26!$A$2:$H$303, 8, FALSE))</f>
        <v/>
      </c>
    </row>
    <row r="89" ht="14.25" customHeight="1">
      <c r="A89" s="11"/>
      <c r="B89" s="11">
        <f t="shared" si="4"/>
        <v>8</v>
      </c>
      <c r="C89" s="11" t="s">
        <v>106</v>
      </c>
      <c r="D89" s="11"/>
      <c r="E89" s="27"/>
      <c r="F89" s="11" t="str">
        <f>VLOOKUP($G89, SeanRanks26!$A$2:$H$303, 5, FALSE)</f>
        <v/>
      </c>
      <c r="G89" s="16" t="s">
        <v>266</v>
      </c>
      <c r="H89" s="11" t="str">
        <f>VLOOKUP($G89, '26 ADP Data'!$C$4:$Q$298, 2, FALSE)</f>
        <v>LAC</v>
      </c>
      <c r="I89" s="11" t="str">
        <f>VLOOKUP(G89, '26 ADP Data'!$C$4:$R$496, 16, FALSE)</f>
        <v>QB</v>
      </c>
      <c r="J89" s="11" t="str">
        <f>VLOOKUP($G89, SeanRanks26!$A$2:$H$303, 6, FALSE)</f>
        <v>QB1 - 4 - Lower Floor</v>
      </c>
      <c r="K89" s="11">
        <f>VLOOKUP($G89, SeanRanks26!$A$2:$H$303, 7, FALSE)</f>
        <v>9</v>
      </c>
      <c r="L89" s="11">
        <f t="shared" si="5"/>
        <v>7</v>
      </c>
      <c r="M89" s="11">
        <f>VLOOKUP($G89, '26 ADP Data'!$C$4:$Q$298, 10, FALSE)</f>
        <v>75</v>
      </c>
      <c r="N89" s="11">
        <f>VLOOKUP($G89, '26 ADP Data'!$C$4:$Q$298, 13, FALSE)</f>
        <v>84</v>
      </c>
      <c r="O89" s="11">
        <f t="shared" si="6"/>
        <v>-9</v>
      </c>
      <c r="P89" s="11">
        <f>VLOOKUP($G89, '26 ADP Data'!$C$4:$Q$298, 3, FALSE)</f>
        <v>87</v>
      </c>
      <c r="Q89" s="11">
        <f>VLOOKUP($G89, '26 ADP Data'!$C$4:$Q$298, 4, FALSE)</f>
        <v>97</v>
      </c>
      <c r="R89" s="11">
        <f>VLOOKUP($G89, '26 ADP Data'!$C$4:$Q$298, 6, FALSE)</f>
        <v>96</v>
      </c>
      <c r="S89" s="11">
        <f>VLOOKUP($G89, '26 ADP Data'!$C$4:$Q$298, 9, FALSE)</f>
        <v>81</v>
      </c>
      <c r="T89" s="11" t="str">
        <f>VLOOKUP($G89, '26 ADP Data'!$C$4:$Q$298, 8, FALSE)</f>
        <v>-</v>
      </c>
      <c r="U89" s="11">
        <f t="shared" si="7"/>
        <v>86</v>
      </c>
      <c r="V89" s="11">
        <f t="shared" si="8"/>
        <v>8</v>
      </c>
      <c r="W89" s="11"/>
      <c r="X89" s="11">
        <f>VLOOKUP($G89, SeanRanks26!$A$2:$K$303, 10, FALSE)-U89</f>
        <v>-11</v>
      </c>
      <c r="Y89" s="29" t="str">
        <f>IF(VLOOKUP($G89, SeanRanks26!$A$2:$H$303, 8, FALSE)=0, "", VLOOKUP($G89, SeanRanks26!$A$2:$H$303, 8, FALSE))</f>
        <v/>
      </c>
    </row>
    <row r="90" ht="14.25" customHeight="1">
      <c r="A90" s="11"/>
      <c r="B90" s="11">
        <f t="shared" si="4"/>
        <v>8</v>
      </c>
      <c r="C90" s="11" t="s">
        <v>106</v>
      </c>
      <c r="D90" s="11"/>
      <c r="E90" s="27"/>
      <c r="F90" s="11" t="str">
        <f>VLOOKUP($G90, SeanRanks26!$A$2:$H$303, 5, FALSE)</f>
        <v/>
      </c>
      <c r="G90" s="16" t="s">
        <v>268</v>
      </c>
      <c r="H90" s="11" t="str">
        <f>VLOOKUP($G90, '26 ADP Data'!$C$4:$Q$298, 2, FALSE)</f>
        <v>JAX</v>
      </c>
      <c r="I90" s="11" t="str">
        <f>VLOOKUP(G90, '26 ADP Data'!$C$4:$R$496, 16, FALSE)</f>
        <v>QB</v>
      </c>
      <c r="J90" s="11" t="str">
        <f>VLOOKUP($G90, SeanRanks26!$A$2:$H$303, 6, FALSE)</f>
        <v>QB2 - 1 - Strong Streamer</v>
      </c>
      <c r="K90" s="11">
        <f>VLOOKUP($G90, SeanRanks26!$A$2:$H$303, 7, FALSE)</f>
        <v>12</v>
      </c>
      <c r="L90" s="11">
        <f t="shared" si="5"/>
        <v>7</v>
      </c>
      <c r="M90" s="11">
        <f>VLOOKUP($G90, '26 ADP Data'!$C$4:$Q$298, 10, FALSE)</f>
        <v>80</v>
      </c>
      <c r="N90" s="11">
        <f>VLOOKUP($G90, '26 ADP Data'!$C$4:$Q$298, 13, FALSE)</f>
        <v>86</v>
      </c>
      <c r="O90" s="11">
        <f t="shared" si="6"/>
        <v>-6</v>
      </c>
      <c r="P90" s="11">
        <f>VLOOKUP($G90, '26 ADP Data'!$C$4:$Q$298, 3, FALSE)</f>
        <v>76</v>
      </c>
      <c r="Q90" s="11">
        <f>VLOOKUP($G90, '26 ADP Data'!$C$4:$Q$298, 4, FALSE)</f>
        <v>82</v>
      </c>
      <c r="R90" s="11">
        <f>VLOOKUP($G90, '26 ADP Data'!$C$4:$Q$298, 6, FALSE)</f>
        <v>100</v>
      </c>
      <c r="S90" s="11">
        <f>VLOOKUP($G90, '26 ADP Data'!$C$4:$Q$298, 9, FALSE)</f>
        <v>97</v>
      </c>
      <c r="T90" s="11" t="str">
        <f>VLOOKUP($G90, '26 ADP Data'!$C$4:$Q$298, 8, FALSE)</f>
        <v>-</v>
      </c>
      <c r="U90" s="11">
        <f t="shared" si="7"/>
        <v>86</v>
      </c>
      <c r="V90" s="11">
        <f t="shared" si="8"/>
        <v>8</v>
      </c>
      <c r="W90" s="11"/>
      <c r="X90" s="11">
        <f>VLOOKUP($G90, SeanRanks26!$A$2:$K$303, 10, FALSE)-U90</f>
        <v>-6</v>
      </c>
      <c r="Y90" s="29" t="str">
        <f>IF(VLOOKUP($G90, SeanRanks26!$A$2:$H$303, 8, FALSE)=0, "", VLOOKUP($G90, SeanRanks26!$A$2:$H$303, 8, FALSE))</f>
        <v/>
      </c>
    </row>
    <row r="91" ht="14.25" customHeight="1">
      <c r="A91" s="11"/>
      <c r="B91" s="11">
        <f t="shared" si="4"/>
        <v>7</v>
      </c>
      <c r="C91" s="11" t="s">
        <v>106</v>
      </c>
      <c r="D91" s="11"/>
      <c r="E91" s="27"/>
      <c r="F91" s="11" t="str">
        <f>VLOOKUP($G91, SeanRanks26!$A$2:$H$303, 5, FALSE)</f>
        <v/>
      </c>
      <c r="G91" s="16" t="s">
        <v>284</v>
      </c>
      <c r="H91" s="11" t="str">
        <f>VLOOKUP($G91, '26 ADP Data'!$C$4:$Q$298, 2, FALSE)</f>
        <v>SF</v>
      </c>
      <c r="I91" s="11" t="str">
        <f>VLOOKUP(G91, '26 ADP Data'!$C$4:$R$496, 16, FALSE)</f>
        <v>TE</v>
      </c>
      <c r="J91" s="11" t="str">
        <f>VLOOKUP($G91, SeanRanks26!$A$2:$H$303, 6, FALSE)</f>
        <v>TE1 - 3 - Weekly starter</v>
      </c>
      <c r="K91" s="11">
        <f>VLOOKUP($G91, SeanRanks26!$A$2:$H$303, 7, FALSE)</f>
        <v>11</v>
      </c>
      <c r="L91" s="11">
        <f t="shared" si="5"/>
        <v>8</v>
      </c>
      <c r="M91" s="11">
        <f>VLOOKUP($G91, '26 ADP Data'!$C$4:$Q$298, 10, FALSE)</f>
        <v>93</v>
      </c>
      <c r="N91" s="11">
        <f>VLOOKUP($G91, '26 ADP Data'!$C$4:$Q$298, 13, FALSE)</f>
        <v>113</v>
      </c>
      <c r="O91" s="11">
        <f t="shared" si="6"/>
        <v>-20</v>
      </c>
      <c r="P91" s="11">
        <f>VLOOKUP($G91, '26 ADP Data'!$C$4:$Q$298, 3, FALSE)</f>
        <v>86</v>
      </c>
      <c r="Q91" s="11">
        <f>VLOOKUP($G91, '26 ADP Data'!$C$4:$Q$298, 4, FALSE)</f>
        <v>80</v>
      </c>
      <c r="R91" s="11">
        <f>VLOOKUP($G91, '26 ADP Data'!$C$4:$Q$298, 6, FALSE)</f>
        <v>73</v>
      </c>
      <c r="S91" s="11">
        <f>VLOOKUP($G91, '26 ADP Data'!$C$4:$Q$298, 9, FALSE)</f>
        <v>94</v>
      </c>
      <c r="T91" s="11" t="str">
        <f>VLOOKUP($G91, '26 ADP Data'!$C$4:$Q$298, 8, FALSE)</f>
        <v>-</v>
      </c>
      <c r="U91" s="11">
        <f t="shared" si="7"/>
        <v>89</v>
      </c>
      <c r="V91" s="11">
        <f t="shared" si="8"/>
        <v>8</v>
      </c>
      <c r="W91" s="11"/>
      <c r="X91" s="11">
        <f>VLOOKUP($G91, SeanRanks26!$A$2:$K$303, 10, FALSE)-U91</f>
        <v>4</v>
      </c>
      <c r="Y91" s="29" t="str">
        <f>IF(VLOOKUP($G91, SeanRanks26!$A$2:$H$303, 8, FALSE)=0, "", VLOOKUP($G91, SeanRanks26!$A$2:$H$303, 8, FALSE))</f>
        <v/>
      </c>
    </row>
    <row r="92" ht="14.25" customHeight="1">
      <c r="A92" s="11"/>
      <c r="B92" s="11">
        <f t="shared" si="4"/>
        <v>8</v>
      </c>
      <c r="C92" s="11" t="s">
        <v>106</v>
      </c>
      <c r="D92" s="11"/>
      <c r="E92" s="27"/>
      <c r="F92" s="11" t="str">
        <f>VLOOKUP($G92, SeanRanks26!$A$2:$H$303, 5, FALSE)</f>
        <v/>
      </c>
      <c r="G92" s="16" t="s">
        <v>278</v>
      </c>
      <c r="H92" s="11" t="str">
        <f>VLOOKUP($G92, '26 ADP Data'!$C$4:$Q$298, 2, FALSE)</f>
        <v>DEN</v>
      </c>
      <c r="I92" s="11" t="str">
        <f>VLOOKUP(G92, '26 ADP Data'!$C$4:$R$496, 16, FALSE)</f>
        <v>RB</v>
      </c>
      <c r="J92" s="11" t="str">
        <f>VLOOKUP($G92, SeanRanks26!$A$2:$H$303, 6, FALSE)</f>
        <v>RB3</v>
      </c>
      <c r="K92" s="11">
        <f>VLOOKUP($G92, SeanRanks26!$A$2:$H$303, 7, FALSE)</f>
        <v>32</v>
      </c>
      <c r="L92" s="11">
        <f t="shared" si="5"/>
        <v>8</v>
      </c>
      <c r="M92" s="11">
        <f>VLOOKUP($G92, '26 ADP Data'!$C$4:$Q$298, 10, FALSE)</f>
        <v>84</v>
      </c>
      <c r="N92" s="11">
        <f>VLOOKUP($G92, '26 ADP Data'!$C$4:$Q$298, 13, FALSE)</f>
        <v>95</v>
      </c>
      <c r="O92" s="11">
        <f t="shared" si="6"/>
        <v>-11</v>
      </c>
      <c r="P92" s="11">
        <f>VLOOKUP($G92, '26 ADP Data'!$C$4:$Q$298, 3, FALSE)</f>
        <v>81</v>
      </c>
      <c r="Q92" s="11">
        <f>VLOOKUP($G92, '26 ADP Data'!$C$4:$Q$298, 4, FALSE)</f>
        <v>107</v>
      </c>
      <c r="R92" s="11">
        <f>VLOOKUP($G92, '26 ADP Data'!$C$4:$Q$298, 6, FALSE)</f>
        <v>90</v>
      </c>
      <c r="S92" s="11">
        <f>VLOOKUP($G92, '26 ADP Data'!$C$4:$Q$298, 9, FALSE)</f>
        <v>86</v>
      </c>
      <c r="T92" s="11" t="str">
        <f>VLOOKUP($G92, '26 ADP Data'!$C$4:$Q$298, 8, FALSE)</f>
        <v>-</v>
      </c>
      <c r="U92" s="11">
        <f t="shared" si="7"/>
        <v>90</v>
      </c>
      <c r="V92" s="11">
        <f t="shared" si="8"/>
        <v>8</v>
      </c>
      <c r="W92" s="11"/>
      <c r="X92" s="11">
        <f>VLOOKUP($G92, SeanRanks26!$A$2:$K$303, 10, FALSE)-U92</f>
        <v>-6</v>
      </c>
      <c r="Y92" s="29" t="str">
        <f>IF(VLOOKUP($G92, SeanRanks26!$A$2:$H$303, 8, FALSE)=0, "", VLOOKUP($G92, SeanRanks26!$A$2:$H$303, 8, FALSE))</f>
        <v/>
      </c>
    </row>
    <row r="93" ht="14.25" customHeight="1">
      <c r="A93" s="11"/>
      <c r="B93" s="11">
        <f t="shared" si="4"/>
        <v>8</v>
      </c>
      <c r="C93" s="11" t="s">
        <v>106</v>
      </c>
      <c r="D93" s="11"/>
      <c r="E93" s="27"/>
      <c r="F93" s="11" t="str">
        <f>VLOOKUP($G93, SeanRanks26!$A$2:$H$303, 5, FALSE)</f>
        <v/>
      </c>
      <c r="G93" s="16" t="s">
        <v>273</v>
      </c>
      <c r="H93" s="11" t="str">
        <f>VLOOKUP($G93, '26 ADP Data'!$C$4:$Q$298, 2, FALSE)</f>
        <v>ARI</v>
      </c>
      <c r="I93" s="11" t="str">
        <f>VLOOKUP(G93, '26 ADP Data'!$C$4:$R$496, 16, FALSE)</f>
        <v>WR</v>
      </c>
      <c r="J93" s="11" t="str">
        <f>VLOOKUP($G93, SeanRanks26!$A$2:$H$303, 6, FALSE)</f>
        <v>WR4 - 2 - Spot Start</v>
      </c>
      <c r="K93" s="11">
        <f>VLOOKUP($G93, SeanRanks26!$A$2:$H$303, 7, FALSE)</f>
        <v>49</v>
      </c>
      <c r="L93" s="11">
        <f t="shared" si="5"/>
        <v>8</v>
      </c>
      <c r="M93" s="11">
        <f>VLOOKUP($G93, '26 ADP Data'!$C$4:$Q$298, 10, FALSE)</f>
        <v>87</v>
      </c>
      <c r="N93" s="11">
        <f>VLOOKUP($G93, '26 ADP Data'!$C$4:$Q$298, 13, FALSE)</f>
        <v>90</v>
      </c>
      <c r="O93" s="11">
        <f t="shared" si="6"/>
        <v>-3</v>
      </c>
      <c r="P93" s="11">
        <f>VLOOKUP($G93, '26 ADP Data'!$C$4:$Q$298, 3, FALSE)</f>
        <v>101</v>
      </c>
      <c r="Q93" s="11">
        <f>VLOOKUP($G93, '26 ADP Data'!$C$4:$Q$298, 4, FALSE)</f>
        <v>94</v>
      </c>
      <c r="R93" s="11">
        <f>VLOOKUP($G93, '26 ADP Data'!$C$4:$Q$298, 6, FALSE)</f>
        <v>98</v>
      </c>
      <c r="S93" s="11">
        <f>VLOOKUP($G93, '26 ADP Data'!$C$4:$Q$298, 9, FALSE)</f>
        <v>88</v>
      </c>
      <c r="T93" s="11" t="str">
        <f>VLOOKUP($G93, '26 ADP Data'!$C$4:$Q$298, 8, FALSE)</f>
        <v>-</v>
      </c>
      <c r="U93" s="11">
        <f t="shared" si="7"/>
        <v>93</v>
      </c>
      <c r="V93" s="11">
        <f t="shared" si="8"/>
        <v>8</v>
      </c>
      <c r="W93" s="11"/>
      <c r="X93" s="11">
        <f>VLOOKUP($G93, SeanRanks26!$A$2:$K$303, 10, FALSE)-U93</f>
        <v>-6</v>
      </c>
      <c r="Y93" s="29" t="str">
        <f>IF(VLOOKUP($G93, SeanRanks26!$A$2:$H$303, 8, FALSE)=0, "", VLOOKUP($G93, SeanRanks26!$A$2:$H$303, 8, FALSE))</f>
        <v/>
      </c>
    </row>
    <row r="94" ht="14.25" customHeight="1">
      <c r="A94" s="11"/>
      <c r="B94" s="11">
        <f t="shared" si="4"/>
        <v>8</v>
      </c>
      <c r="C94" s="11" t="s">
        <v>106</v>
      </c>
      <c r="D94" s="11"/>
      <c r="E94" s="27"/>
      <c r="F94" s="11" t="str">
        <f>VLOOKUP($G94, SeanRanks26!$A$2:$H$303, 5, FALSE)</f>
        <v>Yes</v>
      </c>
      <c r="G94" s="16" t="s">
        <v>290</v>
      </c>
      <c r="H94" s="11" t="str">
        <f>VLOOKUP($G94, '26 ADP Data'!$C$4:$Q$298, 2, FALSE)</f>
        <v>IND</v>
      </c>
      <c r="I94" s="11" t="str">
        <f>VLOOKUP(G94, '26 ADP Data'!$C$4:$R$496, 16, FALSE)</f>
        <v>WR</v>
      </c>
      <c r="J94" s="11" t="str">
        <f>VLOOKUP($G94, SeanRanks26!$A$2:$H$303, 6, FALSE)</f>
        <v>WR3 - 1 - Clear path to WR2</v>
      </c>
      <c r="K94" s="11">
        <f>VLOOKUP($G94, SeanRanks26!$A$2:$H$303, 7, FALSE)</f>
        <v>31</v>
      </c>
      <c r="L94" s="11">
        <f t="shared" si="5"/>
        <v>9</v>
      </c>
      <c r="M94" s="11">
        <f>VLOOKUP($G94, '26 ADP Data'!$C$4:$Q$298, 10, FALSE)</f>
        <v>97</v>
      </c>
      <c r="N94" s="11">
        <f>VLOOKUP($G94, '26 ADP Data'!$C$4:$Q$298, 13, FALSE)</f>
        <v>94</v>
      </c>
      <c r="O94" s="11">
        <f t="shared" si="6"/>
        <v>3</v>
      </c>
      <c r="P94" s="11">
        <f>VLOOKUP($G94, '26 ADP Data'!$C$4:$Q$298, 3, FALSE)</f>
        <v>82</v>
      </c>
      <c r="Q94" s="11">
        <f>VLOOKUP($G94, '26 ADP Data'!$C$4:$Q$298, 4, FALSE)</f>
        <v>90</v>
      </c>
      <c r="R94" s="11">
        <f>VLOOKUP($G94, '26 ADP Data'!$C$4:$Q$298, 6, FALSE)</f>
        <v>110</v>
      </c>
      <c r="S94" s="11">
        <f>VLOOKUP($G94, '26 ADP Data'!$C$4:$Q$298, 9, FALSE)</f>
        <v>89</v>
      </c>
      <c r="T94" s="11" t="str">
        <f>VLOOKUP($G94, '26 ADP Data'!$C$4:$Q$298, 8, FALSE)</f>
        <v>-</v>
      </c>
      <c r="U94" s="11">
        <f t="shared" si="7"/>
        <v>93</v>
      </c>
      <c r="V94" s="11">
        <f t="shared" si="8"/>
        <v>8</v>
      </c>
      <c r="W94" s="11"/>
      <c r="X94" s="11">
        <f>VLOOKUP($G94, SeanRanks26!$A$2:$K$303, 10, FALSE)-U94</f>
        <v>4</v>
      </c>
      <c r="Y94" s="29" t="str">
        <f>IF(VLOOKUP($G94, SeanRanks26!$A$2:$H$303, 8, FALSE)=0, "", VLOOKUP($G94, SeanRanks26!$A$2:$H$303, 8, FALSE))</f>
        <v>Ankle injury.  Verify before draft</v>
      </c>
    </row>
    <row r="95" ht="14.25" customHeight="1">
      <c r="A95" s="11"/>
      <c r="B95" s="11">
        <f t="shared" si="4"/>
        <v>9</v>
      </c>
      <c r="C95" s="11" t="s">
        <v>106</v>
      </c>
      <c r="D95" s="11"/>
      <c r="E95" s="27"/>
      <c r="F95" s="11" t="str">
        <f>VLOOKUP($G95, SeanRanks26!$A$2:$H$303, 5, FALSE)</f>
        <v>Yes</v>
      </c>
      <c r="G95" s="16" t="s">
        <v>270</v>
      </c>
      <c r="H95" s="11" t="str">
        <f>VLOOKUP($G95, '26 ADP Data'!$C$4:$Q$298, 2, FALSE)</f>
        <v>TB</v>
      </c>
      <c r="I95" s="11" t="str">
        <f>VLOOKUP(G95, '26 ADP Data'!$C$4:$R$496, 16, FALSE)</f>
        <v>WR</v>
      </c>
      <c r="J95" s="11" t="str">
        <f>VLOOKUP($G95, SeanRanks26!$A$2:$H$303, 6, FALSE)</f>
        <v>WR4 - 2 - Spot Start</v>
      </c>
      <c r="K95" s="11">
        <f>VLOOKUP($G95, SeanRanks26!$A$2:$H$303, 7, FALSE)</f>
        <v>39</v>
      </c>
      <c r="L95" s="11">
        <f t="shared" si="5"/>
        <v>8</v>
      </c>
      <c r="M95" s="11">
        <f>VLOOKUP($G95, '26 ADP Data'!$C$4:$Q$298, 10, FALSE)</f>
        <v>85</v>
      </c>
      <c r="N95" s="11">
        <f>VLOOKUP($G95, '26 ADP Data'!$C$4:$Q$298, 13, FALSE)</f>
        <v>85</v>
      </c>
      <c r="O95" s="11">
        <f t="shared" si="6"/>
        <v>0</v>
      </c>
      <c r="P95" s="11">
        <f>VLOOKUP($G95, '26 ADP Data'!$C$4:$Q$298, 3, FALSE)</f>
        <v>93</v>
      </c>
      <c r="Q95" s="11">
        <f>VLOOKUP($G95, '26 ADP Data'!$C$4:$Q$298, 4, FALSE)</f>
        <v>138</v>
      </c>
      <c r="R95" s="11">
        <f>VLOOKUP($G95, '26 ADP Data'!$C$4:$Q$298, 6, FALSE)</f>
        <v>83</v>
      </c>
      <c r="S95" s="11">
        <f>VLOOKUP($G95, '26 ADP Data'!$C$4:$Q$298, 9, FALSE)</f>
        <v>96</v>
      </c>
      <c r="T95" s="11" t="str">
        <f>VLOOKUP($G95, '26 ADP Data'!$C$4:$Q$298, 8, FALSE)</f>
        <v>-</v>
      </c>
      <c r="U95" s="11">
        <f t="shared" si="7"/>
        <v>96</v>
      </c>
      <c r="V95" s="11">
        <f t="shared" si="8"/>
        <v>9</v>
      </c>
      <c r="W95" s="11"/>
      <c r="X95" s="11">
        <f>VLOOKUP($G95, SeanRanks26!$A$2:$K$303, 10, FALSE)-U95</f>
        <v>-11</v>
      </c>
      <c r="Y95" s="29" t="str">
        <f>IF(VLOOKUP($G95, SeanRanks26!$A$2:$H$303, 8, FALSE)=0, "", VLOOKUP($G95, SeanRanks26!$A$2:$H$303, 8, FALSE))</f>
        <v/>
      </c>
    </row>
    <row r="96" ht="14.25" customHeight="1">
      <c r="A96" s="11"/>
      <c r="B96" s="11">
        <f t="shared" si="4"/>
        <v>9</v>
      </c>
      <c r="C96" s="11" t="s">
        <v>106</v>
      </c>
      <c r="D96" s="11"/>
      <c r="E96" s="27"/>
      <c r="F96" s="11" t="str">
        <f>VLOOKUP($G96, SeanRanks26!$A$2:$H$303, 5, FALSE)</f>
        <v/>
      </c>
      <c r="G96" s="16" t="s">
        <v>282</v>
      </c>
      <c r="H96" s="11" t="str">
        <f>VLOOKUP($G96, '26 ADP Data'!$C$4:$Q$298, 2, FALSE)</f>
        <v>LAR</v>
      </c>
      <c r="I96" s="11" t="str">
        <f>VLOOKUP(G96, '26 ADP Data'!$C$4:$R$496, 16, FALSE)</f>
        <v>RB</v>
      </c>
      <c r="J96" s="11" t="str">
        <f>VLOOKUP($G96, SeanRanks26!$A$2:$H$303, 6, FALSE)</f>
        <v>RB3</v>
      </c>
      <c r="K96" s="11">
        <f>VLOOKUP($G96, SeanRanks26!$A$2:$H$303, 7, FALSE)</f>
        <v>30</v>
      </c>
      <c r="L96" s="11">
        <f t="shared" si="5"/>
        <v>8</v>
      </c>
      <c r="M96" s="11">
        <f>VLOOKUP($G96, '26 ADP Data'!$C$4:$Q$298, 10, FALSE)</f>
        <v>91</v>
      </c>
      <c r="N96" s="11">
        <f>VLOOKUP($G96, '26 ADP Data'!$C$4:$Q$298, 13, FALSE)</f>
        <v>87</v>
      </c>
      <c r="O96" s="11">
        <f t="shared" si="6"/>
        <v>4</v>
      </c>
      <c r="P96" s="11">
        <f>VLOOKUP($G96, '26 ADP Data'!$C$4:$Q$298, 3, FALSE)</f>
        <v>105</v>
      </c>
      <c r="Q96" s="11">
        <f>VLOOKUP($G96, '26 ADP Data'!$C$4:$Q$298, 4, FALSE)</f>
        <v>128</v>
      </c>
      <c r="R96" s="11">
        <f>VLOOKUP($G96, '26 ADP Data'!$C$4:$Q$298, 6, FALSE)</f>
        <v>79</v>
      </c>
      <c r="S96" s="11">
        <f>VLOOKUP($G96, '26 ADP Data'!$C$4:$Q$298, 9, FALSE)</f>
        <v>91</v>
      </c>
      <c r="T96" s="11" t="str">
        <f>VLOOKUP($G96, '26 ADP Data'!$C$4:$Q$298, 8, FALSE)</f>
        <v>-</v>
      </c>
      <c r="U96" s="11">
        <f t="shared" si="7"/>
        <v>96</v>
      </c>
      <c r="V96" s="11">
        <f t="shared" si="8"/>
        <v>9</v>
      </c>
      <c r="W96" s="11"/>
      <c r="X96" s="11">
        <f>VLOOKUP($G96, SeanRanks26!$A$2:$K$303, 10, FALSE)-U96</f>
        <v>-5</v>
      </c>
      <c r="Y96" s="29" t="s">
        <v>496</v>
      </c>
    </row>
    <row r="97" ht="14.25" customHeight="1">
      <c r="A97" s="11"/>
      <c r="B97" s="11">
        <f t="shared" si="4"/>
        <v>9</v>
      </c>
      <c r="C97" s="11" t="s">
        <v>106</v>
      </c>
      <c r="D97" s="11"/>
      <c r="E97" s="27"/>
      <c r="F97" s="11" t="str">
        <f>VLOOKUP($G97, SeanRanks26!$A$2:$H$303, 5, FALSE)</f>
        <v/>
      </c>
      <c r="G97" s="16" t="s">
        <v>288</v>
      </c>
      <c r="H97" s="11" t="str">
        <f>VLOOKUP($G97, '26 ADP Data'!$C$4:$Q$298, 2, FALSE)</f>
        <v>CAR</v>
      </c>
      <c r="I97" s="11" t="str">
        <f>VLOOKUP(G97, '26 ADP Data'!$C$4:$R$496, 16, FALSE)</f>
        <v>RB</v>
      </c>
      <c r="J97" s="11" t="str">
        <f>VLOOKUP($G97, SeanRanks26!$A$2:$H$303, 6, FALSE)</f>
        <v>RB4</v>
      </c>
      <c r="K97" s="11">
        <f>VLOOKUP($G97, SeanRanks26!$A$2:$H$303, 7, FALSE)</f>
        <v>37</v>
      </c>
      <c r="L97" s="11">
        <f t="shared" si="5"/>
        <v>8</v>
      </c>
      <c r="M97" s="11">
        <f>VLOOKUP($G97, '26 ADP Data'!$C$4:$Q$298, 10, FALSE)</f>
        <v>92</v>
      </c>
      <c r="N97" s="11">
        <f>VLOOKUP($G97, '26 ADP Data'!$C$4:$Q$298, 13, FALSE)</f>
        <v>98</v>
      </c>
      <c r="O97" s="11">
        <f t="shared" si="6"/>
        <v>-6</v>
      </c>
      <c r="P97" s="11">
        <f>VLOOKUP($G97, '26 ADP Data'!$C$4:$Q$298, 3, FALSE)</f>
        <v>98</v>
      </c>
      <c r="Q97" s="11">
        <f>VLOOKUP($G97, '26 ADP Data'!$C$4:$Q$298, 4, FALSE)</f>
        <v>113</v>
      </c>
      <c r="R97" s="11">
        <f>VLOOKUP($G97, '26 ADP Data'!$C$4:$Q$298, 6, FALSE)</f>
        <v>102</v>
      </c>
      <c r="S97" s="11">
        <f>VLOOKUP($G97, '26 ADP Data'!$C$4:$Q$298, 9, FALSE)</f>
        <v>73</v>
      </c>
      <c r="T97" s="11" t="str">
        <f>VLOOKUP($G97, '26 ADP Data'!$C$4:$Q$298, 8, FALSE)</f>
        <v>-</v>
      </c>
      <c r="U97" s="11">
        <f t="shared" si="7"/>
        <v>96</v>
      </c>
      <c r="V97" s="11">
        <f t="shared" si="8"/>
        <v>9</v>
      </c>
      <c r="W97" s="11"/>
      <c r="X97" s="11">
        <f>VLOOKUP($G97, SeanRanks26!$A$2:$K$303, 10, FALSE)-U97</f>
        <v>-4</v>
      </c>
      <c r="Y97" s="29" t="str">
        <f>IF(VLOOKUP($G97, SeanRanks26!$A$2:$H$303, 8, FALSE)=0, "", VLOOKUP($G97, SeanRanks26!$A$2:$H$303, 8, FALSE))</f>
        <v/>
      </c>
    </row>
    <row r="98" ht="14.25" customHeight="1">
      <c r="A98" s="11"/>
      <c r="B98" s="11">
        <f t="shared" si="4"/>
        <v>8</v>
      </c>
      <c r="C98" s="11" t="s">
        <v>106</v>
      </c>
      <c r="D98" s="11"/>
      <c r="E98" s="27"/>
      <c r="F98" s="11" t="str">
        <f>VLOOKUP($G98, SeanRanks26!$A$2:$H$303, 5, FALSE)</f>
        <v/>
      </c>
      <c r="G98" s="16" t="s">
        <v>275</v>
      </c>
      <c r="H98" s="11" t="str">
        <f>VLOOKUP($G98, '26 ADP Data'!$C$4:$Q$298, 2, FALSE)</f>
        <v>DEN</v>
      </c>
      <c r="I98" s="11" t="str">
        <f>VLOOKUP(G98, '26 ADP Data'!$C$4:$R$496, 16, FALSE)</f>
        <v>RB</v>
      </c>
      <c r="J98" s="11" t="str">
        <f>VLOOKUP($G98, SeanRanks26!$A$2:$H$303, 6, FALSE)</f>
        <v>RB4</v>
      </c>
      <c r="K98" s="11">
        <f>VLOOKUP($G98, SeanRanks26!$A$2:$H$303, 7, FALSE)</f>
        <v>38</v>
      </c>
      <c r="L98" s="11">
        <f t="shared" si="5"/>
        <v>10</v>
      </c>
      <c r="M98" s="11">
        <f>VLOOKUP($G98, '26 ADP Data'!$C$4:$Q$298, 10, FALSE)</f>
        <v>109</v>
      </c>
      <c r="N98" s="11">
        <f>VLOOKUP($G98, '26 ADP Data'!$C$4:$Q$298, 13, FALSE)</f>
        <v>88</v>
      </c>
      <c r="O98" s="11">
        <f t="shared" si="6"/>
        <v>21</v>
      </c>
      <c r="P98" s="11">
        <f>VLOOKUP($G98, '26 ADP Data'!$C$4:$Q$298, 3, FALSE)</f>
        <v>85</v>
      </c>
      <c r="Q98" s="11">
        <f>VLOOKUP($G98, '26 ADP Data'!$C$4:$Q$298, 4, FALSE)</f>
        <v>134</v>
      </c>
      <c r="R98" s="11">
        <f>VLOOKUP($G98, '26 ADP Data'!$C$4:$Q$298, 6, FALSE)</f>
        <v>84</v>
      </c>
      <c r="S98" s="11">
        <f>VLOOKUP($G98, '26 ADP Data'!$C$4:$Q$298, 9, FALSE)</f>
        <v>79</v>
      </c>
      <c r="T98" s="11" t="str">
        <f>VLOOKUP($G98, '26 ADP Data'!$C$4:$Q$298, 8, FALSE)</f>
        <v>-</v>
      </c>
      <c r="U98" s="11">
        <f t="shared" si="7"/>
        <v>96</v>
      </c>
      <c r="V98" s="11">
        <f t="shared" si="8"/>
        <v>9</v>
      </c>
      <c r="W98" s="11"/>
      <c r="X98" s="11">
        <f>VLOOKUP($G98, SeanRanks26!$A$2:$K$303, 10, FALSE)-U98</f>
        <v>13</v>
      </c>
      <c r="Y98" s="29" t="str">
        <f>IF(VLOOKUP($G98, SeanRanks26!$A$2:$H$303, 8, FALSE)=0, "", VLOOKUP($G98, SeanRanks26!$A$2:$H$303, 8, FALSE))</f>
        <v>2025 Rookie R2 - UCF</v>
      </c>
    </row>
    <row r="99" ht="14.25" customHeight="1">
      <c r="A99" s="11"/>
      <c r="B99" s="11">
        <f t="shared" si="4"/>
        <v>8</v>
      </c>
      <c r="C99" s="11" t="s">
        <v>106</v>
      </c>
      <c r="D99" s="11"/>
      <c r="E99" s="27"/>
      <c r="F99" s="11" t="str">
        <f>VLOOKUP($G99, SeanRanks26!$A$2:$H$303, 5, FALSE)</f>
        <v/>
      </c>
      <c r="G99" s="16" t="s">
        <v>296</v>
      </c>
      <c r="H99" s="11" t="str">
        <f>VLOOKUP($G99, '26 ADP Data'!$C$4:$Q$298, 2, FALSE)</f>
        <v>NYG</v>
      </c>
      <c r="I99" s="11" t="str">
        <f>VLOOKUP(G99, '26 ADP Data'!$C$4:$R$496, 16, FALSE)</f>
        <v>QB</v>
      </c>
      <c r="J99" s="11" t="str">
        <f>VLOOKUP($G99, SeanRanks26!$A$2:$H$303, 6, FALSE)</f>
        <v>QB2 - 1 - Strong Streamer</v>
      </c>
      <c r="K99" s="11">
        <f>VLOOKUP($G99, SeanRanks26!$A$2:$H$303, 7, FALSE)</f>
        <v>10</v>
      </c>
      <c r="L99" s="11">
        <f t="shared" si="5"/>
        <v>9</v>
      </c>
      <c r="M99" s="11">
        <f>VLOOKUP($G99, '26 ADP Data'!$C$4:$Q$298, 10, FALSE)</f>
        <v>102</v>
      </c>
      <c r="N99" s="11">
        <f>VLOOKUP($G99, '26 ADP Data'!$C$4:$Q$298, 13, FALSE)</f>
        <v>104</v>
      </c>
      <c r="O99" s="11">
        <f t="shared" si="6"/>
        <v>-2</v>
      </c>
      <c r="P99" s="11">
        <f>VLOOKUP($G99, '26 ADP Data'!$C$4:$Q$298, 3, FALSE)</f>
        <v>106</v>
      </c>
      <c r="Q99" s="11">
        <f>VLOOKUP($G99, '26 ADP Data'!$C$4:$Q$298, 4, FALSE)</f>
        <v>66</v>
      </c>
      <c r="R99" s="11">
        <f>VLOOKUP($G99, '26 ADP Data'!$C$4:$Q$298, 6, FALSE)</f>
        <v>114</v>
      </c>
      <c r="S99" s="11">
        <f>VLOOKUP($G99, '26 ADP Data'!$C$4:$Q$298, 9, FALSE)</f>
        <v>93</v>
      </c>
      <c r="T99" s="11" t="str">
        <f>VLOOKUP($G99, '26 ADP Data'!$C$4:$Q$298, 8, FALSE)</f>
        <v>-</v>
      </c>
      <c r="U99" s="11">
        <f t="shared" si="7"/>
        <v>97</v>
      </c>
      <c r="V99" s="11">
        <f t="shared" si="8"/>
        <v>9</v>
      </c>
      <c r="W99" s="11"/>
      <c r="X99" s="11">
        <f>VLOOKUP($G99, SeanRanks26!$A$2:$K$303, 10, FALSE)-U99</f>
        <v>5</v>
      </c>
      <c r="Y99" s="29" t="str">
        <f>IF(VLOOKUP($G99, SeanRanks26!$A$2:$H$303, 8, FALSE)=0, "", VLOOKUP($G99, SeanRanks26!$A$2:$H$303, 8, FALSE))</f>
        <v/>
      </c>
    </row>
    <row r="100" ht="14.25" customHeight="1">
      <c r="A100" s="11"/>
      <c r="B100" s="11">
        <f t="shared" si="4"/>
        <v>9</v>
      </c>
      <c r="C100" s="11" t="s">
        <v>106</v>
      </c>
      <c r="D100" s="11"/>
      <c r="E100" s="27"/>
      <c r="F100" s="11" t="str">
        <f>VLOOKUP($G100, SeanRanks26!$A$2:$H$303, 5, FALSE)</f>
        <v/>
      </c>
      <c r="G100" s="16" t="s">
        <v>286</v>
      </c>
      <c r="H100" s="11" t="str">
        <f>VLOOKUP($G100, '26 ADP Data'!$C$4:$Q$298, 2, FALSE)</f>
        <v>PIT</v>
      </c>
      <c r="I100" s="11" t="str">
        <f>VLOOKUP(G100, '26 ADP Data'!$C$4:$R$496, 16, FALSE)</f>
        <v>WR</v>
      </c>
      <c r="J100" s="11" t="str">
        <f>VLOOKUP($G100, SeanRanks26!$A$2:$H$303, 6, FALSE)</f>
        <v>WR4 - 2 - Spot Start</v>
      </c>
      <c r="K100" s="11">
        <f>VLOOKUP($G100, SeanRanks26!$A$2:$H$303, 7, FALSE)</f>
        <v>47</v>
      </c>
      <c r="L100" s="11">
        <f t="shared" si="5"/>
        <v>9</v>
      </c>
      <c r="M100" s="11">
        <f>VLOOKUP($G100, '26 ADP Data'!$C$4:$Q$298, 10, FALSE)</f>
        <v>100</v>
      </c>
      <c r="N100" s="11">
        <f>VLOOKUP($G100, '26 ADP Data'!$C$4:$Q$298, 13, FALSE)</f>
        <v>101</v>
      </c>
      <c r="O100" s="11">
        <f t="shared" si="6"/>
        <v>-1</v>
      </c>
      <c r="P100" s="11">
        <f>VLOOKUP($G100, '26 ADP Data'!$C$4:$Q$298, 3, FALSE)</f>
        <v>113</v>
      </c>
      <c r="Q100" s="11">
        <f>VLOOKUP($G100, '26 ADP Data'!$C$4:$Q$298, 4, FALSE)</f>
        <v>79</v>
      </c>
      <c r="R100" s="11">
        <f>VLOOKUP($G100, '26 ADP Data'!$C$4:$Q$298, 6, FALSE)</f>
        <v>101</v>
      </c>
      <c r="S100" s="11">
        <f>VLOOKUP($G100, '26 ADP Data'!$C$4:$Q$298, 9, FALSE)</f>
        <v>98</v>
      </c>
      <c r="T100" s="11" t="str">
        <f>VLOOKUP($G100, '26 ADP Data'!$C$4:$Q$298, 8, FALSE)</f>
        <v>-</v>
      </c>
      <c r="U100" s="11">
        <f t="shared" si="7"/>
        <v>98</v>
      </c>
      <c r="V100" s="11">
        <f t="shared" si="8"/>
        <v>9</v>
      </c>
      <c r="W100" s="11"/>
      <c r="X100" s="11">
        <f>VLOOKUP($G100, SeanRanks26!$A$2:$K$303, 10, FALSE)-U100</f>
        <v>2</v>
      </c>
      <c r="Y100" s="29" t="str">
        <f>IF(VLOOKUP($G100, SeanRanks26!$A$2:$H$303, 8, FALSE)=0, "", VLOOKUP($G100, SeanRanks26!$A$2:$H$303, 8, FALSE))</f>
        <v/>
      </c>
    </row>
    <row r="101" ht="14.25" customHeight="1">
      <c r="A101" s="11"/>
      <c r="B101" s="11">
        <f t="shared" si="4"/>
        <v>9</v>
      </c>
      <c r="C101" s="11" t="s">
        <v>106</v>
      </c>
      <c r="D101" s="11"/>
      <c r="E101" s="27"/>
      <c r="F101" s="11" t="str">
        <f>VLOOKUP($G101, SeanRanks26!$A$2:$H$303, 5, FALSE)</f>
        <v/>
      </c>
      <c r="G101" s="16" t="s">
        <v>280</v>
      </c>
      <c r="H101" s="11" t="str">
        <f>VLOOKUP($G101, '26 ADP Data'!$C$4:$Q$298, 2, FALSE)</f>
        <v>LAC</v>
      </c>
      <c r="I101" s="11" t="str">
        <f>VLOOKUP(G101, '26 ADP Data'!$C$4:$R$496, 16, FALSE)</f>
        <v>WR</v>
      </c>
      <c r="J101" s="11" t="str">
        <f>VLOOKUP($G101, SeanRanks26!$A$2:$H$303, 6, FALSE)</f>
        <v>WR4 - 2 - Spot Start</v>
      </c>
      <c r="K101" s="11">
        <f>VLOOKUP($G101, SeanRanks26!$A$2:$H$303, 7, FALSE)</f>
        <v>43</v>
      </c>
      <c r="L101" s="11">
        <f t="shared" si="5"/>
        <v>8</v>
      </c>
      <c r="M101" s="11">
        <f>VLOOKUP($G101, '26 ADP Data'!$C$4:$Q$298, 10, FALSE)</f>
        <v>95</v>
      </c>
      <c r="N101" s="11">
        <f>VLOOKUP($G101, '26 ADP Data'!$C$4:$Q$298, 13, FALSE)</f>
        <v>74</v>
      </c>
      <c r="O101" s="11">
        <f t="shared" si="6"/>
        <v>21</v>
      </c>
      <c r="P101" s="11">
        <f>VLOOKUP($G101, '26 ADP Data'!$C$4:$Q$298, 3, FALSE)</f>
        <v>102</v>
      </c>
      <c r="Q101" s="11">
        <f>VLOOKUP($G101, '26 ADP Data'!$C$4:$Q$298, 4, FALSE)</f>
        <v>133</v>
      </c>
      <c r="R101" s="11">
        <f>VLOOKUP($G101, '26 ADP Data'!$C$4:$Q$298, 6, FALSE)</f>
        <v>94</v>
      </c>
      <c r="S101" s="11">
        <f>VLOOKUP($G101, '26 ADP Data'!$C$4:$Q$298, 9, FALSE)</f>
        <v>102</v>
      </c>
      <c r="T101" s="11" t="str">
        <f>VLOOKUP($G101, '26 ADP Data'!$C$4:$Q$298, 8, FALSE)</f>
        <v>-</v>
      </c>
      <c r="U101" s="11">
        <f t="shared" si="7"/>
        <v>100</v>
      </c>
      <c r="V101" s="11">
        <f t="shared" si="8"/>
        <v>9</v>
      </c>
      <c r="W101" s="11"/>
      <c r="X101" s="11">
        <f>VLOOKUP($G101, SeanRanks26!$A$2:$K$303, 10, FALSE)-U101</f>
        <v>-5</v>
      </c>
      <c r="Y101" s="29" t="str">
        <f>IF(VLOOKUP($G101, SeanRanks26!$A$2:$H$303, 8, FALSE)=0, "", VLOOKUP($G101, SeanRanks26!$A$2:$H$303, 8, FALSE))</f>
        <v/>
      </c>
    </row>
    <row r="102" ht="14.25" customHeight="1">
      <c r="A102" s="11"/>
      <c r="B102" s="11">
        <f t="shared" si="4"/>
        <v>9</v>
      </c>
      <c r="C102" s="11" t="s">
        <v>106</v>
      </c>
      <c r="D102" s="11"/>
      <c r="E102" s="27"/>
      <c r="F102" s="11" t="str">
        <f>VLOOKUP($G102, SeanRanks26!$A$2:$H$303, 5, FALSE)</f>
        <v/>
      </c>
      <c r="G102" s="16" t="s">
        <v>306</v>
      </c>
      <c r="H102" s="11" t="str">
        <f>VLOOKUP($G102, '26 ADP Data'!$C$4:$Q$298, 2, FALSE)</f>
        <v>WAS</v>
      </c>
      <c r="I102" s="11" t="str">
        <f>VLOOKUP(G102, '26 ADP Data'!$C$4:$R$496, 16, FALSE)</f>
        <v>RB</v>
      </c>
      <c r="J102" s="11" t="str">
        <f>VLOOKUP($G102, SeanRanks26!$A$2:$H$303, 6, FALSE)</f>
        <v>RB3</v>
      </c>
      <c r="K102" s="11">
        <f>VLOOKUP($G102, SeanRanks26!$A$2:$H$303, 7, FALSE)</f>
        <v>31</v>
      </c>
      <c r="L102" s="11">
        <f t="shared" si="5"/>
        <v>8</v>
      </c>
      <c r="M102" s="11">
        <f>VLOOKUP($G102, '26 ADP Data'!$C$4:$Q$298, 10, FALSE)</f>
        <v>86</v>
      </c>
      <c r="N102" s="11">
        <f>VLOOKUP($G102, '26 ADP Data'!$C$4:$Q$298, 13, FALSE)</f>
        <v>99</v>
      </c>
      <c r="O102" s="11">
        <f t="shared" si="6"/>
        <v>-13</v>
      </c>
      <c r="P102" s="11">
        <f>VLOOKUP($G102, '26 ADP Data'!$C$4:$Q$298, 3, FALSE)</f>
        <v>103</v>
      </c>
      <c r="Q102" s="11">
        <f>VLOOKUP($G102, '26 ADP Data'!$C$4:$Q$298, 4, FALSE)</f>
        <v>122</v>
      </c>
      <c r="R102" s="11">
        <f>VLOOKUP($G102, '26 ADP Data'!$C$4:$Q$298, 6, FALSE)</f>
        <v>97</v>
      </c>
      <c r="S102" s="11">
        <f>VLOOKUP($G102, '26 ADP Data'!$C$4:$Q$298, 9, FALSE)</f>
        <v>100</v>
      </c>
      <c r="T102" s="11" t="str">
        <f>VLOOKUP($G102, '26 ADP Data'!$C$4:$Q$298, 8, FALSE)</f>
        <v>-</v>
      </c>
      <c r="U102" s="11">
        <f t="shared" si="7"/>
        <v>101</v>
      </c>
      <c r="V102" s="11">
        <f t="shared" si="8"/>
        <v>9</v>
      </c>
      <c r="W102" s="11"/>
      <c r="X102" s="11">
        <f>VLOOKUP($G102, SeanRanks26!$A$2:$K$303, 10, FALSE)-U102</f>
        <v>-15</v>
      </c>
      <c r="Y102" s="29" t="str">
        <f>IF(VLOOKUP($G102, SeanRanks26!$A$2:$H$303, 8, FALSE)=0, "", VLOOKUP($G102, SeanRanks26!$A$2:$H$303, 8, FALSE))</f>
        <v>2025 Rookie R7</v>
      </c>
    </row>
    <row r="103" ht="14.25" customHeight="1">
      <c r="A103" s="11"/>
      <c r="B103" s="11">
        <f t="shared" si="4"/>
        <v>9</v>
      </c>
      <c r="C103" s="11" t="s">
        <v>106</v>
      </c>
      <c r="D103" s="11"/>
      <c r="E103" s="27"/>
      <c r="F103" s="11" t="str">
        <f>VLOOKUP($G103, SeanRanks26!$A$2:$H$303, 5, FALSE)</f>
        <v/>
      </c>
      <c r="G103" s="16" t="s">
        <v>315</v>
      </c>
      <c r="H103" s="11" t="str">
        <f>VLOOKUP($G103, '26 ADP Data'!$C$4:$Q$298, 2, FALSE)</f>
        <v>SF</v>
      </c>
      <c r="I103" s="11" t="str">
        <f>VLOOKUP(G103, '26 ADP Data'!$C$4:$R$496, 16, FALSE)</f>
        <v>QB</v>
      </c>
      <c r="J103" s="11" t="str">
        <f>VLOOKUP($G103, SeanRanks26!$A$2:$H$303, 6, FALSE)</f>
        <v>QB2 - 2 - Lower Floor</v>
      </c>
      <c r="K103" s="11">
        <f>VLOOKUP($G103, SeanRanks26!$A$2:$H$303, 7, FALSE)</f>
        <v>14</v>
      </c>
      <c r="L103" s="11">
        <f t="shared" si="5"/>
        <v>9</v>
      </c>
      <c r="M103" s="11">
        <f>VLOOKUP($G103, '26 ADP Data'!$C$4:$Q$298, 10, FALSE)</f>
        <v>98</v>
      </c>
      <c r="N103" s="11">
        <f>VLOOKUP($G103, '26 ADP Data'!$C$4:$Q$298, 13, FALSE)</f>
        <v>103</v>
      </c>
      <c r="O103" s="11">
        <f t="shared" si="6"/>
        <v>-5</v>
      </c>
      <c r="P103" s="11">
        <f>VLOOKUP($G103, '26 ADP Data'!$C$4:$Q$298, 3, FALSE)</f>
        <v>92</v>
      </c>
      <c r="Q103" s="11">
        <f>VLOOKUP($G103, '26 ADP Data'!$C$4:$Q$298, 4, FALSE)</f>
        <v>92</v>
      </c>
      <c r="R103" s="11">
        <f>VLOOKUP($G103, '26 ADP Data'!$C$4:$Q$298, 6, FALSE)</f>
        <v>111</v>
      </c>
      <c r="S103" s="11">
        <f>VLOOKUP($G103, '26 ADP Data'!$C$4:$Q$298, 9, FALSE)</f>
        <v>114</v>
      </c>
      <c r="T103" s="11" t="str">
        <f>VLOOKUP($G103, '26 ADP Data'!$C$4:$Q$298, 8, FALSE)</f>
        <v>-</v>
      </c>
      <c r="U103" s="11">
        <f t="shared" si="7"/>
        <v>101</v>
      </c>
      <c r="V103" s="11">
        <f t="shared" si="8"/>
        <v>9</v>
      </c>
      <c r="W103" s="11"/>
      <c r="X103" s="11">
        <f>VLOOKUP($G103, SeanRanks26!$A$2:$K$303, 10, FALSE)-U103</f>
        <v>-3</v>
      </c>
      <c r="Y103" s="29" t="str">
        <f>IF(VLOOKUP($G103, SeanRanks26!$A$2:$H$303, 8, FALSE)=0, "", VLOOKUP($G103, SeanRanks26!$A$2:$H$303, 8, FALSE))</f>
        <v/>
      </c>
    </row>
    <row r="104" ht="14.25" customHeight="1">
      <c r="A104" s="11"/>
      <c r="B104" s="11">
        <f t="shared" si="4"/>
        <v>8</v>
      </c>
      <c r="C104" s="11" t="s">
        <v>106</v>
      </c>
      <c r="D104" s="11"/>
      <c r="E104" s="27"/>
      <c r="F104" s="11" t="str">
        <f>VLOOKUP($G104, SeanRanks26!$A$2:$H$303, 5, FALSE)</f>
        <v/>
      </c>
      <c r="G104" s="16" t="s">
        <v>321</v>
      </c>
      <c r="H104" s="11" t="str">
        <f>VLOOKUP($G104, '26 ADP Data'!$C$4:$Q$298, 2, FALSE)</f>
        <v>KC</v>
      </c>
      <c r="I104" s="11" t="str">
        <f>VLOOKUP(G104, '26 ADP Data'!$C$4:$R$496, 16, FALSE)</f>
        <v>TE</v>
      </c>
      <c r="J104" s="11" t="str">
        <f>VLOOKUP($G104, SeanRanks26!$A$2:$H$303, 6, FALSE)</f>
        <v>TE1 - 3 - Weekly starter</v>
      </c>
      <c r="K104" s="11">
        <f>VLOOKUP($G104, SeanRanks26!$A$2:$H$303, 7, FALSE)</f>
        <v>9</v>
      </c>
      <c r="L104" s="11">
        <f t="shared" si="5"/>
        <v>10</v>
      </c>
      <c r="M104" s="11">
        <f>VLOOKUP($G104, '26 ADP Data'!$C$4:$Q$298, 10, FALSE)</f>
        <v>119</v>
      </c>
      <c r="N104" s="11">
        <f>VLOOKUP($G104, '26 ADP Data'!$C$4:$Q$298, 13, FALSE)</f>
        <v>123</v>
      </c>
      <c r="O104" s="11">
        <f t="shared" si="6"/>
        <v>-4</v>
      </c>
      <c r="P104" s="11">
        <f>VLOOKUP($G104, '26 ADP Data'!$C$4:$Q$298, 3, FALSE)</f>
        <v>100</v>
      </c>
      <c r="Q104" s="11">
        <f>VLOOKUP($G104, '26 ADP Data'!$C$4:$Q$298, 4, FALSE)</f>
        <v>86</v>
      </c>
      <c r="R104" s="11">
        <f>VLOOKUP($G104, '26 ADP Data'!$C$4:$Q$298, 6, FALSE)</f>
        <v>80</v>
      </c>
      <c r="S104" s="11">
        <f>VLOOKUP($G104, '26 ADP Data'!$C$4:$Q$298, 9, FALSE)</f>
        <v>101</v>
      </c>
      <c r="T104" s="11" t="str">
        <f>VLOOKUP($G104, '26 ADP Data'!$C$4:$Q$298, 8, FALSE)</f>
        <v>-</v>
      </c>
      <c r="U104" s="11">
        <f t="shared" si="7"/>
        <v>101</v>
      </c>
      <c r="V104" s="11">
        <f t="shared" si="8"/>
        <v>9</v>
      </c>
      <c r="W104" s="11"/>
      <c r="X104" s="11">
        <f>VLOOKUP($G104, SeanRanks26!$A$2:$K$303, 10, FALSE)-U104</f>
        <v>18</v>
      </c>
      <c r="Y104" s="29" t="str">
        <f>IF(VLOOKUP($G104, SeanRanks26!$A$2:$H$303, 8, FALSE)=0, "", VLOOKUP($G104, SeanRanks26!$A$2:$H$303, 8, FALSE))</f>
        <v/>
      </c>
    </row>
    <row r="105" ht="14.25" customHeight="1">
      <c r="A105" s="11"/>
      <c r="B105" s="11">
        <f t="shared" si="4"/>
        <v>10</v>
      </c>
      <c r="C105" s="11" t="s">
        <v>106</v>
      </c>
      <c r="D105" s="11"/>
      <c r="E105" s="27"/>
      <c r="F105" s="11" t="str">
        <f>VLOOKUP($G105, SeanRanks26!$A$2:$H$303, 5, FALSE)</f>
        <v/>
      </c>
      <c r="G105" s="16" t="s">
        <v>303</v>
      </c>
      <c r="H105" s="11" t="str">
        <f>VLOOKUP($G105, '26 ADP Data'!$C$4:$Q$298, 2, FALSE)</f>
        <v>MIN</v>
      </c>
      <c r="I105" s="11" t="str">
        <f>VLOOKUP(G105, '26 ADP Data'!$C$4:$R$496, 16, FALSE)</f>
        <v>WR</v>
      </c>
      <c r="J105" s="11" t="str">
        <f>VLOOKUP($G105, SeanRanks26!$A$2:$H$303, 6, FALSE)</f>
        <v>WR4 - 2 - Spot Start</v>
      </c>
      <c r="K105" s="11">
        <f>VLOOKUP($G105, SeanRanks26!$A$2:$H$303, 7, FALSE)</f>
        <v>42</v>
      </c>
      <c r="L105" s="11">
        <f t="shared" si="5"/>
        <v>8</v>
      </c>
      <c r="M105" s="11">
        <f>VLOOKUP($G105, '26 ADP Data'!$C$4:$Q$298, 10, FALSE)</f>
        <v>94</v>
      </c>
      <c r="N105" s="11">
        <f>VLOOKUP($G105, '26 ADP Data'!$C$4:$Q$298, 13, FALSE)</f>
        <v>89</v>
      </c>
      <c r="O105" s="11">
        <f t="shared" si="6"/>
        <v>5</v>
      </c>
      <c r="P105" s="11">
        <f>VLOOKUP($G105, '26 ADP Data'!$C$4:$Q$298, 3, FALSE)</f>
        <v>115</v>
      </c>
      <c r="Q105" s="11">
        <f>VLOOKUP($G105, '26 ADP Data'!$C$4:$Q$298, 4, FALSE)</f>
        <v>105</v>
      </c>
      <c r="R105" s="11">
        <f>VLOOKUP($G105, '26 ADP Data'!$C$4:$Q$298, 6, FALSE)</f>
        <v>115</v>
      </c>
      <c r="S105" s="11">
        <f>VLOOKUP($G105, '26 ADP Data'!$C$4:$Q$298, 9, FALSE)</f>
        <v>99</v>
      </c>
      <c r="T105" s="11" t="str">
        <f>VLOOKUP($G105, '26 ADP Data'!$C$4:$Q$298, 8, FALSE)</f>
        <v>-</v>
      </c>
      <c r="U105" s="11">
        <f t="shared" si="7"/>
        <v>102</v>
      </c>
      <c r="V105" s="11">
        <f t="shared" si="8"/>
        <v>9</v>
      </c>
      <c r="W105" s="11"/>
      <c r="X105" s="11">
        <f>VLOOKUP($G105, SeanRanks26!$A$2:$K$303, 10, FALSE)-U105</f>
        <v>-8</v>
      </c>
      <c r="Y105" s="29" t="str">
        <f>IF(VLOOKUP($G105, SeanRanks26!$A$2:$H$303, 8, FALSE)=0, "", VLOOKUP($G105, SeanRanks26!$A$2:$H$303, 8, FALSE))</f>
        <v/>
      </c>
    </row>
    <row r="106" ht="14.25" customHeight="1">
      <c r="A106" s="11"/>
      <c r="B106" s="11">
        <f t="shared" si="4"/>
        <v>9</v>
      </c>
      <c r="C106" s="11" t="s">
        <v>106</v>
      </c>
      <c r="D106" s="11"/>
      <c r="E106" s="27"/>
      <c r="F106" s="11" t="str">
        <f>VLOOKUP($G106, SeanRanks26!$A$2:$H$303, 5, FALSE)</f>
        <v/>
      </c>
      <c r="G106" s="16" t="s">
        <v>294</v>
      </c>
      <c r="H106" s="11" t="str">
        <f>VLOOKUP($G106, '26 ADP Data'!$C$4:$Q$298, 2, FALSE)</f>
        <v>TB</v>
      </c>
      <c r="I106" s="11" t="str">
        <f>VLOOKUP(G106, '26 ADP Data'!$C$4:$R$496, 16, FALSE)</f>
        <v>RB</v>
      </c>
      <c r="J106" s="11" t="str">
        <f>VLOOKUP($G106, SeanRanks26!$A$2:$H$303, 6, FALSE)</f>
        <v>RB4</v>
      </c>
      <c r="K106" s="11">
        <f>VLOOKUP($G106, SeanRanks26!$A$2:$H$303, 7, FALSE)</f>
        <v>40</v>
      </c>
      <c r="L106" s="11">
        <f t="shared" si="5"/>
        <v>10</v>
      </c>
      <c r="M106" s="11">
        <f>VLOOKUP($G106, '26 ADP Data'!$C$4:$Q$298, 10, FALSE)</f>
        <v>115</v>
      </c>
      <c r="N106" s="11">
        <f>VLOOKUP($G106, '26 ADP Data'!$C$4:$Q$298, 13, FALSE)</f>
        <v>109</v>
      </c>
      <c r="O106" s="11">
        <f t="shared" si="6"/>
        <v>6</v>
      </c>
      <c r="P106" s="11">
        <f>VLOOKUP($G106, '26 ADP Data'!$C$4:$Q$298, 3, FALSE)</f>
        <v>94</v>
      </c>
      <c r="Q106" s="11">
        <f>VLOOKUP($G106, '26 ADP Data'!$C$4:$Q$298, 4, FALSE)</f>
        <v>108</v>
      </c>
      <c r="R106" s="11">
        <f>VLOOKUP($G106, '26 ADP Data'!$C$4:$Q$298, 6, FALSE)</f>
        <v>81</v>
      </c>
      <c r="S106" s="11">
        <f>VLOOKUP($G106, '26 ADP Data'!$C$4:$Q$298, 9, FALSE)</f>
        <v>109</v>
      </c>
      <c r="T106" s="11" t="str">
        <f>VLOOKUP($G106, '26 ADP Data'!$C$4:$Q$298, 8, FALSE)</f>
        <v>-</v>
      </c>
      <c r="U106" s="11">
        <f t="shared" si="7"/>
        <v>102</v>
      </c>
      <c r="V106" s="11">
        <f t="shared" si="8"/>
        <v>9</v>
      </c>
      <c r="W106" s="11"/>
      <c r="X106" s="11">
        <f>VLOOKUP($G106, SeanRanks26!$A$2:$K$303, 10, FALSE)-U106</f>
        <v>13</v>
      </c>
      <c r="Y106" s="29" t="str">
        <f>IF(VLOOKUP($G106, SeanRanks26!$A$2:$H$303, 8, FALSE)=0, "", VLOOKUP($G106, SeanRanks26!$A$2:$H$303, 8, FALSE))</f>
        <v/>
      </c>
    </row>
    <row r="107" ht="14.25" customHeight="1">
      <c r="A107" s="11"/>
      <c r="B107" s="11">
        <f t="shared" si="4"/>
        <v>10</v>
      </c>
      <c r="C107" s="11" t="s">
        <v>106</v>
      </c>
      <c r="D107" s="11"/>
      <c r="E107" s="27"/>
      <c r="F107" s="11" t="str">
        <f>VLOOKUP($G107, SeanRanks26!$A$2:$H$303, 5, FALSE)</f>
        <v/>
      </c>
      <c r="G107" s="16" t="s">
        <v>292</v>
      </c>
      <c r="H107" s="11" t="str">
        <f>VLOOKUP($G107, '26 ADP Data'!$C$4:$Q$298, 2, FALSE)</f>
        <v>IND</v>
      </c>
      <c r="I107" s="11" t="str">
        <f>VLOOKUP(G107, '26 ADP Data'!$C$4:$R$496, 16, FALSE)</f>
        <v>WR</v>
      </c>
      <c r="J107" s="11" t="str">
        <f>VLOOKUP($G107, SeanRanks26!$A$2:$H$303, 6, FALSE)</f>
        <v>WR4 - 2 - Spot Start</v>
      </c>
      <c r="K107" s="11">
        <f>VLOOKUP($G107, SeanRanks26!$A$2:$H$303, 7, FALSE)</f>
        <v>60</v>
      </c>
      <c r="L107" s="11">
        <f t="shared" si="5"/>
        <v>8</v>
      </c>
      <c r="M107" s="11">
        <f>VLOOKUP($G107, '26 ADP Data'!$C$4:$Q$298, 10, FALSE)</f>
        <v>90</v>
      </c>
      <c r="N107" s="11">
        <f>VLOOKUP($G107, '26 ADP Data'!$C$4:$Q$298, 13, FALSE)</f>
        <v>82</v>
      </c>
      <c r="O107" s="11">
        <f t="shared" si="6"/>
        <v>8</v>
      </c>
      <c r="P107" s="11">
        <f>VLOOKUP($G107, '26 ADP Data'!$C$4:$Q$298, 3, FALSE)</f>
        <v>116</v>
      </c>
      <c r="Q107" s="11">
        <f>VLOOKUP($G107, '26 ADP Data'!$C$4:$Q$298, 4, FALSE)</f>
        <v>131</v>
      </c>
      <c r="R107" s="11">
        <f>VLOOKUP($G107, '26 ADP Data'!$C$4:$Q$298, 6, FALSE)</f>
        <v>92</v>
      </c>
      <c r="S107" s="11">
        <f>VLOOKUP($G107, '26 ADP Data'!$C$4:$Q$298, 9, FALSE)</f>
        <v>111</v>
      </c>
      <c r="T107" s="11" t="str">
        <f>VLOOKUP($G107, '26 ADP Data'!$C$4:$Q$298, 8, FALSE)</f>
        <v>-</v>
      </c>
      <c r="U107" s="11">
        <f t="shared" si="7"/>
        <v>103</v>
      </c>
      <c r="V107" s="11">
        <f t="shared" si="8"/>
        <v>9</v>
      </c>
      <c r="W107" s="11"/>
      <c r="X107" s="11">
        <f>VLOOKUP($G107, SeanRanks26!$A$2:$K$303, 10, FALSE)-U107</f>
        <v>-13</v>
      </c>
      <c r="Y107" s="29" t="str">
        <f>IF(VLOOKUP($G107, SeanRanks26!$A$2:$H$303, 8, FALSE)=0, "", VLOOKUP($G107, SeanRanks26!$A$2:$H$303, 8, FALSE))</f>
        <v/>
      </c>
    </row>
    <row r="108" ht="14.25" customHeight="1">
      <c r="A108" s="11"/>
      <c r="B108" s="11">
        <f t="shared" si="4"/>
        <v>9</v>
      </c>
      <c r="C108" s="11" t="s">
        <v>106</v>
      </c>
      <c r="D108" s="11"/>
      <c r="E108" s="27"/>
      <c r="F108" s="11" t="str">
        <f>VLOOKUP($G108, SeanRanks26!$A$2:$H$303, 5, FALSE)</f>
        <v/>
      </c>
      <c r="G108" s="16" t="s">
        <v>310</v>
      </c>
      <c r="H108" s="11" t="str">
        <f>VLOOKUP($G108, '26 ADP Data'!$C$4:$Q$298, 2, FALSE)</f>
        <v>LAR</v>
      </c>
      <c r="I108" s="11" t="str">
        <f>VLOOKUP(G108, '26 ADP Data'!$C$4:$R$496, 16, FALSE)</f>
        <v>QB</v>
      </c>
      <c r="J108" s="11" t="str">
        <f>VLOOKUP($G108, SeanRanks26!$A$2:$H$303, 6, FALSE)</f>
        <v>QB2 - 2 - Lower Floor</v>
      </c>
      <c r="K108" s="11">
        <f>VLOOKUP($G108, SeanRanks26!$A$2:$H$303, 7, FALSE)</f>
        <v>15</v>
      </c>
      <c r="L108" s="11">
        <f t="shared" si="5"/>
        <v>10</v>
      </c>
      <c r="M108" s="11">
        <f>VLOOKUP($G108, '26 ADP Data'!$C$4:$Q$298, 10, FALSE)</f>
        <v>110</v>
      </c>
      <c r="N108" s="11">
        <f>VLOOKUP($G108, '26 ADP Data'!$C$4:$Q$298, 13, FALSE)</f>
        <v>111</v>
      </c>
      <c r="O108" s="11">
        <f t="shared" si="6"/>
        <v>-1</v>
      </c>
      <c r="P108" s="11">
        <f>VLOOKUP($G108, '26 ADP Data'!$C$4:$Q$298, 3, FALSE)</f>
        <v>91</v>
      </c>
      <c r="Q108" s="11">
        <f>VLOOKUP($G108, '26 ADP Data'!$C$4:$Q$298, 4, FALSE)</f>
        <v>70</v>
      </c>
      <c r="R108" s="11">
        <f>VLOOKUP($G108, '26 ADP Data'!$C$4:$Q$298, 6, FALSE)</f>
        <v>125</v>
      </c>
      <c r="S108" s="11">
        <f>VLOOKUP($G108, '26 ADP Data'!$C$4:$Q$298, 9, FALSE)</f>
        <v>112</v>
      </c>
      <c r="T108" s="11" t="str">
        <f>VLOOKUP($G108, '26 ADP Data'!$C$4:$Q$298, 8, FALSE)</f>
        <v>-</v>
      </c>
      <c r="U108" s="11">
        <f t="shared" si="7"/>
        <v>103</v>
      </c>
      <c r="V108" s="11">
        <f t="shared" si="8"/>
        <v>9</v>
      </c>
      <c r="W108" s="11"/>
      <c r="X108" s="11">
        <f>VLOOKUP($G108, SeanRanks26!$A$2:$K$303, 10, FALSE)-U108</f>
        <v>7</v>
      </c>
      <c r="Y108" s="29" t="str">
        <f>IF(VLOOKUP($G108, SeanRanks26!$A$2:$H$303, 8, FALSE)=0, "", VLOOKUP($G108, SeanRanks26!$A$2:$H$303, 8, FALSE))</f>
        <v/>
      </c>
    </row>
    <row r="109" ht="14.25" customHeight="1">
      <c r="A109" s="11"/>
      <c r="B109" s="11">
        <f t="shared" si="4"/>
        <v>8</v>
      </c>
      <c r="C109" s="11" t="s">
        <v>106</v>
      </c>
      <c r="D109" s="11"/>
      <c r="E109" s="27"/>
      <c r="F109" s="11" t="str">
        <f>VLOOKUP($G109, SeanRanks26!$A$2:$H$303, 5, FALSE)</f>
        <v/>
      </c>
      <c r="G109" s="16" t="s">
        <v>328</v>
      </c>
      <c r="H109" s="11" t="str">
        <f>VLOOKUP($G109, '26 ADP Data'!$C$4:$Q$298, 2, FALSE)</f>
        <v>PHI</v>
      </c>
      <c r="I109" s="11" t="str">
        <f>VLOOKUP(G109, '26 ADP Data'!$C$4:$R$496, 16, FALSE)</f>
        <v>TE</v>
      </c>
      <c r="J109" s="11" t="str">
        <f>VLOOKUP($G109, SeanRanks26!$A$2:$H$303, 6, FALSE)</f>
        <v>TE1 - 3 - Weekly starter</v>
      </c>
      <c r="K109" s="11">
        <f>VLOOKUP($G109, SeanRanks26!$A$2:$H$303, 7, FALSE)</f>
        <v>12</v>
      </c>
      <c r="L109" s="11">
        <f t="shared" si="5"/>
        <v>10</v>
      </c>
      <c r="M109" s="11">
        <f>VLOOKUP($G109, '26 ADP Data'!$C$4:$Q$298, 10, FALSE)</f>
        <v>116</v>
      </c>
      <c r="N109" s="11">
        <f>VLOOKUP($G109, '26 ADP Data'!$C$4:$Q$298, 13, FALSE)</f>
        <v>132</v>
      </c>
      <c r="O109" s="11">
        <f t="shared" si="6"/>
        <v>-16</v>
      </c>
      <c r="P109" s="11">
        <f>VLOOKUP($G109, '26 ADP Data'!$C$4:$Q$298, 3, FALSE)</f>
        <v>80</v>
      </c>
      <c r="Q109" s="11">
        <f>VLOOKUP($G109, '26 ADP Data'!$C$4:$Q$298, 4, FALSE)</f>
        <v>88</v>
      </c>
      <c r="R109" s="11">
        <f>VLOOKUP($G109, '26 ADP Data'!$C$4:$Q$298, 6, FALSE)</f>
        <v>87</v>
      </c>
      <c r="S109" s="11">
        <f>VLOOKUP($G109, '26 ADP Data'!$C$4:$Q$298, 9, FALSE)</f>
        <v>119</v>
      </c>
      <c r="T109" s="11" t="str">
        <f>VLOOKUP($G109, '26 ADP Data'!$C$4:$Q$298, 8, FALSE)</f>
        <v>-</v>
      </c>
      <c r="U109" s="11">
        <f t="shared" si="7"/>
        <v>103</v>
      </c>
      <c r="V109" s="11">
        <f t="shared" si="8"/>
        <v>9</v>
      </c>
      <c r="W109" s="11"/>
      <c r="X109" s="11">
        <f>VLOOKUP($G109, SeanRanks26!$A$2:$K$303, 10, FALSE)-U109</f>
        <v>13</v>
      </c>
      <c r="Y109" s="29" t="str">
        <f>IF(VLOOKUP($G109, SeanRanks26!$A$2:$H$303, 8, FALSE)=0, "", VLOOKUP($G109, SeanRanks26!$A$2:$H$303, 8, FALSE))</f>
        <v/>
      </c>
    </row>
    <row r="110" ht="14.25" customHeight="1">
      <c r="A110" s="11"/>
      <c r="B110" s="11">
        <f t="shared" si="4"/>
        <v>10</v>
      </c>
      <c r="C110" s="11" t="s">
        <v>106</v>
      </c>
      <c r="D110" s="11"/>
      <c r="E110" s="27"/>
      <c r="F110" s="11" t="str">
        <f>VLOOKUP($G110, SeanRanks26!$A$2:$H$303, 5, FALSE)</f>
        <v/>
      </c>
      <c r="G110" s="16" t="s">
        <v>301</v>
      </c>
      <c r="H110" s="11" t="str">
        <f>VLOOKUP($G110, '26 ADP Data'!$C$4:$Q$298, 2, FALSE)</f>
        <v>GB</v>
      </c>
      <c r="I110" s="11" t="str">
        <f>VLOOKUP(G110, '26 ADP Data'!$C$4:$R$496, 16, FALSE)</f>
        <v>WR</v>
      </c>
      <c r="J110" s="11" t="str">
        <f>VLOOKUP($G110, SeanRanks26!$A$2:$H$303, 6, FALSE)</f>
        <v>WR4 - 2 - Spot Start</v>
      </c>
      <c r="K110" s="11">
        <f>VLOOKUP($G110, SeanRanks26!$A$2:$H$303, 7, FALSE)</f>
        <v>41</v>
      </c>
      <c r="L110" s="11">
        <f t="shared" si="5"/>
        <v>9</v>
      </c>
      <c r="M110" s="11">
        <f>VLOOKUP($G110, '26 ADP Data'!$C$4:$Q$298, 10, FALSE)</f>
        <v>96</v>
      </c>
      <c r="N110" s="11">
        <f>VLOOKUP($G110, '26 ADP Data'!$C$4:$Q$298, 13, FALSE)</f>
        <v>78</v>
      </c>
      <c r="O110" s="11">
        <f t="shared" si="6"/>
        <v>18</v>
      </c>
      <c r="P110" s="11">
        <f>VLOOKUP($G110, '26 ADP Data'!$C$4:$Q$298, 3, FALSE)</f>
        <v>128</v>
      </c>
      <c r="Q110" s="11">
        <f>VLOOKUP($G110, '26 ADP Data'!$C$4:$Q$298, 4, FALSE)</f>
        <v>116</v>
      </c>
      <c r="R110" s="11">
        <f>VLOOKUP($G110, '26 ADP Data'!$C$4:$Q$298, 6, FALSE)</f>
        <v>107</v>
      </c>
      <c r="S110" s="11">
        <f>VLOOKUP($G110, '26 ADP Data'!$C$4:$Q$298, 9, FALSE)</f>
        <v>104</v>
      </c>
      <c r="T110" s="11" t="str">
        <f>VLOOKUP($G110, '26 ADP Data'!$C$4:$Q$298, 8, FALSE)</f>
        <v>-</v>
      </c>
      <c r="U110" s="11">
        <f t="shared" si="7"/>
        <v>104</v>
      </c>
      <c r="V110" s="11">
        <f t="shared" si="8"/>
        <v>9</v>
      </c>
      <c r="W110" s="11"/>
      <c r="X110" s="11">
        <f>VLOOKUP($G110, SeanRanks26!$A$2:$K$303, 10, FALSE)-U110</f>
        <v>-8</v>
      </c>
      <c r="Y110" s="29" t="str">
        <f>IF(VLOOKUP($G110, SeanRanks26!$A$2:$H$303, 8, FALSE)=0, "", VLOOKUP($G110, SeanRanks26!$A$2:$H$303, 8, FALSE))</f>
        <v/>
      </c>
    </row>
    <row r="111" ht="14.25" customHeight="1">
      <c r="A111" s="11"/>
      <c r="B111" s="11">
        <f t="shared" si="4"/>
        <v>10</v>
      </c>
      <c r="C111" s="11" t="s">
        <v>106</v>
      </c>
      <c r="D111" s="11"/>
      <c r="E111" s="27"/>
      <c r="F111" s="11" t="str">
        <f>VLOOKUP($G111, SeanRanks26!$A$2:$H$303, 5, FALSE)</f>
        <v>Yes</v>
      </c>
      <c r="G111" s="16" t="s">
        <v>313</v>
      </c>
      <c r="H111" s="11" t="str">
        <f>VLOOKUP($G111, '26 ADP Data'!$C$4:$Q$298, 2, FALSE)</f>
        <v>MIN</v>
      </c>
      <c r="I111" s="11" t="str">
        <f>VLOOKUP(G111, '26 ADP Data'!$C$4:$R$496, 16, FALSE)</f>
        <v>RB</v>
      </c>
      <c r="J111" s="11" t="str">
        <f>VLOOKUP($G111, SeanRanks26!$A$2:$H$303, 6, FALSE)</f>
        <v>RB3</v>
      </c>
      <c r="K111" s="11">
        <f>VLOOKUP($G111, SeanRanks26!$A$2:$H$303, 7, FALSE)</f>
        <v>36</v>
      </c>
      <c r="L111" s="11">
        <f t="shared" si="5"/>
        <v>9</v>
      </c>
      <c r="M111" s="11">
        <f>VLOOKUP($G111, '26 ADP Data'!$C$4:$Q$298, 10, FALSE)</f>
        <v>103</v>
      </c>
      <c r="N111" s="11">
        <f>VLOOKUP($G111, '26 ADP Data'!$C$4:$Q$298, 13, FALSE)</f>
        <v>96</v>
      </c>
      <c r="O111" s="11">
        <f t="shared" si="6"/>
        <v>7</v>
      </c>
      <c r="P111" s="11">
        <f>VLOOKUP($G111, '26 ADP Data'!$C$4:$Q$298, 3, FALSE)</f>
        <v>97</v>
      </c>
      <c r="Q111" s="11">
        <f>VLOOKUP($G111, '26 ADP Data'!$C$4:$Q$298, 4, FALSE)</f>
        <v>135</v>
      </c>
      <c r="R111" s="11">
        <f>VLOOKUP($G111, '26 ADP Data'!$C$4:$Q$298, 6, FALSE)</f>
        <v>93</v>
      </c>
      <c r="S111" s="11">
        <f>VLOOKUP($G111, '26 ADP Data'!$C$4:$Q$298, 9, FALSE)</f>
        <v>110</v>
      </c>
      <c r="T111" s="11" t="str">
        <f>VLOOKUP($G111, '26 ADP Data'!$C$4:$Q$298, 8, FALSE)</f>
        <v>-</v>
      </c>
      <c r="U111" s="11">
        <f t="shared" si="7"/>
        <v>105</v>
      </c>
      <c r="V111" s="11">
        <f t="shared" si="8"/>
        <v>9</v>
      </c>
      <c r="W111" s="11"/>
      <c r="X111" s="11">
        <f>VLOOKUP($G111, SeanRanks26!$A$2:$K$303, 10, FALSE)-U111</f>
        <v>-2</v>
      </c>
      <c r="Y111" s="29" t="str">
        <f>IF(VLOOKUP($G111, SeanRanks26!$A$2:$H$303, 8, FALSE)=0, "", VLOOKUP($G111, SeanRanks26!$A$2:$H$303, 8, FALSE))</f>
        <v/>
      </c>
    </row>
    <row r="112" ht="14.25" customHeight="1">
      <c r="A112" s="11"/>
      <c r="B112" s="11">
        <f t="shared" si="4"/>
        <v>9</v>
      </c>
      <c r="C112" s="11" t="s">
        <v>106</v>
      </c>
      <c r="D112" s="11"/>
      <c r="E112" s="27"/>
      <c r="F112" s="11" t="str">
        <f>VLOOKUP($G112, SeanRanks26!$A$2:$H$303, 5, FALSE)</f>
        <v/>
      </c>
      <c r="G112" s="16" t="s">
        <v>319</v>
      </c>
      <c r="H112" s="11" t="str">
        <f>VLOOKUP($G112, '26 ADP Data'!$C$4:$Q$298, 2, FALSE)</f>
        <v>KC</v>
      </c>
      <c r="I112" s="11" t="str">
        <f>VLOOKUP(G112, '26 ADP Data'!$C$4:$R$496, 16, FALSE)</f>
        <v>QB</v>
      </c>
      <c r="J112" s="11" t="str">
        <f>VLOOKUP($G112, SeanRanks26!$A$2:$H$303, 6, FALSE)</f>
        <v>QB2 - 1 - Strong Streamer</v>
      </c>
      <c r="K112" s="11">
        <f>VLOOKUP($G112, SeanRanks26!$A$2:$H$303, 7, FALSE)</f>
        <v>11</v>
      </c>
      <c r="L112" s="11">
        <f t="shared" si="5"/>
        <v>10</v>
      </c>
      <c r="M112" s="11">
        <f>VLOOKUP($G112, '26 ADP Data'!$C$4:$Q$298, 10, FALSE)</f>
        <v>118</v>
      </c>
      <c r="N112" s="11">
        <f>VLOOKUP($G112, '26 ADP Data'!$C$4:$Q$298, 13, FALSE)</f>
        <v>97</v>
      </c>
      <c r="O112" s="11">
        <f t="shared" si="6"/>
        <v>21</v>
      </c>
      <c r="P112" s="11">
        <f>VLOOKUP($G112, '26 ADP Data'!$C$4:$Q$298, 3, FALSE)</f>
        <v>96</v>
      </c>
      <c r="Q112" s="11">
        <f>VLOOKUP($G112, '26 ADP Data'!$C$4:$Q$298, 4, FALSE)</f>
        <v>98</v>
      </c>
      <c r="R112" s="11">
        <f>VLOOKUP($G112, '26 ADP Data'!$C$4:$Q$298, 6, FALSE)</f>
        <v>121</v>
      </c>
      <c r="S112" s="11">
        <f>VLOOKUP($G112, '26 ADP Data'!$C$4:$Q$298, 9, FALSE)</f>
        <v>105</v>
      </c>
      <c r="T112" s="11" t="str">
        <f>VLOOKUP($G112, '26 ADP Data'!$C$4:$Q$298, 8, FALSE)</f>
        <v>-</v>
      </c>
      <c r="U112" s="11">
        <f t="shared" si="7"/>
        <v>105</v>
      </c>
      <c r="V112" s="11">
        <f t="shared" si="8"/>
        <v>9</v>
      </c>
      <c r="W112" s="11"/>
      <c r="X112" s="11">
        <f>VLOOKUP($G112, SeanRanks26!$A$2:$K$303, 10, FALSE)-U112</f>
        <v>13</v>
      </c>
      <c r="Y112" s="29" t="str">
        <f>IF(VLOOKUP($G112, SeanRanks26!$A$2:$H$303, 8, FALSE)=0, "", VLOOKUP($G112, SeanRanks26!$A$2:$H$303, 8, FALSE))</f>
        <v/>
      </c>
    </row>
    <row r="113" ht="14.25" customHeight="1">
      <c r="A113" s="11"/>
      <c r="B113" s="11">
        <f t="shared" si="4"/>
        <v>10</v>
      </c>
      <c r="C113" s="11" t="s">
        <v>106</v>
      </c>
      <c r="D113" s="11"/>
      <c r="E113" s="27"/>
      <c r="F113" s="11" t="str">
        <f>VLOOKUP($G113, SeanRanks26!$A$2:$H$303, 5, FALSE)</f>
        <v/>
      </c>
      <c r="G113" s="16" t="s">
        <v>299</v>
      </c>
      <c r="H113" s="11" t="str">
        <f>VLOOKUP($G113, '26 ADP Data'!$C$4:$Q$298, 2, FALSE)</f>
        <v>WAS</v>
      </c>
      <c r="I113" s="11" t="str">
        <f>VLOOKUP(G113, '26 ADP Data'!$C$4:$R$496, 16, FALSE)</f>
        <v>WR</v>
      </c>
      <c r="J113" s="11" t="str">
        <f>VLOOKUP($G113, SeanRanks26!$A$2:$H$303, 6, FALSE)</f>
        <v>WR5</v>
      </c>
      <c r="K113" s="11">
        <f>VLOOKUP($G113, SeanRanks26!$A$2:$H$303, 7, FALSE)</f>
        <v>59</v>
      </c>
      <c r="L113" s="11">
        <f t="shared" si="5"/>
        <v>8</v>
      </c>
      <c r="M113" s="11">
        <f>VLOOKUP($G113, '26 ADP Data'!$C$4:$Q$298, 10, FALSE)</f>
        <v>88</v>
      </c>
      <c r="N113" s="11">
        <f>VLOOKUP($G113, '26 ADP Data'!$C$4:$Q$298, 13, FALSE)</f>
        <v>92</v>
      </c>
      <c r="O113" s="11">
        <f t="shared" si="6"/>
        <v>-4</v>
      </c>
      <c r="P113" s="11">
        <f>VLOOKUP($G113, '26 ADP Data'!$C$4:$Q$298, 3, FALSE)</f>
        <v>114</v>
      </c>
      <c r="Q113" s="11">
        <f>VLOOKUP($G113, '26 ADP Data'!$C$4:$Q$298, 4, FALSE)</f>
        <v>117</v>
      </c>
      <c r="R113" s="11">
        <f>VLOOKUP($G113, '26 ADP Data'!$C$4:$Q$298, 6, FALSE)</f>
        <v>103</v>
      </c>
      <c r="S113" s="11">
        <f>VLOOKUP($G113, '26 ADP Data'!$C$4:$Q$298, 9, FALSE)</f>
        <v>123</v>
      </c>
      <c r="T113" s="11" t="str">
        <f>VLOOKUP($G113, '26 ADP Data'!$C$4:$Q$298, 8, FALSE)</f>
        <v>-</v>
      </c>
      <c r="U113" s="11">
        <f t="shared" si="7"/>
        <v>106</v>
      </c>
      <c r="V113" s="11">
        <f t="shared" si="8"/>
        <v>9</v>
      </c>
      <c r="W113" s="11"/>
      <c r="X113" s="11">
        <f>VLOOKUP($G113, SeanRanks26!$A$2:$K$303, 10, FALSE)-U113</f>
        <v>-18</v>
      </c>
      <c r="Y113" s="29" t="str">
        <f>IF(VLOOKUP($G113, SeanRanks26!$A$2:$H$303, 8, FALSE)=0, "", VLOOKUP($G113, SeanRanks26!$A$2:$H$303, 8, FALSE))</f>
        <v/>
      </c>
    </row>
    <row r="114" ht="14.25" customHeight="1">
      <c r="A114" s="11"/>
      <c r="B114" s="11">
        <f t="shared" si="4"/>
        <v>9</v>
      </c>
      <c r="C114" s="11" t="s">
        <v>106</v>
      </c>
      <c r="D114" s="11"/>
      <c r="E114" s="27"/>
      <c r="F114" s="11" t="str">
        <f>VLOOKUP($G114, SeanRanks26!$A$2:$H$303, 5, FALSE)</f>
        <v/>
      </c>
      <c r="G114" s="16" t="s">
        <v>326</v>
      </c>
      <c r="H114" s="11" t="str">
        <f>VLOOKUP($G114, '26 ADP Data'!$C$4:$Q$298, 2, FALSE)</f>
        <v>DEN</v>
      </c>
      <c r="I114" s="11" t="str">
        <f>VLOOKUP(G114, '26 ADP Data'!$C$4:$R$496, 16, FALSE)</f>
        <v>QB</v>
      </c>
      <c r="J114" s="11" t="str">
        <f>VLOOKUP($G114, SeanRanks26!$A$2:$H$303, 6, FALSE)</f>
        <v>QB2 - 1 - Strong Streamer</v>
      </c>
      <c r="K114" s="11">
        <f>VLOOKUP($G114, SeanRanks26!$A$2:$H$303, 7, FALSE)</f>
        <v>13</v>
      </c>
      <c r="L114" s="11">
        <f t="shared" si="5"/>
        <v>9</v>
      </c>
      <c r="M114" s="11">
        <f>VLOOKUP($G114, '26 ADP Data'!$C$4:$Q$298, 10, FALSE)</f>
        <v>101</v>
      </c>
      <c r="N114" s="11">
        <f>VLOOKUP($G114, '26 ADP Data'!$C$4:$Q$298, 13, FALSE)</f>
        <v>106</v>
      </c>
      <c r="O114" s="11">
        <f t="shared" si="6"/>
        <v>-5</v>
      </c>
      <c r="P114" s="11">
        <f>VLOOKUP($G114, '26 ADP Data'!$C$4:$Q$298, 3, FALSE)</f>
        <v>117</v>
      </c>
      <c r="Q114" s="11">
        <f>VLOOKUP($G114, '26 ADP Data'!$C$4:$Q$298, 4, FALSE)</f>
        <v>75</v>
      </c>
      <c r="R114" s="11">
        <f>VLOOKUP($G114, '26 ADP Data'!$C$4:$Q$298, 6, FALSE)</f>
        <v>122</v>
      </c>
      <c r="S114" s="11">
        <f>VLOOKUP($G114, '26 ADP Data'!$C$4:$Q$298, 9, FALSE)</f>
        <v>116</v>
      </c>
      <c r="T114" s="11" t="str">
        <f>VLOOKUP($G114, '26 ADP Data'!$C$4:$Q$298, 8, FALSE)</f>
        <v>-</v>
      </c>
      <c r="U114" s="11">
        <f t="shared" si="7"/>
        <v>106</v>
      </c>
      <c r="V114" s="11">
        <f t="shared" si="8"/>
        <v>9</v>
      </c>
      <c r="W114" s="11"/>
      <c r="X114" s="11">
        <f>VLOOKUP($G114, SeanRanks26!$A$2:$K$303, 10, FALSE)-U114</f>
        <v>-5</v>
      </c>
      <c r="Y114" s="29" t="str">
        <f>IF(VLOOKUP($G114, SeanRanks26!$A$2:$H$303, 8, FALSE)=0, "", VLOOKUP($G114, SeanRanks26!$A$2:$H$303, 8, FALSE))</f>
        <v/>
      </c>
    </row>
    <row r="115" ht="14.25" customHeight="1">
      <c r="A115" s="11"/>
      <c r="B115" s="11">
        <f t="shared" si="4"/>
        <v>9</v>
      </c>
      <c r="C115" s="11" t="s">
        <v>106</v>
      </c>
      <c r="D115" s="11"/>
      <c r="E115" s="27"/>
      <c r="F115" s="11" t="str">
        <f>VLOOKUP($G115, SeanRanks26!$A$2:$H$303, 5, FALSE)</f>
        <v/>
      </c>
      <c r="G115" s="16" t="s">
        <v>323</v>
      </c>
      <c r="H115" s="11" t="str">
        <f>VLOOKUP($G115, '26 ADP Data'!$C$4:$Q$298, 2, FALSE)</f>
        <v>CHI</v>
      </c>
      <c r="I115" s="11" t="str">
        <f>VLOOKUP(G115, '26 ADP Data'!$C$4:$R$496, 16, FALSE)</f>
        <v>RB</v>
      </c>
      <c r="J115" s="11" t="str">
        <f>VLOOKUP($G115, SeanRanks26!$A$2:$H$303, 6, FALSE)</f>
        <v>RB3</v>
      </c>
      <c r="K115" s="11">
        <f>VLOOKUP($G115, SeanRanks26!$A$2:$H$303, 7, FALSE)</f>
        <v>35</v>
      </c>
      <c r="L115" s="11">
        <f t="shared" si="5"/>
        <v>10</v>
      </c>
      <c r="M115" s="11">
        <f>VLOOKUP($G115, '26 ADP Data'!$C$4:$Q$298, 10, FALSE)</f>
        <v>108</v>
      </c>
      <c r="N115" s="11">
        <f>VLOOKUP($G115, '26 ADP Data'!$C$4:$Q$298, 13, FALSE)</f>
        <v>108</v>
      </c>
      <c r="O115" s="11">
        <f t="shared" si="6"/>
        <v>0</v>
      </c>
      <c r="P115" s="11">
        <f>VLOOKUP($G115, '26 ADP Data'!$C$4:$Q$298, 3, FALSE)</f>
        <v>108</v>
      </c>
      <c r="Q115" s="11">
        <f>VLOOKUP($G115, '26 ADP Data'!$C$4:$Q$298, 4, FALSE)</f>
        <v>119</v>
      </c>
      <c r="R115" s="11">
        <f>VLOOKUP($G115, '26 ADP Data'!$C$4:$Q$298, 6, FALSE)</f>
        <v>109</v>
      </c>
      <c r="S115" s="11">
        <f>VLOOKUP($G115, '26 ADP Data'!$C$4:$Q$298, 9, FALSE)</f>
        <v>85</v>
      </c>
      <c r="T115" s="11" t="str">
        <f>VLOOKUP($G115, '26 ADP Data'!$C$4:$Q$298, 8, FALSE)</f>
        <v>-</v>
      </c>
      <c r="U115" s="11">
        <f t="shared" si="7"/>
        <v>106</v>
      </c>
      <c r="V115" s="11">
        <f t="shared" si="8"/>
        <v>9</v>
      </c>
      <c r="W115" s="11"/>
      <c r="X115" s="11">
        <f>VLOOKUP($G115, SeanRanks26!$A$2:$K$303, 10, FALSE)-U115</f>
        <v>2</v>
      </c>
      <c r="Y115" s="29" t="str">
        <f>IF(VLOOKUP($G115, SeanRanks26!$A$2:$H$303, 8, FALSE)=0, "", VLOOKUP($G115, SeanRanks26!$A$2:$H$303, 8, FALSE))</f>
        <v>2025 Rookie R7</v>
      </c>
    </row>
    <row r="116" ht="14.25" customHeight="1">
      <c r="A116" s="11"/>
      <c r="B116" s="11">
        <f t="shared" si="4"/>
        <v>9</v>
      </c>
      <c r="C116" s="11" t="s">
        <v>106</v>
      </c>
      <c r="D116" s="11"/>
      <c r="E116" s="27"/>
      <c r="F116" s="11" t="str">
        <f>VLOOKUP($G116, SeanRanks26!$A$2:$H$303, 5, FALSE)</f>
        <v>No</v>
      </c>
      <c r="G116" s="16" t="s">
        <v>308</v>
      </c>
      <c r="H116" s="11" t="str">
        <f>VLOOKUP($G116, '26 ADP Data'!$C$4:$Q$298, 2, FALSE)</f>
        <v>TEN</v>
      </c>
      <c r="I116" s="11" t="str">
        <f>VLOOKUP(G116, '26 ADP Data'!$C$4:$R$496, 16, FALSE)</f>
        <v>WR</v>
      </c>
      <c r="J116" s="11" t="str">
        <f>VLOOKUP($G116, SeanRanks26!$A$2:$H$303, 6, FALSE)</f>
        <v/>
      </c>
      <c r="K116" s="11">
        <f>VLOOKUP($G116, SeanRanks26!$A$2:$H$303, 7, FALSE)</f>
        <v>74</v>
      </c>
      <c r="L116" s="11">
        <f t="shared" si="5"/>
        <v>10</v>
      </c>
      <c r="M116" s="11">
        <f>VLOOKUP($G116, '26 ADP Data'!$C$4:$Q$298, 10, FALSE)</f>
        <v>114</v>
      </c>
      <c r="N116" s="11">
        <f>VLOOKUP($G116, '26 ADP Data'!$C$4:$Q$298, 13, FALSE)</f>
        <v>115</v>
      </c>
      <c r="O116" s="11">
        <f t="shared" si="6"/>
        <v>-1</v>
      </c>
      <c r="P116" s="11">
        <f>VLOOKUP($G116, '26 ADP Data'!$C$4:$Q$298, 3, FALSE)</f>
        <v>107</v>
      </c>
      <c r="Q116" s="11">
        <f>VLOOKUP($G116, '26 ADP Data'!$C$4:$Q$298, 4, FALSE)</f>
        <v>104</v>
      </c>
      <c r="R116" s="11">
        <f>VLOOKUP($G116, '26 ADP Data'!$C$4:$Q$298, 6, FALSE)</f>
        <v>106</v>
      </c>
      <c r="S116" s="11">
        <f>VLOOKUP($G116, '26 ADP Data'!$C$4:$Q$298, 9, FALSE)</f>
        <v>107</v>
      </c>
      <c r="T116" s="11" t="str">
        <f>VLOOKUP($G116, '26 ADP Data'!$C$4:$Q$298, 8, FALSE)</f>
        <v>-</v>
      </c>
      <c r="U116" s="11">
        <f t="shared" si="7"/>
        <v>108</v>
      </c>
      <c r="V116" s="11">
        <f t="shared" si="8"/>
        <v>10</v>
      </c>
      <c r="W116" s="11"/>
      <c r="X116" s="11">
        <f>VLOOKUP($G116, SeanRanks26!$A$2:$K$303, 10, FALSE)-U116</f>
        <v>6</v>
      </c>
      <c r="Y116" s="29" t="str">
        <f>IF(VLOOKUP($G116, SeanRanks26!$A$2:$H$303, 8, FALSE)=0, "", VLOOKUP($G116, SeanRanks26!$A$2:$H$303, 8, FALSE))</f>
        <v/>
      </c>
    </row>
    <row r="117" ht="14.25" customHeight="1">
      <c r="A117" s="11"/>
      <c r="B117" s="11">
        <f t="shared" si="4"/>
        <v>9</v>
      </c>
      <c r="C117" s="11" t="s">
        <v>106</v>
      </c>
      <c r="D117" s="11"/>
      <c r="E117" s="27"/>
      <c r="F117" s="11" t="str">
        <f>VLOOKUP($G117, SeanRanks26!$A$2:$H$303, 5, FALSE)</f>
        <v/>
      </c>
      <c r="G117" s="16" t="s">
        <v>334</v>
      </c>
      <c r="H117" s="11" t="str">
        <f>VLOOKUP($G117, '26 ADP Data'!$C$4:$Q$298, 2, FALSE)</f>
        <v>BUF</v>
      </c>
      <c r="I117" s="11" t="str">
        <f>VLOOKUP(G117, '26 ADP Data'!$C$4:$R$496, 16, FALSE)</f>
        <v>TE</v>
      </c>
      <c r="J117" s="11" t="str">
        <f>VLOOKUP($G117, SeanRanks26!$A$2:$H$303, 6, FALSE)</f>
        <v>TE1 - 3 - Weekly starter</v>
      </c>
      <c r="K117" s="11">
        <f>VLOOKUP($G117, SeanRanks26!$A$2:$H$303, 7, FALSE)</f>
        <v>13</v>
      </c>
      <c r="L117" s="11">
        <f t="shared" si="5"/>
        <v>9</v>
      </c>
      <c r="M117" s="11">
        <f>VLOOKUP($G117, '26 ADP Data'!$C$4:$Q$298, 10, FALSE)</f>
        <v>106</v>
      </c>
      <c r="N117" s="11">
        <f>VLOOKUP($G117, '26 ADP Data'!$C$4:$Q$298, 13, FALSE)</f>
        <v>120</v>
      </c>
      <c r="O117" s="11">
        <f t="shared" si="6"/>
        <v>-14</v>
      </c>
      <c r="P117" s="11">
        <f>VLOOKUP($G117, '26 ADP Data'!$C$4:$Q$298, 3, FALSE)</f>
        <v>124</v>
      </c>
      <c r="Q117" s="11">
        <f>VLOOKUP($G117, '26 ADP Data'!$C$4:$Q$298, 4, FALSE)</f>
        <v>121</v>
      </c>
      <c r="R117" s="11">
        <f>VLOOKUP($G117, '26 ADP Data'!$C$4:$Q$298, 6, FALSE)</f>
        <v>91</v>
      </c>
      <c r="S117" s="11">
        <f>VLOOKUP($G117, '26 ADP Data'!$C$4:$Q$298, 9, FALSE)</f>
        <v>95</v>
      </c>
      <c r="T117" s="11" t="str">
        <f>VLOOKUP($G117, '26 ADP Data'!$C$4:$Q$298, 8, FALSE)</f>
        <v>-</v>
      </c>
      <c r="U117" s="11">
        <f t="shared" si="7"/>
        <v>109</v>
      </c>
      <c r="V117" s="11">
        <f t="shared" si="8"/>
        <v>10</v>
      </c>
      <c r="W117" s="11"/>
      <c r="X117" s="11">
        <f>VLOOKUP($G117, SeanRanks26!$A$2:$K$303, 10, FALSE)-U117</f>
        <v>-3</v>
      </c>
      <c r="Y117" s="29" t="str">
        <f>IF(VLOOKUP($G117, SeanRanks26!$A$2:$H$303, 8, FALSE)=0, "", VLOOKUP($G117, SeanRanks26!$A$2:$H$303, 8, FALSE))</f>
        <v/>
      </c>
    </row>
    <row r="118" ht="14.25" customHeight="1">
      <c r="A118" s="11"/>
      <c r="B118" s="11">
        <f t="shared" si="4"/>
        <v>10</v>
      </c>
      <c r="C118" s="11" t="s">
        <v>106</v>
      </c>
      <c r="D118" s="11"/>
      <c r="E118" s="27"/>
      <c r="F118" s="11" t="str">
        <f>VLOOKUP($G118, SeanRanks26!$A$2:$H$303, 5, FALSE)</f>
        <v/>
      </c>
      <c r="G118" s="16" t="s">
        <v>317</v>
      </c>
      <c r="H118" s="11" t="str">
        <f>VLOOKUP($G118, '26 ADP Data'!$C$4:$Q$298, 2, FALSE)</f>
        <v>PHI</v>
      </c>
      <c r="I118" s="11" t="str">
        <f>VLOOKUP(G118, '26 ADP Data'!$C$4:$R$496, 16, FALSE)</f>
        <v>WR</v>
      </c>
      <c r="J118" s="11" t="str">
        <f>VLOOKUP($G118, SeanRanks26!$A$2:$H$303, 6, FALSE)</f>
        <v>WR4 - 1 - Path to WR2</v>
      </c>
      <c r="K118" s="11">
        <f>VLOOKUP($G118, SeanRanks26!$A$2:$H$303, 7, FALSE)</f>
        <v>38</v>
      </c>
      <c r="L118" s="11">
        <f t="shared" si="5"/>
        <v>9</v>
      </c>
      <c r="M118" s="11">
        <f>VLOOKUP($G118, '26 ADP Data'!$C$4:$Q$298, 10, FALSE)</f>
        <v>107</v>
      </c>
      <c r="N118" s="11">
        <f>VLOOKUP($G118, '26 ADP Data'!$C$4:$Q$298, 13, FALSE)</f>
        <v>80</v>
      </c>
      <c r="O118" s="11">
        <f t="shared" si="6"/>
        <v>27</v>
      </c>
      <c r="P118" s="11">
        <f>VLOOKUP($G118, '26 ADP Data'!$C$4:$Q$298, 3, FALSE)</f>
        <v>132</v>
      </c>
      <c r="Q118" s="11">
        <f>VLOOKUP($G118, '26 ADP Data'!$C$4:$Q$298, 4, FALSE)</f>
        <v>136</v>
      </c>
      <c r="R118" s="11">
        <f>VLOOKUP($G118, '26 ADP Data'!$C$4:$Q$298, 6, FALSE)</f>
        <v>119</v>
      </c>
      <c r="S118" s="11">
        <f>VLOOKUP($G118, '26 ADP Data'!$C$4:$Q$298, 9, FALSE)</f>
        <v>83</v>
      </c>
      <c r="T118" s="11" t="str">
        <f>VLOOKUP($G118, '26 ADP Data'!$C$4:$Q$298, 8, FALSE)</f>
        <v>-</v>
      </c>
      <c r="U118" s="11">
        <f t="shared" si="7"/>
        <v>109</v>
      </c>
      <c r="V118" s="11">
        <f t="shared" si="8"/>
        <v>10</v>
      </c>
      <c r="W118" s="11"/>
      <c r="X118" s="11">
        <f>VLOOKUP($G118, SeanRanks26!$A$2:$K$303, 10, FALSE)-U118</f>
        <v>-2</v>
      </c>
      <c r="Y118" s="29" t="str">
        <f>IF(VLOOKUP($G118, SeanRanks26!$A$2:$H$303, 8, FALSE)=0, "", VLOOKUP($G118, SeanRanks26!$A$2:$H$303, 8, FALSE))</f>
        <v>Rookie R1.20 USC</v>
      </c>
    </row>
    <row r="119" ht="14.25" customHeight="1">
      <c r="A119" s="11"/>
      <c r="B119" s="11">
        <f t="shared" si="4"/>
        <v>9</v>
      </c>
      <c r="C119" s="11" t="s">
        <v>106</v>
      </c>
      <c r="D119" s="11"/>
      <c r="E119" s="27"/>
      <c r="F119" s="11" t="str">
        <f>VLOOKUP($G119, SeanRanks26!$A$2:$H$303, 5, FALSE)</f>
        <v/>
      </c>
      <c r="G119" s="16" t="s">
        <v>337</v>
      </c>
      <c r="H119" s="11" t="str">
        <f>VLOOKUP($G119, '26 ADP Data'!$C$4:$Q$298, 2, FALSE)</f>
        <v>NYG</v>
      </c>
      <c r="I119" s="11" t="str">
        <f>VLOOKUP(G119, '26 ADP Data'!$C$4:$R$496, 16, FALSE)</f>
        <v>TE</v>
      </c>
      <c r="J119" s="11" t="str">
        <f>VLOOKUP($G119, SeanRanks26!$A$2:$H$303, 6, FALSE)</f>
        <v>TE2</v>
      </c>
      <c r="K119" s="11">
        <f>VLOOKUP($G119, SeanRanks26!$A$2:$H$303, 7, FALSE)</f>
        <v>14</v>
      </c>
      <c r="L119" s="11">
        <f t="shared" si="5"/>
        <v>11</v>
      </c>
      <c r="M119" s="11">
        <f>VLOOKUP($G119, '26 ADP Data'!$C$4:$Q$298, 10, FALSE)</f>
        <v>121</v>
      </c>
      <c r="N119" s="11">
        <f>VLOOKUP($G119, '26 ADP Data'!$C$4:$Q$298, 13, FALSE)</f>
        <v>125</v>
      </c>
      <c r="O119" s="11">
        <f t="shared" si="6"/>
        <v>-4</v>
      </c>
      <c r="P119" s="11">
        <f>VLOOKUP($G119, '26 ADP Data'!$C$4:$Q$298, 3, FALSE)</f>
        <v>95</v>
      </c>
      <c r="Q119" s="11">
        <f>VLOOKUP($G119, '26 ADP Data'!$C$4:$Q$298, 4, FALSE)</f>
        <v>118</v>
      </c>
      <c r="R119" s="11">
        <f>VLOOKUP($G119, '26 ADP Data'!$C$4:$Q$298, 6, FALSE)</f>
        <v>78</v>
      </c>
      <c r="S119" s="11">
        <f>VLOOKUP($G119, '26 ADP Data'!$C$4:$Q$298, 9, FALSE)</f>
        <v>120</v>
      </c>
      <c r="T119" s="11" t="str">
        <f>VLOOKUP($G119, '26 ADP Data'!$C$4:$Q$298, 8, FALSE)</f>
        <v>-</v>
      </c>
      <c r="U119" s="11">
        <f t="shared" si="7"/>
        <v>109</v>
      </c>
      <c r="V119" s="11">
        <f t="shared" si="8"/>
        <v>10</v>
      </c>
      <c r="W119" s="11"/>
      <c r="X119" s="11">
        <f>VLOOKUP($G119, SeanRanks26!$A$2:$K$303, 10, FALSE)-U119</f>
        <v>12</v>
      </c>
      <c r="Y119" s="29" t="str">
        <f>IF(VLOOKUP($G119, SeanRanks26!$A$2:$H$303, 8, FALSE)=0, "", VLOOKUP($G119, SeanRanks26!$A$2:$H$303, 8, FALSE))</f>
        <v/>
      </c>
    </row>
    <row r="120" ht="14.25" customHeight="1">
      <c r="A120" s="11"/>
      <c r="B120" s="11">
        <f t="shared" si="4"/>
        <v>10</v>
      </c>
      <c r="C120" s="11" t="s">
        <v>106</v>
      </c>
      <c r="D120" s="11"/>
      <c r="E120" s="27"/>
      <c r="F120" s="11" t="str">
        <f>VLOOKUP($G120, SeanRanks26!$A$2:$H$303, 5, FALSE)</f>
        <v/>
      </c>
      <c r="G120" s="16" t="s">
        <v>330</v>
      </c>
      <c r="H120" s="11" t="str">
        <f>VLOOKUP($G120, '26 ADP Data'!$C$4:$Q$298, 2, FALSE)</f>
        <v>GB</v>
      </c>
      <c r="I120" s="11" t="str">
        <f>VLOOKUP(G120, '26 ADP Data'!$C$4:$R$496, 16, FALSE)</f>
        <v>WR</v>
      </c>
      <c r="J120" s="11" t="str">
        <f>VLOOKUP($G120, SeanRanks26!$A$2:$H$303, 6, FALSE)</f>
        <v>WR4 - 2 - Spot Start</v>
      </c>
      <c r="K120" s="11">
        <f>VLOOKUP($G120, SeanRanks26!$A$2:$H$303, 7, FALSE)</f>
        <v>51</v>
      </c>
      <c r="L120" s="11">
        <f t="shared" si="5"/>
        <v>9</v>
      </c>
      <c r="M120" s="11">
        <f>VLOOKUP($G120, '26 ADP Data'!$C$4:$Q$298, 10, FALSE)</f>
        <v>104</v>
      </c>
      <c r="N120" s="11">
        <f>VLOOKUP($G120, '26 ADP Data'!$C$4:$Q$298, 13, FALSE)</f>
        <v>100</v>
      </c>
      <c r="O120" s="11">
        <f t="shared" si="6"/>
        <v>4</v>
      </c>
      <c r="P120" s="11">
        <f>VLOOKUP($G120, '26 ADP Data'!$C$4:$Q$298, 3, FALSE)</f>
        <v>136</v>
      </c>
      <c r="Q120" s="11">
        <f>VLOOKUP($G120, '26 ADP Data'!$C$4:$Q$298, 4, FALSE)</f>
        <v>91</v>
      </c>
      <c r="R120" s="11">
        <f>VLOOKUP($G120, '26 ADP Data'!$C$4:$Q$298, 6, FALSE)</f>
        <v>117</v>
      </c>
      <c r="S120" s="11">
        <f>VLOOKUP($G120, '26 ADP Data'!$C$4:$Q$298, 9, FALSE)</f>
        <v>126</v>
      </c>
      <c r="T120" s="11" t="str">
        <f>VLOOKUP($G120, '26 ADP Data'!$C$4:$Q$298, 8, FALSE)</f>
        <v>-</v>
      </c>
      <c r="U120" s="11">
        <f t="shared" si="7"/>
        <v>112</v>
      </c>
      <c r="V120" s="11">
        <f t="shared" si="8"/>
        <v>10</v>
      </c>
      <c r="W120" s="11"/>
      <c r="X120" s="11">
        <f>VLOOKUP($G120, SeanRanks26!$A$2:$K$303, 10, FALSE)-U120</f>
        <v>-8</v>
      </c>
      <c r="Y120" s="29" t="str">
        <f>IF(VLOOKUP($G120, SeanRanks26!$A$2:$H$303, 8, FALSE)=0, "", VLOOKUP($G120, SeanRanks26!$A$2:$H$303, 8, FALSE))</f>
        <v>2025 R1</v>
      </c>
    </row>
    <row r="121" ht="14.25" customHeight="1">
      <c r="A121" s="11"/>
      <c r="B121" s="11">
        <f t="shared" si="4"/>
        <v>10</v>
      </c>
      <c r="C121" s="11" t="s">
        <v>106</v>
      </c>
      <c r="D121" s="11"/>
      <c r="E121" s="27"/>
      <c r="F121" s="11" t="str">
        <f>VLOOKUP($G121, SeanRanks26!$A$2:$H$303, 5, FALSE)</f>
        <v/>
      </c>
      <c r="G121" s="16" t="s">
        <v>332</v>
      </c>
      <c r="H121" s="11" t="str">
        <f>VLOOKUP($G121, '26 ADP Data'!$C$4:$Q$298, 2, FALSE)</f>
        <v>WAS</v>
      </c>
      <c r="I121" s="11" t="str">
        <f>VLOOKUP(G121, '26 ADP Data'!$C$4:$R$496, 16, FALSE)</f>
        <v>RB</v>
      </c>
      <c r="J121" s="11" t="str">
        <f>VLOOKUP($G121, SeanRanks26!$A$2:$H$303, 6, FALSE)</f>
        <v>RB4</v>
      </c>
      <c r="K121" s="11">
        <f>VLOOKUP($G121, SeanRanks26!$A$2:$H$303, 7, FALSE)</f>
        <v>41</v>
      </c>
      <c r="L121" s="11">
        <f t="shared" si="5"/>
        <v>10</v>
      </c>
      <c r="M121" s="11">
        <f>VLOOKUP($G121, '26 ADP Data'!$C$4:$Q$298, 10, FALSE)</f>
        <v>113</v>
      </c>
      <c r="N121" s="11">
        <f>VLOOKUP($G121, '26 ADP Data'!$C$4:$Q$298, 13, FALSE)</f>
        <v>119</v>
      </c>
      <c r="O121" s="11">
        <f t="shared" si="6"/>
        <v>-6</v>
      </c>
      <c r="P121" s="11">
        <f>VLOOKUP($G121, '26 ADP Data'!$C$4:$Q$298, 3, FALSE)</f>
        <v>122</v>
      </c>
      <c r="Q121" s="11">
        <f>VLOOKUP($G121, '26 ADP Data'!$C$4:$Q$298, 4, FALSE)</f>
        <v>129</v>
      </c>
      <c r="R121" s="11">
        <f>VLOOKUP($G121, '26 ADP Data'!$C$4:$Q$298, 6, FALSE)</f>
        <v>105</v>
      </c>
      <c r="S121" s="11">
        <f>VLOOKUP($G121, '26 ADP Data'!$C$4:$Q$298, 9, FALSE)</f>
        <v>115</v>
      </c>
      <c r="T121" s="11" t="str">
        <f>VLOOKUP($G121, '26 ADP Data'!$C$4:$Q$298, 8, FALSE)</f>
        <v>-</v>
      </c>
      <c r="U121" s="11">
        <f t="shared" si="7"/>
        <v>117</v>
      </c>
      <c r="V121" s="11">
        <f t="shared" si="8"/>
        <v>10</v>
      </c>
      <c r="W121" s="11"/>
      <c r="X121" s="11">
        <f>VLOOKUP($G121, SeanRanks26!$A$2:$K$303, 10, FALSE)-U121</f>
        <v>-4</v>
      </c>
      <c r="Y121" s="29" t="str">
        <f>IF(VLOOKUP($G121, SeanRanks26!$A$2:$H$303, 8, FALSE)=0, "", VLOOKUP($G121, SeanRanks26!$A$2:$H$303, 8, FALSE))</f>
        <v/>
      </c>
    </row>
    <row r="122" ht="14.25" customHeight="1">
      <c r="A122" s="11"/>
      <c r="B122" s="11">
        <f t="shared" si="4"/>
        <v>10</v>
      </c>
      <c r="C122" s="11" t="s">
        <v>106</v>
      </c>
      <c r="D122" s="11"/>
      <c r="E122" s="27"/>
      <c r="F122" s="11" t="str">
        <f>VLOOKUP($G122, SeanRanks26!$A$2:$H$303, 5, FALSE)</f>
        <v/>
      </c>
      <c r="G122" s="16" t="s">
        <v>342</v>
      </c>
      <c r="H122" s="11" t="str">
        <f>VLOOKUP($G122, '26 ADP Data'!$C$4:$Q$298, 2, FALSE)</f>
        <v>JAX</v>
      </c>
      <c r="I122" s="11" t="str">
        <f>VLOOKUP(G122, '26 ADP Data'!$C$4:$R$496, 16, FALSE)</f>
        <v>WR</v>
      </c>
      <c r="J122" s="11" t="str">
        <f>VLOOKUP($G122, SeanRanks26!$A$2:$H$303, 6, FALSE)</f>
        <v>WR5</v>
      </c>
      <c r="K122" s="11">
        <f>VLOOKUP($G122, SeanRanks26!$A$2:$H$303, 7, FALSE)</f>
        <v>53</v>
      </c>
      <c r="L122" s="11">
        <f t="shared" si="5"/>
        <v>11</v>
      </c>
      <c r="M122" s="11">
        <f>VLOOKUP($G122, '26 ADP Data'!$C$4:$Q$298, 10, FALSE)</f>
        <v>123</v>
      </c>
      <c r="N122" s="11">
        <f>VLOOKUP($G122, '26 ADP Data'!$C$4:$Q$298, 13, FALSE)</f>
        <v>121</v>
      </c>
      <c r="O122" s="11">
        <f t="shared" si="6"/>
        <v>2</v>
      </c>
      <c r="P122" s="11">
        <f>VLOOKUP($G122, '26 ADP Data'!$C$4:$Q$298, 3, FALSE)</f>
        <v>125</v>
      </c>
      <c r="Q122" s="11">
        <f>VLOOKUP($G122, '26 ADP Data'!$C$4:$Q$298, 4, FALSE)</f>
        <v>103</v>
      </c>
      <c r="R122" s="11">
        <f>VLOOKUP($G122, '26 ADP Data'!$C$4:$Q$298, 6, FALSE)</f>
        <v>128</v>
      </c>
      <c r="S122" s="11">
        <f>VLOOKUP($G122, '26 ADP Data'!$C$4:$Q$298, 9, FALSE)</f>
        <v>103</v>
      </c>
      <c r="T122" s="11" t="str">
        <f>VLOOKUP($G122, '26 ADP Data'!$C$4:$Q$298, 8, FALSE)</f>
        <v>-</v>
      </c>
      <c r="U122" s="11">
        <f t="shared" si="7"/>
        <v>117</v>
      </c>
      <c r="V122" s="11">
        <f t="shared" si="8"/>
        <v>10</v>
      </c>
      <c r="W122" s="11"/>
      <c r="X122" s="11">
        <f>VLOOKUP($G122, SeanRanks26!$A$2:$K$303, 10, FALSE)-U122</f>
        <v>6</v>
      </c>
      <c r="Y122" s="29" t="str">
        <f>IF(VLOOKUP($G122, SeanRanks26!$A$2:$H$303, 8, FALSE)=0, "", VLOOKUP($G122, SeanRanks26!$A$2:$H$303, 8, FALSE))</f>
        <v/>
      </c>
    </row>
    <row r="123" ht="14.25" customHeight="1">
      <c r="A123" s="11"/>
      <c r="B123" s="11">
        <f t="shared" si="4"/>
        <v>11</v>
      </c>
      <c r="C123" s="11" t="s">
        <v>106</v>
      </c>
      <c r="D123" s="11"/>
      <c r="E123" s="27"/>
      <c r="F123" s="11" t="str">
        <f>VLOOKUP($G123, SeanRanks26!$A$2:$H$303, 5, FALSE)</f>
        <v>Yes</v>
      </c>
      <c r="G123" s="16" t="s">
        <v>344</v>
      </c>
      <c r="H123" s="11" t="str">
        <f>VLOOKUP($G123, '26 ADP Data'!$C$4:$Q$298, 2, FALSE)</f>
        <v>CLE</v>
      </c>
      <c r="I123" s="11" t="str">
        <f>VLOOKUP(G123, '26 ADP Data'!$C$4:$R$496, 16, FALSE)</f>
        <v>WR</v>
      </c>
      <c r="J123" s="11" t="str">
        <f>VLOOKUP($G123, SeanRanks26!$A$2:$H$303, 6, FALSE)</f>
        <v>WR5</v>
      </c>
      <c r="K123" s="11">
        <f>VLOOKUP($G123, SeanRanks26!$A$2:$H$303, 7, FALSE)</f>
        <v>52</v>
      </c>
      <c r="L123" s="11">
        <f t="shared" si="5"/>
        <v>9</v>
      </c>
      <c r="M123" s="11">
        <f>VLOOKUP($G123, '26 ADP Data'!$C$4:$Q$298, 10, FALSE)</f>
        <v>105</v>
      </c>
      <c r="N123" s="11">
        <f>VLOOKUP($G123, '26 ADP Data'!$C$4:$Q$298, 13, FALSE)</f>
        <v>112</v>
      </c>
      <c r="O123" s="11">
        <f t="shared" si="6"/>
        <v>-7</v>
      </c>
      <c r="P123" s="11">
        <f>VLOOKUP($G123, '26 ADP Data'!$C$4:$Q$298, 3, FALSE)</f>
        <v>126</v>
      </c>
      <c r="Q123" s="11">
        <f>VLOOKUP($G123, '26 ADP Data'!$C$4:$Q$298, 4, FALSE)</f>
        <v>140</v>
      </c>
      <c r="R123" s="11">
        <f>VLOOKUP($G123, '26 ADP Data'!$C$4:$Q$298, 6, FALSE)</f>
        <v>113</v>
      </c>
      <c r="S123" s="11">
        <f>VLOOKUP($G123, '26 ADP Data'!$C$4:$Q$298, 9, FALSE)</f>
        <v>113</v>
      </c>
      <c r="T123" s="11" t="str">
        <f>VLOOKUP($G123, '26 ADP Data'!$C$4:$Q$298, 8, FALSE)</f>
        <v>-</v>
      </c>
      <c r="U123" s="11">
        <f t="shared" si="7"/>
        <v>118</v>
      </c>
      <c r="V123" s="11">
        <f t="shared" si="8"/>
        <v>10</v>
      </c>
      <c r="W123" s="11"/>
      <c r="X123" s="11">
        <f>VLOOKUP($G123, SeanRanks26!$A$2:$K$303, 10, FALSE)-U123</f>
        <v>-13</v>
      </c>
      <c r="Y123" s="29" t="str">
        <f>IF(VLOOKUP($G123, SeanRanks26!$A$2:$H$303, 8, FALSE)=0, "", VLOOKUP($G123, SeanRanks26!$A$2:$H$303, 8, FALSE))</f>
        <v>Rookie R1.24 Texas A&amp;M</v>
      </c>
    </row>
    <row r="124" ht="14.25" customHeight="1">
      <c r="A124" s="11"/>
      <c r="B124" s="11">
        <f t="shared" si="4"/>
        <v>10</v>
      </c>
      <c r="C124" s="11" t="s">
        <v>106</v>
      </c>
      <c r="D124" s="11"/>
      <c r="E124" s="27"/>
      <c r="F124" s="11" t="str">
        <f>VLOOKUP($G124, SeanRanks26!$A$2:$H$303, 5, FALSE)</f>
        <v/>
      </c>
      <c r="G124" s="16" t="s">
        <v>350</v>
      </c>
      <c r="H124" s="11" t="str">
        <f>VLOOKUP($G124, '26 ADP Data'!$C$4:$Q$298, 2, FALSE)</f>
        <v>MIN</v>
      </c>
      <c r="I124" s="11" t="str">
        <f>VLOOKUP(G124, '26 ADP Data'!$C$4:$R$496, 16, FALSE)</f>
        <v>RB</v>
      </c>
      <c r="J124" s="11" t="str">
        <f>VLOOKUP($G124, SeanRanks26!$A$2:$H$303, 6, FALSE)</f>
        <v>RB4</v>
      </c>
      <c r="K124" s="11">
        <f>VLOOKUP($G124, SeanRanks26!$A$2:$H$303, 7, FALSE)</f>
        <v>42</v>
      </c>
      <c r="L124" s="11">
        <f t="shared" si="5"/>
        <v>11</v>
      </c>
      <c r="M124" s="11">
        <f>VLOOKUP($G124, '26 ADP Data'!$C$4:$Q$298, 10, FALSE)</f>
        <v>124</v>
      </c>
      <c r="N124" s="11">
        <f>VLOOKUP($G124, '26 ADP Data'!$C$4:$Q$298, 13, FALSE)</f>
        <v>128</v>
      </c>
      <c r="O124" s="11">
        <f t="shared" si="6"/>
        <v>-4</v>
      </c>
      <c r="P124" s="11">
        <f>VLOOKUP($G124, '26 ADP Data'!$C$4:$Q$298, 3, FALSE)</f>
        <v>111</v>
      </c>
      <c r="Q124" s="11">
        <f>VLOOKUP($G124, '26 ADP Data'!$C$4:$Q$298, 4, FALSE)</f>
        <v>123</v>
      </c>
      <c r="R124" s="11">
        <f>VLOOKUP($G124, '26 ADP Data'!$C$4:$Q$298, 6, FALSE)</f>
        <v>116</v>
      </c>
      <c r="S124" s="11">
        <f>VLOOKUP($G124, '26 ADP Data'!$C$4:$Q$298, 9, FALSE)</f>
        <v>106</v>
      </c>
      <c r="T124" s="11" t="str">
        <f>VLOOKUP($G124, '26 ADP Data'!$C$4:$Q$298, 8, FALSE)</f>
        <v>-</v>
      </c>
      <c r="U124" s="11">
        <f t="shared" si="7"/>
        <v>118</v>
      </c>
      <c r="V124" s="11">
        <f t="shared" si="8"/>
        <v>10</v>
      </c>
      <c r="W124" s="11"/>
      <c r="X124" s="11">
        <f>VLOOKUP($G124, SeanRanks26!$A$2:$K$303, 10, FALSE)-U124</f>
        <v>6</v>
      </c>
      <c r="Y124" s="29" t="str">
        <f>IF(VLOOKUP($G124, SeanRanks26!$A$2:$H$303, 8, FALSE)=0, "", VLOOKUP($G124, SeanRanks26!$A$2:$H$303, 8, FALSE))</f>
        <v/>
      </c>
    </row>
    <row r="125" ht="14.25" customHeight="1">
      <c r="A125" s="11"/>
      <c r="B125" s="11">
        <f t="shared" si="4"/>
        <v>10</v>
      </c>
      <c r="C125" s="11" t="s">
        <v>106</v>
      </c>
      <c r="D125" s="11"/>
      <c r="E125" s="27"/>
      <c r="F125" s="11" t="str">
        <f>VLOOKUP($G125, SeanRanks26!$A$2:$H$303, 5, FALSE)</f>
        <v/>
      </c>
      <c r="G125" s="16" t="s">
        <v>357</v>
      </c>
      <c r="H125" s="11" t="str">
        <f>VLOOKUP($G125, '26 ADP Data'!$C$4:$Q$298, 2, FALSE)</f>
        <v>BAL</v>
      </c>
      <c r="I125" s="11" t="str">
        <f>VLOOKUP(G125, '26 ADP Data'!$C$4:$R$496, 16, FALSE)</f>
        <v>TE</v>
      </c>
      <c r="J125" s="11" t="str">
        <f>VLOOKUP($G125, SeanRanks26!$A$2:$H$303, 6, FALSE)</f>
        <v>TE2</v>
      </c>
      <c r="K125" s="11">
        <f>VLOOKUP($G125, SeanRanks26!$A$2:$H$303, 7, FALSE)</f>
        <v>16</v>
      </c>
      <c r="L125" s="11">
        <f t="shared" si="5"/>
        <v>11</v>
      </c>
      <c r="M125" s="11">
        <f>VLOOKUP($G125, '26 ADP Data'!$C$4:$Q$298, 10, FALSE)</f>
        <v>128</v>
      </c>
      <c r="N125" s="11">
        <f>VLOOKUP($G125, '26 ADP Data'!$C$4:$Q$298, 13, FALSE)</f>
        <v>133</v>
      </c>
      <c r="O125" s="11">
        <f t="shared" si="6"/>
        <v>-5</v>
      </c>
      <c r="P125" s="11">
        <f>VLOOKUP($G125, '26 ADP Data'!$C$4:$Q$298, 3, FALSE)</f>
        <v>119</v>
      </c>
      <c r="Q125" s="11">
        <f>VLOOKUP($G125, '26 ADP Data'!$C$4:$Q$298, 4, FALSE)</f>
        <v>111</v>
      </c>
      <c r="R125" s="11">
        <f>VLOOKUP($G125, '26 ADP Data'!$C$4:$Q$298, 6, FALSE)</f>
        <v>104</v>
      </c>
      <c r="S125" s="11">
        <f>VLOOKUP($G125, '26 ADP Data'!$C$4:$Q$298, 9, FALSE)</f>
        <v>118</v>
      </c>
      <c r="T125" s="11" t="str">
        <f>VLOOKUP($G125, '26 ADP Data'!$C$4:$Q$298, 8, FALSE)</f>
        <v>-</v>
      </c>
      <c r="U125" s="11">
        <f t="shared" si="7"/>
        <v>118</v>
      </c>
      <c r="V125" s="11">
        <f t="shared" si="8"/>
        <v>10</v>
      </c>
      <c r="W125" s="11"/>
      <c r="X125" s="11">
        <f>VLOOKUP($G125, SeanRanks26!$A$2:$K$303, 10, FALSE)-U125</f>
        <v>10</v>
      </c>
      <c r="Y125" s="29" t="str">
        <f>IF(VLOOKUP($G125, SeanRanks26!$A$2:$H$303, 8, FALSE)=0, "", VLOOKUP($G125, SeanRanks26!$A$2:$H$303, 8, FALSE))</f>
        <v/>
      </c>
    </row>
    <row r="126" ht="14.25" customHeight="1">
      <c r="A126" s="11"/>
      <c r="B126" s="11">
        <f t="shared" si="4"/>
        <v>9</v>
      </c>
      <c r="C126" s="11" t="s">
        <v>106</v>
      </c>
      <c r="D126" s="11"/>
      <c r="E126" s="27"/>
      <c r="F126" s="11" t="str">
        <f>VLOOKUP($G126, SeanRanks26!$A$2:$H$303, 5, FALSE)</f>
        <v/>
      </c>
      <c r="G126" s="16" t="s">
        <v>348</v>
      </c>
      <c r="H126" s="11" t="str">
        <f>VLOOKUP($G126, '26 ADP Data'!$C$4:$Q$298, 2, FALSE)</f>
        <v>DAL</v>
      </c>
      <c r="I126" s="11" t="str">
        <f>VLOOKUP(G126, '26 ADP Data'!$C$4:$R$496, 16, FALSE)</f>
        <v>TE</v>
      </c>
      <c r="J126" s="11" t="str">
        <f>VLOOKUP($G126, SeanRanks26!$A$2:$H$303, 6, FALSE)</f>
        <v>TE1 - 3 - Weekly starter</v>
      </c>
      <c r="K126" s="11">
        <f>VLOOKUP($G126, SeanRanks26!$A$2:$H$303, 7, FALSE)</f>
        <v>10</v>
      </c>
      <c r="L126" s="11">
        <f t="shared" si="5"/>
        <v>13</v>
      </c>
      <c r="M126" s="11">
        <f>VLOOKUP($G126, '26 ADP Data'!$C$4:$Q$298, 10, FALSE)</f>
        <v>146</v>
      </c>
      <c r="N126" s="11">
        <f>VLOOKUP($G126, '26 ADP Data'!$C$4:$Q$298, 13, FALSE)</f>
        <v>136</v>
      </c>
      <c r="O126" s="11">
        <f t="shared" si="6"/>
        <v>10</v>
      </c>
      <c r="P126" s="11">
        <f>VLOOKUP($G126, '26 ADP Data'!$C$4:$Q$298, 3, FALSE)</f>
        <v>120</v>
      </c>
      <c r="Q126" s="11">
        <f>VLOOKUP($G126, '26 ADP Data'!$C$4:$Q$298, 4, FALSE)</f>
        <v>102</v>
      </c>
      <c r="R126" s="11">
        <f>VLOOKUP($G126, '26 ADP Data'!$C$4:$Q$298, 6, FALSE)</f>
        <v>99</v>
      </c>
      <c r="S126" s="11">
        <f>VLOOKUP($G126, '26 ADP Data'!$C$4:$Q$298, 9, FALSE)</f>
        <v>108</v>
      </c>
      <c r="T126" s="11" t="str">
        <f>VLOOKUP($G126, '26 ADP Data'!$C$4:$Q$298, 8, FALSE)</f>
        <v>-</v>
      </c>
      <c r="U126" s="11">
        <f t="shared" si="7"/>
        <v>118</v>
      </c>
      <c r="V126" s="11">
        <f t="shared" si="8"/>
        <v>10</v>
      </c>
      <c r="W126" s="11"/>
      <c r="X126" s="11">
        <f>VLOOKUP($G126, SeanRanks26!$A$2:$K$303, 10, FALSE)-U126</f>
        <v>28</v>
      </c>
      <c r="Y126" s="29" t="str">
        <f>IF(VLOOKUP($G126, SeanRanks26!$A$2:$H$303, 8, FALSE)=0, "", VLOOKUP($G126, SeanRanks26!$A$2:$H$303, 8, FALSE))</f>
        <v/>
      </c>
    </row>
    <row r="127" ht="14.25" customHeight="1">
      <c r="A127" s="11"/>
      <c r="B127" s="11">
        <f t="shared" si="4"/>
        <v>11</v>
      </c>
      <c r="C127" s="11" t="s">
        <v>106</v>
      </c>
      <c r="D127" s="11"/>
      <c r="E127" s="27"/>
      <c r="F127" s="11" t="str">
        <f>VLOOKUP($G127, SeanRanks26!$A$2:$H$303, 5, FALSE)</f>
        <v>Yes</v>
      </c>
      <c r="G127" s="16" t="s">
        <v>339</v>
      </c>
      <c r="H127" s="11" t="str">
        <f>VLOOKUP($G127, '26 ADP Data'!$C$4:$Q$298, 2, FALSE)</f>
        <v>SF</v>
      </c>
      <c r="I127" s="11" t="str">
        <f>VLOOKUP(G127, '26 ADP Data'!$C$4:$R$496, 16, FALSE)</f>
        <v>WR</v>
      </c>
      <c r="J127" s="11" t="str">
        <f>VLOOKUP($G127, SeanRanks26!$A$2:$H$303, 6, FALSE)</f>
        <v>WR3 - 1 - Clear path to WR2</v>
      </c>
      <c r="K127" s="11">
        <f>VLOOKUP($G127, SeanRanks26!$A$2:$H$303, 7, FALSE)</f>
        <v>33</v>
      </c>
      <c r="L127" s="11">
        <f t="shared" si="5"/>
        <v>8</v>
      </c>
      <c r="M127" s="11">
        <f>VLOOKUP($G127, '26 ADP Data'!$C$4:$Q$298, 10, FALSE)</f>
        <v>89</v>
      </c>
      <c r="N127" s="11">
        <f>VLOOKUP($G127, '26 ADP Data'!$C$4:$Q$298, 13, FALSE)</f>
        <v>110</v>
      </c>
      <c r="O127" s="11">
        <f t="shared" si="6"/>
        <v>-21</v>
      </c>
      <c r="P127" s="11">
        <f>VLOOKUP($G127, '26 ADP Data'!$C$4:$Q$298, 3, FALSE)</f>
        <v>118</v>
      </c>
      <c r="Q127" s="11">
        <f>VLOOKUP($G127, '26 ADP Data'!$C$4:$Q$298, 4, FALSE)</f>
        <v>146</v>
      </c>
      <c r="R127" s="11">
        <f>VLOOKUP($G127, '26 ADP Data'!$C$4:$Q$298, 6, FALSE)</f>
        <v>108</v>
      </c>
      <c r="S127" s="11">
        <f>VLOOKUP($G127, '26 ADP Data'!$C$4:$Q$298, 9, FALSE)</f>
        <v>152</v>
      </c>
      <c r="T127" s="11" t="str">
        <f>VLOOKUP($G127, '26 ADP Data'!$C$4:$Q$298, 8, FALSE)</f>
        <v>-</v>
      </c>
      <c r="U127" s="11">
        <f t="shared" si="7"/>
        <v>120</v>
      </c>
      <c r="V127" s="11">
        <f t="shared" si="8"/>
        <v>11</v>
      </c>
      <c r="W127" s="11"/>
      <c r="X127" s="11">
        <f>VLOOKUP($G127, SeanRanks26!$A$2:$K$303, 10, FALSE)-U127</f>
        <v>-31</v>
      </c>
      <c r="Y127" s="29" t="str">
        <f>IF(VLOOKUP($G127, SeanRanks26!$A$2:$H$303, 8, FALSE)=0, "", VLOOKUP($G127, SeanRanks26!$A$2:$H$303, 8, FALSE))</f>
        <v>Rookie R2 Ole Miss. FFB My Guy</v>
      </c>
    </row>
    <row r="128" ht="14.25" customHeight="1">
      <c r="A128" s="11"/>
      <c r="B128" s="11">
        <f t="shared" si="4"/>
        <v>11</v>
      </c>
      <c r="C128" s="11" t="s">
        <v>106</v>
      </c>
      <c r="D128" s="11"/>
      <c r="E128" s="27"/>
      <c r="F128" s="11" t="str">
        <f>VLOOKUP($G128, SeanRanks26!$A$2:$H$303, 5, FALSE)</f>
        <v/>
      </c>
      <c r="G128" s="16" t="s">
        <v>346</v>
      </c>
      <c r="H128" s="11" t="str">
        <f>VLOOKUP($G128, '26 ADP Data'!$C$4:$Q$298, 2, FALSE)</f>
        <v>DET</v>
      </c>
      <c r="I128" s="11" t="str">
        <f>VLOOKUP(G128, '26 ADP Data'!$C$4:$R$496, 16, FALSE)</f>
        <v>QB</v>
      </c>
      <c r="J128" s="11" t="str">
        <f>VLOOKUP($G128, SeanRanks26!$A$2:$H$303, 6, FALSE)</f>
        <v>QB2 - 2 - Lower Floor</v>
      </c>
      <c r="K128" s="11">
        <f>VLOOKUP($G128, SeanRanks26!$A$2:$H$303, 7, FALSE)</f>
        <v>16</v>
      </c>
      <c r="L128" s="11">
        <f t="shared" si="5"/>
        <v>11</v>
      </c>
      <c r="M128" s="11">
        <f>VLOOKUP($G128, '26 ADP Data'!$C$4:$Q$298, 10, FALSE)</f>
        <v>120</v>
      </c>
      <c r="N128" s="11">
        <f>VLOOKUP($G128, '26 ADP Data'!$C$4:$Q$298, 13, FALSE)</f>
        <v>114</v>
      </c>
      <c r="O128" s="11">
        <f t="shared" si="6"/>
        <v>6</v>
      </c>
      <c r="P128" s="11">
        <f>VLOOKUP($G128, '26 ADP Data'!$C$4:$Q$298, 3, FALSE)</f>
        <v>109</v>
      </c>
      <c r="Q128" s="11">
        <f>VLOOKUP($G128, '26 ADP Data'!$C$4:$Q$298, 4, FALSE)</f>
        <v>132</v>
      </c>
      <c r="R128" s="11">
        <f>VLOOKUP($G128, '26 ADP Data'!$C$4:$Q$298, 6, FALSE)</f>
        <v>126</v>
      </c>
      <c r="S128" s="11">
        <f>VLOOKUP($G128, '26 ADP Data'!$C$4:$Q$298, 9, FALSE)</f>
        <v>128</v>
      </c>
      <c r="T128" s="11" t="str">
        <f>VLOOKUP($G128, '26 ADP Data'!$C$4:$Q$298, 8, FALSE)</f>
        <v>-</v>
      </c>
      <c r="U128" s="11">
        <f t="shared" si="7"/>
        <v>121</v>
      </c>
      <c r="V128" s="11">
        <f t="shared" si="8"/>
        <v>11</v>
      </c>
      <c r="W128" s="11"/>
      <c r="X128" s="11">
        <f>VLOOKUP($G128, SeanRanks26!$A$2:$K$303, 10, FALSE)-U128</f>
        <v>-1</v>
      </c>
      <c r="Y128" s="29" t="str">
        <f>IF(VLOOKUP($G128, SeanRanks26!$A$2:$H$303, 8, FALSE)=0, "", VLOOKUP($G128, SeanRanks26!$A$2:$H$303, 8, FALSE))</f>
        <v/>
      </c>
    </row>
    <row r="129" ht="14.25" customHeight="1">
      <c r="A129" s="11"/>
      <c r="B129" s="11">
        <f t="shared" si="4"/>
        <v>11</v>
      </c>
      <c r="C129" s="11" t="s">
        <v>106</v>
      </c>
      <c r="D129" s="11"/>
      <c r="E129" s="27"/>
      <c r="F129" s="11" t="str">
        <f>VLOOKUP($G129, SeanRanks26!$A$2:$H$303, 5, FALSE)</f>
        <v/>
      </c>
      <c r="G129" s="16" t="s">
        <v>355</v>
      </c>
      <c r="H129" s="11" t="str">
        <f>VLOOKUP($G129, '26 ADP Data'!$C$4:$Q$298, 2, FALSE)</f>
        <v>NO</v>
      </c>
      <c r="I129" s="11" t="str">
        <f>VLOOKUP(G129, '26 ADP Data'!$C$4:$R$496, 16, FALSE)</f>
        <v>WR</v>
      </c>
      <c r="J129" s="11" t="str">
        <f>VLOOKUP($G129, SeanRanks26!$A$2:$H$303, 6, FALSE)</f>
        <v>WR4 - 2 - Spot Start</v>
      </c>
      <c r="K129" s="11">
        <f>VLOOKUP($G129, SeanRanks26!$A$2:$H$303, 7, FALSE)</f>
        <v>50</v>
      </c>
      <c r="L129" s="11">
        <f t="shared" si="5"/>
        <v>11</v>
      </c>
      <c r="M129" s="11">
        <f>VLOOKUP($G129, '26 ADP Data'!$C$4:$Q$298, 10, FALSE)</f>
        <v>129</v>
      </c>
      <c r="N129" s="11">
        <f>VLOOKUP($G129, '26 ADP Data'!$C$4:$Q$298, 13, FALSE)</f>
        <v>93</v>
      </c>
      <c r="O129" s="11">
        <f t="shared" si="6"/>
        <v>36</v>
      </c>
      <c r="P129" s="11">
        <f>VLOOKUP($G129, '26 ADP Data'!$C$4:$Q$298, 3, FALSE)</f>
        <v>144</v>
      </c>
      <c r="Q129" s="11">
        <f>VLOOKUP($G129, '26 ADP Data'!$C$4:$Q$298, 4, FALSE)</f>
        <v>179</v>
      </c>
      <c r="R129" s="11">
        <f>VLOOKUP($G129, '26 ADP Data'!$C$4:$Q$298, 6, FALSE)</f>
        <v>118</v>
      </c>
      <c r="S129" s="11">
        <f>VLOOKUP($G129, '26 ADP Data'!$C$4:$Q$298, 9, FALSE)</f>
        <v>75</v>
      </c>
      <c r="T129" s="11" t="str">
        <f>VLOOKUP($G129, '26 ADP Data'!$C$4:$Q$298, 8, FALSE)</f>
        <v>-</v>
      </c>
      <c r="U129" s="11">
        <f t="shared" si="7"/>
        <v>123</v>
      </c>
      <c r="V129" s="11">
        <f t="shared" si="8"/>
        <v>11</v>
      </c>
      <c r="W129" s="11"/>
      <c r="X129" s="11">
        <f>VLOOKUP($G129, SeanRanks26!$A$2:$K$303, 10, FALSE)-U129</f>
        <v>6</v>
      </c>
      <c r="Y129" s="29" t="str">
        <f>IF(VLOOKUP($G129, SeanRanks26!$A$2:$H$303, 8, FALSE)=0, "", VLOOKUP($G129, SeanRanks26!$A$2:$H$303, 8, FALSE))</f>
        <v>Rookie R1.8 ASU</v>
      </c>
    </row>
    <row r="130" ht="14.25" customHeight="1">
      <c r="A130" s="11"/>
      <c r="B130" s="11">
        <f t="shared" si="4"/>
        <v>11</v>
      </c>
      <c r="C130" s="11" t="s">
        <v>106</v>
      </c>
      <c r="D130" s="11"/>
      <c r="E130" s="27"/>
      <c r="F130" s="11" t="str">
        <f>VLOOKUP($G130, SeanRanks26!$A$2:$H$303, 5, FALSE)</f>
        <v/>
      </c>
      <c r="G130" s="16" t="s">
        <v>353</v>
      </c>
      <c r="H130" s="11" t="str">
        <f>VLOOKUP($G130, '26 ADP Data'!$C$4:$Q$298, 2, FALSE)</f>
        <v>KC</v>
      </c>
      <c r="I130" s="11" t="str">
        <f>VLOOKUP(G130, '26 ADP Data'!$C$4:$R$496, 16, FALSE)</f>
        <v>WR</v>
      </c>
      <c r="J130" s="11" t="str">
        <f>VLOOKUP($G130, SeanRanks26!$A$2:$H$303, 6, FALSE)</f>
        <v>WR4 - 2 - Spot Start</v>
      </c>
      <c r="K130" s="11">
        <f>VLOOKUP($G130, SeanRanks26!$A$2:$H$303, 7, FALSE)</f>
        <v>44</v>
      </c>
      <c r="L130" s="11">
        <f t="shared" si="5"/>
        <v>11</v>
      </c>
      <c r="M130" s="11">
        <f>VLOOKUP($G130, '26 ADP Data'!$C$4:$Q$298, 10, FALSE)</f>
        <v>127</v>
      </c>
      <c r="N130" s="11">
        <f>VLOOKUP($G130, '26 ADP Data'!$C$4:$Q$298, 13, FALSE)</f>
        <v>107</v>
      </c>
      <c r="O130" s="11">
        <f t="shared" si="6"/>
        <v>20</v>
      </c>
      <c r="P130" s="11">
        <f>VLOOKUP($G130, '26 ADP Data'!$C$4:$Q$298, 3, FALSE)</f>
        <v>142</v>
      </c>
      <c r="Q130" s="11">
        <f>VLOOKUP($G130, '26 ADP Data'!$C$4:$Q$298, 4, FALSE)</f>
        <v>114</v>
      </c>
      <c r="R130" s="11">
        <f>VLOOKUP($G130, '26 ADP Data'!$C$4:$Q$298, 6, FALSE)</f>
        <v>133</v>
      </c>
      <c r="S130" s="11">
        <f>VLOOKUP($G130, '26 ADP Data'!$C$4:$Q$298, 9, FALSE)</f>
        <v>122</v>
      </c>
      <c r="T130" s="11" t="str">
        <f>VLOOKUP($G130, '26 ADP Data'!$C$4:$Q$298, 8, FALSE)</f>
        <v>-</v>
      </c>
      <c r="U130" s="11">
        <f t="shared" si="7"/>
        <v>124</v>
      </c>
      <c r="V130" s="11">
        <f t="shared" si="8"/>
        <v>11</v>
      </c>
      <c r="W130" s="11"/>
      <c r="X130" s="11">
        <f>VLOOKUP($G130, SeanRanks26!$A$2:$K$303, 10, FALSE)-U130</f>
        <v>3</v>
      </c>
      <c r="Y130" s="29" t="str">
        <f>IF(VLOOKUP($G130, SeanRanks26!$A$2:$H$303, 8, FALSE)=0, "", VLOOKUP($G130, SeanRanks26!$A$2:$H$303, 8, FALSE))</f>
        <v>Check injury status</v>
      </c>
    </row>
    <row r="131" ht="14.25" customHeight="1">
      <c r="A131" s="11"/>
      <c r="B131" s="11">
        <f t="shared" si="4"/>
        <v>12</v>
      </c>
      <c r="C131" s="11" t="s">
        <v>106</v>
      </c>
      <c r="D131" s="11"/>
      <c r="E131" s="27"/>
      <c r="F131" s="11" t="str">
        <f>VLOOKUP($G131, SeanRanks26!$A$2:$H$303, 5, FALSE)</f>
        <v/>
      </c>
      <c r="G131" s="16" t="s">
        <v>359</v>
      </c>
      <c r="H131" s="11" t="str">
        <f>VLOOKUP($G131, '26 ADP Data'!$C$4:$Q$298, 2, FALSE)</f>
        <v>NE</v>
      </c>
      <c r="I131" s="11" t="str">
        <f>VLOOKUP(G131, '26 ADP Data'!$C$4:$R$496, 16, FALSE)</f>
        <v>WR</v>
      </c>
      <c r="J131" s="11" t="str">
        <f>VLOOKUP($G131, SeanRanks26!$A$2:$H$303, 6, FALSE)</f>
        <v>WR5</v>
      </c>
      <c r="K131" s="11">
        <f>VLOOKUP($G131, SeanRanks26!$A$2:$H$303, 7, FALSE)</f>
        <v>58</v>
      </c>
      <c r="L131" s="11">
        <f t="shared" si="5"/>
        <v>11</v>
      </c>
      <c r="M131" s="11">
        <f>VLOOKUP($G131, '26 ADP Data'!$C$4:$Q$298, 10, FALSE)</f>
        <v>122</v>
      </c>
      <c r="N131" s="11">
        <f>VLOOKUP($G131, '26 ADP Data'!$C$4:$Q$298, 13, FALSE)</f>
        <v>118</v>
      </c>
      <c r="O131" s="11">
        <f t="shared" si="6"/>
        <v>4</v>
      </c>
      <c r="P131" s="11">
        <f>VLOOKUP($G131, '26 ADP Data'!$C$4:$Q$298, 3, FALSE)</f>
        <v>141</v>
      </c>
      <c r="Q131" s="11">
        <f>VLOOKUP($G131, '26 ADP Data'!$C$4:$Q$298, 4, FALSE)</f>
        <v>148</v>
      </c>
      <c r="R131" s="11">
        <f>VLOOKUP($G131, '26 ADP Data'!$C$4:$Q$298, 6, FALSE)</f>
        <v>137</v>
      </c>
      <c r="S131" s="11">
        <f>VLOOKUP($G131, '26 ADP Data'!$C$4:$Q$298, 9, FALSE)</f>
        <v>121</v>
      </c>
      <c r="T131" s="11" t="str">
        <f>VLOOKUP($G131, '26 ADP Data'!$C$4:$Q$298, 8, FALSE)</f>
        <v>-</v>
      </c>
      <c r="U131" s="11">
        <f t="shared" si="7"/>
        <v>131</v>
      </c>
      <c r="V131" s="11">
        <f t="shared" si="8"/>
        <v>11</v>
      </c>
      <c r="W131" s="11"/>
      <c r="X131" s="11">
        <f>VLOOKUP($G131, SeanRanks26!$A$2:$K$303, 10, FALSE)-U131</f>
        <v>-9</v>
      </c>
      <c r="Y131" s="29" t="str">
        <f>IF(VLOOKUP($G131, SeanRanks26!$A$2:$H$303, 8, FALSE)=0, "", VLOOKUP($G131, SeanRanks26!$A$2:$H$303, 8, FALSE))</f>
        <v/>
      </c>
    </row>
    <row r="132" ht="14.25" customHeight="1">
      <c r="A132" s="11"/>
      <c r="B132" s="11">
        <f t="shared" si="4"/>
        <v>11</v>
      </c>
      <c r="C132" s="11" t="s">
        <v>106</v>
      </c>
      <c r="D132" s="11"/>
      <c r="E132" s="27"/>
      <c r="F132" s="11" t="str">
        <f>VLOOKUP($G132, SeanRanks26!$A$2:$H$303, 5, FALSE)</f>
        <v/>
      </c>
      <c r="G132" s="16" t="s">
        <v>364</v>
      </c>
      <c r="H132" s="11" t="str">
        <f>VLOOKUP($G132, '26 ADP Data'!$C$4:$Q$298, 2, FALSE)</f>
        <v>SF</v>
      </c>
      <c r="I132" s="11" t="str">
        <f>VLOOKUP(G132, '26 ADP Data'!$C$4:$R$496, 16, FALSE)</f>
        <v>WR</v>
      </c>
      <c r="J132" s="11" t="str">
        <f>VLOOKUP($G132, SeanRanks26!$A$2:$H$303, 6, FALSE)</f>
        <v>WR5</v>
      </c>
      <c r="K132" s="11">
        <f>VLOOKUP($G132, SeanRanks26!$A$2:$H$303, 7, FALSE)</f>
        <v>61</v>
      </c>
      <c r="L132" s="11">
        <f t="shared" si="5"/>
        <v>13</v>
      </c>
      <c r="M132" s="11">
        <f>VLOOKUP($G132, '26 ADP Data'!$C$4:$Q$298, 10, FALSE)</f>
        <v>148</v>
      </c>
      <c r="N132" s="11">
        <f>VLOOKUP($G132, '26 ADP Data'!$C$4:$Q$298, 13, FALSE)</f>
        <v>127</v>
      </c>
      <c r="O132" s="11">
        <f t="shared" si="6"/>
        <v>21</v>
      </c>
      <c r="P132" s="11">
        <f>VLOOKUP($G132, '26 ADP Data'!$C$4:$Q$298, 3, FALSE)</f>
        <v>127</v>
      </c>
      <c r="Q132" s="11">
        <f>VLOOKUP($G132, '26 ADP Data'!$C$4:$Q$298, 4, FALSE)</f>
        <v>120</v>
      </c>
      <c r="R132" s="11">
        <f>VLOOKUP($G132, '26 ADP Data'!$C$4:$Q$298, 6, FALSE)</f>
        <v>129</v>
      </c>
      <c r="S132" s="11">
        <f>VLOOKUP($G132, '26 ADP Data'!$C$4:$Q$298, 9, FALSE)</f>
        <v>144</v>
      </c>
      <c r="T132" s="11" t="str">
        <f>VLOOKUP($G132, '26 ADP Data'!$C$4:$Q$298, 8, FALSE)</f>
        <v>-</v>
      </c>
      <c r="U132" s="11">
        <f t="shared" si="7"/>
        <v>132</v>
      </c>
      <c r="V132" s="11">
        <f t="shared" si="8"/>
        <v>12</v>
      </c>
      <c r="W132" s="11">
        <f>D132-V132</f>
        <v>-12</v>
      </c>
      <c r="X132" s="11">
        <f>VLOOKUP($G132, SeanRanks26!$A$2:$K$303, 10, FALSE)-U132</f>
        <v>16</v>
      </c>
      <c r="Y132" s="29" t="str">
        <f>IF(VLOOKUP($G132, SeanRanks26!$A$2:$H$303, 8, FALSE)=0, "", VLOOKUP($G132, SeanRanks26!$A$2:$H$303, 8, FALSE))</f>
        <v/>
      </c>
    </row>
    <row r="133" ht="14.25" customHeight="1">
      <c r="A133" s="11"/>
      <c r="B133" s="11">
        <f t="shared" si="4"/>
        <v>12</v>
      </c>
      <c r="C133" s="11" t="s">
        <v>106</v>
      </c>
      <c r="D133" s="11"/>
      <c r="E133" s="27"/>
      <c r="F133" s="11" t="str">
        <f>VLOOKUP($G133, SeanRanks26!$A$2:$H$303, 5, FALSE)</f>
        <v/>
      </c>
      <c r="G133" s="16" t="s">
        <v>361</v>
      </c>
      <c r="H133" s="11" t="str">
        <f>VLOOKUP($G133, '26 ADP Data'!$C$4:$Q$298, 2, FALSE)</f>
        <v>MIN</v>
      </c>
      <c r="I133" s="11" t="str">
        <f>VLOOKUP(G133, '26 ADP Data'!$C$4:$R$496, 16, FALSE)</f>
        <v>QB</v>
      </c>
      <c r="J133" s="11" t="str">
        <f>VLOOKUP($G133, SeanRanks26!$A$2:$H$303, 6, FALSE)</f>
        <v>QB2 - 2 - Lower Floor</v>
      </c>
      <c r="K133" s="11">
        <f>VLOOKUP($G133, SeanRanks26!$A$2:$H$303, 7, FALSE)</f>
        <v>18</v>
      </c>
      <c r="L133" s="11">
        <f t="shared" si="5"/>
        <v>10</v>
      </c>
      <c r="M133" s="11">
        <f>VLOOKUP($G133, '26 ADP Data'!$C$4:$Q$298, 10, FALSE)</f>
        <v>112</v>
      </c>
      <c r="N133" s="11">
        <f>VLOOKUP($G133, '26 ADP Data'!$C$4:$Q$298, 13, FALSE)</f>
        <v>116</v>
      </c>
      <c r="O133" s="11">
        <f t="shared" si="6"/>
        <v>-4</v>
      </c>
      <c r="P133" s="11">
        <f>VLOOKUP($G133, '26 ADP Data'!$C$4:$Q$298, 3, FALSE)</f>
        <v>135</v>
      </c>
      <c r="Q133" s="11">
        <f>VLOOKUP($G133, '26 ADP Data'!$C$4:$Q$298, 4, FALSE)</f>
        <v>142</v>
      </c>
      <c r="R133" s="11">
        <f>VLOOKUP($G133, '26 ADP Data'!$C$4:$Q$298, 6, FALSE)</f>
        <v>132</v>
      </c>
      <c r="S133" s="11">
        <f>VLOOKUP($G133, '26 ADP Data'!$C$4:$Q$298, 9, FALSE)</f>
        <v>165</v>
      </c>
      <c r="T133" s="11" t="str">
        <f>VLOOKUP($G133, '26 ADP Data'!$C$4:$Q$298, 8, FALSE)</f>
        <v>-</v>
      </c>
      <c r="U133" s="11">
        <f t="shared" si="7"/>
        <v>133</v>
      </c>
      <c r="V133" s="11">
        <f t="shared" si="8"/>
        <v>12</v>
      </c>
      <c r="W133" s="11"/>
      <c r="X133" s="11">
        <f>VLOOKUP($G133, SeanRanks26!$A$2:$K$303, 10, FALSE)-U133</f>
        <v>-21</v>
      </c>
      <c r="Y133" s="29" t="str">
        <f>IF(VLOOKUP($G133, SeanRanks26!$A$2:$H$303, 8, FALSE)=0, "", VLOOKUP($G133, SeanRanks26!$A$2:$H$303, 8, FALSE))</f>
        <v/>
      </c>
    </row>
    <row r="134" ht="14.25" customHeight="1">
      <c r="A134" s="11"/>
      <c r="B134" s="11">
        <f t="shared" si="4"/>
        <v>11</v>
      </c>
      <c r="C134" s="11" t="s">
        <v>106</v>
      </c>
      <c r="D134" s="11"/>
      <c r="E134" s="27"/>
      <c r="F134" s="11" t="str">
        <f>VLOOKUP($G134, SeanRanks26!$A$2:$H$303, 5, FALSE)</f>
        <v/>
      </c>
      <c r="G134" s="16" t="s">
        <v>475</v>
      </c>
      <c r="H134" s="11" t="str">
        <f>VLOOKUP($G134, '26 ADP Data'!$C$4:$Q$298, 2, FALSE)</f>
        <v>HOU</v>
      </c>
      <c r="I134" s="11" t="str">
        <f>VLOOKUP(G134, '26 ADP Data'!$C$4:$R$496, 16, FALSE)</f>
        <v>DE</v>
      </c>
      <c r="J134" s="11" t="str">
        <f>VLOOKUP($G134, SeanRanks26!$A$2:$H$303, 6, FALSE)</f>
        <v/>
      </c>
      <c r="K134" s="11" t="str">
        <f>VLOOKUP($G134, SeanRanks26!$A$2:$H$303, 7, FALSE)</f>
        <v/>
      </c>
      <c r="L134" s="11">
        <f t="shared" si="5"/>
        <v>13</v>
      </c>
      <c r="M134" s="11">
        <f>VLOOKUP($G134, '26 ADP Data'!$C$4:$Q$298, 10, FALSE)</f>
        <v>153</v>
      </c>
      <c r="N134" s="11" t="str">
        <f>VLOOKUP($G134, '26 ADP Data'!$C$4:$Q$298, 13, FALSE)</f>
        <v>-</v>
      </c>
      <c r="O134" s="11" t="str">
        <f t="shared" si="6"/>
        <v>#VALUE!</v>
      </c>
      <c r="P134" s="11">
        <f>VLOOKUP($G134, '26 ADP Data'!$C$4:$Q$298, 3, FALSE)</f>
        <v>99</v>
      </c>
      <c r="Q134" s="11">
        <f>VLOOKUP($G134, '26 ADP Data'!$C$4:$Q$298, 4, FALSE)</f>
        <v>78</v>
      </c>
      <c r="R134" s="11">
        <f>VLOOKUP($G134, '26 ADP Data'!$C$4:$Q$298, 6, FALSE)</f>
        <v>213</v>
      </c>
      <c r="S134" s="11">
        <f>VLOOKUP($G134, '26 ADP Data'!$C$4:$Q$298, 9, FALSE)</f>
        <v>133</v>
      </c>
      <c r="T134" s="11" t="str">
        <f>VLOOKUP($G134, '26 ADP Data'!$C$4:$Q$298, 8, FALSE)</f>
        <v>-</v>
      </c>
      <c r="U134" s="11">
        <f t="shared" si="7"/>
        <v>135</v>
      </c>
      <c r="V134" s="11">
        <f t="shared" si="8"/>
        <v>12</v>
      </c>
      <c r="W134" s="11"/>
      <c r="X134" s="11">
        <f>VLOOKUP($G134, SeanRanks26!$A$2:$K$303, 10, FALSE)-U134</f>
        <v>18</v>
      </c>
      <c r="Y134" s="29" t="s">
        <v>797</v>
      </c>
    </row>
    <row r="135" ht="14.25" customHeight="1">
      <c r="A135" s="11"/>
      <c r="B135" s="11">
        <f t="shared" si="4"/>
        <v>13</v>
      </c>
      <c r="C135" s="11" t="s">
        <v>106</v>
      </c>
      <c r="D135" s="11"/>
      <c r="E135" s="27"/>
      <c r="F135" s="11" t="str">
        <f>VLOOKUP($G135, SeanRanks26!$A$2:$H$303, 5, FALSE)</f>
        <v/>
      </c>
      <c r="G135" s="16" t="s">
        <v>366</v>
      </c>
      <c r="H135" s="11" t="str">
        <f>VLOOKUP($G135, '26 ADP Data'!$C$4:$Q$298, 2, FALSE)</f>
        <v>JAX</v>
      </c>
      <c r="I135" s="11" t="str">
        <f>VLOOKUP(G135, '26 ADP Data'!$C$4:$R$496, 16, FALSE)</f>
        <v>RB</v>
      </c>
      <c r="J135" s="11" t="str">
        <f>VLOOKUP($G135, SeanRanks26!$A$2:$H$303, 6, FALSE)</f>
        <v>RB4</v>
      </c>
      <c r="K135" s="11">
        <f>VLOOKUP($G135, SeanRanks26!$A$2:$H$303, 7, FALSE)</f>
        <v>41</v>
      </c>
      <c r="L135" s="11">
        <f t="shared" si="5"/>
        <v>10</v>
      </c>
      <c r="M135" s="11">
        <f>VLOOKUP($G135, '26 ADP Data'!$C$4:$Q$298, 10, FALSE)</f>
        <v>117</v>
      </c>
      <c r="N135" s="11">
        <f>VLOOKUP($G135, '26 ADP Data'!$C$4:$Q$298, 13, FALSE)</f>
        <v>124</v>
      </c>
      <c r="O135" s="11">
        <f t="shared" si="6"/>
        <v>-7</v>
      </c>
      <c r="P135" s="11">
        <f>VLOOKUP($G135, '26 ADP Data'!$C$4:$Q$298, 3, FALSE)</f>
        <v>138</v>
      </c>
      <c r="Q135" s="11">
        <f>VLOOKUP($G135, '26 ADP Data'!$C$4:$Q$298, 4, FALSE)</f>
        <v>174</v>
      </c>
      <c r="R135" s="11">
        <f>VLOOKUP($G135, '26 ADP Data'!$C$4:$Q$298, 6, FALSE)</f>
        <v>124</v>
      </c>
      <c r="S135" s="11">
        <f>VLOOKUP($G135, '26 ADP Data'!$C$4:$Q$298, 9, FALSE)</f>
        <v>141</v>
      </c>
      <c r="T135" s="11" t="str">
        <f>VLOOKUP($G135, '26 ADP Data'!$C$4:$Q$298, 8, FALSE)</f>
        <v>-</v>
      </c>
      <c r="U135" s="11">
        <f t="shared" si="7"/>
        <v>136</v>
      </c>
      <c r="V135" s="11">
        <f t="shared" si="8"/>
        <v>12</v>
      </c>
      <c r="W135" s="11"/>
      <c r="X135" s="11">
        <f>VLOOKUP($G135, SeanRanks26!$A$2:$K$303, 10, FALSE)-U135</f>
        <v>-19</v>
      </c>
      <c r="Y135" s="29" t="str">
        <f>IF(VLOOKUP($G135, SeanRanks26!$A$2:$H$303, 8, FALSE)=0, "", VLOOKUP($G135, SeanRanks26!$A$2:$H$303, 8, FALSE))</f>
        <v/>
      </c>
    </row>
    <row r="136" ht="14.25" customHeight="1">
      <c r="A136" s="11"/>
      <c r="B136" s="11">
        <f t="shared" si="4"/>
        <v>11</v>
      </c>
      <c r="C136" s="11" t="s">
        <v>106</v>
      </c>
      <c r="D136" s="11"/>
      <c r="E136" s="27"/>
      <c r="F136" s="11" t="str">
        <f>VLOOKUP($G136, SeanRanks26!$A$2:$H$303, 5, FALSE)</f>
        <v/>
      </c>
      <c r="G136" s="16" t="s">
        <v>543</v>
      </c>
      <c r="H136" s="11" t="str">
        <f>VLOOKUP($G136, '26 ADP Data'!$C$4:$Q$298, 2, FALSE)</f>
        <v>DAL</v>
      </c>
      <c r="I136" s="11" t="str">
        <f>VLOOKUP(G136, '26 ADP Data'!$C$4:$R$496, 16, FALSE)</f>
        <v>K-</v>
      </c>
      <c r="J136" s="11" t="str">
        <f>VLOOKUP($G136, SeanRanks26!$A$2:$H$303, 6, FALSE)</f>
        <v/>
      </c>
      <c r="K136" s="11" t="str">
        <f>VLOOKUP($G136, SeanRanks26!$A$2:$H$303, 7, FALSE)</f>
        <v/>
      </c>
      <c r="L136" s="11">
        <f t="shared" si="5"/>
        <v>14</v>
      </c>
      <c r="M136" s="11">
        <f>VLOOKUP($G136, '26 ADP Data'!$C$4:$Q$298, 10, FALSE)</f>
        <v>164</v>
      </c>
      <c r="N136" s="11" t="str">
        <f>VLOOKUP($G136, '26 ADP Data'!$C$4:$Q$298, 13, FALSE)</f>
        <v>-</v>
      </c>
      <c r="O136" s="11" t="str">
        <f t="shared" si="6"/>
        <v>#VALUE!</v>
      </c>
      <c r="P136" s="11">
        <f>VLOOKUP($G136, '26 ADP Data'!$C$4:$Q$298, 3, FALSE)</f>
        <v>104</v>
      </c>
      <c r="Q136" s="11">
        <f>VLOOKUP($G136, '26 ADP Data'!$C$4:$Q$298, 4, FALSE)</f>
        <v>76</v>
      </c>
      <c r="R136" s="11">
        <f>VLOOKUP($G136, '26 ADP Data'!$C$4:$Q$298, 6, FALSE)</f>
        <v>205</v>
      </c>
      <c r="S136" s="11">
        <f>VLOOKUP($G136, '26 ADP Data'!$C$4:$Q$298, 9, FALSE)</f>
        <v>131</v>
      </c>
      <c r="T136" s="11" t="str">
        <f>VLOOKUP($G136, '26 ADP Data'!$C$4:$Q$298, 8, FALSE)</f>
        <v>-</v>
      </c>
      <c r="U136" s="11">
        <f t="shared" si="7"/>
        <v>136</v>
      </c>
      <c r="V136" s="11">
        <f t="shared" si="8"/>
        <v>12</v>
      </c>
      <c r="W136" s="11"/>
      <c r="X136" s="11">
        <f>VLOOKUP($G136, SeanRanks26!$A$2:$K$303, 10, FALSE)-U136</f>
        <v>28</v>
      </c>
      <c r="Y136" s="29" t="str">
        <f>IF(VLOOKUP($G136, SeanRanks26!$A$2:$H$303, 8, FALSE)=0, "", VLOOKUP($G136, SeanRanks26!$A$2:$H$303, 8, FALSE))</f>
        <v/>
      </c>
    </row>
    <row r="137" ht="14.25" customHeight="1">
      <c r="A137" s="11"/>
      <c r="B137" s="11">
        <f t="shared" si="4"/>
        <v>12</v>
      </c>
      <c r="C137" s="11" t="s">
        <v>106</v>
      </c>
      <c r="D137" s="11"/>
      <c r="E137" s="27"/>
      <c r="F137" s="11" t="str">
        <f>VLOOKUP($G137, SeanRanks26!$A$2:$H$303, 5, FALSE)</f>
        <v/>
      </c>
      <c r="G137" s="16" t="s">
        <v>378</v>
      </c>
      <c r="H137" s="11" t="str">
        <f>VLOOKUP($G137, '26 ADP Data'!$C$4:$Q$298, 2, FALSE)</f>
        <v>HOU</v>
      </c>
      <c r="I137" s="11" t="str">
        <f>VLOOKUP(G137, '26 ADP Data'!$C$4:$R$496, 16, FALSE)</f>
        <v>RB</v>
      </c>
      <c r="J137" s="11" t="str">
        <f>VLOOKUP($G137, SeanRanks26!$A$2:$H$303, 6, FALSE)</f>
        <v>RB4</v>
      </c>
      <c r="K137" s="11">
        <f>VLOOKUP($G137, SeanRanks26!$A$2:$H$303, 7, FALSE)</f>
        <v>48</v>
      </c>
      <c r="L137" s="11">
        <f t="shared" si="5"/>
        <v>12</v>
      </c>
      <c r="M137" s="11">
        <f>VLOOKUP($G137, '26 ADP Data'!$C$4:$Q$298, 10, FALSE)</f>
        <v>132</v>
      </c>
      <c r="N137" s="11">
        <f>VLOOKUP($G137, '26 ADP Data'!$C$4:$Q$298, 13, FALSE)</f>
        <v>137</v>
      </c>
      <c r="O137" s="11">
        <f t="shared" si="6"/>
        <v>-5</v>
      </c>
      <c r="P137" s="11">
        <f>VLOOKUP($G137, '26 ADP Data'!$C$4:$Q$298, 3, FALSE)</f>
        <v>137</v>
      </c>
      <c r="Q137" s="11">
        <f>VLOOKUP($G137, '26 ADP Data'!$C$4:$Q$298, 4, FALSE)</f>
        <v>145</v>
      </c>
      <c r="R137" s="11">
        <f>VLOOKUP($G137, '26 ADP Data'!$C$4:$Q$298, 6, FALSE)</f>
        <v>131</v>
      </c>
      <c r="S137" s="11">
        <f>VLOOKUP($G137, '26 ADP Data'!$C$4:$Q$298, 9, FALSE)</f>
        <v>145</v>
      </c>
      <c r="T137" s="11" t="str">
        <f>VLOOKUP($G137, '26 ADP Data'!$C$4:$Q$298, 8, FALSE)</f>
        <v>-</v>
      </c>
      <c r="U137" s="11">
        <f t="shared" si="7"/>
        <v>137</v>
      </c>
      <c r="V137" s="11">
        <f t="shared" si="8"/>
        <v>12</v>
      </c>
      <c r="W137" s="11"/>
      <c r="X137" s="11">
        <f>VLOOKUP($G137, SeanRanks26!$A$2:$K$303, 10, FALSE)-U137</f>
        <v>-5</v>
      </c>
      <c r="Y137" s="29" t="str">
        <f>IF(VLOOKUP($G137, SeanRanks26!$A$2:$H$303, 8, FALSE)=0, "", VLOOKUP($G137, SeanRanks26!$A$2:$H$303, 8, FALSE))</f>
        <v>2025 Rookie R4</v>
      </c>
    </row>
    <row r="138" ht="14.25" customHeight="1">
      <c r="A138" s="11"/>
      <c r="B138" s="11">
        <f t="shared" si="4"/>
        <v>12</v>
      </c>
      <c r="C138" s="11" t="s">
        <v>106</v>
      </c>
      <c r="D138" s="11"/>
      <c r="E138" s="27"/>
      <c r="F138" s="11" t="str">
        <f>VLOOKUP($G138, SeanRanks26!$A$2:$H$303, 5, FALSE)</f>
        <v/>
      </c>
      <c r="G138" s="16" t="s">
        <v>369</v>
      </c>
      <c r="H138" s="11" t="str">
        <f>VLOOKUP($G138, '26 ADP Data'!$C$4:$Q$298, 2, FALSE)</f>
        <v>TB</v>
      </c>
      <c r="I138" s="11" t="str">
        <f>VLOOKUP(G138, '26 ADP Data'!$C$4:$R$496, 16, FALSE)</f>
        <v>QB</v>
      </c>
      <c r="J138" s="11" t="str">
        <f>VLOOKUP($G138, SeanRanks26!$A$2:$H$303, 6, FALSE)</f>
        <v>QB2 - 2 - Lower Floor</v>
      </c>
      <c r="K138" s="11">
        <f>VLOOKUP($G138, SeanRanks26!$A$2:$H$303, 7, FALSE)</f>
        <v>17</v>
      </c>
      <c r="L138" s="11">
        <f t="shared" si="5"/>
        <v>12</v>
      </c>
      <c r="M138" s="11">
        <f>VLOOKUP($G138, '26 ADP Data'!$C$4:$Q$298, 10, FALSE)</f>
        <v>134</v>
      </c>
      <c r="N138" s="11">
        <f>VLOOKUP($G138, '26 ADP Data'!$C$4:$Q$298, 13, FALSE)</f>
        <v>122</v>
      </c>
      <c r="O138" s="11">
        <f t="shared" si="6"/>
        <v>12</v>
      </c>
      <c r="P138" s="11">
        <f>VLOOKUP($G138, '26 ADP Data'!$C$4:$Q$298, 3, FALSE)</f>
        <v>131</v>
      </c>
      <c r="Q138" s="11">
        <f>VLOOKUP($G138, '26 ADP Data'!$C$4:$Q$298, 4, FALSE)</f>
        <v>144</v>
      </c>
      <c r="R138" s="11">
        <f>VLOOKUP($G138, '26 ADP Data'!$C$4:$Q$298, 6, FALSE)</f>
        <v>144</v>
      </c>
      <c r="S138" s="11">
        <f>VLOOKUP($G138, '26 ADP Data'!$C$4:$Q$298, 9, FALSE)</f>
        <v>151</v>
      </c>
      <c r="T138" s="11" t="str">
        <f>VLOOKUP($G138, '26 ADP Data'!$C$4:$Q$298, 8, FALSE)</f>
        <v>-</v>
      </c>
      <c r="U138" s="11">
        <f t="shared" si="7"/>
        <v>137</v>
      </c>
      <c r="V138" s="11">
        <f t="shared" si="8"/>
        <v>12</v>
      </c>
      <c r="W138" s="11"/>
      <c r="X138" s="11">
        <f>VLOOKUP($G138, SeanRanks26!$A$2:$K$303, 10, FALSE)-U138</f>
        <v>-3</v>
      </c>
      <c r="Y138" s="29" t="str">
        <f>IF(VLOOKUP($G138, SeanRanks26!$A$2:$H$303, 8, FALSE)=0, "", VLOOKUP($G138, SeanRanks26!$A$2:$H$303, 8, FALSE))</f>
        <v/>
      </c>
    </row>
    <row r="139" ht="14.25" customHeight="1">
      <c r="A139" s="11"/>
      <c r="B139" s="11">
        <f t="shared" si="4"/>
        <v>12</v>
      </c>
      <c r="C139" s="11" t="s">
        <v>106</v>
      </c>
      <c r="D139" s="11"/>
      <c r="E139" s="27"/>
      <c r="F139" s="11" t="str">
        <f>VLOOKUP($G139, SeanRanks26!$A$2:$H$303, 5, FALSE)</f>
        <v/>
      </c>
      <c r="G139" s="16" t="s">
        <v>374</v>
      </c>
      <c r="H139" s="11" t="str">
        <f>VLOOKUP($G139, '26 ADP Data'!$C$4:$Q$298, 2, FALSE)</f>
        <v>BUF</v>
      </c>
      <c r="I139" s="11" t="str">
        <f>VLOOKUP(G139, '26 ADP Data'!$C$4:$R$496, 16, FALSE)</f>
        <v>WR</v>
      </c>
      <c r="J139" s="11" t="str">
        <f>VLOOKUP($G139, SeanRanks26!$A$2:$H$303, 6, FALSE)</f>
        <v>WR5</v>
      </c>
      <c r="K139" s="11">
        <f>VLOOKUP($G139, SeanRanks26!$A$2:$H$303, 7, FALSE)</f>
        <v>62</v>
      </c>
      <c r="L139" s="11">
        <f t="shared" si="5"/>
        <v>12</v>
      </c>
      <c r="M139" s="11">
        <f>VLOOKUP($G139, '26 ADP Data'!$C$4:$Q$298, 10, FALSE)</f>
        <v>141</v>
      </c>
      <c r="N139" s="11">
        <f>VLOOKUP($G139, '26 ADP Data'!$C$4:$Q$298, 13, FALSE)</f>
        <v>131</v>
      </c>
      <c r="O139" s="11">
        <f t="shared" si="6"/>
        <v>10</v>
      </c>
      <c r="P139" s="11">
        <f>VLOOKUP($G139, '26 ADP Data'!$C$4:$Q$298, 3, FALSE)</f>
        <v>159</v>
      </c>
      <c r="Q139" s="11">
        <f>VLOOKUP($G139, '26 ADP Data'!$C$4:$Q$298, 4, FALSE)</f>
        <v>115</v>
      </c>
      <c r="R139" s="11">
        <f>VLOOKUP($G139, '26 ADP Data'!$C$4:$Q$298, 6, FALSE)</f>
        <v>146</v>
      </c>
      <c r="S139" s="11">
        <f>VLOOKUP($G139, '26 ADP Data'!$C$4:$Q$298, 9, FALSE)</f>
        <v>130</v>
      </c>
      <c r="T139" s="11" t="str">
        <f>VLOOKUP($G139, '26 ADP Data'!$C$4:$Q$298, 8, FALSE)</f>
        <v>-</v>
      </c>
      <c r="U139" s="11">
        <f t="shared" si="7"/>
        <v>137</v>
      </c>
      <c r="V139" s="11">
        <f t="shared" si="8"/>
        <v>12</v>
      </c>
      <c r="W139" s="11">
        <f t="shared" ref="W139:W140" si="10">D139-V139</f>
        <v>-12</v>
      </c>
      <c r="X139" s="11">
        <f>VLOOKUP($G139, SeanRanks26!$A$2:$K$303, 10, FALSE)-U139</f>
        <v>4</v>
      </c>
      <c r="Y139" s="29" t="str">
        <f>IF(VLOOKUP($G139, SeanRanks26!$A$2:$H$303, 8, FALSE)=0, "", VLOOKUP($G139, SeanRanks26!$A$2:$H$303, 8, FALSE))</f>
        <v/>
      </c>
    </row>
    <row r="140" ht="14.25" customHeight="1">
      <c r="A140" s="11"/>
      <c r="B140" s="11">
        <f t="shared" si="4"/>
        <v>12</v>
      </c>
      <c r="C140" s="11" t="s">
        <v>106</v>
      </c>
      <c r="D140" s="11"/>
      <c r="E140" s="27"/>
      <c r="F140" s="11" t="str">
        <f>VLOOKUP($G140, SeanRanks26!$A$2:$H$303, 5, FALSE)</f>
        <v/>
      </c>
      <c r="G140" s="16" t="s">
        <v>485</v>
      </c>
      <c r="H140" s="11" t="str">
        <f>VLOOKUP($G140, '26 ADP Data'!$C$4:$Q$298, 2, FALSE)</f>
        <v>DEN</v>
      </c>
      <c r="I140" s="11" t="str">
        <f>VLOOKUP(G140, '26 ADP Data'!$C$4:$R$496, 16, FALSE)</f>
        <v>DE</v>
      </c>
      <c r="J140" s="11" t="str">
        <f>VLOOKUP($G140, SeanRanks26!$A$2:$H$303, 6, FALSE)</f>
        <v/>
      </c>
      <c r="K140" s="11" t="str">
        <f>VLOOKUP($G140, SeanRanks26!$A$2:$H$303, 7, FALSE)</f>
        <v/>
      </c>
      <c r="L140" s="11">
        <f t="shared" si="5"/>
        <v>14</v>
      </c>
      <c r="M140" s="11">
        <f>VLOOKUP($G140, '26 ADP Data'!$C$4:$Q$298, 10, FALSE)</f>
        <v>165</v>
      </c>
      <c r="N140" s="11" t="str">
        <f>VLOOKUP($G140, '26 ADP Data'!$C$4:$Q$298, 13, FALSE)</f>
        <v>-</v>
      </c>
      <c r="O140" s="11" t="str">
        <f t="shared" si="6"/>
        <v>#VALUE!</v>
      </c>
      <c r="P140" s="11">
        <f>VLOOKUP($G140, '26 ADP Data'!$C$4:$Q$298, 3, FALSE)</f>
        <v>88</v>
      </c>
      <c r="Q140" s="11">
        <f>VLOOKUP($G140, '26 ADP Data'!$C$4:$Q$298, 4, FALSE)</f>
        <v>89</v>
      </c>
      <c r="R140" s="11">
        <f>VLOOKUP($G140, '26 ADP Data'!$C$4:$Q$298, 6, FALSE)</f>
        <v>216</v>
      </c>
      <c r="S140" s="11">
        <f>VLOOKUP($G140, '26 ADP Data'!$C$4:$Q$298, 9, FALSE)</f>
        <v>136</v>
      </c>
      <c r="T140" s="11" t="str">
        <f>VLOOKUP($G140, '26 ADP Data'!$C$4:$Q$298, 8, FALSE)</f>
        <v>-</v>
      </c>
      <c r="U140" s="11">
        <f t="shared" si="7"/>
        <v>138</v>
      </c>
      <c r="V140" s="11">
        <f t="shared" si="8"/>
        <v>12</v>
      </c>
      <c r="W140" s="11">
        <f t="shared" si="10"/>
        <v>-12</v>
      </c>
      <c r="X140" s="11">
        <f>VLOOKUP($G140, SeanRanks26!$A$2:$K$303, 10, FALSE)-U140</f>
        <v>27</v>
      </c>
      <c r="Y140" s="29" t="str">
        <f>IF(VLOOKUP($G140, SeanRanks26!$A$2:$H$303, 8, FALSE)=0, "", VLOOKUP($G140, SeanRanks26!$A$2:$H$303, 8, FALSE))</f>
        <v/>
      </c>
    </row>
    <row r="141" ht="14.25" customHeight="1">
      <c r="A141" s="11"/>
      <c r="B141" s="11">
        <f t="shared" si="4"/>
        <v>13</v>
      </c>
      <c r="C141" s="11" t="s">
        <v>106</v>
      </c>
      <c r="D141" s="11"/>
      <c r="E141" s="27"/>
      <c r="F141" s="11" t="str">
        <f>VLOOKUP($G141, SeanRanks26!$A$2:$H$303, 5, FALSE)</f>
        <v/>
      </c>
      <c r="G141" s="16" t="s">
        <v>371</v>
      </c>
      <c r="H141" s="11" t="str">
        <f>VLOOKUP($G141, '26 ADP Data'!$C$4:$Q$298, 2, FALSE)</f>
        <v>CAR</v>
      </c>
      <c r="I141" s="11" t="str">
        <f>VLOOKUP(G141, '26 ADP Data'!$C$4:$R$496, 16, FALSE)</f>
        <v>WR</v>
      </c>
      <c r="J141" s="11" t="str">
        <f>VLOOKUP($G141, SeanRanks26!$A$2:$H$303, 6, FALSE)</f>
        <v/>
      </c>
      <c r="K141" s="11">
        <f>VLOOKUP($G141, SeanRanks26!$A$2:$H$303, 7, FALSE)</f>
        <v>73</v>
      </c>
      <c r="L141" s="11">
        <f t="shared" si="5"/>
        <v>10</v>
      </c>
      <c r="M141" s="11">
        <f>VLOOKUP($G141, '26 ADP Data'!$C$4:$Q$298, 10, FALSE)</f>
        <v>111</v>
      </c>
      <c r="N141" s="11">
        <f>VLOOKUP($G141, '26 ADP Data'!$C$4:$Q$298, 13, FALSE)</f>
        <v>129</v>
      </c>
      <c r="O141" s="11">
        <f t="shared" si="6"/>
        <v>-18</v>
      </c>
      <c r="P141" s="11">
        <f>VLOOKUP($G141, '26 ADP Data'!$C$4:$Q$298, 3, FALSE)</f>
        <v>154</v>
      </c>
      <c r="Q141" s="11">
        <f>VLOOKUP($G141, '26 ADP Data'!$C$4:$Q$298, 4, FALSE)</f>
        <v>159</v>
      </c>
      <c r="R141" s="11">
        <f>VLOOKUP($G141, '26 ADP Data'!$C$4:$Q$298, 6, FALSE)</f>
        <v>139</v>
      </c>
      <c r="S141" s="11">
        <f>VLOOKUP($G141, '26 ADP Data'!$C$4:$Q$298, 9, FALSE)</f>
        <v>143</v>
      </c>
      <c r="T141" s="11" t="str">
        <f>VLOOKUP($G141, '26 ADP Data'!$C$4:$Q$298, 8, FALSE)</f>
        <v>-</v>
      </c>
      <c r="U141" s="11">
        <f t="shared" si="7"/>
        <v>139</v>
      </c>
      <c r="V141" s="11">
        <f t="shared" si="8"/>
        <v>12</v>
      </c>
      <c r="W141" s="11"/>
      <c r="X141" s="11">
        <f>VLOOKUP($G141, SeanRanks26!$A$2:$K$303, 10, FALSE)-U141</f>
        <v>-28</v>
      </c>
      <c r="Y141" s="29" t="str">
        <f>IF(VLOOKUP($G141, SeanRanks26!$A$2:$H$303, 8, FALSE)=0, "", VLOOKUP($G141, SeanRanks26!$A$2:$H$303, 8, FALSE))</f>
        <v/>
      </c>
    </row>
    <row r="142" ht="14.25" customHeight="1">
      <c r="A142" s="11"/>
      <c r="B142" s="11">
        <f t="shared" si="4"/>
        <v>13</v>
      </c>
      <c r="C142" s="11" t="s">
        <v>106</v>
      </c>
      <c r="D142" s="11"/>
      <c r="E142" s="27"/>
      <c r="F142" s="11" t="str">
        <f>VLOOKUP($G142, SeanRanks26!$A$2:$H$303, 5, FALSE)</f>
        <v/>
      </c>
      <c r="G142" s="16" t="s">
        <v>376</v>
      </c>
      <c r="H142" s="11" t="str">
        <f>VLOOKUP($G142, '26 ADP Data'!$C$4:$Q$298, 2, FALSE)</f>
        <v>GB</v>
      </c>
      <c r="I142" s="11" t="str">
        <f>VLOOKUP(G142, '26 ADP Data'!$C$4:$R$496, 16, FALSE)</f>
        <v>QB</v>
      </c>
      <c r="J142" s="11" t="str">
        <f>VLOOKUP($G142, SeanRanks26!$A$2:$H$303, 6, FALSE)</f>
        <v>QB2 - 2 - Lower Floor</v>
      </c>
      <c r="K142" s="11">
        <f>VLOOKUP($G142, SeanRanks26!$A$2:$H$303, 7, FALSE)</f>
        <v>19</v>
      </c>
      <c r="L142" s="11">
        <f t="shared" si="5"/>
        <v>11</v>
      </c>
      <c r="M142" s="11">
        <f>VLOOKUP($G142, '26 ADP Data'!$C$4:$Q$298, 10, FALSE)</f>
        <v>130</v>
      </c>
      <c r="N142" s="11">
        <f>VLOOKUP($G142, '26 ADP Data'!$C$4:$Q$298, 13, FALSE)</f>
        <v>117</v>
      </c>
      <c r="O142" s="11">
        <f t="shared" si="6"/>
        <v>13</v>
      </c>
      <c r="P142" s="11">
        <f>VLOOKUP($G142, '26 ADP Data'!$C$4:$Q$298, 3, FALSE)</f>
        <v>149</v>
      </c>
      <c r="Q142" s="11">
        <f>VLOOKUP($G142, '26 ADP Data'!$C$4:$Q$298, 4, FALSE)</f>
        <v>157</v>
      </c>
      <c r="R142" s="11">
        <f>VLOOKUP($G142, '26 ADP Data'!$C$4:$Q$298, 6, FALSE)</f>
        <v>148</v>
      </c>
      <c r="S142" s="11">
        <f>VLOOKUP($G142, '26 ADP Data'!$C$4:$Q$298, 9, FALSE)</f>
        <v>149</v>
      </c>
      <c r="T142" s="11" t="str">
        <f>VLOOKUP($G142, '26 ADP Data'!$C$4:$Q$298, 8, FALSE)</f>
        <v>-</v>
      </c>
      <c r="U142" s="11">
        <f t="shared" si="7"/>
        <v>141</v>
      </c>
      <c r="V142" s="11">
        <f t="shared" si="8"/>
        <v>12</v>
      </c>
      <c r="W142" s="11">
        <f>D142-V142</f>
        <v>-12</v>
      </c>
      <c r="X142" s="11">
        <f>VLOOKUP($G142, SeanRanks26!$A$2:$K$303, 10, FALSE)-U142</f>
        <v>-11</v>
      </c>
      <c r="Y142" s="29" t="str">
        <f>IF(VLOOKUP($G142, SeanRanks26!$A$2:$H$303, 8, FALSE)=0, "", VLOOKUP($G142, SeanRanks26!$A$2:$H$303, 8, FALSE))</f>
        <v/>
      </c>
    </row>
    <row r="143" ht="14.25" customHeight="1">
      <c r="A143" s="11"/>
      <c r="B143" s="11">
        <f t="shared" si="4"/>
        <v>13</v>
      </c>
      <c r="C143" s="11" t="s">
        <v>106</v>
      </c>
      <c r="D143" s="11"/>
      <c r="E143" s="27"/>
      <c r="F143" s="11" t="str">
        <f>VLOOKUP($G143, SeanRanks26!$A$2:$H$303, 5, FALSE)</f>
        <v/>
      </c>
      <c r="G143" s="16" t="s">
        <v>380</v>
      </c>
      <c r="H143" s="11" t="str">
        <f>VLOOKUP($G143, '26 ADP Data'!$C$4:$Q$298, 2, FALSE)</f>
        <v>ARI</v>
      </c>
      <c r="I143" s="11" t="str">
        <f>VLOOKUP(G143, '26 ADP Data'!$C$4:$R$496, 16, FALSE)</f>
        <v>RB</v>
      </c>
      <c r="J143" s="11" t="str">
        <f>VLOOKUP($G143, SeanRanks26!$A$2:$H$303, 6, FALSE)</f>
        <v>RB4</v>
      </c>
      <c r="K143" s="11">
        <f>VLOOKUP($G143, SeanRanks26!$A$2:$H$303, 7, FALSE)</f>
        <v>44</v>
      </c>
      <c r="L143" s="11">
        <f t="shared" si="5"/>
        <v>12</v>
      </c>
      <c r="M143" s="11">
        <f>VLOOKUP($G143, '26 ADP Data'!$C$4:$Q$298, 10, FALSE)</f>
        <v>139</v>
      </c>
      <c r="N143" s="11">
        <f>VLOOKUP($G143, '26 ADP Data'!$C$4:$Q$298, 13, FALSE)</f>
        <v>138</v>
      </c>
      <c r="O143" s="11">
        <f t="shared" si="6"/>
        <v>1</v>
      </c>
      <c r="P143" s="11">
        <f>VLOOKUP($G143, '26 ADP Data'!$C$4:$Q$298, 3, FALSE)</f>
        <v>151</v>
      </c>
      <c r="Q143" s="11">
        <f>VLOOKUP($G143, '26 ADP Data'!$C$4:$Q$298, 4, FALSE)</f>
        <v>164</v>
      </c>
      <c r="R143" s="11">
        <f>VLOOKUP($G143, '26 ADP Data'!$C$4:$Q$298, 6, FALSE)</f>
        <v>136</v>
      </c>
      <c r="S143" s="11">
        <f>VLOOKUP($G143, '26 ADP Data'!$C$4:$Q$298, 9, FALSE)</f>
        <v>127</v>
      </c>
      <c r="T143" s="11" t="str">
        <f>VLOOKUP($G143, '26 ADP Data'!$C$4:$Q$298, 8, FALSE)</f>
        <v>-</v>
      </c>
      <c r="U143" s="11">
        <f t="shared" si="7"/>
        <v>142</v>
      </c>
      <c r="V143" s="11">
        <f t="shared" si="8"/>
        <v>12</v>
      </c>
      <c r="W143" s="11"/>
      <c r="X143" s="11">
        <f>VLOOKUP($G143, SeanRanks26!$A$2:$K$303, 10, FALSE)-U143</f>
        <v>-3</v>
      </c>
      <c r="Y143" s="29" t="str">
        <f>IF(VLOOKUP($G143, SeanRanks26!$A$2:$H$303, 8, FALSE)=0, "", VLOOKUP($G143, SeanRanks26!$A$2:$H$303, 8, FALSE))</f>
        <v/>
      </c>
    </row>
    <row r="144" ht="14.25" customHeight="1">
      <c r="A144" s="11"/>
      <c r="B144" s="11">
        <f t="shared" si="4"/>
        <v>12</v>
      </c>
      <c r="C144" s="11" t="s">
        <v>106</v>
      </c>
      <c r="D144" s="11"/>
      <c r="E144" s="27"/>
      <c r="F144" s="11" t="str">
        <f>VLOOKUP($G144, SeanRanks26!$A$2:$H$303, 5, FALSE)</f>
        <v/>
      </c>
      <c r="G144" s="16" t="s">
        <v>487</v>
      </c>
      <c r="H144" s="11" t="str">
        <f>VLOOKUP($G144, '26 ADP Data'!$C$4:$Q$298, 2, FALSE)</f>
        <v>LAR</v>
      </c>
      <c r="I144" s="11" t="str">
        <f>VLOOKUP(G144, '26 ADP Data'!$C$4:$R$496, 16, FALSE)</f>
        <v>DE</v>
      </c>
      <c r="J144" s="11" t="str">
        <f>VLOOKUP($G144, SeanRanks26!$A$2:$H$303, 6, FALSE)</f>
        <v/>
      </c>
      <c r="K144" s="11" t="str">
        <f>VLOOKUP($G144, SeanRanks26!$A$2:$H$303, 7, FALSE)</f>
        <v/>
      </c>
      <c r="L144" s="11">
        <f t="shared" si="5"/>
        <v>14</v>
      </c>
      <c r="M144" s="11">
        <f>VLOOKUP($G144, '26 ADP Data'!$C$4:$Q$298, 10, FALSE)</f>
        <v>158</v>
      </c>
      <c r="N144" s="11" t="str">
        <f>VLOOKUP($G144, '26 ADP Data'!$C$4:$Q$298, 13, FALSE)</f>
        <v>-</v>
      </c>
      <c r="O144" s="11" t="str">
        <f t="shared" si="6"/>
        <v>#VALUE!</v>
      </c>
      <c r="P144" s="11">
        <f>VLOOKUP($G144, '26 ADP Data'!$C$4:$Q$298, 3, FALSE)</f>
        <v>110</v>
      </c>
      <c r="Q144" s="11">
        <f>VLOOKUP($G144, '26 ADP Data'!$C$4:$Q$298, 4, FALSE)</f>
        <v>99</v>
      </c>
      <c r="R144" s="11">
        <f>VLOOKUP($G144, '26 ADP Data'!$C$4:$Q$298, 6, FALSE)</f>
        <v>214</v>
      </c>
      <c r="S144" s="11">
        <f>VLOOKUP($G144, '26 ADP Data'!$C$4:$Q$298, 9, FALSE)</f>
        <v>132</v>
      </c>
      <c r="T144" s="11" t="str">
        <f>VLOOKUP($G144, '26 ADP Data'!$C$4:$Q$298, 8, FALSE)</f>
        <v>-</v>
      </c>
      <c r="U144" s="11">
        <f t="shared" si="7"/>
        <v>142</v>
      </c>
      <c r="V144" s="11">
        <f t="shared" si="8"/>
        <v>12</v>
      </c>
      <c r="W144" s="11"/>
      <c r="X144" s="11">
        <f>VLOOKUP($G144, SeanRanks26!$A$2:$K$303, 10, FALSE)-U144</f>
        <v>16</v>
      </c>
      <c r="Y144" s="29" t="str">
        <f>IF(VLOOKUP($G144, SeanRanks26!$A$2:$H$303, 8, FALSE)=0, "", VLOOKUP($G144, SeanRanks26!$A$2:$H$303, 8, FALSE))</f>
        <v/>
      </c>
    </row>
    <row r="145" ht="14.25" customHeight="1">
      <c r="A145" s="11"/>
      <c r="B145" s="11">
        <f t="shared" si="4"/>
        <v>13</v>
      </c>
      <c r="C145" s="11" t="s">
        <v>106</v>
      </c>
      <c r="D145" s="11"/>
      <c r="E145" s="27"/>
      <c r="F145" s="11" t="str">
        <f>VLOOKUP($G145, SeanRanks26!$A$2:$H$303, 5, FALSE)</f>
        <v/>
      </c>
      <c r="G145" s="16" t="s">
        <v>389</v>
      </c>
      <c r="H145" s="11" t="str">
        <f>VLOOKUP($G145, '26 ADP Data'!$C$4:$Q$298, 2, FALSE)</f>
        <v>NO</v>
      </c>
      <c r="I145" s="11" t="str">
        <f>VLOOKUP(G145, '26 ADP Data'!$C$4:$R$496, 16, FALSE)</f>
        <v>TE</v>
      </c>
      <c r="J145" s="11" t="str">
        <f>VLOOKUP($G145, SeanRanks26!$A$2:$H$303, 6, FALSE)</f>
        <v>TE2</v>
      </c>
      <c r="K145" s="11">
        <f>VLOOKUP($G145, SeanRanks26!$A$2:$H$303, 7, FALSE)</f>
        <v>15</v>
      </c>
      <c r="L145" s="11">
        <f t="shared" si="5"/>
        <v>12</v>
      </c>
      <c r="M145" s="11">
        <f>VLOOKUP($G145, '26 ADP Data'!$C$4:$Q$298, 10, FALSE)</f>
        <v>133</v>
      </c>
      <c r="N145" s="11">
        <f>VLOOKUP($G145, '26 ADP Data'!$C$4:$Q$298, 13, FALSE)</f>
        <v>140</v>
      </c>
      <c r="O145" s="11">
        <f t="shared" si="6"/>
        <v>-7</v>
      </c>
      <c r="P145" s="11">
        <f>VLOOKUP($G145, '26 ADP Data'!$C$4:$Q$298, 3, FALSE)</f>
        <v>148</v>
      </c>
      <c r="Q145" s="11">
        <f>VLOOKUP($G145, '26 ADP Data'!$C$4:$Q$298, 4, FALSE)</f>
        <v>163</v>
      </c>
      <c r="R145" s="11">
        <f>VLOOKUP($G145, '26 ADP Data'!$C$4:$Q$298, 6, FALSE)</f>
        <v>112</v>
      </c>
      <c r="S145" s="11">
        <f>VLOOKUP($G145, '26 ADP Data'!$C$4:$Q$298, 9, FALSE)</f>
        <v>173</v>
      </c>
      <c r="T145" s="11" t="str">
        <f>VLOOKUP($G145, '26 ADP Data'!$C$4:$Q$298, 8, FALSE)</f>
        <v>-</v>
      </c>
      <c r="U145" s="11">
        <f t="shared" si="7"/>
        <v>144</v>
      </c>
      <c r="V145" s="11">
        <f t="shared" si="8"/>
        <v>13</v>
      </c>
      <c r="W145" s="11">
        <f>D145-V145</f>
        <v>-13</v>
      </c>
      <c r="X145" s="11">
        <f>VLOOKUP($G145, SeanRanks26!$A$2:$K$303, 10, FALSE)-U145</f>
        <v>-11</v>
      </c>
      <c r="Y145" s="29" t="str">
        <f>IF(VLOOKUP($G145, SeanRanks26!$A$2:$H$303, 8, FALSE)=0, "", VLOOKUP($G145, SeanRanks26!$A$2:$H$303, 8, FALSE))</f>
        <v/>
      </c>
    </row>
    <row r="146" ht="14.25" customHeight="1">
      <c r="A146" s="11"/>
      <c r="B146" s="11">
        <f t="shared" si="4"/>
        <v>13</v>
      </c>
      <c r="C146" s="11" t="s">
        <v>106</v>
      </c>
      <c r="D146" s="11"/>
      <c r="E146" s="27"/>
      <c r="F146" s="11" t="str">
        <f>VLOOKUP($G146, SeanRanks26!$A$2:$H$303, 5, FALSE)</f>
        <v/>
      </c>
      <c r="G146" s="16" t="s">
        <v>385</v>
      </c>
      <c r="H146" s="11" t="str">
        <f>VLOOKUP($G146, '26 ADP Data'!$C$4:$Q$298, 2, FALSE)</f>
        <v>SEA</v>
      </c>
      <c r="I146" s="11" t="str">
        <f>VLOOKUP(G146, '26 ADP Data'!$C$4:$R$496, 16, FALSE)</f>
        <v>WR</v>
      </c>
      <c r="J146" s="11" t="str">
        <f>VLOOKUP($G146, SeanRanks26!$A$2:$H$303, 6, FALSE)</f>
        <v>WR5</v>
      </c>
      <c r="K146" s="11">
        <f>VLOOKUP($G146, SeanRanks26!$A$2:$H$303, 7, FALSE)</f>
        <v>54</v>
      </c>
      <c r="L146" s="11">
        <f t="shared" si="5"/>
        <v>12</v>
      </c>
      <c r="M146" s="11">
        <f>VLOOKUP($G146, '26 ADP Data'!$C$4:$Q$298, 10, FALSE)</f>
        <v>135</v>
      </c>
      <c r="N146" s="11">
        <f>VLOOKUP($G146, '26 ADP Data'!$C$4:$Q$298, 13, FALSE)</f>
        <v>135</v>
      </c>
      <c r="O146" s="11">
        <f t="shared" si="6"/>
        <v>0</v>
      </c>
      <c r="P146" s="11">
        <f>VLOOKUP($G146, '26 ADP Data'!$C$4:$Q$298, 3, FALSE)</f>
        <v>143</v>
      </c>
      <c r="Q146" s="11">
        <f>VLOOKUP($G146, '26 ADP Data'!$C$4:$Q$298, 4, FALSE)</f>
        <v>151</v>
      </c>
      <c r="R146" s="11">
        <f>VLOOKUP($G146, '26 ADP Data'!$C$4:$Q$298, 6, FALSE)</f>
        <v>152</v>
      </c>
      <c r="S146" s="11">
        <f>VLOOKUP($G146, '26 ADP Data'!$C$4:$Q$298, 9, FALSE)</f>
        <v>153</v>
      </c>
      <c r="T146" s="11" t="str">
        <f>VLOOKUP($G146, '26 ADP Data'!$C$4:$Q$298, 8, FALSE)</f>
        <v>-</v>
      </c>
      <c r="U146" s="11">
        <f t="shared" si="7"/>
        <v>144</v>
      </c>
      <c r="V146" s="11">
        <f t="shared" si="8"/>
        <v>13</v>
      </c>
      <c r="W146" s="11"/>
      <c r="X146" s="11">
        <f>VLOOKUP($G146, SeanRanks26!$A$2:$K$303, 10, FALSE)-U146</f>
        <v>-9</v>
      </c>
      <c r="Y146" s="29" t="str">
        <f>IF(VLOOKUP($G146, SeanRanks26!$A$2:$H$303, 8, FALSE)=0, "", VLOOKUP($G146, SeanRanks26!$A$2:$H$303, 8, FALSE))</f>
        <v/>
      </c>
    </row>
    <row r="147" ht="14.25" customHeight="1">
      <c r="A147" s="11"/>
      <c r="B147" s="11">
        <f t="shared" si="4"/>
        <v>12</v>
      </c>
      <c r="C147" s="11" t="s">
        <v>106</v>
      </c>
      <c r="D147" s="11"/>
      <c r="E147" s="27"/>
      <c r="F147" s="11" t="str">
        <f>VLOOKUP($G147, SeanRanks26!$A$2:$H$303, 5, FALSE)</f>
        <v/>
      </c>
      <c r="G147" s="16" t="s">
        <v>391</v>
      </c>
      <c r="H147" s="11" t="str">
        <f>VLOOKUP($G147, '26 ADP Data'!$C$4:$Q$298, 2, FALSE)</f>
        <v>SEA</v>
      </c>
      <c r="I147" s="11" t="str">
        <f>VLOOKUP(G147, '26 ADP Data'!$C$4:$R$496, 16, FALSE)</f>
        <v>RB</v>
      </c>
      <c r="J147" s="11" t="str">
        <f>VLOOKUP($G147, SeanRanks26!$A$2:$H$303, 6, FALSE)</f>
        <v>RB4</v>
      </c>
      <c r="K147" s="11">
        <f>VLOOKUP($G147, SeanRanks26!$A$2:$H$303, 7, FALSE)</f>
        <v>39</v>
      </c>
      <c r="L147" s="11">
        <f t="shared" si="5"/>
        <v>13</v>
      </c>
      <c r="M147" s="11">
        <f>VLOOKUP($G147, '26 ADP Data'!$C$4:$Q$298, 10, FALSE)</f>
        <v>145</v>
      </c>
      <c r="N147" s="11">
        <f>VLOOKUP($G147, '26 ADP Data'!$C$4:$Q$298, 13, FALSE)</f>
        <v>164</v>
      </c>
      <c r="O147" s="11">
        <f t="shared" si="6"/>
        <v>-19</v>
      </c>
      <c r="P147" s="11">
        <f>VLOOKUP($G147, '26 ADP Data'!$C$4:$Q$298, 3, FALSE)</f>
        <v>139</v>
      </c>
      <c r="Q147" s="11">
        <f>VLOOKUP($G147, '26 ADP Data'!$C$4:$Q$298, 4, FALSE)</f>
        <v>155</v>
      </c>
      <c r="R147" s="11">
        <f>VLOOKUP($G147, '26 ADP Data'!$C$4:$Q$298, 6, FALSE)</f>
        <v>140</v>
      </c>
      <c r="S147" s="11">
        <f>VLOOKUP($G147, '26 ADP Data'!$C$4:$Q$298, 9, FALSE)</f>
        <v>125</v>
      </c>
      <c r="T147" s="11" t="str">
        <f>VLOOKUP($G147, '26 ADP Data'!$C$4:$Q$298, 8, FALSE)</f>
        <v>-</v>
      </c>
      <c r="U147" s="11">
        <f t="shared" si="7"/>
        <v>144</v>
      </c>
      <c r="V147" s="11">
        <f t="shared" si="8"/>
        <v>13</v>
      </c>
      <c r="W147" s="11"/>
      <c r="X147" s="11">
        <f>VLOOKUP($G147, SeanRanks26!$A$2:$K$303, 10, FALSE)-U147</f>
        <v>1</v>
      </c>
      <c r="Y147" s="29" t="str">
        <f>IF(VLOOKUP($G147, SeanRanks26!$A$2:$H$303, 8, FALSE)=0, "", VLOOKUP($G147, SeanRanks26!$A$2:$H$303, 8, FALSE))</f>
        <v/>
      </c>
    </row>
    <row r="148" ht="14.25" customHeight="1">
      <c r="A148" s="11"/>
      <c r="B148" s="11">
        <f t="shared" si="4"/>
        <v>13</v>
      </c>
      <c r="C148" s="11" t="s">
        <v>106</v>
      </c>
      <c r="D148" s="11"/>
      <c r="E148" s="27"/>
      <c r="F148" s="11" t="str">
        <f>VLOOKUP($G148, SeanRanks26!$A$2:$H$303, 5, FALSE)</f>
        <v/>
      </c>
      <c r="G148" s="16" t="s">
        <v>382</v>
      </c>
      <c r="H148" s="11" t="str">
        <f>VLOOKUP($G148, '26 ADP Data'!$C$4:$Q$298, 2, FALSE)</f>
        <v>NO</v>
      </c>
      <c r="I148" s="11" t="str">
        <f>VLOOKUP(G148, '26 ADP Data'!$C$4:$R$496, 16, FALSE)</f>
        <v>QB</v>
      </c>
      <c r="J148" s="11" t="str">
        <f>VLOOKUP($G148, SeanRanks26!$A$2:$H$303, 6, FALSE)</f>
        <v/>
      </c>
      <c r="K148" s="11" t="str">
        <f>VLOOKUP($G148, SeanRanks26!$A$2:$H$303, 7, FALSE)</f>
        <v/>
      </c>
      <c r="L148" s="11">
        <f t="shared" si="5"/>
        <v>12</v>
      </c>
      <c r="M148" s="11">
        <f>VLOOKUP($G148, '26 ADP Data'!$C$4:$Q$298, 10, FALSE)</f>
        <v>138</v>
      </c>
      <c r="N148" s="11">
        <f>VLOOKUP($G148, '26 ADP Data'!$C$4:$Q$298, 13, FALSE)</f>
        <v>126</v>
      </c>
      <c r="O148" s="11">
        <f t="shared" si="6"/>
        <v>12</v>
      </c>
      <c r="P148" s="11">
        <f>VLOOKUP($G148, '26 ADP Data'!$C$4:$Q$298, 3, FALSE)</f>
        <v>152</v>
      </c>
      <c r="Q148" s="11">
        <f>VLOOKUP($G148, '26 ADP Data'!$C$4:$Q$298, 4, FALSE)</f>
        <v>153</v>
      </c>
      <c r="R148" s="11">
        <f>VLOOKUP($G148, '26 ADP Data'!$C$4:$Q$298, 6, FALSE)</f>
        <v>143</v>
      </c>
      <c r="S148" s="11">
        <f>VLOOKUP($G148, '26 ADP Data'!$C$4:$Q$298, 9, FALSE)</f>
        <v>164</v>
      </c>
      <c r="T148" s="11" t="str">
        <f>VLOOKUP($G148, '26 ADP Data'!$C$4:$Q$298, 8, FALSE)</f>
        <v>-</v>
      </c>
      <c r="U148" s="11">
        <f t="shared" si="7"/>
        <v>146</v>
      </c>
      <c r="V148" s="11">
        <f t="shared" si="8"/>
        <v>13</v>
      </c>
      <c r="W148" s="11"/>
      <c r="X148" s="11">
        <f>VLOOKUP($G148, SeanRanks26!$A$2:$K$303, 10, FALSE)-U148</f>
        <v>-8</v>
      </c>
      <c r="Y148" s="29" t="str">
        <f>IF(VLOOKUP($G148, SeanRanks26!$A$2:$H$303, 8, FALSE)=0, "", VLOOKUP($G148, SeanRanks26!$A$2:$H$303, 8, FALSE))</f>
        <v/>
      </c>
    </row>
    <row r="149" ht="14.25" customHeight="1">
      <c r="A149" s="11"/>
      <c r="B149" s="11">
        <f t="shared" si="4"/>
        <v>12</v>
      </c>
      <c r="C149" s="11" t="s">
        <v>106</v>
      </c>
      <c r="D149" s="11"/>
      <c r="E149" s="27"/>
      <c r="F149" s="11" t="str">
        <f>VLOOKUP($G149, SeanRanks26!$A$2:$H$303, 5, FALSE)</f>
        <v/>
      </c>
      <c r="G149" s="16" t="s">
        <v>491</v>
      </c>
      <c r="H149" s="11" t="str">
        <f>VLOOKUP($G149, '26 ADP Data'!$C$4:$Q$298, 2, FALSE)</f>
        <v>SEA</v>
      </c>
      <c r="I149" s="11" t="str">
        <f>VLOOKUP(G149, '26 ADP Data'!$C$4:$R$496, 16, FALSE)</f>
        <v>DE</v>
      </c>
      <c r="J149" s="11" t="str">
        <f>VLOOKUP($G149, SeanRanks26!$A$2:$H$303, 6, FALSE)</f>
        <v/>
      </c>
      <c r="K149" s="11" t="str">
        <f>VLOOKUP($G149, SeanRanks26!$A$2:$H$303, 7, FALSE)</f>
        <v/>
      </c>
      <c r="L149" s="11">
        <f t="shared" si="5"/>
        <v>14</v>
      </c>
      <c r="M149" s="11">
        <f>VLOOKUP($G149, '26 ADP Data'!$C$4:$Q$298, 10, FALSE)</f>
        <v>166</v>
      </c>
      <c r="N149" s="11" t="str">
        <f>VLOOKUP($G149, '26 ADP Data'!$C$4:$Q$298, 13, FALSE)</f>
        <v>-</v>
      </c>
      <c r="O149" s="11" t="str">
        <f t="shared" si="6"/>
        <v>#VALUE!</v>
      </c>
      <c r="P149" s="11">
        <f>VLOOKUP($G149, '26 ADP Data'!$C$4:$Q$298, 3, FALSE)</f>
        <v>112</v>
      </c>
      <c r="Q149" s="11">
        <f>VLOOKUP($G149, '26 ADP Data'!$C$4:$Q$298, 4, FALSE)</f>
        <v>101</v>
      </c>
      <c r="R149" s="11">
        <f>VLOOKUP($G149, '26 ADP Data'!$C$4:$Q$298, 6, FALSE)</f>
        <v>219</v>
      </c>
      <c r="S149" s="11">
        <f>VLOOKUP($G149, '26 ADP Data'!$C$4:$Q$298, 9, FALSE)</f>
        <v>134</v>
      </c>
      <c r="T149" s="11" t="str">
        <f>VLOOKUP($G149, '26 ADP Data'!$C$4:$Q$298, 8, FALSE)</f>
        <v>-</v>
      </c>
      <c r="U149" s="11">
        <f t="shared" si="7"/>
        <v>146</v>
      </c>
      <c r="V149" s="11">
        <f t="shared" si="8"/>
        <v>13</v>
      </c>
      <c r="W149" s="11"/>
      <c r="X149" s="11">
        <f>VLOOKUP($G149, SeanRanks26!$A$2:$K$303, 10, FALSE)-U149</f>
        <v>20</v>
      </c>
      <c r="Y149" s="29" t="str">
        <f>IF(VLOOKUP($G149, SeanRanks26!$A$2:$H$303, 8, FALSE)=0, "", VLOOKUP($G149, SeanRanks26!$A$2:$H$303, 8, FALSE))</f>
        <v/>
      </c>
    </row>
    <row r="150" ht="14.25" customHeight="1">
      <c r="A150" s="11"/>
      <c r="B150" s="11">
        <f t="shared" si="4"/>
        <v>14</v>
      </c>
      <c r="C150" s="11" t="s">
        <v>106</v>
      </c>
      <c r="D150" s="11"/>
      <c r="E150" s="27"/>
      <c r="F150" s="11" t="str">
        <f>VLOOKUP($G150, SeanRanks26!$A$2:$H$303, 5, FALSE)</f>
        <v/>
      </c>
      <c r="G150" s="16" t="s">
        <v>387</v>
      </c>
      <c r="H150" s="11" t="str">
        <f>VLOOKUP($G150, '26 ADP Data'!$C$4:$Q$298, 2, FALSE)</f>
        <v>LAC</v>
      </c>
      <c r="I150" s="11" t="str">
        <f>VLOOKUP(G150, '26 ADP Data'!$C$4:$R$496, 16, FALSE)</f>
        <v>RB</v>
      </c>
      <c r="J150" s="11" t="str">
        <f>VLOOKUP($G150, SeanRanks26!$A$2:$H$303, 6, FALSE)</f>
        <v>RB4</v>
      </c>
      <c r="K150" s="11">
        <f>VLOOKUP($G150, SeanRanks26!$A$2:$H$303, 7, FALSE)</f>
        <v>52</v>
      </c>
      <c r="L150" s="11">
        <f t="shared" si="5"/>
        <v>11</v>
      </c>
      <c r="M150" s="11">
        <f>VLOOKUP($G150, '26 ADP Data'!$C$4:$Q$298, 10, FALSE)</f>
        <v>125</v>
      </c>
      <c r="N150" s="11">
        <f>VLOOKUP($G150, '26 ADP Data'!$C$4:$Q$298, 13, FALSE)</f>
        <v>130</v>
      </c>
      <c r="O150" s="11">
        <f t="shared" si="6"/>
        <v>-5</v>
      </c>
      <c r="P150" s="11">
        <f>VLOOKUP($G150, '26 ADP Data'!$C$4:$Q$298, 3, FALSE)</f>
        <v>164</v>
      </c>
      <c r="Q150" s="11">
        <f>VLOOKUP($G150, '26 ADP Data'!$C$4:$Q$298, 4, FALSE)</f>
        <v>195</v>
      </c>
      <c r="R150" s="11">
        <f>VLOOKUP($G150, '26 ADP Data'!$C$4:$Q$298, 6, FALSE)</f>
        <v>120</v>
      </c>
      <c r="S150" s="11">
        <f>VLOOKUP($G150, '26 ADP Data'!$C$4:$Q$298, 9, FALSE)</f>
        <v>163</v>
      </c>
      <c r="T150" s="11" t="str">
        <f>VLOOKUP($G150, '26 ADP Data'!$C$4:$Q$298, 8, FALSE)</f>
        <v>-</v>
      </c>
      <c r="U150" s="11">
        <f t="shared" si="7"/>
        <v>149</v>
      </c>
      <c r="V150" s="11">
        <f t="shared" si="8"/>
        <v>13</v>
      </c>
      <c r="W150" s="11"/>
      <c r="X150" s="11">
        <f>VLOOKUP($G150, SeanRanks26!$A$2:$K$303, 10, FALSE)-U150</f>
        <v>-24</v>
      </c>
      <c r="Y150" s="29" t="str">
        <f>IF(VLOOKUP($G150, SeanRanks26!$A$2:$H$303, 8, FALSE)=0, "", VLOOKUP($G150, SeanRanks26!$A$2:$H$303, 8, FALSE))</f>
        <v/>
      </c>
    </row>
    <row r="151" ht="14.25" customHeight="1">
      <c r="A151" s="11"/>
      <c r="B151" s="11">
        <f t="shared" si="4"/>
        <v>13</v>
      </c>
      <c r="C151" s="11" t="s">
        <v>106</v>
      </c>
      <c r="D151" s="11"/>
      <c r="E151" s="27"/>
      <c r="F151" s="11" t="str">
        <f>VLOOKUP($G151, SeanRanks26!$A$2:$H$303, 5, FALSE)</f>
        <v/>
      </c>
      <c r="G151" s="16" t="s">
        <v>405</v>
      </c>
      <c r="H151" s="11" t="str">
        <f>VLOOKUP($G151, '26 ADP Data'!$C$4:$Q$298, 2, FALSE)</f>
        <v>NE</v>
      </c>
      <c r="I151" s="11" t="str">
        <f>VLOOKUP(G151, '26 ADP Data'!$C$4:$R$496, 16, FALSE)</f>
        <v>TE</v>
      </c>
      <c r="J151" s="11" t="str">
        <f>VLOOKUP($G151, SeanRanks26!$A$2:$H$303, 6, FALSE)</f>
        <v/>
      </c>
      <c r="K151" s="11" t="str">
        <f>VLOOKUP($G151, SeanRanks26!$A$2:$H$303, 7, FALSE)</f>
        <v/>
      </c>
      <c r="L151" s="11">
        <f t="shared" si="5"/>
        <v>14</v>
      </c>
      <c r="M151" s="11">
        <f>VLOOKUP($G151, '26 ADP Data'!$C$4:$Q$298, 10, FALSE)</f>
        <v>159</v>
      </c>
      <c r="N151" s="11">
        <f>VLOOKUP($G151, '26 ADP Data'!$C$4:$Q$298, 13, FALSE)</f>
        <v>154</v>
      </c>
      <c r="O151" s="11">
        <f t="shared" si="6"/>
        <v>5</v>
      </c>
      <c r="P151" s="11">
        <f>VLOOKUP($G151, '26 ADP Data'!$C$4:$Q$298, 3, FALSE)</f>
        <v>170</v>
      </c>
      <c r="Q151" s="11">
        <f>VLOOKUP($G151, '26 ADP Data'!$C$4:$Q$298, 4, FALSE)</f>
        <v>139</v>
      </c>
      <c r="R151" s="11">
        <f>VLOOKUP($G151, '26 ADP Data'!$C$4:$Q$298, 6, FALSE)</f>
        <v>138</v>
      </c>
      <c r="S151" s="11">
        <f>VLOOKUP($G151, '26 ADP Data'!$C$4:$Q$298, 9, FALSE)</f>
        <v>139</v>
      </c>
      <c r="T151" s="11" t="str">
        <f>VLOOKUP($G151, '26 ADP Data'!$C$4:$Q$298, 8, FALSE)</f>
        <v>-</v>
      </c>
      <c r="U151" s="11">
        <f t="shared" si="7"/>
        <v>149</v>
      </c>
      <c r="V151" s="11">
        <f t="shared" si="8"/>
        <v>13</v>
      </c>
      <c r="W151" s="11"/>
      <c r="X151" s="11">
        <f>VLOOKUP($G151, SeanRanks26!$A$2:$K$303, 10, FALSE)-U151</f>
        <v>10</v>
      </c>
      <c r="Y151" s="29" t="str">
        <f>IF(VLOOKUP($G151, SeanRanks26!$A$2:$H$303, 8, FALSE)=0, "", VLOOKUP($G151, SeanRanks26!$A$2:$H$303, 8, FALSE))</f>
        <v/>
      </c>
    </row>
    <row r="152" ht="14.25" customHeight="1">
      <c r="A152" s="11"/>
      <c r="B152" s="11">
        <f t="shared" si="4"/>
        <v>13</v>
      </c>
      <c r="C152" s="11" t="s">
        <v>106</v>
      </c>
      <c r="D152" s="11"/>
      <c r="E152" s="27"/>
      <c r="F152" s="11" t="str">
        <f>VLOOKUP($G152, SeanRanks26!$A$2:$H$303, 5, FALSE)</f>
        <v/>
      </c>
      <c r="G152" s="16" t="s">
        <v>393</v>
      </c>
      <c r="H152" s="11" t="str">
        <f>VLOOKUP($G152, '26 ADP Data'!$C$4:$Q$298, 2, FALSE)</f>
        <v>TEN</v>
      </c>
      <c r="I152" s="11" t="str">
        <f>VLOOKUP(G152, '26 ADP Data'!$C$4:$R$496, 16, FALSE)</f>
        <v>RB</v>
      </c>
      <c r="J152" s="11" t="str">
        <f>VLOOKUP($G152, SeanRanks26!$A$2:$H$303, 6, FALSE)</f>
        <v>RB4</v>
      </c>
      <c r="K152" s="11">
        <f>VLOOKUP($G152, SeanRanks26!$A$2:$H$303, 7, FALSE)</f>
        <v>50</v>
      </c>
      <c r="L152" s="11">
        <f t="shared" si="5"/>
        <v>12</v>
      </c>
      <c r="M152" s="11">
        <f>VLOOKUP($G152, '26 ADP Data'!$C$4:$Q$298, 10, FALSE)</f>
        <v>140</v>
      </c>
      <c r="N152" s="11">
        <f>VLOOKUP($G152, '26 ADP Data'!$C$4:$Q$298, 13, FALSE)</f>
        <v>156</v>
      </c>
      <c r="O152" s="11">
        <f t="shared" si="6"/>
        <v>-16</v>
      </c>
      <c r="P152" s="11">
        <f>VLOOKUP($G152, '26 ADP Data'!$C$4:$Q$298, 3, FALSE)</f>
        <v>145</v>
      </c>
      <c r="Q152" s="11">
        <f>VLOOKUP($G152, '26 ADP Data'!$C$4:$Q$298, 4, FALSE)</f>
        <v>160</v>
      </c>
      <c r="R152" s="11">
        <f>VLOOKUP($G152, '26 ADP Data'!$C$4:$Q$298, 6, FALSE)</f>
        <v>141</v>
      </c>
      <c r="S152" s="11">
        <f>VLOOKUP($G152, '26 ADP Data'!$C$4:$Q$298, 9, FALSE)</f>
        <v>159</v>
      </c>
      <c r="T152" s="11" t="str">
        <f>VLOOKUP($G152, '26 ADP Data'!$C$4:$Q$298, 8, FALSE)</f>
        <v>-</v>
      </c>
      <c r="U152" s="11">
        <f t="shared" si="7"/>
        <v>150</v>
      </c>
      <c r="V152" s="11">
        <f t="shared" si="8"/>
        <v>13</v>
      </c>
      <c r="W152" s="11"/>
      <c r="X152" s="11">
        <f>VLOOKUP($G152, SeanRanks26!$A$2:$K$303, 10, FALSE)-U152</f>
        <v>-10</v>
      </c>
      <c r="Y152" s="29" t="str">
        <f>IF(VLOOKUP($G152, SeanRanks26!$A$2:$H$303, 8, FALSE)=0, "", VLOOKUP($G152, SeanRanks26!$A$2:$H$303, 8, FALSE))</f>
        <v/>
      </c>
    </row>
    <row r="153" ht="14.25" customHeight="1">
      <c r="A153" s="11"/>
      <c r="B153" s="11">
        <f t="shared" si="4"/>
        <v>13</v>
      </c>
      <c r="C153" s="11" t="s">
        <v>106</v>
      </c>
      <c r="D153" s="11"/>
      <c r="E153" s="27"/>
      <c r="F153" s="11" t="str">
        <f>VLOOKUP($G153, SeanRanks26!$A$2:$H$303, 5, FALSE)</f>
        <v/>
      </c>
      <c r="G153" s="16" t="s">
        <v>399</v>
      </c>
      <c r="H153" s="11" t="str">
        <f>VLOOKUP($G153, '26 ADP Data'!$C$4:$Q$298, 2, FALSE)</f>
        <v>JAX</v>
      </c>
      <c r="I153" s="11" t="str">
        <f>VLOOKUP(G153, '26 ADP Data'!$C$4:$R$496, 16, FALSE)</f>
        <v>TE</v>
      </c>
      <c r="J153" s="11" t="str">
        <f>VLOOKUP($G153, SeanRanks26!$A$2:$H$303, 6, FALSE)</f>
        <v/>
      </c>
      <c r="K153" s="11" t="str">
        <f>VLOOKUP($G153, SeanRanks26!$A$2:$H$303, 7, FALSE)</f>
        <v/>
      </c>
      <c r="L153" s="11">
        <f t="shared" si="5"/>
        <v>14</v>
      </c>
      <c r="M153" s="11">
        <f>VLOOKUP($G153, '26 ADP Data'!$C$4:$Q$298, 10, FALSE)</f>
        <v>157</v>
      </c>
      <c r="N153" s="11">
        <f>VLOOKUP($G153, '26 ADP Data'!$C$4:$Q$298, 13, FALSE)</f>
        <v>148</v>
      </c>
      <c r="O153" s="11">
        <f t="shared" si="6"/>
        <v>9</v>
      </c>
      <c r="P153" s="11">
        <f>VLOOKUP($G153, '26 ADP Data'!$C$4:$Q$298, 3, FALSE)</f>
        <v>147</v>
      </c>
      <c r="Q153" s="11">
        <f>VLOOKUP($G153, '26 ADP Data'!$C$4:$Q$298, 4, FALSE)</f>
        <v>185</v>
      </c>
      <c r="R153" s="11">
        <f>VLOOKUP($G153, '26 ADP Data'!$C$4:$Q$298, 6, FALSE)</f>
        <v>123</v>
      </c>
      <c r="S153" s="11">
        <f>VLOOKUP($G153, '26 ADP Data'!$C$4:$Q$298, 9, FALSE)</f>
        <v>148</v>
      </c>
      <c r="T153" s="11" t="str">
        <f>VLOOKUP($G153, '26 ADP Data'!$C$4:$Q$298, 8, FALSE)</f>
        <v>-</v>
      </c>
      <c r="U153" s="11">
        <f t="shared" si="7"/>
        <v>151</v>
      </c>
      <c r="V153" s="11">
        <f t="shared" si="8"/>
        <v>13</v>
      </c>
      <c r="W153" s="11"/>
      <c r="X153" s="11">
        <f>VLOOKUP($G153, SeanRanks26!$A$2:$K$303, 10, FALSE)-U153</f>
        <v>6</v>
      </c>
      <c r="Y153" s="29" t="str">
        <f>IF(VLOOKUP($G153, SeanRanks26!$A$2:$H$303, 8, FALSE)=0, "", VLOOKUP($G153, SeanRanks26!$A$2:$H$303, 8, FALSE))</f>
        <v/>
      </c>
    </row>
    <row r="154" ht="14.25" customHeight="1">
      <c r="A154" s="11"/>
      <c r="B154" s="11">
        <f t="shared" si="4"/>
        <v>12</v>
      </c>
      <c r="C154" s="11" t="s">
        <v>106</v>
      </c>
      <c r="D154" s="11"/>
      <c r="E154" s="27"/>
      <c r="F154" s="11" t="str">
        <f>VLOOKUP($G154, SeanRanks26!$A$2:$H$303, 5, FALSE)</f>
        <v/>
      </c>
      <c r="G154" s="16" t="s">
        <v>435</v>
      </c>
      <c r="H154" s="11" t="str">
        <f>VLOOKUP($G154, '26 ADP Data'!$C$4:$Q$298, 2, FALSE)</f>
        <v>NYG</v>
      </c>
      <c r="I154" s="11" t="str">
        <f>VLOOKUP(G154, '26 ADP Data'!$C$4:$R$496, 16, FALSE)</f>
        <v>RB</v>
      </c>
      <c r="J154" s="11" t="str">
        <f>VLOOKUP($G154, SeanRanks26!$A$2:$H$303, 6, FALSE)</f>
        <v>RB4</v>
      </c>
      <c r="K154" s="11">
        <f>VLOOKUP($G154, SeanRanks26!$A$2:$H$303, 7, FALSE)</f>
        <v>46</v>
      </c>
      <c r="L154" s="11">
        <f t="shared" si="5"/>
        <v>17</v>
      </c>
      <c r="M154" s="11">
        <f>VLOOKUP($G154, '26 ADP Data'!$C$4:$Q$298, 10, FALSE)</f>
        <v>197</v>
      </c>
      <c r="N154" s="11">
        <f>VLOOKUP($G154, '26 ADP Data'!$C$4:$Q$298, 13, FALSE)</f>
        <v>153</v>
      </c>
      <c r="O154" s="11">
        <f t="shared" si="6"/>
        <v>44</v>
      </c>
      <c r="P154" s="11">
        <f>VLOOKUP($G154, '26 ADP Data'!$C$4:$Q$298, 3, FALSE)</f>
        <v>134</v>
      </c>
      <c r="Q154" s="11" t="str">
        <f>VLOOKUP($G154, '26 ADP Data'!$C$4:$Q$298, 4, FALSE)</f>
        <v>-</v>
      </c>
      <c r="R154" s="11">
        <f>VLOOKUP($G154, '26 ADP Data'!$C$4:$Q$298, 6, FALSE)</f>
        <v>142</v>
      </c>
      <c r="S154" s="11">
        <f>VLOOKUP($G154, '26 ADP Data'!$C$4:$Q$298, 9, FALSE)</f>
        <v>129</v>
      </c>
      <c r="T154" s="11" t="str">
        <f>VLOOKUP($G154, '26 ADP Data'!$C$4:$Q$298, 8, FALSE)</f>
        <v>-</v>
      </c>
      <c r="U154" s="11">
        <f t="shared" si="7"/>
        <v>151</v>
      </c>
      <c r="V154" s="11">
        <f t="shared" si="8"/>
        <v>13</v>
      </c>
      <c r="W154" s="11"/>
      <c r="X154" s="11">
        <f>VLOOKUP($G154, SeanRanks26!$A$2:$K$303, 10, FALSE)-U154</f>
        <v>46</v>
      </c>
      <c r="Y154" s="29" t="str">
        <f>IF(VLOOKUP($G154, SeanRanks26!$A$2:$H$303, 8, FALSE)=0, "", VLOOKUP($G154, SeanRanks26!$A$2:$H$303, 8, FALSE))</f>
        <v/>
      </c>
    </row>
    <row r="155" ht="14.25" customHeight="1">
      <c r="A155" s="11"/>
      <c r="B155" s="11">
        <f t="shared" si="4"/>
        <v>14</v>
      </c>
      <c r="C155" s="11" t="s">
        <v>106</v>
      </c>
      <c r="D155" s="11"/>
      <c r="E155" s="27"/>
      <c r="F155" s="11" t="str">
        <f>VLOOKUP($G155, SeanRanks26!$A$2:$H$303, 5, FALSE)</f>
        <v>Yes</v>
      </c>
      <c r="G155" s="16" t="s">
        <v>395</v>
      </c>
      <c r="H155" s="11" t="str">
        <f>VLOOKUP($G155, '26 ADP Data'!$C$4:$Q$298, 2, FALSE)</f>
        <v>LV</v>
      </c>
      <c r="I155" s="11" t="str">
        <f>VLOOKUP(G155, '26 ADP Data'!$C$4:$R$496, 16, FALSE)</f>
        <v>RB</v>
      </c>
      <c r="J155" s="11" t="str">
        <f>VLOOKUP($G155, SeanRanks26!$A$2:$H$303, 6, FALSE)</f>
        <v>RB4</v>
      </c>
      <c r="K155" s="11">
        <f>VLOOKUP($G155, SeanRanks26!$A$2:$H$303, 7, FALSE)</f>
        <v>54</v>
      </c>
      <c r="L155" s="11">
        <f t="shared" si="5"/>
        <v>11</v>
      </c>
      <c r="M155" s="11">
        <f>VLOOKUP($G155, '26 ADP Data'!$C$4:$Q$298, 10, FALSE)</f>
        <v>126</v>
      </c>
      <c r="N155" s="11">
        <f>VLOOKUP($G155, '26 ADP Data'!$C$4:$Q$298, 13, FALSE)</f>
        <v>142</v>
      </c>
      <c r="O155" s="11">
        <f t="shared" si="6"/>
        <v>-16</v>
      </c>
      <c r="P155" s="11">
        <f>VLOOKUP($G155, '26 ADP Data'!$C$4:$Q$298, 3, FALSE)</f>
        <v>133</v>
      </c>
      <c r="Q155" s="11">
        <f>VLOOKUP($G155, '26 ADP Data'!$C$4:$Q$298, 4, FALSE)</f>
        <v>166</v>
      </c>
      <c r="R155" s="11">
        <f>VLOOKUP($G155, '26 ADP Data'!$C$4:$Q$298, 6, FALSE)</f>
        <v>150</v>
      </c>
      <c r="S155" s="11">
        <f>VLOOKUP($G155, '26 ADP Data'!$C$4:$Q$298, 9, FALSE)</f>
        <v>198</v>
      </c>
      <c r="T155" s="11" t="str">
        <f>VLOOKUP($G155, '26 ADP Data'!$C$4:$Q$298, 8, FALSE)</f>
        <v>-</v>
      </c>
      <c r="U155" s="11">
        <f t="shared" si="7"/>
        <v>152</v>
      </c>
      <c r="V155" s="11">
        <f t="shared" si="8"/>
        <v>13</v>
      </c>
      <c r="W155" s="11"/>
      <c r="X155" s="11">
        <f>VLOOKUP($G155, SeanRanks26!$A$2:$K$303, 10, FALSE)-U155</f>
        <v>-26</v>
      </c>
      <c r="Y155" s="29" t="str">
        <f>IF(VLOOKUP($G155, SeanRanks26!$A$2:$H$303, 8, FALSE)=0, "", VLOOKUP($G155, SeanRanks26!$A$2:$H$303, 8, FALSE))</f>
        <v>Rookie R4 - Arkansas</v>
      </c>
    </row>
    <row r="156" ht="14.25" customHeight="1">
      <c r="A156" s="11"/>
      <c r="B156" s="11">
        <f t="shared" si="4"/>
        <v>14</v>
      </c>
      <c r="C156" s="11" t="s">
        <v>106</v>
      </c>
      <c r="D156" s="11"/>
      <c r="E156" s="27"/>
      <c r="F156" s="11" t="str">
        <f>VLOOKUP($G156, SeanRanks26!$A$2:$H$303, 5, FALSE)</f>
        <v>Yes</v>
      </c>
      <c r="G156" s="16" t="s">
        <v>403</v>
      </c>
      <c r="H156" s="11" t="str">
        <f>VLOOKUP($G156, '26 ADP Data'!$C$4:$Q$298, 2, FALSE)</f>
        <v>DEN</v>
      </c>
      <c r="I156" s="11" t="str">
        <f>VLOOKUP(G156, '26 ADP Data'!$C$4:$R$496, 16, FALSE)</f>
        <v>RB</v>
      </c>
      <c r="J156" s="11" t="str">
        <f>VLOOKUP($G156, SeanRanks26!$A$2:$H$303, 6, FALSE)</f>
        <v/>
      </c>
      <c r="K156" s="11" t="str">
        <f>VLOOKUP($G156, SeanRanks26!$A$2:$H$303, 7, FALSE)</f>
        <v/>
      </c>
      <c r="L156" s="11">
        <f t="shared" si="5"/>
        <v>12</v>
      </c>
      <c r="M156" s="11">
        <f>VLOOKUP($G156, '26 ADP Data'!$C$4:$Q$298, 10, FALSE)</f>
        <v>143</v>
      </c>
      <c r="N156" s="11">
        <f>VLOOKUP($G156, '26 ADP Data'!$C$4:$Q$298, 13, FALSE)</f>
        <v>143</v>
      </c>
      <c r="O156" s="11">
        <f t="shared" si="6"/>
        <v>0</v>
      </c>
      <c r="P156" s="11">
        <f>VLOOKUP($G156, '26 ADP Data'!$C$4:$Q$298, 3, FALSE)</f>
        <v>161</v>
      </c>
      <c r="Q156" s="11">
        <f>VLOOKUP($G156, '26 ADP Data'!$C$4:$Q$298, 4, FALSE)</f>
        <v>205</v>
      </c>
      <c r="R156" s="11">
        <f>VLOOKUP($G156, '26 ADP Data'!$C$4:$Q$298, 6, FALSE)</f>
        <v>135</v>
      </c>
      <c r="S156" s="11">
        <f>VLOOKUP($G156, '26 ADP Data'!$C$4:$Q$298, 9, FALSE)</f>
        <v>140</v>
      </c>
      <c r="T156" s="11" t="str">
        <f>VLOOKUP($G156, '26 ADP Data'!$C$4:$Q$298, 8, FALSE)</f>
        <v>-</v>
      </c>
      <c r="U156" s="11">
        <f t="shared" si="7"/>
        <v>154</v>
      </c>
      <c r="V156" s="11">
        <f t="shared" si="8"/>
        <v>13</v>
      </c>
      <c r="W156" s="11"/>
      <c r="X156" s="11">
        <f>VLOOKUP($G156, SeanRanks26!$A$2:$K$303, 10, FALSE)-U156</f>
        <v>-11</v>
      </c>
      <c r="Y156" s="29" t="str">
        <f>IF(VLOOKUP($G156, SeanRanks26!$A$2:$H$303, 8, FALSE)=0, "", VLOOKUP($G156, SeanRanks26!$A$2:$H$303, 8, FALSE))</f>
        <v>Rookie R4 - Washington</v>
      </c>
    </row>
    <row r="157" ht="14.25" customHeight="1">
      <c r="A157" s="11"/>
      <c r="B157" s="11">
        <f t="shared" si="4"/>
        <v>14</v>
      </c>
      <c r="C157" s="11" t="s">
        <v>106</v>
      </c>
      <c r="D157" s="11"/>
      <c r="E157" s="27"/>
      <c r="F157" s="11" t="str">
        <f>VLOOKUP($G157, SeanRanks26!$A$2:$H$303, 5, FALSE)</f>
        <v/>
      </c>
      <c r="G157" s="16" t="s">
        <v>397</v>
      </c>
      <c r="H157" s="11" t="str">
        <f>VLOOKUP($G157, '26 ADP Data'!$C$4:$Q$298, 2, FALSE)</f>
        <v>MIA</v>
      </c>
      <c r="I157" s="11" t="str">
        <f>VLOOKUP(G157, '26 ADP Data'!$C$4:$R$496, 16, FALSE)</f>
        <v>QB</v>
      </c>
      <c r="J157" s="11" t="str">
        <f>VLOOKUP($G157, SeanRanks26!$A$2:$H$303, 6, FALSE)</f>
        <v/>
      </c>
      <c r="K157" s="11" t="str">
        <f>VLOOKUP($G157, SeanRanks26!$A$2:$H$303, 7, FALSE)</f>
        <v/>
      </c>
      <c r="L157" s="11">
        <f t="shared" si="5"/>
        <v>11</v>
      </c>
      <c r="M157" s="11">
        <f>VLOOKUP($G157, '26 ADP Data'!$C$4:$Q$298, 10, FALSE)</f>
        <v>131</v>
      </c>
      <c r="N157" s="11">
        <f>VLOOKUP($G157, '26 ADP Data'!$C$4:$Q$298, 13, FALSE)</f>
        <v>134</v>
      </c>
      <c r="O157" s="11">
        <f t="shared" si="6"/>
        <v>-3</v>
      </c>
      <c r="P157" s="11">
        <f>VLOOKUP($G157, '26 ADP Data'!$C$4:$Q$298, 3, FALSE)</f>
        <v>162</v>
      </c>
      <c r="Q157" s="11">
        <f>VLOOKUP($G157, '26 ADP Data'!$C$4:$Q$298, 4, FALSE)</f>
        <v>178</v>
      </c>
      <c r="R157" s="11">
        <f>VLOOKUP($G157, '26 ADP Data'!$C$4:$Q$298, 6, FALSE)</f>
        <v>151</v>
      </c>
      <c r="S157" s="11">
        <f>VLOOKUP($G157, '26 ADP Data'!$C$4:$Q$298, 9, FALSE)</f>
        <v>178</v>
      </c>
      <c r="T157" s="11" t="str">
        <f>VLOOKUP($G157, '26 ADP Data'!$C$4:$Q$298, 8, FALSE)</f>
        <v>-</v>
      </c>
      <c r="U157" s="11">
        <f t="shared" si="7"/>
        <v>155</v>
      </c>
      <c r="V157" s="11">
        <f t="shared" si="8"/>
        <v>13</v>
      </c>
      <c r="W157" s="11"/>
      <c r="X157" s="11">
        <f>VLOOKUP($G157, SeanRanks26!$A$2:$K$303, 10, FALSE)-U157</f>
        <v>-24</v>
      </c>
      <c r="Y157" s="29" t="str">
        <f>IF(VLOOKUP($G157, SeanRanks26!$A$2:$H$303, 8, FALSE)=0, "", VLOOKUP($G157, SeanRanks26!$A$2:$H$303, 8, FALSE))</f>
        <v/>
      </c>
    </row>
    <row r="158" ht="14.25" customHeight="1">
      <c r="A158" s="11"/>
      <c r="B158" s="11">
        <f t="shared" si="4"/>
        <v>14</v>
      </c>
      <c r="C158" s="11" t="s">
        <v>106</v>
      </c>
      <c r="D158" s="11"/>
      <c r="E158" s="27"/>
      <c r="F158" s="11" t="str">
        <f>VLOOKUP($G158, SeanRanks26!$A$2:$H$303, 5, FALSE)</f>
        <v/>
      </c>
      <c r="G158" s="16" t="s">
        <v>401</v>
      </c>
      <c r="H158" s="11" t="str">
        <f>VLOOKUP($G158, '26 ADP Data'!$C$4:$Q$298, 2, FALSE)</f>
        <v>CLE</v>
      </c>
      <c r="I158" s="11" t="str">
        <f>VLOOKUP(G158, '26 ADP Data'!$C$4:$R$496, 16, FALSE)</f>
        <v>WR</v>
      </c>
      <c r="J158" s="11" t="str">
        <f>VLOOKUP($G158, SeanRanks26!$A$2:$H$303, 6, FALSE)</f>
        <v>WR5</v>
      </c>
      <c r="K158" s="11">
        <f>VLOOKUP($G158, SeanRanks26!$A$2:$H$303, 7, FALSE)</f>
        <v>53</v>
      </c>
      <c r="L158" s="11">
        <f t="shared" si="5"/>
        <v>12</v>
      </c>
      <c r="M158" s="11">
        <f>VLOOKUP($G158, '26 ADP Data'!$C$4:$Q$298, 10, FALSE)</f>
        <v>136</v>
      </c>
      <c r="N158" s="11">
        <f>VLOOKUP($G158, '26 ADP Data'!$C$4:$Q$298, 13, FALSE)</f>
        <v>139</v>
      </c>
      <c r="O158" s="11">
        <f t="shared" si="6"/>
        <v>-3</v>
      </c>
      <c r="P158" s="11">
        <f>VLOOKUP($G158, '26 ADP Data'!$C$4:$Q$298, 3, FALSE)</f>
        <v>176</v>
      </c>
      <c r="Q158" s="11">
        <f>VLOOKUP($G158, '26 ADP Data'!$C$4:$Q$298, 4, FALSE)</f>
        <v>176</v>
      </c>
      <c r="R158" s="11">
        <f>VLOOKUP($G158, '26 ADP Data'!$C$4:$Q$298, 6, FALSE)</f>
        <v>153</v>
      </c>
      <c r="S158" s="11">
        <f>VLOOKUP($G158, '26 ADP Data'!$C$4:$Q$298, 9, FALSE)</f>
        <v>155</v>
      </c>
      <c r="T158" s="11" t="str">
        <f>VLOOKUP($G158, '26 ADP Data'!$C$4:$Q$298, 8, FALSE)</f>
        <v>-</v>
      </c>
      <c r="U158" s="11">
        <f t="shared" si="7"/>
        <v>155</v>
      </c>
      <c r="V158" s="11">
        <f t="shared" si="8"/>
        <v>13</v>
      </c>
      <c r="W158" s="11"/>
      <c r="X158" s="11">
        <f>VLOOKUP($G158, SeanRanks26!$A$2:$K$303, 10, FALSE)-U158</f>
        <v>-19</v>
      </c>
      <c r="Y158" s="29" t="str">
        <f>IF(VLOOKUP($G158, SeanRanks26!$A$2:$H$303, 8, FALSE)=0, "", VLOOKUP($G158, SeanRanks26!$A$2:$H$303, 8, FALSE))</f>
        <v>Rookie R2 Washington</v>
      </c>
    </row>
    <row r="159" ht="14.25" customHeight="1">
      <c r="A159" s="11"/>
      <c r="B159" s="11">
        <f t="shared" si="4"/>
        <v>14</v>
      </c>
      <c r="C159" s="11" t="s">
        <v>106</v>
      </c>
      <c r="D159" s="11"/>
      <c r="E159" s="27"/>
      <c r="F159" s="11" t="str">
        <f>VLOOKUP($G159, SeanRanks26!$A$2:$H$303, 5, FALSE)</f>
        <v/>
      </c>
      <c r="G159" s="16" t="s">
        <v>442</v>
      </c>
      <c r="H159" s="11" t="str">
        <f>VLOOKUP($G159, '26 ADP Data'!$C$4:$Q$298, 2, FALSE)</f>
        <v>SEA</v>
      </c>
      <c r="I159" s="11" t="str">
        <f>VLOOKUP(G159, '26 ADP Data'!$C$4:$R$496, 16, FALSE)</f>
        <v>QB</v>
      </c>
      <c r="J159" s="11" t="str">
        <f>VLOOKUP($G159, SeanRanks26!$A$2:$H$303, 6, FALSE)</f>
        <v/>
      </c>
      <c r="K159" s="11" t="str">
        <f>VLOOKUP($G159, SeanRanks26!$A$2:$H$303, 7, FALSE)</f>
        <v/>
      </c>
      <c r="L159" s="11">
        <f t="shared" si="5"/>
        <v>13</v>
      </c>
      <c r="M159" s="11">
        <f>VLOOKUP($G159, '26 ADP Data'!$C$4:$Q$298, 10, FALSE)</f>
        <v>155</v>
      </c>
      <c r="N159" s="11">
        <f>VLOOKUP($G159, '26 ADP Data'!$C$4:$Q$298, 13, FALSE)</f>
        <v>141</v>
      </c>
      <c r="O159" s="11">
        <f t="shared" si="6"/>
        <v>14</v>
      </c>
      <c r="P159" s="11">
        <f>VLOOKUP($G159, '26 ADP Data'!$C$4:$Q$298, 3, FALSE)</f>
        <v>146</v>
      </c>
      <c r="Q159" s="11">
        <f>VLOOKUP($G159, '26 ADP Data'!$C$4:$Q$298, 4, FALSE)</f>
        <v>162</v>
      </c>
      <c r="R159" s="11">
        <f>VLOOKUP($G159, '26 ADP Data'!$C$4:$Q$298, 6, FALSE)</f>
        <v>172</v>
      </c>
      <c r="S159" s="11">
        <f>VLOOKUP($G159, '26 ADP Data'!$C$4:$Q$298, 9, FALSE)</f>
        <v>169</v>
      </c>
      <c r="T159" s="11" t="str">
        <f>VLOOKUP($G159, '26 ADP Data'!$C$4:$Q$298, 8, FALSE)</f>
        <v>-</v>
      </c>
      <c r="U159" s="11">
        <f t="shared" si="7"/>
        <v>157</v>
      </c>
      <c r="V159" s="11">
        <f t="shared" si="8"/>
        <v>14</v>
      </c>
      <c r="W159" s="11"/>
      <c r="X159" s="11">
        <f>VLOOKUP($G159, SeanRanks26!$A$2:$K$303, 10, FALSE)-U159</f>
        <v>-2</v>
      </c>
      <c r="Y159" s="29" t="str">
        <f>IF(VLOOKUP($G159, SeanRanks26!$A$2:$H$303, 8, FALSE)=0, "", VLOOKUP($G159, SeanRanks26!$A$2:$H$303, 8, FALSE))</f>
        <v/>
      </c>
    </row>
    <row r="160" ht="14.25" customHeight="1">
      <c r="A160" s="11"/>
      <c r="B160" s="11">
        <f t="shared" si="4"/>
        <v>13</v>
      </c>
      <c r="C160" s="11" t="s">
        <v>106</v>
      </c>
      <c r="D160" s="11"/>
      <c r="E160" s="27"/>
      <c r="F160" s="11" t="str">
        <f>VLOOKUP($G160, SeanRanks26!$A$2:$H$303, 5, FALSE)</f>
        <v/>
      </c>
      <c r="G160" s="16" t="s">
        <v>465</v>
      </c>
      <c r="H160" s="11" t="str">
        <f>VLOOKUP($G160, '26 ADP Data'!$C$4:$Q$298, 2, FALSE)</f>
        <v>JAX</v>
      </c>
      <c r="I160" s="11" t="str">
        <f>VLOOKUP(G160, '26 ADP Data'!$C$4:$R$496, 16, FALSE)</f>
        <v>WR</v>
      </c>
      <c r="J160" s="11" t="str">
        <f>VLOOKUP($G160, SeanRanks26!$A$2:$H$303, 6, FALSE)</f>
        <v>WR5</v>
      </c>
      <c r="K160" s="11">
        <f>VLOOKUP($G160, SeanRanks26!$A$2:$H$303, 7, FALSE)</f>
        <v>71</v>
      </c>
      <c r="L160" s="11">
        <f t="shared" si="5"/>
        <v>14</v>
      </c>
      <c r="M160" s="11">
        <f>VLOOKUP($G160, '26 ADP Data'!$C$4:$Q$298, 10, FALSE)</f>
        <v>162</v>
      </c>
      <c r="N160" s="11">
        <f>VLOOKUP($G160, '26 ADP Data'!$C$4:$Q$298, 13, FALSE)</f>
        <v>160</v>
      </c>
      <c r="O160" s="11">
        <f t="shared" si="6"/>
        <v>2</v>
      </c>
      <c r="P160" s="11" t="str">
        <f>VLOOKUP($G160, '26 ADP Data'!$C$4:$Q$298, 3, FALSE)</f>
        <v>-</v>
      </c>
      <c r="Q160" s="11">
        <f>VLOOKUP($G160, '26 ADP Data'!$C$4:$Q$298, 4, FALSE)</f>
        <v>112</v>
      </c>
      <c r="R160" s="11">
        <f>VLOOKUP($G160, '26 ADP Data'!$C$4:$Q$298, 6, FALSE)</f>
        <v>190</v>
      </c>
      <c r="S160" s="11">
        <f>VLOOKUP($G160, '26 ADP Data'!$C$4:$Q$298, 9, FALSE)</f>
        <v>162</v>
      </c>
      <c r="T160" s="11" t="str">
        <f>VLOOKUP($G160, '26 ADP Data'!$C$4:$Q$298, 8, FALSE)</f>
        <v>-</v>
      </c>
      <c r="U160" s="11">
        <f t="shared" si="7"/>
        <v>157</v>
      </c>
      <c r="V160" s="11">
        <f t="shared" si="8"/>
        <v>14</v>
      </c>
      <c r="W160" s="11">
        <f>D160-V160</f>
        <v>-14</v>
      </c>
      <c r="X160" s="11">
        <f>VLOOKUP($G160, SeanRanks26!$A$2:$K$303, 10, FALSE)-U160</f>
        <v>5</v>
      </c>
      <c r="Y160" s="29" t="str">
        <f>IF(VLOOKUP($G160, SeanRanks26!$A$2:$H$303, 8, FALSE)=0, "", VLOOKUP($G160, SeanRanks26!$A$2:$H$303, 8, FALSE))</f>
        <v/>
      </c>
    </row>
    <row r="161" ht="14.25" customHeight="1">
      <c r="A161" s="11"/>
      <c r="B161" s="11">
        <f t="shared" si="4"/>
        <v>13</v>
      </c>
      <c r="C161" s="11" t="s">
        <v>106</v>
      </c>
      <c r="D161" s="11"/>
      <c r="E161" s="27"/>
      <c r="F161" s="11" t="str">
        <f>VLOOKUP($G161, SeanRanks26!$A$2:$H$303, 5, FALSE)</f>
        <v/>
      </c>
      <c r="G161" s="16" t="s">
        <v>582</v>
      </c>
      <c r="H161" s="11" t="str">
        <f>VLOOKUP($G161, '26 ADP Data'!$C$4:$Q$298, 2, FALSE)</f>
        <v>SEA</v>
      </c>
      <c r="I161" s="11" t="str">
        <f>VLOOKUP(G161, '26 ADP Data'!$C$4:$R$496, 16, FALSE)</f>
        <v>K-</v>
      </c>
      <c r="J161" s="11" t="str">
        <f>VLOOKUP($G161, SeanRanks26!$A$2:$H$303, 6, FALSE)</f>
        <v/>
      </c>
      <c r="K161" s="11" t="str">
        <f>VLOOKUP($G161, SeanRanks26!$A$2:$H$303, 7, FALSE)</f>
        <v/>
      </c>
      <c r="L161" s="11">
        <f t="shared" si="5"/>
        <v>16</v>
      </c>
      <c r="M161" s="11">
        <f>VLOOKUP($G161, '26 ADP Data'!$C$4:$Q$298, 10, FALSE)</f>
        <v>186</v>
      </c>
      <c r="N161" s="11" t="str">
        <f>VLOOKUP($G161, '26 ADP Data'!$C$4:$Q$298, 13, FALSE)</f>
        <v>-</v>
      </c>
      <c r="O161" s="11" t="str">
        <f t="shared" si="6"/>
        <v>#VALUE!</v>
      </c>
      <c r="P161" s="11">
        <f>VLOOKUP($G161, '26 ADP Data'!$C$4:$Q$298, 3, FALSE)</f>
        <v>121</v>
      </c>
      <c r="Q161" s="11">
        <f>VLOOKUP($G161, '26 ADP Data'!$C$4:$Q$298, 4, FALSE)</f>
        <v>110</v>
      </c>
      <c r="R161" s="11">
        <f>VLOOKUP($G161, '26 ADP Data'!$C$4:$Q$298, 6, FALSE)</f>
        <v>230</v>
      </c>
      <c r="S161" s="11">
        <f>VLOOKUP($G161, '26 ADP Data'!$C$4:$Q$298, 9, FALSE)</f>
        <v>138</v>
      </c>
      <c r="T161" s="11" t="str">
        <f>VLOOKUP($G161, '26 ADP Data'!$C$4:$Q$298, 8, FALSE)</f>
        <v>-</v>
      </c>
      <c r="U161" s="11">
        <f t="shared" si="7"/>
        <v>157</v>
      </c>
      <c r="V161" s="11">
        <f t="shared" si="8"/>
        <v>14</v>
      </c>
      <c r="W161" s="11"/>
      <c r="X161" s="11">
        <f>VLOOKUP($G161, SeanRanks26!$A$2:$K$303, 10, FALSE)-U161</f>
        <v>29</v>
      </c>
      <c r="Y161" s="29" t="str">
        <f>IF(VLOOKUP($G161, SeanRanks26!$A$2:$H$303, 8, FALSE)=0, "", VLOOKUP($G161, SeanRanks26!$A$2:$H$303, 8, FALSE))</f>
        <v/>
      </c>
    </row>
    <row r="162" ht="14.25" customHeight="1">
      <c r="A162" s="11"/>
      <c r="B162" s="11">
        <f t="shared" si="4"/>
        <v>15</v>
      </c>
      <c r="C162" s="11" t="s">
        <v>106</v>
      </c>
      <c r="D162" s="11"/>
      <c r="E162" s="27"/>
      <c r="F162" s="11" t="str">
        <f>VLOOKUP($G162, SeanRanks26!$A$2:$H$303, 5, FALSE)</f>
        <v>Yes</v>
      </c>
      <c r="G162" s="16" t="s">
        <v>439</v>
      </c>
      <c r="H162" s="11" t="str">
        <f>VLOOKUP($G162, '26 ADP Data'!$C$4:$Q$298, 2, FALSE)</f>
        <v>GB</v>
      </c>
      <c r="I162" s="11" t="str">
        <f>VLOOKUP(G162, '26 ADP Data'!$C$4:$R$496, 16, FALSE)</f>
        <v>RB</v>
      </c>
      <c r="J162" s="11" t="str">
        <f>VLOOKUP($G162, SeanRanks26!$A$2:$H$303, 6, FALSE)</f>
        <v>RB4</v>
      </c>
      <c r="K162" s="11">
        <f>VLOOKUP($G162, SeanRanks26!$A$2:$H$303, 7, FALSE)</f>
        <v>55</v>
      </c>
      <c r="L162" s="11">
        <f t="shared" si="5"/>
        <v>12</v>
      </c>
      <c r="M162" s="11">
        <f>VLOOKUP($G162, '26 ADP Data'!$C$4:$Q$298, 10, FALSE)</f>
        <v>142</v>
      </c>
      <c r="N162" s="11">
        <f>VLOOKUP($G162, '26 ADP Data'!$C$4:$Q$298, 13, FALSE)</f>
        <v>147</v>
      </c>
      <c r="O162" s="11">
        <f t="shared" si="6"/>
        <v>-5</v>
      </c>
      <c r="P162" s="11">
        <f>VLOOKUP($G162, '26 ADP Data'!$C$4:$Q$298, 3, FALSE)</f>
        <v>157</v>
      </c>
      <c r="Q162" s="11" t="str">
        <f>VLOOKUP($G162, '26 ADP Data'!$C$4:$Q$298, 4, FALSE)</f>
        <v>-</v>
      </c>
      <c r="R162" s="11">
        <f>VLOOKUP($G162, '26 ADP Data'!$C$4:$Q$298, 6, FALSE)</f>
        <v>130</v>
      </c>
      <c r="S162" s="11">
        <f>VLOOKUP($G162, '26 ADP Data'!$C$4:$Q$298, 9, FALSE)</f>
        <v>217</v>
      </c>
      <c r="T162" s="11" t="str">
        <f>VLOOKUP($G162, '26 ADP Data'!$C$4:$Q$298, 8, FALSE)</f>
        <v>-</v>
      </c>
      <c r="U162" s="11">
        <f t="shared" si="7"/>
        <v>158</v>
      </c>
      <c r="V162" s="11">
        <f t="shared" si="8"/>
        <v>14</v>
      </c>
      <c r="W162" s="11"/>
      <c r="X162" s="11">
        <f>VLOOKUP($G162, SeanRanks26!$A$2:$K$303, 10, FALSE)-U162</f>
        <v>-16</v>
      </c>
      <c r="Y162" s="29" t="str">
        <f>IF(VLOOKUP($G162, SeanRanks26!$A$2:$H$303, 8, FALSE)=0, "", VLOOKUP($G162, SeanRanks26!$A$2:$H$303, 8, FALSE))</f>
        <v>Rookie R4 - Arkansas</v>
      </c>
    </row>
    <row r="163" ht="14.25" customHeight="1">
      <c r="A163" s="11"/>
      <c r="B163" s="11">
        <f t="shared" si="4"/>
        <v>13</v>
      </c>
      <c r="C163" s="11" t="s">
        <v>106</v>
      </c>
      <c r="D163" s="11"/>
      <c r="E163" s="27"/>
      <c r="F163" s="11" t="str">
        <f>VLOOKUP($G163, SeanRanks26!$A$2:$H$303, 5, FALSE)</f>
        <v/>
      </c>
      <c r="G163" s="16" t="s">
        <v>586</v>
      </c>
      <c r="H163" s="11" t="str">
        <f>VLOOKUP($G163, '26 ADP Data'!$C$4:$Q$298, 2, FALSE)</f>
        <v>LAC</v>
      </c>
      <c r="I163" s="11" t="str">
        <f>VLOOKUP(G163, '26 ADP Data'!$C$4:$R$496, 16, FALSE)</f>
        <v>K-</v>
      </c>
      <c r="J163" s="11" t="str">
        <f>VLOOKUP($G163, SeanRanks26!$A$2:$H$303, 6, FALSE)</f>
        <v/>
      </c>
      <c r="K163" s="11" t="str">
        <f>VLOOKUP($G163, SeanRanks26!$A$2:$H$303, 7, FALSE)</f>
        <v/>
      </c>
      <c r="L163" s="11">
        <f t="shared" si="5"/>
        <v>16</v>
      </c>
      <c r="M163" s="11">
        <f>VLOOKUP($G163, '26 ADP Data'!$C$4:$Q$298, 10, FALSE)</f>
        <v>187</v>
      </c>
      <c r="N163" s="11" t="str">
        <f>VLOOKUP($G163, '26 ADP Data'!$C$4:$Q$298, 13, FALSE)</f>
        <v>-</v>
      </c>
      <c r="O163" s="11" t="str">
        <f t="shared" si="6"/>
        <v>#VALUE!</v>
      </c>
      <c r="P163" s="11">
        <f>VLOOKUP($G163, '26 ADP Data'!$C$4:$Q$298, 3, FALSE)</f>
        <v>140</v>
      </c>
      <c r="Q163" s="11">
        <f>VLOOKUP($G163, '26 ADP Data'!$C$4:$Q$298, 4, FALSE)</f>
        <v>100</v>
      </c>
      <c r="R163" s="11">
        <f>VLOOKUP($G163, '26 ADP Data'!$C$4:$Q$298, 6, FALSE)</f>
        <v>228</v>
      </c>
      <c r="S163" s="11">
        <f>VLOOKUP($G163, '26 ADP Data'!$C$4:$Q$298, 9, FALSE)</f>
        <v>135</v>
      </c>
      <c r="T163" s="11" t="str">
        <f>VLOOKUP($G163, '26 ADP Data'!$C$4:$Q$298, 8, FALSE)</f>
        <v>-</v>
      </c>
      <c r="U163" s="11">
        <f t="shared" si="7"/>
        <v>158</v>
      </c>
      <c r="V163" s="11">
        <f t="shared" si="8"/>
        <v>14</v>
      </c>
      <c r="W163" s="11"/>
      <c r="X163" s="11">
        <f>VLOOKUP($G163, SeanRanks26!$A$2:$K$303, 10, FALSE)-U163</f>
        <v>29</v>
      </c>
      <c r="Y163" s="29" t="str">
        <f>IF(VLOOKUP($G163, SeanRanks26!$A$2:$H$303, 8, FALSE)=0, "", VLOOKUP($G163, SeanRanks26!$A$2:$H$303, 8, FALSE))</f>
        <v/>
      </c>
    </row>
    <row r="164" ht="14.25" customHeight="1">
      <c r="A164" s="11"/>
      <c r="B164" s="11">
        <f t="shared" si="4"/>
        <v>14</v>
      </c>
      <c r="C164" s="11" t="s">
        <v>106</v>
      </c>
      <c r="D164" s="11"/>
      <c r="E164" s="27"/>
      <c r="F164" s="11" t="str">
        <f>VLOOKUP($G164, SeanRanks26!$A$2:$H$303, 5, FALSE)</f>
        <v/>
      </c>
      <c r="G164" s="16" t="s">
        <v>495</v>
      </c>
      <c r="H164" s="11" t="str">
        <f>VLOOKUP($G164, '26 ADP Data'!$C$4:$Q$298, 2, FALSE)</f>
        <v>PHI</v>
      </c>
      <c r="I164" s="11" t="str">
        <f>VLOOKUP(G164, '26 ADP Data'!$C$4:$R$496, 16, FALSE)</f>
        <v>DE</v>
      </c>
      <c r="J164" s="11" t="str">
        <f>VLOOKUP($G164, SeanRanks26!$A$2:$H$303, 6, FALSE)</f>
        <v/>
      </c>
      <c r="K164" s="11" t="str">
        <f>VLOOKUP($G164, SeanRanks26!$A$2:$H$303, 7, FALSE)</f>
        <v/>
      </c>
      <c r="L164" s="11">
        <f t="shared" si="5"/>
        <v>15</v>
      </c>
      <c r="M164" s="11">
        <f>VLOOKUP($G164, '26 ADP Data'!$C$4:$Q$298, 10, FALSE)</f>
        <v>174</v>
      </c>
      <c r="N164" s="11" t="str">
        <f>VLOOKUP($G164, '26 ADP Data'!$C$4:$Q$298, 13, FALSE)</f>
        <v>-</v>
      </c>
      <c r="O164" s="11" t="str">
        <f t="shared" si="6"/>
        <v>#VALUE!</v>
      </c>
      <c r="P164" s="11">
        <f>VLOOKUP($G164, '26 ADP Data'!$C$4:$Q$298, 3, FALSE)</f>
        <v>129</v>
      </c>
      <c r="Q164" s="11">
        <f>VLOOKUP($G164, '26 ADP Data'!$C$4:$Q$298, 4, FALSE)</f>
        <v>130</v>
      </c>
      <c r="R164" s="11">
        <f>VLOOKUP($G164, '26 ADP Data'!$C$4:$Q$298, 6, FALSE)</f>
        <v>234</v>
      </c>
      <c r="S164" s="11">
        <f>VLOOKUP($G164, '26 ADP Data'!$C$4:$Q$298, 9, FALSE)</f>
        <v>137</v>
      </c>
      <c r="T164" s="11" t="str">
        <f>VLOOKUP($G164, '26 ADP Data'!$C$4:$Q$298, 8, FALSE)</f>
        <v>-</v>
      </c>
      <c r="U164" s="11">
        <f t="shared" si="7"/>
        <v>160</v>
      </c>
      <c r="V164" s="11">
        <f t="shared" si="8"/>
        <v>14</v>
      </c>
      <c r="W164" s="11"/>
      <c r="X164" s="11">
        <f>VLOOKUP($G164, SeanRanks26!$A$2:$K$303, 10, FALSE)-U164</f>
        <v>14</v>
      </c>
      <c r="Y164" s="29" t="str">
        <f>IF(VLOOKUP($G164, SeanRanks26!$A$2:$H$303, 8, FALSE)=0, "", VLOOKUP($G164, SeanRanks26!$A$2:$H$303, 8, FALSE))</f>
        <v/>
      </c>
    </row>
    <row r="165" ht="14.25" customHeight="1">
      <c r="A165" s="11"/>
      <c r="B165" s="11">
        <f t="shared" si="4"/>
        <v>14</v>
      </c>
      <c r="C165" s="11" t="s">
        <v>106</v>
      </c>
      <c r="D165" s="11"/>
      <c r="E165" s="27"/>
      <c r="F165" s="11" t="str">
        <f>VLOOKUP($G165, SeanRanks26!$A$2:$H$303, 5, FALSE)</f>
        <v/>
      </c>
      <c r="G165" s="16" t="s">
        <v>580</v>
      </c>
      <c r="H165" s="11" t="str">
        <f>VLOOKUP($G165, '26 ADP Data'!$C$4:$Q$298, 2, FALSE)</f>
        <v>HOU</v>
      </c>
      <c r="I165" s="11" t="str">
        <f>VLOOKUP(G165, '26 ADP Data'!$C$4:$R$496, 16, FALSE)</f>
        <v>K-</v>
      </c>
      <c r="J165" s="11" t="str">
        <f>VLOOKUP($G165, SeanRanks26!$A$2:$H$303, 6, FALSE)</f>
        <v/>
      </c>
      <c r="K165" s="11" t="str">
        <f>VLOOKUP($G165, SeanRanks26!$A$2:$H$303, 7, FALSE)</f>
        <v/>
      </c>
      <c r="L165" s="11">
        <f t="shared" si="5"/>
        <v>15</v>
      </c>
      <c r="M165" s="11">
        <f>VLOOKUP($G165, '26 ADP Data'!$C$4:$Q$298, 10, FALSE)</f>
        <v>175</v>
      </c>
      <c r="N165" s="11" t="str">
        <f>VLOOKUP($G165, '26 ADP Data'!$C$4:$Q$298, 13, FALSE)</f>
        <v>-</v>
      </c>
      <c r="O165" s="11" t="str">
        <f t="shared" si="6"/>
        <v>#VALUE!</v>
      </c>
      <c r="P165" s="11">
        <f>VLOOKUP($G165, '26 ADP Data'!$C$4:$Q$298, 3, FALSE)</f>
        <v>130</v>
      </c>
      <c r="Q165" s="11">
        <f>VLOOKUP($G165, '26 ADP Data'!$C$4:$Q$298, 4, FALSE)</f>
        <v>126</v>
      </c>
      <c r="R165" s="11">
        <f>VLOOKUP($G165, '26 ADP Data'!$C$4:$Q$298, 6, FALSE)</f>
        <v>232</v>
      </c>
      <c r="S165" s="11">
        <f>VLOOKUP($G165, '26 ADP Data'!$C$4:$Q$298, 9, FALSE)</f>
        <v>142</v>
      </c>
      <c r="T165" s="11" t="str">
        <f>VLOOKUP($G165, '26 ADP Data'!$C$4:$Q$298, 8, FALSE)</f>
        <v>-</v>
      </c>
      <c r="U165" s="11">
        <f t="shared" si="7"/>
        <v>161</v>
      </c>
      <c r="V165" s="11">
        <f t="shared" si="8"/>
        <v>14</v>
      </c>
      <c r="W165" s="11"/>
      <c r="X165" s="11">
        <f>VLOOKUP($G165, SeanRanks26!$A$2:$K$303, 10, FALSE)-U165</f>
        <v>14</v>
      </c>
      <c r="Y165" s="29" t="str">
        <f>IF(VLOOKUP($G165, SeanRanks26!$A$2:$H$303, 8, FALSE)=0, "", VLOOKUP($G165, SeanRanks26!$A$2:$H$303, 8, FALSE))</f>
        <v/>
      </c>
    </row>
    <row r="166" ht="14.25" customHeight="1">
      <c r="A166" s="11"/>
      <c r="B166" s="11">
        <f t="shared" si="4"/>
        <v>15</v>
      </c>
      <c r="C166" s="11" t="s">
        <v>106</v>
      </c>
      <c r="D166" s="11"/>
      <c r="E166" s="27"/>
      <c r="F166" s="11" t="str">
        <f>VLOOKUP($G166, SeanRanks26!$A$2:$H$303, 5, FALSE)</f>
        <v/>
      </c>
      <c r="G166" s="16" t="s">
        <v>411</v>
      </c>
      <c r="H166" s="11" t="str">
        <f>VLOOKUP($G166, '26 ADP Data'!$C$4:$Q$298, 2, FALSE)</f>
        <v>IND</v>
      </c>
      <c r="I166" s="11" t="str">
        <f>VLOOKUP(G166, '26 ADP Data'!$C$4:$R$496, 16, FALSE)</f>
        <v>QB</v>
      </c>
      <c r="J166" s="11" t="str">
        <f>VLOOKUP($G166, SeanRanks26!$A$2:$H$303, 6, FALSE)</f>
        <v/>
      </c>
      <c r="K166" s="11" t="str">
        <f>VLOOKUP($G166, SeanRanks26!$A$2:$H$303, 7, FALSE)</f>
        <v/>
      </c>
      <c r="L166" s="11">
        <f t="shared" si="5"/>
        <v>14</v>
      </c>
      <c r="M166" s="11">
        <f>VLOOKUP($G166, '26 ADP Data'!$C$4:$Q$298, 10, FALSE)</f>
        <v>156</v>
      </c>
      <c r="N166" s="11">
        <f>VLOOKUP($G166, '26 ADP Data'!$C$4:$Q$298, 13, FALSE)</f>
        <v>144</v>
      </c>
      <c r="O166" s="11">
        <f t="shared" si="6"/>
        <v>12</v>
      </c>
      <c r="P166" s="11">
        <f>VLOOKUP($G166, '26 ADP Data'!$C$4:$Q$298, 3, FALSE)</f>
        <v>158</v>
      </c>
      <c r="Q166" s="11">
        <f>VLOOKUP($G166, '26 ADP Data'!$C$4:$Q$298, 4, FALSE)</f>
        <v>158</v>
      </c>
      <c r="R166" s="11">
        <f>VLOOKUP($G166, '26 ADP Data'!$C$4:$Q$298, 6, FALSE)</f>
        <v>169</v>
      </c>
      <c r="S166" s="11">
        <f>VLOOKUP($G166, '26 ADP Data'!$C$4:$Q$298, 9, FALSE)</f>
        <v>195</v>
      </c>
      <c r="T166" s="11" t="str">
        <f>VLOOKUP($G166, '26 ADP Data'!$C$4:$Q$298, 8, FALSE)</f>
        <v>-</v>
      </c>
      <c r="U166" s="11">
        <f t="shared" si="7"/>
        <v>163</v>
      </c>
      <c r="V166" s="11">
        <f t="shared" si="8"/>
        <v>14</v>
      </c>
      <c r="W166" s="11">
        <f>D166-V166</f>
        <v>-14</v>
      </c>
      <c r="X166" s="11">
        <f>VLOOKUP($G166, SeanRanks26!$A$2:$K$303, 10, FALSE)-U166</f>
        <v>-7</v>
      </c>
      <c r="Y166" s="29" t="str">
        <f>IF(VLOOKUP($G166, SeanRanks26!$A$2:$H$303, 8, FALSE)=0, "", VLOOKUP($G166, SeanRanks26!$A$2:$H$303, 8, FALSE))</f>
        <v/>
      </c>
    </row>
    <row r="167" ht="14.25" customHeight="1">
      <c r="A167" s="11"/>
      <c r="B167" s="11">
        <f t="shared" si="4"/>
        <v>15</v>
      </c>
      <c r="C167" s="11" t="s">
        <v>106</v>
      </c>
      <c r="D167" s="11"/>
      <c r="E167" s="27"/>
      <c r="F167" s="11" t="str">
        <f>VLOOKUP($G167, SeanRanks26!$A$2:$H$303, 5, FALSE)</f>
        <v/>
      </c>
      <c r="G167" s="16" t="s">
        <v>407</v>
      </c>
      <c r="H167" s="11" t="str">
        <f>VLOOKUP($G167, '26 ADP Data'!$C$4:$Q$298, 2, FALSE)</f>
        <v>PHI</v>
      </c>
      <c r="I167" s="11" t="str">
        <f>VLOOKUP(G167, '26 ADP Data'!$C$4:$R$496, 16, FALSE)</f>
        <v>RB</v>
      </c>
      <c r="J167" s="11" t="str">
        <f>VLOOKUP($G167, SeanRanks26!$A$2:$H$303, 6, FALSE)</f>
        <v>RB4</v>
      </c>
      <c r="K167" s="11">
        <f>VLOOKUP($G167, SeanRanks26!$A$2:$H$303, 7, FALSE)</f>
        <v>51</v>
      </c>
      <c r="L167" s="11">
        <f t="shared" si="5"/>
        <v>12</v>
      </c>
      <c r="M167" s="11">
        <f>VLOOKUP($G167, '26 ADP Data'!$C$4:$Q$298, 10, FALSE)</f>
        <v>137</v>
      </c>
      <c r="N167" s="11">
        <f>VLOOKUP($G167, '26 ADP Data'!$C$4:$Q$298, 13, FALSE)</f>
        <v>152</v>
      </c>
      <c r="O167" s="11">
        <f t="shared" si="6"/>
        <v>-15</v>
      </c>
      <c r="P167" s="11">
        <f>VLOOKUP($G167, '26 ADP Data'!$C$4:$Q$298, 3, FALSE)</f>
        <v>174</v>
      </c>
      <c r="Q167" s="11">
        <f>VLOOKUP($G167, '26 ADP Data'!$C$4:$Q$298, 4, FALSE)</f>
        <v>202</v>
      </c>
      <c r="R167" s="11">
        <f>VLOOKUP($G167, '26 ADP Data'!$C$4:$Q$298, 6, FALSE)</f>
        <v>149</v>
      </c>
      <c r="S167" s="11">
        <f>VLOOKUP($G167, '26 ADP Data'!$C$4:$Q$298, 9, FALSE)</f>
        <v>176</v>
      </c>
      <c r="T167" s="11" t="str">
        <f>VLOOKUP($G167, '26 ADP Data'!$C$4:$Q$298, 8, FALSE)</f>
        <v>-</v>
      </c>
      <c r="U167" s="11">
        <f t="shared" si="7"/>
        <v>165</v>
      </c>
      <c r="V167" s="11">
        <f t="shared" si="8"/>
        <v>14</v>
      </c>
      <c r="W167" s="11"/>
      <c r="X167" s="11">
        <f>VLOOKUP($G167, SeanRanks26!$A$2:$K$303, 10, FALSE)-U167</f>
        <v>-28</v>
      </c>
      <c r="Y167" s="29" t="str">
        <f>IF(VLOOKUP($G167, SeanRanks26!$A$2:$H$303, 8, FALSE)=0, "", VLOOKUP($G167, SeanRanks26!$A$2:$H$303, 8, FALSE))</f>
        <v/>
      </c>
    </row>
    <row r="168" ht="14.25" customHeight="1">
      <c r="A168" s="11"/>
      <c r="B168" s="11">
        <f t="shared" si="4"/>
        <v>15</v>
      </c>
      <c r="C168" s="11" t="s">
        <v>106</v>
      </c>
      <c r="D168" s="11"/>
      <c r="E168" s="27"/>
      <c r="F168" s="11" t="str">
        <f>VLOOKUP($G168, SeanRanks26!$A$2:$H$303, 5, FALSE)</f>
        <v/>
      </c>
      <c r="G168" s="16" t="s">
        <v>446</v>
      </c>
      <c r="H168" s="11" t="str">
        <f>VLOOKUP($G168, '26 ADP Data'!$C$4:$Q$298, 2, FALSE)</f>
        <v>LAR</v>
      </c>
      <c r="I168" s="11" t="str">
        <f>VLOOKUP(G168, '26 ADP Data'!$C$4:$R$496, 16, FALSE)</f>
        <v>TE</v>
      </c>
      <c r="J168" s="11" t="str">
        <f>VLOOKUP($G168, SeanRanks26!$A$2:$H$303, 6, FALSE)</f>
        <v/>
      </c>
      <c r="K168" s="11" t="str">
        <f>VLOOKUP($G168, SeanRanks26!$A$2:$H$303, 7, FALSE)</f>
        <v/>
      </c>
      <c r="L168" s="11">
        <f t="shared" si="5"/>
        <v>14</v>
      </c>
      <c r="M168" s="11">
        <f>VLOOKUP($G168, '26 ADP Data'!$C$4:$Q$298, 10, FALSE)</f>
        <v>163</v>
      </c>
      <c r="N168" s="11">
        <f>VLOOKUP($G168, '26 ADP Data'!$C$4:$Q$298, 13, FALSE)</f>
        <v>159</v>
      </c>
      <c r="O168" s="11">
        <f t="shared" si="6"/>
        <v>4</v>
      </c>
      <c r="P168" s="11" t="str">
        <f>VLOOKUP($G168, '26 ADP Data'!$C$4:$Q$298, 3, FALSE)</f>
        <v>-</v>
      </c>
      <c r="Q168" s="11">
        <f>VLOOKUP($G168, '26 ADP Data'!$C$4:$Q$298, 4, FALSE)</f>
        <v>175</v>
      </c>
      <c r="R168" s="11">
        <f>VLOOKUP($G168, '26 ADP Data'!$C$4:$Q$298, 6, FALSE)</f>
        <v>134</v>
      </c>
      <c r="S168" s="11">
        <f>VLOOKUP($G168, '26 ADP Data'!$C$4:$Q$298, 9, FALSE)</f>
        <v>203</v>
      </c>
      <c r="T168" s="11" t="str">
        <f>VLOOKUP($G168, '26 ADP Data'!$C$4:$Q$298, 8, FALSE)</f>
        <v>-</v>
      </c>
      <c r="U168" s="11">
        <f t="shared" si="7"/>
        <v>166</v>
      </c>
      <c r="V168" s="11">
        <f t="shared" si="8"/>
        <v>14</v>
      </c>
      <c r="W168" s="11"/>
      <c r="X168" s="11">
        <f>VLOOKUP($G168, SeanRanks26!$A$2:$K$303, 10, FALSE)-U168</f>
        <v>-3</v>
      </c>
      <c r="Y168" s="29" t="str">
        <f>IF(VLOOKUP($G168, SeanRanks26!$A$2:$H$303, 8, FALSE)=0, "", VLOOKUP($G168, SeanRanks26!$A$2:$H$303, 8, FALSE))</f>
        <v/>
      </c>
    </row>
    <row r="169" ht="14.25" customHeight="1">
      <c r="A169" s="11"/>
      <c r="B169" s="11">
        <f t="shared" si="4"/>
        <v>14</v>
      </c>
      <c r="C169" s="11" t="s">
        <v>106</v>
      </c>
      <c r="D169" s="11"/>
      <c r="E169" s="27"/>
      <c r="F169" s="11" t="str">
        <f>VLOOKUP($G169, SeanRanks26!$A$2:$H$303, 5, FALSE)</f>
        <v/>
      </c>
      <c r="G169" s="16" t="s">
        <v>416</v>
      </c>
      <c r="H169" s="11" t="str">
        <f>VLOOKUP($G169, '26 ADP Data'!$C$4:$Q$298, 2, FALSE)</f>
        <v>NO</v>
      </c>
      <c r="I169" s="11" t="str">
        <f>VLOOKUP(G169, '26 ADP Data'!$C$4:$R$496, 16, FALSE)</f>
        <v>RB</v>
      </c>
      <c r="J169" s="11" t="str">
        <f>VLOOKUP($G169, SeanRanks26!$A$2:$H$303, 6, FALSE)</f>
        <v>RB4</v>
      </c>
      <c r="K169" s="11">
        <f>VLOOKUP($G169, SeanRanks26!$A$2:$H$303, 7, FALSE)</f>
        <v>45</v>
      </c>
      <c r="L169" s="11">
        <f t="shared" si="5"/>
        <v>16</v>
      </c>
      <c r="M169" s="11">
        <f>VLOOKUP($G169, '26 ADP Data'!$C$4:$Q$298, 10, FALSE)</f>
        <v>188</v>
      </c>
      <c r="N169" s="11">
        <f>VLOOKUP($G169, '26 ADP Data'!$C$4:$Q$298, 13, FALSE)</f>
        <v>183</v>
      </c>
      <c r="O169" s="11">
        <f t="shared" si="6"/>
        <v>5</v>
      </c>
      <c r="P169" s="11">
        <f>VLOOKUP($G169, '26 ADP Data'!$C$4:$Q$298, 3, FALSE)</f>
        <v>156</v>
      </c>
      <c r="Q169" s="11">
        <f>VLOOKUP($G169, '26 ADP Data'!$C$4:$Q$298, 4, FALSE)</f>
        <v>161</v>
      </c>
      <c r="R169" s="11">
        <f>VLOOKUP($G169, '26 ADP Data'!$C$4:$Q$298, 6, FALSE)</f>
        <v>157</v>
      </c>
      <c r="S169" s="11">
        <f>VLOOKUP($G169, '26 ADP Data'!$C$4:$Q$298, 9, FALSE)</f>
        <v>156</v>
      </c>
      <c r="T169" s="11" t="str">
        <f>VLOOKUP($G169, '26 ADP Data'!$C$4:$Q$298, 8, FALSE)</f>
        <v>-</v>
      </c>
      <c r="U169" s="11">
        <f t="shared" si="7"/>
        <v>166</v>
      </c>
      <c r="V169" s="11">
        <f t="shared" si="8"/>
        <v>14</v>
      </c>
      <c r="W169" s="11"/>
      <c r="X169" s="11">
        <f>VLOOKUP($G169, SeanRanks26!$A$2:$K$303, 10, FALSE)-U169</f>
        <v>22</v>
      </c>
      <c r="Y169" s="29" t="str">
        <f>IF(VLOOKUP($G169, SeanRanks26!$A$2:$H$303, 8, FALSE)=0, "", VLOOKUP($G169, SeanRanks26!$A$2:$H$303, 8, FALSE))</f>
        <v/>
      </c>
    </row>
    <row r="170" ht="14.25" customHeight="1">
      <c r="A170" s="11"/>
      <c r="B170" s="11">
        <f t="shared" si="4"/>
        <v>15</v>
      </c>
      <c r="C170" s="11" t="s">
        <v>106</v>
      </c>
      <c r="D170" s="11"/>
      <c r="E170" s="27"/>
      <c r="F170" s="11" t="str">
        <f>VLOOKUP($G170, SeanRanks26!$A$2:$H$303, 5, FALSE)</f>
        <v/>
      </c>
      <c r="G170" s="16" t="s">
        <v>420</v>
      </c>
      <c r="H170" s="11" t="str">
        <f>VLOOKUP($G170, '26 ADP Data'!$C$4:$Q$298, 2, FALSE)</f>
        <v>HOU</v>
      </c>
      <c r="I170" s="11" t="str">
        <f>VLOOKUP(G170, '26 ADP Data'!$C$4:$R$496, 16, FALSE)</f>
        <v>TE</v>
      </c>
      <c r="J170" s="11" t="str">
        <f>VLOOKUP($G170, SeanRanks26!$A$2:$H$303, 6, FALSE)</f>
        <v/>
      </c>
      <c r="K170" s="11" t="str">
        <f>VLOOKUP($G170, SeanRanks26!$A$2:$H$303, 7, FALSE)</f>
        <v/>
      </c>
      <c r="L170" s="11">
        <f t="shared" si="5"/>
        <v>13</v>
      </c>
      <c r="M170" s="11">
        <f>VLOOKUP($G170, '26 ADP Data'!$C$4:$Q$298, 10, FALSE)</f>
        <v>151</v>
      </c>
      <c r="N170" s="11">
        <f>VLOOKUP($G170, '26 ADP Data'!$C$4:$Q$298, 13, FALSE)</f>
        <v>163</v>
      </c>
      <c r="O170" s="11">
        <f t="shared" si="6"/>
        <v>-12</v>
      </c>
      <c r="P170" s="11">
        <f>VLOOKUP($G170, '26 ADP Data'!$C$4:$Q$298, 3, FALSE)</f>
        <v>173</v>
      </c>
      <c r="Q170" s="11">
        <f>VLOOKUP($G170, '26 ADP Data'!$C$4:$Q$298, 4, FALSE)</f>
        <v>188</v>
      </c>
      <c r="R170" s="11">
        <f>VLOOKUP($G170, '26 ADP Data'!$C$4:$Q$298, 6, FALSE)</f>
        <v>145</v>
      </c>
      <c r="S170" s="11">
        <f>VLOOKUP($G170, '26 ADP Data'!$C$4:$Q$298, 9, FALSE)</f>
        <v>189</v>
      </c>
      <c r="T170" s="11" t="str">
        <f>VLOOKUP($G170, '26 ADP Data'!$C$4:$Q$298, 8, FALSE)</f>
        <v>-</v>
      </c>
      <c r="U170" s="11">
        <f t="shared" si="7"/>
        <v>168</v>
      </c>
      <c r="V170" s="11">
        <f t="shared" si="8"/>
        <v>15</v>
      </c>
      <c r="W170" s="11"/>
      <c r="X170" s="11">
        <f>VLOOKUP($G170, SeanRanks26!$A$2:$K$303, 10, FALSE)-U170</f>
        <v>-17</v>
      </c>
      <c r="Y170" s="29" t="str">
        <f>IF(VLOOKUP($G170, SeanRanks26!$A$2:$H$303, 8, FALSE)=0, "", VLOOKUP($G170, SeanRanks26!$A$2:$H$303, 8, FALSE))</f>
        <v/>
      </c>
    </row>
    <row r="171" ht="14.25" customHeight="1">
      <c r="A171" s="11"/>
      <c r="B171" s="11">
        <f t="shared" si="4"/>
        <v>15</v>
      </c>
      <c r="C171" s="11" t="s">
        <v>106</v>
      </c>
      <c r="D171" s="11"/>
      <c r="E171" s="27"/>
      <c r="F171" s="11" t="str">
        <f>VLOOKUP($G171, SeanRanks26!$A$2:$H$303, 5, FALSE)</f>
        <v/>
      </c>
      <c r="G171" s="16" t="s">
        <v>409</v>
      </c>
      <c r="H171" s="11" t="str">
        <f>VLOOKUP($G171, '26 ADP Data'!$C$4:$Q$298, 2, FALSE)</f>
        <v>WAS</v>
      </c>
      <c r="I171" s="11" t="str">
        <f>VLOOKUP(G171, '26 ADP Data'!$C$4:$R$496, 16, FALSE)</f>
        <v>TE</v>
      </c>
      <c r="J171" s="11" t="str">
        <f>VLOOKUP($G171, SeanRanks26!$A$2:$H$303, 6, FALSE)</f>
        <v/>
      </c>
      <c r="K171" s="11" t="str">
        <f>VLOOKUP($G171, SeanRanks26!$A$2:$H$303, 7, FALSE)</f>
        <v/>
      </c>
      <c r="L171" s="11">
        <f t="shared" si="5"/>
        <v>13</v>
      </c>
      <c r="M171" s="11">
        <f>VLOOKUP($G171, '26 ADP Data'!$C$4:$Q$298, 10, FALSE)</f>
        <v>152</v>
      </c>
      <c r="N171" s="11">
        <f>VLOOKUP($G171, '26 ADP Data'!$C$4:$Q$298, 13, FALSE)</f>
        <v>146</v>
      </c>
      <c r="O171" s="11">
        <f t="shared" si="6"/>
        <v>6</v>
      </c>
      <c r="P171" s="11">
        <f>VLOOKUP($G171, '26 ADP Data'!$C$4:$Q$298, 3, FALSE)</f>
        <v>189</v>
      </c>
      <c r="Q171" s="11">
        <f>VLOOKUP($G171, '26 ADP Data'!$C$4:$Q$298, 4, FALSE)</f>
        <v>232</v>
      </c>
      <c r="R171" s="11">
        <f>VLOOKUP($G171, '26 ADP Data'!$C$4:$Q$298, 6, FALSE)</f>
        <v>127</v>
      </c>
      <c r="S171" s="11">
        <f>VLOOKUP($G171, '26 ADP Data'!$C$4:$Q$298, 9, FALSE)</f>
        <v>170</v>
      </c>
      <c r="T171" s="11" t="str">
        <f>VLOOKUP($G171, '26 ADP Data'!$C$4:$Q$298, 8, FALSE)</f>
        <v>-</v>
      </c>
      <c r="U171" s="11">
        <f t="shared" si="7"/>
        <v>169</v>
      </c>
      <c r="V171" s="11">
        <f t="shared" si="8"/>
        <v>15</v>
      </c>
      <c r="W171" s="11"/>
      <c r="X171" s="11">
        <f>VLOOKUP($G171, SeanRanks26!$A$2:$K$303, 10, FALSE)-U171</f>
        <v>-17</v>
      </c>
      <c r="Y171" s="29" t="str">
        <f>IF(VLOOKUP($G171, SeanRanks26!$A$2:$H$303, 8, FALSE)=0, "", VLOOKUP($G171, SeanRanks26!$A$2:$H$303, 8, FALSE))</f>
        <v/>
      </c>
    </row>
    <row r="172" ht="14.25" customHeight="1">
      <c r="A172" s="11"/>
      <c r="B172" s="11">
        <f t="shared" si="4"/>
        <v>15</v>
      </c>
      <c r="C172" s="11" t="s">
        <v>106</v>
      </c>
      <c r="D172" s="11"/>
      <c r="E172" s="27"/>
      <c r="F172" s="11" t="str">
        <f>VLOOKUP($G172, SeanRanks26!$A$2:$H$303, 5, FALSE)</f>
        <v>Yes</v>
      </c>
      <c r="G172" s="16" t="s">
        <v>422</v>
      </c>
      <c r="H172" s="11" t="str">
        <f>VLOOKUP($G172, '26 ADP Data'!$C$4:$Q$298, 2, FALSE)</f>
        <v>ATL</v>
      </c>
      <c r="I172" s="11" t="str">
        <f>VLOOKUP(G172, '26 ADP Data'!$C$4:$R$496, 16, FALSE)</f>
        <v>RB</v>
      </c>
      <c r="J172" s="11" t="str">
        <f>VLOOKUP($G172, SeanRanks26!$A$2:$H$303, 6, FALSE)</f>
        <v>RB4</v>
      </c>
      <c r="K172" s="11">
        <f>VLOOKUP($G172, SeanRanks26!$A$2:$H$303, 7, FALSE)</f>
        <v>49</v>
      </c>
      <c r="L172" s="11">
        <f t="shared" si="5"/>
        <v>13</v>
      </c>
      <c r="M172" s="11">
        <f>VLOOKUP($G172, '26 ADP Data'!$C$4:$Q$298, 10, FALSE)</f>
        <v>154</v>
      </c>
      <c r="N172" s="11">
        <f>VLOOKUP($G172, '26 ADP Data'!$C$4:$Q$298, 13, FALSE)</f>
        <v>182</v>
      </c>
      <c r="O172" s="11">
        <f t="shared" si="6"/>
        <v>-28</v>
      </c>
      <c r="P172" s="11">
        <f>VLOOKUP($G172, '26 ADP Data'!$C$4:$Q$298, 3, FALSE)</f>
        <v>184</v>
      </c>
      <c r="Q172" s="11">
        <f>VLOOKUP($G172, '26 ADP Data'!$C$4:$Q$298, 4, FALSE)</f>
        <v>170</v>
      </c>
      <c r="R172" s="11">
        <f>VLOOKUP($G172, '26 ADP Data'!$C$4:$Q$298, 6, FALSE)</f>
        <v>165</v>
      </c>
      <c r="S172" s="11">
        <f>VLOOKUP($G172, '26 ADP Data'!$C$4:$Q$298, 9, FALSE)</f>
        <v>160</v>
      </c>
      <c r="T172" s="11" t="str">
        <f>VLOOKUP($G172, '26 ADP Data'!$C$4:$Q$298, 8, FALSE)</f>
        <v>-</v>
      </c>
      <c r="U172" s="11">
        <f t="shared" si="7"/>
        <v>169</v>
      </c>
      <c r="V172" s="11">
        <f t="shared" si="8"/>
        <v>15</v>
      </c>
      <c r="W172" s="11"/>
      <c r="X172" s="11">
        <f>VLOOKUP($G172, SeanRanks26!$A$2:$K$303, 10, FALSE)-U172</f>
        <v>-15</v>
      </c>
      <c r="Y172" s="29" t="str">
        <f>IF(VLOOKUP($G172, SeanRanks26!$A$2:$H$303, 8, FALSE)=0, "", VLOOKUP($G172, SeanRanks26!$A$2:$H$303, 8, FALSE))</f>
        <v/>
      </c>
    </row>
    <row r="173" ht="14.25" customHeight="1">
      <c r="A173" s="11"/>
      <c r="B173" s="11">
        <f t="shared" si="4"/>
        <v>14</v>
      </c>
      <c r="C173" s="11" t="s">
        <v>106</v>
      </c>
      <c r="D173" s="11"/>
      <c r="E173" s="27"/>
      <c r="F173" s="11" t="str">
        <f>VLOOKUP($G173, SeanRanks26!$A$2:$H$303, 5, FALSE)</f>
        <v/>
      </c>
      <c r="G173" s="16" t="s">
        <v>426</v>
      </c>
      <c r="H173" s="11" t="str">
        <f>VLOOKUP($G173, '26 ADP Data'!$C$4:$Q$298, 2, FALSE)</f>
        <v>MIN</v>
      </c>
      <c r="I173" s="11" t="str">
        <f>VLOOKUP(G173, '26 ADP Data'!$C$4:$R$496, 16, FALSE)</f>
        <v>TE</v>
      </c>
      <c r="J173" s="11" t="str">
        <f>VLOOKUP($G173, SeanRanks26!$A$2:$H$303, 6, FALSE)</f>
        <v/>
      </c>
      <c r="K173" s="11" t="str">
        <f>VLOOKUP($G173, SeanRanks26!$A$2:$H$303, 7, FALSE)</f>
        <v/>
      </c>
      <c r="L173" s="11">
        <f t="shared" si="5"/>
        <v>17</v>
      </c>
      <c r="M173" s="11">
        <f>VLOOKUP($G173, '26 ADP Data'!$C$4:$Q$298, 10, FALSE)</f>
        <v>198</v>
      </c>
      <c r="N173" s="11">
        <f>VLOOKUP($G173, '26 ADP Data'!$C$4:$Q$298, 13, FALSE)</f>
        <v>167</v>
      </c>
      <c r="O173" s="11">
        <f t="shared" si="6"/>
        <v>31</v>
      </c>
      <c r="P173" s="11">
        <f>VLOOKUP($G173, '26 ADP Data'!$C$4:$Q$298, 3, FALSE)</f>
        <v>196</v>
      </c>
      <c r="Q173" s="11">
        <f>VLOOKUP($G173, '26 ADP Data'!$C$4:$Q$298, 4, FALSE)</f>
        <v>124</v>
      </c>
      <c r="R173" s="11">
        <f>VLOOKUP($G173, '26 ADP Data'!$C$4:$Q$298, 6, FALSE)</f>
        <v>147</v>
      </c>
      <c r="S173" s="11">
        <f>VLOOKUP($G173, '26 ADP Data'!$C$4:$Q$298, 9, FALSE)</f>
        <v>186</v>
      </c>
      <c r="T173" s="11" t="str">
        <f>VLOOKUP($G173, '26 ADP Data'!$C$4:$Q$298, 8, FALSE)</f>
        <v>-</v>
      </c>
      <c r="U173" s="11">
        <f t="shared" si="7"/>
        <v>169</v>
      </c>
      <c r="V173" s="11">
        <f t="shared" si="8"/>
        <v>15</v>
      </c>
      <c r="W173" s="11"/>
      <c r="X173" s="11">
        <f>VLOOKUP($G173, SeanRanks26!$A$2:$K$303, 10, FALSE)-U173</f>
        <v>29</v>
      </c>
      <c r="Y173" s="29" t="str">
        <f>IF(VLOOKUP($G173, SeanRanks26!$A$2:$H$303, 8, FALSE)=0, "", VLOOKUP($G173, SeanRanks26!$A$2:$H$303, 8, FALSE))</f>
        <v/>
      </c>
    </row>
    <row r="174" ht="14.25" customHeight="1">
      <c r="A174" s="16" t="s">
        <v>106</v>
      </c>
      <c r="B174" s="11">
        <f t="shared" si="4"/>
        <v>14</v>
      </c>
      <c r="C174" s="16" t="s">
        <v>95</v>
      </c>
      <c r="D174" s="11"/>
      <c r="E174" s="27"/>
      <c r="F174" s="11" t="str">
        <f>VLOOKUP($G174, SeanRanks26!$A$2:$H$303, 5, FALSE)</f>
        <v/>
      </c>
      <c r="G174" s="16" t="s">
        <v>431</v>
      </c>
      <c r="H174" s="11" t="str">
        <f>VLOOKUP($G174, '26 ADP Data'!$C$4:$Q$298, 2, FALSE)</f>
        <v>NYJ</v>
      </c>
      <c r="I174" s="11" t="str">
        <f>VLOOKUP(G174, '26 ADP Data'!$C$4:$R$496, 16, FALSE)</f>
        <v>TE</v>
      </c>
      <c r="J174" s="11" t="str">
        <f>VLOOKUP($G174, SeanRanks26!$A$2:$H$303, 6, FALSE)</f>
        <v/>
      </c>
      <c r="K174" s="11" t="str">
        <f>VLOOKUP($G174, SeanRanks26!$A$2:$H$303, 7, FALSE)</f>
        <v/>
      </c>
      <c r="L174" s="11">
        <f t="shared" si="5"/>
        <v>17</v>
      </c>
      <c r="M174" s="11">
        <f>VLOOKUP($G174, '26 ADP Data'!$C$4:$Q$298, 10, FALSE)</f>
        <v>203</v>
      </c>
      <c r="N174" s="11">
        <f>VLOOKUP($G174, '26 ADP Data'!$C$4:$Q$298, 13, FALSE)</f>
        <v>178</v>
      </c>
      <c r="O174" s="11">
        <f t="shared" si="6"/>
        <v>25</v>
      </c>
      <c r="P174" s="11">
        <f>VLOOKUP($G174, '26 ADP Data'!$C$4:$Q$298, 3, FALSE)</f>
        <v>187</v>
      </c>
      <c r="Q174" s="11">
        <f>VLOOKUP($G174, '26 ADP Data'!$C$4:$Q$298, 4, FALSE)</f>
        <v>143</v>
      </c>
      <c r="R174" s="11">
        <f>VLOOKUP($G174, '26 ADP Data'!$C$4:$Q$298, 6, FALSE)</f>
        <v>156</v>
      </c>
      <c r="S174" s="11">
        <f>VLOOKUP($G174, '26 ADP Data'!$C$4:$Q$298, 9, FALSE)</f>
        <v>150</v>
      </c>
      <c r="T174" s="11" t="str">
        <f>VLOOKUP($G174, '26 ADP Data'!$C$4:$Q$298, 8, FALSE)</f>
        <v>-</v>
      </c>
      <c r="U174" s="11">
        <f t="shared" si="7"/>
        <v>169</v>
      </c>
      <c r="V174" s="11">
        <f t="shared" si="8"/>
        <v>15</v>
      </c>
      <c r="W174" s="11"/>
      <c r="X174" s="11">
        <f>VLOOKUP($G174, SeanRanks26!$A$2:$K$303, 10, FALSE)-U174</f>
        <v>34</v>
      </c>
      <c r="Y174" s="29" t="str">
        <f>IF(VLOOKUP($G174, SeanRanks26!$A$2:$H$303, 8, FALSE)=0, "", VLOOKUP($G174, SeanRanks26!$A$2:$H$303, 8, FALSE))</f>
        <v/>
      </c>
    </row>
    <row r="175" ht="14.25" customHeight="1">
      <c r="A175" s="11"/>
      <c r="B175" s="11">
        <f t="shared" si="4"/>
        <v>14</v>
      </c>
      <c r="C175" s="11" t="s">
        <v>106</v>
      </c>
      <c r="D175" s="11"/>
      <c r="E175" s="27"/>
      <c r="F175" s="11" t="str">
        <f>VLOOKUP($G175, SeanRanks26!$A$2:$H$303, 5, FALSE)</f>
        <v/>
      </c>
      <c r="G175" s="16" t="s">
        <v>418</v>
      </c>
      <c r="H175" s="11" t="str">
        <f>VLOOKUP($G175, '26 ADP Data'!$C$4:$Q$298, 2, FALSE)</f>
        <v>DET</v>
      </c>
      <c r="I175" s="11" t="str">
        <f>VLOOKUP(G175, '26 ADP Data'!$C$4:$R$496, 16, FALSE)</f>
        <v>RB</v>
      </c>
      <c r="J175" s="11" t="str">
        <f>VLOOKUP($G175, SeanRanks26!$A$2:$H$303, 6, FALSE)</f>
        <v>RB4</v>
      </c>
      <c r="K175" s="11">
        <f>VLOOKUP($G175, SeanRanks26!$A$2:$H$303, 7, FALSE)</f>
        <v>43</v>
      </c>
      <c r="L175" s="11">
        <f t="shared" si="5"/>
        <v>15</v>
      </c>
      <c r="M175" s="11">
        <f>VLOOKUP($G175, '26 ADP Data'!$C$4:$Q$298, 10, FALSE)</f>
        <v>178</v>
      </c>
      <c r="N175" s="11">
        <f>VLOOKUP($G175, '26 ADP Data'!$C$4:$Q$298, 13, FALSE)</f>
        <v>187</v>
      </c>
      <c r="O175" s="11">
        <f t="shared" si="6"/>
        <v>-9</v>
      </c>
      <c r="P175" s="11">
        <f>VLOOKUP($G175, '26 ADP Data'!$C$4:$Q$298, 3, FALSE)</f>
        <v>153</v>
      </c>
      <c r="Q175" s="11">
        <f>VLOOKUP($G175, '26 ADP Data'!$C$4:$Q$298, 4, FALSE)</f>
        <v>165</v>
      </c>
      <c r="R175" s="11">
        <f>VLOOKUP($G175, '26 ADP Data'!$C$4:$Q$298, 6, FALSE)</f>
        <v>161</v>
      </c>
      <c r="S175" s="11">
        <f>VLOOKUP($G175, '26 ADP Data'!$C$4:$Q$298, 9, FALSE)</f>
        <v>179</v>
      </c>
      <c r="T175" s="11" t="str">
        <f>VLOOKUP($G175, '26 ADP Data'!$C$4:$Q$298, 8, FALSE)</f>
        <v>-</v>
      </c>
      <c r="U175" s="11">
        <f t="shared" si="7"/>
        <v>170</v>
      </c>
      <c r="V175" s="11">
        <f t="shared" si="8"/>
        <v>15</v>
      </c>
      <c r="W175" s="11"/>
      <c r="X175" s="11">
        <f>VLOOKUP($G175, SeanRanks26!$A$2:$K$303, 10, FALSE)-U175</f>
        <v>8</v>
      </c>
      <c r="Y175" s="29" t="str">
        <f>IF(VLOOKUP($G175, SeanRanks26!$A$2:$H$303, 8, FALSE)=0, "", VLOOKUP($G175, SeanRanks26!$A$2:$H$303, 8, FALSE))</f>
        <v/>
      </c>
    </row>
    <row r="176" ht="14.25" customHeight="1">
      <c r="A176" s="11"/>
      <c r="B176" s="11">
        <f t="shared" si="4"/>
        <v>14</v>
      </c>
      <c r="C176" s="11" t="s">
        <v>106</v>
      </c>
      <c r="D176" s="11"/>
      <c r="E176" s="27"/>
      <c r="F176" s="11" t="str">
        <f>VLOOKUP($G176, SeanRanks26!$A$2:$H$303, 5, FALSE)</f>
        <v/>
      </c>
      <c r="G176" s="16" t="s">
        <v>448</v>
      </c>
      <c r="H176" s="11" t="str">
        <f>VLOOKUP($G176, '26 ADP Data'!$C$4:$Q$298, 2, FALSE)</f>
        <v>CLE</v>
      </c>
      <c r="I176" s="11" t="str">
        <f>VLOOKUP(G176, '26 ADP Data'!$C$4:$R$496, 16, FALSE)</f>
        <v>RB</v>
      </c>
      <c r="J176" s="11" t="str">
        <f>VLOOKUP($G176, SeanRanks26!$A$2:$H$303, 6, FALSE)</f>
        <v/>
      </c>
      <c r="K176" s="11" t="str">
        <f>VLOOKUP($G176, SeanRanks26!$A$2:$H$303, 7, FALSE)</f>
        <v/>
      </c>
      <c r="L176" s="11">
        <f t="shared" si="5"/>
        <v>15</v>
      </c>
      <c r="M176" s="11">
        <f>VLOOKUP($G176, '26 ADP Data'!$C$4:$Q$298, 10, FALSE)</f>
        <v>179</v>
      </c>
      <c r="N176" s="11">
        <f>VLOOKUP($G176, '26 ADP Data'!$C$4:$Q$298, 13, FALSE)</f>
        <v>171</v>
      </c>
      <c r="O176" s="11">
        <f t="shared" si="6"/>
        <v>8</v>
      </c>
      <c r="P176" s="11">
        <f>VLOOKUP($G176, '26 ADP Data'!$C$4:$Q$298, 3, FALSE)</f>
        <v>169</v>
      </c>
      <c r="Q176" s="11" t="str">
        <f>VLOOKUP($G176, '26 ADP Data'!$C$4:$Q$298, 4, FALSE)</f>
        <v>-</v>
      </c>
      <c r="R176" s="11">
        <f>VLOOKUP($G176, '26 ADP Data'!$C$4:$Q$298, 6, FALSE)</f>
        <v>154</v>
      </c>
      <c r="S176" s="11">
        <f>VLOOKUP($G176, '26 ADP Data'!$C$4:$Q$298, 9, FALSE)</f>
        <v>177</v>
      </c>
      <c r="T176" s="11" t="str">
        <f>VLOOKUP($G176, '26 ADP Data'!$C$4:$Q$298, 8, FALSE)</f>
        <v>-</v>
      </c>
      <c r="U176" s="11">
        <f t="shared" si="7"/>
        <v>170</v>
      </c>
      <c r="V176" s="11">
        <f t="shared" si="8"/>
        <v>15</v>
      </c>
      <c r="W176" s="11"/>
      <c r="X176" s="11">
        <f>VLOOKUP($G176, SeanRanks26!$A$2:$K$303, 10, FALSE)-U176</f>
        <v>9</v>
      </c>
      <c r="Y176" s="29" t="str">
        <f>IF(VLOOKUP($G176, SeanRanks26!$A$2:$H$303, 8, FALSE)=0, "", VLOOKUP($G176, SeanRanks26!$A$2:$H$303, 8, FALSE))</f>
        <v>2025 Rookie R4</v>
      </c>
    </row>
    <row r="177" ht="14.25" customHeight="1">
      <c r="A177" s="11"/>
      <c r="B177" s="11">
        <f t="shared" si="4"/>
        <v>16</v>
      </c>
      <c r="C177" s="11" t="s">
        <v>106</v>
      </c>
      <c r="D177" s="11"/>
      <c r="E177" s="27"/>
      <c r="F177" s="11" t="str">
        <f>VLOOKUP($G177, SeanRanks26!$A$2:$H$303, 5, FALSE)</f>
        <v/>
      </c>
      <c r="G177" s="16" t="s">
        <v>451</v>
      </c>
      <c r="H177" s="11" t="str">
        <f>VLOOKUP($G177, '26 ADP Data'!$C$4:$Q$298, 2, FALSE)</f>
        <v>TB</v>
      </c>
      <c r="I177" s="11" t="str">
        <f>VLOOKUP(G177, '26 ADP Data'!$C$4:$R$496, 16, FALSE)</f>
        <v>WR</v>
      </c>
      <c r="J177" s="11" t="str">
        <f>VLOOKUP($G177, SeanRanks26!$A$2:$H$303, 6, FALSE)</f>
        <v>WR4 - 2 - Spot Start</v>
      </c>
      <c r="K177" s="11">
        <f>VLOOKUP($G177, SeanRanks26!$A$2:$H$303, 7, FALSE)</f>
        <v>45</v>
      </c>
      <c r="L177" s="11">
        <f t="shared" si="5"/>
        <v>13</v>
      </c>
      <c r="M177" s="11">
        <f>VLOOKUP($G177, '26 ADP Data'!$C$4:$Q$298, 10, FALSE)</f>
        <v>150</v>
      </c>
      <c r="N177" s="11">
        <f>VLOOKUP($G177, '26 ADP Data'!$C$4:$Q$298, 13, FALSE)</f>
        <v>157</v>
      </c>
      <c r="O177" s="11">
        <f t="shared" si="6"/>
        <v>-7</v>
      </c>
      <c r="P177" s="11" t="str">
        <f>VLOOKUP($G177, '26 ADP Data'!$C$4:$Q$298, 3, FALSE)</f>
        <v>-</v>
      </c>
      <c r="Q177" s="11">
        <f>VLOOKUP($G177, '26 ADP Data'!$C$4:$Q$298, 4, FALSE)</f>
        <v>190</v>
      </c>
      <c r="R177" s="11">
        <f>VLOOKUP($G177, '26 ADP Data'!$C$4:$Q$298, 6, FALSE)</f>
        <v>168</v>
      </c>
      <c r="S177" s="11">
        <f>VLOOKUP($G177, '26 ADP Data'!$C$4:$Q$298, 9, FALSE)</f>
        <v>192</v>
      </c>
      <c r="T177" s="11" t="str">
        <f>VLOOKUP($G177, '26 ADP Data'!$C$4:$Q$298, 8, FALSE)</f>
        <v>-</v>
      </c>
      <c r="U177" s="11">
        <f t="shared" si="7"/>
        <v>171</v>
      </c>
      <c r="V177" s="11">
        <f t="shared" si="8"/>
        <v>15</v>
      </c>
      <c r="W177" s="11"/>
      <c r="X177" s="11">
        <f>VLOOKUP($G177, SeanRanks26!$A$2:$K$303, 10, FALSE)-U177</f>
        <v>-21</v>
      </c>
      <c r="Y177" s="29" t="str">
        <f>IF(VLOOKUP($G177, SeanRanks26!$A$2:$H$303, 8, FALSE)=0, "", VLOOKUP($G177, SeanRanks26!$A$2:$H$303, 8, FALSE))</f>
        <v/>
      </c>
    </row>
    <row r="178" ht="14.25" customHeight="1">
      <c r="A178" s="11"/>
      <c r="B178" s="11">
        <f t="shared" si="4"/>
        <v>15</v>
      </c>
      <c r="C178" s="11" t="s">
        <v>106</v>
      </c>
      <c r="D178" s="11"/>
      <c r="E178" s="27"/>
      <c r="F178" s="11" t="str">
        <f>VLOOKUP($G178, SeanRanks26!$A$2:$H$303, 5, FALSE)</f>
        <v/>
      </c>
      <c r="G178" s="16" t="s">
        <v>424</v>
      </c>
      <c r="H178" s="11" t="str">
        <f>VLOOKUP($G178, '26 ADP Data'!$C$4:$Q$298, 2, FALSE)</f>
        <v>HOU</v>
      </c>
      <c r="I178" s="11" t="str">
        <f>VLOOKUP(G178, '26 ADP Data'!$C$4:$R$496, 16, FALSE)</f>
        <v>QB</v>
      </c>
      <c r="J178" s="11" t="str">
        <f>VLOOKUP($G178, SeanRanks26!$A$2:$H$303, 6, FALSE)</f>
        <v/>
      </c>
      <c r="K178" s="11" t="str">
        <f>VLOOKUP($G178, SeanRanks26!$A$2:$H$303, 7, FALSE)</f>
        <v/>
      </c>
      <c r="L178" s="11">
        <f t="shared" si="5"/>
        <v>15</v>
      </c>
      <c r="M178" s="11">
        <f>VLOOKUP($G178, '26 ADP Data'!$C$4:$Q$298, 10, FALSE)</f>
        <v>169</v>
      </c>
      <c r="N178" s="11">
        <f>VLOOKUP($G178, '26 ADP Data'!$C$4:$Q$298, 13, FALSE)</f>
        <v>145</v>
      </c>
      <c r="O178" s="11">
        <f t="shared" si="6"/>
        <v>24</v>
      </c>
      <c r="P178" s="11">
        <f>VLOOKUP($G178, '26 ADP Data'!$C$4:$Q$298, 3, FALSE)</f>
        <v>166</v>
      </c>
      <c r="Q178" s="11">
        <f>VLOOKUP($G178, '26 ADP Data'!$C$4:$Q$298, 4, FALSE)</f>
        <v>172</v>
      </c>
      <c r="R178" s="11">
        <f>VLOOKUP($G178, '26 ADP Data'!$C$4:$Q$298, 6, FALSE)</f>
        <v>188</v>
      </c>
      <c r="S178" s="11">
        <f>VLOOKUP($G178, '26 ADP Data'!$C$4:$Q$298, 9, FALSE)</f>
        <v>191</v>
      </c>
      <c r="T178" s="11" t="str">
        <f>VLOOKUP($G178, '26 ADP Data'!$C$4:$Q$298, 8, FALSE)</f>
        <v>-</v>
      </c>
      <c r="U178" s="11">
        <f t="shared" si="7"/>
        <v>171</v>
      </c>
      <c r="V178" s="11">
        <f t="shared" si="8"/>
        <v>15</v>
      </c>
      <c r="W178" s="11"/>
      <c r="X178" s="11">
        <f>VLOOKUP($G178, SeanRanks26!$A$2:$K$303, 10, FALSE)-U178</f>
        <v>-2</v>
      </c>
      <c r="Y178" s="29" t="str">
        <f>IF(VLOOKUP($G178, SeanRanks26!$A$2:$H$303, 8, FALSE)=0, "", VLOOKUP($G178, SeanRanks26!$A$2:$H$303, 8, FALSE))</f>
        <v/>
      </c>
    </row>
    <row r="179" ht="14.25" customHeight="1">
      <c r="A179" s="11"/>
      <c r="B179" s="11">
        <f t="shared" si="4"/>
        <v>12</v>
      </c>
      <c r="C179" s="11" t="s">
        <v>106</v>
      </c>
      <c r="D179" s="11"/>
      <c r="E179" s="27"/>
      <c r="F179" s="11" t="str">
        <f>VLOOKUP($G179, SeanRanks26!$A$2:$H$303, 5, FALSE)</f>
        <v/>
      </c>
      <c r="G179" s="16" t="s">
        <v>500</v>
      </c>
      <c r="H179" s="11" t="str">
        <f>VLOOKUP($G179, '26 ADP Data'!$C$4:$Q$298, 2, FALSE)</f>
        <v>LAC</v>
      </c>
      <c r="I179" s="11" t="str">
        <f>VLOOKUP(G179, '26 ADP Data'!$C$4:$R$496, 16, FALSE)</f>
        <v>TE</v>
      </c>
      <c r="J179" s="11" t="str">
        <f>VLOOKUP($G179, SeanRanks26!$A$2:$H$303, 6, FALSE)</f>
        <v/>
      </c>
      <c r="K179" s="11" t="str">
        <f>VLOOKUP($G179, SeanRanks26!$A$2:$H$303, 7, FALSE)</f>
        <v/>
      </c>
      <c r="L179" s="11">
        <f t="shared" si="5"/>
        <v>19</v>
      </c>
      <c r="M179" s="11">
        <f>VLOOKUP($G179, '26 ADP Data'!$C$4:$Q$298, 10, FALSE)</f>
        <v>224</v>
      </c>
      <c r="N179" s="11">
        <f>VLOOKUP($G179, '26 ADP Data'!$C$4:$Q$298, 13, FALSE)</f>
        <v>190</v>
      </c>
      <c r="O179" s="11">
        <f t="shared" si="6"/>
        <v>34</v>
      </c>
      <c r="P179" s="11" t="str">
        <f>VLOOKUP($G179, '26 ADP Data'!$C$4:$Q$298, 3, FALSE)</f>
        <v>-</v>
      </c>
      <c r="Q179" s="11" t="str">
        <f>VLOOKUP($G179, '26 ADP Data'!$C$4:$Q$298, 4, FALSE)</f>
        <v>-</v>
      </c>
      <c r="R179" s="11">
        <f>VLOOKUP($G179, '26 ADP Data'!$C$4:$Q$298, 6, FALSE)</f>
        <v>155</v>
      </c>
      <c r="S179" s="11">
        <f>VLOOKUP($G179, '26 ADP Data'!$C$4:$Q$298, 9, FALSE)</f>
        <v>117</v>
      </c>
      <c r="T179" s="11" t="str">
        <f>VLOOKUP($G179, '26 ADP Data'!$C$4:$Q$298, 8, FALSE)</f>
        <v>-</v>
      </c>
      <c r="U179" s="11">
        <f t="shared" si="7"/>
        <v>171</v>
      </c>
      <c r="V179" s="11">
        <f t="shared" si="8"/>
        <v>15</v>
      </c>
      <c r="W179" s="11"/>
      <c r="X179" s="11">
        <f>VLOOKUP($G179, SeanRanks26!$A$2:$K$303, 10, FALSE)-U179</f>
        <v>53</v>
      </c>
      <c r="Y179" s="29" t="str">
        <f>IF(VLOOKUP($G179, SeanRanks26!$A$2:$H$303, 8, FALSE)=0, "", VLOOKUP($G179, SeanRanks26!$A$2:$H$303, 8, FALSE))</f>
        <v/>
      </c>
    </row>
    <row r="180" ht="14.25" customHeight="1">
      <c r="A180" s="11"/>
      <c r="B180" s="11">
        <f t="shared" si="4"/>
        <v>15</v>
      </c>
      <c r="C180" s="11" t="s">
        <v>106</v>
      </c>
      <c r="D180" s="11"/>
      <c r="E180" s="27"/>
      <c r="F180" s="11" t="str">
        <f>VLOOKUP($G180, SeanRanks26!$A$2:$H$303, 5, FALSE)</f>
        <v>Yes</v>
      </c>
      <c r="G180" s="16" t="s">
        <v>456</v>
      </c>
      <c r="H180" s="11" t="str">
        <f>VLOOKUP($G180, '26 ADP Data'!$C$4:$Q$298, 2, FALSE)</f>
        <v>BAL</v>
      </c>
      <c r="I180" s="11" t="str">
        <f>VLOOKUP(G180, '26 ADP Data'!$C$4:$R$496, 16, FALSE)</f>
        <v>WR</v>
      </c>
      <c r="J180" s="11" t="str">
        <f>VLOOKUP($G180, SeanRanks26!$A$2:$H$303, 6, FALSE)</f>
        <v>WR5</v>
      </c>
      <c r="K180" s="11">
        <f>VLOOKUP($G180, SeanRanks26!$A$2:$H$303, 7, FALSE)</f>
        <v>56</v>
      </c>
      <c r="L180" s="11">
        <f t="shared" si="5"/>
        <v>16</v>
      </c>
      <c r="M180" s="11">
        <f>VLOOKUP($G180, '26 ADP Data'!$C$4:$Q$298, 10, FALSE)</f>
        <v>189</v>
      </c>
      <c r="N180" s="11">
        <f>VLOOKUP($G180, '26 ADP Data'!$C$4:$Q$298, 13, FALSE)</f>
        <v>151</v>
      </c>
      <c r="O180" s="11">
        <f t="shared" si="6"/>
        <v>38</v>
      </c>
      <c r="P180" s="11">
        <f>VLOOKUP($G180, '26 ADP Data'!$C$4:$Q$298, 3, FALSE)</f>
        <v>168</v>
      </c>
      <c r="Q180" s="11">
        <f>VLOOKUP($G180, '26 ADP Data'!$C$4:$Q$298, 4, FALSE)</f>
        <v>182</v>
      </c>
      <c r="R180" s="11">
        <f>VLOOKUP($G180, '26 ADP Data'!$C$4:$Q$298, 6, FALSE)</f>
        <v>162</v>
      </c>
      <c r="S180" s="11">
        <f>VLOOKUP($G180, '26 ADP Data'!$C$4:$Q$298, 9, FALSE)</f>
        <v>184</v>
      </c>
      <c r="T180" s="11" t="str">
        <f>VLOOKUP($G180, '26 ADP Data'!$C$4:$Q$298, 8, FALSE)</f>
        <v>-</v>
      </c>
      <c r="U180" s="11">
        <f t="shared" si="7"/>
        <v>172</v>
      </c>
      <c r="V180" s="11">
        <f t="shared" si="8"/>
        <v>15</v>
      </c>
      <c r="W180" s="11"/>
      <c r="X180" s="11">
        <f>VLOOKUP($G180, SeanRanks26!$A$2:$K$303, 10, FALSE)-U180</f>
        <v>17</v>
      </c>
      <c r="Y180" s="29" t="str">
        <f>IF(VLOOKUP($G180, SeanRanks26!$A$2:$H$303, 8, FALSE)=0, "", VLOOKUP($G180, SeanRanks26!$A$2:$H$303, 8, FALSE))</f>
        <v>Rookie R3 USC</v>
      </c>
    </row>
    <row r="181" ht="14.25" customHeight="1">
      <c r="A181" s="11"/>
      <c r="B181" s="11">
        <f t="shared" si="4"/>
        <v>14</v>
      </c>
      <c r="C181" s="11" t="s">
        <v>106</v>
      </c>
      <c r="D181" s="11"/>
      <c r="E181" s="27"/>
      <c r="F181" s="11" t="str">
        <f>VLOOKUP($G181, SeanRanks26!$A$2:$H$303, 5, FALSE)</f>
        <v/>
      </c>
      <c r="G181" s="16" t="s">
        <v>502</v>
      </c>
      <c r="H181" s="11" t="str">
        <f>VLOOKUP($G181, '26 ADP Data'!$C$4:$Q$298, 2, FALSE)</f>
        <v>PIT</v>
      </c>
      <c r="I181" s="11" t="str">
        <f>VLOOKUP(G181, '26 ADP Data'!$C$4:$R$496, 16, FALSE)</f>
        <v>DE</v>
      </c>
      <c r="J181" s="11" t="str">
        <f>VLOOKUP($G181, SeanRanks26!$A$2:$H$303, 6, FALSE)</f>
        <v/>
      </c>
      <c r="K181" s="11" t="str">
        <f>VLOOKUP($G181, SeanRanks26!$A$2:$H$303, 7, FALSE)</f>
        <v/>
      </c>
      <c r="L181" s="11">
        <f t="shared" si="5"/>
        <v>17</v>
      </c>
      <c r="M181" s="11">
        <f>VLOOKUP($G181, '26 ADP Data'!$C$4:$Q$298, 10, FALSE)</f>
        <v>194</v>
      </c>
      <c r="N181" s="11" t="str">
        <f>VLOOKUP($G181, '26 ADP Data'!$C$4:$Q$298, 13, FALSE)</f>
        <v>-</v>
      </c>
      <c r="O181" s="11" t="str">
        <f t="shared" si="6"/>
        <v>#VALUE!</v>
      </c>
      <c r="P181" s="11">
        <f>VLOOKUP($G181, '26 ADP Data'!$C$4:$Q$298, 3, FALSE)</f>
        <v>150</v>
      </c>
      <c r="Q181" s="11">
        <f>VLOOKUP($G181, '26 ADP Data'!$C$4:$Q$298, 4, FALSE)</f>
        <v>109</v>
      </c>
      <c r="R181" s="11">
        <f>VLOOKUP($G181, '26 ADP Data'!$C$4:$Q$298, 6, FALSE)</f>
        <v>238</v>
      </c>
      <c r="S181" s="11">
        <f>VLOOKUP($G181, '26 ADP Data'!$C$4:$Q$298, 9, FALSE)</f>
        <v>172</v>
      </c>
      <c r="T181" s="11" t="str">
        <f>VLOOKUP($G181, '26 ADP Data'!$C$4:$Q$298, 8, FALSE)</f>
        <v>-</v>
      </c>
      <c r="U181" s="11">
        <f t="shared" si="7"/>
        <v>172</v>
      </c>
      <c r="V181" s="11">
        <f t="shared" si="8"/>
        <v>15</v>
      </c>
      <c r="W181" s="11"/>
      <c r="X181" s="11">
        <f>VLOOKUP($G181, SeanRanks26!$A$2:$K$303, 10, FALSE)-U181</f>
        <v>22</v>
      </c>
      <c r="Y181" s="29" t="str">
        <f>IF(VLOOKUP($G181, SeanRanks26!$A$2:$H$303, 8, FALSE)=0, "", VLOOKUP($G181, SeanRanks26!$A$2:$H$303, 8, FALSE))</f>
        <v/>
      </c>
    </row>
    <row r="182" ht="14.25" customHeight="1">
      <c r="A182" s="11"/>
      <c r="B182" s="11">
        <f t="shared" si="4"/>
        <v>16</v>
      </c>
      <c r="C182" s="11" t="s">
        <v>106</v>
      </c>
      <c r="D182" s="11"/>
      <c r="E182" s="27"/>
      <c r="F182" s="11" t="str">
        <f>VLOOKUP($G182, SeanRanks26!$A$2:$H$303, 5, FALSE)</f>
        <v>Yes</v>
      </c>
      <c r="G182" s="16" t="s">
        <v>413</v>
      </c>
      <c r="H182" s="11" t="str">
        <f>VLOOKUP($G182, '26 ADP Data'!$C$4:$Q$298, 2, FALSE)</f>
        <v>LV</v>
      </c>
      <c r="I182" s="11" t="str">
        <f>VLOOKUP(G182, '26 ADP Data'!$C$4:$R$496, 16, FALSE)</f>
        <v>WR</v>
      </c>
      <c r="J182" s="11" t="str">
        <f>VLOOKUP($G182, SeanRanks26!$A$2:$H$303, 6, FALSE)</f>
        <v>WR5</v>
      </c>
      <c r="K182" s="11">
        <f>VLOOKUP($G182, SeanRanks26!$A$2:$H$303, 7, FALSE)</f>
        <v>55</v>
      </c>
      <c r="L182" s="11">
        <f t="shared" si="5"/>
        <v>13</v>
      </c>
      <c r="M182" s="11">
        <f>VLOOKUP($G182, '26 ADP Data'!$C$4:$Q$298, 10, FALSE)</f>
        <v>149</v>
      </c>
      <c r="N182" s="11">
        <f>VLOOKUP($G182, '26 ADP Data'!$C$4:$Q$298, 13, FALSE)</f>
        <v>150</v>
      </c>
      <c r="O182" s="11">
        <f t="shared" si="6"/>
        <v>-1</v>
      </c>
      <c r="P182" s="11">
        <f>VLOOKUP($G182, '26 ADP Data'!$C$4:$Q$298, 3, FALSE)</f>
        <v>185</v>
      </c>
      <c r="Q182" s="11">
        <f>VLOOKUP($G182, '26 ADP Data'!$C$4:$Q$298, 4, FALSE)</f>
        <v>187</v>
      </c>
      <c r="R182" s="11">
        <f>VLOOKUP($G182, '26 ADP Data'!$C$4:$Q$298, 6, FALSE)</f>
        <v>163</v>
      </c>
      <c r="S182" s="11">
        <f>VLOOKUP($G182, '26 ADP Data'!$C$4:$Q$298, 9, FALSE)</f>
        <v>207</v>
      </c>
      <c r="T182" s="11" t="str">
        <f>VLOOKUP($G182, '26 ADP Data'!$C$4:$Q$298, 8, FALSE)</f>
        <v>-</v>
      </c>
      <c r="U182" s="11">
        <f t="shared" si="7"/>
        <v>173</v>
      </c>
      <c r="V182" s="11">
        <f t="shared" si="8"/>
        <v>15</v>
      </c>
      <c r="W182" s="11"/>
      <c r="X182" s="11">
        <f>VLOOKUP($G182, SeanRanks26!$A$2:$K$303, 10, FALSE)-U182</f>
        <v>-24</v>
      </c>
      <c r="Y182" s="29" t="s">
        <v>795</v>
      </c>
    </row>
    <row r="183" ht="14.25" customHeight="1">
      <c r="A183" s="11"/>
      <c r="B183" s="11">
        <f t="shared" si="4"/>
        <v>16</v>
      </c>
      <c r="C183" s="11" t="s">
        <v>106</v>
      </c>
      <c r="D183" s="11"/>
      <c r="E183" s="27"/>
      <c r="F183" s="11" t="str">
        <f>VLOOKUP($G183, SeanRanks26!$A$2:$H$303, 5, FALSE)</f>
        <v/>
      </c>
      <c r="G183" s="16" t="s">
        <v>454</v>
      </c>
      <c r="H183" s="11" t="str">
        <f>VLOOKUP($G183, '26 ADP Data'!$C$4:$Q$298, 2, FALSE)</f>
        <v>LV</v>
      </c>
      <c r="I183" s="11" t="str">
        <f>VLOOKUP(G183, '26 ADP Data'!$C$4:$R$496, 16, FALSE)</f>
        <v>WR</v>
      </c>
      <c r="J183" s="11" t="str">
        <f>VLOOKUP($G183, SeanRanks26!$A$2:$H$303, 6, FALSE)</f>
        <v/>
      </c>
      <c r="K183" s="11" t="str">
        <f>VLOOKUP($G183, SeanRanks26!$A$2:$H$303, 7, FALSE)</f>
        <v/>
      </c>
      <c r="L183" s="11">
        <f t="shared" si="5"/>
        <v>15</v>
      </c>
      <c r="M183" s="11">
        <f>VLOOKUP($G183, '26 ADP Data'!$C$4:$Q$298, 10, FALSE)</f>
        <v>172</v>
      </c>
      <c r="N183" s="11">
        <f>VLOOKUP($G183, '26 ADP Data'!$C$4:$Q$298, 13, FALSE)</f>
        <v>149</v>
      </c>
      <c r="O183" s="11">
        <f t="shared" si="6"/>
        <v>23</v>
      </c>
      <c r="P183" s="11">
        <f>VLOOKUP($G183, '26 ADP Data'!$C$4:$Q$298, 3, FALSE)</f>
        <v>197</v>
      </c>
      <c r="Q183" s="11" t="str">
        <f>VLOOKUP($G183, '26 ADP Data'!$C$4:$Q$298, 4, FALSE)</f>
        <v>-</v>
      </c>
      <c r="R183" s="11">
        <f>VLOOKUP($G183, '26 ADP Data'!$C$4:$Q$298, 6, FALSE)</f>
        <v>164</v>
      </c>
      <c r="S183" s="11">
        <f>VLOOKUP($G183, '26 ADP Data'!$C$4:$Q$298, 9, FALSE)</f>
        <v>190</v>
      </c>
      <c r="T183" s="11" t="str">
        <f>VLOOKUP($G183, '26 ADP Data'!$C$4:$Q$298, 8, FALSE)</f>
        <v>-</v>
      </c>
      <c r="U183" s="11">
        <f t="shared" si="7"/>
        <v>174</v>
      </c>
      <c r="V183" s="11">
        <f t="shared" si="8"/>
        <v>15</v>
      </c>
      <c r="W183" s="11"/>
      <c r="X183" s="11">
        <f>VLOOKUP($G183, SeanRanks26!$A$2:$K$303, 10, FALSE)-U183</f>
        <v>-2</v>
      </c>
      <c r="Y183" s="29" t="str">
        <f>IF(VLOOKUP($G183, SeanRanks26!$A$2:$H$303, 8, FALSE)=0, "", VLOOKUP($G183, SeanRanks26!$A$2:$H$303, 8, FALSE))</f>
        <v/>
      </c>
    </row>
    <row r="184" ht="14.25" customHeight="1">
      <c r="A184" s="11"/>
      <c r="B184" s="11">
        <f t="shared" si="4"/>
        <v>15</v>
      </c>
      <c r="C184" s="11" t="s">
        <v>106</v>
      </c>
      <c r="D184" s="11"/>
      <c r="E184" s="27"/>
      <c r="F184" s="11" t="str">
        <f>VLOOKUP($G184, SeanRanks26!$A$2:$H$303, 5, FALSE)</f>
        <v/>
      </c>
      <c r="G184" s="16" t="s">
        <v>593</v>
      </c>
      <c r="H184" s="11" t="str">
        <f>VLOOKUP($G184, '26 ADP Data'!$C$4:$Q$298, 2, FALSE)</f>
        <v>JAX</v>
      </c>
      <c r="I184" s="11" t="str">
        <f>VLOOKUP(G184, '26 ADP Data'!$C$4:$R$496, 16, FALSE)</f>
        <v>K-</v>
      </c>
      <c r="J184" s="11" t="str">
        <f>VLOOKUP($G184, SeanRanks26!$A$2:$H$303, 6, FALSE)</f>
        <v/>
      </c>
      <c r="K184" s="11" t="str">
        <f>VLOOKUP($G184, SeanRanks26!$A$2:$H$303, 7, FALSE)</f>
        <v/>
      </c>
      <c r="L184" s="11">
        <f t="shared" si="5"/>
        <v>17</v>
      </c>
      <c r="M184" s="11">
        <f>VLOOKUP($G184, '26 ADP Data'!$C$4:$Q$298, 10, FALSE)</f>
        <v>193</v>
      </c>
      <c r="N184" s="11" t="str">
        <f>VLOOKUP($G184, '26 ADP Data'!$C$4:$Q$298, 13, FALSE)</f>
        <v>-</v>
      </c>
      <c r="O184" s="11" t="str">
        <f t="shared" si="6"/>
        <v>#VALUE!</v>
      </c>
      <c r="P184" s="11">
        <f>VLOOKUP($G184, '26 ADP Data'!$C$4:$Q$298, 3, FALSE)</f>
        <v>163</v>
      </c>
      <c r="Q184" s="11">
        <f>VLOOKUP($G184, '26 ADP Data'!$C$4:$Q$298, 4, FALSE)</f>
        <v>137</v>
      </c>
      <c r="R184" s="11">
        <f>VLOOKUP($G184, '26 ADP Data'!$C$4:$Q$298, 6, FALSE)</f>
        <v>235</v>
      </c>
      <c r="S184" s="11">
        <f>VLOOKUP($G184, '26 ADP Data'!$C$4:$Q$298, 9, FALSE)</f>
        <v>146</v>
      </c>
      <c r="T184" s="11" t="str">
        <f>VLOOKUP($G184, '26 ADP Data'!$C$4:$Q$298, 8, FALSE)</f>
        <v>-</v>
      </c>
      <c r="U184" s="11">
        <f t="shared" si="7"/>
        <v>174</v>
      </c>
      <c r="V184" s="11">
        <f t="shared" si="8"/>
        <v>15</v>
      </c>
      <c r="W184" s="11"/>
      <c r="X184" s="11">
        <f>VLOOKUP($G184, SeanRanks26!$A$2:$K$303, 10, FALSE)-U184</f>
        <v>19</v>
      </c>
      <c r="Y184" s="29" t="str">
        <f>IF(VLOOKUP($G184, SeanRanks26!$A$2:$H$303, 8, FALSE)=0, "", VLOOKUP($G184, SeanRanks26!$A$2:$H$303, 8, FALSE))</f>
        <v/>
      </c>
    </row>
    <row r="185" ht="14.25" customHeight="1">
      <c r="A185" s="11"/>
      <c r="B185" s="11">
        <f t="shared" si="4"/>
        <v>15</v>
      </c>
      <c r="C185" s="11" t="s">
        <v>106</v>
      </c>
      <c r="D185" s="11"/>
      <c r="E185" s="27"/>
      <c r="F185" s="11" t="str">
        <f>VLOOKUP($G185, SeanRanks26!$A$2:$H$303, 5, FALSE)</f>
        <v/>
      </c>
      <c r="G185" s="16" t="s">
        <v>523</v>
      </c>
      <c r="H185" s="11" t="str">
        <f>VLOOKUP($G185, '26 ADP Data'!$C$4:$Q$298, 2, FALSE)</f>
        <v>KC</v>
      </c>
      <c r="I185" s="11" t="str">
        <f>VLOOKUP(G185, '26 ADP Data'!$C$4:$R$496, 16, FALSE)</f>
        <v>RB</v>
      </c>
      <c r="J185" s="11" t="str">
        <f>VLOOKUP($G185, SeanRanks26!$A$2:$H$303, 6, FALSE)</f>
        <v/>
      </c>
      <c r="K185" s="11" t="str">
        <f>VLOOKUP($G185, SeanRanks26!$A$2:$H$303, 7, FALSE)</f>
        <v/>
      </c>
      <c r="L185" s="11">
        <f t="shared" si="5"/>
        <v>14</v>
      </c>
      <c r="M185" s="11">
        <f>VLOOKUP($G185, '26 ADP Data'!$C$4:$Q$298, 10, FALSE)</f>
        <v>160</v>
      </c>
      <c r="N185" s="11">
        <f>VLOOKUP($G185, '26 ADP Data'!$C$4:$Q$298, 13, FALSE)</f>
        <v>191</v>
      </c>
      <c r="O185" s="11">
        <f t="shared" si="6"/>
        <v>-31</v>
      </c>
      <c r="P185" s="11" t="str">
        <f>VLOOKUP($G185, '26 ADP Data'!$C$4:$Q$298, 3, FALSE)</f>
        <v>-</v>
      </c>
      <c r="Q185" s="11" t="str">
        <f>VLOOKUP($G185, '26 ADP Data'!$C$4:$Q$298, 4, FALSE)</f>
        <v>-</v>
      </c>
      <c r="R185" s="11">
        <f>VLOOKUP($G185, '26 ADP Data'!$C$4:$Q$298, 6, FALSE)</f>
        <v>170</v>
      </c>
      <c r="S185" s="11">
        <f>VLOOKUP($G185, '26 ADP Data'!$C$4:$Q$298, 9, FALSE)</f>
        <v>181</v>
      </c>
      <c r="T185" s="11" t="str">
        <f>VLOOKUP($G185, '26 ADP Data'!$C$4:$Q$298, 8, FALSE)</f>
        <v>-</v>
      </c>
      <c r="U185" s="11">
        <f t="shared" si="7"/>
        <v>175</v>
      </c>
      <c r="V185" s="11">
        <f t="shared" si="8"/>
        <v>15</v>
      </c>
      <c r="W185" s="11"/>
      <c r="X185" s="11">
        <f>VLOOKUP($G185, SeanRanks26!$A$2:$K$303, 10, FALSE)-U185</f>
        <v>-15</v>
      </c>
      <c r="Y185" s="29" t="str">
        <f>IF(VLOOKUP($G185, SeanRanks26!$A$2:$H$303, 8, FALSE)=0, "", VLOOKUP($G185, SeanRanks26!$A$2:$H$303, 8, FALSE))</f>
        <v>Rookie R5 - Nebraska</v>
      </c>
    </row>
    <row r="186" ht="14.25" customHeight="1">
      <c r="A186" s="11"/>
      <c r="B186" s="11">
        <f t="shared" si="4"/>
        <v>15</v>
      </c>
      <c r="C186" s="11" t="s">
        <v>106</v>
      </c>
      <c r="D186" s="11"/>
      <c r="E186" s="27"/>
      <c r="F186" s="11" t="str">
        <f>VLOOKUP($G186, SeanRanks26!$A$2:$H$303, 5, FALSE)</f>
        <v/>
      </c>
      <c r="G186" s="16" t="s">
        <v>513</v>
      </c>
      <c r="H186" s="11" t="str">
        <f>VLOOKUP($G186, '26 ADP Data'!$C$4:$Q$298, 2, FALSE)</f>
        <v>BAL</v>
      </c>
      <c r="I186" s="11" t="str">
        <f>VLOOKUP(G186, '26 ADP Data'!$C$4:$R$496, 16, FALSE)</f>
        <v>DE</v>
      </c>
      <c r="J186" s="11" t="str">
        <f>VLOOKUP($G186, SeanRanks26!$A$2:$H$303, 6, FALSE)</f>
        <v/>
      </c>
      <c r="K186" s="11" t="str">
        <f>VLOOKUP($G186, SeanRanks26!$A$2:$H$303, 7, FALSE)</f>
        <v/>
      </c>
      <c r="L186" s="11">
        <f t="shared" si="5"/>
        <v>18</v>
      </c>
      <c r="M186" s="11">
        <f>VLOOKUP($G186, '26 ADP Data'!$C$4:$Q$298, 10, FALSE)</f>
        <v>206</v>
      </c>
      <c r="N186" s="11" t="str">
        <f>VLOOKUP($G186, '26 ADP Data'!$C$4:$Q$298, 13, FALSE)</f>
        <v>-</v>
      </c>
      <c r="O186" s="11" t="str">
        <f t="shared" si="6"/>
        <v>#VALUE!</v>
      </c>
      <c r="P186" s="11">
        <f>VLOOKUP($G186, '26 ADP Data'!$C$4:$Q$298, 3, FALSE)</f>
        <v>160</v>
      </c>
      <c r="Q186" s="11">
        <f>VLOOKUP($G186, '26 ADP Data'!$C$4:$Q$298, 4, FALSE)</f>
        <v>127</v>
      </c>
      <c r="R186" s="11">
        <f>VLOOKUP($G186, '26 ADP Data'!$C$4:$Q$298, 6, FALSE)</f>
        <v>244</v>
      </c>
      <c r="S186" s="11">
        <f>VLOOKUP($G186, '26 ADP Data'!$C$4:$Q$298, 9, FALSE)</f>
        <v>147</v>
      </c>
      <c r="T186" s="11" t="str">
        <f>VLOOKUP($G186, '26 ADP Data'!$C$4:$Q$298, 8, FALSE)</f>
        <v>-</v>
      </c>
      <c r="U186" s="11">
        <f t="shared" si="7"/>
        <v>176</v>
      </c>
      <c r="V186" s="11">
        <f t="shared" si="8"/>
        <v>15</v>
      </c>
      <c r="W186" s="11"/>
      <c r="X186" s="11">
        <f>VLOOKUP($G186, SeanRanks26!$A$2:$K$303, 10, FALSE)-U186</f>
        <v>30</v>
      </c>
      <c r="Y186" s="29" t="s">
        <v>802</v>
      </c>
    </row>
    <row r="187" ht="14.25" customHeight="1">
      <c r="A187" s="11"/>
      <c r="B187" s="11">
        <f t="shared" si="4"/>
        <v>15</v>
      </c>
      <c r="C187" s="11" t="s">
        <v>106</v>
      </c>
      <c r="D187" s="11"/>
      <c r="E187" s="27"/>
      <c r="F187" s="11" t="str">
        <f>VLOOKUP($G187, SeanRanks26!$A$2:$H$303, 5, FALSE)</f>
        <v>#N/A</v>
      </c>
      <c r="G187" s="16" t="s">
        <v>655</v>
      </c>
      <c r="H187" s="11" t="str">
        <f>VLOOKUP($G187, '26 ADP Data'!$C$4:$Q$298, 2, FALSE)</f>
        <v>LAR</v>
      </c>
      <c r="I187" s="11" t="str">
        <f>VLOOKUP(G187, '26 ADP Data'!$C$4:$R$496, 16, FALSE)</f>
        <v>K-</v>
      </c>
      <c r="J187" s="11" t="str">
        <f>VLOOKUP($G187, SeanRanks26!$A$2:$H$303, 6, FALSE)</f>
        <v>#N/A</v>
      </c>
      <c r="K187" s="11" t="str">
        <f>VLOOKUP($G187, SeanRanks26!$A$2:$H$303, 7, FALSE)</f>
        <v>#N/A</v>
      </c>
      <c r="L187" s="11">
        <f t="shared" si="5"/>
        <v>16</v>
      </c>
      <c r="M187" s="11" t="str">
        <f>VLOOKUP($G187, '26 ADP Data'!$C$4:$Q$298, 10, FALSE)</f>
        <v>-</v>
      </c>
      <c r="N187" s="11" t="str">
        <f>VLOOKUP($G187, '26 ADP Data'!$C$4:$Q$298, 13, FALSE)</f>
        <v>-</v>
      </c>
      <c r="O187" s="11" t="str">
        <f t="shared" si="6"/>
        <v>#VALUE!</v>
      </c>
      <c r="P187" s="11">
        <f>VLOOKUP($G187, '26 ADP Data'!$C$4:$Q$298, 3, FALSE)</f>
        <v>181</v>
      </c>
      <c r="Q187" s="11">
        <f>VLOOKUP($G187, '26 ADP Data'!$C$4:$Q$298, 4, FALSE)</f>
        <v>125</v>
      </c>
      <c r="R187" s="11">
        <f>VLOOKUP($G187, '26 ADP Data'!$C$4:$Q$298, 6, FALSE)</f>
        <v>243</v>
      </c>
      <c r="S187" s="11">
        <f>VLOOKUP($G187, '26 ADP Data'!$C$4:$Q$298, 9, FALSE)</f>
        <v>157</v>
      </c>
      <c r="T187" s="11" t="str">
        <f>VLOOKUP($G187, '26 ADP Data'!$C$4:$Q$298, 8, FALSE)</f>
        <v>-</v>
      </c>
      <c r="U187" s="11">
        <f t="shared" si="7"/>
        <v>176</v>
      </c>
      <c r="V187" s="11">
        <f t="shared" si="8"/>
        <v>15</v>
      </c>
      <c r="W187" s="11"/>
      <c r="X187" s="11" t="str">
        <f>VLOOKUP($G187, SeanRanks26!$A$2:$K$303, 10, FALSE)-U187</f>
        <v>#N/A</v>
      </c>
      <c r="Y187" s="29" t="str">
        <f>IF(VLOOKUP($G187, SeanRanks26!$A$2:$H$303, 8, FALSE)=0, "", VLOOKUP($G187, SeanRanks26!$A$2:$H$303, 8, FALSE))</f>
        <v>#N/A</v>
      </c>
    </row>
    <row r="188" ht="14.25" customHeight="1">
      <c r="A188" s="11"/>
      <c r="B188" s="11">
        <f t="shared" si="4"/>
        <v>15</v>
      </c>
      <c r="C188" s="11" t="s">
        <v>106</v>
      </c>
      <c r="D188" s="11"/>
      <c r="E188" s="27"/>
      <c r="F188" s="11" t="str">
        <f>VLOOKUP($G188, SeanRanks26!$A$2:$H$303, 5, FALSE)</f>
        <v/>
      </c>
      <c r="G188" s="16" t="s">
        <v>504</v>
      </c>
      <c r="H188" s="11" t="str">
        <f>VLOOKUP($G188, '26 ADP Data'!$C$4:$Q$298, 2, FALSE)</f>
        <v>NE</v>
      </c>
      <c r="I188" s="11" t="str">
        <f>VLOOKUP(G188, '26 ADP Data'!$C$4:$R$496, 16, FALSE)</f>
        <v>DE</v>
      </c>
      <c r="J188" s="11" t="str">
        <f>VLOOKUP($G188, SeanRanks26!$A$2:$H$303, 6, FALSE)</f>
        <v/>
      </c>
      <c r="K188" s="11" t="str">
        <f>VLOOKUP($G188, SeanRanks26!$A$2:$H$303, 7, FALSE)</f>
        <v/>
      </c>
      <c r="L188" s="11">
        <f t="shared" si="5"/>
        <v>16</v>
      </c>
      <c r="M188" s="11">
        <f>VLOOKUP($G188, '26 ADP Data'!$C$4:$Q$298, 10, FALSE)</f>
        <v>190</v>
      </c>
      <c r="N188" s="11" t="str">
        <f>VLOOKUP($G188, '26 ADP Data'!$C$4:$Q$298, 13, FALSE)</f>
        <v>-</v>
      </c>
      <c r="O188" s="11" t="str">
        <f t="shared" si="6"/>
        <v>#VALUE!</v>
      </c>
      <c r="P188" s="11">
        <f>VLOOKUP($G188, '26 ADP Data'!$C$4:$Q$298, 3, FALSE)</f>
        <v>155</v>
      </c>
      <c r="Q188" s="11">
        <f>VLOOKUP($G188, '26 ADP Data'!$C$4:$Q$298, 4, FALSE)</f>
        <v>149</v>
      </c>
      <c r="R188" s="11">
        <f>VLOOKUP($G188, '26 ADP Data'!$C$4:$Q$298, 6, FALSE)</f>
        <v>239</v>
      </c>
      <c r="S188" s="11">
        <f>VLOOKUP($G188, '26 ADP Data'!$C$4:$Q$298, 9, FALSE)</f>
        <v>154</v>
      </c>
      <c r="T188" s="11" t="str">
        <f>VLOOKUP($G188, '26 ADP Data'!$C$4:$Q$298, 8, FALSE)</f>
        <v>-</v>
      </c>
      <c r="U188" s="11">
        <f t="shared" si="7"/>
        <v>177</v>
      </c>
      <c r="V188" s="11">
        <f t="shared" si="8"/>
        <v>15</v>
      </c>
      <c r="W188" s="11"/>
      <c r="X188" s="11">
        <f>VLOOKUP($G188, SeanRanks26!$A$2:$K$303, 10, FALSE)-U188</f>
        <v>13</v>
      </c>
      <c r="Y188" s="29" t="str">
        <f>IF(VLOOKUP($G188, SeanRanks26!$A$2:$H$303, 8, FALSE)=0, "", VLOOKUP($G188, SeanRanks26!$A$2:$H$303, 8, FALSE))</f>
        <v/>
      </c>
    </row>
    <row r="189" ht="14.25" customHeight="1">
      <c r="A189" s="11"/>
      <c r="B189" s="11">
        <f t="shared" si="4"/>
        <v>15</v>
      </c>
      <c r="C189" s="11" t="s">
        <v>106</v>
      </c>
      <c r="D189" s="11"/>
      <c r="E189" s="27"/>
      <c r="F189" s="11" t="str">
        <f>VLOOKUP($G189, SeanRanks26!$A$2:$H$303, 5, FALSE)</f>
        <v/>
      </c>
      <c r="G189" s="16" t="s">
        <v>472</v>
      </c>
      <c r="H189" s="11" t="str">
        <f>VLOOKUP($G189, '26 ADP Data'!$C$4:$Q$298, 2, FALSE)</f>
        <v>HOU</v>
      </c>
      <c r="I189" s="11" t="str">
        <f>VLOOKUP(G189, '26 ADP Data'!$C$4:$R$496, 16, FALSE)</f>
        <v>WR</v>
      </c>
      <c r="J189" s="11" t="str">
        <f>VLOOKUP($G189, SeanRanks26!$A$2:$H$303, 6, FALSE)</f>
        <v/>
      </c>
      <c r="K189" s="11" t="str">
        <f>VLOOKUP($G189, SeanRanks26!$A$2:$H$303, 7, FALSE)</f>
        <v/>
      </c>
      <c r="L189" s="11">
        <f t="shared" si="5"/>
        <v>16</v>
      </c>
      <c r="M189" s="11" t="str">
        <f>VLOOKUP($G189, '26 ADP Data'!$C$4:$Q$298, 10, FALSE)</f>
        <v>-</v>
      </c>
      <c r="N189" s="11">
        <f>VLOOKUP($G189, '26 ADP Data'!$C$4:$Q$298, 13, FALSE)</f>
        <v>179</v>
      </c>
      <c r="O189" s="11" t="str">
        <f t="shared" si="6"/>
        <v>#VALUE!</v>
      </c>
      <c r="P189" s="11">
        <f>VLOOKUP($G189, '26 ADP Data'!$C$4:$Q$298, 3, FALSE)</f>
        <v>178</v>
      </c>
      <c r="Q189" s="11">
        <f>VLOOKUP($G189, '26 ADP Data'!$C$4:$Q$298, 4, FALSE)</f>
        <v>152</v>
      </c>
      <c r="R189" s="11">
        <f>VLOOKUP($G189, '26 ADP Data'!$C$4:$Q$298, 6, FALSE)</f>
        <v>180</v>
      </c>
      <c r="S189" s="11">
        <f>VLOOKUP($G189, '26 ADP Data'!$C$4:$Q$298, 9, FALSE)</f>
        <v>197</v>
      </c>
      <c r="T189" s="11" t="str">
        <f>VLOOKUP($G189, '26 ADP Data'!$C$4:$Q$298, 8, FALSE)</f>
        <v>-</v>
      </c>
      <c r="U189" s="11">
        <f t="shared" si="7"/>
        <v>177</v>
      </c>
      <c r="V189" s="11">
        <f t="shared" si="8"/>
        <v>15</v>
      </c>
      <c r="W189" s="11"/>
      <c r="X189" s="11" t="str">
        <f>VLOOKUP($G189, SeanRanks26!$A$2:$K$303, 10, FALSE)-U189</f>
        <v>#VALUE!</v>
      </c>
      <c r="Y189" s="29" t="str">
        <f>IF(VLOOKUP($G189, SeanRanks26!$A$2:$H$303, 8, FALSE)=0, "", VLOOKUP($G189, SeanRanks26!$A$2:$H$303, 8, FALSE))</f>
        <v/>
      </c>
    </row>
    <row r="190" ht="14.25" customHeight="1">
      <c r="A190" s="11"/>
      <c r="B190" s="11">
        <f t="shared" si="4"/>
        <v>15</v>
      </c>
      <c r="C190" s="11" t="s">
        <v>106</v>
      </c>
      <c r="D190" s="11"/>
      <c r="E190" s="27"/>
      <c r="F190" s="11" t="str">
        <f>VLOOKUP($G190, SeanRanks26!$A$2:$H$303, 5, FALSE)</f>
        <v/>
      </c>
      <c r="G190" s="16" t="s">
        <v>460</v>
      </c>
      <c r="H190" s="11" t="str">
        <f>VLOOKUP($G190, '26 ADP Data'!$C$4:$Q$298, 2, FALSE)</f>
        <v>NYJ</v>
      </c>
      <c r="I190" s="11" t="str">
        <f>VLOOKUP(G190, '26 ADP Data'!$C$4:$R$496, 16, FALSE)</f>
        <v>RB</v>
      </c>
      <c r="J190" s="11" t="str">
        <f>VLOOKUP($G190, SeanRanks26!$A$2:$H$303, 6, FALSE)</f>
        <v/>
      </c>
      <c r="K190" s="11" t="str">
        <f>VLOOKUP($G190, SeanRanks26!$A$2:$H$303, 7, FALSE)</f>
        <v/>
      </c>
      <c r="L190" s="11">
        <f t="shared" si="5"/>
        <v>15</v>
      </c>
      <c r="M190" s="11">
        <f>VLOOKUP($G190, '26 ADP Data'!$C$4:$Q$298, 10, FALSE)</f>
        <v>171</v>
      </c>
      <c r="N190" s="11">
        <f>VLOOKUP($G190, '26 ADP Data'!$C$4:$Q$298, 13, FALSE)</f>
        <v>184</v>
      </c>
      <c r="O190" s="11">
        <f t="shared" si="6"/>
        <v>-13</v>
      </c>
      <c r="P190" s="11">
        <f>VLOOKUP($G190, '26 ADP Data'!$C$4:$Q$298, 3, FALSE)</f>
        <v>171</v>
      </c>
      <c r="Q190" s="11" t="str">
        <f>VLOOKUP($G190, '26 ADP Data'!$C$4:$Q$298, 4, FALSE)</f>
        <v>-</v>
      </c>
      <c r="R190" s="11">
        <f>VLOOKUP($G190, '26 ADP Data'!$C$4:$Q$298, 6, FALSE)</f>
        <v>160</v>
      </c>
      <c r="S190" s="11">
        <f>VLOOKUP($G190, '26 ADP Data'!$C$4:$Q$298, 9, FALSE)</f>
        <v>205</v>
      </c>
      <c r="T190" s="11" t="str">
        <f>VLOOKUP($G190, '26 ADP Data'!$C$4:$Q$298, 8, FALSE)</f>
        <v>-</v>
      </c>
      <c r="U190" s="11">
        <f t="shared" si="7"/>
        <v>178</v>
      </c>
      <c r="V190" s="11">
        <f t="shared" si="8"/>
        <v>15</v>
      </c>
      <c r="W190" s="11"/>
      <c r="X190" s="11">
        <f>VLOOKUP($G190, SeanRanks26!$A$2:$K$303, 10, FALSE)-U190</f>
        <v>-7</v>
      </c>
      <c r="Y190" s="29" t="str">
        <f>IF(VLOOKUP($G190, SeanRanks26!$A$2:$H$303, 8, FALSE)=0, "", VLOOKUP($G190, SeanRanks26!$A$2:$H$303, 8, FALSE))</f>
        <v/>
      </c>
    </row>
    <row r="191" ht="14.25" customHeight="1">
      <c r="A191" s="11"/>
      <c r="B191" s="11">
        <f t="shared" si="4"/>
        <v>16</v>
      </c>
      <c r="C191" s="11" t="s">
        <v>106</v>
      </c>
      <c r="D191" s="11"/>
      <c r="E191" s="27"/>
      <c r="F191" s="11" t="str">
        <f>VLOOKUP($G191, SeanRanks26!$A$2:$H$303, 5, FALSE)</f>
        <v/>
      </c>
      <c r="G191" s="16" t="s">
        <v>515</v>
      </c>
      <c r="H191" s="11" t="str">
        <f>VLOOKUP($G191, '26 ADP Data'!$C$4:$Q$298, 2, FALSE)</f>
        <v>MIN</v>
      </c>
      <c r="I191" s="11" t="str">
        <f>VLOOKUP(G191, '26 ADP Data'!$C$4:$R$496, 16, FALSE)</f>
        <v>DE</v>
      </c>
      <c r="J191" s="11" t="str">
        <f>VLOOKUP($G191, SeanRanks26!$A$2:$H$303, 6, FALSE)</f>
        <v/>
      </c>
      <c r="K191" s="11" t="str">
        <f>VLOOKUP($G191, SeanRanks26!$A$2:$H$303, 7, FALSE)</f>
        <v/>
      </c>
      <c r="L191" s="11">
        <f t="shared" si="5"/>
        <v>16</v>
      </c>
      <c r="M191" s="11">
        <f>VLOOKUP($G191, '26 ADP Data'!$C$4:$Q$298, 10, FALSE)</f>
        <v>180</v>
      </c>
      <c r="N191" s="11" t="str">
        <f>VLOOKUP($G191, '26 ADP Data'!$C$4:$Q$298, 13, FALSE)</f>
        <v>-</v>
      </c>
      <c r="O191" s="11" t="str">
        <f t="shared" si="6"/>
        <v>#VALUE!</v>
      </c>
      <c r="P191" s="11">
        <f>VLOOKUP($G191, '26 ADP Data'!$C$4:$Q$298, 3, FALSE)</f>
        <v>123</v>
      </c>
      <c r="Q191" s="11">
        <f>VLOOKUP($G191, '26 ADP Data'!$C$4:$Q$298, 4, FALSE)</f>
        <v>192</v>
      </c>
      <c r="R191" s="11">
        <f>VLOOKUP($G191, '26 ADP Data'!$C$4:$Q$298, 6, FALSE)</f>
        <v>247</v>
      </c>
      <c r="S191" s="11">
        <f>VLOOKUP($G191, '26 ADP Data'!$C$4:$Q$298, 9, FALSE)</f>
        <v>158</v>
      </c>
      <c r="T191" s="11" t="str">
        <f>VLOOKUP($G191, '26 ADP Data'!$C$4:$Q$298, 8, FALSE)</f>
        <v>-</v>
      </c>
      <c r="U191" s="11">
        <f t="shared" si="7"/>
        <v>180</v>
      </c>
      <c r="V191" s="11">
        <f t="shared" si="8"/>
        <v>16</v>
      </c>
      <c r="W191" s="11">
        <f>D191-V191</f>
        <v>-16</v>
      </c>
      <c r="X191" s="11">
        <f>VLOOKUP($G191, SeanRanks26!$A$2:$K$303, 10, FALSE)-U191</f>
        <v>0</v>
      </c>
      <c r="Y191" s="29" t="str">
        <f>IF(VLOOKUP($G191, SeanRanks26!$A$2:$H$303, 8, FALSE)=0, "", VLOOKUP($G191, SeanRanks26!$A$2:$H$303, 8, FALSE))</f>
        <v/>
      </c>
    </row>
    <row r="192" ht="14.25" customHeight="1">
      <c r="A192" s="11"/>
      <c r="B192" s="11">
        <f t="shared" si="4"/>
        <v>17</v>
      </c>
      <c r="C192" s="11" t="s">
        <v>106</v>
      </c>
      <c r="D192" s="11"/>
      <c r="E192" s="27"/>
      <c r="F192" s="11" t="str">
        <f>VLOOKUP($G192, SeanRanks26!$A$2:$H$303, 5, FALSE)</f>
        <v/>
      </c>
      <c r="G192" s="16" t="s">
        <v>508</v>
      </c>
      <c r="H192" s="11" t="str">
        <f>VLOOKUP($G192, '26 ADP Data'!$C$4:$Q$298, 2, FALSE)</f>
        <v>PHI</v>
      </c>
      <c r="I192" s="11" t="str">
        <f>VLOOKUP(G192, '26 ADP Data'!$C$4:$R$496, 16, FALSE)</f>
        <v>WR</v>
      </c>
      <c r="J192" s="11" t="str">
        <f>VLOOKUP($G192, SeanRanks26!$A$2:$H$303, 6, FALSE)</f>
        <v/>
      </c>
      <c r="K192" s="11" t="str">
        <f>VLOOKUP($G192, SeanRanks26!$A$2:$H$303, 7, FALSE)</f>
        <v/>
      </c>
      <c r="L192" s="11">
        <f t="shared" si="5"/>
        <v>14</v>
      </c>
      <c r="M192" s="11">
        <f>VLOOKUP($G192, '26 ADP Data'!$C$4:$Q$298, 10, FALSE)</f>
        <v>161</v>
      </c>
      <c r="N192" s="11">
        <f>VLOOKUP($G192, '26 ADP Data'!$C$4:$Q$298, 13, FALSE)</f>
        <v>161</v>
      </c>
      <c r="O192" s="11">
        <f t="shared" si="6"/>
        <v>0</v>
      </c>
      <c r="P192" s="11" t="str">
        <f>VLOOKUP($G192, '26 ADP Data'!$C$4:$Q$298, 3, FALSE)</f>
        <v>-</v>
      </c>
      <c r="Q192" s="11" t="str">
        <f>VLOOKUP($G192, '26 ADP Data'!$C$4:$Q$298, 4, FALSE)</f>
        <v>-</v>
      </c>
      <c r="R192" s="11">
        <f>VLOOKUP($G192, '26 ADP Data'!$C$4:$Q$298, 6, FALSE)</f>
        <v>175</v>
      </c>
      <c r="S192" s="11">
        <f>VLOOKUP($G192, '26 ADP Data'!$C$4:$Q$298, 9, FALSE)</f>
        <v>228</v>
      </c>
      <c r="T192" s="11" t="str">
        <f>VLOOKUP($G192, '26 ADP Data'!$C$4:$Q$298, 8, FALSE)</f>
        <v>-</v>
      </c>
      <c r="U192" s="11">
        <f t="shared" si="7"/>
        <v>181</v>
      </c>
      <c r="V192" s="11">
        <f t="shared" si="8"/>
        <v>16</v>
      </c>
      <c r="W192" s="11"/>
      <c r="X192" s="11">
        <f>VLOOKUP($G192, SeanRanks26!$A$2:$K$303, 10, FALSE)-U192</f>
        <v>-20</v>
      </c>
      <c r="Y192" s="29" t="str">
        <f>IF(VLOOKUP($G192, SeanRanks26!$A$2:$H$303, 8, FALSE)=0, "", VLOOKUP($G192, SeanRanks26!$A$2:$H$303, 8, FALSE))</f>
        <v/>
      </c>
    </row>
    <row r="193" ht="14.25" customHeight="1">
      <c r="A193" s="11"/>
      <c r="B193" s="11">
        <f t="shared" si="4"/>
        <v>16</v>
      </c>
      <c r="C193" s="11" t="s">
        <v>106</v>
      </c>
      <c r="D193" s="11"/>
      <c r="E193" s="27"/>
      <c r="F193" s="11" t="str">
        <f>VLOOKUP($G193, SeanRanks26!$A$2:$H$303, 5, FALSE)</f>
        <v/>
      </c>
      <c r="G193" s="16" t="s">
        <v>433</v>
      </c>
      <c r="H193" s="11" t="str">
        <f>VLOOKUP($G193, '26 ADP Data'!$C$4:$Q$298, 2, FALSE)</f>
        <v>SEA</v>
      </c>
      <c r="I193" s="11" t="str">
        <f>VLOOKUP(G193, '26 ADP Data'!$C$4:$R$496, 16, FALSE)</f>
        <v>TE</v>
      </c>
      <c r="J193" s="11" t="str">
        <f>VLOOKUP($G193, SeanRanks26!$A$2:$H$303, 6, FALSE)</f>
        <v/>
      </c>
      <c r="K193" s="11" t="str">
        <f>VLOOKUP($G193, SeanRanks26!$A$2:$H$303, 7, FALSE)</f>
        <v/>
      </c>
      <c r="L193" s="11">
        <f t="shared" si="5"/>
        <v>15</v>
      </c>
      <c r="M193" s="11">
        <f>VLOOKUP($G193, '26 ADP Data'!$C$4:$Q$298, 10, FALSE)</f>
        <v>176</v>
      </c>
      <c r="N193" s="11">
        <f>VLOOKUP($G193, '26 ADP Data'!$C$4:$Q$298, 13, FALSE)</f>
        <v>175</v>
      </c>
      <c r="O193" s="11">
        <f t="shared" si="6"/>
        <v>1</v>
      </c>
      <c r="P193" s="11">
        <f>VLOOKUP($G193, '26 ADP Data'!$C$4:$Q$298, 3, FALSE)</f>
        <v>205</v>
      </c>
      <c r="Q193" s="11">
        <f>VLOOKUP($G193, '26 ADP Data'!$C$4:$Q$298, 4, FALSE)</f>
        <v>208</v>
      </c>
      <c r="R193" s="11">
        <f>VLOOKUP($G193, '26 ADP Data'!$C$4:$Q$298, 6, FALSE)</f>
        <v>166</v>
      </c>
      <c r="S193" s="11">
        <f>VLOOKUP($G193, '26 ADP Data'!$C$4:$Q$298, 9, FALSE)</f>
        <v>166</v>
      </c>
      <c r="T193" s="11" t="str">
        <f>VLOOKUP($G193, '26 ADP Data'!$C$4:$Q$298, 8, FALSE)</f>
        <v>-</v>
      </c>
      <c r="U193" s="11">
        <f t="shared" si="7"/>
        <v>182</v>
      </c>
      <c r="V193" s="11">
        <f t="shared" si="8"/>
        <v>16</v>
      </c>
      <c r="W193" s="11"/>
      <c r="X193" s="11">
        <f>VLOOKUP($G193, SeanRanks26!$A$2:$K$303, 10, FALSE)-U193</f>
        <v>-6</v>
      </c>
      <c r="Y193" s="29" t="str">
        <f>IF(VLOOKUP($G193, SeanRanks26!$A$2:$H$303, 8, FALSE)=0, "", VLOOKUP($G193, SeanRanks26!$A$2:$H$303, 8, FALSE))</f>
        <v/>
      </c>
    </row>
    <row r="194" ht="14.25" customHeight="1">
      <c r="A194" s="11"/>
      <c r="B194" s="11">
        <f t="shared" si="4"/>
        <v>16</v>
      </c>
      <c r="C194" s="11" t="s">
        <v>106</v>
      </c>
      <c r="D194" s="11"/>
      <c r="E194" s="27"/>
      <c r="F194" s="11" t="str">
        <f>VLOOKUP($G194, SeanRanks26!$A$2:$H$303, 5, FALSE)</f>
        <v/>
      </c>
      <c r="G194" s="16" t="s">
        <v>506</v>
      </c>
      <c r="H194" s="11" t="str">
        <f>VLOOKUP($G194, '26 ADP Data'!$C$4:$Q$298, 2, FALSE)</f>
        <v>LAC</v>
      </c>
      <c r="I194" s="11" t="str">
        <f>VLOOKUP(G194, '26 ADP Data'!$C$4:$R$496, 16, FALSE)</f>
        <v>WR</v>
      </c>
      <c r="J194" s="11" t="str">
        <f>VLOOKUP($G194, SeanRanks26!$A$2:$H$303, 6, FALSE)</f>
        <v/>
      </c>
      <c r="K194" s="11" t="str">
        <f>VLOOKUP($G194, SeanRanks26!$A$2:$H$303, 7, FALSE)</f>
        <v/>
      </c>
      <c r="L194" s="11">
        <f t="shared" si="5"/>
        <v>16</v>
      </c>
      <c r="M194" s="11">
        <f>VLOOKUP($G194, '26 ADP Data'!$C$4:$Q$298, 10, FALSE)</f>
        <v>185</v>
      </c>
      <c r="N194" s="11">
        <f>VLOOKUP($G194, '26 ADP Data'!$C$4:$Q$298, 13, FALSE)</f>
        <v>162</v>
      </c>
      <c r="O194" s="11">
        <f t="shared" si="6"/>
        <v>23</v>
      </c>
      <c r="P194" s="11" t="str">
        <f>VLOOKUP($G194, '26 ADP Data'!$C$4:$Q$298, 3, FALSE)</f>
        <v>-</v>
      </c>
      <c r="Q194" s="11" t="str">
        <f>VLOOKUP($G194, '26 ADP Data'!$C$4:$Q$298, 4, FALSE)</f>
        <v>-</v>
      </c>
      <c r="R194" s="11">
        <f>VLOOKUP($G194, '26 ADP Data'!$C$4:$Q$298, 6, FALSE)</f>
        <v>174</v>
      </c>
      <c r="S194" s="11">
        <f>VLOOKUP($G194, '26 ADP Data'!$C$4:$Q$298, 9, FALSE)</f>
        <v>208</v>
      </c>
      <c r="T194" s="11" t="str">
        <f>VLOOKUP($G194, '26 ADP Data'!$C$4:$Q$298, 8, FALSE)</f>
        <v>-</v>
      </c>
      <c r="U194" s="11">
        <f t="shared" si="7"/>
        <v>182</v>
      </c>
      <c r="V194" s="11">
        <f t="shared" si="8"/>
        <v>16</v>
      </c>
      <c r="W194" s="11"/>
      <c r="X194" s="11">
        <f>VLOOKUP($G194, SeanRanks26!$A$2:$K$303, 10, FALSE)-U194</f>
        <v>3</v>
      </c>
      <c r="Y194" s="29" t="s">
        <v>787</v>
      </c>
    </row>
    <row r="195" ht="14.25" customHeight="1">
      <c r="A195" s="11"/>
      <c r="B195" s="11">
        <f t="shared" si="4"/>
        <v>15</v>
      </c>
      <c r="C195" s="11" t="s">
        <v>106</v>
      </c>
      <c r="D195" s="11"/>
      <c r="E195" s="27"/>
      <c r="F195" s="11" t="str">
        <f>VLOOKUP($G195, SeanRanks26!$A$2:$H$303, 5, FALSE)</f>
        <v>Yes</v>
      </c>
      <c r="G195" s="16" t="s">
        <v>510</v>
      </c>
      <c r="H195" s="11" t="str">
        <f>VLOOKUP($G195, '26 ADP Data'!$C$4:$Q$298, 2, FALSE)</f>
        <v>NYJ</v>
      </c>
      <c r="I195" s="11" t="str">
        <f>VLOOKUP(G195, '26 ADP Data'!$C$4:$R$496, 16, FALSE)</f>
        <v>WR</v>
      </c>
      <c r="J195" s="11" t="str">
        <f>VLOOKUP($G195, SeanRanks26!$A$2:$H$303, 6, FALSE)</f>
        <v>WR5</v>
      </c>
      <c r="K195" s="11">
        <f>VLOOKUP($G195, SeanRanks26!$A$2:$H$303, 7, FALSE)</f>
        <v>57</v>
      </c>
      <c r="L195" s="11">
        <f t="shared" si="5"/>
        <v>18</v>
      </c>
      <c r="M195" s="11">
        <f>VLOOKUP($G195, '26 ADP Data'!$C$4:$Q$298, 10, FALSE)</f>
        <v>204</v>
      </c>
      <c r="N195" s="11">
        <f>VLOOKUP($G195, '26 ADP Data'!$C$4:$Q$298, 13, FALSE)</f>
        <v>170</v>
      </c>
      <c r="O195" s="11">
        <f t="shared" si="6"/>
        <v>34</v>
      </c>
      <c r="P195" s="11" t="str">
        <f>VLOOKUP($G195, '26 ADP Data'!$C$4:$Q$298, 3, FALSE)</f>
        <v>-</v>
      </c>
      <c r="Q195" s="11" t="str">
        <f>VLOOKUP($G195, '26 ADP Data'!$C$4:$Q$298, 4, FALSE)</f>
        <v>-</v>
      </c>
      <c r="R195" s="11">
        <f>VLOOKUP($G195, '26 ADP Data'!$C$4:$Q$298, 6, FALSE)</f>
        <v>196</v>
      </c>
      <c r="S195" s="11">
        <f>VLOOKUP($G195, '26 ADP Data'!$C$4:$Q$298, 9, FALSE)</f>
        <v>161</v>
      </c>
      <c r="T195" s="11" t="str">
        <f>VLOOKUP($G195, '26 ADP Data'!$C$4:$Q$298, 8, FALSE)</f>
        <v>-</v>
      </c>
      <c r="U195" s="11">
        <f t="shared" si="7"/>
        <v>182</v>
      </c>
      <c r="V195" s="11">
        <f t="shared" si="8"/>
        <v>16</v>
      </c>
      <c r="W195" s="11"/>
      <c r="X195" s="11">
        <f>VLOOKUP($G195, SeanRanks26!$A$2:$K$303, 10, FALSE)-U195</f>
        <v>22</v>
      </c>
      <c r="Y195" s="29" t="str">
        <f>IF(VLOOKUP($G195, SeanRanks26!$A$2:$H$303, 8, FALSE)=0, "", VLOOKUP($G195, SeanRanks26!$A$2:$H$303, 8, FALSE))</f>
        <v>Rookie R1.30 Indiana</v>
      </c>
    </row>
    <row r="196" ht="14.25" customHeight="1">
      <c r="A196" s="11"/>
      <c r="B196" s="11">
        <f t="shared" si="4"/>
        <v>17</v>
      </c>
      <c r="C196" s="11" t="s">
        <v>106</v>
      </c>
      <c r="D196" s="11"/>
      <c r="E196" s="27"/>
      <c r="F196" s="11" t="str">
        <f>VLOOKUP($G196, SeanRanks26!$A$2:$H$303, 5, FALSE)</f>
        <v/>
      </c>
      <c r="G196" s="16" t="s">
        <v>428</v>
      </c>
      <c r="H196" s="11" t="str">
        <f>VLOOKUP($G196, '26 ADP Data'!$C$4:$Q$298, 2, FALSE)</f>
        <v>IND</v>
      </c>
      <c r="I196" s="11" t="str">
        <f>VLOOKUP(G196, '26 ADP Data'!$C$4:$R$496, 16, FALSE)</f>
        <v>WR</v>
      </c>
      <c r="J196" s="11" t="str">
        <f>VLOOKUP($G196, SeanRanks26!$A$2:$H$303, 6, FALSE)</f>
        <v/>
      </c>
      <c r="K196" s="11" t="str">
        <f>VLOOKUP($G196, SeanRanks26!$A$2:$H$303, 7, FALSE)</f>
        <v/>
      </c>
      <c r="L196" s="11">
        <f t="shared" si="5"/>
        <v>13</v>
      </c>
      <c r="M196" s="11">
        <f>VLOOKUP($G196, '26 ADP Data'!$C$4:$Q$298, 10, FALSE)</f>
        <v>144</v>
      </c>
      <c r="N196" s="11">
        <f>VLOOKUP($G196, '26 ADP Data'!$C$4:$Q$298, 13, FALSE)</f>
        <v>155</v>
      </c>
      <c r="O196" s="11">
        <f t="shared" si="6"/>
        <v>-11</v>
      </c>
      <c r="P196" s="11">
        <f>VLOOKUP($G196, '26 ADP Data'!$C$4:$Q$298, 3, FALSE)</f>
        <v>182</v>
      </c>
      <c r="Q196" s="11">
        <f>VLOOKUP($G196, '26 ADP Data'!$C$4:$Q$298, 4, FALSE)</f>
        <v>180</v>
      </c>
      <c r="R196" s="11">
        <f>VLOOKUP($G196, '26 ADP Data'!$C$4:$Q$298, 6, FALSE)</f>
        <v>183</v>
      </c>
      <c r="S196" s="11">
        <f>VLOOKUP($G196, '26 ADP Data'!$C$4:$Q$298, 9, FALSE)</f>
        <v>265</v>
      </c>
      <c r="T196" s="11" t="str">
        <f>VLOOKUP($G196, '26 ADP Data'!$C$4:$Q$298, 8, FALSE)</f>
        <v>-</v>
      </c>
      <c r="U196" s="11">
        <f t="shared" si="7"/>
        <v>184</v>
      </c>
      <c r="V196" s="11">
        <f t="shared" si="8"/>
        <v>16</v>
      </c>
      <c r="W196" s="11"/>
      <c r="X196" s="11">
        <f>VLOOKUP($G196, SeanRanks26!$A$2:$K$303, 10, FALSE)-U196</f>
        <v>-40</v>
      </c>
      <c r="Y196" s="29" t="str">
        <f>IF(VLOOKUP($G196, SeanRanks26!$A$2:$H$303, 8, FALSE)=0, "", VLOOKUP($G196, SeanRanks26!$A$2:$H$303, 8, FALSE))</f>
        <v/>
      </c>
    </row>
    <row r="197" ht="14.25" customHeight="1">
      <c r="A197" s="11"/>
      <c r="B197" s="11">
        <f t="shared" si="4"/>
        <v>16</v>
      </c>
      <c r="C197" s="11" t="s">
        <v>106</v>
      </c>
      <c r="D197" s="11"/>
      <c r="E197" s="27"/>
      <c r="F197" s="11" t="str">
        <f>VLOOKUP($G197, SeanRanks26!$A$2:$H$303, 5, FALSE)</f>
        <v/>
      </c>
      <c r="G197" s="16" t="s">
        <v>521</v>
      </c>
      <c r="H197" s="11" t="str">
        <f>VLOOKUP($G197, '26 ADP Data'!$C$4:$Q$298, 2, FALSE)</f>
        <v>BUF</v>
      </c>
      <c r="I197" s="11" t="str">
        <f>VLOOKUP(G197, '26 ADP Data'!$C$4:$R$496, 16, FALSE)</f>
        <v>RB</v>
      </c>
      <c r="J197" s="11" t="str">
        <f>VLOOKUP($G197, SeanRanks26!$A$2:$H$303, 6, FALSE)</f>
        <v/>
      </c>
      <c r="K197" s="11" t="str">
        <f>VLOOKUP($G197, SeanRanks26!$A$2:$H$303, 7, FALSE)</f>
        <v/>
      </c>
      <c r="L197" s="11">
        <f t="shared" si="5"/>
        <v>15</v>
      </c>
      <c r="M197" s="11">
        <f>VLOOKUP($G197, '26 ADP Data'!$C$4:$Q$298, 10, FALSE)</f>
        <v>170</v>
      </c>
      <c r="N197" s="11">
        <f>VLOOKUP($G197, '26 ADP Data'!$C$4:$Q$298, 13, FALSE)</f>
        <v>186</v>
      </c>
      <c r="O197" s="11">
        <f t="shared" si="6"/>
        <v>-16</v>
      </c>
      <c r="P197" s="11" t="str">
        <f>VLOOKUP($G197, '26 ADP Data'!$C$4:$Q$298, 3, FALSE)</f>
        <v>-</v>
      </c>
      <c r="Q197" s="11" t="str">
        <f>VLOOKUP($G197, '26 ADP Data'!$C$4:$Q$298, 4, FALSE)</f>
        <v>-</v>
      </c>
      <c r="R197" s="11">
        <f>VLOOKUP($G197, '26 ADP Data'!$C$4:$Q$298, 6, FALSE)</f>
        <v>171</v>
      </c>
      <c r="S197" s="11">
        <f>VLOOKUP($G197, '26 ADP Data'!$C$4:$Q$298, 9, FALSE)</f>
        <v>210</v>
      </c>
      <c r="T197" s="11" t="str">
        <f>VLOOKUP($G197, '26 ADP Data'!$C$4:$Q$298, 8, FALSE)</f>
        <v>-</v>
      </c>
      <c r="U197" s="11">
        <f t="shared" si="7"/>
        <v>184</v>
      </c>
      <c r="V197" s="11">
        <f t="shared" si="8"/>
        <v>16</v>
      </c>
      <c r="W197" s="11"/>
      <c r="X197" s="11">
        <f>VLOOKUP($G197, SeanRanks26!$A$2:$K$303, 10, FALSE)-U197</f>
        <v>-14</v>
      </c>
      <c r="Y197" s="29" t="str">
        <f>IF(VLOOKUP($G197, SeanRanks26!$A$2:$H$303, 8, FALSE)=0, "", VLOOKUP($G197, SeanRanks26!$A$2:$H$303, 8, FALSE))</f>
        <v/>
      </c>
    </row>
    <row r="198" ht="14.25" customHeight="1">
      <c r="A198" s="11"/>
      <c r="B198" s="11">
        <f t="shared" si="4"/>
        <v>17</v>
      </c>
      <c r="C198" s="11" t="s">
        <v>106</v>
      </c>
      <c r="D198" s="11"/>
      <c r="E198" s="27"/>
      <c r="F198" s="11" t="str">
        <f>VLOOKUP($G198, SeanRanks26!$A$2:$H$303, 5, FALSE)</f>
        <v/>
      </c>
      <c r="G198" s="16" t="s">
        <v>536</v>
      </c>
      <c r="H198" s="11" t="str">
        <f>VLOOKUP($G198, '26 ADP Data'!$C$4:$Q$298, 2, FALSE)</f>
        <v>DEN</v>
      </c>
      <c r="I198" s="11" t="str">
        <f>VLOOKUP(G198, '26 ADP Data'!$C$4:$R$496, 16, FALSE)</f>
        <v>WR</v>
      </c>
      <c r="J198" s="11" t="str">
        <f>VLOOKUP($G198, SeanRanks26!$A$2:$H$303, 6, FALSE)</f>
        <v/>
      </c>
      <c r="K198" s="11">
        <f>VLOOKUP($G198, SeanRanks26!$A$2:$H$303, 7, FALSE)</f>
        <v>75</v>
      </c>
      <c r="L198" s="11">
        <f t="shared" si="5"/>
        <v>15</v>
      </c>
      <c r="M198" s="11">
        <f>VLOOKUP($G198, '26 ADP Data'!$C$4:$Q$298, 10, FALSE)</f>
        <v>168</v>
      </c>
      <c r="N198" s="11">
        <f>VLOOKUP($G198, '26 ADP Data'!$C$4:$Q$298, 13, FALSE)</f>
        <v>172</v>
      </c>
      <c r="O198" s="11">
        <f t="shared" si="6"/>
        <v>-4</v>
      </c>
      <c r="P198" s="11" t="str">
        <f>VLOOKUP($G198, '26 ADP Data'!$C$4:$Q$298, 3, FALSE)</f>
        <v>-</v>
      </c>
      <c r="Q198" s="11" t="str">
        <f>VLOOKUP($G198, '26 ADP Data'!$C$4:$Q$298, 4, FALSE)</f>
        <v>-</v>
      </c>
      <c r="R198" s="11">
        <f>VLOOKUP($G198, '26 ADP Data'!$C$4:$Q$298, 6, FALSE)</f>
        <v>186</v>
      </c>
      <c r="S198" s="11">
        <f>VLOOKUP($G198, '26 ADP Data'!$C$4:$Q$298, 9, FALSE)</f>
        <v>215</v>
      </c>
      <c r="T198" s="11" t="str">
        <f>VLOOKUP($G198, '26 ADP Data'!$C$4:$Q$298, 8, FALSE)</f>
        <v>-</v>
      </c>
      <c r="U198" s="11">
        <f t="shared" si="7"/>
        <v>185</v>
      </c>
      <c r="V198" s="11">
        <f t="shared" si="8"/>
        <v>16</v>
      </c>
      <c r="W198" s="11"/>
      <c r="X198" s="11">
        <f>VLOOKUP($G198, SeanRanks26!$A$2:$K$303, 10, FALSE)-U198</f>
        <v>-17</v>
      </c>
      <c r="Y198" s="29" t="str">
        <f>IF(VLOOKUP($G198, SeanRanks26!$A$2:$H$303, 8, FALSE)=0, "", VLOOKUP($G198, SeanRanks26!$A$2:$H$303, 8, FALSE))</f>
        <v>2025 R3</v>
      </c>
    </row>
    <row r="199" ht="14.25" customHeight="1">
      <c r="A199" s="11"/>
      <c r="B199" s="11">
        <f t="shared" si="4"/>
        <v>17</v>
      </c>
      <c r="C199" s="11" t="s">
        <v>106</v>
      </c>
      <c r="D199" s="11"/>
      <c r="E199" s="27"/>
      <c r="F199" s="11" t="str">
        <f>VLOOKUP($G199, SeanRanks26!$A$2:$H$303, 5, FALSE)</f>
        <v/>
      </c>
      <c r="G199" s="16" t="s">
        <v>470</v>
      </c>
      <c r="H199" s="11" t="str">
        <f>VLOOKUP($G199, '26 ADP Data'!$C$4:$Q$298, 2, FALSE)</f>
        <v>TEN</v>
      </c>
      <c r="I199" s="11" t="str">
        <f>VLOOKUP(G199, '26 ADP Data'!$C$4:$R$496, 16, FALSE)</f>
        <v>QB</v>
      </c>
      <c r="J199" s="11" t="str">
        <f>VLOOKUP($G199, SeanRanks26!$A$2:$H$303, 6, FALSE)</f>
        <v/>
      </c>
      <c r="K199" s="11" t="str">
        <f>VLOOKUP($G199, SeanRanks26!$A$2:$H$303, 7, FALSE)</f>
        <v/>
      </c>
      <c r="L199" s="11">
        <f t="shared" si="5"/>
        <v>15</v>
      </c>
      <c r="M199" s="11">
        <f>VLOOKUP($G199, '26 ADP Data'!$C$4:$Q$298, 10, FALSE)</f>
        <v>177</v>
      </c>
      <c r="N199" s="11">
        <f>VLOOKUP($G199, '26 ADP Data'!$C$4:$Q$298, 13, FALSE)</f>
        <v>158</v>
      </c>
      <c r="O199" s="11">
        <f t="shared" si="6"/>
        <v>19</v>
      </c>
      <c r="P199" s="11" t="str">
        <f>VLOOKUP($G199, '26 ADP Data'!$C$4:$Q$298, 3, FALSE)</f>
        <v>-</v>
      </c>
      <c r="Q199" s="11">
        <f>VLOOKUP($G199, '26 ADP Data'!$C$4:$Q$298, 4, FALSE)</f>
        <v>201</v>
      </c>
      <c r="R199" s="11">
        <f>VLOOKUP($G199, '26 ADP Data'!$C$4:$Q$298, 6, FALSE)</f>
        <v>198</v>
      </c>
      <c r="S199" s="11">
        <f>VLOOKUP($G199, '26 ADP Data'!$C$4:$Q$298, 9, FALSE)</f>
        <v>193</v>
      </c>
      <c r="T199" s="11" t="str">
        <f>VLOOKUP($G199, '26 ADP Data'!$C$4:$Q$298, 8, FALSE)</f>
        <v>-</v>
      </c>
      <c r="U199" s="11">
        <f t="shared" si="7"/>
        <v>185</v>
      </c>
      <c r="V199" s="11">
        <f t="shared" si="8"/>
        <v>16</v>
      </c>
      <c r="W199" s="11"/>
      <c r="X199" s="11">
        <f>VLOOKUP($G199, SeanRanks26!$A$2:$K$303, 10, FALSE)-U199</f>
        <v>-8</v>
      </c>
      <c r="Y199" s="29" t="str">
        <f>IF(VLOOKUP($G199, SeanRanks26!$A$2:$H$303, 8, FALSE)=0, "", VLOOKUP($G199, SeanRanks26!$A$2:$H$303, 8, FALSE))</f>
        <v/>
      </c>
    </row>
    <row r="200" ht="14.25" customHeight="1">
      <c r="A200" s="11"/>
      <c r="B200" s="11">
        <f t="shared" si="4"/>
        <v>16</v>
      </c>
      <c r="C200" s="11" t="s">
        <v>106</v>
      </c>
      <c r="D200" s="11"/>
      <c r="E200" s="27"/>
      <c r="F200" s="11" t="str">
        <f>VLOOKUP($G200, SeanRanks26!$A$2:$H$303, 5, FALSE)</f>
        <v/>
      </c>
      <c r="G200" s="16" t="s">
        <v>525</v>
      </c>
      <c r="H200" s="11" t="str">
        <f>VLOOKUP($G200, '26 ADP Data'!$C$4:$Q$298, 2, FALSE)</f>
        <v>DAL</v>
      </c>
      <c r="I200" s="11" t="str">
        <f>VLOOKUP(G200, '26 ADP Data'!$C$4:$R$496, 16, FALSE)</f>
        <v>RB</v>
      </c>
      <c r="J200" s="11" t="str">
        <f>VLOOKUP($G200, SeanRanks26!$A$2:$H$303, 6, FALSE)</f>
        <v/>
      </c>
      <c r="K200" s="11" t="str">
        <f>VLOOKUP($G200, SeanRanks26!$A$2:$H$303, 7, FALSE)</f>
        <v/>
      </c>
      <c r="L200" s="11">
        <f t="shared" si="5"/>
        <v>16</v>
      </c>
      <c r="M200" s="11">
        <f>VLOOKUP($G200, '26 ADP Data'!$C$4:$Q$298, 10, FALSE)</f>
        <v>184</v>
      </c>
      <c r="N200" s="11">
        <f>VLOOKUP($G200, '26 ADP Data'!$C$4:$Q$298, 13, FALSE)</f>
        <v>177</v>
      </c>
      <c r="O200" s="11">
        <f t="shared" si="6"/>
        <v>7</v>
      </c>
      <c r="P200" s="11" t="str">
        <f>VLOOKUP($G200, '26 ADP Data'!$C$4:$Q$298, 3, FALSE)</f>
        <v>-</v>
      </c>
      <c r="Q200" s="11" t="str">
        <f>VLOOKUP($G200, '26 ADP Data'!$C$4:$Q$298, 4, FALSE)</f>
        <v>-</v>
      </c>
      <c r="R200" s="11">
        <f>VLOOKUP($G200, '26 ADP Data'!$C$4:$Q$298, 6, FALSE)</f>
        <v>159</v>
      </c>
      <c r="S200" s="11">
        <f>VLOOKUP($G200, '26 ADP Data'!$C$4:$Q$298, 9, FALSE)</f>
        <v>223</v>
      </c>
      <c r="T200" s="11" t="str">
        <f>VLOOKUP($G200, '26 ADP Data'!$C$4:$Q$298, 8, FALSE)</f>
        <v>-</v>
      </c>
      <c r="U200" s="11">
        <f t="shared" si="7"/>
        <v>185</v>
      </c>
      <c r="V200" s="11">
        <f t="shared" si="8"/>
        <v>16</v>
      </c>
      <c r="W200" s="11"/>
      <c r="X200" s="11">
        <f>VLOOKUP($G200, SeanRanks26!$A$2:$K$303, 10, FALSE)-U200</f>
        <v>-1</v>
      </c>
      <c r="Y200" s="29" t="s">
        <v>805</v>
      </c>
    </row>
    <row r="201" ht="14.25" customHeight="1">
      <c r="A201" s="11"/>
      <c r="B201" s="11">
        <f t="shared" si="4"/>
        <v>17</v>
      </c>
      <c r="C201" s="11" t="s">
        <v>106</v>
      </c>
      <c r="D201" s="11"/>
      <c r="E201" s="27"/>
      <c r="F201" s="11" t="str">
        <f>VLOOKUP($G201, SeanRanks26!$A$2:$H$303, 5, FALSE)</f>
        <v>#N/A</v>
      </c>
      <c r="G201" s="16" t="s">
        <v>463</v>
      </c>
      <c r="H201" s="11" t="str">
        <f>VLOOKUP($G201, '26 ADP Data'!$C$4:$Q$298, 2, FALSE)</f>
        <v>KC</v>
      </c>
      <c r="I201" s="11" t="str">
        <f>VLOOKUP(G201, '26 ADP Data'!$C$4:$R$496, 16, FALSE)</f>
        <v>WR</v>
      </c>
      <c r="J201" s="11" t="str">
        <f>VLOOKUP($G201, SeanRanks26!$A$2:$H$303, 6, FALSE)</f>
        <v>#N/A</v>
      </c>
      <c r="K201" s="11" t="str">
        <f>VLOOKUP($G201, SeanRanks26!$A$2:$H$303, 7, FALSE)</f>
        <v>#N/A</v>
      </c>
      <c r="L201" s="11">
        <f t="shared" si="5"/>
        <v>16</v>
      </c>
      <c r="M201" s="11">
        <f>VLOOKUP($G201, '26 ADP Data'!$C$4:$Q$298, 10, FALSE)</f>
        <v>182</v>
      </c>
      <c r="N201" s="11">
        <f>VLOOKUP($G201, '26 ADP Data'!$C$4:$Q$298, 13, FALSE)</f>
        <v>165</v>
      </c>
      <c r="O201" s="11">
        <f t="shared" si="6"/>
        <v>17</v>
      </c>
      <c r="P201" s="11" t="str">
        <f>VLOOKUP($G201, '26 ADP Data'!$C$4:$Q$298, 3, FALSE)</f>
        <v>-</v>
      </c>
      <c r="Q201" s="11">
        <f>VLOOKUP($G201, '26 ADP Data'!$C$4:$Q$298, 4, FALSE)</f>
        <v>213</v>
      </c>
      <c r="R201" s="11">
        <f>VLOOKUP($G201, '26 ADP Data'!$C$4:$Q$298, 6, FALSE)</f>
        <v>167</v>
      </c>
      <c r="S201" s="11">
        <f>VLOOKUP($G201, '26 ADP Data'!$C$4:$Q$298, 9, FALSE)</f>
        <v>216</v>
      </c>
      <c r="T201" s="11" t="str">
        <f>VLOOKUP($G201, '26 ADP Data'!$C$4:$Q$298, 8, FALSE)</f>
        <v>-</v>
      </c>
      <c r="U201" s="11">
        <f t="shared" si="7"/>
        <v>188</v>
      </c>
      <c r="V201" s="11">
        <f t="shared" si="8"/>
        <v>16</v>
      </c>
      <c r="W201" s="11"/>
      <c r="X201" s="11" t="str">
        <f>VLOOKUP($G201, SeanRanks26!$A$2:$K$303, 10, FALSE)-U201</f>
        <v>#N/A</v>
      </c>
      <c r="Y201" s="29" t="str">
        <f>IF(VLOOKUP($G201, SeanRanks26!$A$2:$H$303, 8, FALSE)=0, "", VLOOKUP($G201, SeanRanks26!$A$2:$H$303, 8, FALSE))</f>
        <v>#N/A</v>
      </c>
    </row>
    <row r="202" ht="14.25" customHeight="1">
      <c r="A202" s="11"/>
      <c r="B202" s="11">
        <f t="shared" si="4"/>
        <v>18</v>
      </c>
      <c r="C202" s="11" t="s">
        <v>106</v>
      </c>
      <c r="D202" s="11"/>
      <c r="E202" s="27"/>
      <c r="F202" s="11" t="str">
        <f>VLOOKUP($G202, SeanRanks26!$A$2:$H$303, 5, FALSE)</f>
        <v/>
      </c>
      <c r="G202" s="16" t="s">
        <v>519</v>
      </c>
      <c r="H202" s="11" t="str">
        <f>VLOOKUP($G202, '26 ADP Data'!$C$4:$Q$298, 2, FALSE)</f>
        <v>DAL</v>
      </c>
      <c r="I202" s="11" t="str">
        <f>VLOOKUP(G202, '26 ADP Data'!$C$4:$R$496, 16, FALSE)</f>
        <v>WR</v>
      </c>
      <c r="J202" s="11" t="str">
        <f>VLOOKUP($G202, SeanRanks26!$A$2:$H$303, 6, FALSE)</f>
        <v/>
      </c>
      <c r="K202" s="11" t="str">
        <f>VLOOKUP($G202, SeanRanks26!$A$2:$H$303, 7, FALSE)</f>
        <v/>
      </c>
      <c r="L202" s="11">
        <f t="shared" si="5"/>
        <v>15</v>
      </c>
      <c r="M202" s="11">
        <f>VLOOKUP($G202, '26 ADP Data'!$C$4:$Q$298, 10, FALSE)</f>
        <v>173</v>
      </c>
      <c r="N202" s="11">
        <f>VLOOKUP($G202, '26 ADP Data'!$C$4:$Q$298, 13, FALSE)</f>
        <v>168</v>
      </c>
      <c r="O202" s="11">
        <f t="shared" si="6"/>
        <v>5</v>
      </c>
      <c r="P202" s="11" t="str">
        <f>VLOOKUP($G202, '26 ADP Data'!$C$4:$Q$298, 3, FALSE)</f>
        <v>-</v>
      </c>
      <c r="Q202" s="11" t="str">
        <f>VLOOKUP($G202, '26 ADP Data'!$C$4:$Q$298, 4, FALSE)</f>
        <v>-</v>
      </c>
      <c r="R202" s="11">
        <f>VLOOKUP($G202, '26 ADP Data'!$C$4:$Q$298, 6, FALSE)</f>
        <v>185</v>
      </c>
      <c r="S202" s="11">
        <f>VLOOKUP($G202, '26 ADP Data'!$C$4:$Q$298, 9, FALSE)</f>
        <v>234</v>
      </c>
      <c r="T202" s="11" t="str">
        <f>VLOOKUP($G202, '26 ADP Data'!$C$4:$Q$298, 8, FALSE)</f>
        <v>-</v>
      </c>
      <c r="U202" s="11">
        <f t="shared" si="7"/>
        <v>190</v>
      </c>
      <c r="V202" s="11">
        <f t="shared" si="8"/>
        <v>16</v>
      </c>
      <c r="W202" s="11"/>
      <c r="X202" s="11">
        <f>VLOOKUP($G202, SeanRanks26!$A$2:$K$303, 10, FALSE)-U202</f>
        <v>-17</v>
      </c>
      <c r="Y202" s="29" t="str">
        <f>IF(VLOOKUP($G202, SeanRanks26!$A$2:$H$303, 8, FALSE)=0, "", VLOOKUP($G202, SeanRanks26!$A$2:$H$303, 8, FALSE))</f>
        <v/>
      </c>
    </row>
    <row r="203" ht="14.25" customHeight="1">
      <c r="A203" s="11"/>
      <c r="B203" s="11">
        <f t="shared" si="4"/>
        <v>18</v>
      </c>
      <c r="C203" s="11" t="s">
        <v>106</v>
      </c>
      <c r="D203" s="11"/>
      <c r="E203" s="27"/>
      <c r="F203" s="11" t="str">
        <f>VLOOKUP($G203, SeanRanks26!$A$2:$H$303, 5, FALSE)</f>
        <v/>
      </c>
      <c r="G203" s="16" t="s">
        <v>481</v>
      </c>
      <c r="H203" s="11" t="str">
        <f>VLOOKUP($G203, '26 ADP Data'!$C$4:$Q$298, 2, FALSE)</f>
        <v>CAR</v>
      </c>
      <c r="I203" s="11" t="str">
        <f>VLOOKUP(G203, '26 ADP Data'!$C$4:$R$496, 16, FALSE)</f>
        <v>QB</v>
      </c>
      <c r="J203" s="11" t="str">
        <f>VLOOKUP($G203, SeanRanks26!$A$2:$H$303, 6, FALSE)</f>
        <v/>
      </c>
      <c r="K203" s="11" t="str">
        <f>VLOOKUP($G203, SeanRanks26!$A$2:$H$303, 7, FALSE)</f>
        <v/>
      </c>
      <c r="L203" s="11">
        <f t="shared" si="5"/>
        <v>14</v>
      </c>
      <c r="M203" s="11">
        <f>VLOOKUP($G203, '26 ADP Data'!$C$4:$Q$298, 10, FALSE)</f>
        <v>167</v>
      </c>
      <c r="N203" s="11">
        <f>VLOOKUP($G203, '26 ADP Data'!$C$4:$Q$298, 13, FALSE)</f>
        <v>166</v>
      </c>
      <c r="O203" s="11">
        <f t="shared" si="6"/>
        <v>1</v>
      </c>
      <c r="P203" s="11" t="str">
        <f>VLOOKUP($G203, '26 ADP Data'!$C$4:$Q$298, 3, FALSE)</f>
        <v>-</v>
      </c>
      <c r="Q203" s="11">
        <f>VLOOKUP($G203, '26 ADP Data'!$C$4:$Q$298, 4, FALSE)</f>
        <v>196</v>
      </c>
      <c r="R203" s="11">
        <f>VLOOKUP($G203, '26 ADP Data'!$C$4:$Q$298, 6, FALSE)</f>
        <v>206</v>
      </c>
      <c r="S203" s="11">
        <f>VLOOKUP($G203, '26 ADP Data'!$C$4:$Q$298, 9, FALSE)</f>
        <v>224</v>
      </c>
      <c r="T203" s="11" t="str">
        <f>VLOOKUP($G203, '26 ADP Data'!$C$4:$Q$298, 8, FALSE)</f>
        <v>-</v>
      </c>
      <c r="U203" s="11">
        <f t="shared" si="7"/>
        <v>191</v>
      </c>
      <c r="V203" s="11">
        <f t="shared" si="8"/>
        <v>16</v>
      </c>
      <c r="W203" s="11"/>
      <c r="X203" s="11">
        <f>VLOOKUP($G203, SeanRanks26!$A$2:$K$303, 10, FALSE)-U203</f>
        <v>-24</v>
      </c>
      <c r="Y203" s="29" t="str">
        <f>IF(VLOOKUP($G203, SeanRanks26!$A$2:$H$303, 8, FALSE)=0, "", VLOOKUP($G203, SeanRanks26!$A$2:$H$303, 8, FALSE))</f>
        <v/>
      </c>
    </row>
    <row r="204" ht="14.25" customHeight="1">
      <c r="A204" s="11"/>
      <c r="B204" s="11">
        <f t="shared" si="4"/>
        <v>17</v>
      </c>
      <c r="C204" s="11" t="s">
        <v>106</v>
      </c>
      <c r="D204" s="11"/>
      <c r="E204" s="27"/>
      <c r="F204" s="11" t="str">
        <f>VLOOKUP($G204, SeanRanks26!$A$2:$H$303, 5, FALSE)</f>
        <v/>
      </c>
      <c r="G204" s="16" t="s">
        <v>479</v>
      </c>
      <c r="H204" s="11" t="str">
        <f>VLOOKUP($G204, '26 ADP Data'!$C$4:$Q$298, 2, FALSE)</f>
        <v>SF</v>
      </c>
      <c r="I204" s="11" t="str">
        <f>VLOOKUP(G204, '26 ADP Data'!$C$4:$R$496, 16, FALSE)</f>
        <v>RB</v>
      </c>
      <c r="J204" s="11" t="str">
        <f>VLOOKUP($G204, SeanRanks26!$A$2:$H$303, 6, FALSE)</f>
        <v>RB4</v>
      </c>
      <c r="K204" s="11">
        <f>VLOOKUP($G204, SeanRanks26!$A$2:$H$303, 7, FALSE)</f>
        <v>53</v>
      </c>
      <c r="L204" s="11">
        <f t="shared" si="5"/>
        <v>16</v>
      </c>
      <c r="M204" s="11">
        <f>VLOOKUP($G204, '26 ADP Data'!$C$4:$Q$298, 10, FALSE)</f>
        <v>181</v>
      </c>
      <c r="N204" s="11">
        <f>VLOOKUP($G204, '26 ADP Data'!$C$4:$Q$298, 13, FALSE)</f>
        <v>193</v>
      </c>
      <c r="O204" s="11">
        <f t="shared" si="6"/>
        <v>-12</v>
      </c>
      <c r="P204" s="11">
        <f>VLOOKUP($G204, '26 ADP Data'!$C$4:$Q$298, 3, FALSE)</f>
        <v>177</v>
      </c>
      <c r="Q204" s="11" t="str">
        <f>VLOOKUP($G204, '26 ADP Data'!$C$4:$Q$298, 4, FALSE)</f>
        <v>-</v>
      </c>
      <c r="R204" s="11">
        <f>VLOOKUP($G204, '26 ADP Data'!$C$4:$Q$298, 6, FALSE)</f>
        <v>173</v>
      </c>
      <c r="S204" s="11">
        <f>VLOOKUP($G204, '26 ADP Data'!$C$4:$Q$298, 9, FALSE)</f>
        <v>233</v>
      </c>
      <c r="T204" s="11" t="str">
        <f>VLOOKUP($G204, '26 ADP Data'!$C$4:$Q$298, 8, FALSE)</f>
        <v>-</v>
      </c>
      <c r="U204" s="11">
        <f t="shared" si="7"/>
        <v>191</v>
      </c>
      <c r="V204" s="11">
        <f t="shared" si="8"/>
        <v>16</v>
      </c>
      <c r="W204" s="11"/>
      <c r="X204" s="11">
        <f>VLOOKUP($G204, SeanRanks26!$A$2:$K$303, 10, FALSE)-U204</f>
        <v>-10</v>
      </c>
      <c r="Y204" s="29" t="str">
        <f>IF(VLOOKUP($G204, SeanRanks26!$A$2:$H$303, 8, FALSE)=0, "", VLOOKUP($G204, SeanRanks26!$A$2:$H$303, 8, FALSE))</f>
        <v>Rookie R3 - Indiana</v>
      </c>
    </row>
    <row r="205" ht="14.25" customHeight="1">
      <c r="A205" s="11"/>
      <c r="B205" s="11">
        <f t="shared" si="4"/>
        <v>17</v>
      </c>
      <c r="C205" s="11" t="s">
        <v>106</v>
      </c>
      <c r="D205" s="11"/>
      <c r="E205" s="27"/>
      <c r="F205" s="11" t="str">
        <f>VLOOKUP($G205, SeanRanks26!$A$2:$H$303, 5, FALSE)</f>
        <v>#N/A</v>
      </c>
      <c r="G205" s="16" t="s">
        <v>534</v>
      </c>
      <c r="H205" s="11" t="str">
        <f>VLOOKUP($G205, '26 ADP Data'!$C$4:$Q$298, 2, FALSE)</f>
        <v>MIA</v>
      </c>
      <c r="I205" s="11" t="str">
        <f>VLOOKUP(G205, '26 ADP Data'!$C$4:$R$496, 16, FALSE)</f>
        <v>WR</v>
      </c>
      <c r="J205" s="11" t="str">
        <f>VLOOKUP($G205, SeanRanks26!$A$2:$H$303, 6, FALSE)</f>
        <v>#N/A</v>
      </c>
      <c r="K205" s="11" t="str">
        <f>VLOOKUP($G205, SeanRanks26!$A$2:$H$303, 7, FALSE)</f>
        <v>#N/A</v>
      </c>
      <c r="L205" s="11">
        <f t="shared" si="5"/>
        <v>17</v>
      </c>
      <c r="M205" s="11">
        <f>VLOOKUP($G205, '26 ADP Data'!$C$4:$Q$298, 10, FALSE)</f>
        <v>201</v>
      </c>
      <c r="N205" s="11">
        <f>VLOOKUP($G205, '26 ADP Data'!$C$4:$Q$298, 13, FALSE)</f>
        <v>176</v>
      </c>
      <c r="O205" s="11">
        <f t="shared" si="6"/>
        <v>25</v>
      </c>
      <c r="P205" s="11" t="str">
        <f>VLOOKUP($G205, '26 ADP Data'!$C$4:$Q$298, 3, FALSE)</f>
        <v>-</v>
      </c>
      <c r="Q205" s="11">
        <f>VLOOKUP($G205, '26 ADP Data'!$C$4:$Q$298, 4, FALSE)</f>
        <v>207</v>
      </c>
      <c r="R205" s="11">
        <f>VLOOKUP($G205, '26 ADP Data'!$C$4:$Q$298, 6, FALSE)</f>
        <v>181</v>
      </c>
      <c r="S205" s="11" t="str">
        <f>VLOOKUP($G205, '26 ADP Data'!$C$4:$Q$298, 9, FALSE)</f>
        <v>-</v>
      </c>
      <c r="T205" s="11" t="str">
        <f>VLOOKUP($G205, '26 ADP Data'!$C$4:$Q$298, 8, FALSE)</f>
        <v>-</v>
      </c>
      <c r="U205" s="11">
        <f t="shared" si="7"/>
        <v>191</v>
      </c>
      <c r="V205" s="11">
        <f t="shared" si="8"/>
        <v>16</v>
      </c>
      <c r="W205" s="11"/>
      <c r="X205" s="11" t="str">
        <f>VLOOKUP($G205, SeanRanks26!$A$2:$K$303, 10, FALSE)-U205</f>
        <v>#N/A</v>
      </c>
      <c r="Y205" s="29" t="str">
        <f>IF(VLOOKUP($G205, SeanRanks26!$A$2:$H$303, 8, FALSE)=0, "", VLOOKUP($G205, SeanRanks26!$A$2:$H$303, 8, FALSE))</f>
        <v>#N/A</v>
      </c>
    </row>
    <row r="206" ht="14.25" customHeight="1">
      <c r="A206" s="11"/>
      <c r="B206" s="11">
        <f t="shared" si="4"/>
        <v>17</v>
      </c>
      <c r="C206" s="11" t="s">
        <v>106</v>
      </c>
      <c r="D206" s="11"/>
      <c r="E206" s="27"/>
      <c r="F206" s="11" t="str">
        <f>VLOOKUP($G206, SeanRanks26!$A$2:$H$303, 5, FALSE)</f>
        <v/>
      </c>
      <c r="G206" s="16" t="s">
        <v>529</v>
      </c>
      <c r="H206" s="11" t="str">
        <f>VLOOKUP($G206, '26 ADP Data'!$C$4:$Q$298, 2, FALSE)</f>
        <v>JAX</v>
      </c>
      <c r="I206" s="11" t="str">
        <f>VLOOKUP(G206, '26 ADP Data'!$C$4:$R$496, 16, FALSE)</f>
        <v>DE</v>
      </c>
      <c r="J206" s="11" t="str">
        <f>VLOOKUP($G206, SeanRanks26!$A$2:$H$303, 6, FALSE)</f>
        <v/>
      </c>
      <c r="K206" s="11" t="str">
        <f>VLOOKUP($G206, SeanRanks26!$A$2:$H$303, 7, FALSE)</f>
        <v/>
      </c>
      <c r="L206" s="11">
        <f t="shared" si="5"/>
        <v>16</v>
      </c>
      <c r="M206" s="11">
        <f>VLOOKUP($G206, '26 ADP Data'!$C$4:$Q$298, 10, FALSE)</f>
        <v>191</v>
      </c>
      <c r="N206" s="11" t="str">
        <f>VLOOKUP($G206, '26 ADP Data'!$C$4:$Q$298, 13, FALSE)</f>
        <v>-</v>
      </c>
      <c r="O206" s="11" t="str">
        <f t="shared" si="6"/>
        <v>#VALUE!</v>
      </c>
      <c r="P206" s="11">
        <f>VLOOKUP($G206, '26 ADP Data'!$C$4:$Q$298, 3, FALSE)</f>
        <v>180</v>
      </c>
      <c r="Q206" s="11">
        <f>VLOOKUP($G206, '26 ADP Data'!$C$4:$Q$298, 4, FALSE)</f>
        <v>186</v>
      </c>
      <c r="R206" s="11">
        <f>VLOOKUP($G206, '26 ADP Data'!$C$4:$Q$298, 6, FALSE)</f>
        <v>237</v>
      </c>
      <c r="S206" s="11">
        <f>VLOOKUP($G206, '26 ADP Data'!$C$4:$Q$298, 9, FALSE)</f>
        <v>167</v>
      </c>
      <c r="T206" s="11" t="str">
        <f>VLOOKUP($G206, '26 ADP Data'!$C$4:$Q$298, 8, FALSE)</f>
        <v>-</v>
      </c>
      <c r="U206" s="11">
        <f t="shared" si="7"/>
        <v>192</v>
      </c>
      <c r="V206" s="11">
        <f t="shared" si="8"/>
        <v>17</v>
      </c>
      <c r="W206" s="11"/>
      <c r="X206" s="11">
        <f>VLOOKUP($G206, SeanRanks26!$A$2:$K$303, 10, FALSE)-U206</f>
        <v>-1</v>
      </c>
      <c r="Y206" s="29" t="str">
        <f>IF(VLOOKUP($G206, SeanRanks26!$A$2:$H$303, 8, FALSE)=0, "", VLOOKUP($G206, SeanRanks26!$A$2:$H$303, 8, FALSE))</f>
        <v/>
      </c>
    </row>
    <row r="207" ht="14.25" customHeight="1">
      <c r="A207" s="11"/>
      <c r="B207" s="11">
        <f t="shared" si="4"/>
        <v>17</v>
      </c>
      <c r="C207" s="11" t="s">
        <v>106</v>
      </c>
      <c r="D207" s="11"/>
      <c r="E207" s="27"/>
      <c r="F207" s="11" t="str">
        <f>VLOOKUP($G207, SeanRanks26!$A$2:$H$303, 5, FALSE)</f>
        <v/>
      </c>
      <c r="G207" s="16" t="s">
        <v>468</v>
      </c>
      <c r="H207" s="11" t="str">
        <f>VLOOKUP($G207, '26 ADP Data'!$C$4:$Q$298, 2, FALSE)</f>
        <v>MIN</v>
      </c>
      <c r="I207" s="11" t="str">
        <f>VLOOKUP(G207, '26 ADP Data'!$C$4:$R$496, 16, FALSE)</f>
        <v>WR</v>
      </c>
      <c r="J207" s="11" t="str">
        <f>VLOOKUP($G207, SeanRanks26!$A$2:$H$303, 6, FALSE)</f>
        <v>WR5</v>
      </c>
      <c r="K207" s="11">
        <f>VLOOKUP($G207, SeanRanks26!$A$2:$H$303, 7, FALSE)</f>
        <v>70</v>
      </c>
      <c r="L207" s="11">
        <f t="shared" si="5"/>
        <v>18</v>
      </c>
      <c r="M207" s="11">
        <f>VLOOKUP($G207, '26 ADP Data'!$C$4:$Q$298, 10, FALSE)</f>
        <v>208</v>
      </c>
      <c r="N207" s="11">
        <f>VLOOKUP($G207, '26 ADP Data'!$C$4:$Q$298, 13, FALSE)</f>
        <v>173</v>
      </c>
      <c r="O207" s="11">
        <f t="shared" si="6"/>
        <v>35</v>
      </c>
      <c r="P207" s="11">
        <f>VLOOKUP($G207, '26 ADP Data'!$C$4:$Q$298, 3, FALSE)</f>
        <v>210</v>
      </c>
      <c r="Q207" s="11" t="str">
        <f>VLOOKUP($G207, '26 ADP Data'!$C$4:$Q$298, 4, FALSE)</f>
        <v>-</v>
      </c>
      <c r="R207" s="11">
        <f>VLOOKUP($G207, '26 ADP Data'!$C$4:$Q$298, 6, FALSE)</f>
        <v>192</v>
      </c>
      <c r="S207" s="11">
        <f>VLOOKUP($G207, '26 ADP Data'!$C$4:$Q$298, 9, FALSE)</f>
        <v>180</v>
      </c>
      <c r="T207" s="11" t="str">
        <f>VLOOKUP($G207, '26 ADP Data'!$C$4:$Q$298, 8, FALSE)</f>
        <v>-</v>
      </c>
      <c r="U207" s="11">
        <f t="shared" si="7"/>
        <v>192</v>
      </c>
      <c r="V207" s="11">
        <f t="shared" si="8"/>
        <v>17</v>
      </c>
      <c r="W207" s="11"/>
      <c r="X207" s="11">
        <f>VLOOKUP($G207, SeanRanks26!$A$2:$K$303, 10, FALSE)-U207</f>
        <v>16</v>
      </c>
      <c r="Y207" s="29" t="str">
        <f>IF(VLOOKUP($G207, SeanRanks26!$A$2:$H$303, 8, FALSE)=0, "", VLOOKUP($G207, SeanRanks26!$A$2:$H$303, 8, FALSE))</f>
        <v/>
      </c>
    </row>
    <row r="208" ht="14.25" customHeight="1">
      <c r="A208" s="11"/>
      <c r="B208" s="11">
        <f t="shared" si="4"/>
        <v>16</v>
      </c>
      <c r="C208" s="11" t="s">
        <v>106</v>
      </c>
      <c r="D208" s="11"/>
      <c r="E208" s="27"/>
      <c r="F208" s="11" t="str">
        <f>VLOOKUP($G208, SeanRanks26!$A$2:$H$303, 5, FALSE)</f>
        <v/>
      </c>
      <c r="G208" s="16" t="s">
        <v>437</v>
      </c>
      <c r="H208" s="11" t="str">
        <f>VLOOKUP($G208, '26 ADP Data'!$C$4:$Q$298, 2, FALSE)</f>
        <v>CLE</v>
      </c>
      <c r="I208" s="11" t="str">
        <f>VLOOKUP(G208, '26 ADP Data'!$C$4:$R$496, 16, FALSE)</f>
        <v>WR</v>
      </c>
      <c r="J208" s="11" t="str">
        <f>VLOOKUP($G208, SeanRanks26!$A$2:$H$303, 6, FALSE)</f>
        <v/>
      </c>
      <c r="K208" s="11" t="str">
        <f>VLOOKUP($G208, SeanRanks26!$A$2:$H$303, 7, FALSE)</f>
        <v/>
      </c>
      <c r="L208" s="11">
        <f t="shared" si="5"/>
        <v>17</v>
      </c>
      <c r="M208" s="11">
        <f>VLOOKUP($G208, '26 ADP Data'!$C$4:$Q$298, 10, FALSE)</f>
        <v>196</v>
      </c>
      <c r="N208" s="11">
        <f>VLOOKUP($G208, '26 ADP Data'!$C$4:$Q$298, 13, FALSE)</f>
        <v>204</v>
      </c>
      <c r="O208" s="11">
        <f t="shared" si="6"/>
        <v>-8</v>
      </c>
      <c r="P208" s="11">
        <f>VLOOKUP($G208, '26 ADP Data'!$C$4:$Q$298, 3, FALSE)</f>
        <v>193</v>
      </c>
      <c r="Q208" s="11">
        <f>VLOOKUP($G208, '26 ADP Data'!$C$4:$Q$298, 4, FALSE)</f>
        <v>173</v>
      </c>
      <c r="R208" s="11">
        <f>VLOOKUP($G208, '26 ADP Data'!$C$4:$Q$298, 6, FALSE)</f>
        <v>191</v>
      </c>
      <c r="S208" s="11">
        <f>VLOOKUP($G208, '26 ADP Data'!$C$4:$Q$298, 9, FALSE)</f>
        <v>204</v>
      </c>
      <c r="T208" s="11" t="str">
        <f>VLOOKUP($G208, '26 ADP Data'!$C$4:$Q$298, 8, FALSE)</f>
        <v>-</v>
      </c>
      <c r="U208" s="11">
        <f t="shared" si="7"/>
        <v>193</v>
      </c>
      <c r="V208" s="11">
        <f t="shared" si="8"/>
        <v>17</v>
      </c>
      <c r="W208" s="11"/>
      <c r="X208" s="11">
        <f>VLOOKUP($G208, SeanRanks26!$A$2:$K$303, 10, FALSE)-U208</f>
        <v>3</v>
      </c>
      <c r="Y208" s="29" t="str">
        <f>IF(VLOOKUP($G208, SeanRanks26!$A$2:$H$303, 8, FALSE)=0, "", VLOOKUP($G208, SeanRanks26!$A$2:$H$303, 8, FALSE))</f>
        <v/>
      </c>
    </row>
    <row r="209" ht="14.25" customHeight="1">
      <c r="A209" s="11"/>
      <c r="B209" s="11">
        <f t="shared" si="4"/>
        <v>17</v>
      </c>
      <c r="C209" s="11" t="s">
        <v>106</v>
      </c>
      <c r="D209" s="11"/>
      <c r="E209" s="27"/>
      <c r="F209" s="11" t="str">
        <f>VLOOKUP($G209, SeanRanks26!$A$2:$H$303, 5, FALSE)</f>
        <v/>
      </c>
      <c r="G209" s="16" t="s">
        <v>517</v>
      </c>
      <c r="H209" s="11" t="str">
        <f>VLOOKUP($G209, '26 ADP Data'!$C$4:$Q$298, 2, FALSE)</f>
        <v>MIA</v>
      </c>
      <c r="I209" s="11" t="str">
        <f>VLOOKUP(G209, '26 ADP Data'!$C$4:$R$496, 16, FALSE)</f>
        <v>WR</v>
      </c>
      <c r="J209" s="11" t="str">
        <f>VLOOKUP($G209, SeanRanks26!$A$2:$H$303, 6, FALSE)</f>
        <v/>
      </c>
      <c r="K209" s="11" t="str">
        <f>VLOOKUP($G209, SeanRanks26!$A$2:$H$303, 7, FALSE)</f>
        <v/>
      </c>
      <c r="L209" s="11">
        <f t="shared" si="5"/>
        <v>17</v>
      </c>
      <c r="M209" s="11">
        <f>VLOOKUP($G209, '26 ADP Data'!$C$4:$Q$298, 10, FALSE)</f>
        <v>202</v>
      </c>
      <c r="N209" s="11">
        <f>VLOOKUP($G209, '26 ADP Data'!$C$4:$Q$298, 13, FALSE)</f>
        <v>174</v>
      </c>
      <c r="O209" s="11">
        <f t="shared" si="6"/>
        <v>28</v>
      </c>
      <c r="P209" s="11" t="str">
        <f>VLOOKUP($G209, '26 ADP Data'!$C$4:$Q$298, 3, FALSE)</f>
        <v>-</v>
      </c>
      <c r="Q209" s="11" t="str">
        <f>VLOOKUP($G209, '26 ADP Data'!$C$4:$Q$298, 4, FALSE)</f>
        <v>-</v>
      </c>
      <c r="R209" s="11">
        <f>VLOOKUP($G209, '26 ADP Data'!$C$4:$Q$298, 6, FALSE)</f>
        <v>176</v>
      </c>
      <c r="S209" s="11">
        <f>VLOOKUP($G209, '26 ADP Data'!$C$4:$Q$298, 9, FALSE)</f>
        <v>222</v>
      </c>
      <c r="T209" s="11" t="str">
        <f>VLOOKUP($G209, '26 ADP Data'!$C$4:$Q$298, 8, FALSE)</f>
        <v>-</v>
      </c>
      <c r="U209" s="11">
        <f t="shared" si="7"/>
        <v>193</v>
      </c>
      <c r="V209" s="11">
        <f t="shared" si="8"/>
        <v>17</v>
      </c>
      <c r="W209" s="11"/>
      <c r="X209" s="11">
        <f>VLOOKUP($G209, SeanRanks26!$A$2:$K$303, 10, FALSE)-U209</f>
        <v>9</v>
      </c>
      <c r="Y209" s="29" t="str">
        <f>IF(VLOOKUP($G209, SeanRanks26!$A$2:$H$303, 8, FALSE)=0, "", VLOOKUP($G209, SeanRanks26!$A$2:$H$303, 8, FALSE))</f>
        <v/>
      </c>
    </row>
    <row r="210" ht="14.25" customHeight="1">
      <c r="A210" s="11"/>
      <c r="B210" s="11"/>
      <c r="C210" s="11" t="s">
        <v>106</v>
      </c>
      <c r="D210" s="11"/>
      <c r="E210" s="27"/>
      <c r="F210" s="11" t="str">
        <f>VLOOKUP($G210, SeanRanks26!$A$2:$H$303, 5, FALSE)</f>
        <v/>
      </c>
      <c r="G210" s="16" t="s">
        <v>532</v>
      </c>
      <c r="H210" s="11" t="str">
        <f>VLOOKUP($G210, '26 ADP Data'!$C$4:$Q$298, 2, FALSE)</f>
        <v>LAC</v>
      </c>
      <c r="I210" s="11" t="str">
        <f>VLOOKUP(G210, '26 ADP Data'!$C$4:$R$496, 16, FALSE)</f>
        <v>DE</v>
      </c>
      <c r="J210" s="11" t="str">
        <f>VLOOKUP($G210, SeanRanks26!$A$2:$H$303, 6, FALSE)</f>
        <v/>
      </c>
      <c r="K210" s="11" t="str">
        <f>VLOOKUP($G210, SeanRanks26!$A$2:$H$303, 7, FALSE)</f>
        <v/>
      </c>
      <c r="L210" s="11">
        <f t="shared" si="5"/>
        <v>19</v>
      </c>
      <c r="M210" s="11">
        <f>VLOOKUP($G210, '26 ADP Data'!$C$4:$Q$298, 10, FALSE)</f>
        <v>217</v>
      </c>
      <c r="N210" s="11" t="str">
        <f>VLOOKUP($G210, '26 ADP Data'!$C$4:$Q$298, 13, FALSE)</f>
        <v>-</v>
      </c>
      <c r="O210" s="11" t="str">
        <f t="shared" si="6"/>
        <v>#VALUE!</v>
      </c>
      <c r="P210" s="11">
        <f>VLOOKUP($G210, '26 ADP Data'!$C$4:$Q$298, 3, FALSE)</f>
        <v>167</v>
      </c>
      <c r="Q210" s="11">
        <f>VLOOKUP($G210, '26 ADP Data'!$C$4:$Q$298, 4, FALSE)</f>
        <v>169</v>
      </c>
      <c r="R210" s="11">
        <f>VLOOKUP($G210, '26 ADP Data'!$C$4:$Q$298, 6, FALSE)</f>
        <v>231</v>
      </c>
      <c r="S210" s="11">
        <f>VLOOKUP($G210, '26 ADP Data'!$C$4:$Q$298, 9, FALSE)</f>
        <v>183</v>
      </c>
      <c r="T210" s="11" t="str">
        <f>VLOOKUP($G210, '26 ADP Data'!$C$4:$Q$298, 8, FALSE)</f>
        <v>-</v>
      </c>
      <c r="U210" s="11">
        <f t="shared" si="7"/>
        <v>193</v>
      </c>
      <c r="V210" s="11">
        <f t="shared" si="8"/>
        <v>17</v>
      </c>
      <c r="W210" s="11"/>
      <c r="X210" s="11">
        <f>VLOOKUP($G210, SeanRanks26!$A$2:$K$303, 10, FALSE)-U210</f>
        <v>24</v>
      </c>
      <c r="Y210" s="29" t="str">
        <f>IF(VLOOKUP($G210, SeanRanks26!$A$2:$H$303, 8, FALSE)=0, "", VLOOKUP($G210, SeanRanks26!$A$2:$H$303, 8, FALSE))</f>
        <v/>
      </c>
    </row>
    <row r="211" ht="14.25" customHeight="1">
      <c r="A211" s="11"/>
      <c r="B211" s="11">
        <f t="shared" ref="B211:B279" si="11">IFERROR(INT(AVERAGE(P211:T211)/12)+1, INT(AVERAGE(M211)/12)+1)</f>
        <v>19</v>
      </c>
      <c r="C211" s="11" t="s">
        <v>106</v>
      </c>
      <c r="D211" s="11"/>
      <c r="E211" s="27"/>
      <c r="F211" s="11" t="str">
        <f>VLOOKUP($G211, SeanRanks26!$A$2:$H$303, 5, FALSE)</f>
        <v/>
      </c>
      <c r="G211" s="16" t="s">
        <v>477</v>
      </c>
      <c r="H211" s="11" t="str">
        <f>VLOOKUP($G211, '26 ADP Data'!$C$4:$Q$298, 2, FALSE)</f>
        <v>NYJ</v>
      </c>
      <c r="I211" s="11" t="str">
        <f>VLOOKUP(G211, '26 ADP Data'!$C$4:$R$496, 16, FALSE)</f>
        <v>WR</v>
      </c>
      <c r="J211" s="11" t="str">
        <f>VLOOKUP($G211, SeanRanks26!$A$2:$H$303, 6, FALSE)</f>
        <v/>
      </c>
      <c r="K211" s="11" t="str">
        <f>VLOOKUP($G211, SeanRanks26!$A$2:$H$303, 7, FALSE)</f>
        <v/>
      </c>
      <c r="L211" s="11">
        <f t="shared" si="5"/>
        <v>13</v>
      </c>
      <c r="M211" s="11">
        <f>VLOOKUP($G211, '26 ADP Data'!$C$4:$Q$298, 10, FALSE)</f>
        <v>147</v>
      </c>
      <c r="N211" s="11">
        <f>VLOOKUP($G211, '26 ADP Data'!$C$4:$Q$298, 13, FALSE)</f>
        <v>169</v>
      </c>
      <c r="O211" s="11">
        <f t="shared" si="6"/>
        <v>-22</v>
      </c>
      <c r="P211" s="11" t="str">
        <f>VLOOKUP($G211, '26 ADP Data'!$C$4:$Q$298, 3, FALSE)</f>
        <v>-</v>
      </c>
      <c r="Q211" s="11">
        <f>VLOOKUP($G211, '26 ADP Data'!$C$4:$Q$298, 4, FALSE)</f>
        <v>268</v>
      </c>
      <c r="R211" s="11">
        <f>VLOOKUP($G211, '26 ADP Data'!$C$4:$Q$298, 6, FALSE)</f>
        <v>178</v>
      </c>
      <c r="S211" s="11">
        <f>VLOOKUP($G211, '26 ADP Data'!$C$4:$Q$298, 9, FALSE)</f>
        <v>211</v>
      </c>
      <c r="T211" s="11" t="str">
        <f>VLOOKUP($G211, '26 ADP Data'!$C$4:$Q$298, 8, FALSE)</f>
        <v>-</v>
      </c>
      <c r="U211" s="11">
        <f t="shared" si="7"/>
        <v>194</v>
      </c>
      <c r="V211" s="11">
        <f t="shared" si="8"/>
        <v>17</v>
      </c>
      <c r="W211" s="11"/>
      <c r="X211" s="11">
        <f>VLOOKUP($G211, SeanRanks26!$A$2:$K$303, 10, FALSE)-U211</f>
        <v>-47</v>
      </c>
      <c r="Y211" s="29" t="str">
        <f>IF(VLOOKUP($G211, SeanRanks26!$A$2:$H$303, 8, FALSE)=0, "", VLOOKUP($G211, SeanRanks26!$A$2:$H$303, 8, FALSE))</f>
        <v/>
      </c>
    </row>
    <row r="212" ht="14.25" customHeight="1">
      <c r="A212" s="11"/>
      <c r="B212" s="11">
        <f t="shared" si="11"/>
        <v>18</v>
      </c>
      <c r="C212" s="11" t="s">
        <v>106</v>
      </c>
      <c r="D212" s="11"/>
      <c r="E212" s="27"/>
      <c r="F212" s="11" t="str">
        <f>VLOOKUP($G212, SeanRanks26!$A$2:$H$303, 5, FALSE)</f>
        <v/>
      </c>
      <c r="G212" s="16" t="s">
        <v>527</v>
      </c>
      <c r="H212" s="11" t="str">
        <f>VLOOKUP($G212, '26 ADP Data'!$C$4:$Q$298, 2, FALSE)</f>
        <v>HOU</v>
      </c>
      <c r="I212" s="11" t="str">
        <f>VLOOKUP(G212, '26 ADP Data'!$C$4:$R$496, 16, FALSE)</f>
        <v>WR</v>
      </c>
      <c r="J212" s="11" t="str">
        <f>VLOOKUP($G212, SeanRanks26!$A$2:$H$303, 6, FALSE)</f>
        <v>WR5</v>
      </c>
      <c r="K212" s="11">
        <f>VLOOKUP($G212, SeanRanks26!$A$2:$H$303, 7, FALSE)</f>
        <v>72</v>
      </c>
      <c r="L212" s="11">
        <f t="shared" si="5"/>
        <v>16</v>
      </c>
      <c r="M212" s="11">
        <f>VLOOKUP($G212, '26 ADP Data'!$C$4:$Q$298, 10, FALSE)</f>
        <v>183</v>
      </c>
      <c r="N212" s="11">
        <f>VLOOKUP($G212, '26 ADP Data'!$C$4:$Q$298, 13, FALSE)</f>
        <v>181</v>
      </c>
      <c r="O212" s="11">
        <f t="shared" si="6"/>
        <v>2</v>
      </c>
      <c r="P212" s="11" t="str">
        <f>VLOOKUP($G212, '26 ADP Data'!$C$4:$Q$298, 3, FALSE)</f>
        <v>-</v>
      </c>
      <c r="Q212" s="11" t="str">
        <f>VLOOKUP($G212, '26 ADP Data'!$C$4:$Q$298, 4, FALSE)</f>
        <v>-</v>
      </c>
      <c r="R212" s="11">
        <f>VLOOKUP($G212, '26 ADP Data'!$C$4:$Q$298, 6, FALSE)</f>
        <v>203</v>
      </c>
      <c r="S212" s="11">
        <f>VLOOKUP($G212, '26 ADP Data'!$C$4:$Q$298, 9, FALSE)</f>
        <v>212</v>
      </c>
      <c r="T212" s="11" t="str">
        <f>VLOOKUP($G212, '26 ADP Data'!$C$4:$Q$298, 8, FALSE)</f>
        <v>-</v>
      </c>
      <c r="U212" s="11">
        <f t="shared" si="7"/>
        <v>194</v>
      </c>
      <c r="V212" s="11">
        <f t="shared" si="8"/>
        <v>17</v>
      </c>
      <c r="W212" s="11"/>
      <c r="X212" s="11">
        <f>VLOOKUP($G212, SeanRanks26!$A$2:$K$303, 10, FALSE)-U212</f>
        <v>-11</v>
      </c>
      <c r="Y212" s="29" t="str">
        <f>IF(VLOOKUP($G212, SeanRanks26!$A$2:$H$303, 8, FALSE)=0, "", VLOOKUP($G212, SeanRanks26!$A$2:$H$303, 8, FALSE))</f>
        <v/>
      </c>
    </row>
    <row r="213" ht="14.25" customHeight="1">
      <c r="A213" s="11"/>
      <c r="B213" s="11">
        <f t="shared" si="11"/>
        <v>16</v>
      </c>
      <c r="C213" s="11" t="s">
        <v>106</v>
      </c>
      <c r="D213" s="11"/>
      <c r="E213" s="27"/>
      <c r="F213" s="11" t="str">
        <f>VLOOKUP($G213, SeanRanks26!$A$2:$H$303, 5, FALSE)</f>
        <v>#N/A</v>
      </c>
      <c r="G213" s="16" t="s">
        <v>598</v>
      </c>
      <c r="H213" s="11" t="str">
        <f>VLOOKUP($G213, '26 ADP Data'!$C$4:$Q$298, 2, FALSE)</f>
        <v>DET</v>
      </c>
      <c r="I213" s="11" t="str">
        <f>VLOOKUP(G213, '26 ADP Data'!$C$4:$R$496, 16, FALSE)</f>
        <v>K-</v>
      </c>
      <c r="J213" s="11" t="str">
        <f>VLOOKUP($G213, SeanRanks26!$A$2:$H$303, 6, FALSE)</f>
        <v>#N/A</v>
      </c>
      <c r="K213" s="11" t="str">
        <f>VLOOKUP($G213, SeanRanks26!$A$2:$H$303, 7, FALSE)</f>
        <v>#N/A</v>
      </c>
      <c r="L213" s="11">
        <f t="shared" si="5"/>
        <v>20</v>
      </c>
      <c r="M213" s="11">
        <f>VLOOKUP($G213, '26 ADP Data'!$C$4:$Q$298, 10, FALSE)</f>
        <v>238</v>
      </c>
      <c r="N213" s="11" t="str">
        <f>VLOOKUP($G213, '26 ADP Data'!$C$4:$Q$298, 13, FALSE)</f>
        <v>-</v>
      </c>
      <c r="O213" s="11" t="str">
        <f t="shared" si="6"/>
        <v>#VALUE!</v>
      </c>
      <c r="P213" s="11">
        <f>VLOOKUP($G213, '26 ADP Data'!$C$4:$Q$298, 3, FALSE)</f>
        <v>165</v>
      </c>
      <c r="Q213" s="11">
        <f>VLOOKUP($G213, '26 ADP Data'!$C$4:$Q$298, 4, FALSE)</f>
        <v>156</v>
      </c>
      <c r="R213" s="11">
        <f>VLOOKUP($G213, '26 ADP Data'!$C$4:$Q$298, 6, FALSE)</f>
        <v>246</v>
      </c>
      <c r="S213" s="11">
        <f>VLOOKUP($G213, '26 ADP Data'!$C$4:$Q$298, 9, FALSE)</f>
        <v>168</v>
      </c>
      <c r="T213" s="11" t="str">
        <f>VLOOKUP($G213, '26 ADP Data'!$C$4:$Q$298, 8, FALSE)</f>
        <v>-</v>
      </c>
      <c r="U213" s="11">
        <f t="shared" si="7"/>
        <v>194</v>
      </c>
      <c r="V213" s="11">
        <f t="shared" si="8"/>
        <v>17</v>
      </c>
      <c r="W213" s="11"/>
      <c r="X213" s="11" t="str">
        <f>VLOOKUP($G213, SeanRanks26!$A$2:$K$303, 10, FALSE)-U213</f>
        <v>#N/A</v>
      </c>
      <c r="Y213" s="29" t="str">
        <f>IF(VLOOKUP($G213, SeanRanks26!$A$2:$H$303, 8, FALSE)=0, "", VLOOKUP($G213, SeanRanks26!$A$2:$H$303, 8, FALSE))</f>
        <v>#N/A</v>
      </c>
    </row>
    <row r="214" ht="14.25" customHeight="1">
      <c r="A214" s="11"/>
      <c r="B214" s="11">
        <f t="shared" si="11"/>
        <v>17</v>
      </c>
      <c r="C214" s="11" t="s">
        <v>106</v>
      </c>
      <c r="D214" s="11"/>
      <c r="E214" s="27"/>
      <c r="F214" s="11" t="str">
        <f>VLOOKUP($G214, SeanRanks26!$A$2:$H$303, 5, FALSE)</f>
        <v/>
      </c>
      <c r="G214" s="16" t="s">
        <v>604</v>
      </c>
      <c r="H214" s="11" t="str">
        <f>VLOOKUP($G214, '26 ADP Data'!$C$4:$Q$298, 2, FALSE)</f>
        <v>SF</v>
      </c>
      <c r="I214" s="11" t="str">
        <f>VLOOKUP(G214, '26 ADP Data'!$C$4:$R$496, 16, FALSE)</f>
        <v>K-</v>
      </c>
      <c r="J214" s="11" t="str">
        <f>VLOOKUP($G214, SeanRanks26!$A$2:$H$303, 6, FALSE)</f>
        <v/>
      </c>
      <c r="K214" s="11" t="str">
        <f>VLOOKUP($G214, SeanRanks26!$A$2:$H$303, 7, FALSE)</f>
        <v/>
      </c>
      <c r="L214" s="11">
        <f t="shared" si="5"/>
        <v>18</v>
      </c>
      <c r="M214" s="11">
        <f>VLOOKUP($G214, '26 ADP Data'!$C$4:$Q$298, 10, FALSE)</f>
        <v>214</v>
      </c>
      <c r="N214" s="11" t="str">
        <f>VLOOKUP($G214, '26 ADP Data'!$C$4:$Q$298, 13, FALSE)</f>
        <v>-</v>
      </c>
      <c r="O214" s="11" t="str">
        <f t="shared" si="6"/>
        <v>#VALUE!</v>
      </c>
      <c r="P214" s="11">
        <f>VLOOKUP($G214, '26 ADP Data'!$C$4:$Q$298, 3, FALSE)</f>
        <v>198</v>
      </c>
      <c r="Q214" s="11">
        <f>VLOOKUP($G214, '26 ADP Data'!$C$4:$Q$298, 4, FALSE)</f>
        <v>147</v>
      </c>
      <c r="R214" s="11">
        <f>VLOOKUP($G214, '26 ADP Data'!$C$4:$Q$298, 6, FALSE)</f>
        <v>250</v>
      </c>
      <c r="S214" s="11">
        <f>VLOOKUP($G214, '26 ADP Data'!$C$4:$Q$298, 9, FALSE)</f>
        <v>175</v>
      </c>
      <c r="T214" s="11" t="str">
        <f>VLOOKUP($G214, '26 ADP Data'!$C$4:$Q$298, 8, FALSE)</f>
        <v>-</v>
      </c>
      <c r="U214" s="11">
        <f t="shared" si="7"/>
        <v>196</v>
      </c>
      <c r="V214" s="11">
        <f t="shared" si="8"/>
        <v>17</v>
      </c>
      <c r="W214" s="11"/>
      <c r="X214" s="11">
        <f>VLOOKUP($G214, SeanRanks26!$A$2:$K$303, 10, FALSE)-U214</f>
        <v>18</v>
      </c>
      <c r="Y214" s="29" t="str">
        <f>IF(VLOOKUP($G214, SeanRanks26!$A$2:$H$303, 8, FALSE)=0, "", VLOOKUP($G214, SeanRanks26!$A$2:$H$303, 8, FALSE))</f>
        <v/>
      </c>
    </row>
    <row r="215" ht="14.25" customHeight="1">
      <c r="A215" s="11"/>
      <c r="B215" s="11">
        <f t="shared" si="11"/>
        <v>16</v>
      </c>
      <c r="C215" s="11" t="s">
        <v>106</v>
      </c>
      <c r="D215" s="11"/>
      <c r="E215" s="27"/>
      <c r="F215" s="11" t="str">
        <f>VLOOKUP($G215, SeanRanks26!$A$2:$H$303, 5, FALSE)</f>
        <v>#N/A</v>
      </c>
      <c r="G215" s="16" t="s">
        <v>538</v>
      </c>
      <c r="H215" s="11" t="str">
        <f>VLOOKUP($G215, '26 ADP Data'!$C$4:$Q$298, 2, FALSE)</f>
        <v>DET</v>
      </c>
      <c r="I215" s="11" t="str">
        <f>VLOOKUP(G215, '26 ADP Data'!$C$4:$R$496, 16, FALSE)</f>
        <v>DE</v>
      </c>
      <c r="J215" s="11" t="str">
        <f>VLOOKUP($G215, SeanRanks26!$A$2:$H$303, 6, FALSE)</f>
        <v>#N/A</v>
      </c>
      <c r="K215" s="11" t="str">
        <f>VLOOKUP($G215, SeanRanks26!$A$2:$H$303, 7, FALSE)</f>
        <v>#N/A</v>
      </c>
      <c r="L215" s="11">
        <f t="shared" si="5"/>
        <v>20</v>
      </c>
      <c r="M215" s="11">
        <f>VLOOKUP($G215, '26 ADP Data'!$C$4:$Q$298, 10, FALSE)</f>
        <v>237</v>
      </c>
      <c r="N215" s="11" t="str">
        <f>VLOOKUP($G215, '26 ADP Data'!$C$4:$Q$298, 13, FALSE)</f>
        <v>-</v>
      </c>
      <c r="O215" s="11" t="str">
        <f t="shared" si="6"/>
        <v>#VALUE!</v>
      </c>
      <c r="P215" s="11">
        <f>VLOOKUP($G215, '26 ADP Data'!$C$4:$Q$298, 3, FALSE)</f>
        <v>172</v>
      </c>
      <c r="Q215" s="11">
        <f>VLOOKUP($G215, '26 ADP Data'!$C$4:$Q$298, 4, FALSE)</f>
        <v>150</v>
      </c>
      <c r="R215" s="11">
        <f>VLOOKUP($G215, '26 ADP Data'!$C$4:$Q$298, 6, FALSE)</f>
        <v>254</v>
      </c>
      <c r="S215" s="11">
        <f>VLOOKUP($G215, '26 ADP Data'!$C$4:$Q$298, 9, FALSE)</f>
        <v>171</v>
      </c>
      <c r="T215" s="11" t="str">
        <f>VLOOKUP($G215, '26 ADP Data'!$C$4:$Q$298, 8, FALSE)</f>
        <v>-</v>
      </c>
      <c r="U215" s="11">
        <f t="shared" si="7"/>
        <v>196</v>
      </c>
      <c r="V215" s="11">
        <f t="shared" si="8"/>
        <v>17</v>
      </c>
      <c r="W215" s="11"/>
      <c r="X215" s="11" t="str">
        <f>VLOOKUP($G215, SeanRanks26!$A$2:$K$303, 10, FALSE)-U215</f>
        <v>#N/A</v>
      </c>
      <c r="Y215" s="29" t="str">
        <f>IF(VLOOKUP($G215, SeanRanks26!$A$2:$H$303, 8, FALSE)=0, "", VLOOKUP($G215, SeanRanks26!$A$2:$H$303, 8, FALSE))</f>
        <v>#N/A</v>
      </c>
    </row>
    <row r="216" ht="14.25" customHeight="1">
      <c r="A216" s="11"/>
      <c r="B216" s="11">
        <f t="shared" si="11"/>
        <v>17</v>
      </c>
      <c r="C216" s="11" t="s">
        <v>106</v>
      </c>
      <c r="D216" s="11"/>
      <c r="E216" s="27"/>
      <c r="F216" s="11" t="str">
        <f>VLOOKUP($G216, SeanRanks26!$A$2:$H$303, 5, FALSE)</f>
        <v/>
      </c>
      <c r="G216" s="16" t="s">
        <v>489</v>
      </c>
      <c r="H216" s="11" t="str">
        <f>VLOOKUP($G216, '26 ADP Data'!$C$4:$Q$298, 2, FALSE)</f>
        <v>MIA</v>
      </c>
      <c r="I216" s="11" t="str">
        <f>VLOOKUP(G216, '26 ADP Data'!$C$4:$R$496, 16, FALSE)</f>
        <v>TE</v>
      </c>
      <c r="J216" s="11" t="str">
        <f>VLOOKUP($G216, SeanRanks26!$A$2:$H$303, 6, FALSE)</f>
        <v/>
      </c>
      <c r="K216" s="11" t="str">
        <f>VLOOKUP($G216, SeanRanks26!$A$2:$H$303, 7, FALSE)</f>
        <v/>
      </c>
      <c r="L216" s="11">
        <f t="shared" si="5"/>
        <v>17</v>
      </c>
      <c r="M216" s="11">
        <f>VLOOKUP($G216, '26 ADP Data'!$C$4:$Q$298, 10, FALSE)</f>
        <v>192</v>
      </c>
      <c r="N216" s="11">
        <f>VLOOKUP($G216, '26 ADP Data'!$C$4:$Q$298, 13, FALSE)</f>
        <v>189</v>
      </c>
      <c r="O216" s="11">
        <f t="shared" si="6"/>
        <v>3</v>
      </c>
      <c r="P216" s="11">
        <f>VLOOKUP($G216, '26 ADP Data'!$C$4:$Q$298, 3, FALSE)</f>
        <v>211</v>
      </c>
      <c r="Q216" s="11" t="str">
        <f>VLOOKUP($G216, '26 ADP Data'!$C$4:$Q$298, 4, FALSE)</f>
        <v>-</v>
      </c>
      <c r="R216" s="11">
        <f>VLOOKUP($G216, '26 ADP Data'!$C$4:$Q$298, 6, FALSE)</f>
        <v>158</v>
      </c>
      <c r="S216" s="11">
        <f>VLOOKUP($G216, '26 ADP Data'!$C$4:$Q$298, 9, FALSE)</f>
        <v>237</v>
      </c>
      <c r="T216" s="11" t="str">
        <f>VLOOKUP($G216, '26 ADP Data'!$C$4:$Q$298, 8, FALSE)</f>
        <v>-</v>
      </c>
      <c r="U216" s="11">
        <f t="shared" si="7"/>
        <v>197</v>
      </c>
      <c r="V216" s="11">
        <f t="shared" si="8"/>
        <v>17</v>
      </c>
      <c r="W216" s="11"/>
      <c r="X216" s="11">
        <f>VLOOKUP($G216, SeanRanks26!$A$2:$K$303, 10, FALSE)-U216</f>
        <v>-5</v>
      </c>
      <c r="Y216" s="29" t="str">
        <f>IF(VLOOKUP($G216, SeanRanks26!$A$2:$H$303, 8, FALSE)=0, "", VLOOKUP($G216, SeanRanks26!$A$2:$H$303, 8, FALSE))</f>
        <v/>
      </c>
    </row>
    <row r="217" ht="14.25" customHeight="1">
      <c r="A217" s="11"/>
      <c r="B217" s="11">
        <f t="shared" si="11"/>
        <v>17</v>
      </c>
      <c r="C217" s="11" t="s">
        <v>106</v>
      </c>
      <c r="D217" s="11"/>
      <c r="E217" s="27"/>
      <c r="F217" s="11" t="str">
        <f>VLOOKUP($G217, SeanRanks26!$A$2:$H$303, 5, FALSE)</f>
        <v>#N/A</v>
      </c>
      <c r="G217" s="16" t="s">
        <v>659</v>
      </c>
      <c r="H217" s="11" t="str">
        <f>VLOOKUP($G217, '26 ADP Data'!$C$4:$Q$298, 2, FALSE)</f>
        <v>KC</v>
      </c>
      <c r="I217" s="11" t="str">
        <f>VLOOKUP(G217, '26 ADP Data'!$C$4:$R$496, 16, FALSE)</f>
        <v>K-</v>
      </c>
      <c r="J217" s="11" t="str">
        <f>VLOOKUP($G217, SeanRanks26!$A$2:$H$303, 6, FALSE)</f>
        <v>#N/A</v>
      </c>
      <c r="K217" s="11" t="str">
        <f>VLOOKUP($G217, SeanRanks26!$A$2:$H$303, 7, FALSE)</f>
        <v>#N/A</v>
      </c>
      <c r="L217" s="11">
        <f t="shared" si="5"/>
        <v>16</v>
      </c>
      <c r="M217" s="11" t="str">
        <f>VLOOKUP($G217, '26 ADP Data'!$C$4:$Q$298, 10, FALSE)</f>
        <v>-</v>
      </c>
      <c r="N217" s="11" t="str">
        <f>VLOOKUP($G217, '26 ADP Data'!$C$4:$Q$298, 13, FALSE)</f>
        <v>-</v>
      </c>
      <c r="O217" s="11" t="str">
        <f t="shared" si="6"/>
        <v>#VALUE!</v>
      </c>
      <c r="P217" s="11">
        <f>VLOOKUP($G217, '26 ADP Data'!$C$4:$Q$298, 3, FALSE)</f>
        <v>188</v>
      </c>
      <c r="Q217" s="11">
        <f>VLOOKUP($G217, '26 ADP Data'!$C$4:$Q$298, 4, FALSE)</f>
        <v>141</v>
      </c>
      <c r="R217" s="11">
        <f>VLOOKUP($G217, '26 ADP Data'!$C$4:$Q$298, 6, FALSE)</f>
        <v>277</v>
      </c>
      <c r="S217" s="11">
        <f>VLOOKUP($G217, '26 ADP Data'!$C$4:$Q$298, 9, FALSE)</f>
        <v>188</v>
      </c>
      <c r="T217" s="11" t="str">
        <f>VLOOKUP($G217, '26 ADP Data'!$C$4:$Q$298, 8, FALSE)</f>
        <v>-</v>
      </c>
      <c r="U217" s="11">
        <f t="shared" si="7"/>
        <v>198</v>
      </c>
      <c r="V217" s="11">
        <f t="shared" si="8"/>
        <v>17</v>
      </c>
      <c r="W217" s="11"/>
      <c r="X217" s="11" t="str">
        <f>VLOOKUP($G217, SeanRanks26!$A$2:$K$303, 10, FALSE)-U217</f>
        <v>#N/A</v>
      </c>
      <c r="Y217" s="29" t="s">
        <v>1065</v>
      </c>
    </row>
    <row r="218" ht="14.25" customHeight="1">
      <c r="A218" s="11"/>
      <c r="B218" s="11">
        <f t="shared" si="11"/>
        <v>17</v>
      </c>
      <c r="C218" s="11" t="s">
        <v>106</v>
      </c>
      <c r="D218" s="11"/>
      <c r="E218" s="27"/>
      <c r="F218" s="11" t="str">
        <f>VLOOKUP($G218, SeanRanks26!$A$2:$H$303, 5, FALSE)</f>
        <v/>
      </c>
      <c r="G218" s="16" t="s">
        <v>560</v>
      </c>
      <c r="H218" s="11" t="str">
        <f>VLOOKUP($G218, '26 ADP Data'!$C$4:$Q$298, 2, FALSE)</f>
        <v>TEN</v>
      </c>
      <c r="I218" s="11" t="str">
        <f>VLOOKUP(G218, '26 ADP Data'!$C$4:$R$496, 16, FALSE)</f>
        <v>RB</v>
      </c>
      <c r="J218" s="11" t="str">
        <f>VLOOKUP($G218, SeanRanks26!$A$2:$H$303, 6, FALSE)</f>
        <v>RB4</v>
      </c>
      <c r="K218" s="11">
        <f>VLOOKUP($G218, SeanRanks26!$A$2:$H$303, 7, FALSE)</f>
        <v>47</v>
      </c>
      <c r="L218" s="11">
        <f t="shared" si="5"/>
        <v>17</v>
      </c>
      <c r="M218" s="11">
        <f>VLOOKUP($G218, '26 ADP Data'!$C$4:$Q$298, 10, FALSE)</f>
        <v>199</v>
      </c>
      <c r="N218" s="11">
        <f>VLOOKUP($G218, '26 ADP Data'!$C$4:$Q$298, 13, FALSE)</f>
        <v>212</v>
      </c>
      <c r="O218" s="11">
        <f t="shared" si="6"/>
        <v>-13</v>
      </c>
      <c r="P218" s="11" t="str">
        <f>VLOOKUP($G218, '26 ADP Data'!$C$4:$Q$298, 3, FALSE)</f>
        <v>-</v>
      </c>
      <c r="Q218" s="11" t="str">
        <f>VLOOKUP($G218, '26 ADP Data'!$C$4:$Q$298, 4, FALSE)</f>
        <v>-</v>
      </c>
      <c r="R218" s="11">
        <f>VLOOKUP($G218, '26 ADP Data'!$C$4:$Q$298, 6, FALSE)</f>
        <v>194</v>
      </c>
      <c r="S218" s="11">
        <f>VLOOKUP($G218, '26 ADP Data'!$C$4:$Q$298, 9, FALSE)</f>
        <v>194</v>
      </c>
      <c r="T218" s="11" t="str">
        <f>VLOOKUP($G218, '26 ADP Data'!$C$4:$Q$298, 8, FALSE)</f>
        <v>-</v>
      </c>
      <c r="U218" s="11">
        <f t="shared" si="7"/>
        <v>199</v>
      </c>
      <c r="V218" s="11">
        <f t="shared" si="8"/>
        <v>17</v>
      </c>
      <c r="W218" s="11"/>
      <c r="X218" s="11">
        <f>VLOOKUP($G218, SeanRanks26!$A$2:$K$303, 10, FALSE)-U218</f>
        <v>0</v>
      </c>
      <c r="Y218" s="29" t="str">
        <f>IF(VLOOKUP($G218, SeanRanks26!$A$2:$H$303, 8, FALSE)=0, "", VLOOKUP($G218, SeanRanks26!$A$2:$H$303, 8, FALSE))</f>
        <v>Rookie R5 - PSU</v>
      </c>
    </row>
    <row r="219" ht="14.25" customHeight="1">
      <c r="A219" s="11"/>
      <c r="B219" s="11">
        <f t="shared" si="11"/>
        <v>17</v>
      </c>
      <c r="C219" s="11" t="s">
        <v>106</v>
      </c>
      <c r="D219" s="11"/>
      <c r="E219" s="27"/>
      <c r="F219" s="11" t="str">
        <f>VLOOKUP($G219, SeanRanks26!$A$2:$H$303, 5, FALSE)</f>
        <v/>
      </c>
      <c r="G219" s="16" t="s">
        <v>556</v>
      </c>
      <c r="H219" s="11" t="str">
        <f>VLOOKUP($G219, '26 ADP Data'!$C$4:$Q$298, 2, FALSE)</f>
        <v>TB</v>
      </c>
      <c r="I219" s="11" t="str">
        <f>VLOOKUP(G219, '26 ADP Data'!$C$4:$R$496, 16, FALSE)</f>
        <v>TE</v>
      </c>
      <c r="J219" s="11" t="str">
        <f>VLOOKUP($G219, SeanRanks26!$A$2:$H$303, 6, FALSE)</f>
        <v/>
      </c>
      <c r="K219" s="11" t="str">
        <f>VLOOKUP($G219, SeanRanks26!$A$2:$H$303, 7, FALSE)</f>
        <v/>
      </c>
      <c r="L219" s="11">
        <f t="shared" si="5"/>
        <v>16</v>
      </c>
      <c r="M219" s="11" t="str">
        <f>VLOOKUP($G219, '26 ADP Data'!$C$4:$Q$298, 10, FALSE)</f>
        <v>-</v>
      </c>
      <c r="N219" s="11">
        <f>VLOOKUP($G219, '26 ADP Data'!$C$4:$Q$298, 13, FALSE)</f>
        <v>195</v>
      </c>
      <c r="O219" s="11" t="str">
        <f t="shared" si="6"/>
        <v>#VALUE!</v>
      </c>
      <c r="P219" s="11">
        <f>VLOOKUP($G219, '26 ADP Data'!$C$4:$Q$298, 3, FALSE)</f>
        <v>212</v>
      </c>
      <c r="Q219" s="11" t="str">
        <f>VLOOKUP($G219, '26 ADP Data'!$C$4:$Q$298, 4, FALSE)</f>
        <v>-</v>
      </c>
      <c r="R219" s="11">
        <f>VLOOKUP($G219, '26 ADP Data'!$C$4:$Q$298, 6, FALSE)</f>
        <v>187</v>
      </c>
      <c r="S219" s="11">
        <f>VLOOKUP($G219, '26 ADP Data'!$C$4:$Q$298, 9, FALSE)</f>
        <v>209</v>
      </c>
      <c r="T219" s="11" t="str">
        <f>VLOOKUP($G219, '26 ADP Data'!$C$4:$Q$298, 8, FALSE)</f>
        <v>-</v>
      </c>
      <c r="U219" s="11">
        <f t="shared" si="7"/>
        <v>200</v>
      </c>
      <c r="V219" s="11">
        <f t="shared" si="8"/>
        <v>17</v>
      </c>
      <c r="W219" s="11"/>
      <c r="X219" s="11" t="str">
        <f>VLOOKUP($G219, SeanRanks26!$A$2:$K$303, 10, FALSE)-U219</f>
        <v>#VALUE!</v>
      </c>
      <c r="Y219" s="29" t="str">
        <f>IF(VLOOKUP($G219, SeanRanks26!$A$2:$H$303, 8, FALSE)=0, "", VLOOKUP($G219, SeanRanks26!$A$2:$H$303, 8, FALSE))</f>
        <v/>
      </c>
    </row>
    <row r="220" ht="14.25" customHeight="1">
      <c r="A220" s="11"/>
      <c r="B220" s="11">
        <f t="shared" si="11"/>
        <v>17</v>
      </c>
      <c r="C220" s="11" t="s">
        <v>106</v>
      </c>
      <c r="D220" s="11"/>
      <c r="E220" s="27"/>
      <c r="F220" s="11" t="str">
        <f>VLOOKUP($G220, SeanRanks26!$A$2:$H$303, 5, FALSE)</f>
        <v/>
      </c>
      <c r="G220" s="16" t="s">
        <v>493</v>
      </c>
      <c r="H220" s="11" t="str">
        <f>VLOOKUP($G220, '26 ADP Data'!$C$4:$Q$298, 2, FALSE)</f>
        <v>LV</v>
      </c>
      <c r="I220" s="11" t="str">
        <f>VLOOKUP(G220, '26 ADP Data'!$C$4:$R$496, 16, FALSE)</f>
        <v>QB</v>
      </c>
      <c r="J220" s="11" t="str">
        <f>VLOOKUP($G220, SeanRanks26!$A$2:$H$303, 6, FALSE)</f>
        <v/>
      </c>
      <c r="K220" s="11" t="str">
        <f>VLOOKUP($G220, SeanRanks26!$A$2:$H$303, 7, FALSE)</f>
        <v/>
      </c>
      <c r="L220" s="11">
        <f t="shared" si="5"/>
        <v>19</v>
      </c>
      <c r="M220" s="11">
        <f>VLOOKUP($G220, '26 ADP Data'!$C$4:$Q$298, 10, FALSE)</f>
        <v>220</v>
      </c>
      <c r="N220" s="11">
        <f>VLOOKUP($G220, '26 ADP Data'!$C$4:$Q$298, 13, FALSE)</f>
        <v>188</v>
      </c>
      <c r="O220" s="11">
        <f t="shared" si="6"/>
        <v>32</v>
      </c>
      <c r="P220" s="11" t="str">
        <f>VLOOKUP($G220, '26 ADP Data'!$C$4:$Q$298, 3, FALSE)</f>
        <v>-</v>
      </c>
      <c r="Q220" s="11">
        <f>VLOOKUP($G220, '26 ADP Data'!$C$4:$Q$298, 4, FALSE)</f>
        <v>184</v>
      </c>
      <c r="R220" s="11">
        <f>VLOOKUP($G220, '26 ADP Data'!$C$4:$Q$298, 6, FALSE)</f>
        <v>215</v>
      </c>
      <c r="S220" s="11">
        <f>VLOOKUP($G220, '26 ADP Data'!$C$4:$Q$298, 9, FALSE)</f>
        <v>199</v>
      </c>
      <c r="T220" s="11" t="str">
        <f>VLOOKUP($G220, '26 ADP Data'!$C$4:$Q$298, 8, FALSE)</f>
        <v>-</v>
      </c>
      <c r="U220" s="11">
        <f t="shared" si="7"/>
        <v>201</v>
      </c>
      <c r="V220" s="11">
        <f t="shared" si="8"/>
        <v>17</v>
      </c>
      <c r="W220" s="11"/>
      <c r="X220" s="11">
        <f>VLOOKUP($G220, SeanRanks26!$A$2:$K$303, 10, FALSE)-U220</f>
        <v>19</v>
      </c>
      <c r="Y220" s="29" t="str">
        <f>IF(VLOOKUP($G220, SeanRanks26!$A$2:$H$303, 8, FALSE)=0, "", VLOOKUP($G220, SeanRanks26!$A$2:$H$303, 8, FALSE))</f>
        <v/>
      </c>
    </row>
    <row r="221" ht="14.25" customHeight="1">
      <c r="A221" s="11"/>
      <c r="B221" s="11">
        <f t="shared" si="11"/>
        <v>17</v>
      </c>
      <c r="C221" s="11" t="s">
        <v>106</v>
      </c>
      <c r="D221" s="11"/>
      <c r="E221" s="27"/>
      <c r="F221" s="11" t="str">
        <f>VLOOKUP($G221, SeanRanks26!$A$2:$H$303, 5, FALSE)</f>
        <v/>
      </c>
      <c r="G221" s="16" t="s">
        <v>602</v>
      </c>
      <c r="H221" s="11" t="str">
        <f>VLOOKUP($G221, '26 ADP Data'!$C$4:$Q$298, 2, FALSE)</f>
        <v>BAL</v>
      </c>
      <c r="I221" s="11" t="str">
        <f>VLOOKUP(G221, '26 ADP Data'!$C$4:$R$496, 16, FALSE)</f>
        <v>K-</v>
      </c>
      <c r="J221" s="11" t="str">
        <f>VLOOKUP($G221, SeanRanks26!$A$2:$H$303, 6, FALSE)</f>
        <v/>
      </c>
      <c r="K221" s="11" t="str">
        <f>VLOOKUP($G221, SeanRanks26!$A$2:$H$303, 7, FALSE)</f>
        <v/>
      </c>
      <c r="L221" s="11">
        <f t="shared" si="5"/>
        <v>18</v>
      </c>
      <c r="M221" s="11">
        <f>VLOOKUP($G221, '26 ADP Data'!$C$4:$Q$298, 10, FALSE)</f>
        <v>205</v>
      </c>
      <c r="N221" s="11" t="str">
        <f>VLOOKUP($G221, '26 ADP Data'!$C$4:$Q$298, 13, FALSE)</f>
        <v>-</v>
      </c>
      <c r="O221" s="11" t="str">
        <f t="shared" si="6"/>
        <v>#VALUE!</v>
      </c>
      <c r="P221" s="11">
        <f>VLOOKUP($G221, '26 ADP Data'!$C$4:$Q$298, 3, FALSE)</f>
        <v>203</v>
      </c>
      <c r="Q221" s="11">
        <f>VLOOKUP($G221, '26 ADP Data'!$C$4:$Q$298, 4, FALSE)</f>
        <v>171</v>
      </c>
      <c r="R221" s="11">
        <f>VLOOKUP($G221, '26 ADP Data'!$C$4:$Q$298, 6, FALSE)</f>
        <v>251</v>
      </c>
      <c r="S221" s="11">
        <f>VLOOKUP($G221, '26 ADP Data'!$C$4:$Q$298, 9, FALSE)</f>
        <v>187</v>
      </c>
      <c r="T221" s="11" t="str">
        <f>VLOOKUP($G221, '26 ADP Data'!$C$4:$Q$298, 8, FALSE)</f>
        <v>-</v>
      </c>
      <c r="U221" s="11">
        <f t="shared" si="7"/>
        <v>203</v>
      </c>
      <c r="V221" s="11">
        <f t="shared" si="8"/>
        <v>17</v>
      </c>
      <c r="W221" s="11"/>
      <c r="X221" s="11">
        <f>VLOOKUP($G221, SeanRanks26!$A$2:$K$303, 10, FALSE)-U221</f>
        <v>2</v>
      </c>
      <c r="Y221" s="29" t="str">
        <f>IF(VLOOKUP($G221, SeanRanks26!$A$2:$H$303, 8, FALSE)=0, "", VLOOKUP($G221, SeanRanks26!$A$2:$H$303, 8, FALSE))</f>
        <v/>
      </c>
    </row>
    <row r="222" ht="14.25" customHeight="1">
      <c r="A222" s="11"/>
      <c r="B222" s="11">
        <f t="shared" si="11"/>
        <v>18</v>
      </c>
      <c r="C222" s="11" t="s">
        <v>106</v>
      </c>
      <c r="D222" s="11"/>
      <c r="E222" s="27"/>
      <c r="F222" s="11" t="str">
        <f>VLOOKUP($G222, SeanRanks26!$A$2:$H$303, 5, FALSE)</f>
        <v/>
      </c>
      <c r="G222" s="16" t="s">
        <v>552</v>
      </c>
      <c r="H222" s="11" t="str">
        <f>VLOOKUP($G222, '26 ADP Data'!$C$4:$Q$298, 2, FALSE)</f>
        <v>PIT</v>
      </c>
      <c r="I222" s="11" t="str">
        <f>VLOOKUP(G222, '26 ADP Data'!$C$4:$R$496, 16, FALSE)</f>
        <v>TE</v>
      </c>
      <c r="J222" s="11" t="str">
        <f>VLOOKUP($G222, SeanRanks26!$A$2:$H$303, 6, FALSE)</f>
        <v/>
      </c>
      <c r="K222" s="11" t="str">
        <f>VLOOKUP($G222, SeanRanks26!$A$2:$H$303, 7, FALSE)</f>
        <v/>
      </c>
      <c r="L222" s="11">
        <f t="shared" si="5"/>
        <v>16</v>
      </c>
      <c r="M222" s="11" t="str">
        <f>VLOOKUP($G222, '26 ADP Data'!$C$4:$Q$298, 10, FALSE)</f>
        <v>-</v>
      </c>
      <c r="N222" s="11">
        <f>VLOOKUP($G222, '26 ADP Data'!$C$4:$Q$298, 13, FALSE)</f>
        <v>198</v>
      </c>
      <c r="O222" s="11" t="str">
        <f t="shared" si="6"/>
        <v>#VALUE!</v>
      </c>
      <c r="P222" s="11" t="str">
        <f>VLOOKUP($G222, '26 ADP Data'!$C$4:$Q$298, 3, FALSE)</f>
        <v>-</v>
      </c>
      <c r="Q222" s="11">
        <f>VLOOKUP($G222, '26 ADP Data'!$C$4:$Q$298, 4, FALSE)</f>
        <v>200</v>
      </c>
      <c r="R222" s="11">
        <f>VLOOKUP($G222, '26 ADP Data'!$C$4:$Q$298, 6, FALSE)</f>
        <v>179</v>
      </c>
      <c r="S222" s="11">
        <f>VLOOKUP($G222, '26 ADP Data'!$C$4:$Q$298, 9, FALSE)</f>
        <v>235</v>
      </c>
      <c r="T222" s="11" t="str">
        <f>VLOOKUP($G222, '26 ADP Data'!$C$4:$Q$298, 8, FALSE)</f>
        <v>-</v>
      </c>
      <c r="U222" s="11">
        <f t="shared" si="7"/>
        <v>203</v>
      </c>
      <c r="V222" s="11">
        <f t="shared" si="8"/>
        <v>17</v>
      </c>
      <c r="W222" s="11"/>
      <c r="X222" s="11" t="str">
        <f>VLOOKUP($G222, SeanRanks26!$A$2:$K$303, 10, FALSE)-U222</f>
        <v>#VALUE!</v>
      </c>
      <c r="Y222" s="29" t="str">
        <f>IF(VLOOKUP($G222, SeanRanks26!$A$2:$H$303, 8, FALSE)=0, "", VLOOKUP($G222, SeanRanks26!$A$2:$H$303, 8, FALSE))</f>
        <v/>
      </c>
    </row>
    <row r="223" ht="14.25" customHeight="1">
      <c r="A223" s="11"/>
      <c r="B223" s="11">
        <f t="shared" si="11"/>
        <v>17</v>
      </c>
      <c r="C223" s="11" t="s">
        <v>106</v>
      </c>
      <c r="D223" s="11"/>
      <c r="E223" s="27"/>
      <c r="F223" s="11" t="str">
        <f>VLOOKUP($G223, SeanRanks26!$A$2:$H$303, 5, FALSE)</f>
        <v/>
      </c>
      <c r="G223" s="16" t="s">
        <v>699</v>
      </c>
      <c r="H223" s="11" t="str">
        <f>VLOOKUP($G223, '26 ADP Data'!$C$4:$Q$298, 2, FALSE)</f>
        <v>HOU</v>
      </c>
      <c r="I223" s="11" t="str">
        <f>VLOOKUP(G223, '26 ADP Data'!$C$4:$R$496, 16, FALSE)</f>
        <v>WR</v>
      </c>
      <c r="J223" s="11" t="str">
        <f>VLOOKUP($G223, SeanRanks26!$A$2:$H$303, 6, FALSE)</f>
        <v>WR4 - 1 - Path to WR2</v>
      </c>
      <c r="K223" s="11">
        <f>VLOOKUP($G223, SeanRanks26!$A$2:$H$303, 7, FALSE)</f>
        <v>999</v>
      </c>
      <c r="L223" s="11">
        <f t="shared" si="5"/>
        <v>16</v>
      </c>
      <c r="M223" s="11" t="str">
        <f>VLOOKUP($G223, '26 ADP Data'!$C$4:$Q$298, 10, FALSE)</f>
        <v>-</v>
      </c>
      <c r="N223" s="11" t="str">
        <f>VLOOKUP($G223, '26 ADP Data'!$C$4:$Q$298, 13, FALSE)</f>
        <v>-</v>
      </c>
      <c r="O223" s="11" t="str">
        <f t="shared" si="6"/>
        <v>#VALUE!</v>
      </c>
      <c r="P223" s="11" t="str">
        <f>VLOOKUP($G223, '26 ADP Data'!$C$4:$Q$298, 3, FALSE)</f>
        <v>-</v>
      </c>
      <c r="Q223" s="11">
        <f>VLOOKUP($G223, '26 ADP Data'!$C$4:$Q$298, 4, FALSE)</f>
        <v>275</v>
      </c>
      <c r="R223" s="11">
        <f>VLOOKUP($G223, '26 ADP Data'!$C$4:$Q$298, 6, FALSE)</f>
        <v>212</v>
      </c>
      <c r="S223" s="11">
        <f>VLOOKUP($G223, '26 ADP Data'!$C$4:$Q$298, 9, FALSE)</f>
        <v>124</v>
      </c>
      <c r="T223" s="11" t="str">
        <f>VLOOKUP($G223, '26 ADP Data'!$C$4:$Q$298, 8, FALSE)</f>
        <v>-</v>
      </c>
      <c r="U223" s="11">
        <f t="shared" si="7"/>
        <v>203</v>
      </c>
      <c r="V223" s="11">
        <f t="shared" si="8"/>
        <v>17</v>
      </c>
      <c r="W223" s="11"/>
      <c r="X223" s="11" t="str">
        <f>VLOOKUP($G223, SeanRanks26!$A$2:$K$303, 10, FALSE)-U223</f>
        <v>#VALUE!</v>
      </c>
      <c r="Y223" s="29" t="str">
        <f>IF(VLOOKUP($G223, SeanRanks26!$A$2:$H$303, 8, FALSE)=0, "", VLOOKUP($G223, SeanRanks26!$A$2:$H$303, 8, FALSE))</f>
        <v>2025 R2</v>
      </c>
    </row>
    <row r="224" ht="14.25" customHeight="1">
      <c r="A224" s="11"/>
      <c r="B224" s="11">
        <f t="shared" si="11"/>
        <v>20</v>
      </c>
      <c r="C224" s="11" t="s">
        <v>106</v>
      </c>
      <c r="D224" s="11"/>
      <c r="E224" s="27"/>
      <c r="F224" s="11" t="str">
        <f>VLOOKUP($G224, SeanRanks26!$A$2:$H$303, 5, FALSE)</f>
        <v/>
      </c>
      <c r="G224" s="16" t="s">
        <v>657</v>
      </c>
      <c r="H224" s="11" t="str">
        <f>VLOOKUP($G224, '26 ADP Data'!$C$4:$Q$298, 2, FALSE)</f>
        <v>NO</v>
      </c>
      <c r="I224" s="11" t="str">
        <f>VLOOKUP(G224, '26 ADP Data'!$C$4:$R$496, 16, FALSE)</f>
        <v>WR</v>
      </c>
      <c r="J224" s="11" t="str">
        <f>VLOOKUP($G224, SeanRanks26!$A$2:$H$303, 6, FALSE)</f>
        <v/>
      </c>
      <c r="K224" s="11" t="str">
        <f>VLOOKUP($G224, SeanRanks26!$A$2:$H$303, 7, FALSE)</f>
        <v/>
      </c>
      <c r="L224" s="11">
        <f t="shared" si="5"/>
        <v>17</v>
      </c>
      <c r="M224" s="11">
        <f>VLOOKUP($G224, '26 ADP Data'!$C$4:$Q$298, 10, FALSE)</f>
        <v>200</v>
      </c>
      <c r="N224" s="11">
        <f>VLOOKUP($G224, '26 ADP Data'!$C$4:$Q$298, 13, FALSE)</f>
        <v>185</v>
      </c>
      <c r="O224" s="11">
        <f t="shared" si="6"/>
        <v>15</v>
      </c>
      <c r="P224" s="11" t="str">
        <f>VLOOKUP($G224, '26 ADP Data'!$C$4:$Q$298, 3, FALSE)</f>
        <v>-</v>
      </c>
      <c r="Q224" s="11" t="str">
        <f>VLOOKUP($G224, '26 ADP Data'!$C$4:$Q$298, 4, FALSE)</f>
        <v>-</v>
      </c>
      <c r="R224" s="11">
        <f>VLOOKUP($G224, '26 ADP Data'!$C$4:$Q$298, 6, FALSE)</f>
        <v>229</v>
      </c>
      <c r="S224" s="11" t="str">
        <f>VLOOKUP($G224, '26 ADP Data'!$C$4:$Q$298, 9, FALSE)</f>
        <v>-</v>
      </c>
      <c r="T224" s="11" t="str">
        <f>VLOOKUP($G224, '26 ADP Data'!$C$4:$Q$298, 8, FALSE)</f>
        <v>-</v>
      </c>
      <c r="U224" s="11">
        <f t="shared" si="7"/>
        <v>204</v>
      </c>
      <c r="V224" s="11">
        <f t="shared" si="8"/>
        <v>18</v>
      </c>
      <c r="W224" s="11"/>
      <c r="X224" s="11">
        <f>VLOOKUP($G224, SeanRanks26!$A$2:$K$303, 10, FALSE)-U224</f>
        <v>-4</v>
      </c>
      <c r="Y224" s="29" t="str">
        <f>IF(VLOOKUP($G224, SeanRanks26!$A$2:$H$303, 8, FALSE)=0, "", VLOOKUP($G224, SeanRanks26!$A$2:$H$303, 8, FALSE))</f>
        <v/>
      </c>
    </row>
    <row r="225" ht="14.25" customHeight="1">
      <c r="A225" s="11"/>
      <c r="B225" s="11">
        <f t="shared" si="11"/>
        <v>17</v>
      </c>
      <c r="C225" s="11" t="s">
        <v>106</v>
      </c>
      <c r="D225" s="11"/>
      <c r="E225" s="27"/>
      <c r="F225" s="11" t="str">
        <f>VLOOKUP($G225, SeanRanks26!$A$2:$H$303, 5, FALSE)</f>
        <v>Yes</v>
      </c>
      <c r="G225" s="16" t="s">
        <v>548</v>
      </c>
      <c r="H225" s="11" t="str">
        <f>VLOOKUP($G225, '26 ADP Data'!$C$4:$Q$298, 2, FALSE)</f>
        <v>ATL</v>
      </c>
      <c r="I225" s="11" t="str">
        <f>VLOOKUP(G225, '26 ADP Data'!$C$4:$R$496, 16, FALSE)</f>
        <v>WR</v>
      </c>
      <c r="J225" s="11" t="str">
        <f>VLOOKUP($G225, SeanRanks26!$A$2:$H$303, 6, FALSE)</f>
        <v>WR5</v>
      </c>
      <c r="K225" s="11">
        <f>VLOOKUP($G225, SeanRanks26!$A$2:$H$303, 7, FALSE)</f>
        <v>66</v>
      </c>
      <c r="L225" s="11">
        <f t="shared" si="5"/>
        <v>19</v>
      </c>
      <c r="M225" s="11">
        <f>VLOOKUP($G225, '26 ADP Data'!$C$4:$Q$298, 10, FALSE)</f>
        <v>222</v>
      </c>
      <c r="N225" s="11">
        <f>VLOOKUP($G225, '26 ADP Data'!$C$4:$Q$298, 13, FALSE)</f>
        <v>196</v>
      </c>
      <c r="O225" s="11">
        <f t="shared" si="6"/>
        <v>26</v>
      </c>
      <c r="P225" s="11" t="str">
        <f>VLOOKUP($G225, '26 ADP Data'!$C$4:$Q$298, 3, FALSE)</f>
        <v>-</v>
      </c>
      <c r="Q225" s="11" t="str">
        <f>VLOOKUP($G225, '26 ADP Data'!$C$4:$Q$298, 4, FALSE)</f>
        <v>-</v>
      </c>
      <c r="R225" s="11">
        <f>VLOOKUP($G225, '26 ADP Data'!$C$4:$Q$298, 6, FALSE)</f>
        <v>209</v>
      </c>
      <c r="S225" s="11">
        <f>VLOOKUP($G225, '26 ADP Data'!$C$4:$Q$298, 9, FALSE)</f>
        <v>196</v>
      </c>
      <c r="T225" s="11" t="str">
        <f>VLOOKUP($G225, '26 ADP Data'!$C$4:$Q$298, 8, FALSE)</f>
        <v>-</v>
      </c>
      <c r="U225" s="11">
        <f t="shared" si="7"/>
        <v>205</v>
      </c>
      <c r="V225" s="11">
        <f t="shared" si="8"/>
        <v>18</v>
      </c>
      <c r="W225" s="11"/>
      <c r="X225" s="11">
        <f>VLOOKUP($G225, SeanRanks26!$A$2:$K$303, 10, FALSE)-U225</f>
        <v>17</v>
      </c>
      <c r="Y225" s="29" t="str">
        <f>IF(VLOOKUP($G225, SeanRanks26!$A$2:$H$303, 8, FALSE)=0, "", VLOOKUP($G225, SeanRanks26!$A$2:$H$303, 8, FALSE))</f>
        <v>Rookie R3 Georgia</v>
      </c>
    </row>
    <row r="226" ht="14.25" customHeight="1">
      <c r="A226" s="11"/>
      <c r="B226" s="11">
        <f t="shared" si="11"/>
        <v>17</v>
      </c>
      <c r="C226" s="11" t="s">
        <v>106</v>
      </c>
      <c r="D226" s="11"/>
      <c r="E226" s="27"/>
      <c r="F226" s="11" t="str">
        <f>VLOOKUP($G226, SeanRanks26!$A$2:$H$303, 5, FALSE)</f>
        <v/>
      </c>
      <c r="G226" s="16" t="s">
        <v>558</v>
      </c>
      <c r="H226" s="11" t="str">
        <f>VLOOKUP($G226, '26 ADP Data'!$C$4:$Q$298, 2, FALSE)</f>
        <v>TEN</v>
      </c>
      <c r="I226" s="11" t="str">
        <f>VLOOKUP(G226, '26 ADP Data'!$C$4:$R$496, 16, FALSE)</f>
        <v>TE</v>
      </c>
      <c r="J226" s="11" t="str">
        <f>VLOOKUP($G226, SeanRanks26!$A$2:$H$303, 6, FALSE)</f>
        <v/>
      </c>
      <c r="K226" s="11" t="str">
        <f>VLOOKUP($G226, SeanRanks26!$A$2:$H$303, 7, FALSE)</f>
        <v/>
      </c>
      <c r="L226" s="11">
        <f t="shared" si="5"/>
        <v>19</v>
      </c>
      <c r="M226" s="11">
        <f>VLOOKUP($G226, '26 ADP Data'!$C$4:$Q$298, 10, FALSE)</f>
        <v>225</v>
      </c>
      <c r="N226" s="11">
        <f>VLOOKUP($G226, '26 ADP Data'!$C$4:$Q$298, 13, FALSE)</f>
        <v>197</v>
      </c>
      <c r="O226" s="11">
        <f t="shared" si="6"/>
        <v>28</v>
      </c>
      <c r="P226" s="11" t="str">
        <f>VLOOKUP($G226, '26 ADP Data'!$C$4:$Q$298, 3, FALSE)</f>
        <v>-</v>
      </c>
      <c r="Q226" s="11" t="str">
        <f>VLOOKUP($G226, '26 ADP Data'!$C$4:$Q$298, 4, FALSE)</f>
        <v>-</v>
      </c>
      <c r="R226" s="11">
        <f>VLOOKUP($G226, '26 ADP Data'!$C$4:$Q$298, 6, FALSE)</f>
        <v>177</v>
      </c>
      <c r="S226" s="11">
        <f>VLOOKUP($G226, '26 ADP Data'!$C$4:$Q$298, 9, FALSE)</f>
        <v>221</v>
      </c>
      <c r="T226" s="11" t="str">
        <f>VLOOKUP($G226, '26 ADP Data'!$C$4:$Q$298, 8, FALSE)</f>
        <v>-</v>
      </c>
      <c r="U226" s="11">
        <f t="shared" si="7"/>
        <v>205</v>
      </c>
      <c r="V226" s="11">
        <f t="shared" si="8"/>
        <v>18</v>
      </c>
      <c r="W226" s="11"/>
      <c r="X226" s="11">
        <f>VLOOKUP($G226, SeanRanks26!$A$2:$K$303, 10, FALSE)-U226</f>
        <v>20</v>
      </c>
      <c r="Y226" s="29" t="str">
        <f>IF(VLOOKUP($G226, SeanRanks26!$A$2:$H$303, 8, FALSE)=0, "", VLOOKUP($G226, SeanRanks26!$A$2:$H$303, 8, FALSE))</f>
        <v/>
      </c>
    </row>
    <row r="227" ht="14.25" customHeight="1">
      <c r="A227" s="11"/>
      <c r="B227" s="11">
        <f t="shared" si="11"/>
        <v>18</v>
      </c>
      <c r="C227" s="11" t="s">
        <v>106</v>
      </c>
      <c r="D227" s="11"/>
      <c r="E227" s="27"/>
      <c r="F227" s="11" t="str">
        <f>VLOOKUP($G227, SeanRanks26!$A$2:$H$303, 5, FALSE)</f>
        <v>#N/A</v>
      </c>
      <c r="G227" s="16" t="s">
        <v>617</v>
      </c>
      <c r="H227" s="11" t="str">
        <f>VLOOKUP($G227, '26 ADP Data'!$C$4:$Q$298, 2, FALSE)</f>
        <v>MIN</v>
      </c>
      <c r="I227" s="11" t="str">
        <f>VLOOKUP(G227, '26 ADP Data'!$C$4:$R$496, 16, FALSE)</f>
        <v>K-</v>
      </c>
      <c r="J227" s="11" t="str">
        <f>VLOOKUP($G227, SeanRanks26!$A$2:$H$303, 6, FALSE)</f>
        <v>#N/A</v>
      </c>
      <c r="K227" s="11" t="str">
        <f>VLOOKUP($G227, SeanRanks26!$A$2:$H$303, 7, FALSE)</f>
        <v>#N/A</v>
      </c>
      <c r="L227" s="11">
        <f t="shared" si="5"/>
        <v>18</v>
      </c>
      <c r="M227" s="11">
        <f>VLOOKUP($G227, '26 ADP Data'!$C$4:$Q$298, 10, FALSE)</f>
        <v>211</v>
      </c>
      <c r="N227" s="11" t="str">
        <f>VLOOKUP($G227, '26 ADP Data'!$C$4:$Q$298, 13, FALSE)</f>
        <v>-</v>
      </c>
      <c r="O227" s="11" t="str">
        <f t="shared" si="6"/>
        <v>#VALUE!</v>
      </c>
      <c r="P227" s="11">
        <f>VLOOKUP($G227, '26 ADP Data'!$C$4:$Q$298, 3, FALSE)</f>
        <v>202</v>
      </c>
      <c r="Q227" s="11">
        <f>VLOOKUP($G227, '26 ADP Data'!$C$4:$Q$298, 4, FALSE)</f>
        <v>181</v>
      </c>
      <c r="R227" s="11">
        <f>VLOOKUP($G227, '26 ADP Data'!$C$4:$Q$298, 6, FALSE)</f>
        <v>256</v>
      </c>
      <c r="S227" s="11">
        <f>VLOOKUP($G227, '26 ADP Data'!$C$4:$Q$298, 9, FALSE)</f>
        <v>182</v>
      </c>
      <c r="T227" s="11" t="str">
        <f>VLOOKUP($G227, '26 ADP Data'!$C$4:$Q$298, 8, FALSE)</f>
        <v>-</v>
      </c>
      <c r="U227" s="11">
        <f t="shared" si="7"/>
        <v>206</v>
      </c>
      <c r="V227" s="11">
        <f t="shared" si="8"/>
        <v>18</v>
      </c>
      <c r="W227" s="11"/>
      <c r="X227" s="11" t="str">
        <f>VLOOKUP($G227, SeanRanks26!$A$2:$K$303, 10, FALSE)-U227</f>
        <v>#N/A</v>
      </c>
      <c r="Y227" s="29" t="str">
        <f>IF(VLOOKUP($G227, SeanRanks26!$A$2:$H$303, 8, FALSE)=0, "", VLOOKUP($G227, SeanRanks26!$A$2:$H$303, 8, FALSE))</f>
        <v>#N/A</v>
      </c>
    </row>
    <row r="228" ht="14.25" customHeight="1">
      <c r="A228" s="11"/>
      <c r="B228" s="11">
        <f t="shared" si="11"/>
        <v>18</v>
      </c>
      <c r="C228" s="11" t="s">
        <v>106</v>
      </c>
      <c r="D228" s="11"/>
      <c r="E228" s="27"/>
      <c r="F228" s="11" t="str">
        <f>VLOOKUP($G228, SeanRanks26!$A$2:$H$303, 5, FALSE)</f>
        <v/>
      </c>
      <c r="G228" s="16" t="s">
        <v>444</v>
      </c>
      <c r="H228" s="11" t="str">
        <f>VLOOKUP($G228, '26 ADP Data'!$C$4:$Q$298, 2, FALSE)</f>
        <v>TEN</v>
      </c>
      <c r="I228" s="11" t="str">
        <f>VLOOKUP(G228, '26 ADP Data'!$C$4:$R$496, 16, FALSE)</f>
        <v>WR</v>
      </c>
      <c r="J228" s="11" t="str">
        <f>VLOOKUP($G228, SeanRanks26!$A$2:$H$303, 6, FALSE)</f>
        <v>WR5</v>
      </c>
      <c r="K228" s="11">
        <f>VLOOKUP($G228, SeanRanks26!$A$2:$H$303, 7, FALSE)</f>
        <v>63</v>
      </c>
      <c r="L228" s="11">
        <f t="shared" si="5"/>
        <v>18</v>
      </c>
      <c r="M228" s="11">
        <f>VLOOKUP($G228, '26 ADP Data'!$C$4:$Q$298, 10, FALSE)</f>
        <v>213</v>
      </c>
      <c r="N228" s="11">
        <f>VLOOKUP($G228, '26 ADP Data'!$C$4:$Q$298, 13, FALSE)</f>
        <v>205</v>
      </c>
      <c r="O228" s="11">
        <f t="shared" si="6"/>
        <v>8</v>
      </c>
      <c r="P228" s="11">
        <f>VLOOKUP($G228, '26 ADP Data'!$C$4:$Q$298, 3, FALSE)</f>
        <v>192</v>
      </c>
      <c r="Q228" s="11">
        <f>VLOOKUP($G228, '26 ADP Data'!$C$4:$Q$298, 4, FALSE)</f>
        <v>189</v>
      </c>
      <c r="R228" s="11">
        <f>VLOOKUP($G228, '26 ADP Data'!$C$4:$Q$298, 6, FALSE)</f>
        <v>202</v>
      </c>
      <c r="S228" s="11">
        <f>VLOOKUP($G228, '26 ADP Data'!$C$4:$Q$298, 9, FALSE)</f>
        <v>245</v>
      </c>
      <c r="T228" s="11" t="str">
        <f>VLOOKUP($G228, '26 ADP Data'!$C$4:$Q$298, 8, FALSE)</f>
        <v>-</v>
      </c>
      <c r="U228" s="11">
        <f t="shared" si="7"/>
        <v>207</v>
      </c>
      <c r="V228" s="11">
        <f t="shared" si="8"/>
        <v>18</v>
      </c>
      <c r="W228" s="11"/>
      <c r="X228" s="11">
        <f>VLOOKUP($G228, SeanRanks26!$A$2:$K$303, 10, FALSE)-U228</f>
        <v>6</v>
      </c>
      <c r="Y228" s="29" t="str">
        <f>IF(VLOOKUP($G228, SeanRanks26!$A$2:$H$303, 8, FALSE)=0, "", VLOOKUP($G228, SeanRanks26!$A$2:$H$303, 8, FALSE))</f>
        <v/>
      </c>
    </row>
    <row r="229" ht="14.25" customHeight="1">
      <c r="A229" s="11"/>
      <c r="B229" s="11">
        <f t="shared" si="11"/>
        <v>19</v>
      </c>
      <c r="C229" s="11" t="s">
        <v>106</v>
      </c>
      <c r="D229" s="11"/>
      <c r="E229" s="27"/>
      <c r="F229" s="11" t="str">
        <f>VLOOKUP($G229, SeanRanks26!$A$2:$H$303, 5, FALSE)</f>
        <v/>
      </c>
      <c r="G229" s="16" t="s">
        <v>550</v>
      </c>
      <c r="H229" s="11" t="str">
        <f>VLOOKUP($G229, '26 ADP Data'!$C$4:$Q$298, 2, FALSE)</f>
        <v>PIT</v>
      </c>
      <c r="I229" s="11" t="str">
        <f>VLOOKUP(G229, '26 ADP Data'!$C$4:$R$496, 16, FALSE)</f>
        <v>QB</v>
      </c>
      <c r="J229" s="11" t="str">
        <f>VLOOKUP($G229, SeanRanks26!$A$2:$H$303, 6, FALSE)</f>
        <v/>
      </c>
      <c r="K229" s="11" t="str">
        <f>VLOOKUP($G229, SeanRanks26!$A$2:$H$303, 7, FALSE)</f>
        <v/>
      </c>
      <c r="L229" s="11">
        <f t="shared" si="5"/>
        <v>16</v>
      </c>
      <c r="M229" s="11" t="str">
        <f>VLOOKUP($G229, '26 ADP Data'!$C$4:$Q$298, 10, FALSE)</f>
        <v>-</v>
      </c>
      <c r="N229" s="11">
        <f>VLOOKUP($G229, '26 ADP Data'!$C$4:$Q$298, 13, FALSE)</f>
        <v>180</v>
      </c>
      <c r="O229" s="11" t="str">
        <f t="shared" si="6"/>
        <v>#VALUE!</v>
      </c>
      <c r="P229" s="11" t="str">
        <f>VLOOKUP($G229, '26 ADP Data'!$C$4:$Q$298, 3, FALSE)</f>
        <v>-</v>
      </c>
      <c r="Q229" s="11">
        <f>VLOOKUP($G229, '26 ADP Data'!$C$4:$Q$298, 4, FALSE)</f>
        <v>203</v>
      </c>
      <c r="R229" s="11">
        <f>VLOOKUP($G229, '26 ADP Data'!$C$4:$Q$298, 6, FALSE)</f>
        <v>218</v>
      </c>
      <c r="S229" s="11">
        <f>VLOOKUP($G229, '26 ADP Data'!$C$4:$Q$298, 9, FALSE)</f>
        <v>232</v>
      </c>
      <c r="T229" s="11" t="str">
        <f>VLOOKUP($G229, '26 ADP Data'!$C$4:$Q$298, 8, FALSE)</f>
        <v>-</v>
      </c>
      <c r="U229" s="11">
        <f t="shared" si="7"/>
        <v>208</v>
      </c>
      <c r="V229" s="11">
        <f t="shared" si="8"/>
        <v>18</v>
      </c>
      <c r="W229" s="11"/>
      <c r="X229" s="11" t="str">
        <f>VLOOKUP($G229, SeanRanks26!$A$2:$K$303, 10, FALSE)-U229</f>
        <v>#VALUE!</v>
      </c>
      <c r="Y229" s="29" t="str">
        <f>IF(VLOOKUP($G229, SeanRanks26!$A$2:$H$303, 8, FALSE)=0, "", VLOOKUP($G229, SeanRanks26!$A$2:$H$303, 8, FALSE))</f>
        <v/>
      </c>
    </row>
    <row r="230" ht="14.25" customHeight="1">
      <c r="A230" s="11"/>
      <c r="B230" s="11">
        <f t="shared" si="11"/>
        <v>18</v>
      </c>
      <c r="C230" s="11" t="s">
        <v>106</v>
      </c>
      <c r="D230" s="11"/>
      <c r="E230" s="27"/>
      <c r="F230" s="11" t="str">
        <f>VLOOKUP($G230, SeanRanks26!$A$2:$H$303, 5, FALSE)</f>
        <v>#N/A</v>
      </c>
      <c r="G230" s="16" t="s">
        <v>701</v>
      </c>
      <c r="H230" s="11" t="str">
        <f>VLOOKUP($G230, '26 ADP Data'!$C$4:$Q$298, 2, FALSE)</f>
        <v>CAR</v>
      </c>
      <c r="I230" s="11" t="str">
        <f>VLOOKUP(G230, '26 ADP Data'!$C$4:$R$496, 16, FALSE)</f>
        <v>TE</v>
      </c>
      <c r="J230" s="11" t="str">
        <f>VLOOKUP($G230, SeanRanks26!$A$2:$H$303, 6, FALSE)</f>
        <v>#N/A</v>
      </c>
      <c r="K230" s="11" t="str">
        <f>VLOOKUP($G230, SeanRanks26!$A$2:$H$303, 7, FALSE)</f>
        <v>#N/A</v>
      </c>
      <c r="L230" s="11">
        <f t="shared" si="5"/>
        <v>16</v>
      </c>
      <c r="M230" s="11" t="str">
        <f>VLOOKUP($G230, '26 ADP Data'!$C$4:$Q$298, 10, FALSE)</f>
        <v>-</v>
      </c>
      <c r="N230" s="11">
        <f>VLOOKUP($G230, '26 ADP Data'!$C$4:$Q$298, 13, FALSE)</f>
        <v>208</v>
      </c>
      <c r="O230" s="11" t="str">
        <f t="shared" si="6"/>
        <v>#VALUE!</v>
      </c>
      <c r="P230" s="11" t="str">
        <f>VLOOKUP($G230, '26 ADP Data'!$C$4:$Q$298, 3, FALSE)</f>
        <v>-</v>
      </c>
      <c r="Q230" s="11" t="str">
        <f>VLOOKUP($G230, '26 ADP Data'!$C$4:$Q$298, 4, FALSE)</f>
        <v>-</v>
      </c>
      <c r="R230" s="11">
        <f>VLOOKUP($G230, '26 ADP Data'!$C$4:$Q$298, 6, FALSE)</f>
        <v>210</v>
      </c>
      <c r="S230" s="11" t="str">
        <f>VLOOKUP($G230, '26 ADP Data'!$C$4:$Q$298, 9, FALSE)</f>
        <v>-</v>
      </c>
      <c r="T230" s="11" t="str">
        <f>VLOOKUP($G230, '26 ADP Data'!$C$4:$Q$298, 8, FALSE)</f>
        <v>-</v>
      </c>
      <c r="U230" s="11">
        <f t="shared" si="7"/>
        <v>209</v>
      </c>
      <c r="V230" s="11">
        <f t="shared" si="8"/>
        <v>18</v>
      </c>
      <c r="W230" s="11"/>
      <c r="X230" s="11" t="str">
        <f>VLOOKUP($G230, SeanRanks26!$A$2:$K$303, 10, FALSE)-U230</f>
        <v>#N/A</v>
      </c>
      <c r="Y230" s="29" t="str">
        <f>IF(VLOOKUP($G230, SeanRanks26!$A$2:$H$303, 8, FALSE)=0, "", VLOOKUP($G230, SeanRanks26!$A$2:$H$303, 8, FALSE))</f>
        <v>#N/A</v>
      </c>
    </row>
    <row r="231" ht="14.25" customHeight="1">
      <c r="A231" s="11"/>
      <c r="B231" s="11">
        <f t="shared" si="11"/>
        <v>17</v>
      </c>
      <c r="C231" s="11" t="s">
        <v>106</v>
      </c>
      <c r="D231" s="11"/>
      <c r="E231" s="27"/>
      <c r="F231" s="11" t="str">
        <f>VLOOKUP($G231, SeanRanks26!$A$2:$H$303, 5, FALSE)</f>
        <v/>
      </c>
      <c r="G231" s="16" t="s">
        <v>666</v>
      </c>
      <c r="H231" s="11" t="str">
        <f>VLOOKUP($G231, '26 ADP Data'!$C$4:$Q$298, 2, FALSE)</f>
        <v>DEN</v>
      </c>
      <c r="I231" s="11" t="str">
        <f>VLOOKUP(G231, '26 ADP Data'!$C$4:$R$496, 16, FALSE)</f>
        <v>TE</v>
      </c>
      <c r="J231" s="11" t="str">
        <f>VLOOKUP($G231, SeanRanks26!$A$2:$H$303, 6, FALSE)</f>
        <v/>
      </c>
      <c r="K231" s="11" t="str">
        <f>VLOOKUP($G231, SeanRanks26!$A$2:$H$303, 7, FALSE)</f>
        <v/>
      </c>
      <c r="L231" s="11">
        <f t="shared" si="5"/>
        <v>16</v>
      </c>
      <c r="M231" s="11" t="str">
        <f>VLOOKUP($G231, '26 ADP Data'!$C$4:$Q$298, 10, FALSE)</f>
        <v>-</v>
      </c>
      <c r="N231" s="11">
        <f>VLOOKUP($G231, '26 ADP Data'!$C$4:$Q$298, 13, FALSE)</f>
        <v>221</v>
      </c>
      <c r="O231" s="11" t="str">
        <f t="shared" si="6"/>
        <v>#VALUE!</v>
      </c>
      <c r="P231" s="11" t="str">
        <f>VLOOKUP($G231, '26 ADP Data'!$C$4:$Q$298, 3, FALSE)</f>
        <v>-</v>
      </c>
      <c r="Q231" s="11" t="str">
        <f>VLOOKUP($G231, '26 ADP Data'!$C$4:$Q$298, 4, FALSE)</f>
        <v>-</v>
      </c>
      <c r="R231" s="11">
        <f>VLOOKUP($G231, '26 ADP Data'!$C$4:$Q$298, 6, FALSE)</f>
        <v>200</v>
      </c>
      <c r="S231" s="11" t="str">
        <f>VLOOKUP($G231, '26 ADP Data'!$C$4:$Q$298, 9, FALSE)</f>
        <v>-</v>
      </c>
      <c r="T231" s="11" t="str">
        <f>VLOOKUP($G231, '26 ADP Data'!$C$4:$Q$298, 8, FALSE)</f>
        <v>-</v>
      </c>
      <c r="U231" s="11">
        <f t="shared" si="7"/>
        <v>210</v>
      </c>
      <c r="V231" s="11">
        <f t="shared" si="8"/>
        <v>18</v>
      </c>
      <c r="W231" s="11"/>
      <c r="X231" s="11" t="str">
        <f>VLOOKUP($G231, SeanRanks26!$A$2:$K$303, 10, FALSE)-U231</f>
        <v>#VALUE!</v>
      </c>
      <c r="Y231" s="29" t="str">
        <f>IF(VLOOKUP($G231, SeanRanks26!$A$2:$H$303, 8, FALSE)=0, "", VLOOKUP($G231, SeanRanks26!$A$2:$H$303, 8, FALSE))</f>
        <v/>
      </c>
    </row>
    <row r="232" ht="14.25" customHeight="1">
      <c r="A232" s="11"/>
      <c r="B232" s="11">
        <f t="shared" si="11"/>
        <v>18</v>
      </c>
      <c r="C232" s="11" t="s">
        <v>106</v>
      </c>
      <c r="D232" s="11"/>
      <c r="E232" s="27"/>
      <c r="F232" s="11" t="str">
        <f>VLOOKUP($G232, SeanRanks26!$A$2:$H$303, 5, FALSE)</f>
        <v/>
      </c>
      <c r="G232" s="16" t="s">
        <v>562</v>
      </c>
      <c r="H232" s="11" t="str">
        <f>VLOOKUP($G232, '26 ADP Data'!$C$4:$Q$298, 2, FALSE)</f>
        <v>WAS</v>
      </c>
      <c r="I232" s="11" t="str">
        <f>VLOOKUP(G232, '26 ADP Data'!$C$4:$R$496, 16, FALSE)</f>
        <v>RB</v>
      </c>
      <c r="J232" s="11" t="str">
        <f>VLOOKUP($G232, SeanRanks26!$A$2:$H$303, 6, FALSE)</f>
        <v/>
      </c>
      <c r="K232" s="11" t="str">
        <f>VLOOKUP($G232, SeanRanks26!$A$2:$H$303, 7, FALSE)</f>
        <v/>
      </c>
      <c r="L232" s="11">
        <f t="shared" si="5"/>
        <v>18</v>
      </c>
      <c r="M232" s="11">
        <f>VLOOKUP($G232, '26 ADP Data'!$C$4:$Q$298, 10, FALSE)</f>
        <v>210</v>
      </c>
      <c r="N232" s="11">
        <f>VLOOKUP($G232, '26 ADP Data'!$C$4:$Q$298, 13, FALSE)</f>
        <v>218</v>
      </c>
      <c r="O232" s="11">
        <f t="shared" si="6"/>
        <v>-8</v>
      </c>
      <c r="P232" s="11" t="str">
        <f>VLOOKUP($G232, '26 ADP Data'!$C$4:$Q$298, 3, FALSE)</f>
        <v>-</v>
      </c>
      <c r="Q232" s="11" t="str">
        <f>VLOOKUP($G232, '26 ADP Data'!$C$4:$Q$298, 4, FALSE)</f>
        <v>-</v>
      </c>
      <c r="R232" s="11">
        <f>VLOOKUP($G232, '26 ADP Data'!$C$4:$Q$298, 6, FALSE)</f>
        <v>189</v>
      </c>
      <c r="S232" s="11">
        <f>VLOOKUP($G232, '26 ADP Data'!$C$4:$Q$298, 9, FALSE)</f>
        <v>229</v>
      </c>
      <c r="T232" s="11" t="str">
        <f>VLOOKUP($G232, '26 ADP Data'!$C$4:$Q$298, 8, FALSE)</f>
        <v>-</v>
      </c>
      <c r="U232" s="11">
        <f t="shared" si="7"/>
        <v>211</v>
      </c>
      <c r="V232" s="11">
        <f t="shared" si="8"/>
        <v>18</v>
      </c>
      <c r="W232" s="11"/>
      <c r="X232" s="11">
        <f>VLOOKUP($G232, SeanRanks26!$A$2:$K$303, 10, FALSE)-U232</f>
        <v>-1</v>
      </c>
      <c r="Y232" s="29" t="str">
        <f>IF(VLOOKUP($G232, SeanRanks26!$A$2:$H$303, 8, FALSE)=0, "", VLOOKUP($G232, SeanRanks26!$A$2:$H$303, 8, FALSE))</f>
        <v>Rookie R6 - PSU</v>
      </c>
    </row>
    <row r="233" ht="14.25" customHeight="1">
      <c r="A233" s="11"/>
      <c r="B233" s="11">
        <f t="shared" si="11"/>
        <v>18</v>
      </c>
      <c r="C233" s="11" t="s">
        <v>106</v>
      </c>
      <c r="D233" s="11"/>
      <c r="E233" s="27"/>
      <c r="F233" s="11" t="str">
        <f>VLOOKUP($G233, SeanRanks26!$A$2:$H$303, 5, FALSE)</f>
        <v/>
      </c>
      <c r="G233" s="16" t="s">
        <v>578</v>
      </c>
      <c r="H233" s="11" t="str">
        <f>VLOOKUP($G233, '26 ADP Data'!$C$4:$Q$298, 2, FALSE)</f>
        <v>LAC</v>
      </c>
      <c r="I233" s="11" t="str">
        <f>VLOOKUP(G233, '26 ADP Data'!$C$4:$R$496, 16, FALSE)</f>
        <v>TE</v>
      </c>
      <c r="J233" s="11" t="str">
        <f>VLOOKUP($G233, SeanRanks26!$A$2:$H$303, 6, FALSE)</f>
        <v/>
      </c>
      <c r="K233" s="11" t="str">
        <f>VLOOKUP($G233, SeanRanks26!$A$2:$H$303, 7, FALSE)</f>
        <v/>
      </c>
      <c r="L233" s="11">
        <f t="shared" si="5"/>
        <v>16</v>
      </c>
      <c r="M233" s="11" t="str">
        <f>VLOOKUP($G233, '26 ADP Data'!$C$4:$Q$298, 10, FALSE)</f>
        <v>-</v>
      </c>
      <c r="N233" s="11">
        <f>VLOOKUP($G233, '26 ADP Data'!$C$4:$Q$298, 13, FALSE)</f>
        <v>210</v>
      </c>
      <c r="O233" s="11" t="str">
        <f t="shared" si="6"/>
        <v>#VALUE!</v>
      </c>
      <c r="P233" s="11" t="str">
        <f>VLOOKUP($G233, '26 ADP Data'!$C$4:$Q$298, 3, FALSE)</f>
        <v>-</v>
      </c>
      <c r="Q233" s="11">
        <f>VLOOKUP($G233, '26 ADP Data'!$C$4:$Q$298, 4, FALSE)</f>
        <v>216</v>
      </c>
      <c r="R233" s="11">
        <f>VLOOKUP($G233, '26 ADP Data'!$C$4:$Q$298, 6, FALSE)</f>
        <v>195</v>
      </c>
      <c r="S233" s="11">
        <f>VLOOKUP($G233, '26 ADP Data'!$C$4:$Q$298, 9, FALSE)</f>
        <v>230</v>
      </c>
      <c r="T233" s="11" t="str">
        <f>VLOOKUP($G233, '26 ADP Data'!$C$4:$Q$298, 8, FALSE)</f>
        <v>-</v>
      </c>
      <c r="U233" s="11">
        <f t="shared" si="7"/>
        <v>212</v>
      </c>
      <c r="V233" s="11">
        <f t="shared" si="8"/>
        <v>18</v>
      </c>
      <c r="W233" s="11"/>
      <c r="X233" s="11" t="str">
        <f>VLOOKUP($G233, SeanRanks26!$A$2:$K$303, 10, FALSE)-U233</f>
        <v>#VALUE!</v>
      </c>
      <c r="Y233" s="29" t="str">
        <f>IF(VLOOKUP($G233, SeanRanks26!$A$2:$H$303, 8, FALSE)=0, "", VLOOKUP($G233, SeanRanks26!$A$2:$H$303, 8, FALSE))</f>
        <v/>
      </c>
    </row>
    <row r="234" ht="14.25" customHeight="1">
      <c r="A234" s="11"/>
      <c r="B234" s="11">
        <f t="shared" si="11"/>
        <v>19</v>
      </c>
      <c r="C234" s="11" t="s">
        <v>106</v>
      </c>
      <c r="D234" s="11"/>
      <c r="E234" s="27"/>
      <c r="F234" s="11" t="str">
        <f>VLOOKUP($G234, SeanRanks26!$A$2:$H$303, 5, FALSE)</f>
        <v/>
      </c>
      <c r="G234" s="16" t="s">
        <v>661</v>
      </c>
      <c r="H234" s="11" t="str">
        <f>VLOOKUP($G234, '26 ADP Data'!$C$4:$Q$298, 2, FALSE)</f>
        <v>NYG</v>
      </c>
      <c r="I234" s="11" t="str">
        <f>VLOOKUP(G234, '26 ADP Data'!$C$4:$R$496, 16, FALSE)</f>
        <v>RB</v>
      </c>
      <c r="J234" s="11" t="str">
        <f>VLOOKUP($G234, SeanRanks26!$A$2:$H$303, 6, FALSE)</f>
        <v/>
      </c>
      <c r="K234" s="11" t="str">
        <f>VLOOKUP($G234, SeanRanks26!$A$2:$H$303, 7, FALSE)</f>
        <v/>
      </c>
      <c r="L234" s="11">
        <f t="shared" si="5"/>
        <v>18</v>
      </c>
      <c r="M234" s="11">
        <f>VLOOKUP($G234, '26 ADP Data'!$C$4:$Q$298, 10, FALSE)</f>
        <v>209</v>
      </c>
      <c r="N234" s="11">
        <f>VLOOKUP($G234, '26 ADP Data'!$C$4:$Q$298, 13, FALSE)</f>
        <v>206</v>
      </c>
      <c r="O234" s="11">
        <f t="shared" si="6"/>
        <v>3</v>
      </c>
      <c r="P234" s="11" t="str">
        <f>VLOOKUP($G234, '26 ADP Data'!$C$4:$Q$298, 3, FALSE)</f>
        <v>-</v>
      </c>
      <c r="Q234" s="11" t="str">
        <f>VLOOKUP($G234, '26 ADP Data'!$C$4:$Q$298, 4, FALSE)</f>
        <v>-</v>
      </c>
      <c r="R234" s="11">
        <f>VLOOKUP($G234, '26 ADP Data'!$C$4:$Q$298, 6, FALSE)</f>
        <v>224</v>
      </c>
      <c r="S234" s="11" t="str">
        <f>VLOOKUP($G234, '26 ADP Data'!$C$4:$Q$298, 9, FALSE)</f>
        <v>-</v>
      </c>
      <c r="T234" s="11" t="str">
        <f>VLOOKUP($G234, '26 ADP Data'!$C$4:$Q$298, 8, FALSE)</f>
        <v>-</v>
      </c>
      <c r="U234" s="11">
        <f t="shared" si="7"/>
        <v>213</v>
      </c>
      <c r="V234" s="11">
        <f t="shared" si="8"/>
        <v>18</v>
      </c>
      <c r="W234" s="11"/>
      <c r="X234" s="11">
        <f>VLOOKUP($G234, SeanRanks26!$A$2:$K$303, 10, FALSE)-U234</f>
        <v>-4</v>
      </c>
      <c r="Y234" s="29" t="str">
        <f>IF(VLOOKUP($G234, SeanRanks26!$A$2:$H$303, 8, FALSE)=0, "", VLOOKUP($G234, SeanRanks26!$A$2:$H$303, 8, FALSE))</f>
        <v/>
      </c>
    </row>
    <row r="235" ht="14.25" customHeight="1">
      <c r="A235" s="11"/>
      <c r="B235" s="11">
        <f t="shared" si="11"/>
        <v>17</v>
      </c>
      <c r="C235" s="11" t="s">
        <v>106</v>
      </c>
      <c r="D235" s="11"/>
      <c r="E235" s="27"/>
      <c r="F235" s="11" t="str">
        <f>VLOOKUP($G235, SeanRanks26!$A$2:$H$303, 5, FALSE)</f>
        <v/>
      </c>
      <c r="G235" s="16" t="s">
        <v>611</v>
      </c>
      <c r="H235" s="11" t="str">
        <f>VLOOKUP($G235, '26 ADP Data'!$C$4:$Q$298, 2, FALSE)</f>
        <v>SEA</v>
      </c>
      <c r="I235" s="11" t="str">
        <f>VLOOKUP(G235, '26 ADP Data'!$C$4:$R$496, 16, FALSE)</f>
        <v>RB</v>
      </c>
      <c r="J235" s="11" t="str">
        <f>VLOOKUP($G235, SeanRanks26!$A$2:$H$303, 6, FALSE)</f>
        <v/>
      </c>
      <c r="K235" s="11" t="str">
        <f>VLOOKUP($G235, SeanRanks26!$A$2:$H$303, 7, FALSE)</f>
        <v/>
      </c>
      <c r="L235" s="11">
        <f t="shared" si="5"/>
        <v>18</v>
      </c>
      <c r="M235" s="11">
        <f>VLOOKUP($G235, '26 ADP Data'!$C$4:$Q$298, 10, FALSE)</f>
        <v>215</v>
      </c>
      <c r="N235" s="11">
        <f>VLOOKUP($G235, '26 ADP Data'!$C$4:$Q$298, 13, FALSE)</f>
        <v>225</v>
      </c>
      <c r="O235" s="11">
        <f t="shared" si="6"/>
        <v>-10</v>
      </c>
      <c r="P235" s="11" t="str">
        <f>VLOOKUP($G235, '26 ADP Data'!$C$4:$Q$298, 3, FALSE)</f>
        <v>-</v>
      </c>
      <c r="Q235" s="11" t="str">
        <f>VLOOKUP($G235, '26 ADP Data'!$C$4:$Q$298, 4, FALSE)</f>
        <v>-</v>
      </c>
      <c r="R235" s="11">
        <f>VLOOKUP($G235, '26 ADP Data'!$C$4:$Q$298, 6, FALSE)</f>
        <v>201</v>
      </c>
      <c r="S235" s="11" t="str">
        <f>VLOOKUP($G235, '26 ADP Data'!$C$4:$Q$298, 9, FALSE)</f>
        <v>-</v>
      </c>
      <c r="T235" s="11" t="str">
        <f>VLOOKUP($G235, '26 ADP Data'!$C$4:$Q$298, 8, FALSE)</f>
        <v>-</v>
      </c>
      <c r="U235" s="11">
        <f t="shared" si="7"/>
        <v>213</v>
      </c>
      <c r="V235" s="11">
        <f t="shared" si="8"/>
        <v>18</v>
      </c>
      <c r="W235" s="11"/>
      <c r="X235" s="11">
        <f>VLOOKUP($G235, SeanRanks26!$A$2:$K$303, 10, FALSE)-U235</f>
        <v>2</v>
      </c>
      <c r="Y235" s="29" t="str">
        <f>IF(VLOOKUP($G235, SeanRanks26!$A$2:$H$303, 8, FALSE)=0, "", VLOOKUP($G235, SeanRanks26!$A$2:$H$303, 8, FALSE))</f>
        <v/>
      </c>
    </row>
    <row r="236" ht="14.25" customHeight="1">
      <c r="A236" s="11"/>
      <c r="B236" s="11">
        <f t="shared" si="11"/>
        <v>18</v>
      </c>
      <c r="C236" s="11" t="s">
        <v>106</v>
      </c>
      <c r="D236" s="11"/>
      <c r="E236" s="27"/>
      <c r="F236" s="11" t="str">
        <f>VLOOKUP($G236, SeanRanks26!$A$2:$H$303, 5, FALSE)</f>
        <v/>
      </c>
      <c r="G236" s="16" t="s">
        <v>670</v>
      </c>
      <c r="H236" s="11" t="str">
        <f>VLOOKUP($G236, '26 ADP Data'!$C$4:$Q$298, 2, FALSE)</f>
        <v>CIN</v>
      </c>
      <c r="I236" s="11" t="str">
        <f>VLOOKUP(G236, '26 ADP Data'!$C$4:$R$496, 16, FALSE)</f>
        <v>RB</v>
      </c>
      <c r="J236" s="11" t="str">
        <f>VLOOKUP($G236, SeanRanks26!$A$2:$H$303, 6, FALSE)</f>
        <v/>
      </c>
      <c r="K236" s="11" t="str">
        <f>VLOOKUP($G236, SeanRanks26!$A$2:$H$303, 7, FALSE)</f>
        <v/>
      </c>
      <c r="L236" s="11">
        <f t="shared" si="5"/>
        <v>16</v>
      </c>
      <c r="M236" s="11" t="str">
        <f>VLOOKUP($G236, '26 ADP Data'!$C$4:$Q$298, 10, FALSE)</f>
        <v>-</v>
      </c>
      <c r="N236" s="11">
        <f>VLOOKUP($G236, '26 ADP Data'!$C$4:$Q$298, 13, FALSE)</f>
        <v>222</v>
      </c>
      <c r="O236" s="11" t="str">
        <f t="shared" si="6"/>
        <v>#VALUE!</v>
      </c>
      <c r="P236" s="11" t="str">
        <f>VLOOKUP($G236, '26 ADP Data'!$C$4:$Q$298, 3, FALSE)</f>
        <v>-</v>
      </c>
      <c r="Q236" s="11" t="str">
        <f>VLOOKUP($G236, '26 ADP Data'!$C$4:$Q$298, 4, FALSE)</f>
        <v>-</v>
      </c>
      <c r="R236" s="11">
        <f>VLOOKUP($G236, '26 ADP Data'!$C$4:$Q$298, 6, FALSE)</f>
        <v>204</v>
      </c>
      <c r="S236" s="11" t="str">
        <f>VLOOKUP($G236, '26 ADP Data'!$C$4:$Q$298, 9, FALSE)</f>
        <v>-</v>
      </c>
      <c r="T236" s="11" t="str">
        <f>VLOOKUP($G236, '26 ADP Data'!$C$4:$Q$298, 8, FALSE)</f>
        <v>-</v>
      </c>
      <c r="U236" s="11">
        <f t="shared" si="7"/>
        <v>213</v>
      </c>
      <c r="V236" s="11">
        <f t="shared" si="8"/>
        <v>18</v>
      </c>
      <c r="W236" s="11"/>
      <c r="X236" s="11" t="str">
        <f>VLOOKUP($G236, SeanRanks26!$A$2:$K$303, 10, FALSE)-U236</f>
        <v>#VALUE!</v>
      </c>
      <c r="Y236" s="29" t="str">
        <f>IF(VLOOKUP($G236, SeanRanks26!$A$2:$H$303, 8, FALSE)=0, "", VLOOKUP($G236, SeanRanks26!$A$2:$H$303, 8, FALSE))</f>
        <v/>
      </c>
    </row>
    <row r="237" ht="14.25" customHeight="1">
      <c r="A237" s="11"/>
      <c r="B237" s="11">
        <f t="shared" si="11"/>
        <v>19</v>
      </c>
      <c r="C237" s="11" t="s">
        <v>106</v>
      </c>
      <c r="D237" s="11"/>
      <c r="E237" s="27"/>
      <c r="F237" s="11" t="str">
        <f>VLOOKUP($G237, SeanRanks26!$A$2:$H$303, 5, FALSE)</f>
        <v/>
      </c>
      <c r="G237" s="16" t="s">
        <v>554</v>
      </c>
      <c r="H237" s="11" t="str">
        <f>VLOOKUP($G237, '26 ADP Data'!$C$4:$Q$298, 2, FALSE)</f>
        <v>ARI</v>
      </c>
      <c r="I237" s="11" t="str">
        <f>VLOOKUP(G237, '26 ADP Data'!$C$4:$R$496, 16, FALSE)</f>
        <v>QB</v>
      </c>
      <c r="J237" s="11" t="str">
        <f>VLOOKUP($G237, SeanRanks26!$A$2:$H$303, 6, FALSE)</f>
        <v/>
      </c>
      <c r="K237" s="11" t="str">
        <f>VLOOKUP($G237, SeanRanks26!$A$2:$H$303, 7, FALSE)</f>
        <v/>
      </c>
      <c r="L237" s="11">
        <f t="shared" si="5"/>
        <v>19</v>
      </c>
      <c r="M237" s="11">
        <f>VLOOKUP($G237, '26 ADP Data'!$C$4:$Q$298, 10, FALSE)</f>
        <v>216</v>
      </c>
      <c r="N237" s="11">
        <f>VLOOKUP($G237, '26 ADP Data'!$C$4:$Q$298, 13, FALSE)</f>
        <v>199</v>
      </c>
      <c r="O237" s="11">
        <f t="shared" si="6"/>
        <v>17</v>
      </c>
      <c r="P237" s="11" t="str">
        <f>VLOOKUP($G237, '26 ADP Data'!$C$4:$Q$298, 3, FALSE)</f>
        <v>-</v>
      </c>
      <c r="Q237" s="11" t="str">
        <f>VLOOKUP($G237, '26 ADP Data'!$C$4:$Q$298, 4, FALSE)</f>
        <v>-</v>
      </c>
      <c r="R237" s="11">
        <f>VLOOKUP($G237, '26 ADP Data'!$C$4:$Q$298, 6, FALSE)</f>
        <v>207</v>
      </c>
      <c r="S237" s="11">
        <f>VLOOKUP($G237, '26 ADP Data'!$C$4:$Q$298, 9, FALSE)</f>
        <v>239</v>
      </c>
      <c r="T237" s="11" t="str">
        <f>VLOOKUP($G237, '26 ADP Data'!$C$4:$Q$298, 8, FALSE)</f>
        <v>-</v>
      </c>
      <c r="U237" s="11">
        <f t="shared" si="7"/>
        <v>215</v>
      </c>
      <c r="V237" s="11">
        <f t="shared" si="8"/>
        <v>18</v>
      </c>
      <c r="W237" s="11"/>
      <c r="X237" s="11">
        <f>VLOOKUP($G237, SeanRanks26!$A$2:$K$303, 10, FALSE)-U237</f>
        <v>1</v>
      </c>
      <c r="Y237" s="29" t="str">
        <f>IF(VLOOKUP($G237, SeanRanks26!$A$2:$H$303, 8, FALSE)=0, "", VLOOKUP($G237, SeanRanks26!$A$2:$H$303, 8, FALSE))</f>
        <v/>
      </c>
    </row>
    <row r="238" ht="14.25" customHeight="1">
      <c r="A238" s="11"/>
      <c r="B238" s="11">
        <f t="shared" si="11"/>
        <v>18</v>
      </c>
      <c r="C238" s="11" t="s">
        <v>106</v>
      </c>
      <c r="D238" s="11"/>
      <c r="E238" s="27"/>
      <c r="F238" s="11" t="str">
        <f>VLOOKUP($G238, SeanRanks26!$A$2:$H$303, 5, FALSE)</f>
        <v/>
      </c>
      <c r="G238" s="16" t="s">
        <v>609</v>
      </c>
      <c r="H238" s="11" t="str">
        <f>VLOOKUP($G238, '26 ADP Data'!$C$4:$Q$298, 2, FALSE)</f>
        <v>MIN</v>
      </c>
      <c r="I238" s="11" t="str">
        <f>VLOOKUP(G238, '26 ADP Data'!$C$4:$R$496, 16, FALSE)</f>
        <v>RB</v>
      </c>
      <c r="J238" s="11" t="str">
        <f>VLOOKUP($G238, SeanRanks26!$A$2:$H$303, 6, FALSE)</f>
        <v/>
      </c>
      <c r="K238" s="11" t="str">
        <f>VLOOKUP($G238, SeanRanks26!$A$2:$H$303, 7, FALSE)</f>
        <v/>
      </c>
      <c r="L238" s="11">
        <f t="shared" si="5"/>
        <v>18</v>
      </c>
      <c r="M238" s="11">
        <f>VLOOKUP($G238, '26 ADP Data'!$C$4:$Q$298, 10, FALSE)</f>
        <v>207</v>
      </c>
      <c r="N238" s="11">
        <f>VLOOKUP($G238, '26 ADP Data'!$C$4:$Q$298, 13, FALSE)</f>
        <v>243</v>
      </c>
      <c r="O238" s="11">
        <f t="shared" si="6"/>
        <v>-36</v>
      </c>
      <c r="P238" s="11" t="str">
        <f>VLOOKUP($G238, '26 ADP Data'!$C$4:$Q$298, 3, FALSE)</f>
        <v>-</v>
      </c>
      <c r="Q238" s="11" t="str">
        <f>VLOOKUP($G238, '26 ADP Data'!$C$4:$Q$298, 4, FALSE)</f>
        <v>-</v>
      </c>
      <c r="R238" s="11">
        <f>VLOOKUP($G238, '26 ADP Data'!$C$4:$Q$298, 6, FALSE)</f>
        <v>193</v>
      </c>
      <c r="S238" s="11">
        <f>VLOOKUP($G238, '26 ADP Data'!$C$4:$Q$298, 9, FALSE)</f>
        <v>226</v>
      </c>
      <c r="T238" s="11" t="str">
        <f>VLOOKUP($G238, '26 ADP Data'!$C$4:$Q$298, 8, FALSE)</f>
        <v>-</v>
      </c>
      <c r="U238" s="11">
        <f t="shared" si="7"/>
        <v>217</v>
      </c>
      <c r="V238" s="11">
        <f t="shared" si="8"/>
        <v>19</v>
      </c>
      <c r="W238" s="11"/>
      <c r="X238" s="11">
        <f>VLOOKUP($G238, SeanRanks26!$A$2:$K$303, 10, FALSE)-U238</f>
        <v>-10</v>
      </c>
      <c r="Y238" s="29" t="str">
        <f>IF(VLOOKUP($G238, SeanRanks26!$A$2:$H$303, 8, FALSE)=0, "", VLOOKUP($G238, SeanRanks26!$A$2:$H$303, 8, FALSE))</f>
        <v>Rookie R6 Wake Forest</v>
      </c>
    </row>
    <row r="239" ht="14.25" customHeight="1">
      <c r="A239" s="11"/>
      <c r="B239" s="11">
        <f t="shared" si="11"/>
        <v>18</v>
      </c>
      <c r="C239" s="11" t="s">
        <v>106</v>
      </c>
      <c r="D239" s="11"/>
      <c r="E239" s="27"/>
      <c r="F239" s="11" t="str">
        <f>VLOOKUP($G239, SeanRanks26!$A$2:$H$303, 5, FALSE)</f>
        <v/>
      </c>
      <c r="G239" s="16" t="s">
        <v>540</v>
      </c>
      <c r="H239" s="11" t="str">
        <f>VLOOKUP($G239, '26 ADP Data'!$C$4:$Q$298, 2, FALSE)</f>
        <v>LAC</v>
      </c>
      <c r="I239" s="11" t="str">
        <f>VLOOKUP(G239, '26 ADP Data'!$C$4:$R$496, 16, FALSE)</f>
        <v>RB</v>
      </c>
      <c r="J239" s="11" t="str">
        <f>VLOOKUP($G239, SeanRanks26!$A$2:$H$303, 6, FALSE)</f>
        <v/>
      </c>
      <c r="K239" s="11" t="str">
        <f>VLOOKUP($G239, SeanRanks26!$A$2:$H$303, 7, FALSE)</f>
        <v/>
      </c>
      <c r="L239" s="11">
        <f t="shared" si="5"/>
        <v>21</v>
      </c>
      <c r="M239" s="11">
        <f>VLOOKUP($G239, '26 ADP Data'!$C$4:$Q$298, 10, FALSE)</f>
        <v>248</v>
      </c>
      <c r="N239" s="11">
        <f>VLOOKUP($G239, '26 ADP Data'!$C$4:$Q$298, 13, FALSE)</f>
        <v>211</v>
      </c>
      <c r="O239" s="11">
        <f t="shared" si="6"/>
        <v>37</v>
      </c>
      <c r="P239" s="11" t="str">
        <f>VLOOKUP($G239, '26 ADP Data'!$C$4:$Q$298, 3, FALSE)</f>
        <v>-</v>
      </c>
      <c r="Q239" s="11" t="str">
        <f>VLOOKUP($G239, '26 ADP Data'!$C$4:$Q$298, 4, FALSE)</f>
        <v>-</v>
      </c>
      <c r="R239" s="11">
        <f>VLOOKUP($G239, '26 ADP Data'!$C$4:$Q$298, 6, FALSE)</f>
        <v>184</v>
      </c>
      <c r="S239" s="11">
        <f>VLOOKUP($G239, '26 ADP Data'!$C$4:$Q$298, 9, FALSE)</f>
        <v>227</v>
      </c>
      <c r="T239" s="11" t="str">
        <f>VLOOKUP($G239, '26 ADP Data'!$C$4:$Q$298, 8, FALSE)</f>
        <v>-</v>
      </c>
      <c r="U239" s="11">
        <f t="shared" si="7"/>
        <v>217</v>
      </c>
      <c r="V239" s="11">
        <f t="shared" si="8"/>
        <v>19</v>
      </c>
      <c r="W239" s="11"/>
      <c r="X239" s="11">
        <f>VLOOKUP($G239, SeanRanks26!$A$2:$K$303, 10, FALSE)-U239</f>
        <v>31</v>
      </c>
      <c r="Y239" s="29" t="str">
        <f>IF(VLOOKUP($G239, SeanRanks26!$A$2:$H$303, 8, FALSE)=0, "", VLOOKUP($G239, SeanRanks26!$A$2:$H$303, 8, FALSE))</f>
        <v/>
      </c>
    </row>
    <row r="240" ht="14.25" customHeight="1">
      <c r="A240" s="11"/>
      <c r="B240" s="11">
        <f t="shared" si="11"/>
        <v>19</v>
      </c>
      <c r="C240" s="11" t="s">
        <v>106</v>
      </c>
      <c r="D240" s="11"/>
      <c r="E240" s="27"/>
      <c r="F240" s="11" t="str">
        <f>VLOOKUP($G240, SeanRanks26!$A$2:$H$303, 5, FALSE)</f>
        <v/>
      </c>
      <c r="G240" s="16" t="s">
        <v>606</v>
      </c>
      <c r="H240" s="11" t="str">
        <f>VLOOKUP($G240, '26 ADP Data'!$C$4:$Q$298, 2, FALSE)</f>
        <v>BAL</v>
      </c>
      <c r="I240" s="11" t="str">
        <f>VLOOKUP(G240, '26 ADP Data'!$C$4:$R$496, 16, FALSE)</f>
        <v>RB</v>
      </c>
      <c r="J240" s="11" t="str">
        <f>VLOOKUP($G240, SeanRanks26!$A$2:$H$303, 6, FALSE)</f>
        <v/>
      </c>
      <c r="K240" s="11" t="str">
        <f>VLOOKUP($G240, SeanRanks26!$A$2:$H$303, 7, FALSE)</f>
        <v/>
      </c>
      <c r="L240" s="11">
        <f t="shared" si="5"/>
        <v>16</v>
      </c>
      <c r="M240" s="11" t="str">
        <f>VLOOKUP($G240, '26 ADP Data'!$C$4:$Q$298, 10, FALSE)</f>
        <v>-</v>
      </c>
      <c r="N240" s="11">
        <f>VLOOKUP($G240, '26 ADP Data'!$C$4:$Q$298, 13, FALSE)</f>
        <v>220</v>
      </c>
      <c r="O240" s="11" t="str">
        <f t="shared" si="6"/>
        <v>#VALUE!</v>
      </c>
      <c r="P240" s="11" t="str">
        <f>VLOOKUP($G240, '26 ADP Data'!$C$4:$Q$298, 3, FALSE)</f>
        <v>-</v>
      </c>
      <c r="Q240" s="11" t="str">
        <f>VLOOKUP($G240, '26 ADP Data'!$C$4:$Q$298, 4, FALSE)</f>
        <v>-</v>
      </c>
      <c r="R240" s="11">
        <f>VLOOKUP($G240, '26 ADP Data'!$C$4:$Q$298, 6, FALSE)</f>
        <v>182</v>
      </c>
      <c r="S240" s="11">
        <f>VLOOKUP($G240, '26 ADP Data'!$C$4:$Q$298, 9, FALSE)</f>
        <v>258</v>
      </c>
      <c r="T240" s="11" t="str">
        <f>VLOOKUP($G240, '26 ADP Data'!$C$4:$Q$298, 8, FALSE)</f>
        <v>-</v>
      </c>
      <c r="U240" s="11">
        <f t="shared" si="7"/>
        <v>220</v>
      </c>
      <c r="V240" s="11">
        <f t="shared" si="8"/>
        <v>19</v>
      </c>
      <c r="W240" s="11"/>
      <c r="X240" s="11" t="str">
        <f>VLOOKUP($G240, SeanRanks26!$A$2:$K$303, 10, FALSE)-U240</f>
        <v>#VALUE!</v>
      </c>
      <c r="Y240" s="29" t="str">
        <f>IF(VLOOKUP($G240, SeanRanks26!$A$2:$H$303, 8, FALSE)=0, "", VLOOKUP($G240, SeanRanks26!$A$2:$H$303, 8, FALSE))</f>
        <v/>
      </c>
    </row>
    <row r="241" ht="14.25" customHeight="1">
      <c r="A241" s="11"/>
      <c r="B241" s="11">
        <f t="shared" si="11"/>
        <v>19</v>
      </c>
      <c r="C241" s="11" t="s">
        <v>106</v>
      </c>
      <c r="D241" s="11"/>
      <c r="E241" s="27"/>
      <c r="F241" s="11" t="str">
        <f>VLOOKUP($G241, SeanRanks26!$A$2:$H$303, 5, FALSE)</f>
        <v/>
      </c>
      <c r="G241" s="16" t="s">
        <v>458</v>
      </c>
      <c r="H241" s="11" t="str">
        <f>VLOOKUP($G241, '26 ADP Data'!$C$4:$Q$298, 2, FALSE)</f>
        <v>SEA</v>
      </c>
      <c r="I241" s="11" t="str">
        <f>VLOOKUP(G241, '26 ADP Data'!$C$4:$R$496, 16, FALSE)</f>
        <v>WR</v>
      </c>
      <c r="J241" s="11" t="str">
        <f>VLOOKUP($G241, SeanRanks26!$A$2:$H$303, 6, FALSE)</f>
        <v/>
      </c>
      <c r="K241" s="11" t="str">
        <f>VLOOKUP($G241, SeanRanks26!$A$2:$H$303, 7, FALSE)</f>
        <v/>
      </c>
      <c r="L241" s="11">
        <f t="shared" si="5"/>
        <v>21</v>
      </c>
      <c r="M241" s="11">
        <f>VLOOKUP($G241, '26 ADP Data'!$C$4:$Q$298, 10, FALSE)</f>
        <v>240</v>
      </c>
      <c r="N241" s="11">
        <f>VLOOKUP($G241, '26 ADP Data'!$C$4:$Q$298, 13, FALSE)</f>
        <v>216</v>
      </c>
      <c r="O241" s="11">
        <f t="shared" si="6"/>
        <v>24</v>
      </c>
      <c r="P241" s="11">
        <f>VLOOKUP($G241, '26 ADP Data'!$C$4:$Q$298, 3, FALSE)</f>
        <v>199</v>
      </c>
      <c r="Q241" s="11">
        <f>VLOOKUP($G241, '26 ADP Data'!$C$4:$Q$298, 4, FALSE)</f>
        <v>199</v>
      </c>
      <c r="R241" s="11">
        <f>VLOOKUP($G241, '26 ADP Data'!$C$4:$Q$298, 6, FALSE)</f>
        <v>240</v>
      </c>
      <c r="S241" s="11">
        <f>VLOOKUP($G241, '26 ADP Data'!$C$4:$Q$298, 9, FALSE)</f>
        <v>236</v>
      </c>
      <c r="T241" s="11" t="str">
        <f>VLOOKUP($G241, '26 ADP Data'!$C$4:$Q$298, 8, FALSE)</f>
        <v>-</v>
      </c>
      <c r="U241" s="11">
        <f t="shared" si="7"/>
        <v>221</v>
      </c>
      <c r="V241" s="11">
        <f t="shared" si="8"/>
        <v>19</v>
      </c>
      <c r="W241" s="11"/>
      <c r="X241" s="11">
        <f>VLOOKUP($G241, SeanRanks26!$A$2:$K$303, 10, FALSE)-U241</f>
        <v>19</v>
      </c>
      <c r="Y241" s="29" t="str">
        <f>IF(VLOOKUP($G241, SeanRanks26!$A$2:$H$303, 8, FALSE)=0, "", VLOOKUP($G241, SeanRanks26!$A$2:$H$303, 8, FALSE))</f>
        <v/>
      </c>
    </row>
    <row r="242" ht="14.25" customHeight="1">
      <c r="A242" s="11"/>
      <c r="B242" s="11">
        <f t="shared" si="11"/>
        <v>19</v>
      </c>
      <c r="C242" s="11" t="s">
        <v>106</v>
      </c>
      <c r="D242" s="11"/>
      <c r="E242" s="27"/>
      <c r="F242" s="11" t="str">
        <f>VLOOKUP($G242, SeanRanks26!$A$2:$H$303, 5, FALSE)</f>
        <v/>
      </c>
      <c r="G242" s="16" t="s">
        <v>570</v>
      </c>
      <c r="H242" s="11" t="str">
        <f>VLOOKUP($G242, '26 ADP Data'!$C$4:$Q$298, 2, FALSE)</f>
        <v>TB</v>
      </c>
      <c r="I242" s="11" t="str">
        <f>VLOOKUP(G242, '26 ADP Data'!$C$4:$R$496, 16, FALSE)</f>
        <v>WR</v>
      </c>
      <c r="J242" s="11" t="str">
        <f>VLOOKUP($G242, SeanRanks26!$A$2:$H$303, 6, FALSE)</f>
        <v>WR5</v>
      </c>
      <c r="K242" s="11">
        <f>VLOOKUP($G242, SeanRanks26!$A$2:$H$303, 7, FALSE)</f>
        <v>69</v>
      </c>
      <c r="L242" s="11">
        <f t="shared" si="5"/>
        <v>21</v>
      </c>
      <c r="M242" s="11">
        <f>VLOOKUP($G242, '26 ADP Data'!$C$4:$Q$298, 10, FALSE)</f>
        <v>244</v>
      </c>
      <c r="N242" s="11">
        <f>VLOOKUP($G242, '26 ADP Data'!$C$4:$Q$298, 13, FALSE)</f>
        <v>201</v>
      </c>
      <c r="O242" s="11">
        <f t="shared" si="6"/>
        <v>43</v>
      </c>
      <c r="P242" s="11" t="str">
        <f>VLOOKUP($G242, '26 ADP Data'!$C$4:$Q$298, 3, FALSE)</f>
        <v>-</v>
      </c>
      <c r="Q242" s="11" t="str">
        <f>VLOOKUP($G242, '26 ADP Data'!$C$4:$Q$298, 4, FALSE)</f>
        <v>-</v>
      </c>
      <c r="R242" s="11">
        <f>VLOOKUP($G242, '26 ADP Data'!$C$4:$Q$298, 6, FALSE)</f>
        <v>217</v>
      </c>
      <c r="S242" s="11">
        <f>VLOOKUP($G242, '26 ADP Data'!$C$4:$Q$298, 9, FALSE)</f>
        <v>225</v>
      </c>
      <c r="T242" s="11" t="str">
        <f>VLOOKUP($G242, '26 ADP Data'!$C$4:$Q$298, 8, FALSE)</f>
        <v>-</v>
      </c>
      <c r="U242" s="11">
        <f t="shared" si="7"/>
        <v>221</v>
      </c>
      <c r="V242" s="11">
        <f t="shared" si="8"/>
        <v>19</v>
      </c>
      <c r="W242" s="11"/>
      <c r="X242" s="11">
        <f>VLOOKUP($G242, SeanRanks26!$A$2:$K$303, 10, FALSE)-U242</f>
        <v>23</v>
      </c>
      <c r="Y242" s="29" t="str">
        <f>IF(VLOOKUP($G242, SeanRanks26!$A$2:$H$303, 8, FALSE)=0, "", VLOOKUP($G242, SeanRanks26!$A$2:$H$303, 8, FALSE))</f>
        <v>Rookie R3 Georgia State</v>
      </c>
    </row>
    <row r="243" ht="14.25" customHeight="1">
      <c r="A243" s="11"/>
      <c r="B243" s="11">
        <f t="shared" si="11"/>
        <v>18</v>
      </c>
      <c r="C243" s="11" t="s">
        <v>106</v>
      </c>
      <c r="D243" s="11"/>
      <c r="E243" s="27"/>
      <c r="F243" s="11" t="str">
        <f>VLOOKUP($G243, SeanRanks26!$A$2:$H$303, 5, FALSE)</f>
        <v>#N/A</v>
      </c>
      <c r="G243" s="16" t="s">
        <v>668</v>
      </c>
      <c r="H243" s="11" t="str">
        <f>VLOOKUP($G243, '26 ADP Data'!$C$4:$Q$298, 2, FALSE)</f>
        <v>PIT</v>
      </c>
      <c r="I243" s="11" t="str">
        <f>VLOOKUP(G243, '26 ADP Data'!$C$4:$R$496, 16, FALSE)</f>
        <v>K-</v>
      </c>
      <c r="J243" s="11" t="str">
        <f>VLOOKUP($G243, SeanRanks26!$A$2:$H$303, 6, FALSE)</f>
        <v>#N/A</v>
      </c>
      <c r="K243" s="11" t="str">
        <f>VLOOKUP($G243, SeanRanks26!$A$2:$H$303, 7, FALSE)</f>
        <v>#N/A</v>
      </c>
      <c r="L243" s="11">
        <f t="shared" si="5"/>
        <v>21</v>
      </c>
      <c r="M243" s="11">
        <f>VLOOKUP($G243, '26 ADP Data'!$C$4:$Q$298, 10, FALSE)</f>
        <v>249</v>
      </c>
      <c r="N243" s="11" t="str">
        <f>VLOOKUP($G243, '26 ADP Data'!$C$4:$Q$298, 13, FALSE)</f>
        <v>-</v>
      </c>
      <c r="O243" s="11" t="str">
        <f t="shared" si="6"/>
        <v>#VALUE!</v>
      </c>
      <c r="P243" s="11" t="str">
        <f>VLOOKUP($G243, '26 ADP Data'!$C$4:$Q$298, 3, FALSE)</f>
        <v>-</v>
      </c>
      <c r="Q243" s="11">
        <f>VLOOKUP($G243, '26 ADP Data'!$C$4:$Q$298, 4, FALSE)</f>
        <v>167</v>
      </c>
      <c r="R243" s="11">
        <f>VLOOKUP($G243, '26 ADP Data'!$C$4:$Q$298, 6, FALSE)</f>
        <v>284</v>
      </c>
      <c r="S243" s="11">
        <f>VLOOKUP($G243, '26 ADP Data'!$C$4:$Q$298, 9, FALSE)</f>
        <v>185</v>
      </c>
      <c r="T243" s="11" t="str">
        <f>VLOOKUP($G243, '26 ADP Data'!$C$4:$Q$298, 8, FALSE)</f>
        <v>-</v>
      </c>
      <c r="U243" s="11">
        <f t="shared" si="7"/>
        <v>221</v>
      </c>
      <c r="V243" s="11">
        <f t="shared" si="8"/>
        <v>19</v>
      </c>
      <c r="W243" s="11"/>
      <c r="X243" s="11" t="str">
        <f>VLOOKUP($G243, SeanRanks26!$A$2:$K$303, 10, FALSE)-U243</f>
        <v>#N/A</v>
      </c>
      <c r="Y243" s="29" t="str">
        <f>IF(VLOOKUP($G243, SeanRanks26!$A$2:$H$303, 8, FALSE)=0, "", VLOOKUP($G243, SeanRanks26!$A$2:$H$303, 8, FALSE))</f>
        <v>#N/A</v>
      </c>
    </row>
    <row r="244" ht="14.25" customHeight="1">
      <c r="A244" s="11"/>
      <c r="B244" s="11">
        <f t="shared" si="11"/>
        <v>20</v>
      </c>
      <c r="C244" s="11" t="s">
        <v>106</v>
      </c>
      <c r="D244" s="11"/>
      <c r="E244" s="27"/>
      <c r="F244" s="11" t="str">
        <f>VLOOKUP($G244, SeanRanks26!$A$2:$H$303, 5, FALSE)</f>
        <v/>
      </c>
      <c r="G244" s="16" t="s">
        <v>623</v>
      </c>
      <c r="H244" s="11" t="str">
        <f>VLOOKUP($G244, '26 ADP Data'!$C$4:$Q$298, 2, FALSE)</f>
        <v>NYJ</v>
      </c>
      <c r="I244" s="11" t="str">
        <f>VLOOKUP(G244, '26 ADP Data'!$C$4:$R$496, 16, FALSE)</f>
        <v>QB</v>
      </c>
      <c r="J244" s="11" t="str">
        <f>VLOOKUP($G244, SeanRanks26!$A$2:$H$303, 6, FALSE)</f>
        <v/>
      </c>
      <c r="K244" s="11" t="str">
        <f>VLOOKUP($G244, SeanRanks26!$A$2:$H$303, 7, FALSE)</f>
        <v/>
      </c>
      <c r="L244" s="11">
        <f t="shared" si="5"/>
        <v>16</v>
      </c>
      <c r="M244" s="11" t="str">
        <f>VLOOKUP($G244, '26 ADP Data'!$C$4:$Q$298, 10, FALSE)</f>
        <v>-</v>
      </c>
      <c r="N244" s="11">
        <f>VLOOKUP($G244, '26 ADP Data'!$C$4:$Q$298, 13, FALSE)</f>
        <v>192</v>
      </c>
      <c r="O244" s="11" t="str">
        <f t="shared" si="6"/>
        <v>#VALUE!</v>
      </c>
      <c r="P244" s="11" t="str">
        <f>VLOOKUP($G244, '26 ADP Data'!$C$4:$Q$298, 3, FALSE)</f>
        <v>-</v>
      </c>
      <c r="Q244" s="11" t="str">
        <f>VLOOKUP($G244, '26 ADP Data'!$C$4:$Q$298, 4, FALSE)</f>
        <v>-</v>
      </c>
      <c r="R244" s="11">
        <f>VLOOKUP($G244, '26 ADP Data'!$C$4:$Q$298, 6, FALSE)</f>
        <v>223</v>
      </c>
      <c r="S244" s="11">
        <f>VLOOKUP($G244, '26 ADP Data'!$C$4:$Q$298, 9, FALSE)</f>
        <v>248</v>
      </c>
      <c r="T244" s="11" t="str">
        <f>VLOOKUP($G244, '26 ADP Data'!$C$4:$Q$298, 8, FALSE)</f>
        <v>-</v>
      </c>
      <c r="U244" s="11">
        <f t="shared" si="7"/>
        <v>221</v>
      </c>
      <c r="V244" s="11">
        <f t="shared" si="8"/>
        <v>19</v>
      </c>
      <c r="W244" s="11"/>
      <c r="X244" s="11" t="str">
        <f>VLOOKUP($G244, SeanRanks26!$A$2:$K$303, 10, FALSE)-U244</f>
        <v>#VALUE!</v>
      </c>
      <c r="Y244" s="29" t="str">
        <f>IF(VLOOKUP($G244, SeanRanks26!$A$2:$H$303, 8, FALSE)=0, "", VLOOKUP($G244, SeanRanks26!$A$2:$H$303, 8, FALSE))</f>
        <v/>
      </c>
    </row>
    <row r="245" ht="14.25" customHeight="1">
      <c r="A245" s="11"/>
      <c r="B245" s="11">
        <f t="shared" si="11"/>
        <v>19</v>
      </c>
      <c r="C245" s="11" t="s">
        <v>106</v>
      </c>
      <c r="D245" s="11"/>
      <c r="E245" s="27"/>
      <c r="F245" s="11" t="str">
        <f>VLOOKUP($G245, SeanRanks26!$A$2:$H$303, 5, FALSE)</f>
        <v>#N/A</v>
      </c>
      <c r="G245" s="16" t="s">
        <v>620</v>
      </c>
      <c r="H245" s="11" t="str">
        <f>VLOOKUP($G245, '26 ADP Data'!$C$4:$Q$298, 2, FALSE)</f>
        <v>CIN</v>
      </c>
      <c r="I245" s="11" t="str">
        <f>VLOOKUP(G245, '26 ADP Data'!$C$4:$R$496, 16, FALSE)</f>
        <v>K-</v>
      </c>
      <c r="J245" s="11" t="str">
        <f>VLOOKUP($G245, SeanRanks26!$A$2:$H$303, 6, FALSE)</f>
        <v>#N/A</v>
      </c>
      <c r="K245" s="11" t="str">
        <f>VLOOKUP($G245, SeanRanks26!$A$2:$H$303, 7, FALSE)</f>
        <v>#N/A</v>
      </c>
      <c r="L245" s="11">
        <f t="shared" si="5"/>
        <v>19</v>
      </c>
      <c r="M245" s="11">
        <f>VLOOKUP($G245, '26 ADP Data'!$C$4:$Q$298, 10, FALSE)</f>
        <v>221</v>
      </c>
      <c r="N245" s="11" t="str">
        <f>VLOOKUP($G245, '26 ADP Data'!$C$4:$Q$298, 13, FALSE)</f>
        <v>-</v>
      </c>
      <c r="O245" s="11" t="str">
        <f t="shared" si="6"/>
        <v>#VALUE!</v>
      </c>
      <c r="P245" s="11">
        <f>VLOOKUP($G245, '26 ADP Data'!$C$4:$Q$298, 3, FALSE)</f>
        <v>204</v>
      </c>
      <c r="Q245" s="11">
        <f>VLOOKUP($G245, '26 ADP Data'!$C$4:$Q$298, 4, FALSE)</f>
        <v>204</v>
      </c>
      <c r="R245" s="11">
        <f>VLOOKUP($G245, '26 ADP Data'!$C$4:$Q$298, 6, FALSE)</f>
        <v>267</v>
      </c>
      <c r="S245" s="11">
        <f>VLOOKUP($G245, '26 ADP Data'!$C$4:$Q$298, 9, FALSE)</f>
        <v>214</v>
      </c>
      <c r="T245" s="11" t="str">
        <f>VLOOKUP($G245, '26 ADP Data'!$C$4:$Q$298, 8, FALSE)</f>
        <v>-</v>
      </c>
      <c r="U245" s="11">
        <f t="shared" si="7"/>
        <v>222</v>
      </c>
      <c r="V245" s="11">
        <f t="shared" si="8"/>
        <v>19</v>
      </c>
      <c r="W245" s="11"/>
      <c r="X245" s="11" t="str">
        <f>VLOOKUP($G245, SeanRanks26!$A$2:$K$303, 10, FALSE)-U245</f>
        <v>#N/A</v>
      </c>
      <c r="Y245" s="29" t="str">
        <f>IF(VLOOKUP($G245, SeanRanks26!$A$2:$H$303, 8, FALSE)=0, "", VLOOKUP($G245, SeanRanks26!$A$2:$H$303, 8, FALSE))</f>
        <v>#N/A</v>
      </c>
    </row>
    <row r="246" ht="14.25" customHeight="1">
      <c r="A246" s="11"/>
      <c r="B246" s="11">
        <f t="shared" si="11"/>
        <v>19</v>
      </c>
      <c r="C246" s="11" t="s">
        <v>106</v>
      </c>
      <c r="D246" s="11"/>
      <c r="E246" s="27"/>
      <c r="F246" s="11" t="str">
        <f>VLOOKUP($G246, SeanRanks26!$A$2:$H$303, 5, FALSE)</f>
        <v/>
      </c>
      <c r="G246" s="16" t="s">
        <v>564</v>
      </c>
      <c r="H246" s="11" t="str">
        <f>VLOOKUP($G246, '26 ADP Data'!$C$4:$Q$298, 2, FALSE)</f>
        <v>GB</v>
      </c>
      <c r="I246" s="11" t="str">
        <f>VLOOKUP(G246, '26 ADP Data'!$C$4:$R$496, 16, FALSE)</f>
        <v>DE</v>
      </c>
      <c r="J246" s="11" t="str">
        <f>VLOOKUP($G246, SeanRanks26!$A$2:$H$303, 6, FALSE)</f>
        <v/>
      </c>
      <c r="K246" s="11" t="str">
        <f>VLOOKUP($G246, SeanRanks26!$A$2:$H$303, 7, FALSE)</f>
        <v/>
      </c>
      <c r="L246" s="11">
        <f t="shared" si="5"/>
        <v>20</v>
      </c>
      <c r="M246" s="11">
        <f>VLOOKUP($G246, '26 ADP Data'!$C$4:$Q$298, 10, FALSE)</f>
        <v>228</v>
      </c>
      <c r="N246" s="11" t="str">
        <f>VLOOKUP($G246, '26 ADP Data'!$C$4:$Q$298, 13, FALSE)</f>
        <v>-</v>
      </c>
      <c r="O246" s="11" t="str">
        <f t="shared" si="6"/>
        <v>#VALUE!</v>
      </c>
      <c r="P246" s="11">
        <f>VLOOKUP($G246, '26 ADP Data'!$C$4:$Q$298, 3, FALSE)</f>
        <v>207</v>
      </c>
      <c r="Q246" s="11">
        <f>VLOOKUP($G246, '26 ADP Data'!$C$4:$Q$298, 4, FALSE)</f>
        <v>193</v>
      </c>
      <c r="R246" s="11">
        <f>VLOOKUP($G246, '26 ADP Data'!$C$4:$Q$298, 6, FALSE)</f>
        <v>269</v>
      </c>
      <c r="S246" s="11">
        <f>VLOOKUP($G246, '26 ADP Data'!$C$4:$Q$298, 9, FALSE)</f>
        <v>213</v>
      </c>
      <c r="T246" s="11" t="str">
        <f>VLOOKUP($G246, '26 ADP Data'!$C$4:$Q$298, 8, FALSE)</f>
        <v>-</v>
      </c>
      <c r="U246" s="11">
        <f t="shared" si="7"/>
        <v>222</v>
      </c>
      <c r="V246" s="11">
        <f t="shared" si="8"/>
        <v>19</v>
      </c>
      <c r="W246" s="11"/>
      <c r="X246" s="11">
        <f>VLOOKUP($G246, SeanRanks26!$A$2:$K$303, 10, FALSE)-U246</f>
        <v>6</v>
      </c>
      <c r="Y246" s="29" t="str">
        <f>IF(VLOOKUP($G246, SeanRanks26!$A$2:$H$303, 8, FALSE)=0, "", VLOOKUP($G246, SeanRanks26!$A$2:$H$303, 8, FALSE))</f>
        <v/>
      </c>
    </row>
    <row r="247" ht="14.25" customHeight="1">
      <c r="A247" s="11"/>
      <c r="B247" s="11">
        <f t="shared" si="11"/>
        <v>18</v>
      </c>
      <c r="C247" s="11" t="s">
        <v>106</v>
      </c>
      <c r="D247" s="11"/>
      <c r="E247" s="27"/>
      <c r="F247" s="11" t="str">
        <f>VLOOKUP($G247, SeanRanks26!$A$2:$H$303, 5, FALSE)</f>
        <v/>
      </c>
      <c r="G247" s="16" t="s">
        <v>498</v>
      </c>
      <c r="H247" s="11" t="str">
        <f>VLOOKUP($G247, '26 ADP Data'!$C$4:$Q$298, 2, FALSE)</f>
        <v>ARI</v>
      </c>
      <c r="I247" s="11" t="str">
        <f>VLOOKUP(G247, '26 ADP Data'!$C$4:$R$496, 16, FALSE)</f>
        <v>RB</v>
      </c>
      <c r="J247" s="11" t="str">
        <f>VLOOKUP($G247, SeanRanks26!$A$2:$H$303, 6, FALSE)</f>
        <v/>
      </c>
      <c r="K247" s="11" t="str">
        <f>VLOOKUP($G247, SeanRanks26!$A$2:$H$303, 7, FALSE)</f>
        <v/>
      </c>
      <c r="L247" s="11">
        <f t="shared" si="5"/>
        <v>20</v>
      </c>
      <c r="M247" s="11">
        <f>VLOOKUP($G247, '26 ADP Data'!$C$4:$Q$298, 10, FALSE)</f>
        <v>234</v>
      </c>
      <c r="N247" s="11">
        <f>VLOOKUP($G247, '26 ADP Data'!$C$4:$Q$298, 13, FALSE)</f>
        <v>245</v>
      </c>
      <c r="O247" s="11">
        <f t="shared" si="6"/>
        <v>-11</v>
      </c>
      <c r="P247" s="11">
        <f>VLOOKUP($G247, '26 ADP Data'!$C$4:$Q$298, 3, FALSE)</f>
        <v>209</v>
      </c>
      <c r="Q247" s="11" t="str">
        <f>VLOOKUP($G247, '26 ADP Data'!$C$4:$Q$298, 4, FALSE)</f>
        <v>-</v>
      </c>
      <c r="R247" s="11">
        <f>VLOOKUP($G247, '26 ADP Data'!$C$4:$Q$298, 6, FALSE)</f>
        <v>222</v>
      </c>
      <c r="S247" s="11">
        <f>VLOOKUP($G247, '26 ADP Data'!$C$4:$Q$298, 9, FALSE)</f>
        <v>200</v>
      </c>
      <c r="T247" s="11" t="str">
        <f>VLOOKUP($G247, '26 ADP Data'!$C$4:$Q$298, 8, FALSE)</f>
        <v>-</v>
      </c>
      <c r="U247" s="11">
        <f t="shared" si="7"/>
        <v>222</v>
      </c>
      <c r="V247" s="11">
        <f t="shared" si="8"/>
        <v>19</v>
      </c>
      <c r="W247" s="11"/>
      <c r="X247" s="11">
        <f>VLOOKUP($G247, SeanRanks26!$A$2:$K$303, 10, FALSE)-U247</f>
        <v>12</v>
      </c>
      <c r="Y247" s="29" t="str">
        <f>IF(VLOOKUP($G247, SeanRanks26!$A$2:$H$303, 8, FALSE)=0, "", VLOOKUP($G247, SeanRanks26!$A$2:$H$303, 8, FALSE))</f>
        <v/>
      </c>
    </row>
    <row r="248" ht="14.25" customHeight="1">
      <c r="A248" s="11"/>
      <c r="B248" s="11">
        <f t="shared" si="11"/>
        <v>19</v>
      </c>
      <c r="C248" s="11" t="s">
        <v>106</v>
      </c>
      <c r="D248" s="11"/>
      <c r="E248" s="27"/>
      <c r="F248" s="11" t="str">
        <f>VLOOKUP($G248, SeanRanks26!$A$2:$H$303, 5, FALSE)</f>
        <v>Yes</v>
      </c>
      <c r="G248" s="16" t="s">
        <v>568</v>
      </c>
      <c r="H248" s="11" t="str">
        <f>VLOOKUP($G248, '26 ADP Data'!$C$4:$Q$298, 2, FALSE)</f>
        <v>NYG</v>
      </c>
      <c r="I248" s="11" t="str">
        <f>VLOOKUP(G248, '26 ADP Data'!$C$4:$R$496, 16, FALSE)</f>
        <v>WR</v>
      </c>
      <c r="J248" s="11" t="str">
        <f>VLOOKUP($G248, SeanRanks26!$A$2:$H$303, 6, FALSE)</f>
        <v>WR5</v>
      </c>
      <c r="K248" s="11">
        <f>VLOOKUP($G248, SeanRanks26!$A$2:$H$303, 7, FALSE)</f>
        <v>65</v>
      </c>
      <c r="L248" s="11">
        <f t="shared" si="5"/>
        <v>21</v>
      </c>
      <c r="M248" s="11">
        <f>VLOOKUP($G248, '26 ADP Data'!$C$4:$Q$298, 10, FALSE)</f>
        <v>242</v>
      </c>
      <c r="N248" s="11">
        <f>VLOOKUP($G248, '26 ADP Data'!$C$4:$Q$298, 13, FALSE)</f>
        <v>194</v>
      </c>
      <c r="O248" s="11">
        <f t="shared" si="6"/>
        <v>48</v>
      </c>
      <c r="P248" s="11" t="str">
        <f>VLOOKUP($G248, '26 ADP Data'!$C$4:$Q$298, 3, FALSE)</f>
        <v>-</v>
      </c>
      <c r="Q248" s="11" t="str">
        <f>VLOOKUP($G248, '26 ADP Data'!$C$4:$Q$298, 4, FALSE)</f>
        <v>-</v>
      </c>
      <c r="R248" s="11">
        <f>VLOOKUP($G248, '26 ADP Data'!$C$4:$Q$298, 6, FALSE)</f>
        <v>211</v>
      </c>
      <c r="S248" s="11">
        <f>VLOOKUP($G248, '26 ADP Data'!$C$4:$Q$298, 9, FALSE)</f>
        <v>243</v>
      </c>
      <c r="T248" s="11" t="str">
        <f>VLOOKUP($G248, '26 ADP Data'!$C$4:$Q$298, 8, FALSE)</f>
        <v>-</v>
      </c>
      <c r="U248" s="11">
        <f t="shared" si="7"/>
        <v>222</v>
      </c>
      <c r="V248" s="11">
        <f t="shared" si="8"/>
        <v>19</v>
      </c>
      <c r="W248" s="11"/>
      <c r="X248" s="11">
        <f>VLOOKUP($G248, SeanRanks26!$A$2:$K$303, 10, FALSE)-U248</f>
        <v>20</v>
      </c>
      <c r="Y248" s="29" t="str">
        <f>IF(VLOOKUP($G248, SeanRanks26!$A$2:$H$303, 8, FALSE)=0, "", VLOOKUP($G248, SeanRanks26!$A$2:$H$303, 8, FALSE))</f>
        <v>Rookie R3 Notre Dame</v>
      </c>
    </row>
    <row r="249" ht="14.25" customHeight="1">
      <c r="A249" s="11"/>
      <c r="B249" s="11">
        <f t="shared" si="11"/>
        <v>19</v>
      </c>
      <c r="C249" s="11" t="s">
        <v>106</v>
      </c>
      <c r="D249" s="11"/>
      <c r="E249" s="27"/>
      <c r="F249" s="11" t="str">
        <f>VLOOKUP($G249, SeanRanks26!$A$2:$H$303, 5, FALSE)</f>
        <v/>
      </c>
      <c r="G249" s="16" t="s">
        <v>545</v>
      </c>
      <c r="H249" s="11" t="str">
        <f>VLOOKUP($G249, '26 ADP Data'!$C$4:$Q$298, 2, FALSE)</f>
        <v>DET</v>
      </c>
      <c r="I249" s="11" t="str">
        <f>VLOOKUP(G249, '26 ADP Data'!$C$4:$R$496, 16, FALSE)</f>
        <v>WR</v>
      </c>
      <c r="J249" s="11" t="str">
        <f>VLOOKUP($G249, SeanRanks26!$A$2:$H$303, 6, FALSE)</f>
        <v/>
      </c>
      <c r="K249" s="11" t="str">
        <f>VLOOKUP($G249, SeanRanks26!$A$2:$H$303, 7, FALSE)</f>
        <v/>
      </c>
      <c r="L249" s="11">
        <f t="shared" si="5"/>
        <v>21</v>
      </c>
      <c r="M249" s="11">
        <f>VLOOKUP($G249, '26 ADP Data'!$C$4:$Q$298, 10, FALSE)</f>
        <v>247</v>
      </c>
      <c r="N249" s="11">
        <f>VLOOKUP($G249, '26 ADP Data'!$C$4:$Q$298, 13, FALSE)</f>
        <v>202</v>
      </c>
      <c r="O249" s="11">
        <f t="shared" si="6"/>
        <v>45</v>
      </c>
      <c r="P249" s="11" t="str">
        <f>VLOOKUP($G249, '26 ADP Data'!$C$4:$Q$298, 3, FALSE)</f>
        <v>-</v>
      </c>
      <c r="Q249" s="11" t="str">
        <f>VLOOKUP($G249, '26 ADP Data'!$C$4:$Q$298, 4, FALSE)</f>
        <v>-</v>
      </c>
      <c r="R249" s="11">
        <f>VLOOKUP($G249, '26 ADP Data'!$C$4:$Q$298, 6, FALSE)</f>
        <v>233</v>
      </c>
      <c r="S249" s="11">
        <f>VLOOKUP($G249, '26 ADP Data'!$C$4:$Q$298, 9, FALSE)</f>
        <v>206</v>
      </c>
      <c r="T249" s="11" t="str">
        <f>VLOOKUP($G249, '26 ADP Data'!$C$4:$Q$298, 8, FALSE)</f>
        <v>-</v>
      </c>
      <c r="U249" s="11">
        <f t="shared" si="7"/>
        <v>222</v>
      </c>
      <c r="V249" s="11">
        <f t="shared" si="8"/>
        <v>19</v>
      </c>
      <c r="W249" s="11"/>
      <c r="X249" s="11">
        <f>VLOOKUP($G249, SeanRanks26!$A$2:$K$303, 10, FALSE)-U249</f>
        <v>25</v>
      </c>
      <c r="Y249" s="29" t="s">
        <v>806</v>
      </c>
    </row>
    <row r="250" ht="14.25" customHeight="1">
      <c r="A250" s="11"/>
      <c r="B250" s="11">
        <f t="shared" si="11"/>
        <v>19</v>
      </c>
      <c r="C250" s="11" t="s">
        <v>106</v>
      </c>
      <c r="D250" s="11"/>
      <c r="E250" s="27"/>
      <c r="F250" s="11" t="str">
        <f>VLOOKUP($G250, SeanRanks26!$A$2:$H$303, 5, FALSE)</f>
        <v/>
      </c>
      <c r="G250" s="16" t="s">
        <v>576</v>
      </c>
      <c r="H250" s="11" t="str">
        <f>VLOOKUP($G250, '26 ADP Data'!$C$4:$Q$298, 2, FALSE)</f>
        <v>SF</v>
      </c>
      <c r="I250" s="11" t="str">
        <f>VLOOKUP(G250, '26 ADP Data'!$C$4:$R$496, 16, FALSE)</f>
        <v>RB</v>
      </c>
      <c r="J250" s="11" t="str">
        <f>VLOOKUP($G250, SeanRanks26!$A$2:$H$303, 6, FALSE)</f>
        <v/>
      </c>
      <c r="K250" s="11" t="str">
        <f>VLOOKUP($G250, SeanRanks26!$A$2:$H$303, 7, FALSE)</f>
        <v/>
      </c>
      <c r="L250" s="11">
        <f t="shared" si="5"/>
        <v>16</v>
      </c>
      <c r="M250" s="11" t="str">
        <f>VLOOKUP($G250, '26 ADP Data'!$C$4:$Q$298, 10, FALSE)</f>
        <v>-</v>
      </c>
      <c r="N250" s="11">
        <f>VLOOKUP($G250, '26 ADP Data'!$C$4:$Q$298, 13, FALSE)</f>
        <v>228</v>
      </c>
      <c r="O250" s="11" t="str">
        <f t="shared" si="6"/>
        <v>#VALUE!</v>
      </c>
      <c r="P250" s="11">
        <f>VLOOKUP($G250, '26 ADP Data'!$C$4:$Q$298, 3, FALSE)</f>
        <v>195</v>
      </c>
      <c r="Q250" s="11" t="str">
        <f>VLOOKUP($G250, '26 ADP Data'!$C$4:$Q$298, 4, FALSE)</f>
        <v>-</v>
      </c>
      <c r="R250" s="11">
        <f>VLOOKUP($G250, '26 ADP Data'!$C$4:$Q$298, 6, FALSE)</f>
        <v>197</v>
      </c>
      <c r="S250" s="11">
        <f>VLOOKUP($G250, '26 ADP Data'!$C$4:$Q$298, 9, FALSE)</f>
        <v>268</v>
      </c>
      <c r="T250" s="11" t="str">
        <f>VLOOKUP($G250, '26 ADP Data'!$C$4:$Q$298, 8, FALSE)</f>
        <v>-</v>
      </c>
      <c r="U250" s="11">
        <f t="shared" si="7"/>
        <v>222</v>
      </c>
      <c r="V250" s="11">
        <f t="shared" si="8"/>
        <v>19</v>
      </c>
      <c r="W250" s="11"/>
      <c r="X250" s="11" t="str">
        <f>VLOOKUP($G250, SeanRanks26!$A$2:$K$303, 10, FALSE)-U250</f>
        <v>#VALUE!</v>
      </c>
      <c r="Y250" s="29" t="str">
        <f>IF(VLOOKUP($G250, SeanRanks26!$A$2:$H$303, 8, FALSE)=0, "", VLOOKUP($G250, SeanRanks26!$A$2:$H$303, 8, FALSE))</f>
        <v>2025 Rookie R5</v>
      </c>
    </row>
    <row r="251" ht="14.25" customHeight="1">
      <c r="A251" s="11"/>
      <c r="B251" s="11">
        <f t="shared" si="11"/>
        <v>19</v>
      </c>
      <c r="C251" s="11" t="s">
        <v>106</v>
      </c>
      <c r="D251" s="11"/>
      <c r="E251" s="27"/>
      <c r="F251" s="11" t="str">
        <f>VLOOKUP($G251, SeanRanks26!$A$2:$H$303, 5, FALSE)</f>
        <v/>
      </c>
      <c r="G251" s="16" t="s">
        <v>572</v>
      </c>
      <c r="H251" s="11" t="str">
        <f>VLOOKUP($G251, '26 ADP Data'!$C$4:$Q$298, 2, FALSE)</f>
        <v>KC</v>
      </c>
      <c r="I251" s="11" t="str">
        <f>VLOOKUP(G251, '26 ADP Data'!$C$4:$R$496, 16, FALSE)</f>
        <v>DE</v>
      </c>
      <c r="J251" s="11" t="str">
        <f>VLOOKUP($G251, SeanRanks26!$A$2:$H$303, 6, FALSE)</f>
        <v/>
      </c>
      <c r="K251" s="11" t="str">
        <f>VLOOKUP($G251, SeanRanks26!$A$2:$H$303, 7, FALSE)</f>
        <v/>
      </c>
      <c r="L251" s="11">
        <f t="shared" si="5"/>
        <v>20</v>
      </c>
      <c r="M251" s="11">
        <f>VLOOKUP($G251, '26 ADP Data'!$C$4:$Q$298, 10, FALSE)</f>
        <v>233</v>
      </c>
      <c r="N251" s="11" t="str">
        <f>VLOOKUP($G251, '26 ADP Data'!$C$4:$Q$298, 13, FALSE)</f>
        <v>-</v>
      </c>
      <c r="O251" s="11" t="str">
        <f t="shared" si="6"/>
        <v>#VALUE!</v>
      </c>
      <c r="P251" s="11">
        <f>VLOOKUP($G251, '26 ADP Data'!$C$4:$Q$298, 3, FALSE)</f>
        <v>206</v>
      </c>
      <c r="Q251" s="11">
        <f>VLOOKUP($G251, '26 ADP Data'!$C$4:$Q$298, 4, FALSE)</f>
        <v>168</v>
      </c>
      <c r="R251" s="11">
        <f>VLOOKUP($G251, '26 ADP Data'!$C$4:$Q$298, 6, FALSE)</f>
        <v>293</v>
      </c>
      <c r="S251" s="11">
        <f>VLOOKUP($G251, '26 ADP Data'!$C$4:$Q$298, 9, FALSE)</f>
        <v>219</v>
      </c>
      <c r="T251" s="11" t="str">
        <f>VLOOKUP($G251, '26 ADP Data'!$C$4:$Q$298, 8, FALSE)</f>
        <v>-</v>
      </c>
      <c r="U251" s="11">
        <f t="shared" si="7"/>
        <v>223</v>
      </c>
      <c r="V251" s="11">
        <f t="shared" si="8"/>
        <v>19</v>
      </c>
      <c r="W251" s="11"/>
      <c r="X251" s="11">
        <f>VLOOKUP($G251, SeanRanks26!$A$2:$K$303, 10, FALSE)-U251</f>
        <v>10</v>
      </c>
      <c r="Y251" s="29" t="str">
        <f>IF(VLOOKUP($G251, SeanRanks26!$A$2:$H$303, 8, FALSE)=0, "", VLOOKUP($G251, SeanRanks26!$A$2:$H$303, 8, FALSE))</f>
        <v/>
      </c>
    </row>
    <row r="252" ht="14.25" customHeight="1">
      <c r="A252" s="11"/>
      <c r="B252" s="11">
        <f t="shared" si="11"/>
        <v>19</v>
      </c>
      <c r="C252" s="11" t="s">
        <v>106</v>
      </c>
      <c r="D252" s="11"/>
      <c r="E252" s="27"/>
      <c r="F252" s="11" t="str">
        <f>VLOOKUP($G252, SeanRanks26!$A$2:$H$303, 5, FALSE)</f>
        <v/>
      </c>
      <c r="G252" s="16" t="s">
        <v>566</v>
      </c>
      <c r="H252" s="11" t="str">
        <f>VLOOKUP($G252, '26 ADP Data'!$C$4:$Q$298, 2, FALSE)</f>
        <v>TB</v>
      </c>
      <c r="I252" s="11" t="str">
        <f>VLOOKUP(G252, '26 ADP Data'!$C$4:$R$496, 16, FALSE)</f>
        <v>RB</v>
      </c>
      <c r="J252" s="11" t="str">
        <f>VLOOKUP($G252, SeanRanks26!$A$2:$H$303, 6, FALSE)</f>
        <v/>
      </c>
      <c r="K252" s="11" t="str">
        <f>VLOOKUP($G252, SeanRanks26!$A$2:$H$303, 7, FALSE)</f>
        <v/>
      </c>
      <c r="L252" s="11">
        <f t="shared" si="5"/>
        <v>21</v>
      </c>
      <c r="M252" s="11">
        <f>VLOOKUP($G252, '26 ADP Data'!$C$4:$Q$298, 10, FALSE)</f>
        <v>241</v>
      </c>
      <c r="N252" s="11">
        <f>VLOOKUP($G252, '26 ADP Data'!$C$4:$Q$298, 13, FALSE)</f>
        <v>209</v>
      </c>
      <c r="O252" s="11">
        <f t="shared" si="6"/>
        <v>32</v>
      </c>
      <c r="P252" s="11" t="str">
        <f>VLOOKUP($G252, '26 ADP Data'!$C$4:$Q$298, 3, FALSE)</f>
        <v>-</v>
      </c>
      <c r="Q252" s="11" t="str">
        <f>VLOOKUP($G252, '26 ADP Data'!$C$4:$Q$298, 4, FALSE)</f>
        <v>-</v>
      </c>
      <c r="R252" s="11">
        <f>VLOOKUP($G252, '26 ADP Data'!$C$4:$Q$298, 6, FALSE)</f>
        <v>199</v>
      </c>
      <c r="S252" s="11">
        <f>VLOOKUP($G252, '26 ADP Data'!$C$4:$Q$298, 9, FALSE)</f>
        <v>244</v>
      </c>
      <c r="T252" s="11" t="str">
        <f>VLOOKUP($G252, '26 ADP Data'!$C$4:$Q$298, 8, FALSE)</f>
        <v>-</v>
      </c>
      <c r="U252" s="11">
        <f t="shared" si="7"/>
        <v>223</v>
      </c>
      <c r="V252" s="11">
        <f t="shared" si="8"/>
        <v>19</v>
      </c>
      <c r="W252" s="11"/>
      <c r="X252" s="11">
        <f>VLOOKUP($G252, SeanRanks26!$A$2:$K$303, 10, FALSE)-U252</f>
        <v>18</v>
      </c>
      <c r="Y252" s="29" t="str">
        <f>IF(VLOOKUP($G252, SeanRanks26!$A$2:$H$303, 8, FALSE)=0, "", VLOOKUP($G252, SeanRanks26!$A$2:$H$303, 8, FALSE))</f>
        <v/>
      </c>
    </row>
    <row r="253" ht="14.25" customHeight="1">
      <c r="A253" s="11"/>
      <c r="B253" s="11">
        <f t="shared" si="11"/>
        <v>19</v>
      </c>
      <c r="C253" s="11" t="s">
        <v>106</v>
      </c>
      <c r="D253" s="11"/>
      <c r="E253" s="27"/>
      <c r="F253" s="11" t="str">
        <f>VLOOKUP($G253, SeanRanks26!$A$2:$H$303, 5, FALSE)</f>
        <v/>
      </c>
      <c r="G253" s="16" t="s">
        <v>626</v>
      </c>
      <c r="H253" s="11" t="str">
        <f>VLOOKUP($G253, '26 ADP Data'!$C$4:$Q$298, 2, FALSE)</f>
        <v>BUF</v>
      </c>
      <c r="I253" s="11" t="str">
        <f>VLOOKUP(G253, '26 ADP Data'!$C$4:$R$496, 16, FALSE)</f>
        <v>DE</v>
      </c>
      <c r="J253" s="11" t="str">
        <f>VLOOKUP($G253, SeanRanks26!$A$2:$H$303, 6, FALSE)</f>
        <v/>
      </c>
      <c r="K253" s="11" t="str">
        <f>VLOOKUP($G253, SeanRanks26!$A$2:$H$303, 7, FALSE)</f>
        <v/>
      </c>
      <c r="L253" s="11">
        <f t="shared" si="5"/>
        <v>21</v>
      </c>
      <c r="M253" s="11">
        <f>VLOOKUP($G253, '26 ADP Data'!$C$4:$Q$298, 10, FALSE)</f>
        <v>243</v>
      </c>
      <c r="N253" s="11" t="str">
        <f>VLOOKUP($G253, '26 ADP Data'!$C$4:$Q$298, 13, FALSE)</f>
        <v>-</v>
      </c>
      <c r="O253" s="11" t="str">
        <f t="shared" si="6"/>
        <v>#VALUE!</v>
      </c>
      <c r="P253" s="11">
        <f>VLOOKUP($G253, '26 ADP Data'!$C$4:$Q$298, 3, FALSE)</f>
        <v>191</v>
      </c>
      <c r="Q253" s="11">
        <f>VLOOKUP($G253, '26 ADP Data'!$C$4:$Q$298, 4, FALSE)</f>
        <v>197</v>
      </c>
      <c r="R253" s="11">
        <f>VLOOKUP($G253, '26 ADP Data'!$C$4:$Q$298, 6, FALSE)</f>
        <v>262</v>
      </c>
      <c r="S253" s="11" t="str">
        <f>VLOOKUP($G253, '26 ADP Data'!$C$4:$Q$298, 9, FALSE)</f>
        <v>-</v>
      </c>
      <c r="T253" s="11" t="str">
        <f>VLOOKUP($G253, '26 ADP Data'!$C$4:$Q$298, 8, FALSE)</f>
        <v>-</v>
      </c>
      <c r="U253" s="11">
        <f t="shared" si="7"/>
        <v>223</v>
      </c>
      <c r="V253" s="11">
        <f t="shared" si="8"/>
        <v>19</v>
      </c>
      <c r="W253" s="11"/>
      <c r="X253" s="11">
        <f>VLOOKUP($G253, SeanRanks26!$A$2:$K$303, 10, FALSE)-U253</f>
        <v>20</v>
      </c>
      <c r="Y253" s="29" t="str">
        <f>IF(VLOOKUP($G253, SeanRanks26!$A$2:$H$303, 8, FALSE)=0, "", VLOOKUP($G253, SeanRanks26!$A$2:$H$303, 8, FALSE))</f>
        <v/>
      </c>
    </row>
    <row r="254" ht="14.25" customHeight="1">
      <c r="A254" s="11"/>
      <c r="B254" s="11">
        <f t="shared" si="11"/>
        <v>19</v>
      </c>
      <c r="C254" s="11" t="s">
        <v>106</v>
      </c>
      <c r="D254" s="11"/>
      <c r="E254" s="27"/>
      <c r="F254" s="11" t="str">
        <f>VLOOKUP($G254, SeanRanks26!$A$2:$H$303, 5, FALSE)</f>
        <v/>
      </c>
      <c r="G254" s="16" t="s">
        <v>664</v>
      </c>
      <c r="H254" s="11" t="str">
        <f>VLOOKUP($G254, '26 ADP Data'!$C$4:$Q$298, 2, FALSE)</f>
        <v>CLE</v>
      </c>
      <c r="I254" s="11" t="str">
        <f>VLOOKUP(G254, '26 ADP Data'!$C$4:$R$496, 16, FALSE)</f>
        <v>DE</v>
      </c>
      <c r="J254" s="11" t="str">
        <f>VLOOKUP($G254, SeanRanks26!$A$2:$H$303, 6, FALSE)</f>
        <v/>
      </c>
      <c r="K254" s="11" t="str">
        <f>VLOOKUP($G254, SeanRanks26!$A$2:$H$303, 7, FALSE)</f>
        <v/>
      </c>
      <c r="L254" s="11">
        <f t="shared" si="5"/>
        <v>16</v>
      </c>
      <c r="M254" s="11" t="str">
        <f>VLOOKUP($G254, '26 ADP Data'!$C$4:$Q$298, 10, FALSE)</f>
        <v>-</v>
      </c>
      <c r="N254" s="11" t="str">
        <f>VLOOKUP($G254, '26 ADP Data'!$C$4:$Q$298, 13, FALSE)</f>
        <v>-</v>
      </c>
      <c r="O254" s="11" t="str">
        <f t="shared" si="6"/>
        <v>#VALUE!</v>
      </c>
      <c r="P254" s="11">
        <f>VLOOKUP($G254, '26 ADP Data'!$C$4:$Q$298, 3, FALSE)</f>
        <v>201</v>
      </c>
      <c r="Q254" s="11">
        <f>VLOOKUP($G254, '26 ADP Data'!$C$4:$Q$298, 4, FALSE)</f>
        <v>154</v>
      </c>
      <c r="R254" s="11">
        <f>VLOOKUP($G254, '26 ADP Data'!$C$4:$Q$298, 6, FALSE)</f>
        <v>319</v>
      </c>
      <c r="S254" s="11" t="str">
        <f>VLOOKUP($G254, '26 ADP Data'!$C$4:$Q$298, 9, FALSE)</f>
        <v>-</v>
      </c>
      <c r="T254" s="11" t="str">
        <f>VLOOKUP($G254, '26 ADP Data'!$C$4:$Q$298, 8, FALSE)</f>
        <v>-</v>
      </c>
      <c r="U254" s="11">
        <f t="shared" si="7"/>
        <v>224</v>
      </c>
      <c r="V254" s="11">
        <f t="shared" si="8"/>
        <v>19</v>
      </c>
      <c r="W254" s="11"/>
      <c r="X254" s="11" t="str">
        <f>VLOOKUP($G254, SeanRanks26!$A$2:$K$303, 10, FALSE)-U254</f>
        <v>#VALUE!</v>
      </c>
      <c r="Y254" s="29" t="str">
        <f>IF(VLOOKUP($G254, SeanRanks26!$A$2:$H$303, 8, FALSE)=0, "", VLOOKUP($G254, SeanRanks26!$A$2:$H$303, 8, FALSE))</f>
        <v/>
      </c>
    </row>
    <row r="255" ht="14.25" customHeight="1">
      <c r="A255" s="11"/>
      <c r="B255" s="11">
        <f t="shared" si="11"/>
        <v>22</v>
      </c>
      <c r="C255" s="11" t="s">
        <v>106</v>
      </c>
      <c r="D255" s="11"/>
      <c r="E255" s="27"/>
      <c r="F255" s="11" t="str">
        <f>VLOOKUP($G255, SeanRanks26!$A$2:$H$303, 5, FALSE)</f>
        <v/>
      </c>
      <c r="G255" s="16" t="s">
        <v>613</v>
      </c>
      <c r="H255" s="11" t="str">
        <f>VLOOKUP($G255, '26 ADP Data'!$C$4:$Q$298, 2, FALSE)</f>
        <v>HOU</v>
      </c>
      <c r="I255" s="11" t="str">
        <f>VLOOKUP(G255, '26 ADP Data'!$C$4:$R$496, 16, FALSE)</f>
        <v>WR</v>
      </c>
      <c r="J255" s="11" t="str">
        <f>VLOOKUP($G255, SeanRanks26!$A$2:$H$303, 6, FALSE)</f>
        <v/>
      </c>
      <c r="K255" s="11" t="str">
        <f>VLOOKUP($G255, SeanRanks26!$A$2:$H$303, 7, FALSE)</f>
        <v/>
      </c>
      <c r="L255" s="11">
        <f t="shared" si="5"/>
        <v>17</v>
      </c>
      <c r="M255" s="11">
        <f>VLOOKUP($G255, '26 ADP Data'!$C$4:$Q$298, 10, FALSE)</f>
        <v>195</v>
      </c>
      <c r="N255" s="11">
        <f>VLOOKUP($G255, '26 ADP Data'!$C$4:$Q$298, 13, FALSE)</f>
        <v>200</v>
      </c>
      <c r="O255" s="11">
        <f t="shared" si="6"/>
        <v>-5</v>
      </c>
      <c r="P255" s="11" t="str">
        <f>VLOOKUP($G255, '26 ADP Data'!$C$4:$Q$298, 3, FALSE)</f>
        <v>-</v>
      </c>
      <c r="Q255" s="11" t="str">
        <f>VLOOKUP($G255, '26 ADP Data'!$C$4:$Q$298, 4, FALSE)</f>
        <v>-</v>
      </c>
      <c r="R255" s="11">
        <f>VLOOKUP($G255, '26 ADP Data'!$C$4:$Q$298, 6, FALSE)</f>
        <v>248</v>
      </c>
      <c r="S255" s="11">
        <f>VLOOKUP($G255, '26 ADP Data'!$C$4:$Q$298, 9, FALSE)</f>
        <v>259</v>
      </c>
      <c r="T255" s="11" t="str">
        <f>VLOOKUP($G255, '26 ADP Data'!$C$4:$Q$298, 8, FALSE)</f>
        <v>-</v>
      </c>
      <c r="U255" s="11">
        <f t="shared" si="7"/>
        <v>225</v>
      </c>
      <c r="V255" s="11">
        <f t="shared" si="8"/>
        <v>19</v>
      </c>
      <c r="W255" s="11"/>
      <c r="X255" s="11">
        <f>VLOOKUP($G255, SeanRanks26!$A$2:$K$303, 10, FALSE)-U255</f>
        <v>-30</v>
      </c>
      <c r="Y255" s="29" t="str">
        <f>IF(VLOOKUP($G255, SeanRanks26!$A$2:$H$303, 8, FALSE)=0, "", VLOOKUP($G255, SeanRanks26!$A$2:$H$303, 8, FALSE))</f>
        <v>2025 R3</v>
      </c>
    </row>
    <row r="256" ht="14.25" customHeight="1">
      <c r="A256" s="11"/>
      <c r="B256" s="11">
        <f t="shared" si="11"/>
        <v>19</v>
      </c>
      <c r="C256" s="11" t="s">
        <v>106</v>
      </c>
      <c r="D256" s="11"/>
      <c r="E256" s="27"/>
      <c r="F256" s="11" t="str">
        <f>VLOOKUP($G256, SeanRanks26!$A$2:$H$303, 5, FALSE)</f>
        <v>#N/A</v>
      </c>
      <c r="G256" s="16" t="s">
        <v>588</v>
      </c>
      <c r="H256" s="11" t="str">
        <f>VLOOKUP($G256, '26 ADP Data'!$C$4:$Q$298, 2, FALSE)</f>
        <v>DAL</v>
      </c>
      <c r="I256" s="11" t="str">
        <f>VLOOKUP(G256, '26 ADP Data'!$C$4:$R$496, 16, FALSE)</f>
        <v>DE</v>
      </c>
      <c r="J256" s="11" t="str">
        <f>VLOOKUP($G256, SeanRanks26!$A$2:$H$303, 6, FALSE)</f>
        <v>#N/A</v>
      </c>
      <c r="K256" s="11" t="str">
        <f>VLOOKUP($G256, SeanRanks26!$A$2:$H$303, 7, FALSE)</f>
        <v>#N/A</v>
      </c>
      <c r="L256" s="11">
        <f t="shared" si="5"/>
        <v>19</v>
      </c>
      <c r="M256" s="11">
        <f>VLOOKUP($G256, '26 ADP Data'!$C$4:$Q$298, 10, FALSE)</f>
        <v>227</v>
      </c>
      <c r="N256" s="11" t="str">
        <f>VLOOKUP($G256, '26 ADP Data'!$C$4:$Q$298, 13, FALSE)</f>
        <v>-</v>
      </c>
      <c r="O256" s="11" t="str">
        <f t="shared" si="6"/>
        <v>#VALUE!</v>
      </c>
      <c r="P256" s="11">
        <f>VLOOKUP($G256, '26 ADP Data'!$C$4:$Q$298, 3, FALSE)</f>
        <v>190</v>
      </c>
      <c r="Q256" s="11">
        <f>VLOOKUP($G256, '26 ADP Data'!$C$4:$Q$298, 4, FALSE)</f>
        <v>177</v>
      </c>
      <c r="R256" s="11">
        <f>VLOOKUP($G256, '26 ADP Data'!$C$4:$Q$298, 6, FALSE)</f>
        <v>279</v>
      </c>
      <c r="S256" s="11">
        <f>VLOOKUP($G256, '26 ADP Data'!$C$4:$Q$298, 9, FALSE)</f>
        <v>256</v>
      </c>
      <c r="T256" s="11" t="str">
        <f>VLOOKUP($G256, '26 ADP Data'!$C$4:$Q$298, 8, FALSE)</f>
        <v>-</v>
      </c>
      <c r="U256" s="11">
        <f t="shared" si="7"/>
        <v>225</v>
      </c>
      <c r="V256" s="11">
        <f t="shared" si="8"/>
        <v>19</v>
      </c>
      <c r="W256" s="11"/>
      <c r="X256" s="11" t="str">
        <f>VLOOKUP($G256, SeanRanks26!$A$2:$K$303, 10, FALSE)-U256</f>
        <v>#N/A</v>
      </c>
      <c r="Y256" s="29" t="str">
        <f>IF(VLOOKUP($G256, SeanRanks26!$A$2:$H$303, 8, FALSE)=0, "", VLOOKUP($G256, SeanRanks26!$A$2:$H$303, 8, FALSE))</f>
        <v>#N/A</v>
      </c>
    </row>
    <row r="257" ht="14.25" customHeight="1">
      <c r="A257" s="11"/>
      <c r="B257" s="11">
        <f t="shared" si="11"/>
        <v>20</v>
      </c>
      <c r="C257" s="11" t="s">
        <v>106</v>
      </c>
      <c r="D257" s="11"/>
      <c r="E257" s="27"/>
      <c r="F257" s="11" t="str">
        <f>VLOOKUP($G257, SeanRanks26!$A$2:$H$303, 5, FALSE)</f>
        <v/>
      </c>
      <c r="G257" s="16" t="s">
        <v>615</v>
      </c>
      <c r="H257" s="11" t="str">
        <f>VLOOKUP($G257, '26 ADP Data'!$C$4:$Q$298, 2, FALSE)</f>
        <v>MIA</v>
      </c>
      <c r="I257" s="11" t="str">
        <f>VLOOKUP(G257, '26 ADP Data'!$C$4:$R$496, 16, FALSE)</f>
        <v>WR</v>
      </c>
      <c r="J257" s="11" t="str">
        <f>VLOOKUP($G257, SeanRanks26!$A$2:$H$303, 6, FALSE)</f>
        <v>WR5</v>
      </c>
      <c r="K257" s="11">
        <f>VLOOKUP($G257, SeanRanks26!$A$2:$H$303, 7, FALSE)</f>
        <v>67</v>
      </c>
      <c r="L257" s="11">
        <f t="shared" si="5"/>
        <v>20</v>
      </c>
      <c r="M257" s="11">
        <f>VLOOKUP($G257, '26 ADP Data'!$C$4:$Q$298, 10, FALSE)</f>
        <v>236</v>
      </c>
      <c r="N257" s="11">
        <f>VLOOKUP($G257, '26 ADP Data'!$C$4:$Q$298, 13, FALSE)</f>
        <v>203</v>
      </c>
      <c r="O257" s="11">
        <f t="shared" si="6"/>
        <v>33</v>
      </c>
      <c r="P257" s="11" t="str">
        <f>VLOOKUP($G257, '26 ADP Data'!$C$4:$Q$298, 3, FALSE)</f>
        <v>-</v>
      </c>
      <c r="Q257" s="11" t="str">
        <f>VLOOKUP($G257, '26 ADP Data'!$C$4:$Q$298, 4, FALSE)</f>
        <v>-</v>
      </c>
      <c r="R257" s="11">
        <f>VLOOKUP($G257, '26 ADP Data'!$C$4:$Q$298, 6, FALSE)</f>
        <v>241</v>
      </c>
      <c r="S257" s="11">
        <f>VLOOKUP($G257, '26 ADP Data'!$C$4:$Q$298, 9, FALSE)</f>
        <v>220</v>
      </c>
      <c r="T257" s="11" t="str">
        <f>VLOOKUP($G257, '26 ADP Data'!$C$4:$Q$298, 8, FALSE)</f>
        <v>-</v>
      </c>
      <c r="U257" s="11">
        <f t="shared" si="7"/>
        <v>225</v>
      </c>
      <c r="V257" s="11">
        <f t="shared" si="8"/>
        <v>19</v>
      </c>
      <c r="W257" s="11"/>
      <c r="X257" s="11">
        <f>VLOOKUP($G257, SeanRanks26!$A$2:$K$303, 10, FALSE)-U257</f>
        <v>11</v>
      </c>
      <c r="Y257" s="29" t="str">
        <f>IF(VLOOKUP($G257, SeanRanks26!$A$2:$H$303, 8, FALSE)=0, "", VLOOKUP($G257, SeanRanks26!$A$2:$H$303, 8, FALSE))</f>
        <v>Rookie R3 Louisville</v>
      </c>
    </row>
    <row r="258" ht="14.25" customHeight="1">
      <c r="A258" s="11"/>
      <c r="B258" s="11">
        <f t="shared" si="11"/>
        <v>19</v>
      </c>
      <c r="C258" s="11" t="s">
        <v>106</v>
      </c>
      <c r="D258" s="11"/>
      <c r="E258" s="27"/>
      <c r="F258" s="11" t="str">
        <f>VLOOKUP($G258, SeanRanks26!$A$2:$H$303, 5, FALSE)</f>
        <v>#N/A</v>
      </c>
      <c r="G258" s="16" t="s">
        <v>703</v>
      </c>
      <c r="H258" s="11" t="str">
        <f>VLOOKUP($G258, '26 ADP Data'!$C$4:$Q$298, 2, FALSE)</f>
        <v>IND</v>
      </c>
      <c r="I258" s="11" t="str">
        <f>VLOOKUP(G258, '26 ADP Data'!$C$4:$R$496, 16, FALSE)</f>
        <v>RB</v>
      </c>
      <c r="J258" s="11" t="str">
        <f>VLOOKUP($G258, SeanRanks26!$A$2:$H$303, 6, FALSE)</f>
        <v>#N/A</v>
      </c>
      <c r="K258" s="11" t="str">
        <f>VLOOKUP($G258, SeanRanks26!$A$2:$H$303, 7, FALSE)</f>
        <v>#N/A</v>
      </c>
      <c r="L258" s="11">
        <f t="shared" si="5"/>
        <v>16</v>
      </c>
      <c r="M258" s="11" t="str">
        <f>VLOOKUP($G258, '26 ADP Data'!$C$4:$Q$298, 10, FALSE)</f>
        <v>-</v>
      </c>
      <c r="N258" s="11">
        <f>VLOOKUP($G258, '26 ADP Data'!$C$4:$Q$298, 13, FALSE)</f>
        <v>223</v>
      </c>
      <c r="O258" s="11" t="str">
        <f t="shared" si="6"/>
        <v>#VALUE!</v>
      </c>
      <c r="P258" s="11" t="str">
        <f>VLOOKUP($G258, '26 ADP Data'!$C$4:$Q$298, 3, FALSE)</f>
        <v>-</v>
      </c>
      <c r="Q258" s="11" t="str">
        <f>VLOOKUP($G258, '26 ADP Data'!$C$4:$Q$298, 4, FALSE)</f>
        <v>-</v>
      </c>
      <c r="R258" s="11">
        <f>VLOOKUP($G258, '26 ADP Data'!$C$4:$Q$298, 6, FALSE)</f>
        <v>227</v>
      </c>
      <c r="S258" s="11" t="str">
        <f>VLOOKUP($G258, '26 ADP Data'!$C$4:$Q$298, 9, FALSE)</f>
        <v>-</v>
      </c>
      <c r="T258" s="11" t="str">
        <f>VLOOKUP($G258, '26 ADP Data'!$C$4:$Q$298, 8, FALSE)</f>
        <v>-</v>
      </c>
      <c r="U258" s="11">
        <f t="shared" si="7"/>
        <v>225</v>
      </c>
      <c r="V258" s="11">
        <f t="shared" si="8"/>
        <v>19</v>
      </c>
      <c r="W258" s="11"/>
      <c r="X258" s="11" t="str">
        <f>VLOOKUP($G258, SeanRanks26!$A$2:$K$303, 10, FALSE)-U258</f>
        <v>#N/A</v>
      </c>
      <c r="Y258" s="29" t="str">
        <f>IF(VLOOKUP($G258, SeanRanks26!$A$2:$H$303, 8, FALSE)=0, "", VLOOKUP($G258, SeanRanks26!$A$2:$H$303, 8, FALSE))</f>
        <v>#N/A</v>
      </c>
    </row>
    <row r="259" ht="14.25" customHeight="1">
      <c r="A259" s="11"/>
      <c r="B259" s="11">
        <f t="shared" si="11"/>
        <v>19</v>
      </c>
      <c r="C259" s="11" t="s">
        <v>106</v>
      </c>
      <c r="D259" s="11"/>
      <c r="E259" s="27"/>
      <c r="F259" s="11" t="str">
        <f>VLOOKUP($G259, SeanRanks26!$A$2:$H$303, 5, FALSE)</f>
        <v>#N/A</v>
      </c>
      <c r="G259" s="16" t="s">
        <v>707</v>
      </c>
      <c r="H259" s="11" t="str">
        <f>VLOOKUP($G259, '26 ADP Data'!$C$4:$Q$298, 2, FALSE)</f>
        <v>LV</v>
      </c>
      <c r="I259" s="11" t="str">
        <f>VLOOKUP(G259, '26 ADP Data'!$C$4:$R$496, 16, FALSE)</f>
        <v>TE</v>
      </c>
      <c r="J259" s="11" t="str">
        <f>VLOOKUP($G259, SeanRanks26!$A$2:$H$303, 6, FALSE)</f>
        <v>#N/A</v>
      </c>
      <c r="K259" s="11" t="str">
        <f>VLOOKUP($G259, SeanRanks26!$A$2:$H$303, 7, FALSE)</f>
        <v>#N/A</v>
      </c>
      <c r="L259" s="11">
        <f t="shared" si="5"/>
        <v>16</v>
      </c>
      <c r="M259" s="11" t="str">
        <f>VLOOKUP($G259, '26 ADP Data'!$C$4:$Q$298, 10, FALSE)</f>
        <v>-</v>
      </c>
      <c r="N259" s="11">
        <f>VLOOKUP($G259, '26 ADP Data'!$C$4:$Q$298, 13, FALSE)</f>
        <v>229</v>
      </c>
      <c r="O259" s="11" t="str">
        <f t="shared" si="6"/>
        <v>#VALUE!</v>
      </c>
      <c r="P259" s="11" t="str">
        <f>VLOOKUP($G259, '26 ADP Data'!$C$4:$Q$298, 3, FALSE)</f>
        <v>-</v>
      </c>
      <c r="Q259" s="11" t="str">
        <f>VLOOKUP($G259, '26 ADP Data'!$C$4:$Q$298, 4, FALSE)</f>
        <v>-</v>
      </c>
      <c r="R259" s="11">
        <f>VLOOKUP($G259, '26 ADP Data'!$C$4:$Q$298, 6, FALSE)</f>
        <v>226</v>
      </c>
      <c r="S259" s="11" t="str">
        <f>VLOOKUP($G259, '26 ADP Data'!$C$4:$Q$298, 9, FALSE)</f>
        <v>-</v>
      </c>
      <c r="T259" s="11" t="str">
        <f>VLOOKUP($G259, '26 ADP Data'!$C$4:$Q$298, 8, FALSE)</f>
        <v>-</v>
      </c>
      <c r="U259" s="11">
        <f t="shared" si="7"/>
        <v>227</v>
      </c>
      <c r="V259" s="11">
        <f t="shared" si="8"/>
        <v>19</v>
      </c>
      <c r="W259" s="11"/>
      <c r="X259" s="11" t="str">
        <f>VLOOKUP($G259, SeanRanks26!$A$2:$K$303, 10, FALSE)-U259</f>
        <v>#N/A</v>
      </c>
      <c r="Y259" s="29" t="str">
        <f>IF(VLOOKUP($G259, SeanRanks26!$A$2:$H$303, 8, FALSE)=0, "", VLOOKUP($G259, SeanRanks26!$A$2:$H$303, 8, FALSE))</f>
        <v>#N/A</v>
      </c>
    </row>
    <row r="260" ht="14.25" customHeight="1">
      <c r="A260" s="11"/>
      <c r="B260" s="11">
        <f t="shared" si="11"/>
        <v>20</v>
      </c>
      <c r="C260" s="11" t="s">
        <v>106</v>
      </c>
      <c r="D260" s="11"/>
      <c r="E260" s="27"/>
      <c r="F260" s="11" t="str">
        <f>VLOOKUP($G260, SeanRanks26!$A$2:$H$303, 5, FALSE)</f>
        <v>#N/A</v>
      </c>
      <c r="G260" s="16" t="s">
        <v>632</v>
      </c>
      <c r="H260" s="11" t="str">
        <f>VLOOKUP($G260, '26 ADP Data'!$C$4:$Q$298, 2, FALSE)</f>
        <v>CHI</v>
      </c>
      <c r="I260" s="11" t="str">
        <f>VLOOKUP(G260, '26 ADP Data'!$C$4:$R$496, 16, FALSE)</f>
        <v>K-</v>
      </c>
      <c r="J260" s="11" t="str">
        <f>VLOOKUP($G260, SeanRanks26!$A$2:$H$303, 6, FALSE)</f>
        <v>#N/A</v>
      </c>
      <c r="K260" s="11" t="str">
        <f>VLOOKUP($G260, SeanRanks26!$A$2:$H$303, 7, FALSE)</f>
        <v>#N/A</v>
      </c>
      <c r="L260" s="11">
        <f t="shared" si="5"/>
        <v>19</v>
      </c>
      <c r="M260" s="11">
        <f>VLOOKUP($G260, '26 ADP Data'!$C$4:$Q$298, 10, FALSE)</f>
        <v>218</v>
      </c>
      <c r="N260" s="11" t="str">
        <f>VLOOKUP($G260, '26 ADP Data'!$C$4:$Q$298, 13, FALSE)</f>
        <v>-</v>
      </c>
      <c r="O260" s="11" t="str">
        <f t="shared" si="6"/>
        <v>#VALUE!</v>
      </c>
      <c r="P260" s="11">
        <f>VLOOKUP($G260, '26 ADP Data'!$C$4:$Q$298, 3, FALSE)</f>
        <v>194</v>
      </c>
      <c r="Q260" s="11">
        <f>VLOOKUP($G260, '26 ADP Data'!$C$4:$Q$298, 4, FALSE)</f>
        <v>191</v>
      </c>
      <c r="R260" s="11">
        <f>VLOOKUP($G260, '26 ADP Data'!$C$4:$Q$298, 6, FALSE)</f>
        <v>286</v>
      </c>
      <c r="S260" s="11">
        <f>VLOOKUP($G260, '26 ADP Data'!$C$4:$Q$298, 9, FALSE)</f>
        <v>253</v>
      </c>
      <c r="T260" s="11" t="str">
        <f>VLOOKUP($G260, '26 ADP Data'!$C$4:$Q$298, 8, FALSE)</f>
        <v>-</v>
      </c>
      <c r="U260" s="11">
        <f t="shared" si="7"/>
        <v>228</v>
      </c>
      <c r="V260" s="11">
        <f t="shared" si="8"/>
        <v>20</v>
      </c>
      <c r="W260" s="11"/>
      <c r="X260" s="11" t="str">
        <f>VLOOKUP($G260, SeanRanks26!$A$2:$K$303, 10, FALSE)-U260</f>
        <v>#N/A</v>
      </c>
      <c r="Y260" s="29" t="str">
        <f>IF(VLOOKUP($G260, SeanRanks26!$A$2:$H$303, 8, FALSE)=0, "", VLOOKUP($G260, SeanRanks26!$A$2:$H$303, 8, FALSE))</f>
        <v>#N/A</v>
      </c>
    </row>
    <row r="261" ht="14.25" customHeight="1">
      <c r="A261" s="11"/>
      <c r="B261" s="11">
        <f t="shared" si="11"/>
        <v>20</v>
      </c>
      <c r="C261" s="11" t="s">
        <v>106</v>
      </c>
      <c r="D261" s="11"/>
      <c r="E261" s="27"/>
      <c r="F261" s="11" t="str">
        <f>VLOOKUP($G261, SeanRanks26!$A$2:$H$303, 5, FALSE)</f>
        <v/>
      </c>
      <c r="G261" s="16" t="s">
        <v>628</v>
      </c>
      <c r="H261" s="11" t="str">
        <f>VLOOKUP($G261, '26 ADP Data'!$C$4:$Q$298, 2, FALSE)</f>
        <v>LAR</v>
      </c>
      <c r="I261" s="11" t="str">
        <f>VLOOKUP(G261, '26 ADP Data'!$C$4:$R$496, 16, FALSE)</f>
        <v>TE</v>
      </c>
      <c r="J261" s="11" t="str">
        <f>VLOOKUP($G261, SeanRanks26!$A$2:$H$303, 6, FALSE)</f>
        <v/>
      </c>
      <c r="K261" s="11" t="str">
        <f>VLOOKUP($G261, SeanRanks26!$A$2:$H$303, 7, FALSE)</f>
        <v/>
      </c>
      <c r="L261" s="11">
        <f t="shared" si="5"/>
        <v>16</v>
      </c>
      <c r="M261" s="11" t="str">
        <f>VLOOKUP($G261, '26 ADP Data'!$C$4:$Q$298, 10, FALSE)</f>
        <v>-</v>
      </c>
      <c r="N261" s="11">
        <f>VLOOKUP($G261, '26 ADP Data'!$C$4:$Q$298, 13, FALSE)</f>
        <v>217</v>
      </c>
      <c r="O261" s="11" t="str">
        <f t="shared" si="6"/>
        <v>#VALUE!</v>
      </c>
      <c r="P261" s="11" t="str">
        <f>VLOOKUP($G261, '26 ADP Data'!$C$4:$Q$298, 3, FALSE)</f>
        <v>-</v>
      </c>
      <c r="Q261" s="11" t="str">
        <f>VLOOKUP($G261, '26 ADP Data'!$C$4:$Q$298, 4, FALSE)</f>
        <v>-</v>
      </c>
      <c r="R261" s="11">
        <f>VLOOKUP($G261, '26 ADP Data'!$C$4:$Q$298, 6, FALSE)</f>
        <v>221</v>
      </c>
      <c r="S261" s="11">
        <f>VLOOKUP($G261, '26 ADP Data'!$C$4:$Q$298, 9, FALSE)</f>
        <v>250</v>
      </c>
      <c r="T261" s="11" t="str">
        <f>VLOOKUP($G261, '26 ADP Data'!$C$4:$Q$298, 8, FALSE)</f>
        <v>-</v>
      </c>
      <c r="U261" s="11">
        <f t="shared" si="7"/>
        <v>229</v>
      </c>
      <c r="V261" s="11">
        <f t="shared" si="8"/>
        <v>20</v>
      </c>
      <c r="W261" s="11"/>
      <c r="X261" s="11" t="str">
        <f>VLOOKUP($G261, SeanRanks26!$A$2:$K$303, 10, FALSE)-U261</f>
        <v>#VALUE!</v>
      </c>
      <c r="Y261" s="29" t="str">
        <f>IF(VLOOKUP($G261, SeanRanks26!$A$2:$H$303, 8, FALSE)=0, "", VLOOKUP($G261, SeanRanks26!$A$2:$H$303, 8, FALSE))</f>
        <v/>
      </c>
    </row>
    <row r="262" ht="14.25" customHeight="1">
      <c r="A262" s="11"/>
      <c r="B262" s="11">
        <f t="shared" si="11"/>
        <v>21</v>
      </c>
      <c r="C262" s="11" t="s">
        <v>106</v>
      </c>
      <c r="D262" s="11"/>
      <c r="E262" s="27"/>
      <c r="F262" s="11" t="str">
        <f>VLOOKUP($G262, SeanRanks26!$A$2:$H$303, 5, FALSE)</f>
        <v/>
      </c>
      <c r="G262" s="16" t="s">
        <v>584</v>
      </c>
      <c r="H262" s="11" t="str">
        <f>VLOOKUP($G262, '26 ADP Data'!$C$4:$Q$298, 2, FALSE)</f>
        <v>BAL</v>
      </c>
      <c r="I262" s="11" t="str">
        <f>VLOOKUP(G262, '26 ADP Data'!$C$4:$R$496, 16, FALSE)</f>
        <v>WR</v>
      </c>
      <c r="J262" s="11" t="str">
        <f>VLOOKUP($G262, SeanRanks26!$A$2:$H$303, 6, FALSE)</f>
        <v/>
      </c>
      <c r="K262" s="11" t="str">
        <f>VLOOKUP($G262, SeanRanks26!$A$2:$H$303, 7, FALSE)</f>
        <v/>
      </c>
      <c r="L262" s="11">
        <f t="shared" si="5"/>
        <v>19</v>
      </c>
      <c r="M262" s="11">
        <f>VLOOKUP($G262, '26 ADP Data'!$C$4:$Q$298, 10, FALSE)</f>
        <v>219</v>
      </c>
      <c r="N262" s="11">
        <f>VLOOKUP($G262, '26 ADP Data'!$C$4:$Q$298, 13, FALSE)</f>
        <v>215</v>
      </c>
      <c r="O262" s="11">
        <f t="shared" si="6"/>
        <v>4</v>
      </c>
      <c r="P262" s="11" t="str">
        <f>VLOOKUP($G262, '26 ADP Data'!$C$4:$Q$298, 3, FALSE)</f>
        <v>-</v>
      </c>
      <c r="Q262" s="11" t="str">
        <f>VLOOKUP($G262, '26 ADP Data'!$C$4:$Q$298, 4, FALSE)</f>
        <v>-</v>
      </c>
      <c r="R262" s="11">
        <f>VLOOKUP($G262, '26 ADP Data'!$C$4:$Q$298, 6, FALSE)</f>
        <v>225</v>
      </c>
      <c r="S262" s="11">
        <f>VLOOKUP($G262, '26 ADP Data'!$C$4:$Q$298, 9, FALSE)</f>
        <v>267</v>
      </c>
      <c r="T262" s="11" t="str">
        <f>VLOOKUP($G262, '26 ADP Data'!$C$4:$Q$298, 8, FALSE)</f>
        <v>-</v>
      </c>
      <c r="U262" s="11">
        <f t="shared" si="7"/>
        <v>231</v>
      </c>
      <c r="V262" s="11">
        <f t="shared" si="8"/>
        <v>20</v>
      </c>
      <c r="W262" s="11"/>
      <c r="X262" s="11">
        <f>VLOOKUP($G262, SeanRanks26!$A$2:$K$303, 10, FALSE)-U262</f>
        <v>-12</v>
      </c>
      <c r="Y262" s="29" t="str">
        <f>IF(VLOOKUP($G262, SeanRanks26!$A$2:$H$303, 8, FALSE)=0, "", VLOOKUP($G262, SeanRanks26!$A$2:$H$303, 8, FALSE))</f>
        <v/>
      </c>
    </row>
    <row r="263" ht="14.25" customHeight="1">
      <c r="A263" s="11"/>
      <c r="B263" s="11">
        <f t="shared" si="11"/>
        <v>20</v>
      </c>
      <c r="C263" s="11" t="s">
        <v>106</v>
      </c>
      <c r="D263" s="11"/>
      <c r="E263" s="27"/>
      <c r="F263" s="11" t="str">
        <f>VLOOKUP($G263, SeanRanks26!$A$2:$H$303, 5, FALSE)</f>
        <v>Yes</v>
      </c>
      <c r="G263" s="16" t="s">
        <v>574</v>
      </c>
      <c r="H263" s="11" t="str">
        <f>VLOOKUP($G263, '26 ADP Data'!$C$4:$Q$298, 2, FALSE)</f>
        <v>WAS</v>
      </c>
      <c r="I263" s="11" t="str">
        <f>VLOOKUP(G263, '26 ADP Data'!$C$4:$R$496, 16, FALSE)</f>
        <v>WR</v>
      </c>
      <c r="J263" s="11" t="str">
        <f>VLOOKUP($G263, SeanRanks26!$A$2:$H$303, 6, FALSE)</f>
        <v>WR5</v>
      </c>
      <c r="K263" s="11">
        <f>VLOOKUP($G263, SeanRanks26!$A$2:$H$303, 7, FALSE)</f>
        <v>68</v>
      </c>
      <c r="L263" s="11">
        <f t="shared" si="5"/>
        <v>20</v>
      </c>
      <c r="M263" s="11">
        <f>VLOOKUP($G263, '26 ADP Data'!$C$4:$Q$298, 10, FALSE)</f>
        <v>239</v>
      </c>
      <c r="N263" s="11">
        <f>VLOOKUP($G263, '26 ADP Data'!$C$4:$Q$298, 13, FALSE)</f>
        <v>231</v>
      </c>
      <c r="O263" s="11">
        <f t="shared" si="6"/>
        <v>8</v>
      </c>
      <c r="P263" s="11" t="str">
        <f>VLOOKUP($G263, '26 ADP Data'!$C$4:$Q$298, 3, FALSE)</f>
        <v>-</v>
      </c>
      <c r="Q263" s="11" t="str">
        <f>VLOOKUP($G263, '26 ADP Data'!$C$4:$Q$298, 4, FALSE)</f>
        <v>-</v>
      </c>
      <c r="R263" s="11">
        <f>VLOOKUP($G263, '26 ADP Data'!$C$4:$Q$298, 6, FALSE)</f>
        <v>255</v>
      </c>
      <c r="S263" s="11">
        <f>VLOOKUP($G263, '26 ADP Data'!$C$4:$Q$298, 9, FALSE)</f>
        <v>202</v>
      </c>
      <c r="T263" s="11" t="str">
        <f>VLOOKUP($G263, '26 ADP Data'!$C$4:$Q$298, 8, FALSE)</f>
        <v>-</v>
      </c>
      <c r="U263" s="11">
        <f t="shared" si="7"/>
        <v>231</v>
      </c>
      <c r="V263" s="11">
        <f t="shared" si="8"/>
        <v>20</v>
      </c>
      <c r="W263" s="11"/>
      <c r="X263" s="11">
        <f>VLOOKUP($G263, SeanRanks26!$A$2:$K$303, 10, FALSE)-U263</f>
        <v>8</v>
      </c>
      <c r="Y263" s="29" t="str">
        <f>IF(VLOOKUP($G263, SeanRanks26!$A$2:$H$303, 8, FALSE)=0, "", VLOOKUP($G263, SeanRanks26!$A$2:$H$303, 8, FALSE))</f>
        <v>Rookie R3 - Clemson</v>
      </c>
    </row>
    <row r="264" ht="14.25" customHeight="1">
      <c r="A264" s="11"/>
      <c r="B264" s="11">
        <f t="shared" si="11"/>
        <v>19</v>
      </c>
      <c r="C264" s="11" t="s">
        <v>106</v>
      </c>
      <c r="D264" s="11"/>
      <c r="E264" s="27"/>
      <c r="F264" s="11" t="str">
        <f>VLOOKUP($G264, SeanRanks26!$A$2:$H$303, 5, FALSE)</f>
        <v>#N/A</v>
      </c>
      <c r="G264" s="16" t="s">
        <v>712</v>
      </c>
      <c r="H264" s="11" t="str">
        <f>VLOOKUP($G264, '26 ADP Data'!$C$4:$Q$298, 2, FALSE)</f>
        <v>NE</v>
      </c>
      <c r="I264" s="11" t="str">
        <f>VLOOKUP(G264, '26 ADP Data'!$C$4:$R$496, 16, FALSE)</f>
        <v>K-</v>
      </c>
      <c r="J264" s="11" t="str">
        <f>VLOOKUP($G264, SeanRanks26!$A$2:$H$303, 6, FALSE)</f>
        <v>#N/A</v>
      </c>
      <c r="K264" s="11" t="str">
        <f>VLOOKUP($G264, SeanRanks26!$A$2:$H$303, 7, FALSE)</f>
        <v>#N/A</v>
      </c>
      <c r="L264" s="11">
        <f t="shared" si="5"/>
        <v>21</v>
      </c>
      <c r="M264" s="11">
        <f>VLOOKUP($G264, '26 ADP Data'!$C$4:$Q$298, 10, FALSE)</f>
        <v>246</v>
      </c>
      <c r="N264" s="11" t="str">
        <f>VLOOKUP($G264, '26 ADP Data'!$C$4:$Q$298, 13, FALSE)</f>
        <v>-</v>
      </c>
      <c r="O264" s="11" t="str">
        <f t="shared" si="6"/>
        <v>#VALUE!</v>
      </c>
      <c r="P264" s="11" t="str">
        <f>VLOOKUP($G264, '26 ADP Data'!$C$4:$Q$298, 3, FALSE)</f>
        <v>-</v>
      </c>
      <c r="Q264" s="11" t="str">
        <f>VLOOKUP($G264, '26 ADP Data'!$C$4:$Q$298, 4, FALSE)</f>
        <v>-</v>
      </c>
      <c r="R264" s="11">
        <f>VLOOKUP($G264, '26 ADP Data'!$C$4:$Q$298, 6, FALSE)</f>
        <v>274</v>
      </c>
      <c r="S264" s="11">
        <f>VLOOKUP($G264, '26 ADP Data'!$C$4:$Q$298, 9, FALSE)</f>
        <v>174</v>
      </c>
      <c r="T264" s="11" t="str">
        <f>VLOOKUP($G264, '26 ADP Data'!$C$4:$Q$298, 8, FALSE)</f>
        <v>-</v>
      </c>
      <c r="U264" s="11">
        <f t="shared" si="7"/>
        <v>231</v>
      </c>
      <c r="V264" s="11">
        <f t="shared" si="8"/>
        <v>20</v>
      </c>
      <c r="W264" s="11"/>
      <c r="X264" s="11" t="str">
        <f>VLOOKUP($G264, SeanRanks26!$A$2:$K$303, 10, FALSE)-U264</f>
        <v>#N/A</v>
      </c>
      <c r="Y264" s="29" t="str">
        <f>IF(VLOOKUP($G264, SeanRanks26!$A$2:$H$303, 8, FALSE)=0, "", VLOOKUP($G264, SeanRanks26!$A$2:$H$303, 8, FALSE))</f>
        <v>#N/A</v>
      </c>
    </row>
    <row r="265" ht="14.25" customHeight="1">
      <c r="A265" s="11"/>
      <c r="B265" s="11">
        <f t="shared" si="11"/>
        <v>21</v>
      </c>
      <c r="C265" s="11" t="s">
        <v>106</v>
      </c>
      <c r="D265" s="11"/>
      <c r="E265" s="27"/>
      <c r="F265" s="11" t="str">
        <f>VLOOKUP($G265, SeanRanks26!$A$2:$H$303, 5, FALSE)</f>
        <v/>
      </c>
      <c r="G265" s="16" t="s">
        <v>637</v>
      </c>
      <c r="H265" s="11" t="str">
        <f>VLOOKUP($G265, '26 ADP Data'!$C$4:$Q$298, 2, FALSE)</f>
        <v>PIT</v>
      </c>
      <c r="I265" s="11" t="str">
        <f>VLOOKUP(G265, '26 ADP Data'!$C$4:$R$496, 16, FALSE)</f>
        <v>WR</v>
      </c>
      <c r="J265" s="11" t="str">
        <f>VLOOKUP($G265, SeanRanks26!$A$2:$H$303, 6, FALSE)</f>
        <v>WR5</v>
      </c>
      <c r="K265" s="11" t="str">
        <f>VLOOKUP($G265, SeanRanks26!$A$2:$H$303, 7, FALSE)</f>
        <v/>
      </c>
      <c r="L265" s="11">
        <f t="shared" si="5"/>
        <v>16</v>
      </c>
      <c r="M265" s="11" t="str">
        <f>VLOOKUP($G265, '26 ADP Data'!$C$4:$Q$298, 10, FALSE)</f>
        <v>-</v>
      </c>
      <c r="N265" s="11">
        <f>VLOOKUP($G265, '26 ADP Data'!$C$4:$Q$298, 13, FALSE)</f>
        <v>207</v>
      </c>
      <c r="O265" s="11" t="str">
        <f t="shared" si="6"/>
        <v>#VALUE!</v>
      </c>
      <c r="P265" s="11" t="str">
        <f>VLOOKUP($G265, '26 ADP Data'!$C$4:$Q$298, 3, FALSE)</f>
        <v>-</v>
      </c>
      <c r="Q265" s="11" t="str">
        <f>VLOOKUP($G265, '26 ADP Data'!$C$4:$Q$298, 4, FALSE)</f>
        <v>-</v>
      </c>
      <c r="R265" s="11">
        <f>VLOOKUP($G265, '26 ADP Data'!$C$4:$Q$298, 6, FALSE)</f>
        <v>242</v>
      </c>
      <c r="S265" s="11">
        <f>VLOOKUP($G265, '26 ADP Data'!$C$4:$Q$298, 9, FALSE)</f>
        <v>247</v>
      </c>
      <c r="T265" s="11" t="str">
        <f>VLOOKUP($G265, '26 ADP Data'!$C$4:$Q$298, 8, FALSE)</f>
        <v>-</v>
      </c>
      <c r="U265" s="11">
        <f t="shared" si="7"/>
        <v>232</v>
      </c>
      <c r="V265" s="11">
        <f t="shared" si="8"/>
        <v>20</v>
      </c>
      <c r="W265" s="11"/>
      <c r="X265" s="11" t="str">
        <f>VLOOKUP($G265, SeanRanks26!$A$2:$K$303, 10, FALSE)-U265</f>
        <v>#VALUE!</v>
      </c>
      <c r="Y265" s="29" t="str">
        <f>IF(VLOOKUP($G265, SeanRanks26!$A$2:$H$303, 8, FALSE)=0, "", VLOOKUP($G265, SeanRanks26!$A$2:$H$303, 8, FALSE))</f>
        <v>Rookie R2 Alabama</v>
      </c>
    </row>
    <row r="266" ht="14.25" customHeight="1">
      <c r="A266" s="11"/>
      <c r="B266" s="11">
        <f t="shared" si="11"/>
        <v>19</v>
      </c>
      <c r="C266" s="11" t="s">
        <v>106</v>
      </c>
      <c r="D266" s="11"/>
      <c r="E266" s="27"/>
      <c r="F266" s="11" t="str">
        <f>VLOOKUP($G266, SeanRanks26!$A$2:$H$303, 5, FALSE)</f>
        <v/>
      </c>
      <c r="G266" s="16" t="s">
        <v>634</v>
      </c>
      <c r="H266" s="11" t="str">
        <f>VLOOKUP($G266, '26 ADP Data'!$C$4:$Q$298, 2, FALSE)</f>
        <v>MIA</v>
      </c>
      <c r="I266" s="11" t="str">
        <f>VLOOKUP(G266, '26 ADP Data'!$C$4:$R$496, 16, FALSE)</f>
        <v>RB</v>
      </c>
      <c r="J266" s="11" t="str">
        <f>VLOOKUP($G266, SeanRanks26!$A$2:$H$303, 6, FALSE)</f>
        <v/>
      </c>
      <c r="K266" s="11" t="str">
        <f>VLOOKUP($G266, SeanRanks26!$A$2:$H$303, 7, FALSE)</f>
        <v/>
      </c>
      <c r="L266" s="11">
        <f t="shared" si="5"/>
        <v>16</v>
      </c>
      <c r="M266" s="11" t="str">
        <f>VLOOKUP($G266, '26 ADP Data'!$C$4:$Q$298, 10, FALSE)</f>
        <v>-</v>
      </c>
      <c r="N266" s="11">
        <f>VLOOKUP($G266, '26 ADP Data'!$C$4:$Q$298, 13, FALSE)</f>
        <v>250</v>
      </c>
      <c r="O266" s="11" t="str">
        <f t="shared" si="6"/>
        <v>#VALUE!</v>
      </c>
      <c r="P266" s="11" t="str">
        <f>VLOOKUP($G266, '26 ADP Data'!$C$4:$Q$298, 3, FALSE)</f>
        <v>-</v>
      </c>
      <c r="Q266" s="11" t="str">
        <f>VLOOKUP($G266, '26 ADP Data'!$C$4:$Q$298, 4, FALSE)</f>
        <v>-</v>
      </c>
      <c r="R266" s="11">
        <f>VLOOKUP($G266, '26 ADP Data'!$C$4:$Q$298, 6, FALSE)</f>
        <v>220</v>
      </c>
      <c r="S266" s="11">
        <f>VLOOKUP($G266, '26 ADP Data'!$C$4:$Q$298, 9, FALSE)</f>
        <v>231</v>
      </c>
      <c r="T266" s="11" t="str">
        <f>VLOOKUP($G266, '26 ADP Data'!$C$4:$Q$298, 8, FALSE)</f>
        <v>-</v>
      </c>
      <c r="U266" s="11">
        <f t="shared" si="7"/>
        <v>233</v>
      </c>
      <c r="V266" s="11">
        <f t="shared" si="8"/>
        <v>20</v>
      </c>
      <c r="W266" s="11"/>
      <c r="X266" s="11" t="str">
        <f>VLOOKUP($G266, SeanRanks26!$A$2:$K$303, 10, FALSE)-U266</f>
        <v>#VALUE!</v>
      </c>
      <c r="Y266" s="29" t="str">
        <f>IF(VLOOKUP($G266, SeanRanks26!$A$2:$H$303, 8, FALSE)=0, "", VLOOKUP($G266, SeanRanks26!$A$2:$H$303, 8, FALSE))</f>
        <v/>
      </c>
    </row>
    <row r="267" ht="14.25" customHeight="1">
      <c r="A267" s="11"/>
      <c r="B267" s="11">
        <f t="shared" si="11"/>
        <v>19</v>
      </c>
      <c r="C267" s="11" t="s">
        <v>106</v>
      </c>
      <c r="D267" s="11"/>
      <c r="E267" s="27"/>
      <c r="F267" s="11" t="str">
        <f>VLOOKUP($G267, SeanRanks26!$A$2:$H$303, 5, FALSE)</f>
        <v/>
      </c>
      <c r="G267" s="16" t="s">
        <v>641</v>
      </c>
      <c r="H267" s="11" t="str">
        <f>VLOOKUP($G267, '26 ADP Data'!$C$4:$Q$298, 2, FALSE)</f>
        <v>SF</v>
      </c>
      <c r="I267" s="11" t="str">
        <f>VLOOKUP(G267, '26 ADP Data'!$C$4:$R$496, 16, FALSE)</f>
        <v>TE</v>
      </c>
      <c r="J267" s="11" t="str">
        <f>VLOOKUP($G267, SeanRanks26!$A$2:$H$303, 6, FALSE)</f>
        <v/>
      </c>
      <c r="K267" s="11" t="str">
        <f>VLOOKUP($G267, SeanRanks26!$A$2:$H$303, 7, FALSE)</f>
        <v/>
      </c>
      <c r="L267" s="11">
        <f t="shared" si="5"/>
        <v>16</v>
      </c>
      <c r="M267" s="11" t="str">
        <f>VLOOKUP($G267, '26 ADP Data'!$C$4:$Q$298, 10, FALSE)</f>
        <v>-</v>
      </c>
      <c r="N267" s="11">
        <f>VLOOKUP($G267, '26 ADP Data'!$C$4:$Q$298, 13, FALSE)</f>
        <v>252</v>
      </c>
      <c r="O267" s="11" t="str">
        <f t="shared" si="6"/>
        <v>#VALUE!</v>
      </c>
      <c r="P267" s="11" t="str">
        <f>VLOOKUP($G267, '26 ADP Data'!$C$4:$Q$298, 3, FALSE)</f>
        <v>-</v>
      </c>
      <c r="Q267" s="11" t="str">
        <f>VLOOKUP($G267, '26 ADP Data'!$C$4:$Q$298, 4, FALSE)</f>
        <v>-</v>
      </c>
      <c r="R267" s="11">
        <f>VLOOKUP($G267, '26 ADP Data'!$C$4:$Q$298, 6, FALSE)</f>
        <v>208</v>
      </c>
      <c r="S267" s="11">
        <f>VLOOKUP($G267, '26 ADP Data'!$C$4:$Q$298, 9, FALSE)</f>
        <v>242</v>
      </c>
      <c r="T267" s="11" t="str">
        <f>VLOOKUP($G267, '26 ADP Data'!$C$4:$Q$298, 8, FALSE)</f>
        <v>-</v>
      </c>
      <c r="U267" s="11">
        <f t="shared" si="7"/>
        <v>234</v>
      </c>
      <c r="V267" s="11">
        <f t="shared" si="8"/>
        <v>20</v>
      </c>
      <c r="W267" s="11"/>
      <c r="X267" s="11" t="str">
        <f>VLOOKUP($G267, SeanRanks26!$A$2:$K$303, 10, FALSE)-U267</f>
        <v>#VALUE!</v>
      </c>
      <c r="Y267" s="29" t="str">
        <f>IF(VLOOKUP($G267, SeanRanks26!$A$2:$H$303, 8, FALSE)=0, "", VLOOKUP($G267, SeanRanks26!$A$2:$H$303, 8, FALSE))</f>
        <v/>
      </c>
    </row>
    <row r="268" ht="14.25" customHeight="1">
      <c r="A268" s="11"/>
      <c r="B268" s="11">
        <f t="shared" si="11"/>
        <v>20</v>
      </c>
      <c r="C268" s="11" t="s">
        <v>106</v>
      </c>
      <c r="D268" s="11"/>
      <c r="E268" s="27"/>
      <c r="F268" s="11" t="str">
        <f>VLOOKUP($G268, SeanRanks26!$A$2:$H$303, 5, FALSE)</f>
        <v>#N/A</v>
      </c>
      <c r="G268" s="16" t="s">
        <v>630</v>
      </c>
      <c r="H268" s="11" t="str">
        <f>VLOOKUP($G268, '26 ADP Data'!$C$4:$Q$298, 2, FALSE)</f>
        <v>CHI</v>
      </c>
      <c r="I268" s="11" t="str">
        <f>VLOOKUP(G268, '26 ADP Data'!$C$4:$R$496, 16, FALSE)</f>
        <v>DE</v>
      </c>
      <c r="J268" s="11" t="str">
        <f>VLOOKUP($G268, SeanRanks26!$A$2:$H$303, 6, FALSE)</f>
        <v>#N/A</v>
      </c>
      <c r="K268" s="11" t="str">
        <f>VLOOKUP($G268, SeanRanks26!$A$2:$H$303, 7, FALSE)</f>
        <v>#N/A</v>
      </c>
      <c r="L268" s="11">
        <f t="shared" si="5"/>
        <v>16</v>
      </c>
      <c r="M268" s="11" t="str">
        <f>VLOOKUP($G268, '26 ADP Data'!$C$4:$Q$298, 10, FALSE)</f>
        <v>-</v>
      </c>
      <c r="N268" s="11" t="str">
        <f>VLOOKUP($G268, '26 ADP Data'!$C$4:$Q$298, 13, FALSE)</f>
        <v>-</v>
      </c>
      <c r="O268" s="11" t="str">
        <f t="shared" si="6"/>
        <v>#VALUE!</v>
      </c>
      <c r="P268" s="11">
        <f>VLOOKUP($G268, '26 ADP Data'!$C$4:$Q$298, 3, FALSE)</f>
        <v>200</v>
      </c>
      <c r="Q268" s="11">
        <f>VLOOKUP($G268, '26 ADP Data'!$C$4:$Q$298, 4, FALSE)</f>
        <v>211</v>
      </c>
      <c r="R268" s="11">
        <f>VLOOKUP($G268, '26 ADP Data'!$C$4:$Q$298, 6, FALSE)</f>
        <v>285</v>
      </c>
      <c r="S268" s="11">
        <f>VLOOKUP($G268, '26 ADP Data'!$C$4:$Q$298, 9, FALSE)</f>
        <v>254</v>
      </c>
      <c r="T268" s="11" t="str">
        <f>VLOOKUP($G268, '26 ADP Data'!$C$4:$Q$298, 8, FALSE)</f>
        <v>-</v>
      </c>
      <c r="U268" s="11">
        <f t="shared" si="7"/>
        <v>237</v>
      </c>
      <c r="V268" s="11">
        <f t="shared" si="8"/>
        <v>20</v>
      </c>
      <c r="W268" s="11"/>
      <c r="X268" s="11" t="str">
        <f>VLOOKUP($G268, SeanRanks26!$A$2:$K$303, 10, FALSE)-U268</f>
        <v>#N/A</v>
      </c>
      <c r="Y268" s="29" t="str">
        <f>IF(VLOOKUP($G268, SeanRanks26!$A$2:$H$303, 8, FALSE)=0, "", VLOOKUP($G268, SeanRanks26!$A$2:$H$303, 8, FALSE))</f>
        <v>#N/A</v>
      </c>
    </row>
    <row r="269" ht="14.25" customHeight="1">
      <c r="A269" s="11"/>
      <c r="B269" s="11">
        <f t="shared" si="11"/>
        <v>18</v>
      </c>
      <c r="C269" s="11" t="s">
        <v>106</v>
      </c>
      <c r="D269" s="11"/>
      <c r="E269" s="27"/>
      <c r="F269" s="11" t="str">
        <f>VLOOKUP($G269, SeanRanks26!$A$2:$H$303, 5, FALSE)</f>
        <v>#N/A</v>
      </c>
      <c r="G269" s="16" t="s">
        <v>714</v>
      </c>
      <c r="H269" s="11" t="str">
        <f>VLOOKUP($G269, '26 ADP Data'!$C$4:$Q$298, 2, FALSE)</f>
        <v>NYG</v>
      </c>
      <c r="I269" s="11" t="str">
        <f>VLOOKUP(G269, '26 ADP Data'!$C$4:$R$496, 16, FALSE)</f>
        <v>WR</v>
      </c>
      <c r="J269" s="11" t="str">
        <f>VLOOKUP($G269, SeanRanks26!$A$2:$H$303, 6, FALSE)</f>
        <v>#N/A</v>
      </c>
      <c r="K269" s="11" t="str">
        <f>VLOOKUP($G269, SeanRanks26!$A$2:$H$303, 7, FALSE)</f>
        <v>#N/A</v>
      </c>
      <c r="L269" s="11">
        <f t="shared" si="5"/>
        <v>16</v>
      </c>
      <c r="M269" s="11" t="str">
        <f>VLOOKUP($G269, '26 ADP Data'!$C$4:$Q$298, 10, FALSE)</f>
        <v>-</v>
      </c>
      <c r="N269" s="11">
        <f>VLOOKUP($G269, '26 ADP Data'!$C$4:$Q$298, 13, FALSE)</f>
        <v>270</v>
      </c>
      <c r="O269" s="11" t="str">
        <f t="shared" si="6"/>
        <v>#VALUE!</v>
      </c>
      <c r="P269" s="11" t="str">
        <f>VLOOKUP($G269, '26 ADP Data'!$C$4:$Q$298, 3, FALSE)</f>
        <v>-</v>
      </c>
      <c r="Q269" s="11">
        <f>VLOOKUP($G269, '26 ADP Data'!$C$4:$Q$298, 4, FALSE)</f>
        <v>206</v>
      </c>
      <c r="R269" s="11" t="str">
        <f>VLOOKUP($G269, '26 ADP Data'!$C$4:$Q$298, 6, FALSE)</f>
        <v>-</v>
      </c>
      <c r="S269" s="11" t="str">
        <f>VLOOKUP($G269, '26 ADP Data'!$C$4:$Q$298, 9, FALSE)</f>
        <v>-</v>
      </c>
      <c r="T269" s="11" t="str">
        <f>VLOOKUP($G269, '26 ADP Data'!$C$4:$Q$298, 8, FALSE)</f>
        <v>-</v>
      </c>
      <c r="U269" s="11">
        <f t="shared" si="7"/>
        <v>238</v>
      </c>
      <c r="V269" s="11">
        <f t="shared" si="8"/>
        <v>20</v>
      </c>
      <c r="W269" s="11"/>
      <c r="X269" s="11" t="str">
        <f>VLOOKUP($G269, SeanRanks26!$A$2:$K$303, 10, FALSE)-U269</f>
        <v>#N/A</v>
      </c>
      <c r="Y269" s="29" t="str">
        <f>IF(VLOOKUP($G269, SeanRanks26!$A$2:$H$303, 8, FALSE)=0, "", VLOOKUP($G269, SeanRanks26!$A$2:$H$303, 8, FALSE))</f>
        <v>#N/A</v>
      </c>
    </row>
    <row r="270" ht="14.25" customHeight="1">
      <c r="A270" s="11"/>
      <c r="B270" s="11">
        <f t="shared" si="11"/>
        <v>21</v>
      </c>
      <c r="C270" s="11" t="s">
        <v>106</v>
      </c>
      <c r="D270" s="11"/>
      <c r="E270" s="27"/>
      <c r="F270" s="11" t="str">
        <f>VLOOKUP($G270, SeanRanks26!$A$2:$H$303, 5, FALSE)</f>
        <v/>
      </c>
      <c r="G270" s="16" t="s">
        <v>639</v>
      </c>
      <c r="H270" s="11" t="str">
        <f>VLOOKUP($G270, '26 ADP Data'!$C$4:$Q$298, 2, FALSE)</f>
        <v>ATL</v>
      </c>
      <c r="I270" s="11" t="str">
        <f>VLOOKUP(G270, '26 ADP Data'!$C$4:$R$496, 16, FALSE)</f>
        <v>QB</v>
      </c>
      <c r="J270" s="11" t="str">
        <f>VLOOKUP($G270, SeanRanks26!$A$2:$H$303, 6, FALSE)</f>
        <v/>
      </c>
      <c r="K270" s="11" t="str">
        <f>VLOOKUP($G270, SeanRanks26!$A$2:$H$303, 7, FALSE)</f>
        <v/>
      </c>
      <c r="L270" s="11">
        <f t="shared" si="5"/>
        <v>16</v>
      </c>
      <c r="M270" s="11" t="str">
        <f>VLOOKUP($G270, '26 ADP Data'!$C$4:$Q$298, 10, FALSE)</f>
        <v>-</v>
      </c>
      <c r="N270" s="11">
        <f>VLOOKUP($G270, '26 ADP Data'!$C$4:$Q$298, 13, FALSE)</f>
        <v>224</v>
      </c>
      <c r="O270" s="11" t="str">
        <f t="shared" si="6"/>
        <v>#VALUE!</v>
      </c>
      <c r="P270" s="11" t="str">
        <f>VLOOKUP($G270, '26 ADP Data'!$C$4:$Q$298, 3, FALSE)</f>
        <v>-</v>
      </c>
      <c r="Q270" s="11" t="str">
        <f>VLOOKUP($G270, '26 ADP Data'!$C$4:$Q$298, 4, FALSE)</f>
        <v>-</v>
      </c>
      <c r="R270" s="11">
        <f>VLOOKUP($G270, '26 ADP Data'!$C$4:$Q$298, 6, FALSE)</f>
        <v>245</v>
      </c>
      <c r="S270" s="11">
        <f>VLOOKUP($G270, '26 ADP Data'!$C$4:$Q$298, 9, FALSE)</f>
        <v>249</v>
      </c>
      <c r="T270" s="11" t="str">
        <f>VLOOKUP($G270, '26 ADP Data'!$C$4:$Q$298, 8, FALSE)</f>
        <v>-</v>
      </c>
      <c r="U270" s="11">
        <f t="shared" si="7"/>
        <v>239</v>
      </c>
      <c r="V270" s="11">
        <f t="shared" si="8"/>
        <v>20</v>
      </c>
      <c r="W270" s="11"/>
      <c r="X270" s="11" t="str">
        <f>VLOOKUP($G270, SeanRanks26!$A$2:$K$303, 10, FALSE)-U270</f>
        <v>#VALUE!</v>
      </c>
      <c r="Y270" s="29" t="str">
        <f>IF(VLOOKUP($G270, SeanRanks26!$A$2:$H$303, 8, FALSE)=0, "", VLOOKUP($G270, SeanRanks26!$A$2:$H$303, 8, FALSE))</f>
        <v/>
      </c>
    </row>
    <row r="271" ht="14.25" customHeight="1">
      <c r="A271" s="11"/>
      <c r="B271" s="11">
        <f t="shared" si="11"/>
        <v>21</v>
      </c>
      <c r="C271" s="11" t="s">
        <v>106</v>
      </c>
      <c r="D271" s="11"/>
      <c r="E271" s="27"/>
      <c r="F271" s="11" t="str">
        <f>VLOOKUP($G271, SeanRanks26!$A$2:$H$303, 5, FALSE)</f>
        <v>#N/A</v>
      </c>
      <c r="G271" s="16" t="s">
        <v>705</v>
      </c>
      <c r="H271" s="11" t="str">
        <f>VLOOKUP($G271, '26 ADP Data'!$C$4:$Q$298, 2, FALSE)</f>
        <v>DEN</v>
      </c>
      <c r="I271" s="11" t="str">
        <f>VLOOKUP(G271, '26 ADP Data'!$C$4:$R$496, 16, FALSE)</f>
        <v>K-</v>
      </c>
      <c r="J271" s="11" t="str">
        <f>VLOOKUP($G271, SeanRanks26!$A$2:$H$303, 6, FALSE)</f>
        <v>#N/A</v>
      </c>
      <c r="K271" s="11" t="str">
        <f>VLOOKUP($G271, SeanRanks26!$A$2:$H$303, 7, FALSE)</f>
        <v>#N/A</v>
      </c>
      <c r="L271" s="11">
        <f t="shared" si="5"/>
        <v>20</v>
      </c>
      <c r="M271" s="11">
        <f>VLOOKUP($G271, '26 ADP Data'!$C$4:$Q$298, 10, FALSE)</f>
        <v>229</v>
      </c>
      <c r="N271" s="11" t="str">
        <f>VLOOKUP($G271, '26 ADP Data'!$C$4:$Q$298, 13, FALSE)</f>
        <v>-</v>
      </c>
      <c r="O271" s="11" t="str">
        <f t="shared" si="6"/>
        <v>#VALUE!</v>
      </c>
      <c r="P271" s="11">
        <f>VLOOKUP($G271, '26 ADP Data'!$C$4:$Q$298, 3, FALSE)</f>
        <v>213</v>
      </c>
      <c r="Q271" s="11">
        <f>VLOOKUP($G271, '26 ADP Data'!$C$4:$Q$298, 4, FALSE)</f>
        <v>226</v>
      </c>
      <c r="R271" s="11">
        <f>VLOOKUP($G271, '26 ADP Data'!$C$4:$Q$298, 6, FALSE)</f>
        <v>292</v>
      </c>
      <c r="S271" s="11" t="str">
        <f>VLOOKUP($G271, '26 ADP Data'!$C$4:$Q$298, 9, FALSE)</f>
        <v>-</v>
      </c>
      <c r="T271" s="11" t="str">
        <f>VLOOKUP($G271, '26 ADP Data'!$C$4:$Q$298, 8, FALSE)</f>
        <v>-</v>
      </c>
      <c r="U271" s="11">
        <f t="shared" si="7"/>
        <v>240</v>
      </c>
      <c r="V271" s="11">
        <f t="shared" si="8"/>
        <v>21</v>
      </c>
      <c r="W271" s="11"/>
      <c r="X271" s="11" t="str">
        <f>VLOOKUP($G271, SeanRanks26!$A$2:$K$303, 10, FALSE)-U271</f>
        <v>#N/A</v>
      </c>
      <c r="Y271" s="29" t="s">
        <v>833</v>
      </c>
    </row>
    <row r="272" ht="14.25" customHeight="1">
      <c r="A272" s="11"/>
      <c r="B272" s="11">
        <f t="shared" si="11"/>
        <v>22</v>
      </c>
      <c r="C272" s="11" t="s">
        <v>106</v>
      </c>
      <c r="D272" s="11"/>
      <c r="E272" s="27"/>
      <c r="F272" s="11" t="str">
        <f>VLOOKUP($G272, SeanRanks26!$A$2:$H$303, 5, FALSE)</f>
        <v/>
      </c>
      <c r="G272" s="16" t="s">
        <v>682</v>
      </c>
      <c r="H272" s="11" t="str">
        <f>VLOOKUP($G272, '26 ADP Data'!$C$4:$Q$298, 2, FALSE)</f>
        <v>ATL</v>
      </c>
      <c r="I272" s="11" t="str">
        <f>VLOOKUP(G272, '26 ADP Data'!$C$4:$R$496, 16, FALSE)</f>
        <v>QB</v>
      </c>
      <c r="J272" s="11" t="str">
        <f>VLOOKUP($G272, SeanRanks26!$A$2:$H$303, 6, FALSE)</f>
        <v/>
      </c>
      <c r="K272" s="11" t="str">
        <f>VLOOKUP($G272, SeanRanks26!$A$2:$H$303, 7, FALSE)</f>
        <v/>
      </c>
      <c r="L272" s="11">
        <f t="shared" si="5"/>
        <v>16</v>
      </c>
      <c r="M272" s="11" t="str">
        <f>VLOOKUP($G272, '26 ADP Data'!$C$4:$Q$298, 10, FALSE)</f>
        <v>-</v>
      </c>
      <c r="N272" s="11">
        <f>VLOOKUP($G272, '26 ADP Data'!$C$4:$Q$298, 13, FALSE)</f>
        <v>219</v>
      </c>
      <c r="O272" s="11" t="str">
        <f t="shared" si="6"/>
        <v>#VALUE!</v>
      </c>
      <c r="P272" s="11" t="str">
        <f>VLOOKUP($G272, '26 ADP Data'!$C$4:$Q$298, 3, FALSE)</f>
        <v>-</v>
      </c>
      <c r="Q272" s="11" t="str">
        <f>VLOOKUP($G272, '26 ADP Data'!$C$4:$Q$298, 4, FALSE)</f>
        <v>-</v>
      </c>
      <c r="R272" s="11">
        <f>VLOOKUP($G272, '26 ADP Data'!$C$4:$Q$298, 6, FALSE)</f>
        <v>261</v>
      </c>
      <c r="S272" s="11" t="str">
        <f>VLOOKUP($G272, '26 ADP Data'!$C$4:$Q$298, 9, FALSE)</f>
        <v>-</v>
      </c>
      <c r="T272" s="11" t="str">
        <f>VLOOKUP($G272, '26 ADP Data'!$C$4:$Q$298, 8, FALSE)</f>
        <v>-</v>
      </c>
      <c r="U272" s="11">
        <f t="shared" si="7"/>
        <v>240</v>
      </c>
      <c r="V272" s="11">
        <f t="shared" si="8"/>
        <v>21</v>
      </c>
      <c r="W272" s="11"/>
      <c r="X272" s="11" t="str">
        <f>VLOOKUP($G272, SeanRanks26!$A$2:$K$303, 10, FALSE)-U272</f>
        <v>#VALUE!</v>
      </c>
      <c r="Y272" s="29" t="str">
        <f>IF(VLOOKUP($G272, SeanRanks26!$A$2:$H$303, 8, FALSE)=0, "", VLOOKUP($G272, SeanRanks26!$A$2:$H$303, 8, FALSE))</f>
        <v/>
      </c>
    </row>
    <row r="273" ht="14.25" customHeight="1">
      <c r="A273" s="11"/>
      <c r="B273" s="11">
        <f t="shared" si="11"/>
        <v>21</v>
      </c>
      <c r="C273" s="11" t="s">
        <v>106</v>
      </c>
      <c r="D273" s="11"/>
      <c r="E273" s="27"/>
      <c r="F273" s="11" t="str">
        <f>VLOOKUP($G273, SeanRanks26!$A$2:$H$303, 5, FALSE)</f>
        <v/>
      </c>
      <c r="G273" s="16" t="s">
        <v>595</v>
      </c>
      <c r="H273" s="11" t="str">
        <f>VLOOKUP($G273, '26 ADP Data'!$C$4:$Q$298, 2, FALSE)</f>
        <v>CLE</v>
      </c>
      <c r="I273" s="11" t="str">
        <f>VLOOKUP(G273, '26 ADP Data'!$C$4:$R$496, 16, FALSE)</f>
        <v>QB</v>
      </c>
      <c r="J273" s="11" t="str">
        <f>VLOOKUP($G273, SeanRanks26!$A$2:$H$303, 6, FALSE)</f>
        <v/>
      </c>
      <c r="K273" s="11" t="str">
        <f>VLOOKUP($G273, SeanRanks26!$A$2:$H$303, 7, FALSE)</f>
        <v/>
      </c>
      <c r="L273" s="11">
        <f t="shared" si="5"/>
        <v>16</v>
      </c>
      <c r="M273" s="11" t="str">
        <f>VLOOKUP($G273, '26 ADP Data'!$C$4:$Q$298, 10, FALSE)</f>
        <v>-</v>
      </c>
      <c r="N273" s="11">
        <f>VLOOKUP($G273, '26 ADP Data'!$C$4:$Q$298, 13, FALSE)</f>
        <v>227</v>
      </c>
      <c r="O273" s="11" t="str">
        <f t="shared" si="6"/>
        <v>#VALUE!</v>
      </c>
      <c r="P273" s="11" t="str">
        <f>VLOOKUP($G273, '26 ADP Data'!$C$4:$Q$298, 3, FALSE)</f>
        <v>-</v>
      </c>
      <c r="Q273" s="11">
        <f>VLOOKUP($G273, '26 ADP Data'!$C$4:$Q$298, 4, FALSE)</f>
        <v>217</v>
      </c>
      <c r="R273" s="11">
        <f>VLOOKUP($G273, '26 ADP Data'!$C$4:$Q$298, 6, FALSE)</f>
        <v>259</v>
      </c>
      <c r="S273" s="11">
        <f>VLOOKUP($G273, '26 ADP Data'!$C$4:$Q$298, 9, FALSE)</f>
        <v>261</v>
      </c>
      <c r="T273" s="11" t="str">
        <f>VLOOKUP($G273, '26 ADP Data'!$C$4:$Q$298, 8, FALSE)</f>
        <v>-</v>
      </c>
      <c r="U273" s="11">
        <f t="shared" si="7"/>
        <v>241</v>
      </c>
      <c r="V273" s="11">
        <f t="shared" si="8"/>
        <v>21</v>
      </c>
      <c r="W273" s="11"/>
      <c r="X273" s="11" t="str">
        <f>VLOOKUP($G273, SeanRanks26!$A$2:$K$303, 10, FALSE)-U273</f>
        <v>#VALUE!</v>
      </c>
      <c r="Y273" s="29" t="str">
        <f>IF(VLOOKUP($G273, SeanRanks26!$A$2:$H$303, 8, FALSE)=0, "", VLOOKUP($G273, SeanRanks26!$A$2:$H$303, 8, FALSE))</f>
        <v/>
      </c>
    </row>
    <row r="274" ht="14.25" customHeight="1">
      <c r="A274" s="11"/>
      <c r="B274" s="11">
        <f t="shared" si="11"/>
        <v>21</v>
      </c>
      <c r="C274" s="11" t="s">
        <v>106</v>
      </c>
      <c r="D274" s="11"/>
      <c r="E274" s="27"/>
      <c r="F274" s="11" t="str">
        <f>VLOOKUP($G274, SeanRanks26!$A$2:$H$303, 5, FALSE)</f>
        <v/>
      </c>
      <c r="G274" s="16" t="s">
        <v>132</v>
      </c>
      <c r="H274" s="11" t="str">
        <f>VLOOKUP($G274, '26 ADP Data'!$C$4:$Q$298, 2, FALSE)</f>
        <v>-</v>
      </c>
      <c r="I274" s="11" t="str">
        <f>VLOOKUP(G274, '26 ADP Data'!$C$4:$R$496, 16, FALSE)</f>
        <v>WR</v>
      </c>
      <c r="J274" s="11" t="str">
        <f>VLOOKUP($G274, SeanRanks26!$A$2:$H$303, 6, FALSE)</f>
        <v/>
      </c>
      <c r="K274" s="11">
        <f>VLOOKUP($G274, SeanRanks26!$A$2:$H$303, 7, FALSE)</f>
        <v>999</v>
      </c>
      <c r="L274" s="11">
        <f t="shared" si="5"/>
        <v>16</v>
      </c>
      <c r="M274" s="11" t="str">
        <f>VLOOKUP($G274, '26 ADP Data'!$C$4:$Q$298, 10, FALSE)</f>
        <v>-</v>
      </c>
      <c r="N274" s="11">
        <f>VLOOKUP($G274, '26 ADP Data'!$C$4:$Q$298, 13, FALSE)</f>
        <v>242</v>
      </c>
      <c r="O274" s="11" t="str">
        <f t="shared" si="6"/>
        <v>#VALUE!</v>
      </c>
      <c r="P274" s="11" t="str">
        <f>VLOOKUP($G274, '26 ADP Data'!$C$4:$Q$298, 3, FALSE)</f>
        <v>-</v>
      </c>
      <c r="Q274" s="11">
        <f>VLOOKUP($G274, '26 ADP Data'!$C$4:$Q$298, 4, FALSE)</f>
        <v>229</v>
      </c>
      <c r="R274" s="11">
        <f>VLOOKUP($G274, '26 ADP Data'!$C$4:$Q$298, 6, FALSE)</f>
        <v>299</v>
      </c>
      <c r="S274" s="11">
        <f>VLOOKUP($G274, '26 ADP Data'!$C$4:$Q$298, 9, FALSE)</f>
        <v>201</v>
      </c>
      <c r="T274" s="11" t="str">
        <f>VLOOKUP($G274, '26 ADP Data'!$C$4:$Q$298, 8, FALSE)</f>
        <v>-</v>
      </c>
      <c r="U274" s="11">
        <f t="shared" si="7"/>
        <v>242</v>
      </c>
      <c r="V274" s="11">
        <f t="shared" si="8"/>
        <v>21</v>
      </c>
      <c r="W274" s="11"/>
      <c r="X274" s="11" t="str">
        <f>VLOOKUP($G274, SeanRanks26!$A$2:$K$303, 10, FALSE)-U274</f>
        <v>#VALUE!</v>
      </c>
      <c r="Y274" s="29" t="str">
        <f>IF(VLOOKUP($G274, SeanRanks26!$A$2:$H$303, 8, FALSE)=0, "", VLOOKUP($G274, SeanRanks26!$A$2:$H$303, 8, FALSE))</f>
        <v/>
      </c>
    </row>
    <row r="275" ht="14.25" customHeight="1">
      <c r="A275" s="11"/>
      <c r="B275" s="11">
        <f t="shared" si="11"/>
        <v>23</v>
      </c>
      <c r="C275" s="11" t="s">
        <v>106</v>
      </c>
      <c r="D275" s="11"/>
      <c r="E275" s="27"/>
      <c r="F275" s="11" t="str">
        <f>VLOOKUP($G275, SeanRanks26!$A$2:$H$303, 5, FALSE)</f>
        <v/>
      </c>
      <c r="G275" s="16" t="s">
        <v>674</v>
      </c>
      <c r="H275" s="11" t="str">
        <f>VLOOKUP($G275, '26 ADP Data'!$C$4:$Q$298, 2, FALSE)</f>
        <v>KC</v>
      </c>
      <c r="I275" s="11" t="str">
        <f>VLOOKUP(G275, '26 ADP Data'!$C$4:$R$496, 16, FALSE)</f>
        <v>WR</v>
      </c>
      <c r="J275" s="11" t="str">
        <f>VLOOKUP($G275, SeanRanks26!$A$2:$H$303, 6, FALSE)</f>
        <v/>
      </c>
      <c r="K275" s="11" t="str">
        <f>VLOOKUP($G275, SeanRanks26!$A$2:$H$303, 7, FALSE)</f>
        <v/>
      </c>
      <c r="L275" s="11">
        <f t="shared" si="5"/>
        <v>20</v>
      </c>
      <c r="M275" s="11">
        <f>VLOOKUP($G275, '26 ADP Data'!$C$4:$Q$298, 10, FALSE)</f>
        <v>231</v>
      </c>
      <c r="N275" s="11">
        <f>VLOOKUP($G275, '26 ADP Data'!$C$4:$Q$298, 13, FALSE)</f>
        <v>234</v>
      </c>
      <c r="O275" s="11">
        <f t="shared" si="6"/>
        <v>-3</v>
      </c>
      <c r="P275" s="11" t="str">
        <f>VLOOKUP($G275, '26 ADP Data'!$C$4:$Q$298, 3, FALSE)</f>
        <v>-</v>
      </c>
      <c r="Q275" s="11" t="str">
        <f>VLOOKUP($G275, '26 ADP Data'!$C$4:$Q$298, 4, FALSE)</f>
        <v>-</v>
      </c>
      <c r="R275" s="11">
        <f>VLOOKUP($G275, '26 ADP Data'!$C$4:$Q$298, 6, FALSE)</f>
        <v>266</v>
      </c>
      <c r="S275" s="11" t="str">
        <f>VLOOKUP($G275, '26 ADP Data'!$C$4:$Q$298, 9, FALSE)</f>
        <v>-</v>
      </c>
      <c r="T275" s="11" t="str">
        <f>VLOOKUP($G275, '26 ADP Data'!$C$4:$Q$298, 8, FALSE)</f>
        <v>-</v>
      </c>
      <c r="U275" s="11">
        <f t="shared" si="7"/>
        <v>243</v>
      </c>
      <c r="V275" s="11">
        <f t="shared" si="8"/>
        <v>21</v>
      </c>
      <c r="W275" s="11"/>
      <c r="X275" s="11">
        <f>VLOOKUP($G275, SeanRanks26!$A$2:$K$303, 10, FALSE)-U275</f>
        <v>-12</v>
      </c>
      <c r="Y275" s="29" t="s">
        <v>794</v>
      </c>
    </row>
    <row r="276" ht="14.25" customHeight="1">
      <c r="A276" s="11"/>
      <c r="B276" s="11">
        <f t="shared" si="11"/>
        <v>22</v>
      </c>
      <c r="C276" s="11" t="s">
        <v>106</v>
      </c>
      <c r="D276" s="11"/>
      <c r="E276" s="27"/>
      <c r="F276" s="11" t="str">
        <f>VLOOKUP($G276, SeanRanks26!$A$2:$H$303, 5, FALSE)</f>
        <v/>
      </c>
      <c r="G276" s="16" t="s">
        <v>645</v>
      </c>
      <c r="H276" s="11" t="str">
        <f>VLOOKUP($G276, '26 ADP Data'!$C$4:$Q$298, 2, FALSE)</f>
        <v>CIN</v>
      </c>
      <c r="I276" s="11" t="str">
        <f>VLOOKUP(G276, '26 ADP Data'!$C$4:$R$496, 16, FALSE)</f>
        <v>TE</v>
      </c>
      <c r="J276" s="11" t="str">
        <f>VLOOKUP($G276, SeanRanks26!$A$2:$H$303, 6, FALSE)</f>
        <v/>
      </c>
      <c r="K276" s="11" t="str">
        <f>VLOOKUP($G276, SeanRanks26!$A$2:$H$303, 7, FALSE)</f>
        <v/>
      </c>
      <c r="L276" s="11">
        <f t="shared" si="5"/>
        <v>16</v>
      </c>
      <c r="M276" s="11" t="str">
        <f>VLOOKUP($G276, '26 ADP Data'!$C$4:$Q$298, 10, FALSE)</f>
        <v>-</v>
      </c>
      <c r="N276" s="11">
        <f>VLOOKUP($G276, '26 ADP Data'!$C$4:$Q$298, 13, FALSE)</f>
        <v>230</v>
      </c>
      <c r="O276" s="11" t="str">
        <f t="shared" si="6"/>
        <v>#VALUE!</v>
      </c>
      <c r="P276" s="11" t="str">
        <f>VLOOKUP($G276, '26 ADP Data'!$C$4:$Q$298, 3, FALSE)</f>
        <v>-</v>
      </c>
      <c r="Q276" s="11" t="str">
        <f>VLOOKUP($G276, '26 ADP Data'!$C$4:$Q$298, 4, FALSE)</f>
        <v>-</v>
      </c>
      <c r="R276" s="11">
        <f>VLOOKUP($G276, '26 ADP Data'!$C$4:$Q$298, 6, FALSE)</f>
        <v>236</v>
      </c>
      <c r="S276" s="11">
        <f>VLOOKUP($G276, '26 ADP Data'!$C$4:$Q$298, 9, FALSE)</f>
        <v>271</v>
      </c>
      <c r="T276" s="11" t="str">
        <f>VLOOKUP($G276, '26 ADP Data'!$C$4:$Q$298, 8, FALSE)</f>
        <v>-</v>
      </c>
      <c r="U276" s="11">
        <f t="shared" si="7"/>
        <v>245</v>
      </c>
      <c r="V276" s="11">
        <f t="shared" si="8"/>
        <v>21</v>
      </c>
      <c r="W276" s="11"/>
      <c r="X276" s="11" t="str">
        <f>VLOOKUP($G276, SeanRanks26!$A$2:$K$303, 10, FALSE)-U276</f>
        <v>#VALUE!</v>
      </c>
      <c r="Y276" s="29" t="str">
        <f>IF(VLOOKUP($G276, SeanRanks26!$A$2:$H$303, 8, FALSE)=0, "", VLOOKUP($G276, SeanRanks26!$A$2:$H$303, 8, FALSE))</f>
        <v/>
      </c>
    </row>
    <row r="277" ht="14.25" customHeight="1">
      <c r="A277" s="11"/>
      <c r="B277" s="11">
        <f t="shared" si="11"/>
        <v>21</v>
      </c>
      <c r="C277" s="11" t="s">
        <v>106</v>
      </c>
      <c r="D277" s="11"/>
      <c r="E277" s="27"/>
      <c r="F277" s="11" t="str">
        <f>VLOOKUP($G277, SeanRanks26!$A$2:$H$303, 5, FALSE)</f>
        <v/>
      </c>
      <c r="G277" s="16" t="s">
        <v>709</v>
      </c>
      <c r="H277" s="11" t="str">
        <f>VLOOKUP($G277, '26 ADP Data'!$C$4:$Q$298, 2, FALSE)</f>
        <v>PIT</v>
      </c>
      <c r="I277" s="11" t="str">
        <f>VLOOKUP(G277, '26 ADP Data'!$C$4:$R$496, 16, FALSE)</f>
        <v>TE</v>
      </c>
      <c r="J277" s="11" t="str">
        <f>VLOOKUP($G277, SeanRanks26!$A$2:$H$303, 6, FALSE)</f>
        <v/>
      </c>
      <c r="K277" s="11" t="str">
        <f>VLOOKUP($G277, SeanRanks26!$A$2:$H$303, 7, FALSE)</f>
        <v/>
      </c>
      <c r="L277" s="11">
        <f t="shared" si="5"/>
        <v>16</v>
      </c>
      <c r="M277" s="11" t="str">
        <f>VLOOKUP($G277, '26 ADP Data'!$C$4:$Q$298, 10, FALSE)</f>
        <v>-</v>
      </c>
      <c r="N277" s="11">
        <f>VLOOKUP($G277, '26 ADP Data'!$C$4:$Q$298, 13, FALSE)</f>
        <v>251</v>
      </c>
      <c r="O277" s="11" t="str">
        <f t="shared" si="6"/>
        <v>#VALUE!</v>
      </c>
      <c r="P277" s="11" t="str">
        <f>VLOOKUP($G277, '26 ADP Data'!$C$4:$Q$298, 3, FALSE)</f>
        <v>-</v>
      </c>
      <c r="Q277" s="11">
        <f>VLOOKUP($G277, '26 ADP Data'!$C$4:$Q$298, 4, FALSE)</f>
        <v>218</v>
      </c>
      <c r="R277" s="11">
        <f>VLOOKUP($G277, '26 ADP Data'!$C$4:$Q$298, 6, FALSE)</f>
        <v>268</v>
      </c>
      <c r="S277" s="11" t="str">
        <f>VLOOKUP($G277, '26 ADP Data'!$C$4:$Q$298, 9, FALSE)</f>
        <v>-</v>
      </c>
      <c r="T277" s="11" t="str">
        <f>VLOOKUP($G277, '26 ADP Data'!$C$4:$Q$298, 8, FALSE)</f>
        <v>-</v>
      </c>
      <c r="U277" s="11">
        <f t="shared" si="7"/>
        <v>245</v>
      </c>
      <c r="V277" s="11">
        <f t="shared" si="8"/>
        <v>21</v>
      </c>
      <c r="W277" s="11"/>
      <c r="X277" s="11" t="str">
        <f>VLOOKUP($G277, SeanRanks26!$A$2:$K$303, 10, FALSE)-U277</f>
        <v>#VALUE!</v>
      </c>
      <c r="Y277" s="29" t="str">
        <f>IF(VLOOKUP($G277, SeanRanks26!$A$2:$H$303, 8, FALSE)=0, "", VLOOKUP($G277, SeanRanks26!$A$2:$H$303, 8, FALSE))</f>
        <v/>
      </c>
    </row>
    <row r="278" ht="14.25" customHeight="1">
      <c r="A278" s="11"/>
      <c r="B278" s="11">
        <f t="shared" si="11"/>
        <v>21</v>
      </c>
      <c r="C278" s="11" t="s">
        <v>106</v>
      </c>
      <c r="D278" s="11"/>
      <c r="E278" s="27"/>
      <c r="F278" s="11" t="str">
        <f>VLOOKUP($G278, SeanRanks26!$A$2:$H$303, 5, FALSE)</f>
        <v>#N/A</v>
      </c>
      <c r="G278" s="16" t="s">
        <v>676</v>
      </c>
      <c r="H278" s="11" t="str">
        <f>VLOOKUP($G278, '26 ADP Data'!$C$4:$Q$298, 2, FALSE)</f>
        <v>SF</v>
      </c>
      <c r="I278" s="11" t="str">
        <f>VLOOKUP(G278, '26 ADP Data'!$C$4:$R$496, 16, FALSE)</f>
        <v>DE</v>
      </c>
      <c r="J278" s="11" t="str">
        <f>VLOOKUP($G278, SeanRanks26!$A$2:$H$303, 6, FALSE)</f>
        <v>#N/A</v>
      </c>
      <c r="K278" s="11" t="str">
        <f>VLOOKUP($G278, SeanRanks26!$A$2:$H$303, 7, FALSE)</f>
        <v>#N/A</v>
      </c>
      <c r="L278" s="11">
        <f t="shared" si="5"/>
        <v>16</v>
      </c>
      <c r="M278" s="11" t="str">
        <f>VLOOKUP($G278, '26 ADP Data'!$C$4:$Q$298, 10, FALSE)</f>
        <v>-</v>
      </c>
      <c r="N278" s="11" t="str">
        <f>VLOOKUP($G278, '26 ADP Data'!$C$4:$Q$298, 13, FALSE)</f>
        <v>-</v>
      </c>
      <c r="O278" s="11" t="str">
        <f t="shared" si="6"/>
        <v>#VALUE!</v>
      </c>
      <c r="P278" s="11" t="str">
        <f>VLOOKUP($G278, '26 ADP Data'!$C$4:$Q$298, 3, FALSE)</f>
        <v>-</v>
      </c>
      <c r="Q278" s="11">
        <f>VLOOKUP($G278, '26 ADP Data'!$C$4:$Q$298, 4, FALSE)</f>
        <v>194</v>
      </c>
      <c r="R278" s="11">
        <f>VLOOKUP($G278, '26 ADP Data'!$C$4:$Q$298, 6, FALSE)</f>
        <v>289</v>
      </c>
      <c r="S278" s="11">
        <f>VLOOKUP($G278, '26 ADP Data'!$C$4:$Q$298, 9, FALSE)</f>
        <v>257</v>
      </c>
      <c r="T278" s="11" t="str">
        <f>VLOOKUP($G278, '26 ADP Data'!$C$4:$Q$298, 8, FALSE)</f>
        <v>-</v>
      </c>
      <c r="U278" s="11">
        <f t="shared" si="7"/>
        <v>246</v>
      </c>
      <c r="V278" s="11">
        <f t="shared" si="8"/>
        <v>21</v>
      </c>
      <c r="W278" s="11"/>
      <c r="X278" s="11" t="str">
        <f>VLOOKUP($G278, SeanRanks26!$A$2:$K$303, 10, FALSE)-U278</f>
        <v>#N/A</v>
      </c>
      <c r="Y278" s="29" t="str">
        <f>IF(VLOOKUP($G278, SeanRanks26!$A$2:$H$303, 8, FALSE)=0, "", VLOOKUP($G278, SeanRanks26!$A$2:$H$303, 8, FALSE))</f>
        <v>#N/A</v>
      </c>
    </row>
    <row r="279" ht="14.25" customHeight="1">
      <c r="A279" s="11"/>
      <c r="B279" s="11">
        <f t="shared" si="11"/>
        <v>22</v>
      </c>
      <c r="C279" s="11" t="s">
        <v>106</v>
      </c>
      <c r="D279" s="11"/>
      <c r="E279" s="27"/>
      <c r="F279" s="11" t="str">
        <f>VLOOKUP($G279, SeanRanks26!$A$2:$H$303, 5, FALSE)</f>
        <v/>
      </c>
      <c r="G279" s="16" t="s">
        <v>686</v>
      </c>
      <c r="H279" s="11" t="str">
        <f>VLOOKUP($G279, '26 ADP Data'!$C$4:$Q$298, 2, FALSE)</f>
        <v>CLE</v>
      </c>
      <c r="I279" s="11" t="str">
        <f>VLOOKUP(G279, '26 ADP Data'!$C$4:$R$496, 16, FALSE)</f>
        <v>QB</v>
      </c>
      <c r="J279" s="11" t="str">
        <f>VLOOKUP($G279, SeanRanks26!$A$2:$H$303, 6, FALSE)</f>
        <v/>
      </c>
      <c r="K279" s="11" t="str">
        <f>VLOOKUP($G279, SeanRanks26!$A$2:$H$303, 7, FALSE)</f>
        <v/>
      </c>
      <c r="L279" s="11">
        <f t="shared" si="5"/>
        <v>16</v>
      </c>
      <c r="M279" s="11" t="str">
        <f>VLOOKUP($G279, '26 ADP Data'!$C$4:$Q$298, 10, FALSE)</f>
        <v>-</v>
      </c>
      <c r="N279" s="11">
        <f>VLOOKUP($G279, '26 ADP Data'!$C$4:$Q$298, 13, FALSE)</f>
        <v>233</v>
      </c>
      <c r="O279" s="11" t="str">
        <f t="shared" si="6"/>
        <v>#VALUE!</v>
      </c>
      <c r="P279" s="11" t="str">
        <f>VLOOKUP($G279, '26 ADP Data'!$C$4:$Q$298, 3, FALSE)</f>
        <v>-</v>
      </c>
      <c r="Q279" s="11" t="str">
        <f>VLOOKUP($G279, '26 ADP Data'!$C$4:$Q$298, 4, FALSE)</f>
        <v>-</v>
      </c>
      <c r="R279" s="11">
        <f>VLOOKUP($G279, '26 ADP Data'!$C$4:$Q$298, 6, FALSE)</f>
        <v>260</v>
      </c>
      <c r="S279" s="11" t="str">
        <f>VLOOKUP($G279, '26 ADP Data'!$C$4:$Q$298, 9, FALSE)</f>
        <v>-</v>
      </c>
      <c r="T279" s="11" t="str">
        <f>VLOOKUP($G279, '26 ADP Data'!$C$4:$Q$298, 8, FALSE)</f>
        <v>-</v>
      </c>
      <c r="U279" s="11">
        <f t="shared" si="7"/>
        <v>246</v>
      </c>
      <c r="V279" s="11">
        <f t="shared" si="8"/>
        <v>21</v>
      </c>
      <c r="W279" s="11"/>
      <c r="X279" s="11" t="str">
        <f>VLOOKUP($G279, SeanRanks26!$A$2:$K$303, 10, FALSE)-U279</f>
        <v>#VALUE!</v>
      </c>
      <c r="Y279" s="29" t="str">
        <f>IF(VLOOKUP($G279, SeanRanks26!$A$2:$H$303, 8, FALSE)=0, "", VLOOKUP($G279, SeanRanks26!$A$2:$H$303, 8, FALSE))</f>
        <v/>
      </c>
    </row>
    <row r="280" ht="14.25" customHeight="1">
      <c r="A280" s="11"/>
      <c r="B280" s="11"/>
      <c r="C280" s="11" t="s">
        <v>106</v>
      </c>
      <c r="D280" s="11"/>
      <c r="E280" s="27"/>
      <c r="F280" s="11" t="str">
        <f>VLOOKUP($G280, SeanRanks26!$A$2:$H$303, 5, FALSE)</f>
        <v/>
      </c>
      <c r="G280" s="16" t="s">
        <v>680</v>
      </c>
      <c r="H280" s="11" t="str">
        <f>VLOOKUP($G280, '26 ADP Data'!$C$4:$Q$298, 2, FALSE)</f>
        <v>BAL</v>
      </c>
      <c r="I280" s="11" t="str">
        <f>VLOOKUP(G280, '26 ADP Data'!$C$4:$R$496, 16, FALSE)</f>
        <v>RB</v>
      </c>
      <c r="J280" s="11" t="str">
        <f>VLOOKUP($G280, SeanRanks26!$A$2:$H$303, 6, FALSE)</f>
        <v/>
      </c>
      <c r="K280" s="11" t="str">
        <f>VLOOKUP($G280, SeanRanks26!$A$2:$H$303, 7, FALSE)</f>
        <v/>
      </c>
      <c r="L280" s="11">
        <f t="shared" si="5"/>
        <v>20</v>
      </c>
      <c r="M280" s="11">
        <f>VLOOKUP($G280, '26 ADP Data'!$C$4:$Q$298, 10, FALSE)</f>
        <v>230</v>
      </c>
      <c r="N280" s="11">
        <f>VLOOKUP($G280, '26 ADP Data'!$C$4:$Q$298, 13, FALSE)</f>
        <v>268</v>
      </c>
      <c r="O280" s="11">
        <f t="shared" si="6"/>
        <v>-38</v>
      </c>
      <c r="P280" s="11" t="str">
        <f>VLOOKUP($G280, '26 ADP Data'!$C$4:$Q$298, 3, FALSE)</f>
        <v>-</v>
      </c>
      <c r="Q280" s="11" t="str">
        <f>VLOOKUP($G280, '26 ADP Data'!$C$4:$Q$298, 4, FALSE)</f>
        <v>-</v>
      </c>
      <c r="R280" s="11">
        <f>VLOOKUP($G280, '26 ADP Data'!$C$4:$Q$298, 6, FALSE)</f>
        <v>253</v>
      </c>
      <c r="S280" s="11" t="str">
        <f>VLOOKUP($G280, '26 ADP Data'!$C$4:$Q$298, 9, FALSE)</f>
        <v>-</v>
      </c>
      <c r="T280" s="11" t="str">
        <f>VLOOKUP($G280, '26 ADP Data'!$C$4:$Q$298, 8, FALSE)</f>
        <v>-</v>
      </c>
      <c r="U280" s="11">
        <f t="shared" si="7"/>
        <v>250</v>
      </c>
      <c r="V280" s="11">
        <f t="shared" si="8"/>
        <v>21</v>
      </c>
      <c r="W280" s="11"/>
      <c r="X280" s="11">
        <f>VLOOKUP($G280, SeanRanks26!$A$2:$K$303, 10, FALSE)-U280</f>
        <v>-20</v>
      </c>
      <c r="Y280" s="29" t="str">
        <f>IF(VLOOKUP($G280, SeanRanks26!$A$2:$H$303, 8, FALSE)=0, "", VLOOKUP($G280, SeanRanks26!$A$2:$H$303, 8, FALSE))</f>
        <v/>
      </c>
    </row>
    <row r="281" ht="14.25" customHeight="1">
      <c r="A281" s="11"/>
      <c r="B281" s="11">
        <f t="shared" ref="B281:B295" si="12">IFERROR(INT(AVERAGE(P281:T281)/12)+1, INT(AVERAGE(M281)/12)+1)</f>
        <v>23</v>
      </c>
      <c r="C281" s="11" t="s">
        <v>106</v>
      </c>
      <c r="D281" s="11"/>
      <c r="E281" s="27"/>
      <c r="F281" s="11" t="str">
        <f>VLOOKUP($G281, SeanRanks26!$A$2:$H$303, 5, FALSE)</f>
        <v/>
      </c>
      <c r="G281" s="16" t="s">
        <v>672</v>
      </c>
      <c r="H281" s="11" t="str">
        <f>VLOOKUP($G281, '26 ADP Data'!$C$4:$Q$298, 2, FALSE)</f>
        <v>BUF</v>
      </c>
      <c r="I281" s="11" t="str">
        <f>VLOOKUP(G281, '26 ADP Data'!$C$4:$R$496, 16, FALSE)</f>
        <v>WR</v>
      </c>
      <c r="J281" s="11" t="str">
        <f>VLOOKUP($G281, SeanRanks26!$A$2:$H$303, 6, FALSE)</f>
        <v/>
      </c>
      <c r="K281" s="11" t="str">
        <f>VLOOKUP($G281, SeanRanks26!$A$2:$H$303, 7, FALSE)</f>
        <v/>
      </c>
      <c r="L281" s="11">
        <f t="shared" si="5"/>
        <v>16</v>
      </c>
      <c r="M281" s="11" t="str">
        <f>VLOOKUP($G281, '26 ADP Data'!$C$4:$Q$298, 10, FALSE)</f>
        <v>-</v>
      </c>
      <c r="N281" s="11">
        <f>VLOOKUP($G281, '26 ADP Data'!$C$4:$Q$298, 13, FALSE)</f>
        <v>214</v>
      </c>
      <c r="O281" s="11" t="str">
        <f t="shared" si="6"/>
        <v>#VALUE!</v>
      </c>
      <c r="P281" s="11" t="str">
        <f>VLOOKUP($G281, '26 ADP Data'!$C$4:$Q$298, 3, FALSE)</f>
        <v>-</v>
      </c>
      <c r="Q281" s="11" t="str">
        <f>VLOOKUP($G281, '26 ADP Data'!$C$4:$Q$298, 4, FALSE)</f>
        <v>-</v>
      </c>
      <c r="R281" s="11">
        <f>VLOOKUP($G281, '26 ADP Data'!$C$4:$Q$298, 6, FALSE)</f>
        <v>271</v>
      </c>
      <c r="S281" s="11">
        <f>VLOOKUP($G281, '26 ADP Data'!$C$4:$Q$298, 9, FALSE)</f>
        <v>266</v>
      </c>
      <c r="T281" s="11" t="str">
        <f>VLOOKUP($G281, '26 ADP Data'!$C$4:$Q$298, 8, FALSE)</f>
        <v>-</v>
      </c>
      <c r="U281" s="11">
        <f t="shared" si="7"/>
        <v>250</v>
      </c>
      <c r="V281" s="11">
        <f t="shared" si="8"/>
        <v>21</v>
      </c>
      <c r="W281" s="11"/>
      <c r="X281" s="11" t="str">
        <f>VLOOKUP($G281, SeanRanks26!$A$2:$K$303, 10, FALSE)-U281</f>
        <v>#VALUE!</v>
      </c>
      <c r="Y281" s="29" t="str">
        <f>IF(VLOOKUP($G281, SeanRanks26!$A$2:$H$303, 8, FALSE)=0, "", VLOOKUP($G281, SeanRanks26!$A$2:$H$303, 8, FALSE))</f>
        <v/>
      </c>
    </row>
    <row r="282" ht="14.25" customHeight="1">
      <c r="A282" s="11"/>
      <c r="B282" s="11">
        <f t="shared" si="12"/>
        <v>22</v>
      </c>
      <c r="C282" s="11" t="s">
        <v>106</v>
      </c>
      <c r="D282" s="11"/>
      <c r="E282" s="27"/>
      <c r="F282" s="11" t="str">
        <f>VLOOKUP($G282, SeanRanks26!$A$2:$H$303, 5, FALSE)</f>
        <v/>
      </c>
      <c r="G282" s="16" t="s">
        <v>590</v>
      </c>
      <c r="H282" s="11" t="str">
        <f>VLOOKUP($G282, '26 ADP Data'!$C$4:$Q$298, 2, FALSE)</f>
        <v>NYG</v>
      </c>
      <c r="I282" s="11" t="str">
        <f>VLOOKUP(G282, '26 ADP Data'!$C$4:$R$496, 16, FALSE)</f>
        <v>WR</v>
      </c>
      <c r="J282" s="11" t="str">
        <f>VLOOKUP($G282, SeanRanks26!$A$2:$H$303, 6, FALSE)</f>
        <v/>
      </c>
      <c r="K282" s="11" t="str">
        <f>VLOOKUP($G282, SeanRanks26!$A$2:$H$303, 7, FALSE)</f>
        <v/>
      </c>
      <c r="L282" s="11">
        <f t="shared" si="5"/>
        <v>21</v>
      </c>
      <c r="M282" s="11">
        <f>VLOOKUP($G282, '26 ADP Data'!$C$4:$Q$298, 10, FALSE)</f>
        <v>245</v>
      </c>
      <c r="N282" s="11">
        <f>VLOOKUP($G282, '26 ADP Data'!$C$4:$Q$298, 13, FALSE)</f>
        <v>239</v>
      </c>
      <c r="O282" s="11">
        <f t="shared" si="6"/>
        <v>6</v>
      </c>
      <c r="P282" s="11" t="str">
        <f>VLOOKUP($G282, '26 ADP Data'!$C$4:$Q$298, 3, FALSE)</f>
        <v>-</v>
      </c>
      <c r="Q282" s="11" t="str">
        <f>VLOOKUP($G282, '26 ADP Data'!$C$4:$Q$298, 4, FALSE)</f>
        <v>-</v>
      </c>
      <c r="R282" s="11">
        <f>VLOOKUP($G282, '26 ADP Data'!$C$4:$Q$298, 6, FALSE)</f>
        <v>282</v>
      </c>
      <c r="S282" s="11">
        <f>VLOOKUP($G282, '26 ADP Data'!$C$4:$Q$298, 9, FALSE)</f>
        <v>240</v>
      </c>
      <c r="T282" s="11" t="str">
        <f>VLOOKUP($G282, '26 ADP Data'!$C$4:$Q$298, 8, FALSE)</f>
        <v>-</v>
      </c>
      <c r="U282" s="11">
        <f t="shared" si="7"/>
        <v>251</v>
      </c>
      <c r="V282" s="11">
        <f t="shared" si="8"/>
        <v>21</v>
      </c>
      <c r="W282" s="11"/>
      <c r="X282" s="11">
        <f>VLOOKUP($G282, SeanRanks26!$A$2:$K$303, 10, FALSE)-U282</f>
        <v>-6</v>
      </c>
      <c r="Y282" s="29" t="str">
        <f>IF(VLOOKUP($G282, SeanRanks26!$A$2:$H$303, 8, FALSE)=0, "", VLOOKUP($G282, SeanRanks26!$A$2:$H$303, 8, FALSE))</f>
        <v/>
      </c>
    </row>
    <row r="283" ht="14.25" customHeight="1">
      <c r="A283" s="11"/>
      <c r="B283" s="11">
        <f t="shared" si="12"/>
        <v>21</v>
      </c>
      <c r="C283" s="11" t="s">
        <v>106</v>
      </c>
      <c r="D283" s="11"/>
      <c r="E283" s="27"/>
      <c r="F283" s="11" t="str">
        <f>VLOOKUP($G283, SeanRanks26!$A$2:$H$303, 5, FALSE)</f>
        <v>#N/A</v>
      </c>
      <c r="G283" s="16" t="s">
        <v>722</v>
      </c>
      <c r="H283" s="11" t="str">
        <f>VLOOKUP($G283, '26 ADP Data'!$C$4:$Q$298, 2, FALSE)</f>
        <v>ATL</v>
      </c>
      <c r="I283" s="11" t="str">
        <f>VLOOKUP(G283, '26 ADP Data'!$C$4:$R$496, 16, FALSE)</f>
        <v>DE</v>
      </c>
      <c r="J283" s="11" t="str">
        <f>VLOOKUP($G283, SeanRanks26!$A$2:$H$303, 6, FALSE)</f>
        <v>#N/A</v>
      </c>
      <c r="K283" s="11" t="str">
        <f>VLOOKUP($G283, SeanRanks26!$A$2:$H$303, 7, FALSE)</f>
        <v>#N/A</v>
      </c>
      <c r="L283" s="11">
        <f t="shared" si="5"/>
        <v>16</v>
      </c>
      <c r="M283" s="11" t="str">
        <f>VLOOKUP($G283, '26 ADP Data'!$C$4:$Q$298, 10, FALSE)</f>
        <v>-</v>
      </c>
      <c r="N283" s="11" t="str">
        <f>VLOOKUP($G283, '26 ADP Data'!$C$4:$Q$298, 13, FALSE)</f>
        <v>-</v>
      </c>
      <c r="O283" s="11" t="str">
        <f t="shared" si="6"/>
        <v>#VALUE!</v>
      </c>
      <c r="P283" s="11">
        <f>VLOOKUP($G283, '26 ADP Data'!$C$4:$Q$298, 3, FALSE)</f>
        <v>186</v>
      </c>
      <c r="Q283" s="11" t="str">
        <f>VLOOKUP($G283, '26 ADP Data'!$C$4:$Q$298, 4, FALSE)</f>
        <v>-</v>
      </c>
      <c r="R283" s="11">
        <f>VLOOKUP($G283, '26 ADP Data'!$C$4:$Q$298, 6, FALSE)</f>
        <v>317</v>
      </c>
      <c r="S283" s="11" t="str">
        <f>VLOOKUP($G283, '26 ADP Data'!$C$4:$Q$298, 9, FALSE)</f>
        <v>-</v>
      </c>
      <c r="T283" s="11" t="str">
        <f>VLOOKUP($G283, '26 ADP Data'!$C$4:$Q$298, 8, FALSE)</f>
        <v>-</v>
      </c>
      <c r="U283" s="11">
        <f t="shared" si="7"/>
        <v>251</v>
      </c>
      <c r="V283" s="11">
        <f t="shared" si="8"/>
        <v>21</v>
      </c>
      <c r="W283" s="11"/>
      <c r="X283" s="11" t="str">
        <f>VLOOKUP($G283, SeanRanks26!$A$2:$K$303, 10, FALSE)-U283</f>
        <v>#N/A</v>
      </c>
      <c r="Y283" s="29" t="str">
        <f>IF(VLOOKUP($G283, SeanRanks26!$A$2:$H$303, 8, FALSE)=0, "", VLOOKUP($G283, SeanRanks26!$A$2:$H$303, 8, FALSE))</f>
        <v>#N/A</v>
      </c>
    </row>
    <row r="284" ht="14.25" customHeight="1">
      <c r="A284" s="11"/>
      <c r="B284" s="11">
        <f t="shared" si="12"/>
        <v>25</v>
      </c>
      <c r="C284" s="11" t="s">
        <v>106</v>
      </c>
      <c r="D284" s="11"/>
      <c r="E284" s="27"/>
      <c r="F284" s="11" t="str">
        <f>VLOOKUP($G284, SeanRanks26!$A$2:$H$303, 5, FALSE)</f>
        <v/>
      </c>
      <c r="G284" s="16" t="s">
        <v>649</v>
      </c>
      <c r="H284" s="11" t="str">
        <f>VLOOKUP($G284, '26 ADP Data'!$C$4:$Q$298, 2, FALSE)</f>
        <v>LV</v>
      </c>
      <c r="I284" s="11" t="str">
        <f>VLOOKUP(G284, '26 ADP Data'!$C$4:$R$496, 16, FALSE)</f>
        <v>WR</v>
      </c>
      <c r="J284" s="11" t="str">
        <f>VLOOKUP($G284, SeanRanks26!$A$2:$H$303, 6, FALSE)</f>
        <v>WR5</v>
      </c>
      <c r="K284" s="11">
        <f>VLOOKUP($G284, SeanRanks26!$A$2:$H$303, 7, FALSE)</f>
        <v>64</v>
      </c>
      <c r="L284" s="11">
        <f t="shared" si="5"/>
        <v>20</v>
      </c>
      <c r="M284" s="11">
        <f>VLOOKUP($G284, '26 ADP Data'!$C$4:$Q$298, 10, FALSE)</f>
        <v>232</v>
      </c>
      <c r="N284" s="11">
        <f>VLOOKUP($G284, '26 ADP Data'!$C$4:$Q$298, 13, FALSE)</f>
        <v>236</v>
      </c>
      <c r="O284" s="11">
        <f t="shared" si="6"/>
        <v>-4</v>
      </c>
      <c r="P284" s="11" t="str">
        <f>VLOOKUP($G284, '26 ADP Data'!$C$4:$Q$298, 3, FALSE)</f>
        <v>-</v>
      </c>
      <c r="Q284" s="11" t="str">
        <f>VLOOKUP($G284, '26 ADP Data'!$C$4:$Q$298, 4, FALSE)</f>
        <v>-</v>
      </c>
      <c r="R284" s="11">
        <f>VLOOKUP($G284, '26 ADP Data'!$C$4:$Q$298, 6, FALSE)</f>
        <v>288</v>
      </c>
      <c r="S284" s="11" t="str">
        <f>VLOOKUP($G284, '26 ADP Data'!$C$4:$Q$298, 9, FALSE)</f>
        <v>-</v>
      </c>
      <c r="T284" s="11" t="str">
        <f>VLOOKUP($G284, '26 ADP Data'!$C$4:$Q$298, 8, FALSE)</f>
        <v>-</v>
      </c>
      <c r="U284" s="11">
        <f t="shared" si="7"/>
        <v>252</v>
      </c>
      <c r="V284" s="11">
        <f t="shared" si="8"/>
        <v>22</v>
      </c>
      <c r="W284" s="11"/>
      <c r="X284" s="11">
        <f>VLOOKUP($G284, SeanRanks26!$A$2:$K$303, 10, FALSE)-U284</f>
        <v>-20</v>
      </c>
      <c r="Y284" s="29" t="str">
        <f>IF(VLOOKUP($G284, SeanRanks26!$A$2:$H$303, 8, FALSE)=0, "", VLOOKUP($G284, SeanRanks26!$A$2:$H$303, 8, FALSE))</f>
        <v>2025 R2</v>
      </c>
    </row>
    <row r="285" ht="14.25" customHeight="1">
      <c r="A285" s="11"/>
      <c r="B285" s="11">
        <f t="shared" si="12"/>
        <v>22</v>
      </c>
      <c r="C285" s="11" t="s">
        <v>106</v>
      </c>
      <c r="D285" s="11"/>
      <c r="E285" s="27"/>
      <c r="F285" s="11" t="str">
        <f>VLOOKUP($G285, SeanRanks26!$A$2:$H$303, 5, FALSE)</f>
        <v/>
      </c>
      <c r="G285" s="16" t="s">
        <v>692</v>
      </c>
      <c r="H285" s="11" t="str">
        <f>VLOOKUP($G285, '26 ADP Data'!$C$4:$Q$298, 2, FALSE)</f>
        <v>NYJ</v>
      </c>
      <c r="I285" s="11" t="str">
        <f>VLOOKUP(G285, '26 ADP Data'!$C$4:$R$496, 16, FALSE)</f>
        <v>TE</v>
      </c>
      <c r="J285" s="11" t="str">
        <f>VLOOKUP($G285, SeanRanks26!$A$2:$H$303, 6, FALSE)</f>
        <v/>
      </c>
      <c r="K285" s="11" t="str">
        <f>VLOOKUP($G285, SeanRanks26!$A$2:$H$303, 7, FALSE)</f>
        <v/>
      </c>
      <c r="L285" s="11">
        <f t="shared" si="5"/>
        <v>16</v>
      </c>
      <c r="M285" s="11" t="str">
        <f>VLOOKUP($G285, '26 ADP Data'!$C$4:$Q$298, 10, FALSE)</f>
        <v>-</v>
      </c>
      <c r="N285" s="11">
        <f>VLOOKUP($G285, '26 ADP Data'!$C$4:$Q$298, 13, FALSE)</f>
        <v>253</v>
      </c>
      <c r="O285" s="11" t="str">
        <f t="shared" si="6"/>
        <v>#VALUE!</v>
      </c>
      <c r="P285" s="11" t="str">
        <f>VLOOKUP($G285, '26 ADP Data'!$C$4:$Q$298, 3, FALSE)</f>
        <v>-</v>
      </c>
      <c r="Q285" s="11" t="str">
        <f>VLOOKUP($G285, '26 ADP Data'!$C$4:$Q$298, 4, FALSE)</f>
        <v>-</v>
      </c>
      <c r="R285" s="11">
        <f>VLOOKUP($G285, '26 ADP Data'!$C$4:$Q$298, 6, FALSE)</f>
        <v>249</v>
      </c>
      <c r="S285" s="11">
        <f>VLOOKUP($G285, '26 ADP Data'!$C$4:$Q$298, 9, FALSE)</f>
        <v>263</v>
      </c>
      <c r="T285" s="11" t="str">
        <f>VLOOKUP($G285, '26 ADP Data'!$C$4:$Q$298, 8, FALSE)</f>
        <v>-</v>
      </c>
      <c r="U285" s="11">
        <f t="shared" si="7"/>
        <v>255</v>
      </c>
      <c r="V285" s="11">
        <f t="shared" si="8"/>
        <v>22</v>
      </c>
      <c r="W285" s="11"/>
      <c r="X285" s="11" t="str">
        <f>VLOOKUP($G285, SeanRanks26!$A$2:$K$303, 10, FALSE)-U285</f>
        <v>#VALUE!</v>
      </c>
      <c r="Y285" s="29" t="str">
        <f>IF(VLOOKUP($G285, SeanRanks26!$A$2:$H$303, 8, FALSE)=0, "", VLOOKUP($G285, SeanRanks26!$A$2:$H$303, 8, FALSE))</f>
        <v/>
      </c>
    </row>
    <row r="286" ht="14.25" customHeight="1">
      <c r="A286" s="11"/>
      <c r="B286" s="11">
        <f t="shared" si="12"/>
        <v>23</v>
      </c>
      <c r="C286" s="11" t="s">
        <v>106</v>
      </c>
      <c r="D286" s="11"/>
      <c r="E286" s="27"/>
      <c r="F286" s="11" t="str">
        <f>VLOOKUP($G286, SeanRanks26!$A$2:$H$303, 5, FALSE)</f>
        <v/>
      </c>
      <c r="G286" s="16" t="s">
        <v>678</v>
      </c>
      <c r="H286" s="11" t="str">
        <f>VLOOKUP($G286, '26 ADP Data'!$C$4:$Q$298, 2, FALSE)</f>
        <v>MIA</v>
      </c>
      <c r="I286" s="11" t="str">
        <f>VLOOKUP(G286, '26 ADP Data'!$C$4:$R$496, 16, FALSE)</f>
        <v>RB</v>
      </c>
      <c r="J286" s="11" t="str">
        <f>VLOOKUP($G286, SeanRanks26!$A$2:$H$303, 6, FALSE)</f>
        <v/>
      </c>
      <c r="K286" s="11" t="str">
        <f>VLOOKUP($G286, SeanRanks26!$A$2:$H$303, 7, FALSE)</f>
        <v/>
      </c>
      <c r="L286" s="11">
        <f t="shared" si="5"/>
        <v>19</v>
      </c>
      <c r="M286" s="11">
        <f>VLOOKUP($G286, '26 ADP Data'!$C$4:$Q$298, 10, FALSE)</f>
        <v>223</v>
      </c>
      <c r="N286" s="11">
        <f>VLOOKUP($G286, '26 ADP Data'!$C$4:$Q$298, 13, FALSE)</f>
        <v>280</v>
      </c>
      <c r="O286" s="11">
        <f t="shared" si="6"/>
        <v>-57</v>
      </c>
      <c r="P286" s="11" t="str">
        <f>VLOOKUP($G286, '26 ADP Data'!$C$4:$Q$298, 3, FALSE)</f>
        <v>-</v>
      </c>
      <c r="Q286" s="11" t="str">
        <f>VLOOKUP($G286, '26 ADP Data'!$C$4:$Q$298, 4, FALSE)</f>
        <v>-</v>
      </c>
      <c r="R286" s="11">
        <f>VLOOKUP($G286, '26 ADP Data'!$C$4:$Q$298, 6, FALSE)</f>
        <v>270</v>
      </c>
      <c r="S286" s="11" t="str">
        <f>VLOOKUP($G286, '26 ADP Data'!$C$4:$Q$298, 9, FALSE)</f>
        <v>-</v>
      </c>
      <c r="T286" s="11" t="str">
        <f>VLOOKUP($G286, '26 ADP Data'!$C$4:$Q$298, 8, FALSE)</f>
        <v>-</v>
      </c>
      <c r="U286" s="11">
        <f t="shared" si="7"/>
        <v>257</v>
      </c>
      <c r="V286" s="11">
        <f t="shared" si="8"/>
        <v>22</v>
      </c>
      <c r="W286" s="11"/>
      <c r="X286" s="11">
        <f>VLOOKUP($G286, SeanRanks26!$A$2:$K$303, 10, FALSE)-U286</f>
        <v>-34</v>
      </c>
      <c r="Y286" s="29" t="str">
        <f>IF(VLOOKUP($G286, SeanRanks26!$A$2:$H$303, 8, FALSE)=0, "", VLOOKUP($G286, SeanRanks26!$A$2:$H$303, 8, FALSE))</f>
        <v>2025 Rookie R6</v>
      </c>
    </row>
    <row r="287" ht="14.25" customHeight="1">
      <c r="A287" s="11"/>
      <c r="B287" s="11">
        <f t="shared" si="12"/>
        <v>22</v>
      </c>
      <c r="C287" s="11" t="s">
        <v>106</v>
      </c>
      <c r="D287" s="11"/>
      <c r="E287" s="27"/>
      <c r="F287" s="11" t="str">
        <f>VLOOKUP($G287, SeanRanks26!$A$2:$H$303, 5, FALSE)</f>
        <v>#N/A</v>
      </c>
      <c r="G287" s="16" t="s">
        <v>720</v>
      </c>
      <c r="H287" s="11" t="str">
        <f>VLOOKUP($G287, '26 ADP Data'!$C$4:$Q$298, 2, FALSE)</f>
        <v>SEA</v>
      </c>
      <c r="I287" s="11" t="str">
        <f>VLOOKUP(G287, '26 ADP Data'!$C$4:$R$496, 16, FALSE)</f>
        <v>TE</v>
      </c>
      <c r="J287" s="11" t="str">
        <f>VLOOKUP($G287, SeanRanks26!$A$2:$H$303, 6, FALSE)</f>
        <v>#N/A</v>
      </c>
      <c r="K287" s="11" t="str">
        <f>VLOOKUP($G287, SeanRanks26!$A$2:$H$303, 7, FALSE)</f>
        <v>#N/A</v>
      </c>
      <c r="L287" s="11">
        <f t="shared" si="5"/>
        <v>16</v>
      </c>
      <c r="M287" s="11" t="str">
        <f>VLOOKUP($G287, '26 ADP Data'!$C$4:$Q$298, 10, FALSE)</f>
        <v>-</v>
      </c>
      <c r="N287" s="11">
        <f>VLOOKUP($G287, '26 ADP Data'!$C$4:$Q$298, 13, FALSE)</f>
        <v>254</v>
      </c>
      <c r="O287" s="11" t="str">
        <f t="shared" si="6"/>
        <v>#VALUE!</v>
      </c>
      <c r="P287" s="11" t="str">
        <f>VLOOKUP($G287, '26 ADP Data'!$C$4:$Q$298, 3, FALSE)</f>
        <v>-</v>
      </c>
      <c r="Q287" s="11">
        <f>VLOOKUP($G287, '26 ADP Data'!$C$4:$Q$298, 4, FALSE)</f>
        <v>245</v>
      </c>
      <c r="R287" s="11">
        <f>VLOOKUP($G287, '26 ADP Data'!$C$4:$Q$298, 6, FALSE)</f>
        <v>275</v>
      </c>
      <c r="S287" s="11" t="str">
        <f>VLOOKUP($G287, '26 ADP Data'!$C$4:$Q$298, 9, FALSE)</f>
        <v>-</v>
      </c>
      <c r="T287" s="11" t="str">
        <f>VLOOKUP($G287, '26 ADP Data'!$C$4:$Q$298, 8, FALSE)</f>
        <v>-</v>
      </c>
      <c r="U287" s="11">
        <f t="shared" si="7"/>
        <v>258</v>
      </c>
      <c r="V287" s="11">
        <f t="shared" si="8"/>
        <v>22</v>
      </c>
      <c r="W287" s="11"/>
      <c r="X287" s="11" t="str">
        <f>VLOOKUP($G287, SeanRanks26!$A$2:$K$303, 10, FALSE)-U287</f>
        <v>#N/A</v>
      </c>
      <c r="Y287" s="29" t="str">
        <f>IF(VLOOKUP($G287, SeanRanks26!$A$2:$H$303, 8, FALSE)=0, "", VLOOKUP($G287, SeanRanks26!$A$2:$H$303, 8, FALSE))</f>
        <v>#N/A</v>
      </c>
    </row>
    <row r="288" ht="14.25" customHeight="1">
      <c r="A288" s="11"/>
      <c r="B288" s="11">
        <f t="shared" si="12"/>
        <v>22</v>
      </c>
      <c r="C288" s="11" t="s">
        <v>106</v>
      </c>
      <c r="D288" s="11"/>
      <c r="E288" s="27"/>
      <c r="F288" s="11" t="str">
        <f>VLOOKUP($G288, SeanRanks26!$A$2:$H$303, 5, FALSE)</f>
        <v>#N/A</v>
      </c>
      <c r="G288" s="16" t="s">
        <v>688</v>
      </c>
      <c r="H288" s="11" t="str">
        <f>VLOOKUP($G288, '26 ADP Data'!$C$4:$Q$298, 2, FALSE)</f>
        <v>NYG</v>
      </c>
      <c r="I288" s="11" t="str">
        <f>VLOOKUP(G288, '26 ADP Data'!$C$4:$R$496, 16, FALSE)</f>
        <v>DE</v>
      </c>
      <c r="J288" s="11" t="str">
        <f>VLOOKUP($G288, SeanRanks26!$A$2:$H$303, 6, FALSE)</f>
        <v>#N/A</v>
      </c>
      <c r="K288" s="11" t="str">
        <f>VLOOKUP($G288, SeanRanks26!$A$2:$H$303, 7, FALSE)</f>
        <v>#N/A</v>
      </c>
      <c r="L288" s="11">
        <f t="shared" si="5"/>
        <v>16</v>
      </c>
      <c r="M288" s="11" t="str">
        <f>VLOOKUP($G288, '26 ADP Data'!$C$4:$Q$298, 10, FALSE)</f>
        <v>-</v>
      </c>
      <c r="N288" s="11" t="str">
        <f>VLOOKUP($G288, '26 ADP Data'!$C$4:$Q$298, 13, FALSE)</f>
        <v>-</v>
      </c>
      <c r="O288" s="11" t="str">
        <f t="shared" si="6"/>
        <v>#VALUE!</v>
      </c>
      <c r="P288" s="11" t="str">
        <f>VLOOKUP($G288, '26 ADP Data'!$C$4:$Q$298, 3, FALSE)</f>
        <v>-</v>
      </c>
      <c r="Q288" s="11">
        <f>VLOOKUP($G288, '26 ADP Data'!$C$4:$Q$298, 4, FALSE)</f>
        <v>209</v>
      </c>
      <c r="R288" s="11">
        <f>VLOOKUP($G288, '26 ADP Data'!$C$4:$Q$298, 6, FALSE)</f>
        <v>308</v>
      </c>
      <c r="S288" s="11">
        <f>VLOOKUP($G288, '26 ADP Data'!$C$4:$Q$298, 9, FALSE)</f>
        <v>260</v>
      </c>
      <c r="T288" s="11" t="str">
        <f>VLOOKUP($G288, '26 ADP Data'!$C$4:$Q$298, 8, FALSE)</f>
        <v>-</v>
      </c>
      <c r="U288" s="11">
        <f t="shared" si="7"/>
        <v>259</v>
      </c>
      <c r="V288" s="11">
        <f t="shared" si="8"/>
        <v>22</v>
      </c>
      <c r="W288" s="11"/>
      <c r="X288" s="11" t="str">
        <f>VLOOKUP($G288, SeanRanks26!$A$2:$K$303, 10, FALSE)-U288</f>
        <v>#N/A</v>
      </c>
      <c r="Y288" s="29" t="str">
        <f>IF(VLOOKUP($G288, SeanRanks26!$A$2:$H$303, 8, FALSE)=0, "", VLOOKUP($G288, SeanRanks26!$A$2:$H$303, 8, FALSE))</f>
        <v>#N/A</v>
      </c>
    </row>
    <row r="289" ht="14.25" customHeight="1">
      <c r="A289" s="11"/>
      <c r="B289" s="11">
        <f t="shared" si="12"/>
        <v>22</v>
      </c>
      <c r="C289" s="11" t="s">
        <v>106</v>
      </c>
      <c r="D289" s="11"/>
      <c r="E289" s="27"/>
      <c r="F289" s="11" t="str">
        <f>VLOOKUP($G289, SeanRanks26!$A$2:$H$303, 5, FALSE)</f>
        <v/>
      </c>
      <c r="G289" s="16" t="s">
        <v>718</v>
      </c>
      <c r="H289" s="11" t="str">
        <f>VLOOKUP($G289, '26 ADP Data'!$C$4:$Q$298, 2, FALSE)</f>
        <v>BUF</v>
      </c>
      <c r="I289" s="11" t="str">
        <f>VLOOKUP(G289, '26 ADP Data'!$C$4:$R$496, 16, FALSE)</f>
        <v>TE</v>
      </c>
      <c r="J289" s="11" t="str">
        <f>VLOOKUP($G289, SeanRanks26!$A$2:$H$303, 6, FALSE)</f>
        <v/>
      </c>
      <c r="K289" s="11" t="str">
        <f>VLOOKUP($G289, SeanRanks26!$A$2:$H$303, 7, FALSE)</f>
        <v/>
      </c>
      <c r="L289" s="11">
        <f t="shared" si="5"/>
        <v>16</v>
      </c>
      <c r="M289" s="11" t="str">
        <f>VLOOKUP($G289, '26 ADP Data'!$C$4:$Q$298, 10, FALSE)</f>
        <v>-</v>
      </c>
      <c r="N289" s="11">
        <f>VLOOKUP($G289, '26 ADP Data'!$C$4:$Q$298, 13, FALSE)</f>
        <v>264</v>
      </c>
      <c r="O289" s="11" t="str">
        <f t="shared" si="6"/>
        <v>#VALUE!</v>
      </c>
      <c r="P289" s="11" t="str">
        <f>VLOOKUP($G289, '26 ADP Data'!$C$4:$Q$298, 3, FALSE)</f>
        <v>-</v>
      </c>
      <c r="Q289" s="11">
        <f>VLOOKUP($G289, '26 ADP Data'!$C$4:$Q$298, 4, FALSE)</f>
        <v>225</v>
      </c>
      <c r="R289" s="11">
        <f>VLOOKUP($G289, '26 ADP Data'!$C$4:$Q$298, 6, FALSE)</f>
        <v>296</v>
      </c>
      <c r="S289" s="11" t="str">
        <f>VLOOKUP($G289, '26 ADP Data'!$C$4:$Q$298, 9, FALSE)</f>
        <v>-</v>
      </c>
      <c r="T289" s="11" t="str">
        <f>VLOOKUP($G289, '26 ADP Data'!$C$4:$Q$298, 8, FALSE)</f>
        <v>-</v>
      </c>
      <c r="U289" s="11">
        <f t="shared" si="7"/>
        <v>261</v>
      </c>
      <c r="V289" s="11">
        <f t="shared" si="8"/>
        <v>22</v>
      </c>
      <c r="W289" s="11"/>
      <c r="X289" s="11" t="str">
        <f>VLOOKUP($G289, SeanRanks26!$A$2:$K$303, 10, FALSE)-U289</f>
        <v>#VALUE!</v>
      </c>
      <c r="Y289" s="29" t="str">
        <f>IF(VLOOKUP($G289, SeanRanks26!$A$2:$H$303, 8, FALSE)=0, "", VLOOKUP($G289, SeanRanks26!$A$2:$H$303, 8, FALSE))</f>
        <v/>
      </c>
    </row>
    <row r="290" ht="14.25" customHeight="1">
      <c r="A290" s="11"/>
      <c r="B290" s="11">
        <f t="shared" si="12"/>
        <v>23</v>
      </c>
      <c r="C290" s="11" t="s">
        <v>106</v>
      </c>
      <c r="D290" s="11"/>
      <c r="E290" s="27"/>
      <c r="F290" s="11" t="str">
        <f>VLOOKUP($G290, SeanRanks26!$A$2:$H$303, 5, FALSE)</f>
        <v/>
      </c>
      <c r="G290" s="16" t="s">
        <v>600</v>
      </c>
      <c r="H290" s="11" t="str">
        <f>VLOOKUP($G290, '26 ADP Data'!$C$4:$Q$298, 2, FALSE)</f>
        <v>PHI</v>
      </c>
      <c r="I290" s="11" t="str">
        <f>VLOOKUP(G290, '26 ADP Data'!$C$4:$R$496, 16, FALSE)</f>
        <v>TE</v>
      </c>
      <c r="J290" s="11" t="str">
        <f>VLOOKUP($G290, SeanRanks26!$A$2:$H$303, 6, FALSE)</f>
        <v/>
      </c>
      <c r="K290" s="11" t="str">
        <f>VLOOKUP($G290, SeanRanks26!$A$2:$H$303, 7, FALSE)</f>
        <v/>
      </c>
      <c r="L290" s="11">
        <f t="shared" si="5"/>
        <v>16</v>
      </c>
      <c r="M290" s="11" t="str">
        <f>VLOOKUP($G290, '26 ADP Data'!$C$4:$Q$298, 10, FALSE)</f>
        <v>-</v>
      </c>
      <c r="N290" s="11">
        <f>VLOOKUP($G290, '26 ADP Data'!$C$4:$Q$298, 13, FALSE)</f>
        <v>244</v>
      </c>
      <c r="O290" s="11" t="str">
        <f t="shared" si="6"/>
        <v>#VALUE!</v>
      </c>
      <c r="P290" s="11" t="str">
        <f>VLOOKUP($G290, '26 ADP Data'!$C$4:$Q$298, 3, FALSE)</f>
        <v>-</v>
      </c>
      <c r="Q290" s="11">
        <f>VLOOKUP($G290, '26 ADP Data'!$C$4:$Q$298, 4, FALSE)</f>
        <v>302</v>
      </c>
      <c r="R290" s="11">
        <f>VLOOKUP($G290, '26 ADP Data'!$C$4:$Q$298, 6, FALSE)</f>
        <v>264</v>
      </c>
      <c r="S290" s="11">
        <f>VLOOKUP($G290, '26 ADP Data'!$C$4:$Q$298, 9, FALSE)</f>
        <v>238</v>
      </c>
      <c r="T290" s="11" t="str">
        <f>VLOOKUP($G290, '26 ADP Data'!$C$4:$Q$298, 8, FALSE)</f>
        <v>-</v>
      </c>
      <c r="U290" s="11">
        <f t="shared" si="7"/>
        <v>262</v>
      </c>
      <c r="V290" s="11">
        <f t="shared" si="8"/>
        <v>22</v>
      </c>
      <c r="W290" s="11"/>
      <c r="X290" s="11" t="str">
        <f>VLOOKUP($G290, SeanRanks26!$A$2:$K$303, 10, FALSE)-U290</f>
        <v>#VALUE!</v>
      </c>
      <c r="Y290" s="29" t="str">
        <f>IF(VLOOKUP($G290, SeanRanks26!$A$2:$H$303, 8, FALSE)=0, "", VLOOKUP($G290, SeanRanks26!$A$2:$H$303, 8, FALSE))</f>
        <v>Rookie R2 Vanderbuilt</v>
      </c>
    </row>
    <row r="291" ht="14.25" customHeight="1">
      <c r="A291" s="11"/>
      <c r="B291" s="11">
        <f t="shared" si="12"/>
        <v>23</v>
      </c>
      <c r="C291" s="11" t="s">
        <v>106</v>
      </c>
      <c r="D291" s="11"/>
      <c r="E291" s="27"/>
      <c r="F291" s="11" t="str">
        <f>VLOOKUP($G291, SeanRanks26!$A$2:$H$303, 5, FALSE)</f>
        <v/>
      </c>
      <c r="G291" s="16" t="s">
        <v>643</v>
      </c>
      <c r="H291" s="11" t="str">
        <f>VLOOKUP($G291, '26 ADP Data'!$C$4:$Q$298, 2, FALSE)</f>
        <v>DEN</v>
      </c>
      <c r="I291" s="11" t="str">
        <f>VLOOKUP(G291, '26 ADP Data'!$C$4:$R$496, 16, FALSE)</f>
        <v>WR</v>
      </c>
      <c r="J291" s="11" t="str">
        <f>VLOOKUP($G291, SeanRanks26!$A$2:$H$303, 6, FALSE)</f>
        <v>WR5</v>
      </c>
      <c r="K291" s="11" t="str">
        <f>VLOOKUP($G291, SeanRanks26!$A$2:$H$303, 7, FALSE)</f>
        <v/>
      </c>
      <c r="L291" s="11">
        <f t="shared" si="5"/>
        <v>16</v>
      </c>
      <c r="M291" s="11" t="str">
        <f>VLOOKUP($G291, '26 ADP Data'!$C$4:$Q$298, 10, FALSE)</f>
        <v>-</v>
      </c>
      <c r="N291" s="11">
        <f>VLOOKUP($G291, '26 ADP Data'!$C$4:$Q$298, 13, FALSE)</f>
        <v>237</v>
      </c>
      <c r="O291" s="11" t="str">
        <f t="shared" si="6"/>
        <v>#VALUE!</v>
      </c>
      <c r="P291" s="11" t="str">
        <f>VLOOKUP($G291, '26 ADP Data'!$C$4:$Q$298, 3, FALSE)</f>
        <v>-</v>
      </c>
      <c r="Q291" s="11" t="str">
        <f>VLOOKUP($G291, '26 ADP Data'!$C$4:$Q$298, 4, FALSE)</f>
        <v>-</v>
      </c>
      <c r="R291" s="11">
        <f>VLOOKUP($G291, '26 ADP Data'!$C$4:$Q$298, 6, FALSE)</f>
        <v>281</v>
      </c>
      <c r="S291" s="11">
        <f>VLOOKUP($G291, '26 ADP Data'!$C$4:$Q$298, 9, FALSE)</f>
        <v>270</v>
      </c>
      <c r="T291" s="11" t="str">
        <f>VLOOKUP($G291, '26 ADP Data'!$C$4:$Q$298, 8, FALSE)</f>
        <v>-</v>
      </c>
      <c r="U291" s="11">
        <f t="shared" si="7"/>
        <v>262</v>
      </c>
      <c r="V291" s="11">
        <f t="shared" si="8"/>
        <v>22</v>
      </c>
      <c r="W291" s="11"/>
      <c r="X291" s="11" t="str">
        <f>VLOOKUP($G291, SeanRanks26!$A$2:$K$303, 10, FALSE)-U291</f>
        <v>#VALUE!</v>
      </c>
      <c r="Y291" s="29" t="str">
        <f>IF(VLOOKUP($G291, SeanRanks26!$A$2:$H$303, 8, FALSE)=0, "", VLOOKUP($G291, SeanRanks26!$A$2:$H$303, 8, FALSE))</f>
        <v/>
      </c>
    </row>
    <row r="292" ht="14.25" customHeight="1">
      <c r="A292" s="11"/>
      <c r="B292" s="11">
        <f t="shared" si="12"/>
        <v>24</v>
      </c>
      <c r="C292" s="11" t="s">
        <v>106</v>
      </c>
      <c r="D292" s="11"/>
      <c r="E292" s="27"/>
      <c r="F292" s="11" t="str">
        <f>VLOOKUP($G292, SeanRanks26!$A$2:$H$303, 5, FALSE)</f>
        <v/>
      </c>
      <c r="G292" s="16" t="s">
        <v>647</v>
      </c>
      <c r="H292" s="11" t="str">
        <f>VLOOKUP($G292, '26 ADP Data'!$C$4:$Q$298, 2, FALSE)</f>
        <v>DAL</v>
      </c>
      <c r="I292" s="11" t="str">
        <f>VLOOKUP(G292, '26 ADP Data'!$C$4:$R$496, 16, FALSE)</f>
        <v>RB</v>
      </c>
      <c r="J292" s="11" t="str">
        <f>VLOOKUP($G292, SeanRanks26!$A$2:$H$303, 6, FALSE)</f>
        <v/>
      </c>
      <c r="K292" s="11" t="str">
        <f>VLOOKUP($G292, SeanRanks26!$A$2:$H$303, 7, FALSE)</f>
        <v/>
      </c>
      <c r="L292" s="11">
        <f t="shared" si="5"/>
        <v>21</v>
      </c>
      <c r="M292" s="11">
        <f>VLOOKUP($G292, '26 ADP Data'!$C$4:$Q$298, 10, FALSE)</f>
        <v>250</v>
      </c>
      <c r="N292" s="11">
        <f>VLOOKUP($G292, '26 ADP Data'!$C$4:$Q$298, 13, FALSE)</f>
        <v>232</v>
      </c>
      <c r="O292" s="11">
        <f t="shared" si="6"/>
        <v>18</v>
      </c>
      <c r="P292" s="11" t="str">
        <f>VLOOKUP($G292, '26 ADP Data'!$C$4:$Q$298, 3, FALSE)</f>
        <v>-</v>
      </c>
      <c r="Q292" s="11">
        <f>VLOOKUP($G292, '26 ADP Data'!$C$4:$Q$298, 4, FALSE)</f>
        <v>298</v>
      </c>
      <c r="R292" s="11">
        <f>VLOOKUP($G292, '26 ADP Data'!$C$4:$Q$298, 6, FALSE)</f>
        <v>272</v>
      </c>
      <c r="S292" s="11" t="str">
        <f>VLOOKUP($G292, '26 ADP Data'!$C$4:$Q$298, 9, FALSE)</f>
        <v>-</v>
      </c>
      <c r="T292" s="11" t="str">
        <f>VLOOKUP($G292, '26 ADP Data'!$C$4:$Q$298, 8, FALSE)</f>
        <v>-</v>
      </c>
      <c r="U292" s="11">
        <f t="shared" si="7"/>
        <v>263</v>
      </c>
      <c r="V292" s="11">
        <f t="shared" si="8"/>
        <v>22</v>
      </c>
      <c r="W292" s="11"/>
      <c r="X292" s="11">
        <f>VLOOKUP($G292, SeanRanks26!$A$2:$K$303, 10, FALSE)-U292</f>
        <v>-13</v>
      </c>
      <c r="Y292" s="29" t="str">
        <f>IF(VLOOKUP($G292, SeanRanks26!$A$2:$H$303, 8, FALSE)=0, "", VLOOKUP($G292, SeanRanks26!$A$2:$H$303, 8, FALSE))</f>
        <v/>
      </c>
    </row>
    <row r="293" ht="14.25" customHeight="1">
      <c r="A293" s="11"/>
      <c r="B293" s="11">
        <f t="shared" si="12"/>
        <v>23</v>
      </c>
      <c r="C293" s="11" t="s">
        <v>106</v>
      </c>
      <c r="D293" s="11"/>
      <c r="E293" s="27"/>
      <c r="F293" s="11" t="str">
        <f>VLOOKUP($G293, SeanRanks26!$A$2:$H$303, 5, FALSE)</f>
        <v/>
      </c>
      <c r="G293" s="16" t="s">
        <v>684</v>
      </c>
      <c r="H293" s="11" t="str">
        <f>VLOOKUP($G293, '26 ADP Data'!$C$4:$Q$298, 2, FALSE)</f>
        <v>SEA</v>
      </c>
      <c r="I293" s="11" t="str">
        <f>VLOOKUP(G293, '26 ADP Data'!$C$4:$R$496, 16, FALSE)</f>
        <v>WR</v>
      </c>
      <c r="J293" s="11" t="str">
        <f>VLOOKUP($G293, SeanRanks26!$A$2:$H$303, 6, FALSE)</f>
        <v/>
      </c>
      <c r="K293" s="11" t="str">
        <f>VLOOKUP($G293, SeanRanks26!$A$2:$H$303, 7, FALSE)</f>
        <v/>
      </c>
      <c r="L293" s="11">
        <f t="shared" si="5"/>
        <v>16</v>
      </c>
      <c r="M293" s="11" t="str">
        <f>VLOOKUP($G293, '26 ADP Data'!$C$4:$Q$298, 10, FALSE)</f>
        <v>-</v>
      </c>
      <c r="N293" s="11">
        <f>VLOOKUP($G293, '26 ADP Data'!$C$4:$Q$298, 13, FALSE)</f>
        <v>256</v>
      </c>
      <c r="O293" s="11" t="str">
        <f t="shared" si="6"/>
        <v>#VALUE!</v>
      </c>
      <c r="P293" s="11" t="str">
        <f>VLOOKUP($G293, '26 ADP Data'!$C$4:$Q$298, 3, FALSE)</f>
        <v>-</v>
      </c>
      <c r="Q293" s="11" t="str">
        <f>VLOOKUP($G293, '26 ADP Data'!$C$4:$Q$298, 4, FALSE)</f>
        <v>-</v>
      </c>
      <c r="R293" s="11">
        <f>VLOOKUP($G293, '26 ADP Data'!$C$4:$Q$298, 6, FALSE)</f>
        <v>291</v>
      </c>
      <c r="S293" s="11">
        <f>VLOOKUP($G293, '26 ADP Data'!$C$4:$Q$298, 9, FALSE)</f>
        <v>251</v>
      </c>
      <c r="T293" s="11" t="str">
        <f>VLOOKUP($G293, '26 ADP Data'!$C$4:$Q$298, 8, FALSE)</f>
        <v>-</v>
      </c>
      <c r="U293" s="11">
        <f t="shared" si="7"/>
        <v>266</v>
      </c>
      <c r="V293" s="11">
        <f t="shared" si="8"/>
        <v>23</v>
      </c>
      <c r="W293" s="11"/>
      <c r="X293" s="11" t="str">
        <f>VLOOKUP($G293, SeanRanks26!$A$2:$K$303, 10, FALSE)-U293</f>
        <v>#VALUE!</v>
      </c>
      <c r="Y293" s="29" t="str">
        <f>IF(VLOOKUP($G293, SeanRanks26!$A$2:$H$303, 8, FALSE)=0, "", VLOOKUP($G293, SeanRanks26!$A$2:$H$303, 8, FALSE))</f>
        <v/>
      </c>
    </row>
    <row r="294" ht="14.25" customHeight="1">
      <c r="A294" s="11"/>
      <c r="B294" s="11">
        <f t="shared" si="12"/>
        <v>26</v>
      </c>
      <c r="C294" s="11" t="s">
        <v>106</v>
      </c>
      <c r="D294" s="11"/>
      <c r="E294" s="27"/>
      <c r="F294" s="11" t="str">
        <f>VLOOKUP($G294, SeanRanks26!$A$2:$H$303, 5, FALSE)</f>
        <v>#N/A</v>
      </c>
      <c r="G294" s="16" t="s">
        <v>716</v>
      </c>
      <c r="H294" s="11" t="str">
        <f>VLOOKUP($G294, '26 ADP Data'!$C$4:$Q$298, 2, FALSE)</f>
        <v>HOU</v>
      </c>
      <c r="I294" s="11" t="str">
        <f>VLOOKUP(G294, '26 ADP Data'!$C$4:$R$496, 16, FALSE)</f>
        <v>WR</v>
      </c>
      <c r="J294" s="11" t="str">
        <f>VLOOKUP($G294, SeanRanks26!$A$2:$H$303, 6, FALSE)</f>
        <v>#N/A</v>
      </c>
      <c r="K294" s="11" t="str">
        <f>VLOOKUP($G294, SeanRanks26!$A$2:$H$303, 7, FALSE)</f>
        <v>#N/A</v>
      </c>
      <c r="L294" s="11">
        <f t="shared" si="5"/>
        <v>16</v>
      </c>
      <c r="M294" s="11" t="str">
        <f>VLOOKUP($G294, '26 ADP Data'!$C$4:$Q$298, 10, FALSE)</f>
        <v>-</v>
      </c>
      <c r="N294" s="11">
        <f>VLOOKUP($G294, '26 ADP Data'!$C$4:$Q$298, 13, FALSE)</f>
        <v>235</v>
      </c>
      <c r="O294" s="11" t="str">
        <f t="shared" si="6"/>
        <v>#VALUE!</v>
      </c>
      <c r="P294" s="11" t="str">
        <f>VLOOKUP($G294, '26 ADP Data'!$C$4:$Q$298, 3, FALSE)</f>
        <v>-</v>
      </c>
      <c r="Q294" s="11" t="str">
        <f>VLOOKUP($G294, '26 ADP Data'!$C$4:$Q$298, 4, FALSE)</f>
        <v>-</v>
      </c>
      <c r="R294" s="11">
        <f>VLOOKUP($G294, '26 ADP Data'!$C$4:$Q$298, 6, FALSE)</f>
        <v>300</v>
      </c>
      <c r="S294" s="11" t="str">
        <f>VLOOKUP($G294, '26 ADP Data'!$C$4:$Q$298, 9, FALSE)</f>
        <v>-</v>
      </c>
      <c r="T294" s="11" t="str">
        <f>VLOOKUP($G294, '26 ADP Data'!$C$4:$Q$298, 8, FALSE)</f>
        <v>-</v>
      </c>
      <c r="U294" s="11">
        <f t="shared" si="7"/>
        <v>267</v>
      </c>
      <c r="V294" s="11">
        <f t="shared" si="8"/>
        <v>23</v>
      </c>
      <c r="W294" s="11"/>
      <c r="X294" s="11" t="str">
        <f>VLOOKUP($G294, SeanRanks26!$A$2:$K$303, 10, FALSE)-U294</f>
        <v>#N/A</v>
      </c>
      <c r="Y294" s="29" t="str">
        <f>IF(VLOOKUP($G294, SeanRanks26!$A$2:$H$303, 8, FALSE)=0, "", VLOOKUP($G294, SeanRanks26!$A$2:$H$303, 8, FALSE))</f>
        <v>#N/A</v>
      </c>
    </row>
    <row r="295" ht="14.25" customHeight="1">
      <c r="A295" s="11"/>
      <c r="B295" s="11">
        <f t="shared" si="12"/>
        <v>22</v>
      </c>
      <c r="C295" s="11" t="s">
        <v>106</v>
      </c>
      <c r="D295" s="11"/>
      <c r="E295" s="27"/>
      <c r="F295" s="11" t="str">
        <f>VLOOKUP($G295, SeanRanks26!$A$2:$H$303, 5, FALSE)</f>
        <v/>
      </c>
      <c r="G295" s="16" t="s">
        <v>690</v>
      </c>
      <c r="H295" s="11" t="str">
        <f>VLOOKUP($G295, '26 ADP Data'!$C$4:$Q$298, 2, FALSE)</f>
        <v>KC</v>
      </c>
      <c r="I295" s="11" t="str">
        <f>VLOOKUP(G295, '26 ADP Data'!$C$4:$R$496, 16, FALSE)</f>
        <v>RB</v>
      </c>
      <c r="J295" s="11" t="str">
        <f>VLOOKUP($G295, SeanRanks26!$A$2:$H$303, 6, FALSE)</f>
        <v/>
      </c>
      <c r="K295" s="11" t="str">
        <f>VLOOKUP($G295, SeanRanks26!$A$2:$H$303, 7, FALSE)</f>
        <v/>
      </c>
      <c r="L295" s="11">
        <f t="shared" si="5"/>
        <v>16</v>
      </c>
      <c r="M295" s="11" t="str">
        <f>VLOOKUP($G295, '26 ADP Data'!$C$4:$Q$298, 10, FALSE)</f>
        <v>-</v>
      </c>
      <c r="N295" s="11">
        <f>VLOOKUP($G295, '26 ADP Data'!$C$4:$Q$298, 13, FALSE)</f>
        <v>279</v>
      </c>
      <c r="O295" s="11" t="str">
        <f t="shared" si="6"/>
        <v>#VALUE!</v>
      </c>
      <c r="P295" s="11" t="str">
        <f>VLOOKUP($G295, '26 ADP Data'!$C$4:$Q$298, 3, FALSE)</f>
        <v>-</v>
      </c>
      <c r="Q295" s="11" t="str">
        <f>VLOOKUP($G295, '26 ADP Data'!$C$4:$Q$298, 4, FALSE)</f>
        <v>-</v>
      </c>
      <c r="R295" s="11">
        <f>VLOOKUP($G295, '26 ADP Data'!$C$4:$Q$298, 6, FALSE)</f>
        <v>258</v>
      </c>
      <c r="S295" s="11" t="str">
        <f>VLOOKUP($G295, '26 ADP Data'!$C$4:$Q$298, 9, FALSE)</f>
        <v>-</v>
      </c>
      <c r="T295" s="11" t="str">
        <f>VLOOKUP($G295, '26 ADP Data'!$C$4:$Q$298, 8, FALSE)</f>
        <v>-</v>
      </c>
      <c r="U295" s="11">
        <f t="shared" si="7"/>
        <v>268</v>
      </c>
      <c r="V295" s="11">
        <f t="shared" si="8"/>
        <v>23</v>
      </c>
      <c r="W295" s="11"/>
      <c r="X295" s="11" t="str">
        <f>VLOOKUP($G295, SeanRanks26!$A$2:$K$303, 10, FALSE)-U295</f>
        <v>#VALUE!</v>
      </c>
      <c r="Y295" s="29" t="str">
        <f>IF(VLOOKUP($G295, SeanRanks26!$A$2:$H$303, 8, FALSE)=0, "", VLOOKUP($G295, SeanRanks26!$A$2:$H$303, 8, FALSE))</f>
        <v/>
      </c>
    </row>
    <row r="296" ht="14.25" customHeight="1">
      <c r="A296" s="11"/>
      <c r="B296" s="11"/>
      <c r="C296" s="11" t="s">
        <v>106</v>
      </c>
      <c r="D296" s="11"/>
      <c r="E296" s="27"/>
      <c r="F296" s="11" t="str">
        <f>VLOOKUP($G296, SeanRanks26!$A$2:$H$303, 5, FALSE)</f>
        <v/>
      </c>
      <c r="G296" s="16" t="s">
        <v>696</v>
      </c>
      <c r="H296" s="11" t="str">
        <f>VLOOKUP($G296, '26 ADP Data'!$C$4:$Q$298, 2, FALSE)</f>
        <v>NYJ</v>
      </c>
      <c r="I296" s="11" t="str">
        <f>VLOOKUP(G296, '26 ADP Data'!$C$4:$R$496, 16, FALSE)</f>
        <v>RB</v>
      </c>
      <c r="J296" s="11" t="str">
        <f>VLOOKUP($G296, SeanRanks26!$A$2:$H$303, 6, FALSE)</f>
        <v/>
      </c>
      <c r="K296" s="11" t="str">
        <f>VLOOKUP($G296, SeanRanks26!$A$2:$H$303, 7, FALSE)</f>
        <v/>
      </c>
      <c r="L296" s="11">
        <f t="shared" si="5"/>
        <v>18</v>
      </c>
      <c r="M296" s="11">
        <f>VLOOKUP($G296, '26 ADP Data'!$C$4:$Q$298, 10, FALSE)</f>
        <v>212</v>
      </c>
      <c r="N296" s="11">
        <f>VLOOKUP($G296, '26 ADP Data'!$C$4:$Q$298, 13, FALSE)</f>
        <v>296</v>
      </c>
      <c r="O296" s="11">
        <f t="shared" si="6"/>
        <v>-84</v>
      </c>
      <c r="P296" s="11" t="str">
        <f>VLOOKUP($G296, '26 ADP Data'!$C$4:$Q$298, 3, FALSE)</f>
        <v>-</v>
      </c>
      <c r="Q296" s="11" t="str">
        <f>VLOOKUP($G296, '26 ADP Data'!$C$4:$Q$298, 4, FALSE)</f>
        <v>-</v>
      </c>
      <c r="R296" s="11">
        <f>VLOOKUP($G296, '26 ADP Data'!$C$4:$Q$298, 6, FALSE)</f>
        <v>310</v>
      </c>
      <c r="S296" s="11" t="str">
        <f>VLOOKUP($G296, '26 ADP Data'!$C$4:$Q$298, 9, FALSE)</f>
        <v>-</v>
      </c>
      <c r="T296" s="11" t="str">
        <f>VLOOKUP($G296, '26 ADP Data'!$C$4:$Q$298, 8, FALSE)</f>
        <v>-</v>
      </c>
      <c r="U296" s="11">
        <f t="shared" si="7"/>
        <v>272</v>
      </c>
      <c r="V296" s="11">
        <f t="shared" si="8"/>
        <v>23</v>
      </c>
      <c r="W296" s="11"/>
      <c r="X296" s="11">
        <f>VLOOKUP($G296, SeanRanks26!$A$2:$K$303, 10, FALSE)-U296</f>
        <v>-60</v>
      </c>
      <c r="Y296" s="29" t="str">
        <f>IF(VLOOKUP($G296, SeanRanks26!$A$2:$H$303, 8, FALSE)=0, "", VLOOKUP($G296, SeanRanks26!$A$2:$H$303, 8, FALSE))</f>
        <v/>
      </c>
    </row>
    <row r="297" ht="14.25" customHeight="1">
      <c r="A297" s="11"/>
      <c r="B297" s="11">
        <f t="shared" ref="B297:B306" si="13">IFERROR(INT(AVERAGE(P297:T297)/12)+1, INT(AVERAGE(M297)/12)+1)</f>
        <v>24</v>
      </c>
      <c r="C297" s="11" t="s">
        <v>106</v>
      </c>
      <c r="D297" s="11"/>
      <c r="E297" s="27"/>
      <c r="F297" s="11" t="str">
        <f>VLOOKUP($G297, SeanRanks26!$A$2:$H$303, 5, FALSE)</f>
        <v/>
      </c>
      <c r="G297" s="16" t="s">
        <v>694</v>
      </c>
      <c r="H297" s="11" t="str">
        <f>VLOOKUP($G297, '26 ADP Data'!$C$4:$Q$298, 2, FALSE)</f>
        <v>SEA</v>
      </c>
      <c r="I297" s="11" t="str">
        <f>VLOOKUP(G297, '26 ADP Data'!$C$4:$R$496, 16, FALSE)</f>
        <v>RB</v>
      </c>
      <c r="J297" s="11" t="str">
        <f>VLOOKUP($G297, SeanRanks26!$A$2:$H$303, 6, FALSE)</f>
        <v/>
      </c>
      <c r="K297" s="11" t="str">
        <f>VLOOKUP($G297, SeanRanks26!$A$2:$H$303, 7, FALSE)</f>
        <v/>
      </c>
      <c r="L297" s="11">
        <f t="shared" si="5"/>
        <v>16</v>
      </c>
      <c r="M297" s="11" t="str">
        <f>VLOOKUP($G297, '26 ADP Data'!$C$4:$Q$298, 10, FALSE)</f>
        <v>-</v>
      </c>
      <c r="N297" s="11">
        <f>VLOOKUP($G297, '26 ADP Data'!$C$4:$Q$298, 13, FALSE)</f>
        <v>262</v>
      </c>
      <c r="O297" s="11" t="str">
        <f t="shared" si="6"/>
        <v>#VALUE!</v>
      </c>
      <c r="P297" s="11" t="str">
        <f>VLOOKUP($G297, '26 ADP Data'!$C$4:$Q$298, 3, FALSE)</f>
        <v>-</v>
      </c>
      <c r="Q297" s="11" t="str">
        <f>VLOOKUP($G297, '26 ADP Data'!$C$4:$Q$298, 4, FALSE)</f>
        <v>-</v>
      </c>
      <c r="R297" s="11">
        <f>VLOOKUP($G297, '26 ADP Data'!$C$4:$Q$298, 6, FALSE)</f>
        <v>304</v>
      </c>
      <c r="S297" s="11">
        <f>VLOOKUP($G297, '26 ADP Data'!$C$4:$Q$298, 9, FALSE)</f>
        <v>269</v>
      </c>
      <c r="T297" s="11" t="str">
        <f>VLOOKUP($G297, '26 ADP Data'!$C$4:$Q$298, 8, FALSE)</f>
        <v>-</v>
      </c>
      <c r="U297" s="11">
        <f t="shared" si="7"/>
        <v>278</v>
      </c>
      <c r="V297" s="11">
        <f t="shared" si="8"/>
        <v>24</v>
      </c>
      <c r="W297" s="11"/>
      <c r="X297" s="11" t="str">
        <f>VLOOKUP($G297, SeanRanks26!$A$2:$K$303, 10, FALSE)-U297</f>
        <v>#VALUE!</v>
      </c>
      <c r="Y297" s="29" t="str">
        <f>IF(VLOOKUP($G297, SeanRanks26!$A$2:$H$303, 8, FALSE)=0, "", VLOOKUP($G297, SeanRanks26!$A$2:$H$303, 8, FALSE))</f>
        <v/>
      </c>
    </row>
    <row r="298" ht="14.25" customHeight="1">
      <c r="A298" s="11"/>
      <c r="B298" s="11">
        <f t="shared" si="13"/>
        <v>24</v>
      </c>
      <c r="C298" s="11" t="s">
        <v>106</v>
      </c>
      <c r="D298" s="11"/>
      <c r="E298" s="27"/>
      <c r="F298" s="11" t="str">
        <f>VLOOKUP($G298, SeanRanks26!$A$2:$H$303, 5, FALSE)</f>
        <v/>
      </c>
      <c r="G298" s="16" t="s">
        <v>653</v>
      </c>
      <c r="H298" s="11" t="str">
        <f>VLOOKUP($G298, '26 ADP Data'!$C$4:$Q$298, 2, FALSE)</f>
        <v>SF</v>
      </c>
      <c r="I298" s="11" t="str">
        <f>VLOOKUP(G298, '26 ADP Data'!$C$4:$R$496, 16, FALSE)</f>
        <v>WR</v>
      </c>
      <c r="J298" s="11" t="str">
        <f>VLOOKUP($G298, SeanRanks26!$A$2:$H$303, 6, FALSE)</f>
        <v/>
      </c>
      <c r="K298" s="11" t="str">
        <f>VLOOKUP($G298, SeanRanks26!$A$2:$H$303, 7, FALSE)</f>
        <v/>
      </c>
      <c r="L298" s="11">
        <f t="shared" si="5"/>
        <v>16</v>
      </c>
      <c r="M298" s="11" t="str">
        <f>VLOOKUP($G298, '26 ADP Data'!$C$4:$Q$298, 10, FALSE)</f>
        <v>-</v>
      </c>
      <c r="N298" s="11">
        <f>VLOOKUP($G298, '26 ADP Data'!$C$4:$Q$298, 13, FALSE)</f>
        <v>267</v>
      </c>
      <c r="O298" s="11" t="str">
        <f t="shared" si="6"/>
        <v>#VALUE!</v>
      </c>
      <c r="P298" s="11" t="str">
        <f>VLOOKUP($G298, '26 ADP Data'!$C$4:$Q$298, 3, FALSE)</f>
        <v>-</v>
      </c>
      <c r="Q298" s="11">
        <f>VLOOKUP($G298, '26 ADP Data'!$C$4:$Q$298, 4, FALSE)</f>
        <v>264</v>
      </c>
      <c r="R298" s="11">
        <f>VLOOKUP($G298, '26 ADP Data'!$C$4:$Q$298, 6, FALSE)</f>
        <v>306</v>
      </c>
      <c r="S298" s="11" t="str">
        <f>VLOOKUP($G298, '26 ADP Data'!$C$4:$Q$298, 9, FALSE)</f>
        <v>-</v>
      </c>
      <c r="T298" s="11" t="str">
        <f>VLOOKUP($G298, '26 ADP Data'!$C$4:$Q$298, 8, FALSE)</f>
        <v>-</v>
      </c>
      <c r="U298" s="11">
        <f t="shared" si="7"/>
        <v>279</v>
      </c>
      <c r="V298" s="11">
        <f t="shared" si="8"/>
        <v>24</v>
      </c>
      <c r="W298" s="11"/>
      <c r="X298" s="11" t="str">
        <f>VLOOKUP($G298, SeanRanks26!$A$2:$K$303, 10, FALSE)-U298</f>
        <v>#VALUE!</v>
      </c>
      <c r="Y298" s="29" t="str">
        <f>IF(VLOOKUP($G298, SeanRanks26!$A$2:$H$303, 8, FALSE)=0, "", VLOOKUP($G298, SeanRanks26!$A$2:$H$303, 8, FALSE))</f>
        <v/>
      </c>
    </row>
    <row r="299" ht="14.25" customHeight="1">
      <c r="A299" s="11"/>
      <c r="B299" s="11">
        <f t="shared" si="13"/>
        <v>26</v>
      </c>
      <c r="C299" s="11" t="s">
        <v>106</v>
      </c>
      <c r="D299" s="11"/>
      <c r="E299" s="27"/>
      <c r="F299" s="11" t="str">
        <f>VLOOKUP($G299, SeanRanks26!$A$2:$H$303, 5, FALSE)</f>
        <v/>
      </c>
      <c r="G299" s="16" t="s">
        <v>651</v>
      </c>
      <c r="H299" s="11" t="str">
        <f>VLOOKUP($G299, '26 ADP Data'!$C$4:$Q$298, 2, FALSE)</f>
        <v>LV</v>
      </c>
      <c r="I299" s="11" t="str">
        <f>VLOOKUP(G299, '26 ADP Data'!$C$4:$R$496, 16, FALSE)</f>
        <v>QB</v>
      </c>
      <c r="J299" s="11" t="str">
        <f>VLOOKUP($G299, SeanRanks26!$A$2:$H$303, 6, FALSE)</f>
        <v/>
      </c>
      <c r="K299" s="11" t="str">
        <f>VLOOKUP($G299, SeanRanks26!$A$2:$H$303, 7, FALSE)</f>
        <v/>
      </c>
      <c r="L299" s="11">
        <f t="shared" si="5"/>
        <v>16</v>
      </c>
      <c r="M299" s="11" t="str">
        <f>VLOOKUP($G299, '26 ADP Data'!$C$4:$Q$298, 10, FALSE)</f>
        <v>-</v>
      </c>
      <c r="N299" s="11">
        <f>VLOOKUP($G299, '26 ADP Data'!$C$4:$Q$298, 13, FALSE)</f>
        <v>247</v>
      </c>
      <c r="O299" s="11" t="str">
        <f t="shared" si="6"/>
        <v>#VALUE!</v>
      </c>
      <c r="P299" s="11" t="str">
        <f>VLOOKUP($G299, '26 ADP Data'!$C$4:$Q$298, 3, FALSE)</f>
        <v>-</v>
      </c>
      <c r="Q299" s="11">
        <f>VLOOKUP($G299, '26 ADP Data'!$C$4:$Q$298, 4, FALSE)</f>
        <v>338</v>
      </c>
      <c r="R299" s="11">
        <f>VLOOKUP($G299, '26 ADP Data'!$C$4:$Q$298, 6, FALSE)</f>
        <v>265</v>
      </c>
      <c r="S299" s="11" t="str">
        <f>VLOOKUP($G299, '26 ADP Data'!$C$4:$Q$298, 9, FALSE)</f>
        <v>-</v>
      </c>
      <c r="T299" s="11" t="str">
        <f>VLOOKUP($G299, '26 ADP Data'!$C$4:$Q$298, 8, FALSE)</f>
        <v>-</v>
      </c>
      <c r="U299" s="11">
        <f t="shared" si="7"/>
        <v>283</v>
      </c>
      <c r="V299" s="11">
        <f t="shared" si="8"/>
        <v>24</v>
      </c>
      <c r="W299" s="11"/>
      <c r="X299" s="11" t="str">
        <f>VLOOKUP($G299, SeanRanks26!$A$2:$K$303, 10, FALSE)-U299</f>
        <v>#VALUE!</v>
      </c>
      <c r="Y299" s="29" t="str">
        <f>IF(VLOOKUP($G299, SeanRanks26!$A$2:$H$303, 8, FALSE)=0, "", VLOOKUP($G299, SeanRanks26!$A$2:$H$303, 8, FALSE))</f>
        <v/>
      </c>
    </row>
    <row r="300" ht="14.25" customHeight="1">
      <c r="A300" s="11"/>
      <c r="B300" s="11">
        <f t="shared" si="13"/>
        <v>25</v>
      </c>
      <c r="C300" s="11" t="s">
        <v>106</v>
      </c>
      <c r="D300" s="11"/>
      <c r="E300" s="27"/>
      <c r="F300" s="11" t="str">
        <f>VLOOKUP($G300, SeanRanks26!$A$2:$H$303, 5, FALSE)</f>
        <v/>
      </c>
      <c r="G300" s="16" t="s">
        <v>624</v>
      </c>
      <c r="H300" s="11" t="str">
        <f>VLOOKUP($G300, '26 ADP Data'!$C$4:$Q$298, 2, FALSE)</f>
        <v>SF</v>
      </c>
      <c r="I300" s="11" t="str">
        <f>VLOOKUP(G300, '26 ADP Data'!$C$4:$R$496, 16, FALSE)</f>
        <v>WR</v>
      </c>
      <c r="J300" s="11" t="str">
        <f>VLOOKUP($G300, SeanRanks26!$A$2:$H$303, 6, FALSE)</f>
        <v/>
      </c>
      <c r="K300" s="11" t="str">
        <f>VLOOKUP($G300, SeanRanks26!$A$2:$H$303, 7, FALSE)</f>
        <v/>
      </c>
      <c r="L300" s="11">
        <f t="shared" si="5"/>
        <v>16</v>
      </c>
      <c r="M300" s="11" t="str">
        <f>VLOOKUP($G300, '26 ADP Data'!$C$4:$Q$298, 10, FALSE)</f>
        <v>-</v>
      </c>
      <c r="N300" s="11">
        <f>VLOOKUP($G300, '26 ADP Data'!$C$4:$Q$298, 13, FALSE)</f>
        <v>301</v>
      </c>
      <c r="O300" s="11" t="str">
        <f t="shared" si="6"/>
        <v>#VALUE!</v>
      </c>
      <c r="P300" s="11" t="str">
        <f>VLOOKUP($G300, '26 ADP Data'!$C$4:$Q$298, 3, FALSE)</f>
        <v>-</v>
      </c>
      <c r="Q300" s="11">
        <f>VLOOKUP($G300, '26 ADP Data'!$C$4:$Q$298, 4, FALSE)</f>
        <v>287</v>
      </c>
      <c r="R300" s="11">
        <f>VLOOKUP($G300, '26 ADP Data'!$C$4:$Q$298, 6, FALSE)</f>
        <v>328</v>
      </c>
      <c r="S300" s="11">
        <f>VLOOKUP($G300, '26 ADP Data'!$C$4:$Q$298, 9, FALSE)</f>
        <v>252</v>
      </c>
      <c r="T300" s="11" t="str">
        <f>VLOOKUP($G300, '26 ADP Data'!$C$4:$Q$298, 8, FALSE)</f>
        <v>-</v>
      </c>
      <c r="U300" s="11">
        <f t="shared" si="7"/>
        <v>292</v>
      </c>
      <c r="V300" s="11">
        <f t="shared" si="8"/>
        <v>25</v>
      </c>
      <c r="W300" s="11"/>
      <c r="X300" s="11" t="str">
        <f>VLOOKUP($G300, SeanRanks26!$A$2:$K$303, 10, FALSE)-U300</f>
        <v>#VALUE!</v>
      </c>
      <c r="Y300" s="29" t="str">
        <f>IF(VLOOKUP($G300, SeanRanks26!$A$2:$H$303, 8, FALSE)=0, "", VLOOKUP($G300, SeanRanks26!$A$2:$H$303, 8, FALSE))</f>
        <v/>
      </c>
    </row>
    <row r="301" ht="14.25" customHeight="1">
      <c r="A301" s="11"/>
      <c r="B301" s="11" t="str">
        <f t="shared" si="13"/>
        <v>#N/A</v>
      </c>
      <c r="C301" s="11" t="s">
        <v>106</v>
      </c>
      <c r="D301" s="11"/>
      <c r="E301" s="27"/>
      <c r="F301" s="11" t="str">
        <f>VLOOKUP($G301, SeanRanks26!$A$2:$H$303, 5, FALSE)</f>
        <v>#N/A</v>
      </c>
      <c r="G301" s="16" t="s">
        <v>724</v>
      </c>
      <c r="H301" s="11" t="str">
        <f>VLOOKUP($G301, '26 ADP Data'!$C$4:$Q$298, 2, FALSE)</f>
        <v>#N/A</v>
      </c>
      <c r="I301" s="11" t="str">
        <f>VLOOKUP(G301, '26 ADP Data'!$C$4:$R$496, 16, FALSE)</f>
        <v>K-</v>
      </c>
      <c r="J301" s="11" t="str">
        <f>VLOOKUP($G301, SeanRanks26!$A$2:$H$303, 6, FALSE)</f>
        <v>#N/A</v>
      </c>
      <c r="K301" s="11" t="str">
        <f>VLOOKUP($G301, SeanRanks26!$A$2:$H$303, 7, FALSE)</f>
        <v>#N/A</v>
      </c>
      <c r="L301" s="11">
        <f t="shared" si="5"/>
        <v>16</v>
      </c>
      <c r="M301" s="11" t="str">
        <f>VLOOKUP($G301, '26 ADP Data'!$C$4:$Q$298, 10, FALSE)</f>
        <v>#N/A</v>
      </c>
      <c r="N301" s="11" t="str">
        <f>VLOOKUP($G301, '26 ADP Data'!$C$4:$Q$298, 13, FALSE)</f>
        <v>#N/A</v>
      </c>
      <c r="O301" s="11" t="str">
        <f t="shared" si="6"/>
        <v>#N/A</v>
      </c>
      <c r="P301" s="11" t="str">
        <f>VLOOKUP($G301, '26 ADP Data'!$C$4:$Q$298, 3, FALSE)</f>
        <v>#N/A</v>
      </c>
      <c r="Q301" s="11" t="str">
        <f>VLOOKUP($G301, '26 ADP Data'!$C$4:$Q$298, 4, FALSE)</f>
        <v>#N/A</v>
      </c>
      <c r="R301" s="11" t="str">
        <f>VLOOKUP($G301, '26 ADP Data'!$C$4:$Q$298, 6, FALSE)</f>
        <v>#N/A</v>
      </c>
      <c r="S301" s="11" t="str">
        <f>VLOOKUP($G301, '26 ADP Data'!$C$4:$Q$298, 9, FALSE)</f>
        <v>#N/A</v>
      </c>
      <c r="T301" s="11" t="str">
        <f>VLOOKUP($G301, '26 ADP Data'!$C$4:$Q$298, 8, FALSE)</f>
        <v>#N/A</v>
      </c>
      <c r="U301" s="11" t="str">
        <f t="shared" si="7"/>
        <v>#N/A</v>
      </c>
      <c r="V301" s="11">
        <f t="shared" si="8"/>
        <v>16</v>
      </c>
      <c r="W301" s="11"/>
      <c r="X301" s="11" t="str">
        <f>VLOOKUP($G301, SeanRanks26!$A$2:$K$303, 10, FALSE)-U301</f>
        <v>#N/A</v>
      </c>
      <c r="Y301" s="29" t="str">
        <f>IF(VLOOKUP($G301, SeanRanks26!$A$2:$H$303, 8, FALSE)=0, "", VLOOKUP($G301, SeanRanks26!$A$2:$H$303, 8, FALSE))</f>
        <v>#N/A</v>
      </c>
    </row>
    <row r="302" ht="14.25" customHeight="1">
      <c r="A302" s="11"/>
      <c r="B302" s="11" t="str">
        <f t="shared" si="13"/>
        <v>#N/A</v>
      </c>
      <c r="C302" s="11" t="s">
        <v>106</v>
      </c>
      <c r="D302" s="11"/>
      <c r="E302" s="27"/>
      <c r="F302" s="11" t="str">
        <f>VLOOKUP($G302, SeanRanks26!$A$2:$H$303, 5, FALSE)</f>
        <v>#N/A</v>
      </c>
      <c r="G302" s="16" t="s">
        <v>726</v>
      </c>
      <c r="H302" s="11" t="str">
        <f>VLOOKUP($G302, '26 ADP Data'!$C$4:$Q$298, 2, FALSE)</f>
        <v>#N/A</v>
      </c>
      <c r="I302" s="11" t="str">
        <f>VLOOKUP(G302, '26 ADP Data'!$C$4:$R$496, 16, FALSE)</f>
        <v>WR</v>
      </c>
      <c r="J302" s="11" t="str">
        <f>VLOOKUP($G302, SeanRanks26!$A$2:$H$303, 6, FALSE)</f>
        <v>#N/A</v>
      </c>
      <c r="K302" s="11" t="str">
        <f>VLOOKUP($G302, SeanRanks26!$A$2:$H$303, 7, FALSE)</f>
        <v>#N/A</v>
      </c>
      <c r="L302" s="11">
        <f t="shared" si="5"/>
        <v>16</v>
      </c>
      <c r="M302" s="11" t="str">
        <f>VLOOKUP($G302, '26 ADP Data'!$C$4:$Q$298, 10, FALSE)</f>
        <v>#N/A</v>
      </c>
      <c r="N302" s="11" t="str">
        <f>VLOOKUP($G302, '26 ADP Data'!$C$4:$Q$298, 13, FALSE)</f>
        <v>#N/A</v>
      </c>
      <c r="O302" s="11" t="str">
        <f t="shared" si="6"/>
        <v>#N/A</v>
      </c>
      <c r="P302" s="11" t="str">
        <f>VLOOKUP($G302, '26 ADP Data'!$C$4:$Q$298, 3, FALSE)</f>
        <v>#N/A</v>
      </c>
      <c r="Q302" s="11" t="str">
        <f>VLOOKUP($G302, '26 ADP Data'!$C$4:$Q$298, 4, FALSE)</f>
        <v>#N/A</v>
      </c>
      <c r="R302" s="11" t="str">
        <f>VLOOKUP($G302, '26 ADP Data'!$C$4:$Q$298, 6, FALSE)</f>
        <v>#N/A</v>
      </c>
      <c r="S302" s="11" t="str">
        <f>VLOOKUP($G302, '26 ADP Data'!$C$4:$Q$298, 9, FALSE)</f>
        <v>#N/A</v>
      </c>
      <c r="T302" s="11" t="str">
        <f>VLOOKUP($G302, '26 ADP Data'!$C$4:$Q$298, 8, FALSE)</f>
        <v>#N/A</v>
      </c>
      <c r="U302" s="11" t="str">
        <f t="shared" si="7"/>
        <v>#N/A</v>
      </c>
      <c r="V302" s="11">
        <f t="shared" si="8"/>
        <v>16</v>
      </c>
      <c r="W302" s="11"/>
      <c r="X302" s="11" t="str">
        <f>VLOOKUP($G302, SeanRanks26!$A$2:$K$303, 10, FALSE)-U302</f>
        <v>#N/A</v>
      </c>
      <c r="Y302" s="29" t="str">
        <f>IF(VLOOKUP($G302, SeanRanks26!$A$2:$H$303, 8, FALSE)=0, "", VLOOKUP($G302, SeanRanks26!$A$2:$H$303, 8, FALSE))</f>
        <v>#N/A</v>
      </c>
    </row>
    <row r="303" ht="14.25" customHeight="1">
      <c r="A303" s="11"/>
      <c r="B303" s="11" t="str">
        <f t="shared" si="13"/>
        <v>#N/A</v>
      </c>
      <c r="C303" s="11" t="s">
        <v>106</v>
      </c>
      <c r="D303" s="11"/>
      <c r="E303" s="27"/>
      <c r="F303" s="11" t="str">
        <f>VLOOKUP($G303, SeanRanks26!$A$2:$H$303, 5, FALSE)</f>
        <v/>
      </c>
      <c r="G303" s="16" t="s">
        <v>728</v>
      </c>
      <c r="H303" s="11" t="str">
        <f>VLOOKUP($G303, '26 ADP Data'!$C$4:$Q$298, 2, FALSE)</f>
        <v>#N/A</v>
      </c>
      <c r="I303" s="11" t="str">
        <f>VLOOKUP(G303, '26 ADP Data'!$C$4:$R$496, 16, FALSE)</f>
        <v>TE</v>
      </c>
      <c r="J303" s="11" t="str">
        <f>VLOOKUP($G303, SeanRanks26!$A$2:$H$303, 6, FALSE)</f>
        <v/>
      </c>
      <c r="K303" s="11" t="str">
        <f>VLOOKUP($G303, SeanRanks26!$A$2:$H$303, 7, FALSE)</f>
        <v/>
      </c>
      <c r="L303" s="11">
        <f t="shared" si="5"/>
        <v>16</v>
      </c>
      <c r="M303" s="11" t="str">
        <f>VLOOKUP($G303, '26 ADP Data'!$C$4:$Q$298, 10, FALSE)</f>
        <v>#N/A</v>
      </c>
      <c r="N303" s="11" t="str">
        <f>VLOOKUP($G303, '26 ADP Data'!$C$4:$Q$298, 13, FALSE)</f>
        <v>#N/A</v>
      </c>
      <c r="O303" s="11" t="str">
        <f t="shared" si="6"/>
        <v>#N/A</v>
      </c>
      <c r="P303" s="11" t="str">
        <f>VLOOKUP($G303, '26 ADP Data'!$C$4:$Q$298, 3, FALSE)</f>
        <v>#N/A</v>
      </c>
      <c r="Q303" s="11" t="str">
        <f>VLOOKUP($G303, '26 ADP Data'!$C$4:$Q$298, 4, FALSE)</f>
        <v>#N/A</v>
      </c>
      <c r="R303" s="11" t="str">
        <f>VLOOKUP($G303, '26 ADP Data'!$C$4:$Q$298, 6, FALSE)</f>
        <v>#N/A</v>
      </c>
      <c r="S303" s="11" t="str">
        <f>VLOOKUP($G303, '26 ADP Data'!$C$4:$Q$298, 9, FALSE)</f>
        <v>#N/A</v>
      </c>
      <c r="T303" s="11" t="str">
        <f>VLOOKUP($G303, '26 ADP Data'!$C$4:$Q$298, 8, FALSE)</f>
        <v>#N/A</v>
      </c>
      <c r="U303" s="11" t="str">
        <f t="shared" si="7"/>
        <v>#N/A</v>
      </c>
      <c r="V303" s="11">
        <f t="shared" si="8"/>
        <v>16</v>
      </c>
      <c r="W303" s="11"/>
      <c r="X303" s="11" t="str">
        <f>VLOOKUP($G303, SeanRanks26!$A$2:$K$303, 10, FALSE)-U303</f>
        <v>#N/A</v>
      </c>
      <c r="Y303" s="29" t="str">
        <f>IF(VLOOKUP($G303, SeanRanks26!$A$2:$H$303, 8, FALSE)=0, "", VLOOKUP($G303, SeanRanks26!$A$2:$H$303, 8, FALSE))</f>
        <v>Rookie R3 ND</v>
      </c>
    </row>
    <row r="304" ht="14.25" customHeight="1">
      <c r="A304" s="11"/>
      <c r="B304" s="11" t="str">
        <f t="shared" si="13"/>
        <v>#N/A</v>
      </c>
      <c r="C304" s="11" t="s">
        <v>106</v>
      </c>
      <c r="D304" s="11"/>
      <c r="E304" s="27"/>
      <c r="F304" s="11" t="str">
        <f>VLOOKUP($G304, SeanRanks26!$A$2:$H$303, 5, FALSE)</f>
        <v>#N/A</v>
      </c>
      <c r="G304" s="16" t="s">
        <v>732</v>
      </c>
      <c r="H304" s="11" t="str">
        <f>VLOOKUP($G304, '26 ADP Data'!$C$4:$Q$298, 2, FALSE)</f>
        <v>#N/A</v>
      </c>
      <c r="I304" s="11" t="str">
        <f>VLOOKUP(G304, '26 ADP Data'!$C$4:$R$496, 16, FALSE)</f>
        <v>DE</v>
      </c>
      <c r="J304" s="11" t="str">
        <f>VLOOKUP($G304, SeanRanks26!$A$2:$H$303, 6, FALSE)</f>
        <v>#N/A</v>
      </c>
      <c r="K304" s="11" t="str">
        <f>VLOOKUP($G304, SeanRanks26!$A$2:$H$303, 7, FALSE)</f>
        <v>#N/A</v>
      </c>
      <c r="L304" s="11">
        <f t="shared" si="5"/>
        <v>16</v>
      </c>
      <c r="M304" s="11" t="str">
        <f>VLOOKUP($G304, '26 ADP Data'!$C$4:$Q$298, 10, FALSE)</f>
        <v>#N/A</v>
      </c>
      <c r="N304" s="11" t="str">
        <f>VLOOKUP($G304, '26 ADP Data'!$C$4:$Q$298, 13, FALSE)</f>
        <v>#N/A</v>
      </c>
      <c r="O304" s="11" t="str">
        <f t="shared" si="6"/>
        <v>#N/A</v>
      </c>
      <c r="P304" s="11" t="str">
        <f>VLOOKUP($G304, '26 ADP Data'!$C$4:$Q$298, 3, FALSE)</f>
        <v>#N/A</v>
      </c>
      <c r="Q304" s="11" t="str">
        <f>VLOOKUP($G304, '26 ADP Data'!$C$4:$Q$298, 4, FALSE)</f>
        <v>#N/A</v>
      </c>
      <c r="R304" s="11" t="str">
        <f>VLOOKUP($G304, '26 ADP Data'!$C$4:$Q$298, 6, FALSE)</f>
        <v>#N/A</v>
      </c>
      <c r="S304" s="11" t="str">
        <f>VLOOKUP($G304, '26 ADP Data'!$C$4:$Q$298, 9, FALSE)</f>
        <v>#N/A</v>
      </c>
      <c r="T304" s="11" t="str">
        <f>VLOOKUP($G304, '26 ADP Data'!$C$4:$Q$298, 8, FALSE)</f>
        <v>#N/A</v>
      </c>
      <c r="U304" s="11" t="str">
        <f t="shared" si="7"/>
        <v>#N/A</v>
      </c>
      <c r="V304" s="11">
        <f t="shared" si="8"/>
        <v>16</v>
      </c>
      <c r="W304" s="11"/>
      <c r="X304" s="11" t="str">
        <f>VLOOKUP($G304, SeanRanks26!$A$2:$K$303, 10, FALSE)-U304</f>
        <v>#N/A</v>
      </c>
      <c r="Y304" s="29" t="str">
        <f>IF(VLOOKUP($G304, SeanRanks26!$A$2:$H$303, 8, FALSE)=0, "", VLOOKUP($G304, SeanRanks26!$A$2:$H$303, 8, FALSE))</f>
        <v>#N/A</v>
      </c>
    </row>
    <row r="305" ht="14.25" customHeight="1">
      <c r="A305" s="11"/>
      <c r="B305" s="11" t="str">
        <f t="shared" si="13"/>
        <v>#N/A</v>
      </c>
      <c r="C305" s="11" t="s">
        <v>106</v>
      </c>
      <c r="D305" s="11"/>
      <c r="E305" s="27"/>
      <c r="F305" s="11" t="str">
        <f>VLOOKUP($G305, SeanRanks26!$A$2:$H$303, 5, FALSE)</f>
        <v/>
      </c>
      <c r="G305" s="16" t="s">
        <v>734</v>
      </c>
      <c r="H305" s="11" t="str">
        <f>VLOOKUP($G305, '26 ADP Data'!$C$4:$Q$298, 2, FALSE)</f>
        <v>#N/A</v>
      </c>
      <c r="I305" s="11" t="str">
        <f>VLOOKUP(G305, '26 ADP Data'!$C$4:$R$496, 16, FALSE)</f>
        <v>QB</v>
      </c>
      <c r="J305" s="11" t="str">
        <f>VLOOKUP($G305, SeanRanks26!$A$2:$H$303, 6, FALSE)</f>
        <v/>
      </c>
      <c r="K305" s="11" t="str">
        <f>VLOOKUP($G305, SeanRanks26!$A$2:$H$303, 7, FALSE)</f>
        <v/>
      </c>
      <c r="L305" s="11">
        <f t="shared" si="5"/>
        <v>16</v>
      </c>
      <c r="M305" s="11" t="str">
        <f>VLOOKUP($G305, '26 ADP Data'!$C$4:$Q$298, 10, FALSE)</f>
        <v>#N/A</v>
      </c>
      <c r="N305" s="11" t="str">
        <f>VLOOKUP($G305, '26 ADP Data'!$C$4:$Q$298, 13, FALSE)</f>
        <v>#N/A</v>
      </c>
      <c r="O305" s="11" t="str">
        <f t="shared" si="6"/>
        <v>#N/A</v>
      </c>
      <c r="P305" s="11" t="str">
        <f>VLOOKUP($G305, '26 ADP Data'!$C$4:$Q$298, 3, FALSE)</f>
        <v>#N/A</v>
      </c>
      <c r="Q305" s="11" t="str">
        <f>VLOOKUP($G305, '26 ADP Data'!$C$4:$Q$298, 4, FALSE)</f>
        <v>#N/A</v>
      </c>
      <c r="R305" s="11" t="str">
        <f>VLOOKUP($G305, '26 ADP Data'!$C$4:$Q$298, 6, FALSE)</f>
        <v>#N/A</v>
      </c>
      <c r="S305" s="11" t="str">
        <f>VLOOKUP($G305, '26 ADP Data'!$C$4:$Q$298, 9, FALSE)</f>
        <v>#N/A</v>
      </c>
      <c r="T305" s="11" t="str">
        <f>VLOOKUP($G305, '26 ADP Data'!$C$4:$Q$298, 8, FALSE)</f>
        <v>#N/A</v>
      </c>
      <c r="U305" s="11" t="str">
        <f t="shared" si="7"/>
        <v>#N/A</v>
      </c>
      <c r="V305" s="11">
        <f t="shared" si="8"/>
        <v>16</v>
      </c>
      <c r="W305" s="11"/>
      <c r="X305" s="11" t="str">
        <f>VLOOKUP($G305, SeanRanks26!$A$2:$K$303, 10, FALSE)-U305</f>
        <v>#N/A</v>
      </c>
      <c r="Y305" s="29" t="str">
        <f>IF(VLOOKUP($G305, SeanRanks26!$A$2:$H$303, 8, FALSE)=0, "", VLOOKUP($G305, SeanRanks26!$A$2:$H$303, 8, FALSE))</f>
        <v/>
      </c>
    </row>
    <row r="306" ht="14.25" customHeight="1">
      <c r="A306" s="11"/>
      <c r="B306" s="11" t="str">
        <f t="shared" si="13"/>
        <v>#N/A</v>
      </c>
      <c r="C306" s="11" t="s">
        <v>106</v>
      </c>
      <c r="D306" s="11"/>
      <c r="E306" s="27"/>
      <c r="F306" s="11" t="str">
        <f>VLOOKUP($G306, SeanRanks26!$A$2:$H$303, 5, FALSE)</f>
        <v/>
      </c>
      <c r="G306" s="16" t="s">
        <v>736</v>
      </c>
      <c r="H306" s="11" t="str">
        <f>VLOOKUP($G306, '26 ADP Data'!$C$4:$Q$298, 2, FALSE)</f>
        <v>#N/A</v>
      </c>
      <c r="I306" s="11" t="str">
        <f>VLOOKUP(G306, '26 ADP Data'!$C$4:$R$496, 16, FALSE)</f>
        <v>RB</v>
      </c>
      <c r="J306" s="11" t="str">
        <f>VLOOKUP($G306, SeanRanks26!$A$2:$H$303, 6, FALSE)</f>
        <v/>
      </c>
      <c r="K306" s="11" t="str">
        <f>VLOOKUP($G306, SeanRanks26!$A$2:$H$303, 7, FALSE)</f>
        <v/>
      </c>
      <c r="L306" s="11">
        <f t="shared" si="5"/>
        <v>16</v>
      </c>
      <c r="M306" s="11" t="str">
        <f>VLOOKUP($G306, '26 ADP Data'!$C$4:$Q$298, 10, FALSE)</f>
        <v>#N/A</v>
      </c>
      <c r="N306" s="11" t="str">
        <f>VLOOKUP($G306, '26 ADP Data'!$C$4:$Q$298, 13, FALSE)</f>
        <v>#N/A</v>
      </c>
      <c r="O306" s="11" t="str">
        <f t="shared" si="6"/>
        <v>#N/A</v>
      </c>
      <c r="P306" s="11" t="str">
        <f>VLOOKUP($G306, '26 ADP Data'!$C$4:$Q$298, 3, FALSE)</f>
        <v>#N/A</v>
      </c>
      <c r="Q306" s="11" t="str">
        <f>VLOOKUP($G306, '26 ADP Data'!$C$4:$Q$298, 4, FALSE)</f>
        <v>#N/A</v>
      </c>
      <c r="R306" s="11" t="str">
        <f>VLOOKUP($G306, '26 ADP Data'!$C$4:$Q$298, 6, FALSE)</f>
        <v>#N/A</v>
      </c>
      <c r="S306" s="11" t="str">
        <f>VLOOKUP($G306, '26 ADP Data'!$C$4:$Q$298, 9, FALSE)</f>
        <v>#N/A</v>
      </c>
      <c r="T306" s="11" t="str">
        <f>VLOOKUP($G306, '26 ADP Data'!$C$4:$Q$298, 8, FALSE)</f>
        <v>#N/A</v>
      </c>
      <c r="U306" s="11" t="str">
        <f t="shared" si="7"/>
        <v>#N/A</v>
      </c>
      <c r="V306" s="11">
        <f t="shared" si="8"/>
        <v>16</v>
      </c>
      <c r="W306" s="11"/>
      <c r="X306" s="11" t="str">
        <f>VLOOKUP($G306, SeanRanks26!$A$2:$K$303, 10, FALSE)-U306</f>
        <v>#N/A</v>
      </c>
      <c r="Y306" s="29" t="str">
        <f>IF(VLOOKUP($G306, SeanRanks26!$A$2:$H$303, 8, FALSE)=0, "", VLOOKUP($G306, SeanRanks26!$A$2:$H$303, 8, FALSE))</f>
        <v/>
      </c>
    </row>
    <row r="307" ht="14.25" customHeight="1">
      <c r="E307" s="86"/>
    </row>
    <row r="308" ht="14.25" customHeight="1">
      <c r="E308" s="86"/>
    </row>
    <row r="309" ht="14.25" customHeight="1">
      <c r="E309" s="86"/>
    </row>
    <row r="310" ht="14.25" customHeight="1">
      <c r="E310" s="86"/>
    </row>
    <row r="311" ht="14.25" customHeight="1">
      <c r="E311" s="86"/>
    </row>
    <row r="312" ht="14.25" customHeight="1">
      <c r="E312" s="86"/>
    </row>
    <row r="313" ht="14.25" customHeight="1">
      <c r="E313" s="86"/>
    </row>
    <row r="314" ht="14.25" customHeight="1">
      <c r="E314" s="86"/>
    </row>
    <row r="315" ht="14.25" customHeight="1">
      <c r="E315" s="86"/>
    </row>
    <row r="316" ht="14.25" customHeight="1">
      <c r="E316" s="86"/>
    </row>
    <row r="317" ht="14.25" customHeight="1">
      <c r="E317" s="86"/>
    </row>
    <row r="318" ht="14.25" customHeight="1">
      <c r="E318" s="86"/>
    </row>
    <row r="319" ht="14.25" customHeight="1">
      <c r="E319" s="86"/>
    </row>
    <row r="320" ht="14.25" customHeight="1">
      <c r="E320" s="86"/>
    </row>
    <row r="321" ht="14.25" customHeight="1">
      <c r="E321" s="86"/>
    </row>
    <row r="322" ht="14.25" customHeight="1">
      <c r="E322" s="86"/>
    </row>
    <row r="323" ht="14.25" customHeight="1">
      <c r="E323" s="86"/>
    </row>
    <row r="324" ht="14.25" customHeight="1">
      <c r="E324" s="86"/>
    </row>
    <row r="325" ht="14.25" customHeight="1">
      <c r="E325" s="86"/>
    </row>
    <row r="326" ht="14.25" customHeight="1">
      <c r="E326" s="86"/>
    </row>
    <row r="327" ht="14.25" customHeight="1">
      <c r="E327" s="86"/>
    </row>
    <row r="328" ht="14.25" customHeight="1">
      <c r="E328" s="86"/>
    </row>
    <row r="329" ht="14.25" customHeight="1">
      <c r="E329" s="86"/>
    </row>
    <row r="330" ht="14.25" customHeight="1">
      <c r="E330" s="86"/>
    </row>
    <row r="331" ht="14.25" customHeight="1">
      <c r="E331" s="86"/>
    </row>
    <row r="332" ht="14.25" customHeight="1">
      <c r="E332" s="86"/>
    </row>
    <row r="333" ht="14.25" customHeight="1">
      <c r="E333" s="86"/>
    </row>
    <row r="334" ht="14.25" customHeight="1">
      <c r="E334" s="86"/>
    </row>
    <row r="335" ht="14.25" customHeight="1">
      <c r="E335" s="86"/>
    </row>
    <row r="336" ht="14.25" customHeight="1">
      <c r="E336" s="86"/>
    </row>
    <row r="337" ht="14.25" customHeight="1">
      <c r="E337" s="86"/>
    </row>
    <row r="338" ht="14.25" customHeight="1">
      <c r="E338" s="86"/>
    </row>
    <row r="339" ht="14.25" customHeight="1">
      <c r="E339" s="86"/>
    </row>
    <row r="340" ht="14.25" customHeight="1">
      <c r="E340" s="86"/>
    </row>
    <row r="341" ht="14.25" customHeight="1">
      <c r="E341" s="86"/>
    </row>
    <row r="342" ht="14.25" customHeight="1">
      <c r="E342" s="86"/>
    </row>
    <row r="343" ht="14.25" customHeight="1">
      <c r="E343" s="86"/>
    </row>
    <row r="344" ht="14.25" customHeight="1">
      <c r="E344" s="86"/>
    </row>
    <row r="345" ht="14.25" customHeight="1">
      <c r="E345" s="86"/>
    </row>
    <row r="346" ht="14.25" customHeight="1">
      <c r="E346" s="86"/>
    </row>
    <row r="347" ht="14.25" customHeight="1">
      <c r="E347" s="86"/>
    </row>
    <row r="348" ht="14.25" customHeight="1">
      <c r="E348" s="86"/>
    </row>
    <row r="349" ht="14.25" customHeight="1">
      <c r="E349" s="86"/>
    </row>
    <row r="350" ht="14.25" customHeight="1">
      <c r="E350" s="86"/>
    </row>
    <row r="351" ht="14.25" customHeight="1">
      <c r="E351" s="86"/>
    </row>
    <row r="352" ht="14.25" customHeight="1">
      <c r="E352" s="86"/>
    </row>
    <row r="353" ht="14.25" customHeight="1">
      <c r="E353" s="86"/>
    </row>
    <row r="354" ht="14.25" customHeight="1">
      <c r="E354" s="86"/>
    </row>
    <row r="355" ht="14.25" customHeight="1">
      <c r="E355" s="86"/>
    </row>
    <row r="356" ht="14.25" customHeight="1">
      <c r="E356" s="86"/>
    </row>
    <row r="357" ht="14.25" customHeight="1">
      <c r="E357" s="86"/>
    </row>
    <row r="358" ht="14.25" customHeight="1">
      <c r="E358" s="86"/>
    </row>
    <row r="359" ht="14.25" customHeight="1">
      <c r="E359" s="86"/>
    </row>
    <row r="360" ht="14.25" customHeight="1">
      <c r="E360" s="86"/>
    </row>
    <row r="361" ht="14.25" customHeight="1">
      <c r="E361" s="86"/>
    </row>
    <row r="362" ht="14.25" customHeight="1">
      <c r="E362" s="86"/>
    </row>
    <row r="363" ht="14.25" customHeight="1">
      <c r="E363" s="86"/>
    </row>
    <row r="364" ht="14.25" customHeight="1">
      <c r="E364" s="86"/>
    </row>
    <row r="365" ht="14.25" customHeight="1">
      <c r="E365" s="86"/>
    </row>
    <row r="366" ht="14.25" customHeight="1">
      <c r="E366" s="86"/>
    </row>
    <row r="367" ht="14.25" customHeight="1">
      <c r="E367" s="86"/>
    </row>
    <row r="368" ht="14.25" customHeight="1">
      <c r="E368" s="86"/>
    </row>
    <row r="369" ht="14.25" customHeight="1">
      <c r="E369" s="86"/>
    </row>
    <row r="370" ht="14.25" customHeight="1">
      <c r="E370" s="86"/>
    </row>
    <row r="371" ht="14.25" customHeight="1">
      <c r="E371" s="86"/>
    </row>
    <row r="372" ht="14.25" customHeight="1">
      <c r="E372" s="86"/>
    </row>
    <row r="373" ht="14.25" customHeight="1">
      <c r="E373" s="86"/>
    </row>
    <row r="374" ht="14.25" customHeight="1">
      <c r="E374" s="86"/>
    </row>
    <row r="375" ht="14.25" customHeight="1">
      <c r="E375" s="86"/>
    </row>
    <row r="376" ht="14.25" customHeight="1">
      <c r="E376" s="86"/>
    </row>
    <row r="377" ht="14.25" customHeight="1">
      <c r="E377" s="86"/>
    </row>
    <row r="378" ht="14.25" customHeight="1">
      <c r="E378" s="86"/>
    </row>
    <row r="379" ht="14.25" customHeight="1">
      <c r="E379" s="86"/>
    </row>
    <row r="380" ht="14.25" customHeight="1">
      <c r="E380" s="86"/>
    </row>
    <row r="381" ht="14.25" customHeight="1">
      <c r="E381" s="86"/>
    </row>
    <row r="382" ht="14.25" customHeight="1">
      <c r="E382" s="86"/>
    </row>
    <row r="383" ht="14.25" customHeight="1">
      <c r="E383" s="86"/>
    </row>
    <row r="384" ht="14.25" customHeight="1">
      <c r="E384" s="86"/>
    </row>
    <row r="385" ht="14.25" customHeight="1">
      <c r="E385" s="86"/>
    </row>
    <row r="386" ht="14.25" customHeight="1">
      <c r="E386" s="86"/>
    </row>
    <row r="387" ht="14.25" customHeight="1">
      <c r="E387" s="86"/>
    </row>
    <row r="388" ht="14.25" customHeight="1">
      <c r="E388" s="86"/>
    </row>
    <row r="389" ht="14.25" customHeight="1">
      <c r="E389" s="86"/>
    </row>
    <row r="390" ht="14.25" customHeight="1">
      <c r="E390" s="86"/>
    </row>
    <row r="391" ht="14.25" customHeight="1">
      <c r="E391" s="86"/>
    </row>
    <row r="392" ht="14.25" customHeight="1">
      <c r="E392" s="86"/>
    </row>
    <row r="393" ht="14.25" customHeight="1">
      <c r="E393" s="86"/>
    </row>
    <row r="394" ht="14.25" customHeight="1">
      <c r="E394" s="86"/>
    </row>
    <row r="395" ht="14.25" customHeight="1">
      <c r="E395" s="86"/>
    </row>
    <row r="396" ht="14.25" customHeight="1">
      <c r="E396" s="86"/>
    </row>
    <row r="397" ht="14.25" customHeight="1">
      <c r="E397" s="86"/>
    </row>
    <row r="398" ht="14.25" customHeight="1">
      <c r="E398" s="86"/>
    </row>
    <row r="399" ht="14.25" customHeight="1">
      <c r="E399" s="86"/>
    </row>
    <row r="400" ht="14.25" customHeight="1">
      <c r="E400" s="86"/>
    </row>
    <row r="401" ht="14.25" customHeight="1">
      <c r="E401" s="86"/>
    </row>
    <row r="402" ht="14.25" customHeight="1">
      <c r="E402" s="86"/>
    </row>
    <row r="403" ht="14.25" customHeight="1">
      <c r="E403" s="86"/>
    </row>
    <row r="404" ht="14.25" customHeight="1">
      <c r="E404" s="86"/>
    </row>
    <row r="405" ht="14.25" customHeight="1">
      <c r="E405" s="86"/>
    </row>
    <row r="406" ht="14.25" customHeight="1">
      <c r="E406" s="86"/>
    </row>
    <row r="407" ht="14.25" customHeight="1">
      <c r="E407" s="86"/>
    </row>
    <row r="408" ht="14.25" customHeight="1">
      <c r="E408" s="86"/>
    </row>
    <row r="409" ht="14.25" customHeight="1">
      <c r="E409" s="86"/>
    </row>
    <row r="410" ht="14.25" customHeight="1">
      <c r="E410" s="86"/>
    </row>
    <row r="411" ht="14.25" customHeight="1">
      <c r="E411" s="86"/>
    </row>
    <row r="412" ht="14.25" customHeight="1">
      <c r="E412" s="86"/>
    </row>
    <row r="413" ht="14.25" customHeight="1">
      <c r="E413" s="86"/>
    </row>
    <row r="414" ht="14.25" customHeight="1">
      <c r="E414" s="86"/>
    </row>
    <row r="415" ht="14.25" customHeight="1">
      <c r="E415" s="86"/>
    </row>
    <row r="416" ht="14.25" customHeight="1">
      <c r="E416" s="86"/>
    </row>
    <row r="417" ht="14.25" customHeight="1">
      <c r="E417" s="86"/>
    </row>
    <row r="418" ht="14.25" customHeight="1">
      <c r="E418" s="86"/>
    </row>
    <row r="419" ht="14.25" customHeight="1">
      <c r="E419" s="86"/>
    </row>
    <row r="420" ht="14.25" customHeight="1">
      <c r="E420" s="86"/>
    </row>
    <row r="421" ht="14.25" customHeight="1">
      <c r="E421" s="86"/>
    </row>
    <row r="422" ht="14.25" customHeight="1">
      <c r="E422" s="86"/>
    </row>
    <row r="423" ht="14.25" customHeight="1">
      <c r="E423" s="86"/>
    </row>
    <row r="424" ht="14.25" customHeight="1">
      <c r="E424" s="86"/>
    </row>
    <row r="425" ht="14.25" customHeight="1">
      <c r="E425" s="86"/>
    </row>
    <row r="426" ht="14.25" customHeight="1">
      <c r="E426" s="86"/>
    </row>
    <row r="427" ht="14.25" customHeight="1">
      <c r="E427" s="86"/>
    </row>
    <row r="428" ht="14.25" customHeight="1">
      <c r="E428" s="86"/>
    </row>
    <row r="429" ht="14.25" customHeight="1">
      <c r="E429" s="86"/>
    </row>
    <row r="430" ht="14.25" customHeight="1">
      <c r="E430" s="86"/>
    </row>
    <row r="431" ht="14.25" customHeight="1">
      <c r="E431" s="86"/>
    </row>
    <row r="432" ht="14.25" customHeight="1">
      <c r="E432" s="86"/>
    </row>
    <row r="433" ht="14.25" customHeight="1">
      <c r="E433" s="86"/>
    </row>
    <row r="434" ht="14.25" customHeight="1">
      <c r="E434" s="86"/>
    </row>
    <row r="435" ht="14.25" customHeight="1">
      <c r="E435" s="86"/>
    </row>
    <row r="436" ht="14.25" customHeight="1">
      <c r="E436" s="86"/>
    </row>
    <row r="437" ht="14.25" customHeight="1">
      <c r="E437" s="86"/>
    </row>
    <row r="438" ht="14.25" customHeight="1">
      <c r="E438" s="86"/>
    </row>
    <row r="439" ht="14.25" customHeight="1">
      <c r="E439" s="86"/>
    </row>
    <row r="440" ht="14.25" customHeight="1">
      <c r="E440" s="86"/>
    </row>
    <row r="441" ht="14.25" customHeight="1">
      <c r="E441" s="86"/>
    </row>
    <row r="442" ht="14.25" customHeight="1">
      <c r="E442" s="86"/>
    </row>
    <row r="443" ht="14.25" customHeight="1">
      <c r="E443" s="86"/>
    </row>
    <row r="444" ht="14.25" customHeight="1">
      <c r="E444" s="86"/>
    </row>
    <row r="445" ht="14.25" customHeight="1">
      <c r="E445" s="86"/>
    </row>
    <row r="446" ht="14.25" customHeight="1">
      <c r="E446" s="86"/>
    </row>
    <row r="447" ht="14.25" customHeight="1">
      <c r="E447" s="86"/>
    </row>
    <row r="448" ht="14.25" customHeight="1">
      <c r="E448" s="86"/>
    </row>
    <row r="449" ht="14.25" customHeight="1">
      <c r="E449" s="86"/>
    </row>
    <row r="450" ht="14.25" customHeight="1">
      <c r="E450" s="86"/>
    </row>
    <row r="451" ht="14.25" customHeight="1">
      <c r="E451" s="86"/>
    </row>
    <row r="452" ht="14.25" customHeight="1">
      <c r="E452" s="86"/>
    </row>
    <row r="453" ht="14.25" customHeight="1">
      <c r="E453" s="86"/>
    </row>
    <row r="454" ht="14.25" customHeight="1">
      <c r="E454" s="86"/>
    </row>
    <row r="455" ht="14.25" customHeight="1">
      <c r="E455" s="86"/>
    </row>
    <row r="456" ht="14.25" customHeight="1">
      <c r="E456" s="86"/>
    </row>
    <row r="457" ht="14.25" customHeight="1">
      <c r="E457" s="86"/>
    </row>
    <row r="458" ht="14.25" customHeight="1">
      <c r="E458" s="86"/>
    </row>
    <row r="459" ht="14.25" customHeight="1">
      <c r="E459" s="86"/>
    </row>
    <row r="460" ht="14.25" customHeight="1">
      <c r="E460" s="86"/>
    </row>
    <row r="461" ht="14.25" customHeight="1">
      <c r="E461" s="86"/>
    </row>
    <row r="462" ht="14.25" customHeight="1">
      <c r="E462" s="86"/>
    </row>
    <row r="463" ht="14.25" customHeight="1">
      <c r="E463" s="86"/>
    </row>
    <row r="464" ht="14.25" customHeight="1">
      <c r="E464" s="86"/>
    </row>
    <row r="465" ht="14.25" customHeight="1">
      <c r="E465" s="86"/>
    </row>
    <row r="466" ht="14.25" customHeight="1">
      <c r="E466" s="86"/>
    </row>
    <row r="467" ht="14.25" customHeight="1">
      <c r="E467" s="86"/>
    </row>
    <row r="468" ht="14.25" customHeight="1">
      <c r="E468" s="86"/>
    </row>
    <row r="469" ht="14.25" customHeight="1">
      <c r="E469" s="86"/>
    </row>
    <row r="470" ht="14.25" customHeight="1">
      <c r="E470" s="86"/>
    </row>
    <row r="471" ht="14.25" customHeight="1">
      <c r="E471" s="86"/>
    </row>
    <row r="472" ht="14.25" customHeight="1">
      <c r="E472" s="86"/>
    </row>
    <row r="473" ht="14.25" customHeight="1">
      <c r="E473" s="86"/>
    </row>
    <row r="474" ht="14.25" customHeight="1">
      <c r="E474" s="86"/>
    </row>
    <row r="475" ht="14.25" customHeight="1">
      <c r="E475" s="86"/>
    </row>
    <row r="476" ht="14.25" customHeight="1">
      <c r="E476" s="86"/>
    </row>
    <row r="477" ht="14.25" customHeight="1">
      <c r="E477" s="86"/>
    </row>
    <row r="478" ht="14.25" customHeight="1">
      <c r="E478" s="86"/>
    </row>
    <row r="479" ht="14.25" customHeight="1">
      <c r="E479" s="86"/>
    </row>
    <row r="480" ht="14.25" customHeight="1">
      <c r="E480" s="86"/>
    </row>
    <row r="481" ht="14.25" customHeight="1">
      <c r="E481" s="86"/>
    </row>
    <row r="482" ht="14.25" customHeight="1">
      <c r="E482" s="86"/>
    </row>
    <row r="483" ht="14.25" customHeight="1">
      <c r="E483" s="86"/>
    </row>
    <row r="484" ht="14.25" customHeight="1">
      <c r="E484" s="86"/>
    </row>
    <row r="485" ht="14.25" customHeight="1">
      <c r="E485" s="86"/>
    </row>
    <row r="486" ht="14.25" customHeight="1">
      <c r="E486" s="86"/>
    </row>
    <row r="487" ht="14.25" customHeight="1">
      <c r="E487" s="86"/>
    </row>
    <row r="488" ht="14.25" customHeight="1">
      <c r="E488" s="86"/>
    </row>
    <row r="489" ht="14.25" customHeight="1">
      <c r="E489" s="86"/>
    </row>
    <row r="490" ht="14.25" customHeight="1">
      <c r="E490" s="86"/>
    </row>
    <row r="491" ht="14.25" customHeight="1">
      <c r="E491" s="86"/>
    </row>
    <row r="492" ht="14.25" customHeight="1">
      <c r="E492" s="86"/>
    </row>
    <row r="493" ht="14.25" customHeight="1">
      <c r="E493" s="86"/>
    </row>
    <row r="494" ht="14.25" customHeight="1">
      <c r="E494" s="86"/>
    </row>
    <row r="495" ht="14.25" customHeight="1">
      <c r="E495" s="86"/>
    </row>
    <row r="496" ht="14.25" customHeight="1">
      <c r="E496" s="86"/>
    </row>
    <row r="497" ht="14.25" customHeight="1">
      <c r="E497" s="86"/>
    </row>
    <row r="498" ht="14.25" customHeight="1">
      <c r="E498" s="86"/>
    </row>
    <row r="499" ht="14.25" customHeight="1">
      <c r="E499" s="86"/>
    </row>
    <row r="500" ht="14.25" customHeight="1">
      <c r="E500" s="86"/>
    </row>
    <row r="501" ht="14.25" customHeight="1">
      <c r="E501" s="86"/>
    </row>
    <row r="502" ht="14.25" customHeight="1">
      <c r="E502" s="86"/>
    </row>
    <row r="503" ht="14.25" customHeight="1">
      <c r="E503" s="86"/>
    </row>
    <row r="504" ht="14.25" customHeight="1">
      <c r="E504" s="86"/>
    </row>
    <row r="505" ht="14.25" customHeight="1">
      <c r="E505" s="86"/>
    </row>
    <row r="506" ht="14.25" customHeight="1">
      <c r="E506" s="86"/>
    </row>
    <row r="507" ht="14.25" customHeight="1">
      <c r="E507" s="86"/>
    </row>
    <row r="508" ht="14.25" customHeight="1">
      <c r="E508" s="86"/>
    </row>
    <row r="509" ht="14.25" customHeight="1">
      <c r="E509" s="86"/>
    </row>
    <row r="510" ht="14.25" customHeight="1">
      <c r="E510" s="86"/>
    </row>
    <row r="511" ht="14.25" customHeight="1">
      <c r="E511" s="86"/>
    </row>
    <row r="512" ht="14.25" customHeight="1">
      <c r="E512" s="86"/>
    </row>
    <row r="513" ht="14.25" customHeight="1">
      <c r="E513" s="86"/>
    </row>
    <row r="514" ht="14.25" customHeight="1">
      <c r="E514" s="86"/>
    </row>
    <row r="515" ht="14.25" customHeight="1">
      <c r="E515" s="86"/>
    </row>
    <row r="516" ht="14.25" customHeight="1">
      <c r="E516" s="86"/>
    </row>
    <row r="517" ht="14.25" customHeight="1">
      <c r="E517" s="86"/>
    </row>
    <row r="518" ht="14.25" customHeight="1">
      <c r="E518" s="86"/>
    </row>
    <row r="519" ht="14.25" customHeight="1">
      <c r="E519" s="86"/>
    </row>
    <row r="520" ht="14.25" customHeight="1">
      <c r="E520" s="86"/>
    </row>
    <row r="521" ht="14.25" customHeight="1">
      <c r="E521" s="86"/>
    </row>
    <row r="522" ht="14.25" customHeight="1">
      <c r="E522" s="86"/>
    </row>
    <row r="523" ht="14.25" customHeight="1">
      <c r="E523" s="86"/>
    </row>
    <row r="524" ht="14.25" customHeight="1">
      <c r="E524" s="86"/>
    </row>
    <row r="525" ht="14.25" customHeight="1">
      <c r="E525" s="86"/>
    </row>
    <row r="526" ht="14.25" customHeight="1">
      <c r="E526" s="86"/>
    </row>
    <row r="527" ht="14.25" customHeight="1">
      <c r="E527" s="86"/>
    </row>
    <row r="528" ht="14.25" customHeight="1">
      <c r="E528" s="86"/>
    </row>
    <row r="529" ht="14.25" customHeight="1">
      <c r="E529" s="86"/>
    </row>
    <row r="530" ht="14.25" customHeight="1">
      <c r="E530" s="86"/>
    </row>
    <row r="531" ht="14.25" customHeight="1">
      <c r="E531" s="86"/>
    </row>
    <row r="532" ht="14.25" customHeight="1">
      <c r="E532" s="86"/>
    </row>
    <row r="533" ht="14.25" customHeight="1">
      <c r="E533" s="86"/>
    </row>
    <row r="534" ht="14.25" customHeight="1">
      <c r="E534" s="86"/>
    </row>
    <row r="535" ht="14.25" customHeight="1">
      <c r="E535" s="86"/>
    </row>
    <row r="536" ht="14.25" customHeight="1">
      <c r="E536" s="86"/>
    </row>
    <row r="537" ht="14.25" customHeight="1">
      <c r="E537" s="86"/>
    </row>
    <row r="538" ht="14.25" customHeight="1">
      <c r="E538" s="86"/>
    </row>
    <row r="539" ht="14.25" customHeight="1">
      <c r="E539" s="86"/>
    </row>
    <row r="540" ht="14.25" customHeight="1">
      <c r="E540" s="86"/>
    </row>
    <row r="541" ht="14.25" customHeight="1">
      <c r="E541" s="86"/>
    </row>
    <row r="542" ht="14.25" customHeight="1">
      <c r="E542" s="86"/>
    </row>
    <row r="543" ht="14.25" customHeight="1">
      <c r="E543" s="86"/>
    </row>
    <row r="544" ht="14.25" customHeight="1">
      <c r="E544" s="86"/>
    </row>
    <row r="545" ht="14.25" customHeight="1">
      <c r="E545" s="86"/>
    </row>
    <row r="546" ht="14.25" customHeight="1">
      <c r="E546" s="86"/>
    </row>
    <row r="547" ht="14.25" customHeight="1">
      <c r="E547" s="86"/>
    </row>
    <row r="548" ht="14.25" customHeight="1">
      <c r="E548" s="86"/>
    </row>
    <row r="549" ht="14.25" customHeight="1">
      <c r="E549" s="86"/>
    </row>
    <row r="550" ht="14.25" customHeight="1">
      <c r="E550" s="86"/>
    </row>
    <row r="551" ht="14.25" customHeight="1">
      <c r="E551" s="86"/>
    </row>
    <row r="552" ht="14.25" customHeight="1">
      <c r="E552" s="86"/>
    </row>
    <row r="553" ht="14.25" customHeight="1">
      <c r="E553" s="86"/>
    </row>
    <row r="554" ht="14.25" customHeight="1">
      <c r="E554" s="86"/>
    </row>
    <row r="555" ht="14.25" customHeight="1">
      <c r="E555" s="86"/>
    </row>
    <row r="556" ht="14.25" customHeight="1">
      <c r="E556" s="86"/>
    </row>
    <row r="557" ht="14.25" customHeight="1">
      <c r="E557" s="86"/>
    </row>
    <row r="558" ht="14.25" customHeight="1">
      <c r="E558" s="86"/>
    </row>
    <row r="559" ht="14.25" customHeight="1">
      <c r="E559" s="86"/>
    </row>
    <row r="560" ht="14.25" customHeight="1">
      <c r="E560" s="86"/>
    </row>
    <row r="561" ht="14.25" customHeight="1">
      <c r="E561" s="86"/>
    </row>
    <row r="562" ht="14.25" customHeight="1">
      <c r="E562" s="86"/>
    </row>
    <row r="563" ht="14.25" customHeight="1">
      <c r="E563" s="86"/>
    </row>
    <row r="564" ht="14.25" customHeight="1">
      <c r="E564" s="86"/>
    </row>
    <row r="565" ht="14.25" customHeight="1">
      <c r="E565" s="86"/>
    </row>
    <row r="566" ht="14.25" customHeight="1">
      <c r="E566" s="86"/>
    </row>
    <row r="567" ht="14.25" customHeight="1">
      <c r="E567" s="86"/>
    </row>
    <row r="568" ht="14.25" customHeight="1">
      <c r="E568" s="86"/>
    </row>
    <row r="569" ht="14.25" customHeight="1">
      <c r="E569" s="86"/>
    </row>
    <row r="570" ht="14.25" customHeight="1">
      <c r="E570" s="86"/>
    </row>
    <row r="571" ht="14.25" customHeight="1">
      <c r="E571" s="86"/>
    </row>
    <row r="572" ht="14.25" customHeight="1">
      <c r="E572" s="86"/>
    </row>
    <row r="573" ht="14.25" customHeight="1">
      <c r="E573" s="86"/>
    </row>
    <row r="574" ht="14.25" customHeight="1">
      <c r="E574" s="86"/>
    </row>
    <row r="575" ht="14.25" customHeight="1">
      <c r="E575" s="86"/>
    </row>
    <row r="576" ht="14.25" customHeight="1">
      <c r="E576" s="86"/>
    </row>
    <row r="577" ht="14.25" customHeight="1">
      <c r="E577" s="86"/>
    </row>
    <row r="578" ht="14.25" customHeight="1">
      <c r="E578" s="86"/>
    </row>
    <row r="579" ht="14.25" customHeight="1">
      <c r="E579" s="86"/>
    </row>
    <row r="580" ht="14.25" customHeight="1">
      <c r="E580" s="86"/>
    </row>
    <row r="581" ht="14.25" customHeight="1">
      <c r="E581" s="86"/>
    </row>
    <row r="582" ht="14.25" customHeight="1">
      <c r="E582" s="86"/>
    </row>
    <row r="583" ht="14.25" customHeight="1">
      <c r="E583" s="86"/>
    </row>
    <row r="584" ht="14.25" customHeight="1">
      <c r="E584" s="86"/>
    </row>
    <row r="585" ht="14.25" customHeight="1">
      <c r="E585" s="86"/>
    </row>
    <row r="586" ht="14.25" customHeight="1">
      <c r="E586" s="86"/>
    </row>
    <row r="587" ht="14.25" customHeight="1">
      <c r="E587" s="86"/>
    </row>
    <row r="588" ht="14.25" customHeight="1">
      <c r="E588" s="86"/>
    </row>
    <row r="589" ht="14.25" customHeight="1">
      <c r="E589" s="86"/>
    </row>
    <row r="590" ht="14.25" customHeight="1">
      <c r="E590" s="86"/>
    </row>
    <row r="591" ht="14.25" customHeight="1">
      <c r="E591" s="86"/>
    </row>
    <row r="592" ht="14.25" customHeight="1">
      <c r="E592" s="86"/>
    </row>
    <row r="593" ht="14.25" customHeight="1">
      <c r="E593" s="86"/>
    </row>
    <row r="594" ht="14.25" customHeight="1">
      <c r="E594" s="86"/>
    </row>
    <row r="595" ht="14.25" customHeight="1">
      <c r="E595" s="86"/>
    </row>
    <row r="596" ht="14.25" customHeight="1">
      <c r="E596" s="86"/>
    </row>
    <row r="597" ht="14.25" customHeight="1">
      <c r="E597" s="86"/>
    </row>
    <row r="598" ht="14.25" customHeight="1">
      <c r="E598" s="86"/>
    </row>
    <row r="599" ht="14.25" customHeight="1">
      <c r="E599" s="86"/>
    </row>
    <row r="600" ht="14.25" customHeight="1">
      <c r="E600" s="86"/>
    </row>
    <row r="601" ht="14.25" customHeight="1">
      <c r="E601" s="86"/>
    </row>
    <row r="602" ht="14.25" customHeight="1">
      <c r="E602" s="86"/>
    </row>
    <row r="603" ht="14.25" customHeight="1">
      <c r="E603" s="86"/>
    </row>
    <row r="604" ht="14.25" customHeight="1">
      <c r="E604" s="86"/>
    </row>
    <row r="605" ht="14.25" customHeight="1">
      <c r="E605" s="86"/>
    </row>
    <row r="606" ht="14.25" customHeight="1">
      <c r="E606" s="86"/>
    </row>
    <row r="607" ht="14.25" customHeight="1">
      <c r="E607" s="86"/>
    </row>
    <row r="608" ht="14.25" customHeight="1">
      <c r="E608" s="86"/>
    </row>
    <row r="609" ht="14.25" customHeight="1">
      <c r="E609" s="86"/>
    </row>
    <row r="610" ht="14.25" customHeight="1">
      <c r="E610" s="86"/>
    </row>
    <row r="611" ht="14.25" customHeight="1">
      <c r="E611" s="86"/>
    </row>
    <row r="612" ht="14.25" customHeight="1">
      <c r="E612" s="86"/>
    </row>
    <row r="613" ht="14.25" customHeight="1">
      <c r="E613" s="86"/>
    </row>
    <row r="614" ht="14.25" customHeight="1">
      <c r="E614" s="86"/>
    </row>
    <row r="615" ht="14.25" customHeight="1">
      <c r="E615" s="86"/>
    </row>
    <row r="616" ht="14.25" customHeight="1">
      <c r="E616" s="86"/>
    </row>
    <row r="617" ht="14.25" customHeight="1">
      <c r="E617" s="86"/>
    </row>
    <row r="618" ht="14.25" customHeight="1">
      <c r="E618" s="86"/>
    </row>
    <row r="619" ht="14.25" customHeight="1">
      <c r="E619" s="86"/>
    </row>
    <row r="620" ht="14.25" customHeight="1">
      <c r="E620" s="86"/>
    </row>
    <row r="621" ht="14.25" customHeight="1">
      <c r="E621" s="86"/>
    </row>
    <row r="622" ht="14.25" customHeight="1">
      <c r="E622" s="86"/>
    </row>
    <row r="623" ht="14.25" customHeight="1">
      <c r="E623" s="86"/>
    </row>
    <row r="624" ht="14.25" customHeight="1">
      <c r="E624" s="86"/>
    </row>
    <row r="625" ht="14.25" customHeight="1">
      <c r="E625" s="86"/>
    </row>
    <row r="626" ht="14.25" customHeight="1">
      <c r="E626" s="86"/>
    </row>
    <row r="627" ht="14.25" customHeight="1">
      <c r="E627" s="86"/>
    </row>
    <row r="628" ht="14.25" customHeight="1">
      <c r="E628" s="86"/>
    </row>
    <row r="629" ht="14.25" customHeight="1">
      <c r="E629" s="86"/>
    </row>
    <row r="630" ht="14.25" customHeight="1">
      <c r="E630" s="86"/>
    </row>
    <row r="631" ht="14.25" customHeight="1">
      <c r="E631" s="86"/>
    </row>
    <row r="632" ht="14.25" customHeight="1">
      <c r="E632" s="86"/>
    </row>
    <row r="633" ht="14.25" customHeight="1">
      <c r="E633" s="86"/>
    </row>
    <row r="634" ht="14.25" customHeight="1">
      <c r="E634" s="86"/>
    </row>
    <row r="635" ht="14.25" customHeight="1">
      <c r="E635" s="86"/>
    </row>
    <row r="636" ht="14.25" customHeight="1">
      <c r="E636" s="86"/>
    </row>
    <row r="637" ht="14.25" customHeight="1">
      <c r="E637" s="86"/>
    </row>
    <row r="638" ht="14.25" customHeight="1">
      <c r="E638" s="86"/>
    </row>
    <row r="639" ht="14.25" customHeight="1">
      <c r="E639" s="86"/>
    </row>
    <row r="640" ht="14.25" customHeight="1">
      <c r="E640" s="86"/>
    </row>
    <row r="641" ht="14.25" customHeight="1">
      <c r="E641" s="86"/>
    </row>
    <row r="642" ht="14.25" customHeight="1">
      <c r="E642" s="86"/>
    </row>
    <row r="643" ht="14.25" customHeight="1">
      <c r="E643" s="86"/>
    </row>
    <row r="644" ht="14.25" customHeight="1">
      <c r="E644" s="86"/>
    </row>
    <row r="645" ht="14.25" customHeight="1">
      <c r="E645" s="86"/>
    </row>
    <row r="646" ht="14.25" customHeight="1">
      <c r="E646" s="86"/>
    </row>
    <row r="647" ht="14.25" customHeight="1">
      <c r="E647" s="86"/>
    </row>
    <row r="648" ht="14.25" customHeight="1">
      <c r="E648" s="86"/>
    </row>
    <row r="649" ht="14.25" customHeight="1">
      <c r="E649" s="86"/>
    </row>
    <row r="650" ht="14.25" customHeight="1">
      <c r="E650" s="86"/>
    </row>
    <row r="651" ht="14.25" customHeight="1">
      <c r="E651" s="86"/>
    </row>
    <row r="652" ht="14.25" customHeight="1">
      <c r="E652" s="86"/>
    </row>
    <row r="653" ht="14.25" customHeight="1">
      <c r="E653" s="86"/>
    </row>
    <row r="654" ht="14.25" customHeight="1">
      <c r="E654" s="86"/>
    </row>
    <row r="655" ht="14.25" customHeight="1">
      <c r="E655" s="86"/>
    </row>
    <row r="656" ht="14.25" customHeight="1">
      <c r="E656" s="86"/>
    </row>
    <row r="657" ht="14.25" customHeight="1">
      <c r="E657" s="86"/>
    </row>
    <row r="658" ht="14.25" customHeight="1">
      <c r="E658" s="86"/>
    </row>
    <row r="659" ht="14.25" customHeight="1">
      <c r="E659" s="86"/>
    </row>
    <row r="660" ht="14.25" customHeight="1">
      <c r="E660" s="86"/>
    </row>
    <row r="661" ht="14.25" customHeight="1">
      <c r="E661" s="86"/>
    </row>
    <row r="662" ht="14.25" customHeight="1">
      <c r="E662" s="86"/>
    </row>
    <row r="663" ht="14.25" customHeight="1">
      <c r="E663" s="86"/>
    </row>
    <row r="664" ht="14.25" customHeight="1">
      <c r="E664" s="86"/>
    </row>
    <row r="665" ht="14.25" customHeight="1">
      <c r="E665" s="86"/>
    </row>
    <row r="666" ht="14.25" customHeight="1">
      <c r="E666" s="86"/>
    </row>
    <row r="667" ht="14.25" customHeight="1">
      <c r="E667" s="86"/>
    </row>
    <row r="668" ht="14.25" customHeight="1">
      <c r="E668" s="86"/>
    </row>
    <row r="669" ht="14.25" customHeight="1">
      <c r="E669" s="86"/>
    </row>
    <row r="670" ht="14.25" customHeight="1">
      <c r="E670" s="86"/>
    </row>
    <row r="671" ht="14.25" customHeight="1">
      <c r="E671" s="86"/>
    </row>
    <row r="672" ht="14.25" customHeight="1">
      <c r="E672" s="86"/>
    </row>
    <row r="673" ht="14.25" customHeight="1">
      <c r="E673" s="86"/>
    </row>
    <row r="674" ht="14.25" customHeight="1">
      <c r="E674" s="86"/>
    </row>
    <row r="675" ht="14.25" customHeight="1">
      <c r="E675" s="86"/>
    </row>
    <row r="676" ht="14.25" customHeight="1">
      <c r="E676" s="86"/>
    </row>
    <row r="677" ht="14.25" customHeight="1">
      <c r="E677" s="86"/>
    </row>
    <row r="678" ht="14.25" customHeight="1">
      <c r="E678" s="86"/>
    </row>
    <row r="679" ht="14.25" customHeight="1">
      <c r="E679" s="86"/>
    </row>
    <row r="680" ht="14.25" customHeight="1">
      <c r="E680" s="86"/>
    </row>
    <row r="681" ht="14.25" customHeight="1">
      <c r="E681" s="86"/>
    </row>
    <row r="682" ht="14.25" customHeight="1">
      <c r="E682" s="86"/>
    </row>
    <row r="683" ht="14.25" customHeight="1">
      <c r="E683" s="86"/>
    </row>
    <row r="684" ht="14.25" customHeight="1">
      <c r="E684" s="86"/>
    </row>
    <row r="685" ht="14.25" customHeight="1">
      <c r="E685" s="86"/>
    </row>
    <row r="686" ht="14.25" customHeight="1">
      <c r="E686" s="86"/>
    </row>
    <row r="687" ht="14.25" customHeight="1">
      <c r="E687" s="86"/>
    </row>
    <row r="688" ht="14.25" customHeight="1">
      <c r="E688" s="86"/>
    </row>
    <row r="689" ht="14.25" customHeight="1">
      <c r="E689" s="86"/>
    </row>
    <row r="690" ht="14.25" customHeight="1">
      <c r="E690" s="86"/>
    </row>
    <row r="691" ht="14.25" customHeight="1">
      <c r="E691" s="86"/>
    </row>
    <row r="692" ht="14.25" customHeight="1">
      <c r="E692" s="86"/>
    </row>
    <row r="693" ht="14.25" customHeight="1">
      <c r="E693" s="86"/>
    </row>
    <row r="694" ht="14.25" customHeight="1">
      <c r="E694" s="86"/>
    </row>
    <row r="695" ht="14.25" customHeight="1">
      <c r="E695" s="86"/>
    </row>
    <row r="696" ht="14.25" customHeight="1">
      <c r="E696" s="86"/>
    </row>
    <row r="697" ht="14.25" customHeight="1">
      <c r="E697" s="86"/>
    </row>
    <row r="698" ht="14.25" customHeight="1">
      <c r="E698" s="86"/>
    </row>
    <row r="699" ht="14.25" customHeight="1">
      <c r="E699" s="86"/>
    </row>
    <row r="700" ht="14.25" customHeight="1">
      <c r="E700" s="86"/>
    </row>
    <row r="701" ht="14.25" customHeight="1">
      <c r="E701" s="86"/>
    </row>
    <row r="702" ht="14.25" customHeight="1">
      <c r="E702" s="86"/>
    </row>
    <row r="703" ht="14.25" customHeight="1">
      <c r="E703" s="86"/>
    </row>
    <row r="704" ht="14.25" customHeight="1">
      <c r="E704" s="86"/>
    </row>
    <row r="705" ht="14.25" customHeight="1">
      <c r="E705" s="86"/>
    </row>
    <row r="706" ht="14.25" customHeight="1">
      <c r="E706" s="86"/>
    </row>
    <row r="707" ht="14.25" customHeight="1">
      <c r="E707" s="86"/>
    </row>
    <row r="708" ht="14.25" customHeight="1">
      <c r="E708" s="86"/>
    </row>
    <row r="709" ht="14.25" customHeight="1">
      <c r="E709" s="86"/>
    </row>
    <row r="710" ht="14.25" customHeight="1">
      <c r="E710" s="86"/>
    </row>
    <row r="711" ht="14.25" customHeight="1">
      <c r="E711" s="86"/>
    </row>
    <row r="712" ht="14.25" customHeight="1">
      <c r="E712" s="86"/>
    </row>
    <row r="713" ht="14.25" customHeight="1">
      <c r="E713" s="86"/>
    </row>
    <row r="714" ht="14.25" customHeight="1">
      <c r="E714" s="86"/>
    </row>
    <row r="715" ht="14.25" customHeight="1">
      <c r="E715" s="86"/>
    </row>
    <row r="716" ht="14.25" customHeight="1">
      <c r="E716" s="86"/>
    </row>
    <row r="717" ht="14.25" customHeight="1">
      <c r="E717" s="86"/>
    </row>
    <row r="718" ht="14.25" customHeight="1">
      <c r="E718" s="86"/>
    </row>
    <row r="719" ht="14.25" customHeight="1">
      <c r="E719" s="86"/>
    </row>
    <row r="720" ht="14.25" customHeight="1">
      <c r="E720" s="86"/>
    </row>
    <row r="721" ht="14.25" customHeight="1">
      <c r="E721" s="86"/>
    </row>
    <row r="722" ht="14.25" customHeight="1">
      <c r="E722" s="86"/>
    </row>
    <row r="723" ht="14.25" customHeight="1">
      <c r="E723" s="86"/>
    </row>
    <row r="724" ht="14.25" customHeight="1">
      <c r="E724" s="86"/>
    </row>
    <row r="725" ht="14.25" customHeight="1">
      <c r="E725" s="86"/>
    </row>
    <row r="726" ht="14.25" customHeight="1">
      <c r="E726" s="86"/>
    </row>
    <row r="727" ht="14.25" customHeight="1">
      <c r="E727" s="86"/>
    </row>
    <row r="728" ht="14.25" customHeight="1">
      <c r="E728" s="86"/>
    </row>
    <row r="729" ht="14.25" customHeight="1">
      <c r="E729" s="86"/>
    </row>
    <row r="730" ht="14.25" customHeight="1">
      <c r="E730" s="86"/>
    </row>
    <row r="731" ht="14.25" customHeight="1">
      <c r="E731" s="86"/>
    </row>
    <row r="732" ht="14.25" customHeight="1">
      <c r="E732" s="86"/>
    </row>
    <row r="733" ht="14.25" customHeight="1">
      <c r="E733" s="86"/>
    </row>
    <row r="734" ht="14.25" customHeight="1">
      <c r="E734" s="86"/>
    </row>
    <row r="735" ht="14.25" customHeight="1">
      <c r="E735" s="86"/>
    </row>
    <row r="736" ht="14.25" customHeight="1">
      <c r="E736" s="86"/>
    </row>
    <row r="737" ht="14.25" customHeight="1">
      <c r="E737" s="86"/>
    </row>
    <row r="738" ht="14.25" customHeight="1">
      <c r="E738" s="86"/>
    </row>
    <row r="739" ht="14.25" customHeight="1">
      <c r="E739" s="86"/>
    </row>
    <row r="740" ht="14.25" customHeight="1">
      <c r="E740" s="86"/>
    </row>
    <row r="741" ht="14.25" customHeight="1">
      <c r="E741" s="86"/>
    </row>
    <row r="742" ht="14.25" customHeight="1">
      <c r="E742" s="86"/>
    </row>
    <row r="743" ht="14.25" customHeight="1">
      <c r="E743" s="86"/>
    </row>
    <row r="744" ht="14.25" customHeight="1">
      <c r="E744" s="86"/>
    </row>
    <row r="745" ht="14.25" customHeight="1">
      <c r="E745" s="86"/>
    </row>
    <row r="746" ht="14.25" customHeight="1">
      <c r="E746" s="86"/>
    </row>
    <row r="747" ht="14.25" customHeight="1">
      <c r="E747" s="86"/>
    </row>
    <row r="748" ht="14.25" customHeight="1">
      <c r="E748" s="86"/>
    </row>
    <row r="749" ht="14.25" customHeight="1">
      <c r="E749" s="86"/>
    </row>
    <row r="750" ht="14.25" customHeight="1">
      <c r="E750" s="86"/>
    </row>
    <row r="751" ht="14.25" customHeight="1">
      <c r="E751" s="86"/>
    </row>
    <row r="752" ht="14.25" customHeight="1">
      <c r="E752" s="86"/>
    </row>
    <row r="753" ht="14.25" customHeight="1">
      <c r="E753" s="86"/>
    </row>
    <row r="754" ht="14.25" customHeight="1">
      <c r="E754" s="86"/>
    </row>
    <row r="755" ht="14.25" customHeight="1">
      <c r="E755" s="86"/>
    </row>
    <row r="756" ht="14.25" customHeight="1">
      <c r="E756" s="86"/>
    </row>
    <row r="757" ht="14.25" customHeight="1">
      <c r="E757" s="86"/>
    </row>
    <row r="758" ht="14.25" customHeight="1">
      <c r="E758" s="86"/>
    </row>
    <row r="759" ht="14.25" customHeight="1">
      <c r="E759" s="86"/>
    </row>
    <row r="760" ht="14.25" customHeight="1">
      <c r="E760" s="86"/>
    </row>
    <row r="761" ht="14.25" customHeight="1">
      <c r="E761" s="86"/>
    </row>
    <row r="762" ht="14.25" customHeight="1">
      <c r="E762" s="86"/>
    </row>
    <row r="763" ht="14.25" customHeight="1">
      <c r="E763" s="86"/>
    </row>
    <row r="764" ht="14.25" customHeight="1">
      <c r="E764" s="86"/>
    </row>
    <row r="765" ht="14.25" customHeight="1">
      <c r="E765" s="86"/>
    </row>
    <row r="766" ht="14.25" customHeight="1">
      <c r="E766" s="86"/>
    </row>
    <row r="767" ht="14.25" customHeight="1">
      <c r="E767" s="86"/>
    </row>
    <row r="768" ht="14.25" customHeight="1">
      <c r="E768" s="86"/>
    </row>
    <row r="769" ht="14.25" customHeight="1">
      <c r="E769" s="86"/>
    </row>
    <row r="770" ht="14.25" customHeight="1">
      <c r="E770" s="86"/>
    </row>
    <row r="771" ht="14.25" customHeight="1">
      <c r="E771" s="86"/>
    </row>
    <row r="772" ht="14.25" customHeight="1">
      <c r="E772" s="86"/>
    </row>
    <row r="773" ht="14.25" customHeight="1">
      <c r="E773" s="86"/>
    </row>
    <row r="774" ht="14.25" customHeight="1">
      <c r="E774" s="86"/>
    </row>
    <row r="775" ht="14.25" customHeight="1">
      <c r="E775" s="86"/>
    </row>
    <row r="776" ht="14.25" customHeight="1">
      <c r="E776" s="86"/>
    </row>
    <row r="777" ht="14.25" customHeight="1">
      <c r="E777" s="86"/>
    </row>
    <row r="778" ht="14.25" customHeight="1">
      <c r="E778" s="86"/>
    </row>
    <row r="779" ht="14.25" customHeight="1">
      <c r="E779" s="86"/>
    </row>
    <row r="780" ht="14.25" customHeight="1">
      <c r="E780" s="86"/>
    </row>
    <row r="781" ht="14.25" customHeight="1">
      <c r="E781" s="86"/>
    </row>
    <row r="782" ht="14.25" customHeight="1">
      <c r="E782" s="86"/>
    </row>
    <row r="783" ht="14.25" customHeight="1">
      <c r="E783" s="86"/>
    </row>
    <row r="784" ht="14.25" customHeight="1">
      <c r="E784" s="86"/>
    </row>
    <row r="785" ht="14.25" customHeight="1">
      <c r="E785" s="86"/>
    </row>
    <row r="786" ht="14.25" customHeight="1">
      <c r="E786" s="86"/>
    </row>
    <row r="787" ht="14.25" customHeight="1">
      <c r="E787" s="86"/>
    </row>
    <row r="788" ht="14.25" customHeight="1">
      <c r="E788" s="86"/>
    </row>
    <row r="789" ht="14.25" customHeight="1">
      <c r="E789" s="86"/>
    </row>
    <row r="790" ht="14.25" customHeight="1">
      <c r="E790" s="86"/>
    </row>
    <row r="791" ht="14.25" customHeight="1">
      <c r="E791" s="86"/>
    </row>
    <row r="792" ht="14.25" customHeight="1">
      <c r="E792" s="86"/>
    </row>
    <row r="793" ht="14.25" customHeight="1">
      <c r="E793" s="86"/>
    </row>
    <row r="794" ht="14.25" customHeight="1">
      <c r="E794" s="86"/>
    </row>
    <row r="795" ht="14.25" customHeight="1">
      <c r="E795" s="86"/>
    </row>
    <row r="796" ht="14.25" customHeight="1">
      <c r="E796" s="86"/>
    </row>
    <row r="797" ht="14.25" customHeight="1">
      <c r="E797" s="86"/>
    </row>
    <row r="798" ht="14.25" customHeight="1">
      <c r="E798" s="86"/>
    </row>
    <row r="799" ht="14.25" customHeight="1">
      <c r="E799" s="86"/>
    </row>
    <row r="800" ht="14.25" customHeight="1">
      <c r="E800" s="86"/>
    </row>
    <row r="801" ht="14.25" customHeight="1">
      <c r="E801" s="86"/>
    </row>
    <row r="802" ht="14.25" customHeight="1">
      <c r="E802" s="86"/>
    </row>
    <row r="803" ht="14.25" customHeight="1">
      <c r="E803" s="86"/>
    </row>
    <row r="804" ht="14.25" customHeight="1">
      <c r="E804" s="86"/>
    </row>
    <row r="805" ht="14.25" customHeight="1">
      <c r="E805" s="86"/>
    </row>
    <row r="806" ht="14.25" customHeight="1">
      <c r="E806" s="86"/>
    </row>
    <row r="807" ht="14.25" customHeight="1">
      <c r="E807" s="86"/>
    </row>
    <row r="808" ht="14.25" customHeight="1">
      <c r="E808" s="86"/>
    </row>
    <row r="809" ht="14.25" customHeight="1">
      <c r="E809" s="86"/>
    </row>
    <row r="810" ht="14.25" customHeight="1">
      <c r="E810" s="86"/>
    </row>
    <row r="811" ht="14.25" customHeight="1">
      <c r="E811" s="86"/>
    </row>
    <row r="812" ht="14.25" customHeight="1">
      <c r="E812" s="86"/>
    </row>
    <row r="813" ht="14.25" customHeight="1">
      <c r="E813" s="86"/>
    </row>
    <row r="814" ht="14.25" customHeight="1">
      <c r="E814" s="86"/>
    </row>
    <row r="815" ht="14.25" customHeight="1">
      <c r="E815" s="86"/>
    </row>
    <row r="816" ht="14.25" customHeight="1">
      <c r="E816" s="86"/>
    </row>
    <row r="817" ht="14.25" customHeight="1">
      <c r="E817" s="86"/>
    </row>
    <row r="818" ht="14.25" customHeight="1">
      <c r="E818" s="86"/>
    </row>
    <row r="819" ht="14.25" customHeight="1">
      <c r="E819" s="86"/>
    </row>
    <row r="820" ht="14.25" customHeight="1">
      <c r="E820" s="86"/>
    </row>
    <row r="821" ht="14.25" customHeight="1">
      <c r="E821" s="86"/>
    </row>
    <row r="822" ht="14.25" customHeight="1">
      <c r="E822" s="86"/>
    </row>
    <row r="823" ht="14.25" customHeight="1">
      <c r="E823" s="86"/>
    </row>
    <row r="824" ht="14.25" customHeight="1">
      <c r="E824" s="86"/>
    </row>
    <row r="825" ht="14.25" customHeight="1">
      <c r="E825" s="86"/>
    </row>
    <row r="826" ht="14.25" customHeight="1">
      <c r="E826" s="86"/>
    </row>
    <row r="827" ht="14.25" customHeight="1">
      <c r="E827" s="86"/>
    </row>
    <row r="828" ht="14.25" customHeight="1">
      <c r="E828" s="86"/>
    </row>
    <row r="829" ht="14.25" customHeight="1">
      <c r="E829" s="86"/>
    </row>
    <row r="830" ht="14.25" customHeight="1">
      <c r="E830" s="86"/>
    </row>
    <row r="831" ht="14.25" customHeight="1">
      <c r="E831" s="86"/>
    </row>
    <row r="832" ht="14.25" customHeight="1">
      <c r="E832" s="86"/>
    </row>
    <row r="833" ht="14.25" customHeight="1">
      <c r="E833" s="86"/>
    </row>
    <row r="834" ht="14.25" customHeight="1">
      <c r="E834" s="86"/>
    </row>
    <row r="835" ht="14.25" customHeight="1">
      <c r="E835" s="86"/>
    </row>
    <row r="836" ht="14.25" customHeight="1">
      <c r="E836" s="86"/>
    </row>
    <row r="837" ht="14.25" customHeight="1">
      <c r="E837" s="86"/>
    </row>
    <row r="838" ht="14.25" customHeight="1">
      <c r="E838" s="86"/>
    </row>
    <row r="839" ht="14.25" customHeight="1">
      <c r="E839" s="86"/>
    </row>
    <row r="840" ht="14.25" customHeight="1">
      <c r="E840" s="86"/>
    </row>
    <row r="841" ht="14.25" customHeight="1">
      <c r="E841" s="86"/>
    </row>
    <row r="842" ht="14.25" customHeight="1">
      <c r="E842" s="86"/>
    </row>
    <row r="843" ht="14.25" customHeight="1">
      <c r="E843" s="86"/>
    </row>
    <row r="844" ht="14.25" customHeight="1">
      <c r="E844" s="86"/>
    </row>
    <row r="845" ht="14.25" customHeight="1">
      <c r="E845" s="86"/>
    </row>
    <row r="846" ht="14.25" customHeight="1">
      <c r="E846" s="86"/>
    </row>
    <row r="847" ht="14.25" customHeight="1">
      <c r="E847" s="86"/>
    </row>
    <row r="848" ht="14.25" customHeight="1">
      <c r="E848" s="86"/>
    </row>
    <row r="849" ht="14.25" customHeight="1">
      <c r="E849" s="86"/>
    </row>
    <row r="850" ht="14.25" customHeight="1">
      <c r="E850" s="86"/>
    </row>
    <row r="851" ht="14.25" customHeight="1">
      <c r="E851" s="86"/>
    </row>
    <row r="852" ht="14.25" customHeight="1">
      <c r="E852" s="86"/>
    </row>
    <row r="853" ht="14.25" customHeight="1">
      <c r="E853" s="86"/>
    </row>
    <row r="854" ht="14.25" customHeight="1">
      <c r="E854" s="86"/>
    </row>
    <row r="855" ht="14.25" customHeight="1">
      <c r="E855" s="86"/>
    </row>
    <row r="856" ht="14.25" customHeight="1">
      <c r="E856" s="86"/>
    </row>
    <row r="857" ht="14.25" customHeight="1">
      <c r="E857" s="86"/>
    </row>
    <row r="858" ht="14.25" customHeight="1">
      <c r="E858" s="86"/>
    </row>
    <row r="859" ht="14.25" customHeight="1">
      <c r="E859" s="86"/>
    </row>
    <row r="860" ht="14.25" customHeight="1">
      <c r="E860" s="86"/>
    </row>
    <row r="861" ht="14.25" customHeight="1">
      <c r="E861" s="86"/>
    </row>
    <row r="862" ht="14.25" customHeight="1">
      <c r="E862" s="86"/>
    </row>
    <row r="863" ht="14.25" customHeight="1">
      <c r="E863" s="86"/>
    </row>
    <row r="864" ht="14.25" customHeight="1">
      <c r="E864" s="86"/>
    </row>
    <row r="865" ht="14.25" customHeight="1">
      <c r="E865" s="86"/>
    </row>
    <row r="866" ht="14.25" customHeight="1">
      <c r="E866" s="86"/>
    </row>
    <row r="867" ht="14.25" customHeight="1">
      <c r="E867" s="86"/>
    </row>
    <row r="868" ht="14.25" customHeight="1">
      <c r="E868" s="86"/>
    </row>
    <row r="869" ht="14.25" customHeight="1">
      <c r="E869" s="86"/>
    </row>
    <row r="870" ht="14.25" customHeight="1">
      <c r="E870" s="86"/>
    </row>
    <row r="871" ht="14.25" customHeight="1">
      <c r="E871" s="86"/>
    </row>
    <row r="872" ht="14.25" customHeight="1">
      <c r="E872" s="86"/>
    </row>
    <row r="873" ht="14.25" customHeight="1">
      <c r="E873" s="86"/>
    </row>
    <row r="874" ht="14.25" customHeight="1">
      <c r="E874" s="86"/>
    </row>
    <row r="875" ht="14.25" customHeight="1">
      <c r="E875" s="86"/>
    </row>
    <row r="876" ht="14.25" customHeight="1">
      <c r="E876" s="86"/>
    </row>
    <row r="877" ht="14.25" customHeight="1">
      <c r="E877" s="86"/>
    </row>
    <row r="878" ht="14.25" customHeight="1">
      <c r="E878" s="86"/>
    </row>
    <row r="879" ht="14.25" customHeight="1">
      <c r="E879" s="86"/>
    </row>
    <row r="880" ht="14.25" customHeight="1">
      <c r="E880" s="86"/>
    </row>
    <row r="881" ht="14.25" customHeight="1">
      <c r="E881" s="86"/>
    </row>
    <row r="882" ht="14.25" customHeight="1">
      <c r="E882" s="86"/>
    </row>
    <row r="883" ht="14.25" customHeight="1">
      <c r="E883" s="86"/>
    </row>
    <row r="884" ht="14.25" customHeight="1">
      <c r="E884" s="86"/>
    </row>
    <row r="885" ht="14.25" customHeight="1">
      <c r="E885" s="86"/>
    </row>
    <row r="886" ht="14.25" customHeight="1">
      <c r="E886" s="86"/>
    </row>
    <row r="887" ht="14.25" customHeight="1">
      <c r="E887" s="86"/>
    </row>
    <row r="888" ht="14.25" customHeight="1">
      <c r="E888" s="86"/>
    </row>
    <row r="889" ht="14.25" customHeight="1">
      <c r="E889" s="86"/>
    </row>
    <row r="890" ht="14.25" customHeight="1">
      <c r="E890" s="86"/>
    </row>
    <row r="891" ht="14.25" customHeight="1">
      <c r="E891" s="86"/>
    </row>
    <row r="892" ht="14.25" customHeight="1">
      <c r="E892" s="86"/>
    </row>
    <row r="893" ht="14.25" customHeight="1">
      <c r="E893" s="86"/>
    </row>
    <row r="894" ht="14.25" customHeight="1">
      <c r="E894" s="86"/>
    </row>
    <row r="895" ht="14.25" customHeight="1">
      <c r="E895" s="86"/>
    </row>
    <row r="896" ht="14.25" customHeight="1">
      <c r="E896" s="86"/>
    </row>
    <row r="897" ht="14.25" customHeight="1">
      <c r="E897" s="86"/>
    </row>
    <row r="898" ht="14.25" customHeight="1">
      <c r="E898" s="86"/>
    </row>
    <row r="899" ht="14.25" customHeight="1">
      <c r="E899" s="86"/>
    </row>
    <row r="900" ht="14.25" customHeight="1">
      <c r="E900" s="86"/>
    </row>
    <row r="901" ht="14.25" customHeight="1">
      <c r="E901" s="86"/>
    </row>
    <row r="902" ht="14.25" customHeight="1">
      <c r="E902" s="86"/>
    </row>
    <row r="903" ht="14.25" customHeight="1">
      <c r="E903" s="86"/>
    </row>
    <row r="904" ht="14.25" customHeight="1">
      <c r="E904" s="86"/>
    </row>
    <row r="905" ht="14.25" customHeight="1">
      <c r="E905" s="86"/>
    </row>
    <row r="906" ht="14.25" customHeight="1">
      <c r="E906" s="86"/>
    </row>
    <row r="907" ht="14.25" customHeight="1">
      <c r="E907" s="86"/>
    </row>
    <row r="908" ht="14.25" customHeight="1">
      <c r="E908" s="86"/>
    </row>
    <row r="909" ht="14.25" customHeight="1">
      <c r="E909" s="86"/>
    </row>
    <row r="910" ht="14.25" customHeight="1">
      <c r="E910" s="86"/>
    </row>
    <row r="911" ht="14.25" customHeight="1">
      <c r="E911" s="86"/>
    </row>
    <row r="912" ht="14.25" customHeight="1">
      <c r="E912" s="86"/>
    </row>
    <row r="913" ht="14.25" customHeight="1">
      <c r="E913" s="86"/>
    </row>
    <row r="914" ht="14.25" customHeight="1">
      <c r="E914" s="86"/>
    </row>
    <row r="915" ht="14.25" customHeight="1">
      <c r="E915" s="86"/>
    </row>
    <row r="916" ht="14.25" customHeight="1">
      <c r="E916" s="86"/>
    </row>
    <row r="917" ht="14.25" customHeight="1">
      <c r="E917" s="86"/>
    </row>
    <row r="918" ht="14.25" customHeight="1">
      <c r="E918" s="86"/>
    </row>
    <row r="919" ht="14.25" customHeight="1">
      <c r="E919" s="86"/>
    </row>
    <row r="920" ht="14.25" customHeight="1">
      <c r="E920" s="86"/>
    </row>
    <row r="921" ht="14.25" customHeight="1">
      <c r="E921" s="86"/>
    </row>
    <row r="922" ht="14.25" customHeight="1">
      <c r="E922" s="86"/>
    </row>
    <row r="923" ht="14.25" customHeight="1">
      <c r="E923" s="86"/>
    </row>
    <row r="924" ht="14.25" customHeight="1">
      <c r="E924" s="86"/>
    </row>
    <row r="925" ht="14.25" customHeight="1">
      <c r="E925" s="86"/>
    </row>
    <row r="926" ht="14.25" customHeight="1">
      <c r="E926" s="86"/>
    </row>
    <row r="927" ht="14.25" customHeight="1">
      <c r="E927" s="86"/>
    </row>
    <row r="928" ht="14.25" customHeight="1">
      <c r="E928" s="86"/>
    </row>
    <row r="929" ht="14.25" customHeight="1">
      <c r="E929" s="86"/>
    </row>
    <row r="930" ht="14.25" customHeight="1">
      <c r="E930" s="86"/>
    </row>
    <row r="931" ht="14.25" customHeight="1">
      <c r="E931" s="86"/>
    </row>
    <row r="932" ht="14.25" customHeight="1">
      <c r="E932" s="86"/>
    </row>
    <row r="933" ht="14.25" customHeight="1">
      <c r="E933" s="86"/>
    </row>
    <row r="934" ht="14.25" customHeight="1">
      <c r="E934" s="86"/>
    </row>
    <row r="935" ht="14.25" customHeight="1">
      <c r="E935" s="86"/>
    </row>
    <row r="936" ht="14.25" customHeight="1">
      <c r="E936" s="86"/>
    </row>
    <row r="937" ht="14.25" customHeight="1">
      <c r="E937" s="86"/>
    </row>
    <row r="938" ht="14.25" customHeight="1">
      <c r="E938" s="86"/>
    </row>
    <row r="939" ht="14.25" customHeight="1">
      <c r="E939" s="86"/>
    </row>
    <row r="940" ht="14.25" customHeight="1">
      <c r="E940" s="86"/>
    </row>
    <row r="941" ht="14.25" customHeight="1">
      <c r="E941" s="86"/>
    </row>
    <row r="942" ht="14.25" customHeight="1">
      <c r="E942" s="86"/>
    </row>
    <row r="943" ht="14.25" customHeight="1">
      <c r="E943" s="86"/>
    </row>
    <row r="944" ht="14.25" customHeight="1">
      <c r="E944" s="86"/>
    </row>
    <row r="945" ht="14.25" customHeight="1">
      <c r="E945" s="86"/>
    </row>
    <row r="946" ht="14.25" customHeight="1">
      <c r="E946" s="86"/>
    </row>
    <row r="947" ht="14.25" customHeight="1">
      <c r="E947" s="86"/>
    </row>
    <row r="948" ht="14.25" customHeight="1">
      <c r="E948" s="86"/>
    </row>
    <row r="949" ht="14.25" customHeight="1">
      <c r="E949" s="86"/>
    </row>
    <row r="950" ht="14.25" customHeight="1">
      <c r="E950" s="86"/>
    </row>
    <row r="951" ht="14.25" customHeight="1">
      <c r="E951" s="86"/>
    </row>
    <row r="952" ht="14.25" customHeight="1">
      <c r="E952" s="86"/>
    </row>
    <row r="953" ht="14.25" customHeight="1">
      <c r="E953" s="86"/>
    </row>
    <row r="954" ht="14.25" customHeight="1">
      <c r="E954" s="86"/>
    </row>
    <row r="955" ht="14.25" customHeight="1">
      <c r="E955" s="86"/>
    </row>
    <row r="956" ht="14.25" customHeight="1">
      <c r="E956" s="86"/>
    </row>
    <row r="957" ht="14.25" customHeight="1">
      <c r="E957" s="86"/>
    </row>
    <row r="958" ht="14.25" customHeight="1">
      <c r="E958" s="86"/>
    </row>
    <row r="959" ht="14.25" customHeight="1">
      <c r="E959" s="86"/>
    </row>
    <row r="960" ht="14.25" customHeight="1">
      <c r="E960" s="86"/>
    </row>
    <row r="961" ht="14.25" customHeight="1">
      <c r="E961" s="86"/>
    </row>
    <row r="962" ht="14.25" customHeight="1">
      <c r="E962" s="86"/>
    </row>
    <row r="963" ht="14.25" customHeight="1">
      <c r="E963" s="86"/>
    </row>
    <row r="964" ht="14.25" customHeight="1">
      <c r="E964" s="86"/>
    </row>
    <row r="965" ht="14.25" customHeight="1">
      <c r="E965" s="86"/>
    </row>
    <row r="966" ht="14.25" customHeight="1">
      <c r="E966" s="86"/>
    </row>
    <row r="967" ht="14.25" customHeight="1">
      <c r="E967" s="86"/>
    </row>
    <row r="968" ht="14.25" customHeight="1">
      <c r="E968" s="86"/>
    </row>
    <row r="969" ht="14.25" customHeight="1">
      <c r="E969" s="86"/>
    </row>
    <row r="970" ht="14.25" customHeight="1">
      <c r="E970" s="86"/>
    </row>
    <row r="971" ht="14.25" customHeight="1">
      <c r="E971" s="86"/>
    </row>
    <row r="972" ht="14.25" customHeight="1">
      <c r="E972" s="86"/>
    </row>
    <row r="973" ht="14.25" customHeight="1">
      <c r="E973" s="86"/>
    </row>
    <row r="974" ht="14.25" customHeight="1">
      <c r="E974" s="86"/>
    </row>
    <row r="975" ht="14.25" customHeight="1">
      <c r="E975" s="86"/>
    </row>
    <row r="976" ht="14.25" customHeight="1">
      <c r="E976" s="86"/>
    </row>
    <row r="977" ht="14.25" customHeight="1">
      <c r="E977" s="86"/>
    </row>
    <row r="978" ht="14.25" customHeight="1">
      <c r="E978" s="86"/>
    </row>
    <row r="979" ht="14.25" customHeight="1">
      <c r="E979" s="86"/>
    </row>
    <row r="980" ht="14.25" customHeight="1">
      <c r="E980" s="86"/>
    </row>
    <row r="981" ht="14.25" customHeight="1">
      <c r="E981" s="86"/>
    </row>
    <row r="982" ht="14.25" customHeight="1">
      <c r="E982" s="86"/>
    </row>
    <row r="983" ht="14.25" customHeight="1">
      <c r="E983" s="86"/>
    </row>
    <row r="984" ht="14.25" customHeight="1">
      <c r="E984" s="86"/>
    </row>
    <row r="985" ht="14.25" customHeight="1">
      <c r="E985" s="86"/>
    </row>
    <row r="986" ht="14.25" customHeight="1">
      <c r="E986" s="86"/>
    </row>
    <row r="987" ht="14.25" customHeight="1">
      <c r="E987" s="86"/>
    </row>
    <row r="988" ht="14.25" customHeight="1">
      <c r="E988" s="86"/>
    </row>
    <row r="989" ht="14.25" customHeight="1">
      <c r="E989" s="86"/>
    </row>
    <row r="990" ht="14.25" customHeight="1">
      <c r="E990" s="86"/>
    </row>
    <row r="991" ht="14.25" customHeight="1">
      <c r="E991" s="86"/>
    </row>
    <row r="992" ht="14.25" customHeight="1">
      <c r="E992" s="86"/>
    </row>
    <row r="993" ht="14.25" customHeight="1">
      <c r="E993" s="86"/>
    </row>
    <row r="994" ht="14.25" customHeight="1">
      <c r="E994" s="86"/>
    </row>
    <row r="995" ht="14.25" customHeight="1">
      <c r="E995" s="86"/>
    </row>
    <row r="996" ht="14.25" customHeight="1">
      <c r="E996" s="86"/>
    </row>
    <row r="997" ht="14.25" customHeight="1">
      <c r="E997" s="86"/>
    </row>
    <row r="998" ht="14.25" customHeight="1">
      <c r="E998" s="86"/>
    </row>
    <row r="999" ht="14.25" customHeight="1">
      <c r="E999" s="86"/>
    </row>
    <row r="1000" ht="14.25" customHeight="1">
      <c r="E1000" s="86"/>
    </row>
  </sheetData>
  <autoFilter ref="$A$6:$Y$306">
    <sortState ref="A6:Y306">
      <sortCondition ref="U6:U306"/>
      <sortCondition ref="M6:M306"/>
    </sortState>
  </autoFilter>
  <mergeCells count="1">
    <mergeCell ref="A1:C1"/>
  </mergeCells>
  <conditionalFormatting sqref="G7:G306">
    <cfRule type="expression" dxfId="0" priority="1">
      <formula>$E7="No"</formula>
    </cfRule>
  </conditionalFormatting>
  <conditionalFormatting sqref="K5:AB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7:L306">
    <cfRule type="cellIs" dxfId="1" priority="3" operator="lessThan">
      <formula>B7</formula>
    </cfRule>
  </conditionalFormatting>
  <conditionalFormatting sqref="L7:L306">
    <cfRule type="cellIs" dxfId="2" priority="4" operator="greaterThan">
      <formula>B7</formula>
    </cfRule>
  </conditionalFormatting>
  <conditionalFormatting sqref="O7:O306">
    <cfRule type="colorScale" priority="5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W17:W178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118 W136 W138 W142 W144:W145 W148 W153:W154 W158 W161:W162 W168:W169 W172 W174:W175 W177 W180:W188 W190:W191 W193:W195 W197 W199:W210 W213:W235 W237:W239 W242:W246 W248:W272 W274:W298 W300:W306">
    <cfRule type="cellIs" dxfId="1" priority="7" operator="lessThan">
      <formula>M118</formula>
    </cfRule>
  </conditionalFormatting>
  <conditionalFormatting sqref="W118 W136 W138 W142 W144:W145 W148 W153:W154 W158 W161:W162 W168:W169 W172 W174:W175 W177 W180:W188 W190:W191 W193:W195 W197 W199:W210 W213:W235 W237:W239 W242:W246 W248:W272 W274:W298 W300:W306">
    <cfRule type="cellIs" dxfId="2" priority="8" operator="greaterThan">
      <formula>M118</formula>
    </cfRule>
  </conditionalFormatting>
  <conditionalFormatting sqref="X7:X306">
    <cfRule type="colorScale" priority="9">
      <colorScale>
        <cfvo type="formula" val="-12"/>
        <cfvo type="formula" val="0"/>
        <cfvo type="formula" val="12"/>
        <color rgb="FFF8696B"/>
        <color rgb="FFD8D8D8"/>
        <color rgb="FF63BE7B"/>
      </colorScale>
    </cfRule>
  </conditionalFormatting>
  <conditionalFormatting sqref="B7:B302 C7:C306 D7:E302 F7:F306 J7:J306 X7:Y306">
    <cfRule type="expression" dxfId="0" priority="10">
      <formula>$C7="No"</formula>
    </cfRule>
  </conditionalFormatting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16.57"/>
    <col customWidth="1" min="3" max="3" width="8.71"/>
    <col customWidth="1" min="4" max="4" width="11.14"/>
    <col customWidth="1" min="5" max="5" width="14.86"/>
    <col customWidth="1" min="6" max="6" width="13.29"/>
    <col customWidth="1" min="7" max="7" width="14.57"/>
    <col customWidth="1" min="8" max="8" width="16.86"/>
    <col customWidth="1" min="9" max="9" width="10.43"/>
    <col customWidth="1" min="10" max="10" width="14.29"/>
    <col customWidth="1" min="11" max="11" width="9.43"/>
    <col customWidth="1" min="12" max="12" width="10.43"/>
    <col customWidth="1" min="13" max="13" width="13.86"/>
    <col customWidth="1" min="14" max="14" width="10.57"/>
    <col customWidth="1" min="15" max="15" width="12.29"/>
    <col customWidth="1" min="16" max="16" width="12.86"/>
    <col customWidth="1" min="17" max="18" width="8.71"/>
    <col customWidth="1" min="19" max="19" width="15.43"/>
    <col customWidth="1" min="20" max="20" width="15.14"/>
    <col customWidth="1" min="21" max="21" width="12.86"/>
    <col customWidth="1" min="22" max="22" width="18.57"/>
    <col customWidth="1" min="23" max="26" width="8.71"/>
  </cols>
  <sheetData>
    <row r="1" ht="12.75" customHeight="1">
      <c r="A1" s="41" t="s">
        <v>739</v>
      </c>
      <c r="B1" s="41"/>
      <c r="C1" s="41"/>
      <c r="D1" s="41"/>
      <c r="E1" s="41" t="s">
        <v>740</v>
      </c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2"/>
      <c r="T1" s="42"/>
      <c r="U1" s="42"/>
      <c r="V1" s="42"/>
      <c r="W1" s="3"/>
      <c r="X1" s="3"/>
      <c r="Y1" s="3"/>
      <c r="Z1" s="3"/>
    </row>
    <row r="2" ht="12.75" customHeight="1">
      <c r="A2" s="43"/>
      <c r="B2" s="43"/>
      <c r="C2" s="43"/>
      <c r="D2" s="43"/>
      <c r="E2" s="43">
        <v>1.0</v>
      </c>
      <c r="F2" s="43">
        <v>2.0</v>
      </c>
      <c r="G2" s="43">
        <v>3.0</v>
      </c>
      <c r="H2" s="43">
        <v>4.0</v>
      </c>
      <c r="I2" s="43">
        <v>5.0</v>
      </c>
      <c r="J2" s="43">
        <v>6.0</v>
      </c>
      <c r="K2" s="43">
        <v>7.0</v>
      </c>
      <c r="L2" s="43">
        <v>8.0</v>
      </c>
      <c r="M2" s="43">
        <v>9.0</v>
      </c>
      <c r="N2" s="43">
        <v>10.0</v>
      </c>
      <c r="O2" s="43">
        <v>11.0</v>
      </c>
      <c r="P2" s="43">
        <v>12.0</v>
      </c>
      <c r="Q2" s="43"/>
      <c r="R2" s="3" t="s">
        <v>741</v>
      </c>
      <c r="S2" s="3"/>
      <c r="T2" s="3"/>
      <c r="U2" s="3"/>
      <c r="V2" s="3"/>
      <c r="W2" s="3"/>
      <c r="X2" s="3"/>
      <c r="Y2" s="3"/>
      <c r="Z2" s="3"/>
    </row>
    <row r="3" ht="12.75" customHeight="1">
      <c r="A3" s="44"/>
      <c r="B3" s="44"/>
      <c r="C3" s="44"/>
      <c r="D3" s="44" t="s">
        <v>742</v>
      </c>
      <c r="E3" s="44" t="s">
        <v>743</v>
      </c>
      <c r="F3" s="44" t="s">
        <v>744</v>
      </c>
      <c r="G3" s="44" t="s">
        <v>745</v>
      </c>
      <c r="H3" s="44" t="s">
        <v>746</v>
      </c>
      <c r="I3" s="44" t="s">
        <v>747</v>
      </c>
      <c r="J3" s="44" t="s">
        <v>748</v>
      </c>
      <c r="K3" s="44" t="s">
        <v>749</v>
      </c>
      <c r="L3" s="44" t="s">
        <v>750</v>
      </c>
      <c r="M3" s="44" t="s">
        <v>751</v>
      </c>
      <c r="N3" s="44" t="s">
        <v>752</v>
      </c>
      <c r="O3" s="44" t="s">
        <v>753</v>
      </c>
      <c r="P3" s="44" t="s">
        <v>754</v>
      </c>
      <c r="Q3" s="3"/>
      <c r="R3" s="45"/>
      <c r="S3" s="45" t="s">
        <v>755</v>
      </c>
      <c r="T3" s="45" t="s">
        <v>755</v>
      </c>
      <c r="U3" s="45" t="s">
        <v>755</v>
      </c>
      <c r="V3" s="45" t="s">
        <v>755</v>
      </c>
      <c r="W3" s="3"/>
      <c r="X3" s="3"/>
      <c r="Y3" s="3"/>
      <c r="Z3" s="3"/>
    </row>
    <row r="4" ht="12.75" customHeight="1">
      <c r="A4" s="46" t="s">
        <v>4</v>
      </c>
      <c r="B4" s="46" t="s">
        <v>756</v>
      </c>
      <c r="C4" s="44"/>
      <c r="D4" s="46" t="s">
        <v>757</v>
      </c>
      <c r="E4" s="46" t="s">
        <v>758</v>
      </c>
      <c r="F4" s="46" t="s">
        <v>759</v>
      </c>
      <c r="G4" s="46" t="s">
        <v>760</v>
      </c>
      <c r="H4" s="46" t="s">
        <v>761</v>
      </c>
      <c r="I4" s="46" t="s">
        <v>762</v>
      </c>
      <c r="J4" s="46" t="s">
        <v>763</v>
      </c>
      <c r="K4" s="46" t="s">
        <v>764</v>
      </c>
      <c r="L4" s="46" t="s">
        <v>765</v>
      </c>
      <c r="M4" s="46" t="s">
        <v>766</v>
      </c>
      <c r="N4" s="46" t="s">
        <v>767</v>
      </c>
      <c r="O4" s="46" t="s">
        <v>768</v>
      </c>
      <c r="P4" s="46" t="s">
        <v>769</v>
      </c>
      <c r="Q4" s="3"/>
      <c r="R4" s="47" t="s">
        <v>770</v>
      </c>
      <c r="S4" s="45" t="s">
        <v>771</v>
      </c>
      <c r="T4" s="45" t="s">
        <v>771</v>
      </c>
      <c r="U4" s="45"/>
      <c r="V4" s="45"/>
      <c r="W4" s="3"/>
      <c r="X4" s="3"/>
      <c r="Y4" s="3"/>
      <c r="Z4" s="3"/>
    </row>
    <row r="5" ht="12.75" customHeight="1">
      <c r="A5" s="47">
        <v>1.0</v>
      </c>
      <c r="B5" s="47"/>
      <c r="C5" s="44"/>
      <c r="D5" s="47" t="s">
        <v>770</v>
      </c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3"/>
      <c r="R5" s="47" t="s">
        <v>772</v>
      </c>
      <c r="S5" s="45" t="s">
        <v>773</v>
      </c>
      <c r="T5" s="45" t="s">
        <v>773</v>
      </c>
      <c r="U5" s="45"/>
      <c r="V5" s="45"/>
      <c r="W5" s="3"/>
      <c r="X5" s="3"/>
      <c r="Y5" s="3"/>
      <c r="Z5" s="3"/>
    </row>
    <row r="6" ht="12.75" customHeight="1">
      <c r="A6" s="47">
        <v>2.0</v>
      </c>
      <c r="B6" s="47"/>
      <c r="C6" s="44"/>
      <c r="D6" s="47" t="s">
        <v>772</v>
      </c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3"/>
      <c r="R6" s="47" t="s">
        <v>772</v>
      </c>
      <c r="S6" s="45" t="s">
        <v>147</v>
      </c>
      <c r="T6" s="45" t="s">
        <v>147</v>
      </c>
      <c r="U6" s="45"/>
      <c r="V6" s="45"/>
      <c r="W6" s="3"/>
      <c r="X6" s="3"/>
      <c r="Y6" s="3"/>
      <c r="Z6" s="3"/>
    </row>
    <row r="7" ht="12.75" customHeight="1">
      <c r="A7" s="47">
        <v>3.0</v>
      </c>
      <c r="B7" s="47"/>
      <c r="C7" s="44"/>
      <c r="D7" s="47" t="s">
        <v>772</v>
      </c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3"/>
      <c r="R7" s="47" t="s">
        <v>775</v>
      </c>
      <c r="S7" s="45" t="s">
        <v>127</v>
      </c>
      <c r="T7" s="45" t="s">
        <v>776</v>
      </c>
      <c r="U7" s="45"/>
      <c r="V7" s="45"/>
      <c r="W7" s="3"/>
      <c r="X7" s="3"/>
      <c r="Y7" s="3"/>
      <c r="Z7" s="3"/>
    </row>
    <row r="8" ht="12.75" customHeight="1">
      <c r="A8" s="47">
        <v>4.0</v>
      </c>
      <c r="B8" s="47"/>
      <c r="C8" s="44"/>
      <c r="D8" s="47" t="s">
        <v>775</v>
      </c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3"/>
      <c r="R8" s="47" t="s">
        <v>775</v>
      </c>
      <c r="S8" s="45" t="s">
        <v>158</v>
      </c>
      <c r="T8" s="45" t="s">
        <v>777</v>
      </c>
      <c r="U8" s="45"/>
      <c r="V8" s="45"/>
      <c r="W8" s="3"/>
      <c r="X8" s="3"/>
      <c r="Y8" s="3"/>
      <c r="Z8" s="3"/>
    </row>
    <row r="9" ht="12.75" customHeight="1">
      <c r="A9" s="47">
        <v>5.0</v>
      </c>
      <c r="B9" s="47"/>
      <c r="C9" s="44"/>
      <c r="D9" s="47" t="s">
        <v>775</v>
      </c>
      <c r="E9" s="47"/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3"/>
      <c r="R9" s="47" t="s">
        <v>775</v>
      </c>
      <c r="S9" s="45" t="s">
        <v>779</v>
      </c>
      <c r="T9" s="45" t="s">
        <v>780</v>
      </c>
      <c r="U9" s="45"/>
      <c r="V9" s="45"/>
      <c r="W9" s="3"/>
      <c r="X9" s="3"/>
      <c r="Y9" s="3"/>
      <c r="Z9" s="3"/>
    </row>
    <row r="10" ht="12.75" customHeight="1">
      <c r="A10" s="47">
        <v>6.0</v>
      </c>
      <c r="B10" s="47"/>
      <c r="C10" s="44"/>
      <c r="D10" s="47" t="s">
        <v>775</v>
      </c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3"/>
      <c r="R10" s="47" t="s">
        <v>781</v>
      </c>
      <c r="S10" s="45" t="s">
        <v>782</v>
      </c>
      <c r="T10" s="45" t="s">
        <v>783</v>
      </c>
      <c r="U10" s="45"/>
      <c r="V10" s="45"/>
      <c r="W10" s="3"/>
      <c r="X10" s="3"/>
      <c r="Y10" s="3"/>
      <c r="Z10" s="3"/>
    </row>
    <row r="11" ht="12.75" customHeight="1">
      <c r="A11" s="47">
        <v>7.0</v>
      </c>
      <c r="B11" s="47"/>
      <c r="C11" s="44"/>
      <c r="D11" s="47" t="s">
        <v>781</v>
      </c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3"/>
      <c r="R11" s="47" t="s">
        <v>784</v>
      </c>
      <c r="S11" s="45"/>
      <c r="T11" s="45"/>
      <c r="U11" s="45"/>
      <c r="V11" s="45"/>
      <c r="W11" s="3"/>
      <c r="X11" s="3"/>
      <c r="Y11" s="3"/>
      <c r="Z11" s="3"/>
    </row>
    <row r="12" ht="12.75" customHeight="1">
      <c r="A12" s="47">
        <v>8.0</v>
      </c>
      <c r="B12" s="47"/>
      <c r="C12" s="44"/>
      <c r="D12" s="47" t="s">
        <v>784</v>
      </c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3"/>
      <c r="R12" s="47" t="s">
        <v>785</v>
      </c>
      <c r="S12" s="45"/>
      <c r="T12" s="45"/>
      <c r="U12" s="45"/>
      <c r="V12" s="45"/>
      <c r="W12" s="3"/>
      <c r="X12" s="3"/>
      <c r="Y12" s="3"/>
      <c r="Z12" s="3"/>
    </row>
    <row r="13" ht="12.75" customHeight="1">
      <c r="A13" s="47">
        <v>9.0</v>
      </c>
      <c r="B13" s="47"/>
      <c r="C13" s="44"/>
      <c r="D13" s="47" t="s">
        <v>785</v>
      </c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3"/>
      <c r="R13" s="47" t="s">
        <v>786</v>
      </c>
      <c r="S13" s="45"/>
      <c r="T13" s="45"/>
      <c r="U13" s="45"/>
      <c r="V13" s="45"/>
      <c r="W13" s="3"/>
      <c r="X13" s="3"/>
      <c r="Y13" s="3"/>
      <c r="Z13" s="3"/>
    </row>
    <row r="14" ht="12.75" customHeight="1">
      <c r="A14" s="47">
        <v>10.0</v>
      </c>
      <c r="B14" s="47"/>
      <c r="C14" s="44"/>
      <c r="D14" s="47" t="s">
        <v>786</v>
      </c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3"/>
      <c r="R14" s="47" t="s">
        <v>786</v>
      </c>
      <c r="S14" s="45"/>
      <c r="T14" s="45"/>
      <c r="U14" s="45"/>
      <c r="V14" s="45"/>
      <c r="W14" s="3"/>
      <c r="X14" s="3"/>
      <c r="Y14" s="3"/>
      <c r="Z14" s="3"/>
    </row>
    <row r="15" ht="12.75" customHeight="1">
      <c r="A15" s="47">
        <v>11.0</v>
      </c>
      <c r="B15" s="47"/>
      <c r="C15" s="44"/>
      <c r="D15" s="47" t="s">
        <v>786</v>
      </c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3"/>
      <c r="R15" s="47" t="s">
        <v>786</v>
      </c>
      <c r="S15" s="45"/>
      <c r="T15" s="45"/>
      <c r="U15" s="45"/>
      <c r="V15" s="45"/>
      <c r="W15" s="3"/>
      <c r="X15" s="3"/>
      <c r="Y15" s="3"/>
      <c r="Z15" s="3"/>
    </row>
    <row r="16" ht="12.75" customHeight="1">
      <c r="A16" s="47">
        <v>12.0</v>
      </c>
      <c r="B16" s="47"/>
      <c r="C16" s="44"/>
      <c r="D16" s="47" t="s">
        <v>786</v>
      </c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3"/>
      <c r="R16" s="47" t="s">
        <v>786</v>
      </c>
      <c r="S16" s="45"/>
      <c r="T16" s="45"/>
      <c r="U16" s="45"/>
      <c r="V16" s="45"/>
      <c r="W16" s="3"/>
      <c r="X16" s="3"/>
      <c r="Y16" s="3"/>
      <c r="Z16" s="3"/>
    </row>
    <row r="17" ht="12.75" customHeight="1">
      <c r="A17" s="47">
        <v>13.0</v>
      </c>
      <c r="B17" s="47"/>
      <c r="C17" s="44"/>
      <c r="D17" s="47" t="s">
        <v>786</v>
      </c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3"/>
      <c r="R17" s="47" t="s">
        <v>786</v>
      </c>
      <c r="S17" s="45"/>
      <c r="T17" s="45"/>
      <c r="U17" s="45"/>
      <c r="V17" s="45"/>
      <c r="W17" s="3"/>
      <c r="X17" s="3"/>
      <c r="Y17" s="3"/>
      <c r="Z17" s="3"/>
    </row>
    <row r="18" ht="12.75" customHeight="1">
      <c r="A18" s="47">
        <v>14.0</v>
      </c>
      <c r="B18" s="47"/>
      <c r="C18" s="44"/>
      <c r="D18" s="47" t="s">
        <v>786</v>
      </c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3"/>
      <c r="R18" s="47" t="s">
        <v>786</v>
      </c>
      <c r="S18" s="45"/>
      <c r="T18" s="45"/>
      <c r="U18" s="45"/>
      <c r="V18" s="45"/>
      <c r="W18" s="3"/>
      <c r="X18" s="3"/>
      <c r="Y18" s="3"/>
      <c r="Z18" s="3"/>
    </row>
    <row r="19" ht="12.75" customHeight="1">
      <c r="A19" s="47">
        <v>15.0</v>
      </c>
      <c r="B19" s="47"/>
      <c r="C19" s="44"/>
      <c r="D19" s="47" t="s">
        <v>786</v>
      </c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3"/>
      <c r="R19" s="47" t="s">
        <v>786</v>
      </c>
      <c r="S19" s="45"/>
      <c r="T19" s="45"/>
      <c r="U19" s="45"/>
      <c r="V19" s="45"/>
      <c r="W19" s="3"/>
      <c r="X19" s="3"/>
      <c r="Y19" s="3"/>
      <c r="Z19" s="3"/>
    </row>
    <row r="20" ht="12.75" customHeight="1">
      <c r="A20" s="47">
        <v>16.0</v>
      </c>
      <c r="B20" s="47"/>
      <c r="C20" s="44"/>
      <c r="D20" s="47" t="s">
        <v>786</v>
      </c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3"/>
      <c r="R20" s="44"/>
      <c r="W20" s="3"/>
      <c r="X20" s="3"/>
      <c r="Y20" s="3"/>
      <c r="Z20" s="3"/>
    </row>
    <row r="21" ht="12.75" customHeight="1">
      <c r="A21" s="44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W21" s="3"/>
      <c r="X21" s="3"/>
      <c r="Y21" s="3"/>
      <c r="Z21" s="3"/>
    </row>
    <row r="22" ht="12.75" customHeight="1">
      <c r="A22" s="50"/>
      <c r="B22" s="50"/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T22" s="51"/>
      <c r="U22" s="51"/>
      <c r="V22" s="51"/>
      <c r="W22" s="3"/>
      <c r="X22" s="3"/>
      <c r="Y22" s="3"/>
      <c r="Z22" s="3"/>
    </row>
    <row r="23" ht="12.75" customHeight="1">
      <c r="A23" s="44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W23" s="3"/>
      <c r="X23" s="3"/>
      <c r="Y23" s="3"/>
      <c r="Z23" s="3"/>
    </row>
    <row r="24" ht="12.75" customHeight="1">
      <c r="A24" s="44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W24" s="3"/>
      <c r="X24" s="3"/>
      <c r="Y24" s="3"/>
      <c r="Z24" s="3"/>
    </row>
    <row r="25" ht="12.75" customHeight="1">
      <c r="A25" s="44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3"/>
      <c r="N25" s="44"/>
      <c r="O25" s="44"/>
      <c r="P25" s="44"/>
      <c r="Q25" s="44"/>
      <c r="R25" s="44"/>
      <c r="W25" s="3"/>
      <c r="X25" s="3"/>
      <c r="Y25" s="3"/>
      <c r="Z25" s="3"/>
    </row>
    <row r="26" ht="12.75" customHeight="1">
      <c r="A26" s="44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3"/>
      <c r="N26" s="44"/>
      <c r="O26" s="44"/>
      <c r="P26" s="44"/>
      <c r="Q26" s="44"/>
      <c r="R26" s="44"/>
      <c r="W26" s="3"/>
      <c r="X26" s="3"/>
      <c r="Y26" s="3"/>
      <c r="Z26" s="3"/>
    </row>
    <row r="27" ht="12.75" customHeight="1">
      <c r="A27" s="44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3"/>
      <c r="N27" s="44"/>
      <c r="O27" s="44"/>
      <c r="P27" s="44"/>
      <c r="Q27" s="44"/>
      <c r="R27" s="44"/>
      <c r="W27" s="3"/>
      <c r="X27" s="3"/>
      <c r="Y27" s="3"/>
      <c r="Z27" s="3"/>
    </row>
    <row r="28" ht="12.75" customHeight="1">
      <c r="A28" s="44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3"/>
      <c r="N28" s="44"/>
      <c r="O28" s="44"/>
      <c r="P28" s="44"/>
      <c r="Q28" s="44"/>
      <c r="R28" s="44"/>
      <c r="W28" s="3"/>
      <c r="X28" s="3"/>
      <c r="Y28" s="3"/>
      <c r="Z28" s="3"/>
    </row>
    <row r="29" ht="12.75" customHeight="1">
      <c r="A29" s="44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3"/>
      <c r="N29" s="44"/>
      <c r="O29" s="44"/>
      <c r="P29" s="44"/>
      <c r="Q29" s="44"/>
      <c r="R29" s="44"/>
      <c r="W29" s="3"/>
      <c r="X29" s="3"/>
      <c r="Y29" s="3"/>
      <c r="Z29" s="3"/>
    </row>
    <row r="30" ht="12.75" customHeight="1">
      <c r="A30" s="44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3"/>
      <c r="N30" s="44"/>
      <c r="O30" s="44"/>
      <c r="P30" s="44"/>
      <c r="Q30" s="44"/>
      <c r="R30" s="44"/>
      <c r="W30" s="3"/>
      <c r="X30" s="3"/>
      <c r="Y30" s="3"/>
      <c r="Z30" s="3"/>
    </row>
    <row r="31" ht="12.75" customHeight="1">
      <c r="A31" s="44"/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3"/>
      <c r="N31" s="44"/>
      <c r="O31" s="44"/>
      <c r="P31" s="44"/>
      <c r="Q31" s="44"/>
      <c r="R31" s="44"/>
      <c r="W31" s="3"/>
      <c r="X31" s="3"/>
      <c r="Y31" s="3"/>
      <c r="Z31" s="3"/>
    </row>
    <row r="32" ht="12.75" customHeight="1">
      <c r="A32" s="44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W32" s="3"/>
      <c r="X32" s="3"/>
      <c r="Y32" s="3"/>
      <c r="Z32" s="3"/>
    </row>
    <row r="33" ht="12.75" customHeight="1">
      <c r="A33" s="44"/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W33" s="3"/>
      <c r="X33" s="3"/>
      <c r="Y33" s="3"/>
      <c r="Z33" s="3"/>
    </row>
    <row r="34" ht="12.75" customHeight="1">
      <c r="A34" s="44"/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W34" s="3"/>
      <c r="X34" s="3"/>
      <c r="Y34" s="3"/>
      <c r="Z34" s="3"/>
    </row>
    <row r="35" ht="12.75" customHeight="1">
      <c r="A35" s="44"/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W35" s="3"/>
      <c r="X35" s="3"/>
      <c r="Y35" s="3"/>
      <c r="Z35" s="3"/>
    </row>
    <row r="36" ht="12.75" customHeight="1">
      <c r="A36" s="44"/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W36" s="3"/>
      <c r="X36" s="3"/>
      <c r="Y36" s="3"/>
      <c r="Z36" s="3"/>
    </row>
    <row r="37" ht="12.75" customHeight="1">
      <c r="A37" s="44"/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W37" s="3"/>
      <c r="X37" s="3"/>
      <c r="Y37" s="3"/>
      <c r="Z37" s="3"/>
    </row>
    <row r="38" ht="12.75" customHeight="1">
      <c r="A38" s="44"/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Q38" s="44"/>
      <c r="R38" s="44"/>
      <c r="W38" s="3"/>
      <c r="X38" s="3"/>
      <c r="Y38" s="3"/>
      <c r="Z38" s="3"/>
    </row>
    <row r="39" ht="12.75" customHeight="1">
      <c r="A39" s="44"/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Q39" s="44"/>
      <c r="R39" s="44"/>
      <c r="W39" s="3"/>
      <c r="X39" s="3"/>
      <c r="Y39" s="3"/>
      <c r="Z39" s="3"/>
    </row>
    <row r="40" ht="12.75" customHeight="1">
      <c r="A40" s="44"/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Q40" s="44"/>
      <c r="R40" s="44"/>
      <c r="W40" s="3"/>
      <c r="X40" s="3"/>
      <c r="Y40" s="3"/>
      <c r="Z40" s="3"/>
    </row>
    <row r="41" ht="12.75" customHeight="1">
      <c r="A41" s="44"/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Q41" s="44"/>
      <c r="R41" s="44"/>
      <c r="W41" s="3"/>
      <c r="X41" s="3"/>
      <c r="Y41" s="3"/>
      <c r="Z41" s="3"/>
    </row>
    <row r="42" ht="12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2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2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2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2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2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2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2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2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2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2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2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2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2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2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2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2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2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2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2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2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2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2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2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2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2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2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2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2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2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2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2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2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2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2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2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2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2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2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2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2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2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2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2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2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2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2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2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2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2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2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2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2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2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2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2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2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2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2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2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2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2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2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2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2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2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2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2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2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2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2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2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2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2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2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2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2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2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2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2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2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2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2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2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2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2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2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2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2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2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2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2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2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2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2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2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2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2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2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2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2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2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2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2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2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2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2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2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2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2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2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2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2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2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2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2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2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2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2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2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2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2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2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2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2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2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2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2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2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2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2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2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2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2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2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2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2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2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2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2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2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2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2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2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2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2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2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2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2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2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2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2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2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2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2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2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2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2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2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2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2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2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2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2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2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2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2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2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2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2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2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2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2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2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2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2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2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2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2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2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2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2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2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2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2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2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2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2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2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2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2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2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2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2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2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2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2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2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2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2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2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2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2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2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2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2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2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2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2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2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2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2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2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2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2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2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2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2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2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2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2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2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2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2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2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2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2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2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2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2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2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2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2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2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2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2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2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2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2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2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2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2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2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2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2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2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2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2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2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2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2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2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2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2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2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2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2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2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2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2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2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2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2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2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2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2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2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2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2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2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2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2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2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2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2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2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2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2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2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2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2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2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2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2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2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2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2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2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2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2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2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2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2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2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2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2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2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2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2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2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2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2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2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2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2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2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2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2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2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2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2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2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2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2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2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2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2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2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2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2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2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2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2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2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2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2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2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2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2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2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2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2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2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2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2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2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2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2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2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2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2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2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2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2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2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2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2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2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2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2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2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2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2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2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2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2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2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2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2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2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2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2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2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2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2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2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2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2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2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2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2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2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2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2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2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2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2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2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2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2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2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2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2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2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2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2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2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2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2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2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2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2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2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2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2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2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2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2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2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2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2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2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2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2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2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2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2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2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2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2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2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2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2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2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2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2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2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2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2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2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2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2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2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2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2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2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2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2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2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2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2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2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2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2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2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2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2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2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2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2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2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2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2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2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2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2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2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2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2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2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2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2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2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2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2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2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2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2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2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2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2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2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2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2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2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2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2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2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2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2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2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2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2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2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2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2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2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2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2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2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2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2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2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2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2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2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2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2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2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2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2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2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2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2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2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2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2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2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2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2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2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2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2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2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2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2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2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2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2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2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2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2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2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2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2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2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2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2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2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2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2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2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2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2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2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2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2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2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2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2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2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2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2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2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2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2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2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2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2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2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2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2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2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2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2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2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2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2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2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2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2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2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2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2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2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2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2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2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2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2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2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2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2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2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2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2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2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2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2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2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2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2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2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2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2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2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2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2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2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2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2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2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2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2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2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2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2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2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2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2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2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2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2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2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2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2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2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2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2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2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2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2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2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2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2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2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2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2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2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2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2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2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2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2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2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2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2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2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2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2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2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2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2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2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2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2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2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2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2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2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2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2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2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2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2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2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2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2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2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2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2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2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2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2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2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2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2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2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2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2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2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2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2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2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2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2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2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2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2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2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2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2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2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2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2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2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2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2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2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2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2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2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2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2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2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2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2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2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2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2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2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2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2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2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2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2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2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2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2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2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2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2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2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2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2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2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2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2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2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2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2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2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2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2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2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2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2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2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2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2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2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2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2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2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2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2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2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2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2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2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2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2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2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2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2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2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2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2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2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2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2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2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2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2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2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2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2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2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2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2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2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2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2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2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2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2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2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2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2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2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2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2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2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2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2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2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2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2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2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2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2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2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2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2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2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2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2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2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2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2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2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2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2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2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2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2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2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2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2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2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2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2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2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2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2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2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2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2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2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2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2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2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2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2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2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2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2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2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2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2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2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2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2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2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2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2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2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2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2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2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2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2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2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2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2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2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2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2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2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2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2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2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2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2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2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2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2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2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2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2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2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2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2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2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2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2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2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2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2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2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2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2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2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2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2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2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2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2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2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2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2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2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2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2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2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2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2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2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2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2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2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2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2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2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2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2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2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2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2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2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2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2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2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2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2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2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2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2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2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2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2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2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2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2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2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2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2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2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2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2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2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2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2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2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2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2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2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2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2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2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2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2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2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2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2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2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2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2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2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2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2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2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2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2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2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2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2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2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2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2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2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2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2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2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2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2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2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2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2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2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2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2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2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2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2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2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2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2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2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2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2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2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2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2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2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2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2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2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2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2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2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2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2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2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2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2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2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2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2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rintOptions/>
  <pageMargins bottom="1.0" footer="0.0" header="0.0" left="0.75" right="0.75" top="1.0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2" width="8.71"/>
    <col customWidth="1" min="3" max="5" width="9.71"/>
    <col customWidth="1" min="6" max="6" width="8.71"/>
    <col customWidth="1" min="7" max="7" width="21.14"/>
    <col customWidth="1" min="8" max="9" width="8.71"/>
    <col customWidth="1" min="10" max="10" width="21.0"/>
    <col customWidth="1" min="11" max="14" width="8.71"/>
    <col customWidth="1" min="15" max="21" width="8.86"/>
    <col customWidth="1" min="22" max="32" width="8.71"/>
  </cols>
  <sheetData>
    <row r="1" ht="14.25" customHeight="1">
      <c r="A1" s="2" t="s">
        <v>0</v>
      </c>
      <c r="D1" s="3"/>
      <c r="E1" s="3"/>
      <c r="F1" s="3"/>
      <c r="G1" s="3"/>
      <c r="H1" s="4"/>
      <c r="I1" s="3"/>
      <c r="J1" s="3" t="s">
        <v>4</v>
      </c>
      <c r="K1" s="6">
        <v>1.0</v>
      </c>
      <c r="L1" s="6">
        <v>2.0</v>
      </c>
      <c r="M1" s="6">
        <v>3.0</v>
      </c>
      <c r="N1" s="6">
        <v>4.0</v>
      </c>
      <c r="O1" s="6">
        <v>5.0</v>
      </c>
      <c r="P1" s="6">
        <v>6.0</v>
      </c>
      <c r="Q1" s="6">
        <v>7.0</v>
      </c>
      <c r="R1" s="6">
        <v>8.0</v>
      </c>
      <c r="S1" s="6">
        <v>9.0</v>
      </c>
      <c r="T1" s="6">
        <v>10.0</v>
      </c>
      <c r="U1" s="6">
        <v>11.0</v>
      </c>
      <c r="V1" s="6">
        <v>12.0</v>
      </c>
      <c r="W1" s="6">
        <v>13.0</v>
      </c>
      <c r="X1" s="6">
        <v>14.0</v>
      </c>
      <c r="Y1" s="6">
        <v>15.0</v>
      </c>
      <c r="Z1" s="6">
        <v>16.0</v>
      </c>
      <c r="AB1" s="6"/>
      <c r="AC1" s="6"/>
      <c r="AD1" s="6"/>
      <c r="AF1" s="3"/>
    </row>
    <row r="2" ht="14.25" customHeight="1">
      <c r="A2" s="1" t="s">
        <v>26</v>
      </c>
      <c r="B2" s="3" t="s">
        <v>28</v>
      </c>
      <c r="C2" s="3"/>
      <c r="D2" s="3"/>
      <c r="E2" s="3"/>
      <c r="F2" s="3"/>
      <c r="G2" s="3"/>
      <c r="H2" s="4" t="s">
        <v>30</v>
      </c>
      <c r="I2" s="3">
        <v>3.0</v>
      </c>
      <c r="J2" s="3" t="s">
        <v>32</v>
      </c>
      <c r="K2" s="3">
        <f t="shared" ref="K2:Z2" si="1">COUNTIF($D$7:$D$301, K1)</f>
        <v>3</v>
      </c>
      <c r="L2" s="3">
        <f t="shared" si="1"/>
        <v>19</v>
      </c>
      <c r="M2" s="3">
        <f t="shared" si="1"/>
        <v>5</v>
      </c>
      <c r="N2" s="3">
        <f t="shared" si="1"/>
        <v>19</v>
      </c>
      <c r="O2" s="3">
        <f t="shared" si="1"/>
        <v>5</v>
      </c>
      <c r="P2" s="3">
        <f t="shared" si="1"/>
        <v>17</v>
      </c>
      <c r="Q2" s="3">
        <f t="shared" si="1"/>
        <v>8</v>
      </c>
      <c r="R2" s="15">
        <f t="shared" si="1"/>
        <v>0</v>
      </c>
      <c r="S2" s="3">
        <f t="shared" si="1"/>
        <v>21</v>
      </c>
      <c r="T2" s="3">
        <f t="shared" si="1"/>
        <v>3</v>
      </c>
      <c r="U2" s="3">
        <f t="shared" si="1"/>
        <v>4</v>
      </c>
      <c r="V2" s="3">
        <f t="shared" si="1"/>
        <v>1</v>
      </c>
      <c r="W2" s="3">
        <f t="shared" si="1"/>
        <v>1</v>
      </c>
      <c r="X2" s="15">
        <f t="shared" si="1"/>
        <v>0</v>
      </c>
      <c r="Y2" s="3">
        <f t="shared" si="1"/>
        <v>0</v>
      </c>
      <c r="Z2" s="3">
        <f t="shared" si="1"/>
        <v>0</v>
      </c>
      <c r="AD2" s="3"/>
      <c r="AF2" s="3"/>
    </row>
    <row r="3" ht="14.25" customHeight="1">
      <c r="B3" s="3" t="s">
        <v>41</v>
      </c>
      <c r="C3" s="3"/>
      <c r="D3" s="3"/>
      <c r="E3" s="3"/>
      <c r="F3" s="3"/>
      <c r="G3" s="3"/>
      <c r="H3" s="4" t="s">
        <v>42</v>
      </c>
      <c r="I3" s="3">
        <f>24-I2+1</f>
        <v>22</v>
      </c>
      <c r="J3" s="3" t="s">
        <v>46</v>
      </c>
      <c r="K3" s="3">
        <f>K2</f>
        <v>3</v>
      </c>
      <c r="L3" s="3">
        <f t="shared" ref="L3:Z3" si="2">K3+L2</f>
        <v>22</v>
      </c>
      <c r="M3" s="3">
        <f t="shared" si="2"/>
        <v>27</v>
      </c>
      <c r="N3" s="3">
        <f t="shared" si="2"/>
        <v>46</v>
      </c>
      <c r="O3" s="3">
        <f t="shared" si="2"/>
        <v>51</v>
      </c>
      <c r="P3" s="3">
        <f t="shared" si="2"/>
        <v>68</v>
      </c>
      <c r="Q3" s="3">
        <f t="shared" si="2"/>
        <v>76</v>
      </c>
      <c r="R3" s="3">
        <f t="shared" si="2"/>
        <v>76</v>
      </c>
      <c r="S3" s="3">
        <f t="shared" si="2"/>
        <v>97</v>
      </c>
      <c r="T3" s="3">
        <f t="shared" si="2"/>
        <v>100</v>
      </c>
      <c r="U3" s="3">
        <f t="shared" si="2"/>
        <v>104</v>
      </c>
      <c r="V3" s="3">
        <f t="shared" si="2"/>
        <v>105</v>
      </c>
      <c r="W3" s="3">
        <f t="shared" si="2"/>
        <v>106</v>
      </c>
      <c r="X3" s="3">
        <f t="shared" si="2"/>
        <v>106</v>
      </c>
      <c r="Y3" s="3">
        <f t="shared" si="2"/>
        <v>106</v>
      </c>
      <c r="Z3" s="3">
        <f t="shared" si="2"/>
        <v>106</v>
      </c>
      <c r="AD3" s="3"/>
      <c r="AF3" s="3"/>
    </row>
    <row r="4" ht="14.25" customHeight="1">
      <c r="B4" s="1" t="s">
        <v>53</v>
      </c>
      <c r="C4" s="3"/>
      <c r="D4" s="3"/>
      <c r="E4" s="3"/>
      <c r="G4" s="3"/>
      <c r="H4" s="4"/>
      <c r="I4" s="3"/>
      <c r="J4" s="3" t="s">
        <v>54</v>
      </c>
      <c r="K4" s="3">
        <f>I2</f>
        <v>3</v>
      </c>
      <c r="L4" s="3">
        <f>I3</f>
        <v>22</v>
      </c>
      <c r="M4" s="3">
        <f>L4+5</f>
        <v>27</v>
      </c>
      <c r="N4" s="3">
        <f>M4+19</f>
        <v>46</v>
      </c>
      <c r="O4" s="3">
        <f>N4+5</f>
        <v>51</v>
      </c>
      <c r="P4" s="3">
        <f>O4+19</f>
        <v>70</v>
      </c>
      <c r="Q4" s="3">
        <f>P4+5</f>
        <v>75</v>
      </c>
      <c r="R4" s="3">
        <f>Q4+19</f>
        <v>94</v>
      </c>
      <c r="S4" s="3">
        <f>R4+5</f>
        <v>99</v>
      </c>
      <c r="T4" s="3">
        <f>S4+19</f>
        <v>118</v>
      </c>
      <c r="U4" s="3">
        <f>T4+5</f>
        <v>123</v>
      </c>
      <c r="V4" s="3">
        <f>U4+19</f>
        <v>142</v>
      </c>
      <c r="W4" s="3">
        <f>V4+5</f>
        <v>147</v>
      </c>
      <c r="X4" s="3">
        <f>W4+19</f>
        <v>166</v>
      </c>
      <c r="Y4" s="3">
        <f>X4+5</f>
        <v>171</v>
      </c>
      <c r="Z4" s="3">
        <f>Y4+19</f>
        <v>190</v>
      </c>
      <c r="AD4" s="3"/>
      <c r="AF4" s="3"/>
    </row>
    <row r="5" ht="14.25" customHeight="1">
      <c r="C5" s="3"/>
      <c r="D5" s="3"/>
      <c r="E5" s="3"/>
      <c r="F5" s="3"/>
      <c r="G5" s="3"/>
      <c r="H5" s="4"/>
      <c r="I5" s="3"/>
      <c r="J5" s="3" t="s">
        <v>68</v>
      </c>
      <c r="K5" s="3">
        <f t="shared" ref="K5:Z5" si="3">K3-K4</f>
        <v>0</v>
      </c>
      <c r="L5" s="3">
        <f t="shared" si="3"/>
        <v>0</v>
      </c>
      <c r="M5" s="3">
        <f t="shared" si="3"/>
        <v>0</v>
      </c>
      <c r="N5" s="3">
        <f t="shared" si="3"/>
        <v>0</v>
      </c>
      <c r="O5" s="3">
        <f t="shared" si="3"/>
        <v>0</v>
      </c>
      <c r="P5" s="3">
        <f t="shared" si="3"/>
        <v>-2</v>
      </c>
      <c r="Q5" s="3">
        <f t="shared" si="3"/>
        <v>1</v>
      </c>
      <c r="R5" s="3">
        <f t="shared" si="3"/>
        <v>-18</v>
      </c>
      <c r="S5" s="3">
        <f t="shared" si="3"/>
        <v>-2</v>
      </c>
      <c r="T5" s="3">
        <f t="shared" si="3"/>
        <v>-18</v>
      </c>
      <c r="U5" s="3">
        <f t="shared" si="3"/>
        <v>-19</v>
      </c>
      <c r="V5" s="3">
        <f t="shared" si="3"/>
        <v>-37</v>
      </c>
      <c r="W5" s="3">
        <f t="shared" si="3"/>
        <v>-41</v>
      </c>
      <c r="X5" s="3">
        <f t="shared" si="3"/>
        <v>-60</v>
      </c>
      <c r="Y5" s="3">
        <f t="shared" si="3"/>
        <v>-65</v>
      </c>
      <c r="Z5" s="3">
        <f t="shared" si="3"/>
        <v>-84</v>
      </c>
      <c r="AD5" s="3"/>
      <c r="AF5" s="3"/>
    </row>
    <row r="6" ht="14.25" customHeight="1">
      <c r="A6" s="20" t="s">
        <v>72</v>
      </c>
      <c r="B6" s="21" t="s">
        <v>76</v>
      </c>
      <c r="C6" s="22" t="s">
        <v>77</v>
      </c>
      <c r="D6" s="22" t="s">
        <v>9</v>
      </c>
      <c r="E6" s="22" t="s">
        <v>78</v>
      </c>
      <c r="F6" s="22" t="s">
        <v>10</v>
      </c>
      <c r="G6" s="6" t="s">
        <v>5</v>
      </c>
      <c r="H6" s="6" t="s">
        <v>7</v>
      </c>
      <c r="I6" s="6" t="s">
        <v>8</v>
      </c>
      <c r="J6" s="6" t="s">
        <v>11</v>
      </c>
      <c r="K6" s="6" t="s">
        <v>12</v>
      </c>
      <c r="L6" s="23" t="s">
        <v>81</v>
      </c>
      <c r="M6" s="23" t="s">
        <v>17</v>
      </c>
      <c r="N6" s="21" t="s">
        <v>82</v>
      </c>
      <c r="O6" s="20" t="s">
        <v>16</v>
      </c>
      <c r="P6" s="24" t="s">
        <v>86</v>
      </c>
      <c r="Q6" s="20" t="s">
        <v>13</v>
      </c>
      <c r="R6" s="20" t="s">
        <v>15</v>
      </c>
      <c r="S6" s="20" t="s">
        <v>20</v>
      </c>
      <c r="T6" s="20" t="s">
        <v>27</v>
      </c>
      <c r="U6" s="20" t="s">
        <v>23</v>
      </c>
      <c r="V6" s="21" t="s">
        <v>87</v>
      </c>
      <c r="W6" s="21" t="s">
        <v>88</v>
      </c>
      <c r="X6" s="21" t="s">
        <v>89</v>
      </c>
      <c r="Y6" s="21" t="s">
        <v>90</v>
      </c>
      <c r="Z6" s="6" t="s">
        <v>14</v>
      </c>
    </row>
    <row r="7" ht="14.25" customHeight="1">
      <c r="A7" s="11"/>
      <c r="B7" s="11">
        <v>1.0</v>
      </c>
      <c r="C7" s="11" t="s">
        <v>95</v>
      </c>
      <c r="D7" s="11">
        <v>1.0</v>
      </c>
      <c r="E7" s="11"/>
      <c r="F7" s="11">
        <v>0.0</v>
      </c>
      <c r="G7" s="11" t="s">
        <v>57</v>
      </c>
      <c r="H7" s="11" t="s">
        <v>58</v>
      </c>
      <c r="I7" s="11">
        <v>7.0</v>
      </c>
      <c r="J7" s="26">
        <v>0.0</v>
      </c>
      <c r="K7" s="11" t="s">
        <v>842</v>
      </c>
      <c r="L7" s="11">
        <v>2.0</v>
      </c>
      <c r="M7" s="11">
        <v>10.0</v>
      </c>
      <c r="N7" s="11">
        <v>2.0</v>
      </c>
      <c r="O7" s="11">
        <v>8.0</v>
      </c>
      <c r="P7" s="11">
        <v>2.0</v>
      </c>
      <c r="Q7" s="11">
        <v>7.0</v>
      </c>
      <c r="R7" s="11">
        <v>7.0</v>
      </c>
      <c r="S7" s="11">
        <v>8.0</v>
      </c>
      <c r="T7" s="11">
        <v>7.0</v>
      </c>
      <c r="U7" s="11">
        <v>11.0</v>
      </c>
      <c r="V7" s="11">
        <v>8.0</v>
      </c>
      <c r="W7" s="11">
        <v>2.0</v>
      </c>
      <c r="X7" s="11">
        <v>-1.0</v>
      </c>
      <c r="Y7" s="11">
        <v>1.0</v>
      </c>
      <c r="Z7" s="29">
        <v>4.0</v>
      </c>
    </row>
    <row r="8" ht="14.25" customHeight="1">
      <c r="A8" s="11" t="s">
        <v>106</v>
      </c>
      <c r="B8" s="11">
        <v>3.0</v>
      </c>
      <c r="C8" s="11" t="s">
        <v>95</v>
      </c>
      <c r="D8" s="11">
        <v>1.0</v>
      </c>
      <c r="E8" s="11"/>
      <c r="F8" s="11">
        <v>0.0</v>
      </c>
      <c r="G8" s="11" t="s">
        <v>132</v>
      </c>
      <c r="H8" s="11" t="s">
        <v>94</v>
      </c>
      <c r="I8" s="11">
        <v>33.0</v>
      </c>
      <c r="J8" s="30" t="s">
        <v>106</v>
      </c>
      <c r="K8" s="11" t="s">
        <v>843</v>
      </c>
      <c r="L8" s="11">
        <v>4.0</v>
      </c>
      <c r="M8" s="11">
        <v>27.0</v>
      </c>
      <c r="N8" s="11">
        <v>-7.0</v>
      </c>
      <c r="O8" s="11">
        <v>39.0</v>
      </c>
      <c r="P8" s="11">
        <v>-12.0</v>
      </c>
      <c r="Q8" s="11">
        <v>31.0</v>
      </c>
      <c r="R8" s="11">
        <v>36.0</v>
      </c>
      <c r="S8" s="11">
        <v>36.0</v>
      </c>
      <c r="T8" s="11">
        <v>33.0</v>
      </c>
      <c r="U8" s="11">
        <v>36.0</v>
      </c>
      <c r="V8" s="11">
        <v>34.0</v>
      </c>
      <c r="W8" s="11">
        <v>5.0</v>
      </c>
      <c r="X8" s="11">
        <v>-4.0</v>
      </c>
      <c r="Y8" s="11">
        <v>8.0</v>
      </c>
      <c r="Z8" s="29">
        <v>16.0</v>
      </c>
    </row>
    <row r="9" ht="14.25" customHeight="1">
      <c r="A9" s="11"/>
      <c r="B9" s="11">
        <v>1.0</v>
      </c>
      <c r="C9" s="11" t="s">
        <v>95</v>
      </c>
      <c r="D9" s="11">
        <v>1.0</v>
      </c>
      <c r="E9" s="11" t="s">
        <v>151</v>
      </c>
      <c r="F9" s="11">
        <v>0.0</v>
      </c>
      <c r="G9" s="11" t="s">
        <v>70</v>
      </c>
      <c r="H9" s="11" t="s">
        <v>71</v>
      </c>
      <c r="I9" s="11">
        <v>3.0</v>
      </c>
      <c r="J9" s="30">
        <v>0.0</v>
      </c>
      <c r="K9" s="11" t="s">
        <v>59</v>
      </c>
      <c r="L9" s="11">
        <v>1.0</v>
      </c>
      <c r="M9" s="11">
        <v>6.0</v>
      </c>
      <c r="N9" s="11">
        <v>2.0</v>
      </c>
      <c r="O9" s="11">
        <v>5.0</v>
      </c>
      <c r="P9" s="11">
        <v>1.0</v>
      </c>
      <c r="Q9" s="11">
        <v>6.0</v>
      </c>
      <c r="R9" s="11">
        <v>5.0</v>
      </c>
      <c r="S9" s="11">
        <v>4.0</v>
      </c>
      <c r="T9" s="11">
        <v>4.0</v>
      </c>
      <c r="U9" s="11">
        <v>3.0</v>
      </c>
      <c r="V9" s="11">
        <v>4.0</v>
      </c>
      <c r="W9" s="11">
        <v>1.0</v>
      </c>
      <c r="X9" s="11">
        <v>0.0</v>
      </c>
      <c r="Y9" s="11">
        <v>1.0</v>
      </c>
      <c r="Z9" s="29">
        <v>3.0</v>
      </c>
    </row>
    <row r="10" ht="14.25" customHeight="1">
      <c r="A10" s="11"/>
      <c r="B10" s="11">
        <v>4.0</v>
      </c>
      <c r="C10" s="11" t="s">
        <v>95</v>
      </c>
      <c r="D10" s="11">
        <v>2.0</v>
      </c>
      <c r="E10" s="11"/>
      <c r="F10" s="11">
        <v>0.0</v>
      </c>
      <c r="G10" s="11" t="s">
        <v>147</v>
      </c>
      <c r="H10" s="11" t="s">
        <v>148</v>
      </c>
      <c r="I10" s="11">
        <v>47.0</v>
      </c>
      <c r="J10" s="26">
        <v>0.0</v>
      </c>
      <c r="K10" s="11" t="s">
        <v>844</v>
      </c>
      <c r="L10" s="11">
        <v>5.0</v>
      </c>
      <c r="M10" s="11">
        <v>32.0</v>
      </c>
      <c r="N10" s="11">
        <v>-7.0</v>
      </c>
      <c r="O10" s="11">
        <v>41.0</v>
      </c>
      <c r="P10" s="11">
        <v>-9.0</v>
      </c>
      <c r="Q10" s="11">
        <v>51.0</v>
      </c>
      <c r="R10" s="11">
        <v>41.0</v>
      </c>
      <c r="S10" s="11">
        <v>42.0</v>
      </c>
      <c r="T10" s="11">
        <v>39.0</v>
      </c>
      <c r="U10" s="11">
        <v>31.0</v>
      </c>
      <c r="V10" s="11">
        <v>39.0</v>
      </c>
      <c r="W10" s="11">
        <v>5.0</v>
      </c>
      <c r="X10" s="11">
        <v>-3.0</v>
      </c>
      <c r="Y10" s="11">
        <v>11.0</v>
      </c>
      <c r="Z10" s="29">
        <v>16.0</v>
      </c>
    </row>
    <row r="11" ht="14.25" customHeight="1">
      <c r="A11" s="11"/>
      <c r="B11" s="11">
        <v>1.0</v>
      </c>
      <c r="C11" s="11" t="s">
        <v>95</v>
      </c>
      <c r="D11" s="11">
        <v>2.0</v>
      </c>
      <c r="E11" s="11"/>
      <c r="F11" s="11">
        <v>0.0</v>
      </c>
      <c r="G11" s="11" t="s">
        <v>39</v>
      </c>
      <c r="H11" s="11" t="s">
        <v>40</v>
      </c>
      <c r="I11" s="11">
        <v>2.0</v>
      </c>
      <c r="J11" s="26">
        <v>0.0</v>
      </c>
      <c r="K11" s="11" t="s">
        <v>842</v>
      </c>
      <c r="L11" s="11">
        <v>1.0</v>
      </c>
      <c r="M11" s="11">
        <v>3.0</v>
      </c>
      <c r="N11" s="11">
        <v>1.0</v>
      </c>
      <c r="O11" s="11">
        <v>2.0</v>
      </c>
      <c r="P11" s="11">
        <v>1.0</v>
      </c>
      <c r="Q11" s="11">
        <v>2.0</v>
      </c>
      <c r="R11" s="11">
        <v>2.0</v>
      </c>
      <c r="S11" s="11">
        <v>2.0</v>
      </c>
      <c r="T11" s="11">
        <v>2.0</v>
      </c>
      <c r="U11" s="11">
        <v>2.0</v>
      </c>
      <c r="V11" s="11">
        <v>2.0</v>
      </c>
      <c r="W11" s="11">
        <v>1.0</v>
      </c>
      <c r="X11" s="11">
        <v>1.0</v>
      </c>
      <c r="Y11" s="11">
        <v>0.0</v>
      </c>
      <c r="Z11" s="29">
        <v>1.0</v>
      </c>
    </row>
    <row r="12" ht="14.25" customHeight="1">
      <c r="A12" s="11"/>
      <c r="B12" s="11">
        <v>1.0</v>
      </c>
      <c r="C12" s="11" t="s">
        <v>95</v>
      </c>
      <c r="D12" s="11">
        <v>2.0</v>
      </c>
      <c r="E12" s="11"/>
      <c r="F12" s="11">
        <v>0.0</v>
      </c>
      <c r="G12" s="11" t="s">
        <v>44</v>
      </c>
      <c r="H12" s="11" t="s">
        <v>45</v>
      </c>
      <c r="I12" s="11">
        <v>1.0</v>
      </c>
      <c r="J12" s="30">
        <v>0.0</v>
      </c>
      <c r="K12" s="11" t="s">
        <v>59</v>
      </c>
      <c r="L12" s="11">
        <v>1.0</v>
      </c>
      <c r="M12" s="11">
        <v>1.0</v>
      </c>
      <c r="N12" s="11">
        <v>0.0</v>
      </c>
      <c r="O12" s="11">
        <v>1.0</v>
      </c>
      <c r="P12" s="11">
        <v>0.0</v>
      </c>
      <c r="Q12" s="11">
        <v>1.0</v>
      </c>
      <c r="R12" s="11">
        <v>1.0</v>
      </c>
      <c r="S12" s="11">
        <v>1.0</v>
      </c>
      <c r="T12" s="11">
        <v>1.0</v>
      </c>
      <c r="U12" s="11">
        <v>1.0</v>
      </c>
      <c r="V12" s="11">
        <v>1.0</v>
      </c>
      <c r="W12" s="11">
        <v>1.0</v>
      </c>
      <c r="X12" s="11">
        <v>1.0</v>
      </c>
      <c r="Y12" s="11">
        <v>0.0</v>
      </c>
      <c r="Z12" s="29">
        <v>1.0</v>
      </c>
    </row>
    <row r="13" ht="14.25" customHeight="1">
      <c r="A13" s="11"/>
      <c r="B13" s="11">
        <v>2.0</v>
      </c>
      <c r="C13" s="11" t="s">
        <v>95</v>
      </c>
      <c r="D13" s="11"/>
      <c r="E13" s="11"/>
      <c r="F13" s="11">
        <v>0.0</v>
      </c>
      <c r="G13" s="11" t="s">
        <v>113</v>
      </c>
      <c r="H13" s="11" t="s">
        <v>85</v>
      </c>
      <c r="I13" s="11">
        <v>17.0</v>
      </c>
      <c r="J13" s="30">
        <v>0.0</v>
      </c>
      <c r="K13" s="11" t="s">
        <v>845</v>
      </c>
      <c r="L13" s="11">
        <v>3.0</v>
      </c>
      <c r="M13" s="11">
        <v>18.0</v>
      </c>
      <c r="N13" s="11">
        <v>-2.0</v>
      </c>
      <c r="O13" s="11">
        <v>27.0</v>
      </c>
      <c r="P13" s="11">
        <v>-9.0</v>
      </c>
      <c r="Q13" s="11">
        <v>18.0</v>
      </c>
      <c r="R13" s="11">
        <v>22.0</v>
      </c>
      <c r="S13" s="11">
        <v>23.0</v>
      </c>
      <c r="T13" s="11">
        <v>21.0</v>
      </c>
      <c r="U13" s="11">
        <v>15.0</v>
      </c>
      <c r="V13" s="11">
        <v>20.0</v>
      </c>
      <c r="W13" s="11">
        <v>3.0</v>
      </c>
      <c r="X13" s="11">
        <v>-3.0</v>
      </c>
      <c r="Y13" s="11">
        <v>-2.0</v>
      </c>
      <c r="Z13" s="29">
        <v>11.0</v>
      </c>
    </row>
    <row r="14" ht="14.25" customHeight="1">
      <c r="A14" s="11"/>
      <c r="B14" s="11">
        <v>1.0</v>
      </c>
      <c r="C14" s="11" t="s">
        <v>95</v>
      </c>
      <c r="D14" s="11"/>
      <c r="E14" s="11"/>
      <c r="F14" s="11">
        <v>0.0</v>
      </c>
      <c r="G14" s="11" t="s">
        <v>74</v>
      </c>
      <c r="H14" s="11" t="s">
        <v>75</v>
      </c>
      <c r="I14" s="11">
        <v>5.0</v>
      </c>
      <c r="J14" s="30">
        <v>0.0</v>
      </c>
      <c r="K14" s="11" t="s">
        <v>59</v>
      </c>
      <c r="L14" s="11">
        <v>1.0</v>
      </c>
      <c r="M14" s="11">
        <v>5.0</v>
      </c>
      <c r="N14" s="11">
        <v>0.0</v>
      </c>
      <c r="O14" s="11">
        <v>6.0</v>
      </c>
      <c r="P14" s="11">
        <v>-1.0</v>
      </c>
      <c r="Q14" s="11">
        <v>4.0</v>
      </c>
      <c r="R14" s="11">
        <v>3.0</v>
      </c>
      <c r="S14" s="11">
        <v>6.0</v>
      </c>
      <c r="T14" s="11">
        <v>6.0</v>
      </c>
      <c r="U14" s="11">
        <v>5.0</v>
      </c>
      <c r="V14" s="11">
        <v>5.0</v>
      </c>
      <c r="W14" s="11">
        <v>1.0</v>
      </c>
      <c r="X14" s="11">
        <v>-1.0</v>
      </c>
      <c r="Y14" s="11">
        <v>1.0</v>
      </c>
      <c r="Z14" s="29">
        <v>2.0</v>
      </c>
    </row>
    <row r="15" ht="14.25" customHeight="1">
      <c r="A15" s="11"/>
      <c r="B15" s="11">
        <v>1.0</v>
      </c>
      <c r="C15" s="11" t="s">
        <v>95</v>
      </c>
      <c r="D15" s="11">
        <v>2.0</v>
      </c>
      <c r="E15" s="11"/>
      <c r="F15" s="11">
        <v>0.0</v>
      </c>
      <c r="G15" s="11" t="s">
        <v>64</v>
      </c>
      <c r="H15" s="11" t="s">
        <v>35</v>
      </c>
      <c r="I15" s="11">
        <v>9.0</v>
      </c>
      <c r="J15" s="30">
        <v>0.0</v>
      </c>
      <c r="K15" s="11" t="s">
        <v>846</v>
      </c>
      <c r="L15" s="11">
        <v>2.0</v>
      </c>
      <c r="M15" s="11">
        <v>8.0</v>
      </c>
      <c r="N15" s="11">
        <v>-1.0</v>
      </c>
      <c r="O15" s="11">
        <v>12.0</v>
      </c>
      <c r="P15" s="11">
        <v>-4.0</v>
      </c>
      <c r="Q15" s="11">
        <v>8.0</v>
      </c>
      <c r="R15" s="11">
        <v>11.0</v>
      </c>
      <c r="S15" s="11">
        <v>11.0</v>
      </c>
      <c r="T15" s="11">
        <v>9.0</v>
      </c>
      <c r="U15" s="11">
        <v>8.0</v>
      </c>
      <c r="V15" s="11">
        <v>9.0</v>
      </c>
      <c r="W15" s="11">
        <v>2.0</v>
      </c>
      <c r="X15" s="11">
        <v>0.0</v>
      </c>
      <c r="Y15" s="11">
        <v>-1.0</v>
      </c>
      <c r="Z15" s="29">
        <v>6.0</v>
      </c>
    </row>
    <row r="16" ht="14.25" customHeight="1">
      <c r="A16" s="11"/>
      <c r="B16" s="11">
        <v>2.0</v>
      </c>
      <c r="C16" s="11" t="s">
        <v>95</v>
      </c>
      <c r="D16" s="11"/>
      <c r="E16" s="11"/>
      <c r="F16" s="11">
        <v>0.0</v>
      </c>
      <c r="G16" s="11" t="s">
        <v>61</v>
      </c>
      <c r="H16" s="11" t="s">
        <v>62</v>
      </c>
      <c r="I16" s="11">
        <v>20.0</v>
      </c>
      <c r="J16" s="26" t="s">
        <v>95</v>
      </c>
      <c r="K16" s="11" t="s">
        <v>847</v>
      </c>
      <c r="L16" s="11">
        <v>3.0</v>
      </c>
      <c r="M16" s="11">
        <v>20.0</v>
      </c>
      <c r="N16" s="11">
        <v>1.0</v>
      </c>
      <c r="O16" s="11">
        <v>21.0</v>
      </c>
      <c r="P16" s="11">
        <v>-1.0</v>
      </c>
      <c r="Q16" s="11">
        <v>15.0</v>
      </c>
      <c r="R16" s="11">
        <v>20.0</v>
      </c>
      <c r="S16" s="11">
        <v>21.0</v>
      </c>
      <c r="T16" s="11">
        <v>20.0</v>
      </c>
      <c r="U16" s="11">
        <v>22.0</v>
      </c>
      <c r="V16" s="11">
        <v>19.0</v>
      </c>
      <c r="W16" s="11">
        <v>3.0</v>
      </c>
      <c r="X16" s="11">
        <v>-3.0</v>
      </c>
      <c r="Y16" s="11">
        <v>0.0</v>
      </c>
      <c r="Z16" s="29">
        <v>12.0</v>
      </c>
    </row>
    <row r="17" ht="14.25" customHeight="1">
      <c r="A17" s="11"/>
      <c r="B17" s="11">
        <v>1.0</v>
      </c>
      <c r="C17" s="11" t="s">
        <v>95</v>
      </c>
      <c r="D17" s="11">
        <v>2.0</v>
      </c>
      <c r="E17" s="27"/>
      <c r="F17" s="11">
        <v>0.0</v>
      </c>
      <c r="G17" s="11" t="s">
        <v>48</v>
      </c>
      <c r="H17" s="11" t="s">
        <v>49</v>
      </c>
      <c r="I17" s="11">
        <v>13.0</v>
      </c>
      <c r="J17" s="33">
        <v>0.0</v>
      </c>
      <c r="K17" s="11" t="s">
        <v>846</v>
      </c>
      <c r="L17" s="11">
        <v>2.0</v>
      </c>
      <c r="M17" s="11">
        <v>11.0</v>
      </c>
      <c r="N17" s="11">
        <v>0.0</v>
      </c>
      <c r="O17" s="11">
        <v>14.0</v>
      </c>
      <c r="P17" s="11">
        <v>-3.0</v>
      </c>
      <c r="Q17" s="11">
        <v>9.0</v>
      </c>
      <c r="R17" s="11">
        <v>8.0</v>
      </c>
      <c r="S17" s="11">
        <v>15.0</v>
      </c>
      <c r="T17" s="11">
        <v>14.0</v>
      </c>
      <c r="U17" s="11">
        <v>7.0</v>
      </c>
      <c r="V17" s="11">
        <v>11.0</v>
      </c>
      <c r="W17" s="11">
        <v>2.0</v>
      </c>
      <c r="X17" s="11">
        <v>0.0</v>
      </c>
      <c r="Y17" s="11">
        <v>5.0</v>
      </c>
      <c r="Z17" s="29">
        <v>9.0</v>
      </c>
    </row>
    <row r="18" ht="14.25" customHeight="1">
      <c r="A18" s="11"/>
      <c r="B18" s="11">
        <v>4.0</v>
      </c>
      <c r="C18" s="11" t="s">
        <v>95</v>
      </c>
      <c r="D18" s="11"/>
      <c r="E18" s="11"/>
      <c r="F18" s="11">
        <v>0.0</v>
      </c>
      <c r="G18" s="11" t="s">
        <v>156</v>
      </c>
      <c r="H18" s="11" t="s">
        <v>148</v>
      </c>
      <c r="I18" s="11">
        <v>28.0</v>
      </c>
      <c r="J18" s="33">
        <v>0.0</v>
      </c>
      <c r="K18" s="11" t="s">
        <v>843</v>
      </c>
      <c r="L18" s="11">
        <v>5.0</v>
      </c>
      <c r="M18" s="11">
        <v>34.0</v>
      </c>
      <c r="N18" s="11">
        <v>-4.0</v>
      </c>
      <c r="O18" s="11">
        <v>51.0</v>
      </c>
      <c r="P18" s="11">
        <v>-17.0</v>
      </c>
      <c r="Q18" s="11">
        <v>41.0</v>
      </c>
      <c r="R18" s="11">
        <v>37.0</v>
      </c>
      <c r="S18" s="11">
        <v>39.0</v>
      </c>
      <c r="T18" s="11">
        <v>30.0</v>
      </c>
      <c r="U18" s="11">
        <v>37.0</v>
      </c>
      <c r="V18" s="11">
        <v>38.0</v>
      </c>
      <c r="W18" s="11">
        <v>5.0</v>
      </c>
      <c r="X18" s="11">
        <v>-5.0</v>
      </c>
      <c r="Y18" s="11">
        <v>1.0</v>
      </c>
      <c r="Z18" s="29">
        <v>17.0</v>
      </c>
    </row>
    <row r="19" ht="14.25" customHeight="1">
      <c r="A19" s="11"/>
      <c r="B19" s="11">
        <v>1.0</v>
      </c>
      <c r="C19" s="11" t="s">
        <v>95</v>
      </c>
      <c r="D19" s="11">
        <v>2.0</v>
      </c>
      <c r="E19" s="11"/>
      <c r="F19" s="11">
        <v>0.0</v>
      </c>
      <c r="G19" s="11" t="s">
        <v>84</v>
      </c>
      <c r="H19" s="11" t="s">
        <v>85</v>
      </c>
      <c r="I19" s="11">
        <v>6.0</v>
      </c>
      <c r="J19" s="26">
        <v>0.0</v>
      </c>
      <c r="K19" s="11" t="s">
        <v>842</v>
      </c>
      <c r="L19" s="11">
        <v>1.0</v>
      </c>
      <c r="M19" s="11">
        <v>2.0</v>
      </c>
      <c r="N19" s="11">
        <v>-2.0</v>
      </c>
      <c r="O19" s="11">
        <v>3.0</v>
      </c>
      <c r="P19" s="11">
        <v>-1.0</v>
      </c>
      <c r="Q19" s="11">
        <v>3.0</v>
      </c>
      <c r="R19" s="11">
        <v>6.0</v>
      </c>
      <c r="S19" s="11">
        <v>5.0</v>
      </c>
      <c r="T19" s="11">
        <v>5.0</v>
      </c>
      <c r="U19" s="11">
        <v>4.0</v>
      </c>
      <c r="V19" s="11">
        <v>4.0</v>
      </c>
      <c r="W19" s="11">
        <v>1.0</v>
      </c>
      <c r="X19" s="11">
        <v>1.0</v>
      </c>
      <c r="Y19" s="11">
        <v>-1.0</v>
      </c>
      <c r="Z19" s="29">
        <v>2.0</v>
      </c>
    </row>
    <row r="20" ht="14.25" customHeight="1">
      <c r="A20" s="11"/>
      <c r="B20" s="11">
        <v>1.0</v>
      </c>
      <c r="C20" s="11" t="s">
        <v>95</v>
      </c>
      <c r="D20" s="11">
        <v>2.0</v>
      </c>
      <c r="E20" s="11"/>
      <c r="F20" s="11">
        <v>0.0</v>
      </c>
      <c r="G20" s="11" t="s">
        <v>25</v>
      </c>
      <c r="H20" s="11" t="s">
        <v>35</v>
      </c>
      <c r="I20" s="11">
        <v>4.0</v>
      </c>
      <c r="J20" s="26">
        <v>0.0</v>
      </c>
      <c r="K20" s="11" t="s">
        <v>842</v>
      </c>
      <c r="L20" s="11">
        <v>1.0</v>
      </c>
      <c r="M20" s="11">
        <v>4.0</v>
      </c>
      <c r="N20" s="11">
        <v>0.0</v>
      </c>
      <c r="O20" s="11">
        <v>4.0</v>
      </c>
      <c r="P20" s="11">
        <v>0.0</v>
      </c>
      <c r="Q20" s="11">
        <v>5.0</v>
      </c>
      <c r="R20" s="11">
        <v>4.0</v>
      </c>
      <c r="S20" s="11">
        <v>3.0</v>
      </c>
      <c r="T20" s="11">
        <v>3.0</v>
      </c>
      <c r="U20" s="11">
        <v>6.0</v>
      </c>
      <c r="V20" s="11">
        <v>4.0</v>
      </c>
      <c r="W20" s="11">
        <v>1.0</v>
      </c>
      <c r="X20" s="11">
        <v>1.0</v>
      </c>
      <c r="Y20" s="11">
        <v>0.0</v>
      </c>
      <c r="Z20" s="29">
        <v>3.0</v>
      </c>
    </row>
    <row r="21" ht="14.25" customHeight="1">
      <c r="A21" s="11"/>
      <c r="B21" s="11">
        <v>4.0</v>
      </c>
      <c r="C21" s="11" t="s">
        <v>95</v>
      </c>
      <c r="D21" s="11">
        <v>2.0</v>
      </c>
      <c r="E21" s="11"/>
      <c r="F21" s="11">
        <v>0.0</v>
      </c>
      <c r="G21" s="11" t="s">
        <v>228</v>
      </c>
      <c r="H21" s="11" t="s">
        <v>125</v>
      </c>
      <c r="I21" s="11">
        <v>37.0</v>
      </c>
      <c r="J21" s="33" t="s">
        <v>106</v>
      </c>
      <c r="K21" s="11" t="s">
        <v>843</v>
      </c>
      <c r="L21" s="11">
        <v>5.0</v>
      </c>
      <c r="M21" s="11">
        <v>36.0</v>
      </c>
      <c r="N21" s="11">
        <v>-4.0</v>
      </c>
      <c r="O21" s="11">
        <v>46.0</v>
      </c>
      <c r="P21" s="11">
        <v>-10.0</v>
      </c>
      <c r="Q21" s="11">
        <v>44.0</v>
      </c>
      <c r="R21" s="11">
        <v>39.0</v>
      </c>
      <c r="S21" s="11">
        <v>41.0</v>
      </c>
      <c r="T21" s="11">
        <v>34.0</v>
      </c>
      <c r="U21" s="11">
        <v>41.0</v>
      </c>
      <c r="V21" s="11">
        <v>40.0</v>
      </c>
      <c r="W21" s="11">
        <v>6.0</v>
      </c>
      <c r="X21" s="11">
        <v>-4.0</v>
      </c>
      <c r="Y21" s="11">
        <v>-3.0</v>
      </c>
      <c r="Z21" s="29">
        <v>14.0</v>
      </c>
    </row>
    <row r="22" ht="14.25" customHeight="1">
      <c r="A22" s="11" t="s">
        <v>106</v>
      </c>
      <c r="B22" s="11">
        <v>3.0</v>
      </c>
      <c r="C22" s="11" t="s">
        <v>95</v>
      </c>
      <c r="D22" s="11">
        <v>2.0</v>
      </c>
      <c r="E22" s="11"/>
      <c r="F22" s="11">
        <v>0.0</v>
      </c>
      <c r="G22" s="11" t="s">
        <v>138</v>
      </c>
      <c r="H22" s="11" t="s">
        <v>49</v>
      </c>
      <c r="I22" s="11">
        <v>31.0</v>
      </c>
      <c r="J22" s="26">
        <v>0.0</v>
      </c>
      <c r="K22" s="11" t="s">
        <v>847</v>
      </c>
      <c r="L22" s="11">
        <v>4.0</v>
      </c>
      <c r="M22" s="11">
        <v>25.0</v>
      </c>
      <c r="N22" s="11">
        <v>0.0</v>
      </c>
      <c r="O22" s="11">
        <v>18.0</v>
      </c>
      <c r="P22" s="11">
        <v>7.0</v>
      </c>
      <c r="Q22" s="11">
        <v>29.0</v>
      </c>
      <c r="R22" s="11">
        <v>30.0</v>
      </c>
      <c r="S22" s="11">
        <v>26.0</v>
      </c>
      <c r="T22" s="11">
        <v>27.0</v>
      </c>
      <c r="U22" s="11">
        <v>25.0</v>
      </c>
      <c r="V22" s="11">
        <v>25.0</v>
      </c>
      <c r="W22" s="11">
        <v>4.0</v>
      </c>
      <c r="X22" s="11">
        <v>-2.0</v>
      </c>
      <c r="Y22" s="11">
        <v>2.0</v>
      </c>
      <c r="Z22" s="29">
        <v>11.0</v>
      </c>
    </row>
    <row r="23" ht="14.25" customHeight="1">
      <c r="A23" s="11"/>
      <c r="B23" s="11">
        <v>2.0</v>
      </c>
      <c r="C23" s="11" t="s">
        <v>95</v>
      </c>
      <c r="D23" s="11">
        <v>2.0</v>
      </c>
      <c r="E23" s="11"/>
      <c r="F23" s="11">
        <v>0.0</v>
      </c>
      <c r="G23" s="11" t="s">
        <v>108</v>
      </c>
      <c r="H23" s="11" t="s">
        <v>109</v>
      </c>
      <c r="I23" s="11">
        <v>15.0</v>
      </c>
      <c r="J23" s="26">
        <v>0.0</v>
      </c>
      <c r="K23" s="11" t="s">
        <v>847</v>
      </c>
      <c r="L23" s="11">
        <v>1.0</v>
      </c>
      <c r="M23" s="11">
        <v>7.0</v>
      </c>
      <c r="N23" s="11">
        <v>-3.0</v>
      </c>
      <c r="O23" s="11">
        <v>7.0</v>
      </c>
      <c r="P23" s="11">
        <v>0.0</v>
      </c>
      <c r="Q23" s="11">
        <v>12.0</v>
      </c>
      <c r="R23" s="11">
        <v>13.0</v>
      </c>
      <c r="S23" s="11">
        <v>14.0</v>
      </c>
      <c r="T23" s="11">
        <v>13.0</v>
      </c>
      <c r="U23" s="11">
        <v>10.0</v>
      </c>
      <c r="V23" s="11">
        <v>10.0</v>
      </c>
      <c r="W23" s="11">
        <v>2.0</v>
      </c>
      <c r="X23" s="11">
        <v>0.0</v>
      </c>
      <c r="Y23" s="11">
        <v>1.0</v>
      </c>
      <c r="Z23" s="29">
        <v>8.0</v>
      </c>
    </row>
    <row r="24" ht="14.25" customHeight="1">
      <c r="A24" s="11"/>
      <c r="B24" s="11">
        <v>7.0</v>
      </c>
      <c r="C24" s="11" t="s">
        <v>95</v>
      </c>
      <c r="D24" s="11"/>
      <c r="E24" s="11"/>
      <c r="F24" s="11">
        <v>0.0</v>
      </c>
      <c r="G24" s="11" t="s">
        <v>130</v>
      </c>
      <c r="H24" s="11" t="s">
        <v>131</v>
      </c>
      <c r="I24" s="11">
        <v>71.0</v>
      </c>
      <c r="J24" s="33">
        <v>0.0</v>
      </c>
      <c r="K24" s="11" t="s">
        <v>849</v>
      </c>
      <c r="L24" s="11">
        <v>10.0</v>
      </c>
      <c r="M24" s="11">
        <v>73.0</v>
      </c>
      <c r="N24" s="11">
        <v>-9.0</v>
      </c>
      <c r="O24" s="11">
        <v>101.0</v>
      </c>
      <c r="P24" s="11">
        <v>-28.0</v>
      </c>
      <c r="Q24" s="11">
        <v>84.0</v>
      </c>
      <c r="R24" s="11">
        <v>78.0</v>
      </c>
      <c r="S24" s="11">
        <v>82.0</v>
      </c>
      <c r="T24" s="11">
        <v>72.0</v>
      </c>
      <c r="U24" s="11">
        <v>87.0</v>
      </c>
      <c r="V24" s="11">
        <v>82.0</v>
      </c>
      <c r="W24" s="11">
        <v>11.0</v>
      </c>
      <c r="X24" s="11">
        <v>-11.0</v>
      </c>
      <c r="Y24" s="11">
        <v>-16.0</v>
      </c>
      <c r="Z24" s="29">
        <v>32.0</v>
      </c>
    </row>
    <row r="25" ht="14.25" customHeight="1">
      <c r="A25" s="11"/>
      <c r="B25" s="11">
        <v>6.0</v>
      </c>
      <c r="C25" s="11" t="s">
        <v>95</v>
      </c>
      <c r="D25" s="11">
        <v>2.0</v>
      </c>
      <c r="E25" s="11"/>
      <c r="F25" s="11">
        <v>0.0</v>
      </c>
      <c r="G25" s="11" t="s">
        <v>418</v>
      </c>
      <c r="H25" s="11" t="s">
        <v>102</v>
      </c>
      <c r="I25" s="11">
        <v>68.0</v>
      </c>
      <c r="J25" s="26">
        <v>0.0</v>
      </c>
      <c r="K25" s="11" t="s">
        <v>851</v>
      </c>
      <c r="L25" s="11">
        <v>8.0</v>
      </c>
      <c r="M25" s="11">
        <v>61.0</v>
      </c>
      <c r="N25" s="11">
        <v>-4.0</v>
      </c>
      <c r="O25" s="11">
        <v>66.0</v>
      </c>
      <c r="P25" s="11">
        <v>-5.0</v>
      </c>
      <c r="Q25" s="11">
        <v>63.0</v>
      </c>
      <c r="R25" s="11">
        <v>77.0</v>
      </c>
      <c r="S25" s="11">
        <v>62.0</v>
      </c>
      <c r="T25" s="11">
        <v>67.0</v>
      </c>
      <c r="U25" s="11">
        <v>59.0</v>
      </c>
      <c r="V25" s="11">
        <v>65.0</v>
      </c>
      <c r="W25" s="11">
        <v>9.0</v>
      </c>
      <c r="X25" s="11">
        <v>-7.0</v>
      </c>
      <c r="Y25" s="11">
        <v>0.0</v>
      </c>
      <c r="Z25" s="29">
        <v>23.0</v>
      </c>
    </row>
    <row r="26" ht="14.25" customHeight="1">
      <c r="A26" s="11"/>
      <c r="B26" s="11">
        <v>4.0</v>
      </c>
      <c r="C26" s="11" t="s">
        <v>95</v>
      </c>
      <c r="D26" s="11">
        <v>2.0</v>
      </c>
      <c r="E26" s="11"/>
      <c r="F26" s="11">
        <v>0.0</v>
      </c>
      <c r="G26" s="11" t="s">
        <v>197</v>
      </c>
      <c r="H26" s="11" t="s">
        <v>49</v>
      </c>
      <c r="I26" s="11">
        <v>41.0</v>
      </c>
      <c r="J26" s="33">
        <v>0.0</v>
      </c>
      <c r="K26" s="11" t="s">
        <v>852</v>
      </c>
      <c r="L26" s="11">
        <v>6.0</v>
      </c>
      <c r="M26" s="11">
        <v>44.0</v>
      </c>
      <c r="N26" s="11">
        <v>3.0</v>
      </c>
      <c r="O26" s="11">
        <v>34.0</v>
      </c>
      <c r="P26" s="11">
        <v>10.0</v>
      </c>
      <c r="Q26" s="11">
        <v>34.0</v>
      </c>
      <c r="R26" s="11">
        <v>47.0</v>
      </c>
      <c r="S26" s="11">
        <v>43.0</v>
      </c>
      <c r="T26" s="11">
        <v>37.0</v>
      </c>
      <c r="U26" s="11">
        <v>48.0</v>
      </c>
      <c r="V26" s="11">
        <v>41.0</v>
      </c>
      <c r="W26" s="11">
        <v>6.0</v>
      </c>
      <c r="X26" s="11">
        <v>-4.0</v>
      </c>
      <c r="Y26" s="11">
        <v>2.0</v>
      </c>
      <c r="Z26" s="29">
        <v>19.0</v>
      </c>
    </row>
    <row r="27" ht="14.25" customHeight="1">
      <c r="A27" s="11"/>
      <c r="B27" s="11">
        <v>9.0</v>
      </c>
      <c r="C27" s="11" t="s">
        <v>95</v>
      </c>
      <c r="D27" s="11">
        <v>2.0</v>
      </c>
      <c r="E27" s="27"/>
      <c r="F27" s="11">
        <v>0.0</v>
      </c>
      <c r="G27" s="11" t="s">
        <v>168</v>
      </c>
      <c r="H27" s="11" t="s">
        <v>206</v>
      </c>
      <c r="I27" s="11">
        <v>101.0</v>
      </c>
      <c r="J27" s="36">
        <v>0.0</v>
      </c>
      <c r="K27" s="11" t="s">
        <v>853</v>
      </c>
      <c r="L27" s="11">
        <v>11.0</v>
      </c>
      <c r="M27" s="11">
        <v>85.0</v>
      </c>
      <c r="N27" s="11">
        <v>-14.0</v>
      </c>
      <c r="O27" s="11">
        <v>90.0</v>
      </c>
      <c r="P27" s="11">
        <v>-5.0</v>
      </c>
      <c r="Q27" s="11">
        <v>116.0</v>
      </c>
      <c r="R27" s="11">
        <v>102.0</v>
      </c>
      <c r="S27" s="11">
        <v>94.0</v>
      </c>
      <c r="T27" s="11">
        <v>90.0</v>
      </c>
      <c r="U27" s="11">
        <v>121.0</v>
      </c>
      <c r="V27" s="11">
        <v>99.0</v>
      </c>
      <c r="W27" s="11">
        <v>13.0</v>
      </c>
      <c r="X27" s="11">
        <v>-11.0</v>
      </c>
      <c r="Y27" s="11">
        <v>-3.0</v>
      </c>
      <c r="Z27" s="29">
        <v>33.0</v>
      </c>
    </row>
    <row r="28" ht="14.25" customHeight="1">
      <c r="A28" s="11" t="s">
        <v>106</v>
      </c>
      <c r="B28" s="11">
        <v>2.0</v>
      </c>
      <c r="C28" s="11" t="s">
        <v>95</v>
      </c>
      <c r="D28" s="11"/>
      <c r="E28" s="11"/>
      <c r="F28" s="11">
        <v>0.0</v>
      </c>
      <c r="G28" s="11" t="s">
        <v>114</v>
      </c>
      <c r="H28" s="11" t="s">
        <v>40</v>
      </c>
      <c r="I28" s="11">
        <v>14.0</v>
      </c>
      <c r="J28" s="37">
        <v>0.0</v>
      </c>
      <c r="K28" s="11" t="s">
        <v>846</v>
      </c>
      <c r="L28" s="11">
        <v>3.0</v>
      </c>
      <c r="M28" s="11">
        <v>17.0</v>
      </c>
      <c r="N28" s="11">
        <v>-1.0</v>
      </c>
      <c r="O28" s="11">
        <v>23.0</v>
      </c>
      <c r="P28" s="11">
        <v>-6.0</v>
      </c>
      <c r="Q28" s="11">
        <v>21.0</v>
      </c>
      <c r="R28" s="11">
        <v>16.0</v>
      </c>
      <c r="S28" s="11">
        <v>19.0</v>
      </c>
      <c r="T28" s="11">
        <v>15.0</v>
      </c>
      <c r="U28" s="11">
        <v>20.0</v>
      </c>
      <c r="V28" s="11">
        <v>18.0</v>
      </c>
      <c r="W28" s="11">
        <v>3.0</v>
      </c>
      <c r="X28" s="11">
        <v>-3.0</v>
      </c>
      <c r="Y28" s="11">
        <v>-6.0</v>
      </c>
      <c r="Z28" s="29">
        <v>7.0</v>
      </c>
    </row>
    <row r="29" ht="14.25" customHeight="1">
      <c r="A29" s="11"/>
      <c r="B29" s="11">
        <v>2.0</v>
      </c>
      <c r="C29" s="11" t="s">
        <v>95</v>
      </c>
      <c r="D29" s="11"/>
      <c r="E29" s="11"/>
      <c r="F29" s="11">
        <v>0.0</v>
      </c>
      <c r="G29" s="11" t="s">
        <v>92</v>
      </c>
      <c r="H29" s="11" t="s">
        <v>94</v>
      </c>
      <c r="I29" s="11">
        <v>18.0</v>
      </c>
      <c r="J29" s="26">
        <v>0.0</v>
      </c>
      <c r="K29" s="11" t="s">
        <v>847</v>
      </c>
      <c r="L29" s="11">
        <v>2.0</v>
      </c>
      <c r="M29" s="11">
        <v>14.0</v>
      </c>
      <c r="N29" s="11">
        <v>-1.0</v>
      </c>
      <c r="O29" s="11">
        <v>16.0</v>
      </c>
      <c r="P29" s="11">
        <v>-2.0</v>
      </c>
      <c r="Q29" s="11">
        <v>14.0</v>
      </c>
      <c r="R29" s="11">
        <v>15.0</v>
      </c>
      <c r="S29" s="11">
        <v>18.0</v>
      </c>
      <c r="T29" s="11">
        <v>16.0</v>
      </c>
      <c r="U29" s="11">
        <v>14.0</v>
      </c>
      <c r="V29" s="11">
        <v>15.0</v>
      </c>
      <c r="W29" s="11">
        <v>2.0</v>
      </c>
      <c r="X29" s="11">
        <v>-2.0</v>
      </c>
      <c r="Y29" s="11">
        <v>5.0</v>
      </c>
      <c r="Z29" s="29">
        <v>6.0</v>
      </c>
    </row>
    <row r="30" ht="14.25" customHeight="1">
      <c r="A30" s="11" t="s">
        <v>106</v>
      </c>
      <c r="B30" s="11">
        <v>6.0</v>
      </c>
      <c r="C30" s="11" t="s">
        <v>95</v>
      </c>
      <c r="D30" s="11">
        <v>3.0</v>
      </c>
      <c r="E30" s="11"/>
      <c r="F30" s="11">
        <v>0.0</v>
      </c>
      <c r="G30" s="11" t="s">
        <v>321</v>
      </c>
      <c r="H30" s="11" t="s">
        <v>102</v>
      </c>
      <c r="I30" s="11">
        <v>79.0</v>
      </c>
      <c r="J30" s="38" t="s">
        <v>95</v>
      </c>
      <c r="K30" s="11" t="s">
        <v>854</v>
      </c>
      <c r="L30" s="11">
        <v>9.0</v>
      </c>
      <c r="M30" s="11">
        <v>67.0</v>
      </c>
      <c r="N30" s="11">
        <v>-1.0</v>
      </c>
      <c r="O30" s="11">
        <v>61.0</v>
      </c>
      <c r="P30" s="11">
        <v>6.0</v>
      </c>
      <c r="Q30" s="11">
        <v>57.0</v>
      </c>
      <c r="R30" s="11">
        <v>88.0</v>
      </c>
      <c r="S30" s="11">
        <v>63.0</v>
      </c>
      <c r="T30" s="11">
        <v>82.0</v>
      </c>
      <c r="U30" s="11">
        <v>58.0</v>
      </c>
      <c r="V30" s="11">
        <v>68.0</v>
      </c>
      <c r="W30" s="11">
        <v>9.0</v>
      </c>
      <c r="X30" s="11">
        <v>-6.0</v>
      </c>
      <c r="Y30" s="11">
        <v>14.0</v>
      </c>
      <c r="Z30" s="29">
        <v>9.0</v>
      </c>
    </row>
    <row r="31" ht="14.25" customHeight="1">
      <c r="A31" s="11"/>
      <c r="B31" s="11">
        <v>8.0</v>
      </c>
      <c r="C31" s="11" t="s">
        <v>95</v>
      </c>
      <c r="D31" s="11">
        <v>2.0</v>
      </c>
      <c r="E31" s="11"/>
      <c r="F31" s="11">
        <v>0.0</v>
      </c>
      <c r="G31" s="11" t="s">
        <v>364</v>
      </c>
      <c r="H31" s="11" t="s">
        <v>192</v>
      </c>
      <c r="I31" s="11">
        <v>69.0</v>
      </c>
      <c r="J31" s="37" t="s">
        <v>106</v>
      </c>
      <c r="K31" s="11" t="s">
        <v>855</v>
      </c>
      <c r="L31" s="11">
        <v>11.0</v>
      </c>
      <c r="M31" s="11">
        <v>84.0</v>
      </c>
      <c r="N31" s="11">
        <v>0.0</v>
      </c>
      <c r="O31" s="11">
        <v>75.0</v>
      </c>
      <c r="P31" s="11">
        <v>9.0</v>
      </c>
      <c r="Q31" s="11">
        <v>95.0</v>
      </c>
      <c r="R31" s="11">
        <v>83.0</v>
      </c>
      <c r="S31" s="11">
        <v>83.0</v>
      </c>
      <c r="T31" s="11">
        <v>75.0</v>
      </c>
      <c r="U31" s="11">
        <v>96.0</v>
      </c>
      <c r="V31" s="11">
        <v>84.0</v>
      </c>
      <c r="W31" s="11">
        <v>11.0</v>
      </c>
      <c r="X31" s="11">
        <v>-9.0</v>
      </c>
      <c r="Y31" s="11">
        <v>10.0</v>
      </c>
      <c r="Z31" s="29">
        <v>41.0</v>
      </c>
    </row>
    <row r="32" ht="14.25" customHeight="1">
      <c r="A32" s="11"/>
      <c r="B32" s="11">
        <v>2.0</v>
      </c>
      <c r="C32" s="11" t="s">
        <v>95</v>
      </c>
      <c r="D32" s="11">
        <v>4.0</v>
      </c>
      <c r="E32" s="11"/>
      <c r="F32" s="11">
        <v>0.0</v>
      </c>
      <c r="G32" s="11" t="s">
        <v>136</v>
      </c>
      <c r="H32" s="11" t="s">
        <v>67</v>
      </c>
      <c r="I32" s="11">
        <v>26.0</v>
      </c>
      <c r="J32" s="39">
        <v>0.0</v>
      </c>
      <c r="K32" s="11" t="s">
        <v>233</v>
      </c>
      <c r="L32" s="11">
        <v>3.0</v>
      </c>
      <c r="M32" s="11">
        <v>21.0</v>
      </c>
      <c r="N32" s="11">
        <v>-1.0</v>
      </c>
      <c r="O32" s="11">
        <v>15.0</v>
      </c>
      <c r="P32" s="11">
        <v>6.0</v>
      </c>
      <c r="Q32" s="11">
        <v>19.0</v>
      </c>
      <c r="R32" s="11">
        <v>27.0</v>
      </c>
      <c r="S32" s="11">
        <v>27.0</v>
      </c>
      <c r="T32" s="11">
        <v>25.0</v>
      </c>
      <c r="U32" s="11">
        <v>21.0</v>
      </c>
      <c r="V32" s="11">
        <v>22.0</v>
      </c>
      <c r="W32" s="11">
        <v>3.0</v>
      </c>
      <c r="X32" s="11">
        <v>1.0</v>
      </c>
      <c r="Y32" s="11">
        <v>6.0</v>
      </c>
      <c r="Z32" s="29">
        <v>2.0</v>
      </c>
    </row>
    <row r="33" ht="14.25" customHeight="1">
      <c r="A33" s="11"/>
      <c r="B33" s="11">
        <v>4.0</v>
      </c>
      <c r="C33" s="11" t="s">
        <v>95</v>
      </c>
      <c r="D33" s="11">
        <v>2.0</v>
      </c>
      <c r="E33" s="11"/>
      <c r="F33" s="11">
        <v>0.0</v>
      </c>
      <c r="G33" s="11" t="s">
        <v>220</v>
      </c>
      <c r="H33" s="11" t="s">
        <v>162</v>
      </c>
      <c r="I33" s="11">
        <v>32.0</v>
      </c>
      <c r="J33" s="37">
        <v>0.0</v>
      </c>
      <c r="K33" s="11" t="s">
        <v>843</v>
      </c>
      <c r="L33" s="11">
        <v>5.0</v>
      </c>
      <c r="M33" s="11">
        <v>39.0</v>
      </c>
      <c r="N33" s="11">
        <v>1.0</v>
      </c>
      <c r="O33" s="11">
        <v>36.0</v>
      </c>
      <c r="P33" s="11">
        <v>3.0</v>
      </c>
      <c r="Q33" s="11">
        <v>43.0</v>
      </c>
      <c r="R33" s="11">
        <v>44.0</v>
      </c>
      <c r="S33" s="11">
        <v>38.0</v>
      </c>
      <c r="T33" s="11">
        <v>38.0</v>
      </c>
      <c r="U33" s="11">
        <v>32.0</v>
      </c>
      <c r="V33" s="11">
        <v>38.0</v>
      </c>
      <c r="W33" s="11">
        <v>5.0</v>
      </c>
      <c r="X33" s="11">
        <v>-3.0</v>
      </c>
      <c r="Y33" s="11">
        <v>-6.0</v>
      </c>
      <c r="Z33" s="29">
        <v>15.0</v>
      </c>
    </row>
    <row r="34" ht="14.25" customHeight="1">
      <c r="A34" s="11"/>
      <c r="B34" s="11">
        <v>5.0</v>
      </c>
      <c r="C34" s="11" t="s">
        <v>95</v>
      </c>
      <c r="D34" s="11">
        <v>4.0</v>
      </c>
      <c r="E34" s="11"/>
      <c r="F34" s="11">
        <v>0.0</v>
      </c>
      <c r="G34" s="11" t="s">
        <v>319</v>
      </c>
      <c r="H34" s="11" t="s">
        <v>102</v>
      </c>
      <c r="I34" s="11">
        <v>76.0</v>
      </c>
      <c r="J34" s="39">
        <v>0.0</v>
      </c>
      <c r="K34" s="11" t="s">
        <v>856</v>
      </c>
      <c r="L34" s="11">
        <v>8.0</v>
      </c>
      <c r="M34" s="11">
        <v>57.0</v>
      </c>
      <c r="N34" s="11">
        <v>1.0</v>
      </c>
      <c r="O34" s="11">
        <v>47.0</v>
      </c>
      <c r="P34" s="11">
        <v>10.0</v>
      </c>
      <c r="Q34" s="11">
        <v>42.0</v>
      </c>
      <c r="R34" s="11">
        <v>69.0</v>
      </c>
      <c r="S34" s="11">
        <v>73.0</v>
      </c>
      <c r="T34" s="11">
        <v>66.0</v>
      </c>
      <c r="U34" s="11">
        <v>42.0</v>
      </c>
      <c r="V34" s="11">
        <v>56.0</v>
      </c>
      <c r="W34" s="11">
        <v>8.0</v>
      </c>
      <c r="X34" s="11">
        <v>-4.0</v>
      </c>
      <c r="Y34" s="11">
        <v>20.0</v>
      </c>
      <c r="Z34" s="29">
        <v>9.0</v>
      </c>
    </row>
    <row r="35" ht="14.25" customHeight="1">
      <c r="A35" s="11"/>
      <c r="B35" s="11">
        <v>13.0</v>
      </c>
      <c r="C35" s="11" t="s">
        <v>95</v>
      </c>
      <c r="D35" s="11">
        <v>2.0</v>
      </c>
      <c r="E35" s="11"/>
      <c r="F35" s="11">
        <v>0.0</v>
      </c>
      <c r="G35" s="11" t="s">
        <v>624</v>
      </c>
      <c r="H35" s="11" t="s">
        <v>58</v>
      </c>
      <c r="I35" s="11">
        <v>152.0</v>
      </c>
      <c r="J35" s="37" t="s">
        <v>106</v>
      </c>
      <c r="K35" s="11" t="s">
        <v>857</v>
      </c>
      <c r="L35" s="11">
        <v>15.0</v>
      </c>
      <c r="M35" s="11">
        <v>115.0</v>
      </c>
      <c r="N35" s="11">
        <v>-33.0</v>
      </c>
      <c r="O35" s="11">
        <v>162.0</v>
      </c>
      <c r="P35" s="11">
        <v>-47.0</v>
      </c>
      <c r="Q35" s="11">
        <v>169.0</v>
      </c>
      <c r="R35" s="11">
        <v>165.0</v>
      </c>
      <c r="S35" s="11">
        <v>154.0</v>
      </c>
      <c r="T35" s="11">
        <v>148.0</v>
      </c>
      <c r="U35" s="11">
        <v>127.0</v>
      </c>
      <c r="V35" s="11">
        <v>148.0</v>
      </c>
      <c r="W35" s="11">
        <v>19.0</v>
      </c>
      <c r="X35" s="11">
        <v>-17.0</v>
      </c>
      <c r="Y35" s="11">
        <v>-7.0</v>
      </c>
      <c r="Z35" s="29">
        <v>48.0</v>
      </c>
    </row>
    <row r="36" ht="14.25" customHeight="1">
      <c r="A36" s="11"/>
      <c r="B36" s="11">
        <v>5.0</v>
      </c>
      <c r="C36" s="11" t="s">
        <v>95</v>
      </c>
      <c r="D36" s="11"/>
      <c r="E36" s="11"/>
      <c r="F36" s="11">
        <v>0.0</v>
      </c>
      <c r="G36" s="11" t="s">
        <v>246</v>
      </c>
      <c r="H36" s="11" t="s">
        <v>35</v>
      </c>
      <c r="I36" s="11">
        <v>73.0</v>
      </c>
      <c r="J36" s="38">
        <v>0.0</v>
      </c>
      <c r="K36" s="11" t="s">
        <v>858</v>
      </c>
      <c r="L36" s="11">
        <v>7.0</v>
      </c>
      <c r="M36" s="11">
        <v>51.0</v>
      </c>
      <c r="N36" s="11">
        <v>-5.0</v>
      </c>
      <c r="O36" s="11">
        <v>58.0</v>
      </c>
      <c r="P36" s="11">
        <v>-7.0</v>
      </c>
      <c r="Q36" s="11">
        <v>49.0</v>
      </c>
      <c r="R36" s="11">
        <v>67.0</v>
      </c>
      <c r="S36" s="11">
        <v>53.0</v>
      </c>
      <c r="T36" s="11">
        <v>71.0</v>
      </c>
      <c r="U36" s="11">
        <v>43.0</v>
      </c>
      <c r="V36" s="11">
        <v>56.0</v>
      </c>
      <c r="W36" s="11">
        <v>8.0</v>
      </c>
      <c r="X36" s="11">
        <v>-8.0</v>
      </c>
      <c r="Y36" s="11">
        <v>12.0</v>
      </c>
      <c r="Z36" s="29">
        <v>4.0</v>
      </c>
    </row>
    <row r="37" ht="14.25" customHeight="1">
      <c r="A37" s="11"/>
      <c r="B37" s="11">
        <v>6.0</v>
      </c>
      <c r="C37" s="11" t="s">
        <v>95</v>
      </c>
      <c r="D37" s="11">
        <v>2.0</v>
      </c>
      <c r="E37" s="11" t="s">
        <v>151</v>
      </c>
      <c r="F37" s="11">
        <v>0.0</v>
      </c>
      <c r="G37" s="11" t="s">
        <v>175</v>
      </c>
      <c r="H37" s="11" t="s">
        <v>94</v>
      </c>
      <c r="I37" s="11">
        <v>57.0</v>
      </c>
      <c r="J37" s="37" t="s">
        <v>95</v>
      </c>
      <c r="K37" s="11" t="s">
        <v>849</v>
      </c>
      <c r="L37" s="11">
        <v>9.0</v>
      </c>
      <c r="M37" s="11">
        <v>70.0</v>
      </c>
      <c r="N37" s="11">
        <v>0.0</v>
      </c>
      <c r="O37" s="11">
        <v>79.0</v>
      </c>
      <c r="P37" s="11">
        <v>-9.0</v>
      </c>
      <c r="Q37" s="11">
        <v>64.0</v>
      </c>
      <c r="R37" s="11">
        <v>70.0</v>
      </c>
      <c r="S37" s="11">
        <v>66.0</v>
      </c>
      <c r="T37" s="11">
        <v>58.0</v>
      </c>
      <c r="U37" s="11">
        <v>84.0</v>
      </c>
      <c r="V37" s="11">
        <v>70.0</v>
      </c>
      <c r="W37" s="11">
        <v>9.0</v>
      </c>
      <c r="X37" s="11">
        <v>-7.0</v>
      </c>
      <c r="Y37" s="11">
        <v>-22.0</v>
      </c>
      <c r="Z37" s="29">
        <v>31.0</v>
      </c>
    </row>
    <row r="38" ht="14.25" customHeight="1">
      <c r="A38" s="11"/>
      <c r="B38" s="11">
        <v>2.0</v>
      </c>
      <c r="C38" s="11" t="s">
        <v>95</v>
      </c>
      <c r="D38" s="11"/>
      <c r="E38" s="27"/>
      <c r="F38" s="11">
        <v>0.0</v>
      </c>
      <c r="G38" s="11" t="s">
        <v>118</v>
      </c>
      <c r="H38" s="11" t="s">
        <v>119</v>
      </c>
      <c r="I38" s="11">
        <v>8.0</v>
      </c>
      <c r="J38" s="37">
        <v>0.0</v>
      </c>
      <c r="K38" s="11" t="s">
        <v>846</v>
      </c>
      <c r="L38" s="11">
        <v>2.0</v>
      </c>
      <c r="M38" s="11">
        <v>13.0</v>
      </c>
      <c r="N38" s="11">
        <v>0.0</v>
      </c>
      <c r="O38" s="11">
        <v>13.0</v>
      </c>
      <c r="P38" s="11">
        <v>0.0</v>
      </c>
      <c r="Q38" s="11">
        <v>13.0</v>
      </c>
      <c r="R38" s="11">
        <v>12.0</v>
      </c>
      <c r="S38" s="11">
        <v>12.0</v>
      </c>
      <c r="T38" s="11">
        <v>12.0</v>
      </c>
      <c r="U38" s="11">
        <v>16.0</v>
      </c>
      <c r="V38" s="11">
        <v>13.0</v>
      </c>
      <c r="W38" s="11">
        <v>2.0</v>
      </c>
      <c r="X38" s="11">
        <v>-2.0</v>
      </c>
      <c r="Y38" s="11">
        <v>-6.0</v>
      </c>
      <c r="Z38" s="29">
        <v>4.0</v>
      </c>
    </row>
    <row r="39" ht="14.25" customHeight="1">
      <c r="A39" s="11" t="s">
        <v>106</v>
      </c>
      <c r="B39" s="11">
        <v>4.0</v>
      </c>
      <c r="C39" s="11" t="s">
        <v>95</v>
      </c>
      <c r="D39" s="11">
        <v>4.0</v>
      </c>
      <c r="E39" s="11"/>
      <c r="F39" s="11">
        <v>0.0</v>
      </c>
      <c r="G39" s="11" t="s">
        <v>234</v>
      </c>
      <c r="H39" s="11" t="s">
        <v>85</v>
      </c>
      <c r="I39" s="11">
        <v>42.0</v>
      </c>
      <c r="J39" s="39">
        <v>0.0</v>
      </c>
      <c r="K39" s="11" t="s">
        <v>860</v>
      </c>
      <c r="L39" s="11">
        <v>5.0</v>
      </c>
      <c r="M39" s="11">
        <v>37.0</v>
      </c>
      <c r="N39" s="11">
        <v>0.0</v>
      </c>
      <c r="O39" s="11">
        <v>31.0</v>
      </c>
      <c r="P39" s="11">
        <v>6.0</v>
      </c>
      <c r="Q39" s="11">
        <v>28.0</v>
      </c>
      <c r="R39" s="11">
        <v>51.0</v>
      </c>
      <c r="S39" s="11">
        <v>40.0</v>
      </c>
      <c r="T39" s="11">
        <v>43.0</v>
      </c>
      <c r="U39" s="11">
        <v>34.0</v>
      </c>
      <c r="V39" s="11">
        <v>37.0</v>
      </c>
      <c r="W39" s="11">
        <v>5.0</v>
      </c>
      <c r="X39" s="11">
        <v>-1.0</v>
      </c>
      <c r="Y39" s="11">
        <v>-2.0</v>
      </c>
      <c r="Z39" s="29">
        <v>3.0</v>
      </c>
    </row>
    <row r="40" ht="14.25" customHeight="1">
      <c r="A40" s="11"/>
      <c r="B40" s="11">
        <v>10.0</v>
      </c>
      <c r="C40" s="11" t="s">
        <v>95</v>
      </c>
      <c r="D40" s="11">
        <v>3.0</v>
      </c>
      <c r="E40" s="11" t="s">
        <v>151</v>
      </c>
      <c r="F40" s="11">
        <v>0.0</v>
      </c>
      <c r="G40" s="11" t="s">
        <v>286</v>
      </c>
      <c r="H40" s="11" t="s">
        <v>62</v>
      </c>
      <c r="I40" s="11">
        <v>85.0</v>
      </c>
      <c r="J40" s="40" t="s">
        <v>95</v>
      </c>
      <c r="K40" s="11" t="s">
        <v>861</v>
      </c>
      <c r="L40" s="11">
        <v>15.0</v>
      </c>
      <c r="M40" s="11">
        <v>114.0</v>
      </c>
      <c r="N40" s="11">
        <v>4.0</v>
      </c>
      <c r="O40" s="11">
        <v>94.0</v>
      </c>
      <c r="P40" s="11">
        <v>20.0</v>
      </c>
      <c r="Q40" s="11">
        <v>92.0</v>
      </c>
      <c r="R40" s="11">
        <v>113.0</v>
      </c>
      <c r="S40" s="11">
        <v>99.0</v>
      </c>
      <c r="T40" s="11">
        <v>97.0</v>
      </c>
      <c r="U40" s="11">
        <v>164.0</v>
      </c>
      <c r="V40" s="11">
        <v>110.0</v>
      </c>
      <c r="W40" s="11">
        <v>14.0</v>
      </c>
      <c r="X40" s="11">
        <v>-11.0</v>
      </c>
      <c r="Y40" s="11">
        <v>4.0</v>
      </c>
      <c r="Z40" s="29">
        <v>47.0</v>
      </c>
    </row>
    <row r="41" ht="14.25" customHeight="1">
      <c r="A41" s="11"/>
      <c r="B41" s="11">
        <v>2.0</v>
      </c>
      <c r="C41" s="11" t="s">
        <v>95</v>
      </c>
      <c r="D41" s="11">
        <v>4.0</v>
      </c>
      <c r="E41" s="11"/>
      <c r="F41" s="11">
        <v>0.0</v>
      </c>
      <c r="G41" s="11" t="s">
        <v>153</v>
      </c>
      <c r="H41" s="11" t="s">
        <v>154</v>
      </c>
      <c r="I41" s="11">
        <v>23.0</v>
      </c>
      <c r="J41" s="36">
        <v>0.0</v>
      </c>
      <c r="K41" s="11" t="s">
        <v>847</v>
      </c>
      <c r="L41" s="11">
        <v>2.0</v>
      </c>
      <c r="M41" s="11">
        <v>15.0</v>
      </c>
      <c r="N41" s="11">
        <v>-3.0</v>
      </c>
      <c r="O41" s="11">
        <v>10.0</v>
      </c>
      <c r="P41" s="11">
        <v>5.0</v>
      </c>
      <c r="Q41" s="11">
        <v>17.0</v>
      </c>
      <c r="R41" s="11">
        <v>23.0</v>
      </c>
      <c r="S41" s="11">
        <v>22.0</v>
      </c>
      <c r="T41" s="11">
        <v>22.0</v>
      </c>
      <c r="U41" s="11">
        <v>19.0</v>
      </c>
      <c r="V41" s="11">
        <v>18.0</v>
      </c>
      <c r="W41" s="11">
        <v>3.0</v>
      </c>
      <c r="X41" s="11">
        <v>1.0</v>
      </c>
      <c r="Y41" s="11">
        <v>-3.0</v>
      </c>
      <c r="Z41" s="29">
        <v>7.0</v>
      </c>
    </row>
    <row r="42" ht="14.25" customHeight="1">
      <c r="A42" s="11"/>
      <c r="B42" s="11">
        <v>9.0</v>
      </c>
      <c r="C42" s="11" t="s">
        <v>95</v>
      </c>
      <c r="D42" s="11">
        <v>2.0</v>
      </c>
      <c r="E42" s="11"/>
      <c r="F42" s="11">
        <v>0.0</v>
      </c>
      <c r="G42" s="11" t="s">
        <v>458</v>
      </c>
      <c r="H42" s="11" t="s">
        <v>52</v>
      </c>
      <c r="I42" s="11">
        <v>97.0</v>
      </c>
      <c r="J42" s="40">
        <v>0.0</v>
      </c>
      <c r="K42" s="11" t="s">
        <v>862</v>
      </c>
      <c r="L42" s="11">
        <v>12.0</v>
      </c>
      <c r="M42" s="11">
        <v>88.0</v>
      </c>
      <c r="N42" s="11">
        <v>-7.0</v>
      </c>
      <c r="O42" s="11">
        <v>95.0</v>
      </c>
      <c r="P42" s="11">
        <v>-7.0</v>
      </c>
      <c r="Q42" s="11">
        <v>86.0</v>
      </c>
      <c r="R42" s="11">
        <v>97.0</v>
      </c>
      <c r="S42" s="11">
        <v>101.0</v>
      </c>
      <c r="T42" s="11">
        <v>91.0</v>
      </c>
      <c r="U42" s="11">
        <v>109.0</v>
      </c>
      <c r="V42" s="11">
        <v>95.0</v>
      </c>
      <c r="W42" s="11">
        <v>12.0</v>
      </c>
      <c r="X42" s="11">
        <v>-10.0</v>
      </c>
      <c r="Y42" s="11">
        <v>26.0</v>
      </c>
      <c r="Z42" s="29">
        <v>55.0</v>
      </c>
    </row>
    <row r="43" ht="14.25" customHeight="1">
      <c r="A43" s="11"/>
      <c r="B43" s="11">
        <v>5.0</v>
      </c>
      <c r="C43" s="11" t="s">
        <v>95</v>
      </c>
      <c r="D43" s="11">
        <v>2.0</v>
      </c>
      <c r="E43" s="11" t="s">
        <v>151</v>
      </c>
      <c r="F43" s="11">
        <v>0.0</v>
      </c>
      <c r="G43" s="11" t="s">
        <v>250</v>
      </c>
      <c r="H43" s="11" t="s">
        <v>237</v>
      </c>
      <c r="I43" s="11">
        <v>56.0</v>
      </c>
      <c r="J43" s="37">
        <v>0.0</v>
      </c>
      <c r="K43" s="11" t="s">
        <v>852</v>
      </c>
      <c r="L43" s="11">
        <v>6.0</v>
      </c>
      <c r="M43" s="11">
        <v>46.0</v>
      </c>
      <c r="N43" s="11">
        <v>-4.0</v>
      </c>
      <c r="O43" s="11">
        <v>48.0</v>
      </c>
      <c r="P43" s="11">
        <v>-2.0</v>
      </c>
      <c r="Q43" s="11">
        <v>45.0</v>
      </c>
      <c r="R43" s="11">
        <v>63.0</v>
      </c>
      <c r="S43" s="11">
        <v>52.0</v>
      </c>
      <c r="T43" s="11">
        <v>50.0</v>
      </c>
      <c r="U43" s="11">
        <v>52.0</v>
      </c>
      <c r="V43" s="11">
        <v>50.0</v>
      </c>
      <c r="W43" s="11">
        <v>7.0</v>
      </c>
      <c r="X43" s="11">
        <v>-5.0</v>
      </c>
      <c r="Y43" s="11">
        <v>-1.0</v>
      </c>
      <c r="Z43" s="29">
        <v>20.0</v>
      </c>
    </row>
    <row r="44" ht="14.25" customHeight="1">
      <c r="A44" s="11"/>
      <c r="B44" s="11">
        <v>3.0</v>
      </c>
      <c r="C44" s="11" t="s">
        <v>95</v>
      </c>
      <c r="D44" s="11"/>
      <c r="E44" s="11"/>
      <c r="F44" s="11">
        <v>0.0</v>
      </c>
      <c r="G44" s="11" t="s">
        <v>66</v>
      </c>
      <c r="H44" s="11" t="s">
        <v>67</v>
      </c>
      <c r="I44" s="11">
        <v>44.0</v>
      </c>
      <c r="J44" s="36">
        <v>0.0</v>
      </c>
      <c r="K44" s="11" t="s">
        <v>844</v>
      </c>
      <c r="L44" s="11">
        <v>4.0</v>
      </c>
      <c r="M44" s="11">
        <v>30.0</v>
      </c>
      <c r="N44" s="11">
        <v>-2.0</v>
      </c>
      <c r="O44" s="11">
        <v>26.0</v>
      </c>
      <c r="P44" s="11">
        <v>4.0</v>
      </c>
      <c r="Q44" s="11">
        <v>32.0</v>
      </c>
      <c r="R44" s="11">
        <v>40.0</v>
      </c>
      <c r="S44" s="11">
        <v>33.0</v>
      </c>
      <c r="T44" s="11">
        <v>36.0</v>
      </c>
      <c r="U44" s="11">
        <v>30.0</v>
      </c>
      <c r="V44" s="11">
        <v>32.0</v>
      </c>
      <c r="W44" s="11">
        <v>5.0</v>
      </c>
      <c r="X44" s="11">
        <v>-5.0</v>
      </c>
      <c r="Y44" s="11">
        <v>2.0</v>
      </c>
      <c r="Z44" s="29">
        <v>15.0</v>
      </c>
    </row>
    <row r="45" ht="14.25" customHeight="1">
      <c r="A45" s="11" t="s">
        <v>106</v>
      </c>
      <c r="B45" s="11">
        <v>5.0</v>
      </c>
      <c r="C45" s="11" t="s">
        <v>95</v>
      </c>
      <c r="D45" s="11">
        <v>3.0</v>
      </c>
      <c r="E45" s="11"/>
      <c r="F45" s="11">
        <v>0.0</v>
      </c>
      <c r="G45" s="11" t="s">
        <v>142</v>
      </c>
      <c r="H45" s="11" t="s">
        <v>85</v>
      </c>
      <c r="I45" s="11">
        <v>54.0</v>
      </c>
      <c r="J45" s="40">
        <v>0.0</v>
      </c>
      <c r="K45" s="11" t="s">
        <v>852</v>
      </c>
      <c r="L45" s="11">
        <v>7.0</v>
      </c>
      <c r="M45" s="11">
        <v>53.0</v>
      </c>
      <c r="N45" s="11">
        <v>-5.0</v>
      </c>
      <c r="O45" s="11">
        <v>60.0</v>
      </c>
      <c r="P45" s="11">
        <v>-7.0</v>
      </c>
      <c r="Q45" s="11">
        <v>61.0</v>
      </c>
      <c r="R45" s="11">
        <v>62.0</v>
      </c>
      <c r="S45" s="11">
        <v>60.0</v>
      </c>
      <c r="T45" s="11">
        <v>56.0</v>
      </c>
      <c r="U45" s="11">
        <v>60.0</v>
      </c>
      <c r="V45" s="11">
        <v>58.0</v>
      </c>
      <c r="W45" s="11">
        <v>8.0</v>
      </c>
      <c r="X45" s="11">
        <v>-5.0</v>
      </c>
      <c r="Y45" s="11">
        <v>-13.0</v>
      </c>
      <c r="Z45" s="29">
        <v>18.0</v>
      </c>
    </row>
    <row r="46" ht="14.25" customHeight="1">
      <c r="A46" s="11"/>
      <c r="B46" s="11">
        <v>13.0</v>
      </c>
      <c r="C46" s="11" t="s">
        <v>95</v>
      </c>
      <c r="D46" s="11">
        <v>4.0</v>
      </c>
      <c r="E46" s="11"/>
      <c r="F46" s="11">
        <v>0.0</v>
      </c>
      <c r="G46" s="11" t="s">
        <v>332</v>
      </c>
      <c r="H46" s="11" t="s">
        <v>162</v>
      </c>
      <c r="I46" s="11">
        <v>169.0</v>
      </c>
      <c r="J46" s="48">
        <v>0.0</v>
      </c>
      <c r="K46" s="11" t="s">
        <v>863</v>
      </c>
      <c r="L46" s="11">
        <v>17.0</v>
      </c>
      <c r="M46" s="11">
        <v>129.0</v>
      </c>
      <c r="N46" s="11">
        <v>-18.0</v>
      </c>
      <c r="O46" s="11">
        <v>133.0</v>
      </c>
      <c r="P46" s="11">
        <v>-4.0</v>
      </c>
      <c r="Q46" s="11">
        <v>150.0</v>
      </c>
      <c r="R46" s="11">
        <v>167.0</v>
      </c>
      <c r="S46" s="11">
        <v>149.0</v>
      </c>
      <c r="T46" s="11">
        <v>153.0</v>
      </c>
      <c r="U46" s="11">
        <v>149.0</v>
      </c>
      <c r="V46" s="11">
        <v>147.0</v>
      </c>
      <c r="W46" s="11">
        <v>19.0</v>
      </c>
      <c r="X46" s="11">
        <v>-15.0</v>
      </c>
      <c r="Y46" s="11">
        <v>-23.0</v>
      </c>
      <c r="Z46" s="29">
        <v>48.0</v>
      </c>
    </row>
    <row r="47" ht="14.25" customHeight="1">
      <c r="A47" s="11"/>
      <c r="B47" s="11">
        <v>5.0</v>
      </c>
      <c r="C47" s="11" t="s">
        <v>95</v>
      </c>
      <c r="D47" s="11">
        <v>4.0</v>
      </c>
      <c r="E47" s="11"/>
      <c r="F47" s="11">
        <v>0.0</v>
      </c>
      <c r="G47" s="11" t="s">
        <v>187</v>
      </c>
      <c r="H47" s="11" t="s">
        <v>171</v>
      </c>
      <c r="I47" s="11">
        <v>50.0</v>
      </c>
      <c r="J47" s="49">
        <v>0.0</v>
      </c>
      <c r="K47" s="11" t="s">
        <v>864</v>
      </c>
      <c r="L47" s="11">
        <v>7.0</v>
      </c>
      <c r="M47" s="11">
        <v>48.0</v>
      </c>
      <c r="N47" s="11">
        <v>-3.0</v>
      </c>
      <c r="O47" s="11">
        <v>52.0</v>
      </c>
      <c r="P47" s="11">
        <v>-4.0</v>
      </c>
      <c r="Q47" s="11">
        <v>54.0</v>
      </c>
      <c r="R47" s="11">
        <v>54.0</v>
      </c>
      <c r="S47" s="11">
        <v>55.0</v>
      </c>
      <c r="T47" s="11">
        <v>48.0</v>
      </c>
      <c r="U47" s="11">
        <v>46.0</v>
      </c>
      <c r="V47" s="11">
        <v>51.0</v>
      </c>
      <c r="W47" s="11">
        <v>7.0</v>
      </c>
      <c r="X47" s="11">
        <v>-3.0</v>
      </c>
      <c r="Y47" s="11">
        <v>9.0</v>
      </c>
      <c r="Z47" s="29">
        <v>28.0</v>
      </c>
    </row>
    <row r="48" ht="14.25" customHeight="1">
      <c r="A48" s="11"/>
      <c r="B48" s="11">
        <v>3.0</v>
      </c>
      <c r="C48" s="11" t="s">
        <v>95</v>
      </c>
      <c r="D48" s="11">
        <v>4.0</v>
      </c>
      <c r="E48" s="11"/>
      <c r="F48" s="11">
        <v>0.0</v>
      </c>
      <c r="G48" s="11" t="s">
        <v>183</v>
      </c>
      <c r="H48" s="11" t="s">
        <v>109</v>
      </c>
      <c r="I48" s="11">
        <v>30.0</v>
      </c>
      <c r="J48" s="39">
        <v>0.0</v>
      </c>
      <c r="K48" s="11" t="s">
        <v>233</v>
      </c>
      <c r="L48" s="11">
        <v>3.0</v>
      </c>
      <c r="M48" s="11">
        <v>23.0</v>
      </c>
      <c r="N48" s="11">
        <v>0.0</v>
      </c>
      <c r="O48" s="11">
        <v>17.0</v>
      </c>
      <c r="P48" s="11">
        <v>6.0</v>
      </c>
      <c r="Q48" s="11">
        <v>23.0</v>
      </c>
      <c r="R48" s="11">
        <v>31.0</v>
      </c>
      <c r="S48" s="11">
        <v>29.0</v>
      </c>
      <c r="T48" s="11">
        <v>24.0</v>
      </c>
      <c r="U48" s="11">
        <v>18.0</v>
      </c>
      <c r="V48" s="11">
        <v>23.0</v>
      </c>
      <c r="W48" s="11">
        <v>3.0</v>
      </c>
      <c r="X48" s="11">
        <v>1.0</v>
      </c>
      <c r="Y48" s="11">
        <v>3.0</v>
      </c>
      <c r="Z48" s="29">
        <v>1.0</v>
      </c>
    </row>
    <row r="49" ht="14.25" customHeight="1">
      <c r="A49" s="11"/>
      <c r="B49" s="11">
        <v>2.0</v>
      </c>
      <c r="C49" s="11" t="s">
        <v>95</v>
      </c>
      <c r="D49" s="11">
        <v>4.0</v>
      </c>
      <c r="E49" s="11"/>
      <c r="F49" s="11">
        <v>0.0</v>
      </c>
      <c r="G49" s="11" t="s">
        <v>124</v>
      </c>
      <c r="H49" s="11" t="s">
        <v>125</v>
      </c>
      <c r="I49" s="11">
        <v>24.0</v>
      </c>
      <c r="J49" s="38">
        <v>0.0</v>
      </c>
      <c r="K49" s="11" t="s">
        <v>166</v>
      </c>
      <c r="L49" s="11">
        <v>4.0</v>
      </c>
      <c r="M49" s="11">
        <v>26.0</v>
      </c>
      <c r="N49" s="11">
        <v>1.0</v>
      </c>
      <c r="O49" s="11">
        <v>35.0</v>
      </c>
      <c r="P49" s="11">
        <v>-9.0</v>
      </c>
      <c r="Q49" s="11">
        <v>25.0</v>
      </c>
      <c r="R49" s="11">
        <v>28.0</v>
      </c>
      <c r="S49" s="11">
        <v>13.0</v>
      </c>
      <c r="T49" s="11">
        <v>26.0</v>
      </c>
      <c r="U49" s="11">
        <v>27.0</v>
      </c>
      <c r="V49" s="11">
        <v>25.0</v>
      </c>
      <c r="W49" s="11">
        <v>4.0</v>
      </c>
      <c r="X49" s="11">
        <v>0.0</v>
      </c>
      <c r="Y49" s="11">
        <v>-1.0</v>
      </c>
      <c r="Z49" s="29">
        <v>2.0</v>
      </c>
    </row>
    <row r="50" ht="14.25" customHeight="1">
      <c r="A50" s="11"/>
      <c r="B50" s="11">
        <v>1.0</v>
      </c>
      <c r="C50" s="11" t="s">
        <v>95</v>
      </c>
      <c r="D50" s="11">
        <v>3.0</v>
      </c>
      <c r="E50" s="11" t="s">
        <v>151</v>
      </c>
      <c r="F50" s="11">
        <v>0.0</v>
      </c>
      <c r="G50" s="11" t="s">
        <v>127</v>
      </c>
      <c r="H50" s="11" t="s">
        <v>128</v>
      </c>
      <c r="I50" s="11">
        <v>10.0</v>
      </c>
      <c r="J50" s="37">
        <v>0.0</v>
      </c>
      <c r="K50" s="11" t="s">
        <v>846</v>
      </c>
      <c r="L50" s="11">
        <v>2.0</v>
      </c>
      <c r="M50" s="11">
        <v>12.0</v>
      </c>
      <c r="N50" s="11">
        <v>3.0</v>
      </c>
      <c r="O50" s="11">
        <v>11.0</v>
      </c>
      <c r="P50" s="11">
        <v>1.0</v>
      </c>
      <c r="Q50" s="11">
        <v>10.0</v>
      </c>
      <c r="R50" s="11">
        <v>9.0</v>
      </c>
      <c r="S50" s="11">
        <v>10.0</v>
      </c>
      <c r="T50" s="11">
        <v>8.0</v>
      </c>
      <c r="U50" s="11">
        <v>9.0</v>
      </c>
      <c r="V50" s="11">
        <v>9.0</v>
      </c>
      <c r="W50" s="11">
        <v>2.0</v>
      </c>
      <c r="X50" s="11">
        <v>1.0</v>
      </c>
      <c r="Y50" s="11">
        <v>1.0</v>
      </c>
      <c r="Z50" s="29">
        <v>5.0</v>
      </c>
    </row>
    <row r="51" ht="14.25" customHeight="1">
      <c r="A51" s="11"/>
      <c r="B51" s="11">
        <v>7.0</v>
      </c>
      <c r="C51" s="11" t="s">
        <v>95</v>
      </c>
      <c r="D51" s="11">
        <v>4.0</v>
      </c>
      <c r="E51" s="11"/>
      <c r="F51" s="11">
        <v>0.0</v>
      </c>
      <c r="G51" s="11" t="s">
        <v>357</v>
      </c>
      <c r="H51" s="11" t="s">
        <v>109</v>
      </c>
      <c r="I51" s="11">
        <v>93.0</v>
      </c>
      <c r="J51" s="38" t="s">
        <v>95</v>
      </c>
      <c r="K51" s="11" t="s">
        <v>854</v>
      </c>
      <c r="L51" s="11">
        <v>10.0</v>
      </c>
      <c r="M51" s="11">
        <v>77.0</v>
      </c>
      <c r="N51" s="11">
        <v>0.0</v>
      </c>
      <c r="O51" s="11">
        <v>73.0</v>
      </c>
      <c r="P51" s="11">
        <v>4.0</v>
      </c>
      <c r="Q51" s="11">
        <v>73.0</v>
      </c>
      <c r="R51" s="11">
        <v>95.0</v>
      </c>
      <c r="S51" s="11">
        <v>79.0</v>
      </c>
      <c r="T51" s="11">
        <v>93.0</v>
      </c>
      <c r="U51" s="11">
        <v>53.0</v>
      </c>
      <c r="V51" s="11">
        <v>77.0</v>
      </c>
      <c r="W51" s="11">
        <v>10.0</v>
      </c>
      <c r="X51" s="11">
        <v>-6.0</v>
      </c>
      <c r="Y51" s="11">
        <v>2.0</v>
      </c>
      <c r="Z51" s="29">
        <v>7.0</v>
      </c>
    </row>
    <row r="52" ht="14.25" customHeight="1">
      <c r="A52" s="11"/>
      <c r="B52" s="11">
        <v>12.0</v>
      </c>
      <c r="C52" s="11" t="s">
        <v>95</v>
      </c>
      <c r="D52" s="11">
        <v>4.0</v>
      </c>
      <c r="E52" s="11"/>
      <c r="F52" s="11">
        <v>0.0</v>
      </c>
      <c r="G52" s="11" t="s">
        <v>789</v>
      </c>
      <c r="H52" s="11" t="s">
        <v>119</v>
      </c>
      <c r="I52" s="11">
        <v>162.0</v>
      </c>
      <c r="J52" s="48">
        <v>0.0</v>
      </c>
      <c r="K52" s="11" t="s">
        <v>851</v>
      </c>
      <c r="L52" s="11">
        <v>8.0</v>
      </c>
      <c r="M52" s="11">
        <v>63.0</v>
      </c>
      <c r="N52" s="11">
        <v>-53.0</v>
      </c>
      <c r="O52" s="11">
        <v>81.0</v>
      </c>
      <c r="P52" s="11">
        <v>-18.0</v>
      </c>
      <c r="Q52" s="11">
        <v>121.0</v>
      </c>
      <c r="R52" s="11">
        <v>262.0</v>
      </c>
      <c r="S52" s="11">
        <v>115.0</v>
      </c>
      <c r="T52" s="11">
        <v>110.0</v>
      </c>
      <c r="U52" s="11">
        <v>65.0</v>
      </c>
      <c r="V52" s="11">
        <v>116.0</v>
      </c>
      <c r="W52" s="11">
        <v>15.0</v>
      </c>
      <c r="X52" s="11">
        <v>-11.0</v>
      </c>
      <c r="Y52" s="11">
        <v>45.0</v>
      </c>
      <c r="Z52" s="29">
        <v>22.0</v>
      </c>
    </row>
    <row r="53" ht="14.25" customHeight="1">
      <c r="A53" s="11" t="s">
        <v>106</v>
      </c>
      <c r="B53" s="11">
        <v>8.0</v>
      </c>
      <c r="C53" s="11" t="s">
        <v>95</v>
      </c>
      <c r="D53" s="11">
        <v>4.0</v>
      </c>
      <c r="E53" s="11"/>
      <c r="F53" s="11">
        <v>0.0</v>
      </c>
      <c r="G53" s="11" t="s">
        <v>299</v>
      </c>
      <c r="H53" s="11" t="s">
        <v>116</v>
      </c>
      <c r="I53" s="11">
        <v>67.0</v>
      </c>
      <c r="J53" s="49">
        <v>0.0</v>
      </c>
      <c r="K53" s="11" t="s">
        <v>865</v>
      </c>
      <c r="L53" s="11">
        <v>12.0</v>
      </c>
      <c r="M53" s="11">
        <v>89.0</v>
      </c>
      <c r="N53" s="11">
        <v>2.0</v>
      </c>
      <c r="O53" s="11">
        <v>91.0</v>
      </c>
      <c r="P53" s="11">
        <v>-2.0</v>
      </c>
      <c r="Q53" s="11">
        <v>88.0</v>
      </c>
      <c r="R53" s="11">
        <v>89.0</v>
      </c>
      <c r="S53" s="11">
        <v>85.0</v>
      </c>
      <c r="T53" s="11">
        <v>77.0</v>
      </c>
      <c r="U53" s="11">
        <v>95.0</v>
      </c>
      <c r="V53" s="11">
        <v>87.0</v>
      </c>
      <c r="W53" s="11">
        <v>11.0</v>
      </c>
      <c r="X53" s="11">
        <v>-7.0</v>
      </c>
      <c r="Y53" s="11">
        <v>-10.0</v>
      </c>
      <c r="Z53" s="29">
        <v>38.0</v>
      </c>
    </row>
    <row r="54" ht="14.25" customHeight="1">
      <c r="A54" s="11"/>
      <c r="B54" s="11">
        <v>4.0</v>
      </c>
      <c r="C54" s="11" t="s">
        <v>95</v>
      </c>
      <c r="D54" s="11">
        <v>4.0</v>
      </c>
      <c r="E54" s="11" t="s">
        <v>151</v>
      </c>
      <c r="F54" s="11">
        <v>0.0</v>
      </c>
      <c r="G54" s="11" t="s">
        <v>101</v>
      </c>
      <c r="H54" s="11" t="s">
        <v>52</v>
      </c>
      <c r="I54" s="11">
        <v>39.0</v>
      </c>
      <c r="J54" s="52">
        <v>0.0</v>
      </c>
      <c r="K54" s="11" t="s">
        <v>844</v>
      </c>
      <c r="L54" s="11">
        <v>6.0</v>
      </c>
      <c r="M54" s="11">
        <v>43.0</v>
      </c>
      <c r="N54" s="11">
        <v>2.0</v>
      </c>
      <c r="O54" s="11">
        <v>33.0</v>
      </c>
      <c r="P54" s="11">
        <v>10.0</v>
      </c>
      <c r="Q54" s="11">
        <v>47.0</v>
      </c>
      <c r="R54" s="11">
        <v>55.0</v>
      </c>
      <c r="S54" s="11">
        <v>34.0</v>
      </c>
      <c r="T54" s="11">
        <v>41.0</v>
      </c>
      <c r="U54" s="11">
        <v>40.0</v>
      </c>
      <c r="V54" s="11">
        <v>41.0</v>
      </c>
      <c r="W54" s="11">
        <v>6.0</v>
      </c>
      <c r="X54" s="11">
        <v>-2.0</v>
      </c>
      <c r="Y54" s="11">
        <v>-3.0</v>
      </c>
      <c r="Z54" s="29">
        <v>13.0</v>
      </c>
    </row>
    <row r="55" ht="14.25" customHeight="1">
      <c r="A55" s="11"/>
      <c r="B55" s="11">
        <v>4.0</v>
      </c>
      <c r="C55" s="11" t="s">
        <v>95</v>
      </c>
      <c r="D55" s="11">
        <v>4.0</v>
      </c>
      <c r="E55" s="11" t="s">
        <v>151</v>
      </c>
      <c r="F55" s="11">
        <v>0.0</v>
      </c>
      <c r="G55" s="11" t="s">
        <v>416</v>
      </c>
      <c r="H55" s="11" t="s">
        <v>131</v>
      </c>
      <c r="I55" s="11">
        <v>52.0</v>
      </c>
      <c r="J55" s="52">
        <v>0.0</v>
      </c>
      <c r="K55" s="11" t="s">
        <v>844</v>
      </c>
      <c r="L55" s="11">
        <v>6.0</v>
      </c>
      <c r="M55" s="11">
        <v>40.0</v>
      </c>
      <c r="N55" s="11">
        <v>-1.0</v>
      </c>
      <c r="O55" s="11">
        <v>28.0</v>
      </c>
      <c r="P55" s="11">
        <v>12.0</v>
      </c>
      <c r="Q55" s="11">
        <v>38.0</v>
      </c>
      <c r="R55" s="11">
        <v>53.0</v>
      </c>
      <c r="S55" s="11">
        <v>37.0</v>
      </c>
      <c r="T55" s="11">
        <v>49.0</v>
      </c>
      <c r="U55" s="11">
        <v>44.0</v>
      </c>
      <c r="V55" s="11">
        <v>41.0</v>
      </c>
      <c r="W55" s="11">
        <v>6.0</v>
      </c>
      <c r="X55" s="11">
        <v>-2.0</v>
      </c>
      <c r="Y55" s="11">
        <v>0.0</v>
      </c>
      <c r="Z55" s="29">
        <v>18.0</v>
      </c>
    </row>
    <row r="56" ht="14.25" customHeight="1">
      <c r="A56" s="11" t="s">
        <v>106</v>
      </c>
      <c r="B56" s="11">
        <v>11.0</v>
      </c>
      <c r="C56" s="11" t="s">
        <v>95</v>
      </c>
      <c r="D56" s="11">
        <v>5.0</v>
      </c>
      <c r="E56" s="11"/>
      <c r="F56" s="11">
        <v>0.0</v>
      </c>
      <c r="G56" s="11" t="s">
        <v>334</v>
      </c>
      <c r="H56" s="11" t="s">
        <v>67</v>
      </c>
      <c r="I56" s="11">
        <v>131.0</v>
      </c>
      <c r="J56" s="53">
        <v>0.0</v>
      </c>
      <c r="K56" s="11" t="s">
        <v>866</v>
      </c>
      <c r="L56" s="11">
        <v>15.0</v>
      </c>
      <c r="M56" s="11">
        <v>119.0</v>
      </c>
      <c r="N56" s="11">
        <v>-9.0</v>
      </c>
      <c r="O56" s="11">
        <v>142.0</v>
      </c>
      <c r="P56" s="11">
        <v>-23.0</v>
      </c>
      <c r="Q56" s="11">
        <v>126.0</v>
      </c>
      <c r="R56" s="11">
        <v>142.0</v>
      </c>
      <c r="S56" s="11">
        <v>107.0</v>
      </c>
      <c r="T56" s="11">
        <v>133.0</v>
      </c>
      <c r="U56" s="11">
        <v>128.0</v>
      </c>
      <c r="V56" s="11">
        <v>128.0</v>
      </c>
      <c r="W56" s="11">
        <v>17.0</v>
      </c>
      <c r="X56" s="11">
        <v>-12.0</v>
      </c>
      <c r="Y56" s="11">
        <v>-8.0</v>
      </c>
      <c r="Z56" s="29" t="s">
        <v>866</v>
      </c>
    </row>
    <row r="57" ht="14.25" customHeight="1">
      <c r="A57" s="11" t="s">
        <v>106</v>
      </c>
      <c r="B57" s="11">
        <v>21.0</v>
      </c>
      <c r="C57" s="11" t="s">
        <v>95</v>
      </c>
      <c r="D57" s="11">
        <v>3.0</v>
      </c>
      <c r="E57" s="11"/>
      <c r="F57" s="11">
        <v>0.0</v>
      </c>
      <c r="G57" s="11" t="s">
        <v>796</v>
      </c>
      <c r="H57" s="11" t="s">
        <v>98</v>
      </c>
      <c r="I57" s="11">
        <v>197.0</v>
      </c>
      <c r="J57" s="40">
        <v>0.0</v>
      </c>
      <c r="K57" s="11" t="s">
        <v>866</v>
      </c>
      <c r="L57" s="11">
        <v>32.0</v>
      </c>
      <c r="M57" s="11">
        <v>250.0</v>
      </c>
      <c r="N57" s="11">
        <v>17.0</v>
      </c>
      <c r="O57" s="11">
        <v>143.0</v>
      </c>
      <c r="P57" s="11">
        <v>107.0</v>
      </c>
      <c r="Q57" s="11">
        <v>189.0</v>
      </c>
      <c r="R57" s="11">
        <v>308.0</v>
      </c>
      <c r="S57" s="11">
        <v>227.0</v>
      </c>
      <c r="T57" s="11">
        <v>229.0</v>
      </c>
      <c r="U57" s="11">
        <v>290.0</v>
      </c>
      <c r="V57" s="11">
        <v>233.0</v>
      </c>
      <c r="W57" s="11">
        <v>30.0</v>
      </c>
      <c r="X57" s="11">
        <v>-27.0</v>
      </c>
      <c r="Y57" s="11">
        <v>17.0</v>
      </c>
      <c r="Z57" s="29" t="s">
        <v>866</v>
      </c>
    </row>
    <row r="58" ht="14.25" customHeight="1">
      <c r="A58" s="11"/>
      <c r="B58" s="11">
        <v>12.0</v>
      </c>
      <c r="C58" s="11" t="s">
        <v>95</v>
      </c>
      <c r="D58" s="11">
        <v>6.0</v>
      </c>
      <c r="E58" s="11"/>
      <c r="F58" s="11">
        <v>0.0</v>
      </c>
      <c r="G58" s="11" t="s">
        <v>424</v>
      </c>
      <c r="H58" s="11" t="s">
        <v>119</v>
      </c>
      <c r="I58" s="11">
        <v>129.0</v>
      </c>
      <c r="J58" s="54">
        <v>0.0</v>
      </c>
      <c r="K58" s="11" t="s">
        <v>867</v>
      </c>
      <c r="L58" s="11">
        <v>16.0</v>
      </c>
      <c r="M58" s="11">
        <v>125.0</v>
      </c>
      <c r="N58" s="11">
        <v>-8.0</v>
      </c>
      <c r="O58" s="11">
        <v>135.0</v>
      </c>
      <c r="P58" s="11">
        <v>-10.0</v>
      </c>
      <c r="Q58" s="11">
        <v>127.0</v>
      </c>
      <c r="R58" s="11">
        <v>141.0</v>
      </c>
      <c r="S58" s="11">
        <v>142.0</v>
      </c>
      <c r="T58" s="11">
        <v>131.0</v>
      </c>
      <c r="U58" s="11">
        <v>132.0</v>
      </c>
      <c r="V58" s="11">
        <v>133.0</v>
      </c>
      <c r="W58" s="11">
        <v>17.0</v>
      </c>
      <c r="X58" s="11">
        <v>-11.0</v>
      </c>
      <c r="Y58" s="11">
        <v>-4.0</v>
      </c>
      <c r="Z58" s="29">
        <v>18.0</v>
      </c>
    </row>
    <row r="59" ht="14.25" customHeight="1">
      <c r="A59" s="11"/>
      <c r="B59" s="11">
        <v>21.0</v>
      </c>
      <c r="C59" s="11" t="s">
        <v>95</v>
      </c>
      <c r="D59" s="11"/>
      <c r="E59" s="27"/>
      <c r="F59" s="11">
        <v>0.0</v>
      </c>
      <c r="G59" s="11" t="s">
        <v>798</v>
      </c>
      <c r="H59" s="11" t="s">
        <v>62</v>
      </c>
      <c r="I59" s="11">
        <v>227.0</v>
      </c>
      <c r="J59" s="54">
        <v>0.0</v>
      </c>
      <c r="K59" s="11" t="s">
        <v>868</v>
      </c>
      <c r="L59" s="11">
        <v>29.0</v>
      </c>
      <c r="M59" s="11">
        <v>224.0</v>
      </c>
      <c r="N59" s="11">
        <v>-18.0</v>
      </c>
      <c r="O59" s="11" t="s">
        <v>36</v>
      </c>
      <c r="P59" s="11" t="e">
        <v>#VALUE!</v>
      </c>
      <c r="Q59" s="11">
        <v>241.0</v>
      </c>
      <c r="R59" s="11">
        <v>284.0</v>
      </c>
      <c r="S59" s="11">
        <v>248.0</v>
      </c>
      <c r="T59" s="11">
        <v>230.0</v>
      </c>
      <c r="U59" s="11">
        <v>228.0</v>
      </c>
      <c r="V59" s="11">
        <v>242.0</v>
      </c>
      <c r="W59" s="11">
        <v>31.0</v>
      </c>
      <c r="X59" s="11">
        <v>-31.0</v>
      </c>
      <c r="Y59" s="11" t="e">
        <v>#VALUE!</v>
      </c>
      <c r="Z59" s="29" t="s">
        <v>866</v>
      </c>
    </row>
    <row r="60" ht="14.25" customHeight="1">
      <c r="A60" s="11"/>
      <c r="B60" s="11" t="e">
        <v>#N/A</v>
      </c>
      <c r="C60" s="11" t="s">
        <v>95</v>
      </c>
      <c r="D60" s="11"/>
      <c r="E60" s="11"/>
      <c r="F60" s="11" t="e">
        <v>#N/A</v>
      </c>
      <c r="G60" s="11" t="s">
        <v>472</v>
      </c>
      <c r="H60" s="11" t="e">
        <v>#N/A</v>
      </c>
      <c r="I60" s="11" t="e">
        <v>#N/A</v>
      </c>
      <c r="J60" s="49" t="e">
        <v>#N/A</v>
      </c>
      <c r="K60" s="11" t="e">
        <v>#N/A</v>
      </c>
      <c r="L60" s="11">
        <v>16.0</v>
      </c>
      <c r="M60" s="11" t="e">
        <v>#N/A</v>
      </c>
      <c r="N60" s="11" t="e">
        <v>#N/A</v>
      </c>
      <c r="O60" s="11" t="e">
        <v>#N/A</v>
      </c>
      <c r="P60" s="11" t="e">
        <v>#N/A</v>
      </c>
      <c r="Q60" s="11" t="e">
        <v>#N/A</v>
      </c>
      <c r="R60" s="11" t="e">
        <v>#N/A</v>
      </c>
      <c r="S60" s="11" t="e">
        <v>#N/A</v>
      </c>
      <c r="T60" s="11" t="e">
        <v>#N/A</v>
      </c>
      <c r="U60" s="11" t="e">
        <v>#N/A</v>
      </c>
      <c r="V60" s="11" t="e">
        <v>#N/A</v>
      </c>
      <c r="W60" s="11">
        <v>16.0</v>
      </c>
      <c r="X60" s="11">
        <v>-16.0</v>
      </c>
      <c r="Y60" s="11" t="e">
        <v>#N/A</v>
      </c>
      <c r="Z60" s="29" t="e">
        <v>#N/A</v>
      </c>
    </row>
    <row r="61" ht="14.25" customHeight="1">
      <c r="A61" s="11"/>
      <c r="B61" s="11">
        <v>4.0</v>
      </c>
      <c r="C61" s="11" t="s">
        <v>95</v>
      </c>
      <c r="D61" s="11">
        <v>5.0</v>
      </c>
      <c r="E61" s="11"/>
      <c r="F61" s="11">
        <v>0.0</v>
      </c>
      <c r="G61" s="11" t="s">
        <v>284</v>
      </c>
      <c r="H61" s="11" t="s">
        <v>58</v>
      </c>
      <c r="I61" s="11">
        <v>34.0</v>
      </c>
      <c r="J61" s="53">
        <v>0.0</v>
      </c>
      <c r="K61" s="11" t="s">
        <v>166</v>
      </c>
      <c r="L61" s="11">
        <v>5.0</v>
      </c>
      <c r="M61" s="11">
        <v>38.0</v>
      </c>
      <c r="N61" s="11">
        <v>1.0</v>
      </c>
      <c r="O61" s="11">
        <v>38.0</v>
      </c>
      <c r="P61" s="11">
        <v>0.0</v>
      </c>
      <c r="Q61" s="11">
        <v>35.0</v>
      </c>
      <c r="R61" s="11">
        <v>49.0</v>
      </c>
      <c r="S61" s="11">
        <v>24.0</v>
      </c>
      <c r="T61" s="11">
        <v>40.0</v>
      </c>
      <c r="U61" s="11">
        <v>38.0</v>
      </c>
      <c r="V61" s="11">
        <v>37.0</v>
      </c>
      <c r="W61" s="11">
        <v>5.0</v>
      </c>
      <c r="X61" s="11">
        <v>0.0</v>
      </c>
      <c r="Y61" s="11">
        <v>-12.0</v>
      </c>
      <c r="Z61" s="29">
        <v>3.0</v>
      </c>
    </row>
    <row r="62" ht="14.25" customHeight="1">
      <c r="A62" s="11"/>
      <c r="B62" s="11">
        <v>6.0</v>
      </c>
      <c r="C62" s="11" t="s">
        <v>95</v>
      </c>
      <c r="D62" s="11">
        <v>4.0</v>
      </c>
      <c r="E62" s="11"/>
      <c r="F62" s="11">
        <v>0.0</v>
      </c>
      <c r="G62" s="11" t="s">
        <v>150</v>
      </c>
      <c r="H62" s="11" t="s">
        <v>109</v>
      </c>
      <c r="I62" s="11">
        <v>59.0</v>
      </c>
      <c r="J62" s="49">
        <v>0.0</v>
      </c>
      <c r="K62" s="11" t="s">
        <v>864</v>
      </c>
      <c r="L62" s="11">
        <v>7.0</v>
      </c>
      <c r="M62" s="11">
        <v>55.0</v>
      </c>
      <c r="N62" s="11">
        <v>-7.0</v>
      </c>
      <c r="O62" s="11">
        <v>63.0</v>
      </c>
      <c r="P62" s="11">
        <v>-8.0</v>
      </c>
      <c r="Q62" s="11">
        <v>55.0</v>
      </c>
      <c r="R62" s="11">
        <v>66.0</v>
      </c>
      <c r="S62" s="11">
        <v>65.0</v>
      </c>
      <c r="T62" s="11">
        <v>57.0</v>
      </c>
      <c r="U62" s="11">
        <v>73.0</v>
      </c>
      <c r="V62" s="11">
        <v>62.0</v>
      </c>
      <c r="W62" s="11">
        <v>8.0</v>
      </c>
      <c r="X62" s="11">
        <v>-4.0</v>
      </c>
      <c r="Y62" s="11">
        <v>-10.0</v>
      </c>
      <c r="Z62" s="29">
        <v>27.0</v>
      </c>
    </row>
    <row r="63" ht="14.25" customHeight="1">
      <c r="A63" s="11"/>
      <c r="B63" s="11">
        <v>3.0</v>
      </c>
      <c r="C63" s="11" t="s">
        <v>95</v>
      </c>
      <c r="D63" s="11">
        <v>4.0</v>
      </c>
      <c r="E63" s="11"/>
      <c r="F63" s="11">
        <v>0.0</v>
      </c>
      <c r="G63" s="11" t="s">
        <v>158</v>
      </c>
      <c r="H63" s="11" t="s">
        <v>45</v>
      </c>
      <c r="I63" s="11">
        <v>25.0</v>
      </c>
      <c r="J63" s="30">
        <v>0.0</v>
      </c>
      <c r="K63" s="11" t="s">
        <v>845</v>
      </c>
      <c r="L63" s="11">
        <v>4.0</v>
      </c>
      <c r="M63" s="11">
        <v>31.0</v>
      </c>
      <c r="N63" s="11">
        <v>1.0</v>
      </c>
      <c r="O63" s="11">
        <v>32.0</v>
      </c>
      <c r="P63" s="11">
        <v>-1.0</v>
      </c>
      <c r="Q63" s="11">
        <v>26.0</v>
      </c>
      <c r="R63" s="11">
        <v>33.0</v>
      </c>
      <c r="S63" s="11">
        <v>30.0</v>
      </c>
      <c r="T63" s="11">
        <v>29.0</v>
      </c>
      <c r="U63" s="11">
        <v>33.0</v>
      </c>
      <c r="V63" s="11">
        <v>30.0</v>
      </c>
      <c r="W63" s="11">
        <v>4.0</v>
      </c>
      <c r="X63" s="11">
        <v>0.0</v>
      </c>
      <c r="Y63" s="11">
        <v>-1.0</v>
      </c>
      <c r="Z63" s="29">
        <v>12.0</v>
      </c>
    </row>
    <row r="64" ht="14.25" customHeight="1">
      <c r="A64" s="11"/>
      <c r="B64" s="11">
        <v>6.0</v>
      </c>
      <c r="C64" s="11" t="s">
        <v>95</v>
      </c>
      <c r="D64" s="11">
        <v>4.0</v>
      </c>
      <c r="E64" s="11"/>
      <c r="F64" s="11">
        <v>0.0</v>
      </c>
      <c r="G64" s="11" t="s">
        <v>121</v>
      </c>
      <c r="H64" s="11" t="s">
        <v>71</v>
      </c>
      <c r="I64" s="11">
        <v>45.0</v>
      </c>
      <c r="J64" s="49" t="s">
        <v>106</v>
      </c>
      <c r="K64" s="11" t="s">
        <v>852</v>
      </c>
      <c r="L64" s="11">
        <v>8.0</v>
      </c>
      <c r="M64" s="11">
        <v>62.0</v>
      </c>
      <c r="N64" s="11">
        <v>-1.0</v>
      </c>
      <c r="O64" s="11">
        <v>62.0</v>
      </c>
      <c r="P64" s="11">
        <v>0.0</v>
      </c>
      <c r="Q64" s="11">
        <v>67.0</v>
      </c>
      <c r="R64" s="11">
        <v>73.0</v>
      </c>
      <c r="S64" s="11">
        <v>54.0</v>
      </c>
      <c r="T64" s="11">
        <v>52.0</v>
      </c>
      <c r="U64" s="11">
        <v>75.0</v>
      </c>
      <c r="V64" s="11">
        <v>63.0</v>
      </c>
      <c r="W64" s="11">
        <v>8.0</v>
      </c>
      <c r="X64" s="11">
        <v>-4.0</v>
      </c>
      <c r="Y64" s="11">
        <v>-16.0</v>
      </c>
      <c r="Z64" s="29">
        <v>21.0</v>
      </c>
    </row>
    <row r="65" ht="14.25" customHeight="1">
      <c r="A65" s="11"/>
      <c r="B65" s="11">
        <v>6.0</v>
      </c>
      <c r="C65" s="11" t="s">
        <v>95</v>
      </c>
      <c r="D65" s="11">
        <v>4.0</v>
      </c>
      <c r="E65" s="11"/>
      <c r="F65" s="11">
        <v>0.0</v>
      </c>
      <c r="G65" s="11" t="s">
        <v>134</v>
      </c>
      <c r="H65" s="11" t="s">
        <v>102</v>
      </c>
      <c r="I65" s="11">
        <v>70.0</v>
      </c>
      <c r="J65" s="49" t="s">
        <v>106</v>
      </c>
      <c r="K65" s="11" t="s">
        <v>864</v>
      </c>
      <c r="L65" s="11">
        <v>7.0</v>
      </c>
      <c r="M65" s="11">
        <v>49.0</v>
      </c>
      <c r="N65" s="11">
        <v>-19.0</v>
      </c>
      <c r="O65" s="11">
        <v>84.0</v>
      </c>
      <c r="P65" s="11">
        <v>-35.0</v>
      </c>
      <c r="Q65" s="11">
        <v>71.0</v>
      </c>
      <c r="R65" s="11">
        <v>98.0</v>
      </c>
      <c r="S65" s="11">
        <v>72.0</v>
      </c>
      <c r="T65" s="11">
        <v>60.0</v>
      </c>
      <c r="U65" s="11">
        <v>47.0</v>
      </c>
      <c r="V65" s="11">
        <v>68.0</v>
      </c>
      <c r="W65" s="11">
        <v>9.0</v>
      </c>
      <c r="X65" s="11">
        <v>-5.0</v>
      </c>
      <c r="Y65" s="11">
        <v>6.0</v>
      </c>
      <c r="Z65" s="29">
        <v>29.0</v>
      </c>
    </row>
    <row r="66" ht="14.25" customHeight="1">
      <c r="A66" s="11"/>
      <c r="B66" s="11">
        <v>12.0</v>
      </c>
      <c r="C66" s="11" t="s">
        <v>95</v>
      </c>
      <c r="D66" s="11">
        <v>6.0</v>
      </c>
      <c r="E66" s="11"/>
      <c r="F66" s="11">
        <v>0.0</v>
      </c>
      <c r="G66" s="11" t="s">
        <v>248</v>
      </c>
      <c r="H66" s="11" t="s">
        <v>40</v>
      </c>
      <c r="I66" s="11">
        <v>137.0</v>
      </c>
      <c r="J66" s="55" t="s">
        <v>106</v>
      </c>
      <c r="K66" s="11" t="s">
        <v>870</v>
      </c>
      <c r="L66" s="11">
        <v>16.0</v>
      </c>
      <c r="M66" s="11">
        <v>121.0</v>
      </c>
      <c r="N66" s="11">
        <v>-15.0</v>
      </c>
      <c r="O66" s="11">
        <v>148.0</v>
      </c>
      <c r="P66" s="11">
        <v>-27.0</v>
      </c>
      <c r="Q66" s="11">
        <v>141.0</v>
      </c>
      <c r="R66" s="11">
        <v>166.0</v>
      </c>
      <c r="S66" s="11">
        <v>114.0</v>
      </c>
      <c r="T66" s="11">
        <v>136.0</v>
      </c>
      <c r="U66" s="11">
        <v>129.0</v>
      </c>
      <c r="V66" s="11">
        <v>136.0</v>
      </c>
      <c r="W66" s="11">
        <v>18.0</v>
      </c>
      <c r="X66" s="11">
        <v>-12.0</v>
      </c>
      <c r="Y66" s="11">
        <v>23.0</v>
      </c>
      <c r="Z66" s="29">
        <v>15.0</v>
      </c>
    </row>
    <row r="67" ht="14.25" customHeight="1">
      <c r="A67" s="11"/>
      <c r="B67" s="11">
        <v>6.0</v>
      </c>
      <c r="C67" s="11" t="s">
        <v>95</v>
      </c>
      <c r="D67" s="11">
        <v>4.0</v>
      </c>
      <c r="E67" s="11"/>
      <c r="F67" s="11">
        <v>0.0</v>
      </c>
      <c r="G67" s="11" t="s">
        <v>185</v>
      </c>
      <c r="H67" s="11" t="s">
        <v>35</v>
      </c>
      <c r="I67" s="11">
        <v>74.0</v>
      </c>
      <c r="J67" s="52">
        <v>0.0</v>
      </c>
      <c r="K67" s="11" t="s">
        <v>851</v>
      </c>
      <c r="L67" s="11">
        <v>7.0</v>
      </c>
      <c r="M67" s="11">
        <v>52.0</v>
      </c>
      <c r="N67" s="11">
        <v>-11.0</v>
      </c>
      <c r="O67" s="11">
        <v>57.0</v>
      </c>
      <c r="P67" s="11">
        <v>-5.0</v>
      </c>
      <c r="Q67" s="11">
        <v>59.0</v>
      </c>
      <c r="R67" s="11">
        <v>74.0</v>
      </c>
      <c r="S67" s="11">
        <v>68.0</v>
      </c>
      <c r="T67" s="11">
        <v>70.0</v>
      </c>
      <c r="U67" s="11">
        <v>67.0</v>
      </c>
      <c r="V67" s="11">
        <v>63.0</v>
      </c>
      <c r="W67" s="11">
        <v>8.0</v>
      </c>
      <c r="X67" s="11">
        <v>-4.0</v>
      </c>
      <c r="Y67" s="11">
        <v>-2.0</v>
      </c>
      <c r="Z67" s="29">
        <v>21.0</v>
      </c>
    </row>
    <row r="68" ht="14.25" customHeight="1">
      <c r="A68" s="11"/>
      <c r="B68" s="11">
        <v>5.0</v>
      </c>
      <c r="C68" s="11" t="s">
        <v>95</v>
      </c>
      <c r="D68" s="11">
        <v>5.0</v>
      </c>
      <c r="E68" s="11" t="s">
        <v>151</v>
      </c>
      <c r="F68" s="11">
        <v>0.0</v>
      </c>
      <c r="G68" s="11" t="s">
        <v>498</v>
      </c>
      <c r="H68" s="11" t="s">
        <v>125</v>
      </c>
      <c r="I68" s="11">
        <v>61.0</v>
      </c>
      <c r="J68" s="52">
        <v>0.0</v>
      </c>
      <c r="K68" s="11" t="s">
        <v>844</v>
      </c>
      <c r="L68" s="11">
        <v>6.0</v>
      </c>
      <c r="M68" s="11">
        <v>47.0</v>
      </c>
      <c r="N68" s="11">
        <v>-3.0</v>
      </c>
      <c r="O68" s="11">
        <v>42.0</v>
      </c>
      <c r="P68" s="11">
        <v>5.0</v>
      </c>
      <c r="Q68" s="11">
        <v>46.0</v>
      </c>
      <c r="R68" s="11">
        <v>65.0</v>
      </c>
      <c r="S68" s="11">
        <v>49.0</v>
      </c>
      <c r="T68" s="11">
        <v>55.0</v>
      </c>
      <c r="U68" s="11">
        <v>49.0</v>
      </c>
      <c r="V68" s="11">
        <v>50.0</v>
      </c>
      <c r="W68" s="11">
        <v>7.0</v>
      </c>
      <c r="X68" s="11">
        <v>-2.0</v>
      </c>
      <c r="Y68" s="11">
        <v>-6.0</v>
      </c>
      <c r="Z68" s="29">
        <v>19.0</v>
      </c>
    </row>
    <row r="69" ht="14.25" customHeight="1">
      <c r="A69" s="11"/>
      <c r="B69" s="11">
        <v>8.0</v>
      </c>
      <c r="C69" s="11" t="s">
        <v>95</v>
      </c>
      <c r="D69" s="11">
        <v>7.0</v>
      </c>
      <c r="E69" s="11"/>
      <c r="F69" s="11">
        <v>0.0</v>
      </c>
      <c r="G69" s="11" t="s">
        <v>666</v>
      </c>
      <c r="H69" s="11" t="s">
        <v>176</v>
      </c>
      <c r="I69" s="11">
        <v>100.0</v>
      </c>
      <c r="J69" s="55" t="s">
        <v>95</v>
      </c>
      <c r="K69" s="11" t="s">
        <v>854</v>
      </c>
      <c r="L69" s="11">
        <v>11.0</v>
      </c>
      <c r="M69" s="11">
        <v>87.0</v>
      </c>
      <c r="N69" s="11">
        <v>0.0</v>
      </c>
      <c r="O69" s="11">
        <v>97.0</v>
      </c>
      <c r="P69" s="11">
        <v>-10.0</v>
      </c>
      <c r="Q69" s="11">
        <v>78.0</v>
      </c>
      <c r="R69" s="11">
        <v>103.0</v>
      </c>
      <c r="S69" s="11">
        <v>75.0</v>
      </c>
      <c r="T69" s="11">
        <v>95.0</v>
      </c>
      <c r="U69" s="11">
        <v>74.0</v>
      </c>
      <c r="V69" s="11">
        <v>87.0</v>
      </c>
      <c r="W69" s="11">
        <v>11.0</v>
      </c>
      <c r="X69" s="11">
        <v>-4.0</v>
      </c>
      <c r="Y69" s="11">
        <v>5.0</v>
      </c>
      <c r="Z69" s="29">
        <v>8.0</v>
      </c>
    </row>
    <row r="70" ht="14.25" customHeight="1">
      <c r="A70" s="11"/>
      <c r="B70" s="11">
        <v>4.0</v>
      </c>
      <c r="C70" s="11" t="s">
        <v>95</v>
      </c>
      <c r="D70" s="11">
        <v>4.0</v>
      </c>
      <c r="E70" s="11"/>
      <c r="F70" s="11">
        <v>0.0</v>
      </c>
      <c r="G70" s="11" t="s">
        <v>191</v>
      </c>
      <c r="H70" s="11" t="s">
        <v>192</v>
      </c>
      <c r="I70" s="11">
        <v>40.0</v>
      </c>
      <c r="J70" s="49">
        <v>0.0</v>
      </c>
      <c r="K70" s="11" t="s">
        <v>852</v>
      </c>
      <c r="L70" s="11">
        <v>6.0</v>
      </c>
      <c r="M70" s="11">
        <v>42.0</v>
      </c>
      <c r="N70" s="11">
        <v>0.0</v>
      </c>
      <c r="O70" s="11">
        <v>45.0</v>
      </c>
      <c r="P70" s="11">
        <v>-3.0</v>
      </c>
      <c r="Q70" s="11">
        <v>36.0</v>
      </c>
      <c r="R70" s="11">
        <v>56.0</v>
      </c>
      <c r="S70" s="11">
        <v>46.0</v>
      </c>
      <c r="T70" s="11">
        <v>44.0</v>
      </c>
      <c r="U70" s="11">
        <v>28.0</v>
      </c>
      <c r="V70" s="11">
        <v>42.0</v>
      </c>
      <c r="W70" s="11">
        <v>6.0</v>
      </c>
      <c r="X70" s="11">
        <v>-2.0</v>
      </c>
      <c r="Y70" s="11">
        <v>-6.0</v>
      </c>
      <c r="Z70" s="29">
        <v>17.0</v>
      </c>
    </row>
    <row r="71" ht="14.25" customHeight="1">
      <c r="A71" s="11"/>
      <c r="B71" s="11">
        <v>7.0</v>
      </c>
      <c r="C71" s="11" t="s">
        <v>95</v>
      </c>
      <c r="D71" s="11">
        <v>5.0</v>
      </c>
      <c r="E71" s="11"/>
      <c r="F71" s="11">
        <v>0.0</v>
      </c>
      <c r="G71" s="11" t="s">
        <v>350</v>
      </c>
      <c r="H71" s="11" t="s">
        <v>75</v>
      </c>
      <c r="I71" s="11">
        <v>75.0</v>
      </c>
      <c r="J71" s="48">
        <v>0.0</v>
      </c>
      <c r="K71" s="11" t="s">
        <v>851</v>
      </c>
      <c r="L71" s="11">
        <v>9.0</v>
      </c>
      <c r="M71" s="11">
        <v>65.0</v>
      </c>
      <c r="N71" s="11">
        <v>-4.0</v>
      </c>
      <c r="O71" s="11">
        <v>56.0</v>
      </c>
      <c r="P71" s="11">
        <v>9.0</v>
      </c>
      <c r="Q71" s="11">
        <v>70.0</v>
      </c>
      <c r="R71" s="11">
        <v>76.0</v>
      </c>
      <c r="S71" s="11">
        <v>70.0</v>
      </c>
      <c r="T71" s="11">
        <v>74.0</v>
      </c>
      <c r="U71" s="11">
        <v>77.0</v>
      </c>
      <c r="V71" s="11">
        <v>69.0</v>
      </c>
      <c r="W71" s="11">
        <v>9.0</v>
      </c>
      <c r="X71" s="11">
        <v>-4.0</v>
      </c>
      <c r="Y71" s="11">
        <v>1.0</v>
      </c>
      <c r="Z71" s="29">
        <v>25.0</v>
      </c>
    </row>
    <row r="72" ht="14.25" customHeight="1">
      <c r="A72" s="11"/>
      <c r="B72" s="11">
        <v>4.0</v>
      </c>
      <c r="C72" s="11" t="s">
        <v>95</v>
      </c>
      <c r="D72" s="11">
        <v>6.0</v>
      </c>
      <c r="E72" s="11"/>
      <c r="F72" s="11">
        <v>0.0</v>
      </c>
      <c r="G72" s="11" t="s">
        <v>212</v>
      </c>
      <c r="H72" s="11" t="s">
        <v>45</v>
      </c>
      <c r="I72" s="11">
        <v>53.0</v>
      </c>
      <c r="J72" s="54">
        <v>0.0</v>
      </c>
      <c r="K72" s="11" t="s">
        <v>860</v>
      </c>
      <c r="L72" s="11">
        <v>6.0</v>
      </c>
      <c r="M72" s="11">
        <v>41.0</v>
      </c>
      <c r="N72" s="11">
        <v>5.0</v>
      </c>
      <c r="O72" s="11">
        <v>25.0</v>
      </c>
      <c r="P72" s="11">
        <v>16.0</v>
      </c>
      <c r="Q72" s="11">
        <v>33.0</v>
      </c>
      <c r="R72" s="11">
        <v>45.0</v>
      </c>
      <c r="S72" s="11">
        <v>45.0</v>
      </c>
      <c r="T72" s="11">
        <v>32.0</v>
      </c>
      <c r="U72" s="11">
        <v>35.0</v>
      </c>
      <c r="V72" s="11">
        <v>36.0</v>
      </c>
      <c r="W72" s="11">
        <v>5.0</v>
      </c>
      <c r="X72" s="11">
        <v>1.0</v>
      </c>
      <c r="Y72" s="11">
        <v>17.0</v>
      </c>
      <c r="Z72" s="29">
        <v>5.0</v>
      </c>
    </row>
    <row r="73" ht="14.25" customHeight="1">
      <c r="A73" s="11"/>
      <c r="B73" s="11">
        <v>8.0</v>
      </c>
      <c r="C73" s="11" t="s">
        <v>95</v>
      </c>
      <c r="D73" s="11">
        <v>5.0</v>
      </c>
      <c r="E73" s="11"/>
      <c r="F73" s="11">
        <v>0.0</v>
      </c>
      <c r="G73" s="11" t="s">
        <v>361</v>
      </c>
      <c r="H73" s="11" t="s">
        <v>125</v>
      </c>
      <c r="I73" s="11">
        <v>104.0</v>
      </c>
      <c r="J73" s="54">
        <v>0.0</v>
      </c>
      <c r="K73" s="11" t="s">
        <v>871</v>
      </c>
      <c r="L73" s="11">
        <v>12.0</v>
      </c>
      <c r="M73" s="11">
        <v>91.0</v>
      </c>
      <c r="N73" s="11">
        <v>0.0</v>
      </c>
      <c r="O73" s="11">
        <v>82.0</v>
      </c>
      <c r="P73" s="11">
        <v>9.0</v>
      </c>
      <c r="Q73" s="11">
        <v>77.0</v>
      </c>
      <c r="R73" s="11">
        <v>101.0</v>
      </c>
      <c r="S73" s="11">
        <v>105.0</v>
      </c>
      <c r="T73" s="11">
        <v>104.0</v>
      </c>
      <c r="U73" s="11">
        <v>81.0</v>
      </c>
      <c r="V73" s="11">
        <v>91.0</v>
      </c>
      <c r="W73" s="11">
        <v>12.0</v>
      </c>
      <c r="X73" s="11">
        <v>-7.0</v>
      </c>
      <c r="Y73" s="11">
        <v>7.0</v>
      </c>
      <c r="Z73" s="29">
        <v>8.0</v>
      </c>
    </row>
    <row r="74" ht="14.25" customHeight="1">
      <c r="A74" s="11"/>
      <c r="B74" s="11">
        <v>6.0</v>
      </c>
      <c r="C74" s="11" t="s">
        <v>95</v>
      </c>
      <c r="D74" s="11">
        <v>6.0</v>
      </c>
      <c r="E74" s="11"/>
      <c r="F74" s="11">
        <v>0.0</v>
      </c>
      <c r="G74" s="11" t="s">
        <v>444</v>
      </c>
      <c r="H74" s="11" t="s">
        <v>231</v>
      </c>
      <c r="I74" s="11">
        <v>51.0</v>
      </c>
      <c r="J74" s="49" t="s">
        <v>106</v>
      </c>
      <c r="K74" s="11" t="s">
        <v>864</v>
      </c>
      <c r="L74" s="11">
        <v>10.0</v>
      </c>
      <c r="M74" s="11">
        <v>72.0</v>
      </c>
      <c r="N74" s="11">
        <v>8.0</v>
      </c>
      <c r="O74" s="11">
        <v>67.0</v>
      </c>
      <c r="P74" s="11">
        <v>5.0</v>
      </c>
      <c r="Q74" s="11">
        <v>60.0</v>
      </c>
      <c r="R74" s="11">
        <v>72.0</v>
      </c>
      <c r="S74" s="11">
        <v>59.0</v>
      </c>
      <c r="T74" s="11">
        <v>54.0</v>
      </c>
      <c r="U74" s="11">
        <v>66.0</v>
      </c>
      <c r="V74" s="11">
        <v>64.0</v>
      </c>
      <c r="W74" s="11">
        <v>9.0</v>
      </c>
      <c r="X74" s="11">
        <v>-3.0</v>
      </c>
      <c r="Y74" s="11">
        <v>-6.0</v>
      </c>
      <c r="Z74" s="29">
        <v>25.0</v>
      </c>
    </row>
    <row r="75" ht="14.25" customHeight="1">
      <c r="A75" s="11"/>
      <c r="B75" s="11">
        <v>11.0</v>
      </c>
      <c r="C75" s="11" t="s">
        <v>95</v>
      </c>
      <c r="D75" s="11">
        <v>6.0</v>
      </c>
      <c r="E75" s="11"/>
      <c r="F75" s="11">
        <v>0.0</v>
      </c>
      <c r="G75" s="11" t="s">
        <v>226</v>
      </c>
      <c r="H75" s="11" t="s">
        <v>116</v>
      </c>
      <c r="I75" s="11">
        <v>135.0</v>
      </c>
      <c r="J75" s="48">
        <v>0.0</v>
      </c>
      <c r="K75" s="11" t="s">
        <v>853</v>
      </c>
      <c r="L75" s="11">
        <v>14.0</v>
      </c>
      <c r="M75" s="11">
        <v>111.0</v>
      </c>
      <c r="N75" s="11">
        <v>-6.0</v>
      </c>
      <c r="O75" s="11">
        <v>109.0</v>
      </c>
      <c r="P75" s="11">
        <v>2.0</v>
      </c>
      <c r="Q75" s="11">
        <v>107.0</v>
      </c>
      <c r="R75" s="11">
        <v>118.0</v>
      </c>
      <c r="S75" s="11">
        <v>126.0</v>
      </c>
      <c r="T75" s="11">
        <v>121.0</v>
      </c>
      <c r="U75" s="11">
        <v>130.0</v>
      </c>
      <c r="V75" s="11">
        <v>117.0</v>
      </c>
      <c r="W75" s="11">
        <v>15.0</v>
      </c>
      <c r="X75" s="11">
        <v>-9.0</v>
      </c>
      <c r="Y75" s="11">
        <v>-1.0</v>
      </c>
      <c r="Z75" s="29">
        <v>37.0</v>
      </c>
    </row>
    <row r="76" ht="14.25" customHeight="1">
      <c r="A76" s="11"/>
      <c r="B76" s="11">
        <v>9.0</v>
      </c>
      <c r="C76" s="11" t="s">
        <v>95</v>
      </c>
      <c r="D76" s="11">
        <v>7.0</v>
      </c>
      <c r="E76" s="11"/>
      <c r="F76" s="11">
        <v>0.0</v>
      </c>
      <c r="G76" s="11" t="s">
        <v>259</v>
      </c>
      <c r="H76" s="11" t="s">
        <v>71</v>
      </c>
      <c r="I76" s="11">
        <v>94.0</v>
      </c>
      <c r="J76" s="56">
        <v>0.0</v>
      </c>
      <c r="K76" s="11" t="s">
        <v>856</v>
      </c>
      <c r="L76" s="11">
        <v>15.0</v>
      </c>
      <c r="M76" s="11">
        <v>117.0</v>
      </c>
      <c r="N76" s="11">
        <v>15.0</v>
      </c>
      <c r="O76" s="11">
        <v>77.0</v>
      </c>
      <c r="P76" s="11">
        <v>40.0</v>
      </c>
      <c r="Q76" s="11">
        <v>99.0</v>
      </c>
      <c r="R76" s="11">
        <v>120.0</v>
      </c>
      <c r="S76" s="11">
        <v>97.0</v>
      </c>
      <c r="T76" s="11">
        <v>87.0</v>
      </c>
      <c r="U76" s="11">
        <v>117.0</v>
      </c>
      <c r="V76" s="11">
        <v>102.0</v>
      </c>
      <c r="W76" s="11">
        <v>13.0</v>
      </c>
      <c r="X76" s="11">
        <v>-6.0</v>
      </c>
      <c r="Y76" s="11">
        <v>-14.0</v>
      </c>
      <c r="Z76" s="29">
        <v>11.0</v>
      </c>
    </row>
    <row r="77" ht="14.25" customHeight="1">
      <c r="A77" s="11"/>
      <c r="B77" s="11">
        <v>6.0</v>
      </c>
      <c r="C77" s="11" t="s">
        <v>95</v>
      </c>
      <c r="D77" s="11">
        <v>6.0</v>
      </c>
      <c r="E77" s="11"/>
      <c r="F77" s="11">
        <v>0.0</v>
      </c>
      <c r="G77" s="11" t="s">
        <v>181</v>
      </c>
      <c r="H77" s="11" t="s">
        <v>171</v>
      </c>
      <c r="I77" s="11">
        <v>58.0</v>
      </c>
      <c r="J77" s="52" t="s">
        <v>95</v>
      </c>
      <c r="K77" s="11" t="s">
        <v>851</v>
      </c>
      <c r="L77" s="11">
        <v>9.0</v>
      </c>
      <c r="M77" s="11">
        <v>68.0</v>
      </c>
      <c r="N77" s="11">
        <v>8.0</v>
      </c>
      <c r="O77" s="11">
        <v>49.0</v>
      </c>
      <c r="P77" s="11">
        <v>19.0</v>
      </c>
      <c r="Q77" s="11">
        <v>53.0</v>
      </c>
      <c r="R77" s="11">
        <v>80.0</v>
      </c>
      <c r="S77" s="11">
        <v>56.0</v>
      </c>
      <c r="T77" s="11">
        <v>59.0</v>
      </c>
      <c r="U77" s="11">
        <v>57.0</v>
      </c>
      <c r="V77" s="11">
        <v>60.0</v>
      </c>
      <c r="W77" s="11">
        <v>8.0</v>
      </c>
      <c r="X77" s="11">
        <v>-2.0</v>
      </c>
      <c r="Y77" s="11">
        <v>4.0</v>
      </c>
      <c r="Z77" s="29">
        <v>26.0</v>
      </c>
    </row>
    <row r="78" ht="14.25" customHeight="1">
      <c r="A78" s="11"/>
      <c r="B78" s="11" t="e">
        <v>#N/A</v>
      </c>
      <c r="C78" s="11" t="s">
        <v>95</v>
      </c>
      <c r="D78" s="11">
        <v>7.0</v>
      </c>
      <c r="E78" s="11"/>
      <c r="F78" s="11" t="e">
        <v>#N/A</v>
      </c>
      <c r="G78" s="11" t="s">
        <v>816</v>
      </c>
      <c r="H78" s="11" t="e">
        <v>#N/A</v>
      </c>
      <c r="I78" s="11" t="e">
        <v>#N/A</v>
      </c>
      <c r="J78" s="48" t="e">
        <v>#N/A</v>
      </c>
      <c r="K78" s="11" t="e">
        <v>#N/A</v>
      </c>
      <c r="L78" s="11">
        <v>16.0</v>
      </c>
      <c r="M78" s="11" t="e">
        <v>#N/A</v>
      </c>
      <c r="N78" s="11" t="e">
        <v>#N/A</v>
      </c>
      <c r="O78" s="11" t="e">
        <v>#N/A</v>
      </c>
      <c r="P78" s="11" t="e">
        <v>#N/A</v>
      </c>
      <c r="Q78" s="11" t="e">
        <v>#N/A</v>
      </c>
      <c r="R78" s="11" t="e">
        <v>#N/A</v>
      </c>
      <c r="S78" s="11" t="e">
        <v>#N/A</v>
      </c>
      <c r="T78" s="11" t="e">
        <v>#N/A</v>
      </c>
      <c r="U78" s="11" t="e">
        <v>#N/A</v>
      </c>
      <c r="V78" s="11" t="e">
        <v>#N/A</v>
      </c>
      <c r="W78" s="11">
        <v>16.0</v>
      </c>
      <c r="X78" s="11">
        <v>-9.0</v>
      </c>
      <c r="Y78" s="11" t="e">
        <v>#N/A</v>
      </c>
      <c r="Z78" s="29" t="e">
        <v>#N/A</v>
      </c>
    </row>
    <row r="79" ht="14.25" customHeight="1">
      <c r="A79" s="11"/>
      <c r="B79" s="11">
        <v>12.0</v>
      </c>
      <c r="C79" s="11" t="s">
        <v>95</v>
      </c>
      <c r="D79" s="11">
        <v>6.0</v>
      </c>
      <c r="E79" s="11"/>
      <c r="F79" s="11">
        <v>0.0</v>
      </c>
      <c r="G79" s="11" t="s">
        <v>653</v>
      </c>
      <c r="H79" s="11" t="s">
        <v>119</v>
      </c>
      <c r="I79" s="11">
        <v>103.0</v>
      </c>
      <c r="J79" s="30">
        <v>0.0</v>
      </c>
      <c r="K79" s="11" t="s">
        <v>862</v>
      </c>
      <c r="L79" s="11">
        <v>19.0</v>
      </c>
      <c r="M79" s="11">
        <v>148.0</v>
      </c>
      <c r="N79" s="11">
        <v>6.0</v>
      </c>
      <c r="O79" s="11">
        <v>137.0</v>
      </c>
      <c r="P79" s="11">
        <v>11.0</v>
      </c>
      <c r="Q79" s="11">
        <v>178.0</v>
      </c>
      <c r="R79" s="11">
        <v>124.0</v>
      </c>
      <c r="S79" s="11">
        <v>131.0</v>
      </c>
      <c r="T79" s="11">
        <v>108.0</v>
      </c>
      <c r="U79" s="11">
        <v>172.0</v>
      </c>
      <c r="V79" s="11">
        <v>142.0</v>
      </c>
      <c r="W79" s="11">
        <v>18.0</v>
      </c>
      <c r="X79" s="11">
        <v>-12.0</v>
      </c>
      <c r="Y79" s="11">
        <v>-9.0</v>
      </c>
      <c r="Z79" s="29">
        <v>57.0</v>
      </c>
    </row>
    <row r="80" ht="14.25" customHeight="1">
      <c r="A80" s="11"/>
      <c r="B80" s="11">
        <v>12.0</v>
      </c>
      <c r="C80" s="11" t="s">
        <v>95</v>
      </c>
      <c r="D80" s="11" t="s">
        <v>817</v>
      </c>
      <c r="E80" s="11"/>
      <c r="F80" s="11">
        <v>0.0</v>
      </c>
      <c r="G80" s="11" t="s">
        <v>661</v>
      </c>
      <c r="H80" s="11" t="s">
        <v>105</v>
      </c>
      <c r="I80" s="11">
        <v>157.0</v>
      </c>
      <c r="J80" s="48">
        <v>0.0</v>
      </c>
      <c r="K80" s="11" t="s">
        <v>872</v>
      </c>
      <c r="L80" s="11">
        <v>14.0</v>
      </c>
      <c r="M80" s="11">
        <v>108.0</v>
      </c>
      <c r="N80" s="11">
        <v>-29.0</v>
      </c>
      <c r="O80" s="11">
        <v>138.0</v>
      </c>
      <c r="P80" s="11">
        <v>-30.0</v>
      </c>
      <c r="Q80" s="11">
        <v>162.0</v>
      </c>
      <c r="R80" s="11">
        <v>150.0</v>
      </c>
      <c r="S80" s="11">
        <v>148.0</v>
      </c>
      <c r="T80" s="11">
        <v>137.0</v>
      </c>
      <c r="U80" s="11">
        <v>118.0</v>
      </c>
      <c r="V80" s="11">
        <v>137.0</v>
      </c>
      <c r="W80" s="11">
        <v>18.0</v>
      </c>
      <c r="X80" s="11" t="e">
        <v>#VALUE!</v>
      </c>
      <c r="Y80" s="11">
        <v>18.0</v>
      </c>
      <c r="Z80" s="29">
        <v>39.0</v>
      </c>
    </row>
    <row r="81" ht="14.25" customHeight="1">
      <c r="A81" s="11"/>
      <c r="B81" s="11">
        <v>9.0</v>
      </c>
      <c r="C81" s="11" t="s">
        <v>95</v>
      </c>
      <c r="D81" s="11">
        <v>6.0</v>
      </c>
      <c r="E81" s="11"/>
      <c r="F81" s="11">
        <v>0.0</v>
      </c>
      <c r="G81" s="11" t="s">
        <v>270</v>
      </c>
      <c r="H81" s="11" t="s">
        <v>162</v>
      </c>
      <c r="I81" s="11">
        <v>117.0</v>
      </c>
      <c r="J81" s="30">
        <v>0.0</v>
      </c>
      <c r="K81" s="11" t="s">
        <v>855</v>
      </c>
      <c r="L81" s="11">
        <v>12.0</v>
      </c>
      <c r="M81" s="11">
        <v>90.0</v>
      </c>
      <c r="N81" s="11">
        <v>-14.0</v>
      </c>
      <c r="O81" s="11">
        <v>107.0</v>
      </c>
      <c r="P81" s="11">
        <v>-17.0</v>
      </c>
      <c r="Q81" s="11">
        <v>102.0</v>
      </c>
      <c r="R81" s="11">
        <v>127.0</v>
      </c>
      <c r="S81" s="11">
        <v>118.0</v>
      </c>
      <c r="T81" s="11">
        <v>100.0</v>
      </c>
      <c r="U81" s="11">
        <v>90.0</v>
      </c>
      <c r="V81" s="11">
        <v>104.0</v>
      </c>
      <c r="W81" s="11">
        <v>14.0</v>
      </c>
      <c r="X81" s="11">
        <v>-8.0</v>
      </c>
      <c r="Y81" s="11">
        <v>23.0</v>
      </c>
      <c r="Z81" s="29">
        <v>42.0</v>
      </c>
    </row>
    <row r="82" ht="14.25" customHeight="1">
      <c r="A82" s="11"/>
      <c r="B82" s="11">
        <v>12.0</v>
      </c>
      <c r="C82" s="11" t="s">
        <v>95</v>
      </c>
      <c r="D82" s="11"/>
      <c r="E82" s="11"/>
      <c r="F82" s="11">
        <v>0.0</v>
      </c>
      <c r="G82" s="11" t="s">
        <v>376</v>
      </c>
      <c r="H82" s="11" t="s">
        <v>154</v>
      </c>
      <c r="I82" s="11">
        <v>133.0</v>
      </c>
      <c r="J82" s="56">
        <v>0.0</v>
      </c>
      <c r="K82" s="11" t="s">
        <v>873</v>
      </c>
      <c r="L82" s="11">
        <v>18.0</v>
      </c>
      <c r="M82" s="11">
        <v>142.0</v>
      </c>
      <c r="N82" s="11">
        <v>5.0</v>
      </c>
      <c r="O82" s="11">
        <v>123.0</v>
      </c>
      <c r="P82" s="11">
        <v>19.0</v>
      </c>
      <c r="Q82" s="11">
        <v>125.0</v>
      </c>
      <c r="R82" s="11">
        <v>160.0</v>
      </c>
      <c r="S82" s="11">
        <v>147.0</v>
      </c>
      <c r="T82" s="11">
        <v>127.0</v>
      </c>
      <c r="U82" s="11">
        <v>140.0</v>
      </c>
      <c r="V82" s="11">
        <v>137.0</v>
      </c>
      <c r="W82" s="11">
        <v>18.0</v>
      </c>
      <c r="X82" s="11">
        <v>-18.0</v>
      </c>
      <c r="Y82" s="11">
        <v>-26.0</v>
      </c>
      <c r="Z82" s="29">
        <v>15.0</v>
      </c>
    </row>
    <row r="83" ht="14.25" customHeight="1">
      <c r="A83" s="11"/>
      <c r="B83" s="11">
        <v>21.0</v>
      </c>
      <c r="C83" s="11" t="s">
        <v>95</v>
      </c>
      <c r="D83" s="11">
        <v>6.0</v>
      </c>
      <c r="E83" s="11"/>
      <c r="F83" s="11">
        <v>0.0</v>
      </c>
      <c r="G83" s="11" t="s">
        <v>819</v>
      </c>
      <c r="H83" s="11" t="s">
        <v>98</v>
      </c>
      <c r="I83" s="11">
        <v>245.0</v>
      </c>
      <c r="J83" s="52">
        <v>0.0</v>
      </c>
      <c r="K83" s="11" t="s">
        <v>866</v>
      </c>
      <c r="L83" s="11">
        <v>33.0</v>
      </c>
      <c r="M83" s="11">
        <v>260.0</v>
      </c>
      <c r="N83" s="11">
        <v>19.0</v>
      </c>
      <c r="O83" s="11">
        <v>191.0</v>
      </c>
      <c r="P83" s="11">
        <v>69.0</v>
      </c>
      <c r="Q83" s="11" t="s">
        <v>36</v>
      </c>
      <c r="R83" s="11">
        <v>288.0</v>
      </c>
      <c r="S83" s="11">
        <v>221.0</v>
      </c>
      <c r="T83" s="11">
        <v>242.0</v>
      </c>
      <c r="U83" s="11">
        <v>247.0</v>
      </c>
      <c r="V83" s="11">
        <v>241.0</v>
      </c>
      <c r="W83" s="11">
        <v>31.0</v>
      </c>
      <c r="X83" s="11">
        <v>-25.0</v>
      </c>
      <c r="Y83" s="11" t="e">
        <v>#VALUE!</v>
      </c>
      <c r="Z83" s="29" t="s">
        <v>866</v>
      </c>
    </row>
    <row r="84" ht="14.25" customHeight="1">
      <c r="A84" s="11"/>
      <c r="B84" s="11">
        <v>13.0</v>
      </c>
      <c r="C84" s="11" t="s">
        <v>95</v>
      </c>
      <c r="D84" s="11">
        <v>6.0</v>
      </c>
      <c r="E84" s="11"/>
      <c r="F84" s="11">
        <v>0.0</v>
      </c>
      <c r="G84" s="11" t="s">
        <v>428</v>
      </c>
      <c r="H84" s="11" t="s">
        <v>105</v>
      </c>
      <c r="I84" s="11">
        <v>113.0</v>
      </c>
      <c r="J84" s="30">
        <v>0.0</v>
      </c>
      <c r="K84" s="11" t="s">
        <v>862</v>
      </c>
      <c r="L84" s="11">
        <v>21.0</v>
      </c>
      <c r="M84" s="11">
        <v>164.0</v>
      </c>
      <c r="N84" s="11">
        <v>15.0</v>
      </c>
      <c r="O84" s="11">
        <v>150.0</v>
      </c>
      <c r="P84" s="11">
        <v>14.0</v>
      </c>
      <c r="Q84" s="11">
        <v>118.0</v>
      </c>
      <c r="R84" s="11">
        <v>136.0</v>
      </c>
      <c r="S84" s="11">
        <v>134.0</v>
      </c>
      <c r="T84" s="11">
        <v>122.0</v>
      </c>
      <c r="U84" s="11">
        <v>222.0</v>
      </c>
      <c r="V84" s="11">
        <v>149.0</v>
      </c>
      <c r="W84" s="11">
        <v>19.0</v>
      </c>
      <c r="X84" s="11">
        <v>-13.0</v>
      </c>
      <c r="Y84" s="11">
        <v>-9.0</v>
      </c>
      <c r="Z84" s="29">
        <v>58.0</v>
      </c>
    </row>
    <row r="85" ht="14.25" customHeight="1">
      <c r="A85" s="11"/>
      <c r="B85" s="11">
        <v>12.0</v>
      </c>
      <c r="C85" s="11" t="s">
        <v>95</v>
      </c>
      <c r="D85" s="11">
        <v>9.0</v>
      </c>
      <c r="E85" s="11"/>
      <c r="F85" s="11">
        <v>0.0</v>
      </c>
      <c r="G85" s="11" t="s">
        <v>348</v>
      </c>
      <c r="H85" s="11" t="s">
        <v>71</v>
      </c>
      <c r="I85" s="11">
        <v>138.0</v>
      </c>
      <c r="J85" s="57" t="s">
        <v>106</v>
      </c>
      <c r="K85" s="11" t="s">
        <v>870</v>
      </c>
      <c r="L85" s="11">
        <v>18.0</v>
      </c>
      <c r="M85" s="11">
        <v>137.0</v>
      </c>
      <c r="N85" s="11">
        <v>0.0</v>
      </c>
      <c r="O85" s="11">
        <v>139.0</v>
      </c>
      <c r="P85" s="11">
        <v>-2.0</v>
      </c>
      <c r="Q85" s="11">
        <v>137.0</v>
      </c>
      <c r="R85" s="11">
        <v>163.0</v>
      </c>
      <c r="S85" s="11">
        <v>100.0</v>
      </c>
      <c r="T85" s="11">
        <v>130.0</v>
      </c>
      <c r="U85" s="11">
        <v>159.0</v>
      </c>
      <c r="V85" s="11">
        <v>137.0</v>
      </c>
      <c r="W85" s="11">
        <v>18.0</v>
      </c>
      <c r="X85" s="11">
        <v>-9.0</v>
      </c>
      <c r="Y85" s="11">
        <v>-22.0</v>
      </c>
      <c r="Z85" s="29">
        <v>14.0</v>
      </c>
    </row>
    <row r="86" ht="14.25" customHeight="1">
      <c r="A86" s="11" t="s">
        <v>106</v>
      </c>
      <c r="B86" s="11" t="e">
        <v>#N/A</v>
      </c>
      <c r="C86" s="11" t="s">
        <v>95</v>
      </c>
      <c r="D86" s="11">
        <v>6.0</v>
      </c>
      <c r="E86" s="11"/>
      <c r="F86" s="11">
        <v>0.0</v>
      </c>
      <c r="G86" s="11" t="s">
        <v>831</v>
      </c>
      <c r="H86" s="11" t="e">
        <v>#N/A</v>
      </c>
      <c r="I86" s="11" t="e">
        <v>#N/A</v>
      </c>
      <c r="J86" s="30">
        <v>0.0</v>
      </c>
      <c r="K86" s="11" t="s">
        <v>866</v>
      </c>
      <c r="L86" s="11">
        <v>16.0</v>
      </c>
      <c r="M86" s="11" t="e">
        <v>#N/A</v>
      </c>
      <c r="N86" s="11" t="e">
        <v>#N/A</v>
      </c>
      <c r="O86" s="11" t="e">
        <v>#N/A</v>
      </c>
      <c r="P86" s="11" t="e">
        <v>#N/A</v>
      </c>
      <c r="Q86" s="11" t="e">
        <v>#N/A</v>
      </c>
      <c r="R86" s="11" t="e">
        <v>#N/A</v>
      </c>
      <c r="S86" s="11" t="e">
        <v>#N/A</v>
      </c>
      <c r="T86" s="11" t="e">
        <v>#N/A</v>
      </c>
      <c r="U86" s="11" t="e">
        <v>#N/A</v>
      </c>
      <c r="V86" s="11" t="e">
        <v>#N/A</v>
      </c>
      <c r="W86" s="11">
        <v>16.0</v>
      </c>
      <c r="X86" s="11">
        <v>-10.0</v>
      </c>
      <c r="Y86" s="11" t="e">
        <v>#N/A</v>
      </c>
      <c r="Z86" s="29" t="s">
        <v>866</v>
      </c>
    </row>
    <row r="87" ht="14.25" customHeight="1">
      <c r="A87" s="11"/>
      <c r="B87" s="11">
        <v>11.0</v>
      </c>
      <c r="C87" s="11" t="s">
        <v>95</v>
      </c>
      <c r="D87" s="11">
        <v>6.0</v>
      </c>
      <c r="E87" s="27"/>
      <c r="F87" s="11">
        <v>0.0</v>
      </c>
      <c r="G87" s="11" t="s">
        <v>301</v>
      </c>
      <c r="H87" s="11" t="s">
        <v>154</v>
      </c>
      <c r="I87" s="11">
        <v>107.0</v>
      </c>
      <c r="J87" s="49">
        <v>0.0</v>
      </c>
      <c r="K87" s="11" t="s">
        <v>861</v>
      </c>
      <c r="L87" s="11">
        <v>13.0</v>
      </c>
      <c r="M87" s="11">
        <v>99.0</v>
      </c>
      <c r="N87" s="11">
        <v>-24.0</v>
      </c>
      <c r="O87" s="11">
        <v>134.0</v>
      </c>
      <c r="P87" s="11">
        <v>-35.0</v>
      </c>
      <c r="Q87" s="11">
        <v>128.0</v>
      </c>
      <c r="R87" s="11">
        <v>145.0</v>
      </c>
      <c r="S87" s="11">
        <v>116.0</v>
      </c>
      <c r="T87" s="11">
        <v>105.0</v>
      </c>
      <c r="U87" s="11">
        <v>134.0</v>
      </c>
      <c r="V87" s="11">
        <v>123.0</v>
      </c>
      <c r="W87" s="11">
        <v>16.0</v>
      </c>
      <c r="X87" s="11">
        <v>-10.0</v>
      </c>
      <c r="Y87" s="11">
        <v>-13.0</v>
      </c>
      <c r="Z87" s="29">
        <v>43.0</v>
      </c>
    </row>
    <row r="88" ht="14.25" customHeight="1">
      <c r="A88" s="11"/>
      <c r="B88" s="11">
        <v>6.0</v>
      </c>
      <c r="C88" s="11" t="s">
        <v>131</v>
      </c>
      <c r="D88" s="11">
        <v>6.0</v>
      </c>
      <c r="E88" s="11"/>
      <c r="F88" s="11">
        <v>0.0</v>
      </c>
      <c r="G88" s="11" t="s">
        <v>255</v>
      </c>
      <c r="H88" s="11" t="s">
        <v>231</v>
      </c>
      <c r="I88" s="11">
        <v>62.0</v>
      </c>
      <c r="J88" s="58">
        <v>0.0</v>
      </c>
      <c r="K88" s="11" t="s">
        <v>851</v>
      </c>
      <c r="L88" s="11">
        <v>9.0</v>
      </c>
      <c r="M88" s="11">
        <v>69.0</v>
      </c>
      <c r="N88" s="11">
        <v>1.0</v>
      </c>
      <c r="O88" s="11">
        <v>59.0</v>
      </c>
      <c r="P88" s="11">
        <v>10.0</v>
      </c>
      <c r="Q88" s="11">
        <v>69.0</v>
      </c>
      <c r="R88" s="11">
        <v>79.0</v>
      </c>
      <c r="S88" s="11">
        <v>58.0</v>
      </c>
      <c r="T88" s="11">
        <v>69.0</v>
      </c>
      <c r="U88" s="11">
        <v>78.0</v>
      </c>
      <c r="V88" s="11">
        <v>68.0</v>
      </c>
      <c r="W88" s="11">
        <v>9.0</v>
      </c>
      <c r="X88" s="11">
        <v>-3.0</v>
      </c>
      <c r="Y88" s="11">
        <v>-14.0</v>
      </c>
      <c r="Z88" s="29">
        <v>24.0</v>
      </c>
    </row>
    <row r="89" ht="14.25" customHeight="1">
      <c r="A89" s="11"/>
      <c r="B89" s="11">
        <v>5.0</v>
      </c>
      <c r="C89" s="11" t="s">
        <v>95</v>
      </c>
      <c r="D89" s="11">
        <v>7.0</v>
      </c>
      <c r="E89" s="11"/>
      <c r="F89" s="11">
        <v>0.0</v>
      </c>
      <c r="G89" s="11" t="s">
        <v>353</v>
      </c>
      <c r="H89" s="11" t="s">
        <v>102</v>
      </c>
      <c r="I89" s="11">
        <v>43.0</v>
      </c>
      <c r="J89" s="33">
        <v>0.0</v>
      </c>
      <c r="K89" s="11" t="s">
        <v>852</v>
      </c>
      <c r="L89" s="11">
        <v>8.0</v>
      </c>
      <c r="M89" s="11">
        <v>58.0</v>
      </c>
      <c r="N89" s="11">
        <v>5.0</v>
      </c>
      <c r="O89" s="11">
        <v>50.0</v>
      </c>
      <c r="P89" s="11">
        <v>8.0</v>
      </c>
      <c r="Q89" s="11">
        <v>50.0</v>
      </c>
      <c r="R89" s="11">
        <v>57.0</v>
      </c>
      <c r="S89" s="11">
        <v>48.0</v>
      </c>
      <c r="T89" s="11">
        <v>45.0</v>
      </c>
      <c r="U89" s="11">
        <v>68.0</v>
      </c>
      <c r="V89" s="11">
        <v>53.0</v>
      </c>
      <c r="W89" s="11">
        <v>7.0</v>
      </c>
      <c r="X89" s="11">
        <v>0.0</v>
      </c>
      <c r="Y89" s="11">
        <v>-2.0</v>
      </c>
      <c r="Z89" s="29">
        <v>22.0</v>
      </c>
    </row>
    <row r="90" ht="14.25" customHeight="1">
      <c r="A90" s="11"/>
      <c r="B90" s="11">
        <v>8.0</v>
      </c>
      <c r="C90" s="11" t="s">
        <v>95</v>
      </c>
      <c r="D90" s="11">
        <v>9.0</v>
      </c>
      <c r="E90" s="11"/>
      <c r="F90" s="11">
        <v>0.0</v>
      </c>
      <c r="G90" s="11" t="s">
        <v>578</v>
      </c>
      <c r="H90" s="11" t="s">
        <v>195</v>
      </c>
      <c r="I90" s="11">
        <v>105.0</v>
      </c>
      <c r="J90" s="57">
        <v>0.0</v>
      </c>
      <c r="K90" s="11" t="s">
        <v>854</v>
      </c>
      <c r="L90" s="11">
        <v>12.0</v>
      </c>
      <c r="M90" s="11">
        <v>92.0</v>
      </c>
      <c r="N90" s="11">
        <v>6.0</v>
      </c>
      <c r="O90" s="11">
        <v>74.0</v>
      </c>
      <c r="P90" s="11">
        <v>18.0</v>
      </c>
      <c r="Q90" s="11">
        <v>72.0</v>
      </c>
      <c r="R90" s="11">
        <v>108.0</v>
      </c>
      <c r="S90" s="11">
        <v>76.0</v>
      </c>
      <c r="T90" s="11">
        <v>101.0</v>
      </c>
      <c r="U90" s="11">
        <v>85.0</v>
      </c>
      <c r="V90" s="11">
        <v>86.0</v>
      </c>
      <c r="W90" s="11">
        <v>11.0</v>
      </c>
      <c r="X90" s="11">
        <v>-2.0</v>
      </c>
      <c r="Y90" s="11">
        <v>11.0</v>
      </c>
      <c r="Z90" s="29">
        <v>10.0</v>
      </c>
    </row>
    <row r="91" ht="14.25" customHeight="1">
      <c r="A91" s="11"/>
      <c r="B91" s="11">
        <v>10.0</v>
      </c>
      <c r="C91" s="11" t="s">
        <v>95</v>
      </c>
      <c r="D91" s="11">
        <v>7.0</v>
      </c>
      <c r="E91" s="11"/>
      <c r="F91" s="11">
        <v>0.0</v>
      </c>
      <c r="G91" s="11" t="s">
        <v>144</v>
      </c>
      <c r="H91" s="11" t="s">
        <v>71</v>
      </c>
      <c r="I91" s="11">
        <v>122.0</v>
      </c>
      <c r="J91" s="59" t="s">
        <v>95</v>
      </c>
      <c r="K91" s="11" t="s">
        <v>863</v>
      </c>
      <c r="L91" s="11">
        <v>13.0</v>
      </c>
      <c r="M91" s="11">
        <v>100.0</v>
      </c>
      <c r="N91" s="11">
        <v>-12.0</v>
      </c>
      <c r="O91" s="11">
        <v>108.0</v>
      </c>
      <c r="P91" s="11">
        <v>-8.0</v>
      </c>
      <c r="Q91" s="11">
        <v>103.0</v>
      </c>
      <c r="R91" s="11">
        <v>117.0</v>
      </c>
      <c r="S91" s="11">
        <v>106.0</v>
      </c>
      <c r="T91" s="11">
        <v>106.0</v>
      </c>
      <c r="U91" s="11">
        <v>150.0</v>
      </c>
      <c r="V91" s="11">
        <v>112.0</v>
      </c>
      <c r="W91" s="11">
        <v>15.0</v>
      </c>
      <c r="X91" s="11">
        <v>-8.0</v>
      </c>
      <c r="Y91" s="11">
        <v>0.0</v>
      </c>
      <c r="Z91" s="29">
        <v>52.0</v>
      </c>
    </row>
    <row r="92" ht="14.25" customHeight="1">
      <c r="A92" s="11" t="s">
        <v>106</v>
      </c>
      <c r="B92" s="11">
        <v>8.0</v>
      </c>
      <c r="C92" s="11" t="s">
        <v>95</v>
      </c>
      <c r="D92" s="11">
        <v>6.0</v>
      </c>
      <c r="E92" s="11"/>
      <c r="F92" s="11">
        <v>0.0</v>
      </c>
      <c r="G92" s="11" t="s">
        <v>236</v>
      </c>
      <c r="H92" s="11" t="s">
        <v>237</v>
      </c>
      <c r="I92" s="11">
        <v>86.0</v>
      </c>
      <c r="J92" s="48">
        <v>0.0</v>
      </c>
      <c r="K92" s="11" t="s">
        <v>853</v>
      </c>
      <c r="L92" s="11">
        <v>11.0</v>
      </c>
      <c r="M92" s="11">
        <v>86.0</v>
      </c>
      <c r="N92" s="11">
        <v>-4.0</v>
      </c>
      <c r="O92" s="11">
        <v>88.0</v>
      </c>
      <c r="P92" s="11">
        <v>-2.0</v>
      </c>
      <c r="Q92" s="11">
        <v>85.0</v>
      </c>
      <c r="R92" s="11">
        <v>96.0</v>
      </c>
      <c r="S92" s="11">
        <v>84.0</v>
      </c>
      <c r="T92" s="11">
        <v>86.0</v>
      </c>
      <c r="U92" s="11">
        <v>107.0</v>
      </c>
      <c r="V92" s="11">
        <v>90.0</v>
      </c>
      <c r="W92" s="11">
        <v>12.0</v>
      </c>
      <c r="X92" s="11">
        <v>-6.0</v>
      </c>
      <c r="Y92" s="11">
        <v>-15.0</v>
      </c>
      <c r="Z92" s="29">
        <v>35.0</v>
      </c>
    </row>
    <row r="93" ht="14.25" customHeight="1">
      <c r="A93" s="11"/>
      <c r="B93" s="11">
        <v>7.0</v>
      </c>
      <c r="C93" s="11" t="s">
        <v>95</v>
      </c>
      <c r="D93" s="11">
        <v>9.0</v>
      </c>
      <c r="E93" s="11"/>
      <c r="F93" s="11">
        <v>0.0</v>
      </c>
      <c r="G93" s="11" t="s">
        <v>208</v>
      </c>
      <c r="H93" s="11" t="s">
        <v>171</v>
      </c>
      <c r="I93" s="11">
        <v>66.0</v>
      </c>
      <c r="J93" s="33">
        <v>0.0</v>
      </c>
      <c r="K93" s="11" t="s">
        <v>849</v>
      </c>
      <c r="L93" s="11">
        <v>11.0</v>
      </c>
      <c r="M93" s="11">
        <v>80.0</v>
      </c>
      <c r="N93" s="11">
        <v>0.0</v>
      </c>
      <c r="O93" s="11">
        <v>99.0</v>
      </c>
      <c r="P93" s="11">
        <v>-19.0</v>
      </c>
      <c r="Q93" s="11">
        <v>76.0</v>
      </c>
      <c r="R93" s="11">
        <v>75.0</v>
      </c>
      <c r="S93" s="11">
        <v>77.0</v>
      </c>
      <c r="T93" s="11">
        <v>64.0</v>
      </c>
      <c r="U93" s="11">
        <v>89.0</v>
      </c>
      <c r="V93" s="11">
        <v>80.0</v>
      </c>
      <c r="W93" s="11">
        <v>11.0</v>
      </c>
      <c r="X93" s="11">
        <v>-2.0</v>
      </c>
      <c r="Y93" s="11">
        <v>-17.0</v>
      </c>
      <c r="Z93" s="29">
        <v>33.0</v>
      </c>
    </row>
    <row r="94" ht="14.25" customHeight="1">
      <c r="A94" s="11"/>
      <c r="B94" s="11">
        <v>3.0</v>
      </c>
      <c r="C94" s="11" t="s">
        <v>95</v>
      </c>
      <c r="D94" s="11">
        <v>6.0</v>
      </c>
      <c r="E94" s="11"/>
      <c r="F94" s="11">
        <v>0.0</v>
      </c>
      <c r="G94" s="11" t="s">
        <v>51</v>
      </c>
      <c r="H94" s="11" t="s">
        <v>52</v>
      </c>
      <c r="I94" s="11">
        <v>29.0</v>
      </c>
      <c r="J94" s="33">
        <v>0.0</v>
      </c>
      <c r="K94" s="11" t="s">
        <v>843</v>
      </c>
      <c r="L94" s="11">
        <v>4.0</v>
      </c>
      <c r="M94" s="11">
        <v>29.0</v>
      </c>
      <c r="N94" s="11">
        <v>-4.0</v>
      </c>
      <c r="O94" s="11">
        <v>40.0</v>
      </c>
      <c r="P94" s="11">
        <v>-11.0</v>
      </c>
      <c r="Q94" s="11">
        <v>37.0</v>
      </c>
      <c r="R94" s="11">
        <v>32.0</v>
      </c>
      <c r="S94" s="11">
        <v>31.0</v>
      </c>
      <c r="T94" s="11">
        <v>28.0</v>
      </c>
      <c r="U94" s="11">
        <v>39.0</v>
      </c>
      <c r="V94" s="11">
        <v>33.0</v>
      </c>
      <c r="W94" s="11">
        <v>5.0</v>
      </c>
      <c r="X94" s="11">
        <v>1.0</v>
      </c>
      <c r="Y94" s="11">
        <v>0.0</v>
      </c>
      <c r="Z94" s="29">
        <v>13.0</v>
      </c>
    </row>
    <row r="95" ht="14.25" customHeight="1">
      <c r="A95" s="11"/>
      <c r="B95" s="11" t="e">
        <v>#N/A</v>
      </c>
      <c r="C95" s="11" t="s">
        <v>95</v>
      </c>
      <c r="D95" s="11">
        <v>6.0</v>
      </c>
      <c r="E95" s="11"/>
      <c r="F95" s="11" t="e">
        <v>#N/A</v>
      </c>
      <c r="G95" s="11" t="s">
        <v>218</v>
      </c>
      <c r="H95" s="11" t="e">
        <v>#N/A</v>
      </c>
      <c r="I95" s="11" t="e">
        <v>#N/A</v>
      </c>
      <c r="J95" s="33" t="e">
        <v>#N/A</v>
      </c>
      <c r="K95" s="11" t="e">
        <v>#N/A</v>
      </c>
      <c r="L95" s="11">
        <v>16.0</v>
      </c>
      <c r="M95" s="11" t="e">
        <v>#N/A</v>
      </c>
      <c r="N95" s="11" t="e">
        <v>#N/A</v>
      </c>
      <c r="O95" s="11" t="e">
        <v>#N/A</v>
      </c>
      <c r="P95" s="11" t="e">
        <v>#N/A</v>
      </c>
      <c r="Q95" s="11" t="e">
        <v>#N/A</v>
      </c>
      <c r="R95" s="11" t="e">
        <v>#N/A</v>
      </c>
      <c r="S95" s="11" t="e">
        <v>#N/A</v>
      </c>
      <c r="T95" s="11" t="e">
        <v>#N/A</v>
      </c>
      <c r="U95" s="11" t="e">
        <v>#N/A</v>
      </c>
      <c r="V95" s="11" t="e">
        <v>#N/A</v>
      </c>
      <c r="W95" s="11">
        <v>16.0</v>
      </c>
      <c r="X95" s="11">
        <v>-10.0</v>
      </c>
      <c r="Y95" s="11" t="e">
        <v>#N/A</v>
      </c>
      <c r="Z95" s="29" t="e">
        <v>#N/A</v>
      </c>
    </row>
    <row r="96" ht="14.25" customHeight="1">
      <c r="A96" s="11"/>
      <c r="B96" s="11">
        <v>9.0</v>
      </c>
      <c r="C96" s="11" t="s">
        <v>106</v>
      </c>
      <c r="D96" s="11">
        <v>7.0</v>
      </c>
      <c r="E96" s="11"/>
      <c r="F96" s="11">
        <v>0.0</v>
      </c>
      <c r="G96" s="11" t="s">
        <v>315</v>
      </c>
      <c r="H96" s="11" t="s">
        <v>58</v>
      </c>
      <c r="I96" s="11">
        <v>106.0</v>
      </c>
      <c r="J96" s="60">
        <v>0.0</v>
      </c>
      <c r="K96" s="11" t="s">
        <v>856</v>
      </c>
      <c r="L96" s="11">
        <v>15.0</v>
      </c>
      <c r="M96" s="11">
        <v>112.0</v>
      </c>
      <c r="N96" s="11">
        <v>10.0</v>
      </c>
      <c r="O96" s="11">
        <v>89.0</v>
      </c>
      <c r="P96" s="11">
        <v>23.0</v>
      </c>
      <c r="Q96" s="11">
        <v>79.0</v>
      </c>
      <c r="R96" s="11">
        <v>111.0</v>
      </c>
      <c r="S96" s="11">
        <v>110.0</v>
      </c>
      <c r="T96" s="11">
        <v>107.0</v>
      </c>
      <c r="U96" s="11">
        <v>106.0</v>
      </c>
      <c r="V96" s="11">
        <v>102.0</v>
      </c>
      <c r="W96" s="11">
        <v>13.0</v>
      </c>
      <c r="X96" s="11">
        <v>-6.0</v>
      </c>
      <c r="Y96" s="11">
        <v>-16.0</v>
      </c>
      <c r="Z96" s="29">
        <v>12.0</v>
      </c>
    </row>
    <row r="97" ht="14.25" customHeight="1">
      <c r="A97" s="11"/>
      <c r="B97" s="11">
        <v>3.0</v>
      </c>
      <c r="C97" s="11" t="s">
        <v>95</v>
      </c>
      <c r="D97" s="11">
        <v>7.0</v>
      </c>
      <c r="E97" s="11"/>
      <c r="F97" s="11">
        <v>0.0</v>
      </c>
      <c r="G97" s="11" t="s">
        <v>224</v>
      </c>
      <c r="H97" s="11" t="s">
        <v>192</v>
      </c>
      <c r="I97" s="11">
        <v>36.0</v>
      </c>
      <c r="J97" s="60">
        <v>0.0</v>
      </c>
      <c r="K97" s="11" t="s">
        <v>860</v>
      </c>
      <c r="L97" s="11">
        <v>5.0</v>
      </c>
      <c r="M97" s="11">
        <v>33.0</v>
      </c>
      <c r="N97" s="11">
        <v>0.0</v>
      </c>
      <c r="O97" s="11">
        <v>30.0</v>
      </c>
      <c r="P97" s="11">
        <v>3.0</v>
      </c>
      <c r="Q97" s="11">
        <v>27.0</v>
      </c>
      <c r="R97" s="11">
        <v>42.0</v>
      </c>
      <c r="S97" s="11">
        <v>35.0</v>
      </c>
      <c r="T97" s="11">
        <v>35.0</v>
      </c>
      <c r="U97" s="11">
        <v>29.0</v>
      </c>
      <c r="V97" s="11">
        <v>33.0</v>
      </c>
      <c r="W97" s="11">
        <v>5.0</v>
      </c>
      <c r="X97" s="11">
        <v>2.0</v>
      </c>
      <c r="Y97" s="11">
        <v>-3.0</v>
      </c>
      <c r="Z97" s="29">
        <v>4.0</v>
      </c>
    </row>
    <row r="98" ht="14.25" customHeight="1">
      <c r="A98" s="11"/>
      <c r="B98" s="11">
        <v>12.0</v>
      </c>
      <c r="C98" s="11" t="s">
        <v>95</v>
      </c>
      <c r="D98" s="11">
        <v>6.0</v>
      </c>
      <c r="E98" s="11"/>
      <c r="F98" s="11">
        <v>0.0</v>
      </c>
      <c r="G98" s="11" t="s">
        <v>422</v>
      </c>
      <c r="H98" s="11" t="s">
        <v>58</v>
      </c>
      <c r="I98" s="11">
        <v>148.0</v>
      </c>
      <c r="J98" s="58">
        <v>0.0</v>
      </c>
      <c r="K98" s="11" t="s">
        <v>853</v>
      </c>
      <c r="L98" s="11">
        <v>10.0</v>
      </c>
      <c r="M98" s="11">
        <v>78.0</v>
      </c>
      <c r="N98" s="11">
        <v>-47.0</v>
      </c>
      <c r="O98" s="11">
        <v>125.0</v>
      </c>
      <c r="P98" s="11">
        <v>-47.0</v>
      </c>
      <c r="Q98" s="11">
        <v>168.0</v>
      </c>
      <c r="R98" s="11">
        <v>177.0</v>
      </c>
      <c r="S98" s="11">
        <v>125.0</v>
      </c>
      <c r="T98" s="11">
        <v>102.0</v>
      </c>
      <c r="U98" s="11">
        <v>103.0</v>
      </c>
      <c r="V98" s="11">
        <v>125.0</v>
      </c>
      <c r="W98" s="11">
        <v>16.0</v>
      </c>
      <c r="X98" s="11">
        <v>-10.0</v>
      </c>
      <c r="Y98" s="11">
        <v>22.0</v>
      </c>
      <c r="Z98" s="29">
        <v>36.0</v>
      </c>
    </row>
    <row r="99" ht="14.25" customHeight="1">
      <c r="A99" s="11"/>
      <c r="B99" s="11">
        <v>16.0</v>
      </c>
      <c r="C99" s="11" t="s">
        <v>95</v>
      </c>
      <c r="D99" s="11"/>
      <c r="E99" s="11"/>
      <c r="F99" s="11">
        <v>0.0</v>
      </c>
      <c r="G99" s="11" t="s">
        <v>393</v>
      </c>
      <c r="H99" s="11" t="s">
        <v>231</v>
      </c>
      <c r="I99" s="11">
        <v>181.0</v>
      </c>
      <c r="J99" s="58">
        <v>0.0</v>
      </c>
      <c r="K99" s="11" t="s">
        <v>872</v>
      </c>
      <c r="L99" s="11">
        <v>16.0</v>
      </c>
      <c r="M99" s="11">
        <v>123.0</v>
      </c>
      <c r="N99" s="11">
        <v>-48.0</v>
      </c>
      <c r="O99" s="11">
        <v>163.0</v>
      </c>
      <c r="P99" s="11">
        <v>-40.0</v>
      </c>
      <c r="Q99" s="11">
        <v>165.0</v>
      </c>
      <c r="R99" s="11">
        <v>253.0</v>
      </c>
      <c r="S99" s="11">
        <v>152.0</v>
      </c>
      <c r="T99" s="11">
        <v>149.0</v>
      </c>
      <c r="U99" s="11">
        <v>198.0</v>
      </c>
      <c r="V99" s="11">
        <v>171.0</v>
      </c>
      <c r="W99" s="11">
        <v>22.0</v>
      </c>
      <c r="X99" s="11">
        <v>-22.0</v>
      </c>
      <c r="Y99" s="11">
        <v>-40.0</v>
      </c>
      <c r="Z99" s="29">
        <v>40.0</v>
      </c>
    </row>
    <row r="100" ht="14.25" customHeight="1">
      <c r="A100" s="11"/>
      <c r="B100" s="11">
        <v>12.0</v>
      </c>
      <c r="C100" s="11" t="s">
        <v>106</v>
      </c>
      <c r="D100" s="11">
        <v>9.0</v>
      </c>
      <c r="E100" s="11"/>
      <c r="F100" s="11">
        <v>0.0</v>
      </c>
      <c r="G100" s="11" t="s">
        <v>848</v>
      </c>
      <c r="H100" s="11" t="s">
        <v>192</v>
      </c>
      <c r="I100" s="11">
        <v>124.0</v>
      </c>
      <c r="J100" s="58">
        <v>0.0</v>
      </c>
      <c r="K100" s="11" t="s">
        <v>863</v>
      </c>
      <c r="L100" s="11">
        <v>17.0</v>
      </c>
      <c r="M100" s="11">
        <v>130.0</v>
      </c>
      <c r="N100" s="11">
        <v>5.0</v>
      </c>
      <c r="O100" s="11">
        <v>86.0</v>
      </c>
      <c r="P100" s="11">
        <v>44.0</v>
      </c>
      <c r="Q100" s="11">
        <v>96.0</v>
      </c>
      <c r="R100" s="11">
        <v>172.0</v>
      </c>
      <c r="S100" s="11">
        <v>109.0</v>
      </c>
      <c r="T100" s="11">
        <v>142.0</v>
      </c>
      <c r="U100" s="11">
        <v>143.0</v>
      </c>
      <c r="V100" s="11">
        <v>125.0</v>
      </c>
      <c r="W100" s="11">
        <v>16.0</v>
      </c>
      <c r="X100" s="11">
        <v>-7.0</v>
      </c>
      <c r="Y100" s="11">
        <v>-21.0</v>
      </c>
      <c r="Z100" s="29">
        <v>49.0</v>
      </c>
    </row>
    <row r="101" ht="14.25" customHeight="1">
      <c r="A101" s="11"/>
      <c r="B101" s="11" t="e">
        <v>#N/A</v>
      </c>
      <c r="C101" s="11" t="s">
        <v>95</v>
      </c>
      <c r="D101" s="11">
        <v>7.0</v>
      </c>
      <c r="E101" s="11"/>
      <c r="F101" s="11" t="e">
        <v>#N/A</v>
      </c>
      <c r="G101" s="11" t="s">
        <v>850</v>
      </c>
      <c r="H101" s="11" t="e">
        <v>#N/A</v>
      </c>
      <c r="I101" s="11" t="e">
        <v>#N/A</v>
      </c>
      <c r="J101" s="59" t="e">
        <v>#N/A</v>
      </c>
      <c r="K101" s="11" t="e">
        <v>#N/A</v>
      </c>
      <c r="L101" s="11">
        <v>16.0</v>
      </c>
      <c r="M101" s="11" t="e">
        <v>#N/A</v>
      </c>
      <c r="N101" s="11" t="e">
        <v>#N/A</v>
      </c>
      <c r="O101" s="11" t="e">
        <v>#N/A</v>
      </c>
      <c r="P101" s="11" t="e">
        <v>#N/A</v>
      </c>
      <c r="Q101" s="11" t="e">
        <v>#N/A</v>
      </c>
      <c r="R101" s="11" t="e">
        <v>#N/A</v>
      </c>
      <c r="S101" s="11" t="e">
        <v>#N/A</v>
      </c>
      <c r="T101" s="11" t="e">
        <v>#N/A</v>
      </c>
      <c r="U101" s="11" t="e">
        <v>#N/A</v>
      </c>
      <c r="V101" s="11" t="e">
        <v>#N/A</v>
      </c>
      <c r="W101" s="11">
        <v>16.0</v>
      </c>
      <c r="X101" s="11">
        <v>-9.0</v>
      </c>
      <c r="Y101" s="11" t="e">
        <v>#N/A</v>
      </c>
      <c r="Z101" s="29" t="e">
        <v>#N/A</v>
      </c>
    </row>
    <row r="102" ht="14.25" customHeight="1">
      <c r="A102" s="11"/>
      <c r="B102" s="11">
        <v>14.0</v>
      </c>
      <c r="C102" s="11" t="s">
        <v>106</v>
      </c>
      <c r="D102" s="11">
        <v>9.0</v>
      </c>
      <c r="E102" s="11"/>
      <c r="F102" s="11">
        <v>0.0</v>
      </c>
      <c r="G102" s="11" t="s">
        <v>826</v>
      </c>
      <c r="H102" s="11" t="s">
        <v>102</v>
      </c>
      <c r="I102" s="11">
        <v>151.0</v>
      </c>
      <c r="J102" s="37">
        <v>0.0</v>
      </c>
      <c r="K102" s="11" t="s">
        <v>866</v>
      </c>
      <c r="L102" s="11">
        <v>24.0</v>
      </c>
      <c r="M102" s="11">
        <v>190.0</v>
      </c>
      <c r="N102" s="11">
        <v>16.0</v>
      </c>
      <c r="O102" s="11">
        <v>214.0</v>
      </c>
      <c r="P102" s="11">
        <v>-24.0</v>
      </c>
      <c r="Q102" s="11">
        <v>170.0</v>
      </c>
      <c r="R102" s="11">
        <v>211.0</v>
      </c>
      <c r="S102" s="11">
        <v>162.0</v>
      </c>
      <c r="T102" s="11">
        <v>150.0</v>
      </c>
      <c r="U102" s="11">
        <v>126.0</v>
      </c>
      <c r="V102" s="11">
        <v>174.0</v>
      </c>
      <c r="W102" s="11">
        <v>22.0</v>
      </c>
      <c r="X102" s="11">
        <v>-13.0</v>
      </c>
      <c r="Y102" s="11">
        <v>0.0</v>
      </c>
      <c r="Z102" s="29" t="s">
        <v>866</v>
      </c>
    </row>
    <row r="103" ht="14.25" customHeight="1">
      <c r="A103" s="11" t="s">
        <v>106</v>
      </c>
      <c r="B103" s="11" t="e">
        <v>#N/A</v>
      </c>
      <c r="C103" s="11" t="s">
        <v>95</v>
      </c>
      <c r="D103" s="11">
        <v>9.0</v>
      </c>
      <c r="E103" s="11"/>
      <c r="F103" s="11" t="e">
        <v>#N/A</v>
      </c>
      <c r="G103" s="11" t="s">
        <v>253</v>
      </c>
      <c r="H103" s="11" t="e">
        <v>#N/A</v>
      </c>
      <c r="I103" s="11" t="e">
        <v>#N/A</v>
      </c>
      <c r="J103" s="48" t="e">
        <v>#N/A</v>
      </c>
      <c r="K103" s="11" t="e">
        <v>#N/A</v>
      </c>
      <c r="L103" s="11">
        <v>16.0</v>
      </c>
      <c r="M103" s="11" t="e">
        <v>#N/A</v>
      </c>
      <c r="N103" s="11" t="e">
        <v>#N/A</v>
      </c>
      <c r="O103" s="11" t="e">
        <v>#N/A</v>
      </c>
      <c r="P103" s="11" t="e">
        <v>#N/A</v>
      </c>
      <c r="Q103" s="11" t="e">
        <v>#N/A</v>
      </c>
      <c r="R103" s="11" t="e">
        <v>#N/A</v>
      </c>
      <c r="S103" s="11" t="e">
        <v>#N/A</v>
      </c>
      <c r="T103" s="11" t="e">
        <v>#N/A</v>
      </c>
      <c r="U103" s="11" t="e">
        <v>#N/A</v>
      </c>
      <c r="V103" s="11" t="e">
        <v>#N/A</v>
      </c>
      <c r="W103" s="11">
        <v>16.0</v>
      </c>
      <c r="X103" s="11">
        <v>-7.0</v>
      </c>
      <c r="Y103" s="11" t="e">
        <v>#N/A</v>
      </c>
      <c r="Z103" s="29" t="e">
        <v>#N/A</v>
      </c>
    </row>
    <row r="104" ht="14.25" customHeight="1">
      <c r="A104" s="11"/>
      <c r="B104" s="11" t="e">
        <v>#N/A</v>
      </c>
      <c r="C104" s="11" t="s">
        <v>95</v>
      </c>
      <c r="D104" s="11">
        <v>9.0</v>
      </c>
      <c r="E104" s="11"/>
      <c r="F104" s="11" t="e">
        <v>#N/A</v>
      </c>
      <c r="G104" s="11" t="s">
        <v>859</v>
      </c>
      <c r="H104" s="11" t="e">
        <v>#N/A</v>
      </c>
      <c r="I104" s="11" t="e">
        <v>#N/A</v>
      </c>
      <c r="J104" s="58" t="e">
        <v>#N/A</v>
      </c>
      <c r="K104" s="11" t="e">
        <v>#N/A</v>
      </c>
      <c r="L104" s="11">
        <v>16.0</v>
      </c>
      <c r="M104" s="11" t="e">
        <v>#N/A</v>
      </c>
      <c r="N104" s="11" t="e">
        <v>#N/A</v>
      </c>
      <c r="O104" s="11" t="e">
        <v>#N/A</v>
      </c>
      <c r="P104" s="11" t="e">
        <v>#N/A</v>
      </c>
      <c r="Q104" s="11" t="e">
        <v>#N/A</v>
      </c>
      <c r="R104" s="11" t="e">
        <v>#N/A</v>
      </c>
      <c r="S104" s="11" t="e">
        <v>#N/A</v>
      </c>
      <c r="T104" s="11" t="e">
        <v>#N/A</v>
      </c>
      <c r="U104" s="11" t="e">
        <v>#N/A</v>
      </c>
      <c r="V104" s="11" t="e">
        <v>#N/A</v>
      </c>
      <c r="W104" s="11">
        <v>16.0</v>
      </c>
      <c r="X104" s="11">
        <v>-7.0</v>
      </c>
      <c r="Y104" s="11" t="e">
        <v>#N/A</v>
      </c>
      <c r="Z104" s="29" t="e">
        <v>#N/A</v>
      </c>
    </row>
    <row r="105" ht="14.25" customHeight="1">
      <c r="A105" s="11"/>
      <c r="B105" s="11">
        <v>2.0</v>
      </c>
      <c r="C105" s="11" t="s">
        <v>95</v>
      </c>
      <c r="D105" s="11">
        <v>10.0</v>
      </c>
      <c r="E105" s="11"/>
      <c r="F105" s="11">
        <v>0.0</v>
      </c>
      <c r="G105" s="11" t="s">
        <v>111</v>
      </c>
      <c r="H105" s="11" t="s">
        <v>98</v>
      </c>
      <c r="I105" s="11">
        <v>19.0</v>
      </c>
      <c r="J105" s="57">
        <v>0.0</v>
      </c>
      <c r="K105" s="11" t="s">
        <v>166</v>
      </c>
      <c r="L105" s="11">
        <v>3.0</v>
      </c>
      <c r="M105" s="11">
        <v>19.0</v>
      </c>
      <c r="N105" s="11">
        <v>2.0</v>
      </c>
      <c r="O105" s="11">
        <v>24.0</v>
      </c>
      <c r="P105" s="11">
        <v>-5.0</v>
      </c>
      <c r="Q105" s="11">
        <v>20.0</v>
      </c>
      <c r="R105" s="11">
        <v>19.0</v>
      </c>
      <c r="S105" s="11">
        <v>7.0</v>
      </c>
      <c r="T105" s="11">
        <v>18.0</v>
      </c>
      <c r="U105" s="11">
        <v>17.0</v>
      </c>
      <c r="V105" s="11">
        <v>17.0</v>
      </c>
      <c r="W105" s="11">
        <v>3.0</v>
      </c>
      <c r="X105" s="11">
        <v>7.0</v>
      </c>
      <c r="Y105" s="11">
        <v>6.0</v>
      </c>
      <c r="Z105" s="29">
        <v>1.0</v>
      </c>
    </row>
    <row r="106" ht="14.25" customHeight="1">
      <c r="A106" s="11"/>
      <c r="B106" s="11">
        <v>3.0</v>
      </c>
      <c r="C106" s="11" t="s">
        <v>106</v>
      </c>
      <c r="D106" s="11">
        <v>9.0</v>
      </c>
      <c r="E106" s="11"/>
      <c r="F106" s="11">
        <v>0.0</v>
      </c>
      <c r="G106" s="11" t="s">
        <v>173</v>
      </c>
      <c r="H106" s="11" t="s">
        <v>105</v>
      </c>
      <c r="I106" s="11">
        <v>22.0</v>
      </c>
      <c r="J106" s="33">
        <v>0.0</v>
      </c>
      <c r="K106" s="11" t="s">
        <v>845</v>
      </c>
      <c r="L106" s="11">
        <v>4.0</v>
      </c>
      <c r="M106" s="11">
        <v>24.0</v>
      </c>
      <c r="N106" s="11">
        <v>-1.0</v>
      </c>
      <c r="O106" s="11">
        <v>29.0</v>
      </c>
      <c r="P106" s="11">
        <v>-5.0</v>
      </c>
      <c r="Q106" s="11">
        <v>30.0</v>
      </c>
      <c r="R106" s="11">
        <v>24.0</v>
      </c>
      <c r="S106" s="11">
        <v>25.0</v>
      </c>
      <c r="T106" s="11">
        <v>23.0</v>
      </c>
      <c r="U106" s="11">
        <v>23.0</v>
      </c>
      <c r="V106" s="11">
        <v>25.0</v>
      </c>
      <c r="W106" s="11">
        <v>4.0</v>
      </c>
      <c r="X106" s="11">
        <v>5.0</v>
      </c>
      <c r="Y106" s="11">
        <v>-3.0</v>
      </c>
      <c r="Z106" s="29">
        <v>10.0</v>
      </c>
    </row>
    <row r="107" ht="14.25" customHeight="1">
      <c r="A107" s="11"/>
      <c r="B107" s="11">
        <v>5.0</v>
      </c>
      <c r="C107" s="11" t="s">
        <v>95</v>
      </c>
      <c r="D107" s="11">
        <v>9.0</v>
      </c>
      <c r="E107" s="11"/>
      <c r="F107" s="11">
        <v>0.0</v>
      </c>
      <c r="G107" s="11" t="s">
        <v>261</v>
      </c>
      <c r="H107" s="11" t="s">
        <v>176</v>
      </c>
      <c r="I107" s="11">
        <v>46.0</v>
      </c>
      <c r="J107" s="37" t="s">
        <v>106</v>
      </c>
      <c r="K107" s="11" t="s">
        <v>864</v>
      </c>
      <c r="L107" s="11">
        <v>7.0</v>
      </c>
      <c r="M107" s="11">
        <v>50.0</v>
      </c>
      <c r="N107" s="11">
        <v>-3.0</v>
      </c>
      <c r="O107" s="11">
        <v>53.0</v>
      </c>
      <c r="P107" s="11">
        <v>-3.0</v>
      </c>
      <c r="Q107" s="11">
        <v>58.0</v>
      </c>
      <c r="R107" s="11">
        <v>59.0</v>
      </c>
      <c r="S107" s="11">
        <v>50.0</v>
      </c>
      <c r="T107" s="11">
        <v>47.0</v>
      </c>
      <c r="U107" s="11">
        <v>56.0</v>
      </c>
      <c r="V107" s="11">
        <v>53.0</v>
      </c>
      <c r="W107" s="11">
        <v>7.0</v>
      </c>
      <c r="X107" s="11">
        <v>2.0</v>
      </c>
      <c r="Y107" s="11">
        <v>6.0</v>
      </c>
      <c r="Z107" s="29">
        <v>26.0</v>
      </c>
    </row>
    <row r="108" ht="14.25" customHeight="1">
      <c r="A108" s="11"/>
      <c r="B108" s="11">
        <v>2.0</v>
      </c>
      <c r="C108" s="11" t="s">
        <v>95</v>
      </c>
      <c r="D108" s="11">
        <v>9.0</v>
      </c>
      <c r="E108" s="11"/>
      <c r="F108" s="11">
        <v>0.0</v>
      </c>
      <c r="G108" s="11" t="s">
        <v>242</v>
      </c>
      <c r="H108" s="11" t="s">
        <v>206</v>
      </c>
      <c r="I108" s="11">
        <v>11.0</v>
      </c>
      <c r="J108" s="33">
        <v>0.0</v>
      </c>
      <c r="K108" s="11" t="s">
        <v>846</v>
      </c>
      <c r="L108" s="11">
        <v>3.0</v>
      </c>
      <c r="M108" s="11">
        <v>16.0</v>
      </c>
      <c r="N108" s="11">
        <v>1.0</v>
      </c>
      <c r="O108" s="11">
        <v>20.0</v>
      </c>
      <c r="P108" s="11">
        <v>-4.0</v>
      </c>
      <c r="Q108" s="11">
        <v>16.0</v>
      </c>
      <c r="R108" s="11">
        <v>14.0</v>
      </c>
      <c r="S108" s="11">
        <v>16.0</v>
      </c>
      <c r="T108" s="11">
        <v>11.0</v>
      </c>
      <c r="U108" s="11">
        <v>13.0</v>
      </c>
      <c r="V108" s="11">
        <v>15.0</v>
      </c>
      <c r="W108" s="11">
        <v>2.0</v>
      </c>
      <c r="X108" s="11">
        <v>7.0</v>
      </c>
      <c r="Y108" s="11">
        <v>-2.0</v>
      </c>
      <c r="Z108" s="29">
        <v>8.0</v>
      </c>
    </row>
    <row r="109" ht="14.25" customHeight="1">
      <c r="A109" s="11"/>
      <c r="B109" s="11">
        <v>10.0</v>
      </c>
      <c r="C109" s="11" t="s">
        <v>106</v>
      </c>
      <c r="D109" s="11">
        <v>9.0</v>
      </c>
      <c r="E109" s="27"/>
      <c r="F109" s="11">
        <v>0.0</v>
      </c>
      <c r="G109" s="11" t="s">
        <v>672</v>
      </c>
      <c r="H109" s="11" t="s">
        <v>67</v>
      </c>
      <c r="I109" s="11">
        <v>78.0</v>
      </c>
      <c r="J109" s="37">
        <v>0.0</v>
      </c>
      <c r="K109" s="11" t="s">
        <v>857</v>
      </c>
      <c r="L109" s="11">
        <v>15.0</v>
      </c>
      <c r="M109" s="11">
        <v>118.0</v>
      </c>
      <c r="N109" s="11">
        <v>3.0</v>
      </c>
      <c r="O109" s="11">
        <v>113.0</v>
      </c>
      <c r="P109" s="11">
        <v>5.0</v>
      </c>
      <c r="Q109" s="11">
        <v>111.0</v>
      </c>
      <c r="R109" s="11">
        <v>126.0</v>
      </c>
      <c r="S109" s="11">
        <v>102.0</v>
      </c>
      <c r="T109" s="11">
        <v>99.0</v>
      </c>
      <c r="U109" s="11">
        <v>139.0</v>
      </c>
      <c r="V109" s="11">
        <v>115.0</v>
      </c>
      <c r="W109" s="11">
        <v>15.0</v>
      </c>
      <c r="X109" s="11">
        <v>-6.0</v>
      </c>
      <c r="Y109" s="11">
        <v>7.0</v>
      </c>
      <c r="Z109" s="29">
        <v>51.0</v>
      </c>
    </row>
    <row r="110" ht="14.25" customHeight="1">
      <c r="A110" s="11"/>
      <c r="B110" s="11">
        <v>20.0</v>
      </c>
      <c r="C110" s="11" t="s">
        <v>106</v>
      </c>
      <c r="D110" s="11">
        <v>9.0</v>
      </c>
      <c r="E110" s="11"/>
      <c r="F110" s="11">
        <v>0.0</v>
      </c>
      <c r="G110" s="11" t="s">
        <v>869</v>
      </c>
      <c r="H110" s="11" t="s">
        <v>109</v>
      </c>
      <c r="I110" s="11">
        <v>225.0</v>
      </c>
      <c r="J110" s="37">
        <v>0.0</v>
      </c>
      <c r="K110" s="11" t="s">
        <v>866</v>
      </c>
      <c r="L110" s="11">
        <v>26.0</v>
      </c>
      <c r="M110" s="11">
        <v>205.0</v>
      </c>
      <c r="N110" s="11">
        <v>-27.0</v>
      </c>
      <c r="O110" s="11" t="s">
        <v>36</v>
      </c>
      <c r="P110" s="11" t="e">
        <v>#VALUE!</v>
      </c>
      <c r="Q110" s="11" t="s">
        <v>36</v>
      </c>
      <c r="R110" s="11">
        <v>319.0</v>
      </c>
      <c r="S110" s="11">
        <v>229.0</v>
      </c>
      <c r="T110" s="11">
        <v>218.0</v>
      </c>
      <c r="U110" s="11">
        <v>191.0</v>
      </c>
      <c r="V110" s="11">
        <v>232.0</v>
      </c>
      <c r="W110" s="11">
        <v>30.0</v>
      </c>
      <c r="X110" s="11">
        <v>-21.0</v>
      </c>
      <c r="Y110" s="11">
        <v>11.0</v>
      </c>
      <c r="Z110" s="29" t="s">
        <v>866</v>
      </c>
    </row>
    <row r="111" ht="14.25" customHeight="1">
      <c r="A111" s="11"/>
      <c r="B111" s="11">
        <v>11.0</v>
      </c>
      <c r="C111" s="11" t="s">
        <v>106</v>
      </c>
      <c r="D111" s="11">
        <v>10.0</v>
      </c>
      <c r="E111" s="11"/>
      <c r="F111" s="11">
        <v>0.0</v>
      </c>
      <c r="G111" s="11" t="s">
        <v>244</v>
      </c>
      <c r="H111" s="11" t="s">
        <v>171</v>
      </c>
      <c r="I111" s="11">
        <v>108.0</v>
      </c>
      <c r="J111" s="59">
        <v>0.0</v>
      </c>
      <c r="K111" s="11" t="s">
        <v>873</v>
      </c>
      <c r="L111" s="11">
        <v>16.0</v>
      </c>
      <c r="M111" s="11">
        <v>126.0</v>
      </c>
      <c r="N111" s="11">
        <v>4.0</v>
      </c>
      <c r="O111" s="11">
        <v>120.0</v>
      </c>
      <c r="P111" s="11">
        <v>6.0</v>
      </c>
      <c r="Q111" s="11">
        <v>112.0</v>
      </c>
      <c r="R111" s="11">
        <v>155.0</v>
      </c>
      <c r="S111" s="11">
        <v>124.0</v>
      </c>
      <c r="T111" s="11">
        <v>109.0</v>
      </c>
      <c r="U111" s="11">
        <v>114.0</v>
      </c>
      <c r="V111" s="11">
        <v>122.0</v>
      </c>
      <c r="W111" s="11">
        <v>16.0</v>
      </c>
      <c r="X111" s="11">
        <v>-6.0</v>
      </c>
      <c r="Y111" s="11">
        <v>-19.0</v>
      </c>
      <c r="Z111" s="29">
        <v>13.0</v>
      </c>
    </row>
    <row r="112" ht="14.25" customHeight="1">
      <c r="A112" s="11"/>
      <c r="B112" s="11">
        <v>8.0</v>
      </c>
      <c r="C112" s="11" t="s">
        <v>106</v>
      </c>
      <c r="D112" s="11">
        <v>9.0</v>
      </c>
      <c r="E112" s="11"/>
      <c r="F112" s="11">
        <v>0.0</v>
      </c>
      <c r="G112" s="11" t="s">
        <v>303</v>
      </c>
      <c r="H112" s="11" t="s">
        <v>75</v>
      </c>
      <c r="I112" s="11">
        <v>82.0</v>
      </c>
      <c r="J112" s="37">
        <v>0.0</v>
      </c>
      <c r="K112" s="11" t="s">
        <v>865</v>
      </c>
      <c r="L112" s="11">
        <v>11.0</v>
      </c>
      <c r="M112" s="11">
        <v>81.0</v>
      </c>
      <c r="N112" s="11">
        <v>-13.0</v>
      </c>
      <c r="O112" s="11">
        <v>103.0</v>
      </c>
      <c r="P112" s="11">
        <v>-22.0</v>
      </c>
      <c r="Q112" s="11">
        <v>110.0</v>
      </c>
      <c r="R112" s="11">
        <v>93.0</v>
      </c>
      <c r="S112" s="11">
        <v>95.0</v>
      </c>
      <c r="T112" s="11">
        <v>84.0</v>
      </c>
      <c r="U112" s="11">
        <v>94.0</v>
      </c>
      <c r="V112" s="11">
        <v>94.0</v>
      </c>
      <c r="W112" s="11">
        <v>12.0</v>
      </c>
      <c r="X112" s="11">
        <v>-3.0</v>
      </c>
      <c r="Y112" s="11">
        <v>-10.0</v>
      </c>
      <c r="Z112" s="29">
        <v>36.0</v>
      </c>
    </row>
    <row r="113" ht="14.25" customHeight="1">
      <c r="A113" s="11"/>
      <c r="B113" s="11">
        <v>12.0</v>
      </c>
      <c r="C113" s="11" t="s">
        <v>106</v>
      </c>
      <c r="D113" s="11">
        <v>9.0</v>
      </c>
      <c r="E113" s="11"/>
      <c r="F113" s="11">
        <v>0.0</v>
      </c>
      <c r="G113" s="11" t="s">
        <v>328</v>
      </c>
      <c r="H113" s="11" t="s">
        <v>85</v>
      </c>
      <c r="I113" s="11">
        <v>144.0</v>
      </c>
      <c r="J113" s="57">
        <v>0.0</v>
      </c>
      <c r="K113" s="11" t="s">
        <v>866</v>
      </c>
      <c r="L113" s="11">
        <v>18.0</v>
      </c>
      <c r="M113" s="11">
        <v>138.0</v>
      </c>
      <c r="N113" s="11">
        <v>-2.0</v>
      </c>
      <c r="O113" s="11">
        <v>124.0</v>
      </c>
      <c r="P113" s="11">
        <v>14.0</v>
      </c>
      <c r="Q113" s="11">
        <v>131.0</v>
      </c>
      <c r="R113" s="11">
        <v>170.0</v>
      </c>
      <c r="S113" s="11">
        <v>123.0</v>
      </c>
      <c r="T113" s="11">
        <v>152.0</v>
      </c>
      <c r="U113" s="11">
        <v>142.0</v>
      </c>
      <c r="V113" s="11">
        <v>140.0</v>
      </c>
      <c r="W113" s="11">
        <v>18.0</v>
      </c>
      <c r="X113" s="11">
        <v>-9.0</v>
      </c>
      <c r="Y113" s="11">
        <v>-22.0</v>
      </c>
      <c r="Z113" s="29" t="s">
        <v>866</v>
      </c>
    </row>
    <row r="114" ht="14.25" customHeight="1">
      <c r="A114" s="11"/>
      <c r="B114" s="11">
        <v>2.0</v>
      </c>
      <c r="C114" s="11" t="s">
        <v>95</v>
      </c>
      <c r="D114" s="11">
        <v>9.0</v>
      </c>
      <c r="E114" s="11"/>
      <c r="F114" s="11">
        <v>0.0</v>
      </c>
      <c r="G114" s="11" t="s">
        <v>80</v>
      </c>
      <c r="H114" s="11" t="s">
        <v>45</v>
      </c>
      <c r="I114" s="11">
        <v>16.0</v>
      </c>
      <c r="J114" s="58" t="s">
        <v>106</v>
      </c>
      <c r="K114" s="11" t="s">
        <v>847</v>
      </c>
      <c r="L114" s="11">
        <v>4.0</v>
      </c>
      <c r="M114" s="11">
        <v>28.0</v>
      </c>
      <c r="N114" s="11">
        <v>7.0</v>
      </c>
      <c r="O114" s="11">
        <v>19.0</v>
      </c>
      <c r="P114" s="11">
        <v>9.0</v>
      </c>
      <c r="Q114" s="11">
        <v>24.0</v>
      </c>
      <c r="R114" s="11">
        <v>18.0</v>
      </c>
      <c r="S114" s="11">
        <v>17.0</v>
      </c>
      <c r="T114" s="11">
        <v>17.0</v>
      </c>
      <c r="U114" s="11">
        <v>26.0</v>
      </c>
      <c r="V114" s="11">
        <v>21.0</v>
      </c>
      <c r="W114" s="11">
        <v>3.0</v>
      </c>
      <c r="X114" s="11">
        <v>6.0</v>
      </c>
      <c r="Y114" s="11">
        <v>0.0</v>
      </c>
      <c r="Z114" s="29">
        <v>10.0</v>
      </c>
    </row>
    <row r="115" ht="14.25" customHeight="1">
      <c r="A115" s="11"/>
      <c r="B115" s="11">
        <v>5.0</v>
      </c>
      <c r="C115" s="11" t="s">
        <v>95</v>
      </c>
      <c r="D115" s="11">
        <v>9.0</v>
      </c>
      <c r="E115" s="11"/>
      <c r="F115" s="11">
        <v>0.0</v>
      </c>
      <c r="G115" s="11" t="s">
        <v>203</v>
      </c>
      <c r="H115" s="11" t="s">
        <v>35</v>
      </c>
      <c r="I115" s="11">
        <v>48.0</v>
      </c>
      <c r="J115" s="40">
        <v>0.0</v>
      </c>
      <c r="K115" s="11" t="s">
        <v>864</v>
      </c>
      <c r="L115" s="11">
        <v>8.0</v>
      </c>
      <c r="M115" s="11">
        <v>60.0</v>
      </c>
      <c r="N115" s="11">
        <v>1.0</v>
      </c>
      <c r="O115" s="11">
        <v>64.0</v>
      </c>
      <c r="P115" s="11">
        <v>-4.0</v>
      </c>
      <c r="Q115" s="11">
        <v>65.0</v>
      </c>
      <c r="R115" s="11">
        <v>64.0</v>
      </c>
      <c r="S115" s="11">
        <v>57.0</v>
      </c>
      <c r="T115" s="11">
        <v>53.0</v>
      </c>
      <c r="U115" s="11">
        <v>51.0</v>
      </c>
      <c r="V115" s="11">
        <v>59.0</v>
      </c>
      <c r="W115" s="11">
        <v>8.0</v>
      </c>
      <c r="X115" s="11">
        <v>1.0</v>
      </c>
      <c r="Y115" s="11">
        <v>-2.0</v>
      </c>
      <c r="Z115" s="29">
        <v>23.0</v>
      </c>
    </row>
    <row r="116" ht="14.25" customHeight="1">
      <c r="A116" s="11"/>
      <c r="B116" s="11">
        <v>13.0</v>
      </c>
      <c r="C116" s="11" t="s">
        <v>95</v>
      </c>
      <c r="D116" s="11">
        <v>11.0</v>
      </c>
      <c r="E116" s="11"/>
      <c r="F116" s="11">
        <v>0.0</v>
      </c>
      <c r="G116" s="11" t="s">
        <v>874</v>
      </c>
      <c r="H116" s="11" t="s">
        <v>119</v>
      </c>
      <c r="I116" s="11">
        <v>145.0</v>
      </c>
      <c r="J116" s="59">
        <v>0.0</v>
      </c>
      <c r="K116" s="11" t="s">
        <v>863</v>
      </c>
      <c r="L116" s="11">
        <v>18.0</v>
      </c>
      <c r="M116" s="11">
        <v>141.0</v>
      </c>
      <c r="N116" s="11">
        <v>-6.0</v>
      </c>
      <c r="O116" s="11">
        <v>111.0</v>
      </c>
      <c r="P116" s="11">
        <v>30.0</v>
      </c>
      <c r="Q116" s="11">
        <v>133.0</v>
      </c>
      <c r="R116" s="11">
        <v>194.0</v>
      </c>
      <c r="S116" s="11">
        <v>128.0</v>
      </c>
      <c r="T116" s="11">
        <v>147.0</v>
      </c>
      <c r="U116" s="11">
        <v>175.0</v>
      </c>
      <c r="V116" s="11">
        <v>147.0</v>
      </c>
      <c r="W116" s="11">
        <v>19.0</v>
      </c>
      <c r="X116" s="11">
        <v>-8.0</v>
      </c>
      <c r="Y116" s="11">
        <v>-8.0</v>
      </c>
      <c r="Z116" s="29">
        <v>47.0</v>
      </c>
    </row>
    <row r="117" ht="14.25" customHeight="1">
      <c r="A117" s="11"/>
      <c r="B117" s="11">
        <v>16.0</v>
      </c>
      <c r="C117" s="11" t="s">
        <v>106</v>
      </c>
      <c r="D117" s="11">
        <v>9.0</v>
      </c>
      <c r="E117" s="11"/>
      <c r="F117" s="11">
        <v>0.0</v>
      </c>
      <c r="G117" s="11" t="s">
        <v>639</v>
      </c>
      <c r="H117" s="11" t="s">
        <v>94</v>
      </c>
      <c r="I117" s="11">
        <v>153.0</v>
      </c>
      <c r="J117" s="60">
        <v>0.0</v>
      </c>
      <c r="K117" s="11" t="s">
        <v>878</v>
      </c>
      <c r="L117" s="11">
        <v>25.0</v>
      </c>
      <c r="M117" s="11">
        <v>198.0</v>
      </c>
      <c r="N117" s="11">
        <v>15.0</v>
      </c>
      <c r="O117" s="11">
        <v>154.0</v>
      </c>
      <c r="P117" s="11">
        <v>44.0</v>
      </c>
      <c r="Q117" s="11">
        <v>166.0</v>
      </c>
      <c r="R117" s="11">
        <v>217.0</v>
      </c>
      <c r="S117" s="11">
        <v>183.0</v>
      </c>
      <c r="T117" s="11">
        <v>174.0</v>
      </c>
      <c r="U117" s="11">
        <v>193.0</v>
      </c>
      <c r="V117" s="11">
        <v>183.0</v>
      </c>
      <c r="W117" s="11">
        <v>23.0</v>
      </c>
      <c r="X117" s="11">
        <v>-14.0</v>
      </c>
      <c r="Y117" s="11">
        <v>-31.0</v>
      </c>
      <c r="Z117" s="29">
        <v>20.0</v>
      </c>
    </row>
    <row r="118" ht="14.25" customHeight="1">
      <c r="A118" s="11"/>
      <c r="B118" s="11">
        <v>10.0</v>
      </c>
      <c r="C118" s="11" t="s">
        <v>106</v>
      </c>
      <c r="D118" s="11">
        <v>9.0</v>
      </c>
      <c r="E118" s="11"/>
      <c r="F118" s="11">
        <v>0.0</v>
      </c>
      <c r="G118" s="11" t="s">
        <v>346</v>
      </c>
      <c r="H118" s="11" t="s">
        <v>35</v>
      </c>
      <c r="I118" s="11">
        <v>119.0</v>
      </c>
      <c r="J118" s="60">
        <v>0.0</v>
      </c>
      <c r="K118" s="11" t="s">
        <v>867</v>
      </c>
      <c r="L118" s="11">
        <v>13.0</v>
      </c>
      <c r="M118" s="11">
        <v>97.0</v>
      </c>
      <c r="N118" s="11">
        <v>-12.0</v>
      </c>
      <c r="O118" s="11">
        <v>93.0</v>
      </c>
      <c r="P118" s="11">
        <v>4.0</v>
      </c>
      <c r="Q118" s="11">
        <v>123.0</v>
      </c>
      <c r="R118" s="11">
        <v>115.0</v>
      </c>
      <c r="S118" s="11">
        <v>132.0</v>
      </c>
      <c r="T118" s="11">
        <v>103.0</v>
      </c>
      <c r="U118" s="11">
        <v>105.0</v>
      </c>
      <c r="V118" s="11">
        <v>109.0</v>
      </c>
      <c r="W118" s="11">
        <v>14.0</v>
      </c>
      <c r="X118" s="11">
        <v>-5.0</v>
      </c>
      <c r="Y118" s="11">
        <v>4.0</v>
      </c>
      <c r="Z118" s="29">
        <v>16.0</v>
      </c>
    </row>
    <row r="119" ht="14.25" customHeight="1">
      <c r="A119" s="11"/>
      <c r="B119" s="11" t="e">
        <v>#N/A</v>
      </c>
      <c r="C119" s="11" t="s">
        <v>106</v>
      </c>
      <c r="D119" s="11"/>
      <c r="E119" s="11"/>
      <c r="F119" s="11" t="e">
        <v>#N/A</v>
      </c>
      <c r="G119" s="11" t="s">
        <v>875</v>
      </c>
      <c r="H119" s="11" t="e">
        <v>#N/A</v>
      </c>
      <c r="I119" s="11" t="e">
        <v>#N/A</v>
      </c>
      <c r="J119" s="58" t="e">
        <v>#N/A</v>
      </c>
      <c r="K119" s="11" t="e">
        <v>#N/A</v>
      </c>
      <c r="L119" s="11">
        <v>16.0</v>
      </c>
      <c r="M119" s="11" t="e">
        <v>#N/A</v>
      </c>
      <c r="N119" s="11" t="e">
        <v>#N/A</v>
      </c>
      <c r="O119" s="11" t="e">
        <v>#N/A</v>
      </c>
      <c r="P119" s="11" t="e">
        <v>#N/A</v>
      </c>
      <c r="Q119" s="11" t="e">
        <v>#N/A</v>
      </c>
      <c r="R119" s="11" t="e">
        <v>#N/A</v>
      </c>
      <c r="S119" s="11" t="e">
        <v>#N/A</v>
      </c>
      <c r="T119" s="11" t="e">
        <v>#N/A</v>
      </c>
      <c r="U119" s="11" t="e">
        <v>#N/A</v>
      </c>
      <c r="V119" s="11" t="e">
        <v>#N/A</v>
      </c>
      <c r="W119" s="11">
        <v>16.0</v>
      </c>
      <c r="X119" s="11">
        <v>-16.0</v>
      </c>
      <c r="Y119" s="11" t="e">
        <v>#N/A</v>
      </c>
      <c r="Z119" s="29" t="e">
        <v>#N/A</v>
      </c>
    </row>
    <row r="120" ht="14.25" customHeight="1">
      <c r="A120" s="11" t="s">
        <v>106</v>
      </c>
      <c r="B120" s="11">
        <v>15.0</v>
      </c>
      <c r="C120" s="11" t="s">
        <v>95</v>
      </c>
      <c r="D120" s="11">
        <v>9.0</v>
      </c>
      <c r="E120" s="11"/>
      <c r="F120" s="11">
        <v>0.0</v>
      </c>
      <c r="G120" s="11" t="s">
        <v>876</v>
      </c>
      <c r="H120" s="11" t="s">
        <v>195</v>
      </c>
      <c r="I120" s="11">
        <v>168.0</v>
      </c>
      <c r="J120" s="59">
        <v>0.0</v>
      </c>
      <c r="K120" s="11" t="s">
        <v>879</v>
      </c>
      <c r="L120" s="11">
        <v>20.0</v>
      </c>
      <c r="M120" s="11">
        <v>157.0</v>
      </c>
      <c r="N120" s="11">
        <v>-10.0</v>
      </c>
      <c r="O120" s="11">
        <v>147.0</v>
      </c>
      <c r="P120" s="11">
        <v>10.0</v>
      </c>
      <c r="Q120" s="11">
        <v>147.0</v>
      </c>
      <c r="R120" s="11">
        <v>181.0</v>
      </c>
      <c r="S120" s="11">
        <v>146.0</v>
      </c>
      <c r="T120" s="11">
        <v>151.0</v>
      </c>
      <c r="U120" s="11">
        <v>244.0</v>
      </c>
      <c r="V120" s="11">
        <v>167.0</v>
      </c>
      <c r="W120" s="11">
        <v>21.0</v>
      </c>
      <c r="X120" s="11">
        <v>-12.0</v>
      </c>
      <c r="Y120" s="11">
        <v>-44.0</v>
      </c>
      <c r="Z120" s="29">
        <v>56.0</v>
      </c>
    </row>
    <row r="121" ht="14.25" customHeight="1">
      <c r="A121" s="11"/>
      <c r="B121" s="11" t="e">
        <v>#N/A</v>
      </c>
      <c r="C121" s="11" t="s">
        <v>106</v>
      </c>
      <c r="D121" s="11">
        <v>9.0</v>
      </c>
      <c r="E121" s="11"/>
      <c r="F121" s="11" t="e">
        <v>#N/A</v>
      </c>
      <c r="G121" s="11" t="s">
        <v>877</v>
      </c>
      <c r="H121" s="11" t="e">
        <v>#N/A</v>
      </c>
      <c r="I121" s="11" t="e">
        <v>#N/A</v>
      </c>
      <c r="J121" s="58" t="e">
        <v>#N/A</v>
      </c>
      <c r="K121" s="11" t="e">
        <v>#N/A</v>
      </c>
      <c r="L121" s="11">
        <v>16.0</v>
      </c>
      <c r="M121" s="11" t="e">
        <v>#N/A</v>
      </c>
      <c r="N121" s="11" t="e">
        <v>#N/A</v>
      </c>
      <c r="O121" s="11" t="e">
        <v>#N/A</v>
      </c>
      <c r="P121" s="11" t="e">
        <v>#N/A</v>
      </c>
      <c r="Q121" s="11" t="e">
        <v>#N/A</v>
      </c>
      <c r="R121" s="11" t="e">
        <v>#N/A</v>
      </c>
      <c r="S121" s="11" t="e">
        <v>#N/A</v>
      </c>
      <c r="T121" s="11" t="e">
        <v>#N/A</v>
      </c>
      <c r="U121" s="11" t="e">
        <v>#N/A</v>
      </c>
      <c r="V121" s="11" t="e">
        <v>#N/A</v>
      </c>
      <c r="W121" s="11">
        <v>16.0</v>
      </c>
      <c r="X121" s="11">
        <v>-7.0</v>
      </c>
      <c r="Y121" s="11" t="e">
        <v>#N/A</v>
      </c>
      <c r="Z121" s="29" t="e">
        <v>#N/A</v>
      </c>
    </row>
    <row r="122" ht="14.25" customHeight="1">
      <c r="A122" s="11"/>
      <c r="B122" s="11">
        <v>14.0</v>
      </c>
      <c r="C122" s="11" t="s">
        <v>106</v>
      </c>
      <c r="D122" s="11">
        <v>10.0</v>
      </c>
      <c r="E122" s="11"/>
      <c r="F122" s="11">
        <v>0.0</v>
      </c>
      <c r="G122" s="11" t="s">
        <v>268</v>
      </c>
      <c r="H122" s="11" t="s">
        <v>206</v>
      </c>
      <c r="I122" s="11">
        <v>132.0</v>
      </c>
      <c r="J122" s="59">
        <v>0.0</v>
      </c>
      <c r="K122" s="11" t="s">
        <v>867</v>
      </c>
      <c r="L122" s="11">
        <v>22.0</v>
      </c>
      <c r="M122" s="11">
        <v>168.0</v>
      </c>
      <c r="N122" s="11">
        <v>9.0</v>
      </c>
      <c r="O122" s="11">
        <v>151.0</v>
      </c>
      <c r="P122" s="11">
        <v>17.0</v>
      </c>
      <c r="Q122" s="11">
        <v>172.0</v>
      </c>
      <c r="R122" s="11">
        <v>162.0</v>
      </c>
      <c r="S122" s="11">
        <v>144.0</v>
      </c>
      <c r="T122" s="11">
        <v>138.0</v>
      </c>
      <c r="U122" s="11">
        <v>178.0</v>
      </c>
      <c r="V122" s="11">
        <v>159.0</v>
      </c>
      <c r="W122" s="11">
        <v>20.0</v>
      </c>
      <c r="X122" s="11">
        <v>-10.0</v>
      </c>
      <c r="Y122" s="11">
        <v>-27.0</v>
      </c>
      <c r="Z122" s="29">
        <v>19.0</v>
      </c>
    </row>
    <row r="123" ht="14.25" customHeight="1">
      <c r="A123" s="11"/>
      <c r="B123" s="11">
        <v>9.0</v>
      </c>
      <c r="C123" s="11" t="s">
        <v>106</v>
      </c>
      <c r="D123" s="11"/>
      <c r="E123" s="11"/>
      <c r="F123" s="11">
        <v>0.0</v>
      </c>
      <c r="G123" s="11" t="s">
        <v>374</v>
      </c>
      <c r="H123" s="11" t="s">
        <v>67</v>
      </c>
      <c r="I123" s="11">
        <v>92.0</v>
      </c>
      <c r="J123" s="49">
        <v>0.0</v>
      </c>
      <c r="K123" s="11" t="s">
        <v>861</v>
      </c>
      <c r="L123" s="11">
        <v>12.0</v>
      </c>
      <c r="M123" s="11">
        <v>93.0</v>
      </c>
      <c r="N123" s="11">
        <v>-11.0</v>
      </c>
      <c r="O123" s="11">
        <v>118.0</v>
      </c>
      <c r="P123" s="11">
        <v>-25.0</v>
      </c>
      <c r="Q123" s="11">
        <v>108.0</v>
      </c>
      <c r="R123" s="11">
        <v>116.0</v>
      </c>
      <c r="S123" s="11">
        <v>103.0</v>
      </c>
      <c r="T123" s="11">
        <v>88.0</v>
      </c>
      <c r="U123" s="11">
        <v>102.0</v>
      </c>
      <c r="V123" s="11">
        <v>104.0</v>
      </c>
      <c r="W123" s="11">
        <v>14.0</v>
      </c>
      <c r="X123" s="11">
        <v>-14.0</v>
      </c>
      <c r="Y123" s="11">
        <v>2.0</v>
      </c>
      <c r="Z123" s="29">
        <v>45.0</v>
      </c>
    </row>
    <row r="124" ht="14.25" customHeight="1">
      <c r="A124" s="11"/>
      <c r="B124" s="11">
        <v>21.0</v>
      </c>
      <c r="C124" s="11" t="s">
        <v>106</v>
      </c>
      <c r="D124" s="11"/>
      <c r="E124" s="11"/>
      <c r="F124" s="11">
        <v>0.0</v>
      </c>
      <c r="G124" s="11" t="s">
        <v>420</v>
      </c>
      <c r="H124" s="11" t="s">
        <v>119</v>
      </c>
      <c r="I124" s="11">
        <v>226.0</v>
      </c>
      <c r="J124" s="61">
        <v>0.0</v>
      </c>
      <c r="K124" s="11" t="s">
        <v>866</v>
      </c>
      <c r="L124" s="11">
        <v>31.0</v>
      </c>
      <c r="M124" s="11">
        <v>241.0</v>
      </c>
      <c r="N124" s="11">
        <v>-3.0</v>
      </c>
      <c r="O124" s="11" t="s">
        <v>36</v>
      </c>
      <c r="P124" s="11" t="e">
        <v>#VALUE!</v>
      </c>
      <c r="Q124" s="11">
        <v>267.0</v>
      </c>
      <c r="R124" s="11">
        <v>287.0</v>
      </c>
      <c r="S124" s="11">
        <v>210.0</v>
      </c>
      <c r="T124" s="11">
        <v>248.0</v>
      </c>
      <c r="U124" s="11">
        <v>216.0</v>
      </c>
      <c r="V124" s="11">
        <v>244.0</v>
      </c>
      <c r="W124" s="11">
        <v>31.0</v>
      </c>
      <c r="X124" s="11">
        <v>-31.0</v>
      </c>
      <c r="Y124" s="11">
        <v>-14.0</v>
      </c>
      <c r="Z124" s="29" t="s">
        <v>866</v>
      </c>
    </row>
    <row r="125" ht="14.25" customHeight="1">
      <c r="A125" s="11"/>
      <c r="B125" s="11">
        <v>18.0</v>
      </c>
      <c r="C125" s="11" t="s">
        <v>106</v>
      </c>
      <c r="D125" s="11"/>
      <c r="E125" s="11"/>
      <c r="F125" s="11">
        <v>0.0</v>
      </c>
      <c r="G125" s="11" t="s">
        <v>282</v>
      </c>
      <c r="H125" s="11" t="s">
        <v>49</v>
      </c>
      <c r="I125" s="11">
        <v>216.0</v>
      </c>
      <c r="J125" s="59">
        <v>0.0</v>
      </c>
      <c r="K125" s="11" t="s">
        <v>866</v>
      </c>
      <c r="L125" s="11">
        <v>26.0</v>
      </c>
      <c r="M125" s="11">
        <v>200.0</v>
      </c>
      <c r="N125" s="11">
        <v>-10.0</v>
      </c>
      <c r="O125" s="11" t="s">
        <v>36</v>
      </c>
      <c r="P125" s="11" t="e">
        <v>#VALUE!</v>
      </c>
      <c r="Q125" s="11" t="s">
        <v>36</v>
      </c>
      <c r="R125" s="11">
        <v>248.0</v>
      </c>
      <c r="S125" s="11">
        <v>176.0</v>
      </c>
      <c r="T125" s="11">
        <v>181.0</v>
      </c>
      <c r="U125" s="11">
        <v>245.0</v>
      </c>
      <c r="V125" s="11">
        <v>210.0</v>
      </c>
      <c r="W125" s="11">
        <v>27.0</v>
      </c>
      <c r="X125" s="11">
        <v>-27.0</v>
      </c>
      <c r="Y125" s="11">
        <v>-31.0</v>
      </c>
      <c r="Z125" s="29" t="s">
        <v>866</v>
      </c>
    </row>
    <row r="126" ht="14.25" customHeight="1">
      <c r="A126" s="11"/>
      <c r="B126" s="11">
        <v>18.0</v>
      </c>
      <c r="C126" s="11" t="s">
        <v>106</v>
      </c>
      <c r="D126" s="11">
        <v>11.0</v>
      </c>
      <c r="E126" s="11"/>
      <c r="F126" s="11">
        <v>0.0</v>
      </c>
      <c r="G126" s="11" t="s">
        <v>552</v>
      </c>
      <c r="H126" s="11" t="s">
        <v>237</v>
      </c>
      <c r="I126" s="11">
        <v>228.0</v>
      </c>
      <c r="J126" s="57">
        <v>0.0</v>
      </c>
      <c r="K126" s="11" t="s">
        <v>866</v>
      </c>
      <c r="L126" s="11">
        <v>26.0</v>
      </c>
      <c r="M126" s="11">
        <v>202.0</v>
      </c>
      <c r="N126" s="11">
        <v>-3.0</v>
      </c>
      <c r="O126" s="11" t="s">
        <v>36</v>
      </c>
      <c r="P126" s="11" t="e">
        <v>#VALUE!</v>
      </c>
      <c r="Q126" s="11">
        <v>198.0</v>
      </c>
      <c r="R126" s="11">
        <v>239.0</v>
      </c>
      <c r="S126" s="11">
        <v>196.0</v>
      </c>
      <c r="T126" s="11">
        <v>221.0</v>
      </c>
      <c r="U126" s="11">
        <v>176.0</v>
      </c>
      <c r="V126" s="11">
        <v>205.0</v>
      </c>
      <c r="W126" s="11">
        <v>26.0</v>
      </c>
      <c r="X126" s="11">
        <v>-15.0</v>
      </c>
      <c r="Y126" s="11">
        <v>23.0</v>
      </c>
      <c r="Z126" s="29" t="s">
        <v>866</v>
      </c>
    </row>
    <row r="127" ht="14.25" customHeight="1">
      <c r="A127" s="11"/>
      <c r="B127" s="11">
        <v>21.0</v>
      </c>
      <c r="C127" s="11" t="s">
        <v>106</v>
      </c>
      <c r="D127" s="11">
        <v>11.0</v>
      </c>
      <c r="E127" s="11"/>
      <c r="F127" s="11">
        <v>0.0</v>
      </c>
      <c r="G127" s="11" t="s">
        <v>880</v>
      </c>
      <c r="H127" s="11" t="s">
        <v>231</v>
      </c>
      <c r="I127" s="11">
        <v>223.0</v>
      </c>
      <c r="J127" s="49">
        <v>0.0</v>
      </c>
      <c r="K127" s="11" t="s">
        <v>866</v>
      </c>
      <c r="L127" s="11">
        <v>30.0</v>
      </c>
      <c r="M127" s="11">
        <v>235.0</v>
      </c>
      <c r="N127" s="11">
        <v>-8.0</v>
      </c>
      <c r="O127" s="11" t="s">
        <v>36</v>
      </c>
      <c r="P127" s="11" t="e">
        <v>#VALUE!</v>
      </c>
      <c r="Q127" s="11" t="s">
        <v>36</v>
      </c>
      <c r="R127" s="11">
        <v>316.0</v>
      </c>
      <c r="S127" s="11">
        <v>202.0</v>
      </c>
      <c r="T127" s="11">
        <v>228.0</v>
      </c>
      <c r="U127" s="11">
        <v>238.0</v>
      </c>
      <c r="V127" s="11">
        <v>243.0</v>
      </c>
      <c r="W127" s="11">
        <v>31.0</v>
      </c>
      <c r="X127" s="11">
        <v>-20.0</v>
      </c>
      <c r="Y127" s="11" t="e">
        <v>#VALUE!</v>
      </c>
      <c r="Z127" s="29" t="s">
        <v>866</v>
      </c>
    </row>
    <row r="128" ht="14.25" customHeight="1">
      <c r="A128" s="11"/>
      <c r="B128" s="11">
        <v>17.0</v>
      </c>
      <c r="C128" s="11" t="s">
        <v>106</v>
      </c>
      <c r="D128" s="11">
        <v>12.0</v>
      </c>
      <c r="E128" s="11"/>
      <c r="F128" s="11">
        <v>0.0</v>
      </c>
      <c r="G128" s="11" t="s">
        <v>359</v>
      </c>
      <c r="H128" s="11" t="s">
        <v>154</v>
      </c>
      <c r="I128" s="11">
        <v>142.0</v>
      </c>
      <c r="J128" s="49">
        <v>0.0</v>
      </c>
      <c r="K128" s="11" t="s">
        <v>866</v>
      </c>
      <c r="L128" s="11">
        <v>27.0</v>
      </c>
      <c r="M128" s="11">
        <v>210.0</v>
      </c>
      <c r="N128" s="11">
        <v>12.0</v>
      </c>
      <c r="O128" s="11">
        <v>205.0</v>
      </c>
      <c r="P128" s="11">
        <v>5.0</v>
      </c>
      <c r="Q128" s="11" t="s">
        <v>36</v>
      </c>
      <c r="R128" s="11">
        <v>219.0</v>
      </c>
      <c r="S128" s="11">
        <v>172.0</v>
      </c>
      <c r="T128" s="11">
        <v>163.0</v>
      </c>
      <c r="U128" s="11">
        <v>223.0</v>
      </c>
      <c r="V128" s="11">
        <v>198.0</v>
      </c>
      <c r="W128" s="11">
        <v>25.0</v>
      </c>
      <c r="X128" s="11">
        <v>-13.0</v>
      </c>
      <c r="Y128" s="11">
        <v>-20.0</v>
      </c>
      <c r="Z128" s="29" t="s">
        <v>866</v>
      </c>
    </row>
    <row r="129" ht="14.25" customHeight="1">
      <c r="A129" s="11"/>
      <c r="B129" s="11">
        <v>16.0</v>
      </c>
      <c r="C129" s="11" t="s">
        <v>106</v>
      </c>
      <c r="D129" s="11"/>
      <c r="E129" s="11"/>
      <c r="F129" s="11">
        <v>0.0</v>
      </c>
      <c r="G129" s="11" t="s">
        <v>676</v>
      </c>
      <c r="H129" s="11" t="s">
        <v>58</v>
      </c>
      <c r="I129" s="11" t="s">
        <v>36</v>
      </c>
      <c r="J129" s="11">
        <v>0.0</v>
      </c>
      <c r="K129" s="11" t="s">
        <v>866</v>
      </c>
      <c r="L129" s="11">
        <v>20.0</v>
      </c>
      <c r="M129" s="11">
        <v>156.0</v>
      </c>
      <c r="N129" s="11">
        <v>-21.0</v>
      </c>
      <c r="O129" s="11">
        <v>181.0</v>
      </c>
      <c r="P129" s="11">
        <v>-25.0</v>
      </c>
      <c r="Q129" s="11">
        <v>188.0</v>
      </c>
      <c r="R129" s="11">
        <v>229.0</v>
      </c>
      <c r="S129" s="11">
        <v>230.0</v>
      </c>
      <c r="T129" s="11">
        <v>185.0</v>
      </c>
      <c r="U129" s="11">
        <v>76.0</v>
      </c>
      <c r="V129" s="11">
        <v>177.0</v>
      </c>
      <c r="W129" s="11">
        <v>23.0</v>
      </c>
      <c r="X129" s="11">
        <v>-23.0</v>
      </c>
      <c r="Y129" s="11" t="e">
        <v>#VALUE!</v>
      </c>
      <c r="Z129" s="29" t="s">
        <v>866</v>
      </c>
    </row>
    <row r="130" ht="14.25" customHeight="1">
      <c r="A130" s="11"/>
      <c r="B130" s="11">
        <v>10.0</v>
      </c>
      <c r="C130" s="11" t="s">
        <v>106</v>
      </c>
      <c r="D130" s="11"/>
      <c r="E130" s="11"/>
      <c r="F130" s="11">
        <v>0.0</v>
      </c>
      <c r="G130" s="11" t="s">
        <v>266</v>
      </c>
      <c r="H130" s="11" t="s">
        <v>105</v>
      </c>
      <c r="I130" s="11">
        <v>128.0</v>
      </c>
      <c r="J130" s="58">
        <v>0.0</v>
      </c>
      <c r="K130" s="11" t="s">
        <v>867</v>
      </c>
      <c r="L130" s="11">
        <v>14.0</v>
      </c>
      <c r="M130" s="11">
        <v>109.0</v>
      </c>
      <c r="N130" s="11">
        <v>-8.0</v>
      </c>
      <c r="O130" s="11">
        <v>122.0</v>
      </c>
      <c r="P130" s="11">
        <v>-13.0</v>
      </c>
      <c r="Q130" s="11">
        <v>91.0</v>
      </c>
      <c r="R130" s="11">
        <v>122.0</v>
      </c>
      <c r="S130" s="11">
        <v>135.0</v>
      </c>
      <c r="T130" s="11">
        <v>120.0</v>
      </c>
      <c r="U130" s="11">
        <v>124.0</v>
      </c>
      <c r="V130" s="11">
        <v>117.0</v>
      </c>
      <c r="W130" s="11">
        <v>15.0</v>
      </c>
      <c r="X130" s="11">
        <v>-15.0</v>
      </c>
      <c r="Y130" s="11">
        <v>-12.0</v>
      </c>
      <c r="Z130" s="29">
        <v>17.0</v>
      </c>
    </row>
    <row r="131" ht="14.25" customHeight="1">
      <c r="A131" s="11"/>
      <c r="B131" s="11">
        <v>14.0</v>
      </c>
      <c r="C131" s="11" t="s">
        <v>95</v>
      </c>
      <c r="D131" s="11"/>
      <c r="E131" s="11"/>
      <c r="F131" s="11">
        <v>0.0</v>
      </c>
      <c r="G131" s="11" t="s">
        <v>829</v>
      </c>
      <c r="H131" s="11" t="s">
        <v>125</v>
      </c>
      <c r="I131" s="11">
        <v>139.0</v>
      </c>
      <c r="J131" s="59">
        <v>0.0</v>
      </c>
      <c r="K131" s="11" t="s">
        <v>872</v>
      </c>
      <c r="L131" s="11">
        <v>18.0</v>
      </c>
      <c r="M131" s="11">
        <v>143.0</v>
      </c>
      <c r="N131" s="11">
        <v>-10.0</v>
      </c>
      <c r="O131" s="11">
        <v>149.0</v>
      </c>
      <c r="P131" s="11">
        <v>-6.0</v>
      </c>
      <c r="Q131" s="11">
        <v>151.0</v>
      </c>
      <c r="R131" s="11">
        <v>159.0</v>
      </c>
      <c r="S131" s="11">
        <v>121.0</v>
      </c>
      <c r="T131" s="11">
        <v>123.0</v>
      </c>
      <c r="U131" s="11">
        <v>227.0</v>
      </c>
      <c r="V131" s="11">
        <v>153.0</v>
      </c>
      <c r="W131" s="11">
        <v>20.0</v>
      </c>
      <c r="X131" s="11">
        <v>-20.0</v>
      </c>
      <c r="Y131" s="11">
        <v>-16.0</v>
      </c>
      <c r="Z131" s="29">
        <v>44.0</v>
      </c>
    </row>
    <row r="132" ht="14.25" customHeight="1">
      <c r="A132" s="11"/>
      <c r="B132" s="11">
        <v>8.0</v>
      </c>
      <c r="C132" s="11" t="s">
        <v>106</v>
      </c>
      <c r="D132" s="11"/>
      <c r="E132" s="11"/>
      <c r="F132" s="11">
        <v>0.0</v>
      </c>
      <c r="G132" s="11" t="s">
        <v>342</v>
      </c>
      <c r="H132" s="11" t="s">
        <v>98</v>
      </c>
      <c r="I132" s="11">
        <v>77.0</v>
      </c>
      <c r="J132" s="49">
        <v>0.0</v>
      </c>
      <c r="K132" s="11" t="s">
        <v>865</v>
      </c>
      <c r="L132" s="11">
        <v>11.0</v>
      </c>
      <c r="M132" s="11">
        <v>83.0</v>
      </c>
      <c r="N132" s="11">
        <v>-4.0</v>
      </c>
      <c r="O132" s="11">
        <v>85.0</v>
      </c>
      <c r="P132" s="11">
        <v>-2.0</v>
      </c>
      <c r="Q132" s="11">
        <v>82.0</v>
      </c>
      <c r="R132" s="11">
        <v>86.0</v>
      </c>
      <c r="S132" s="11">
        <v>87.0</v>
      </c>
      <c r="T132" s="11">
        <v>73.0</v>
      </c>
      <c r="U132" s="11">
        <v>119.0</v>
      </c>
      <c r="V132" s="11">
        <v>87.0</v>
      </c>
      <c r="W132" s="11">
        <v>11.0</v>
      </c>
      <c r="X132" s="11">
        <v>-11.0</v>
      </c>
      <c r="Y132" s="11">
        <v>0.0</v>
      </c>
      <c r="Z132" s="29">
        <v>35.0</v>
      </c>
    </row>
    <row r="133" ht="14.25" customHeight="1">
      <c r="A133" s="11"/>
      <c r="B133" s="11" t="e">
        <v>#N/A</v>
      </c>
      <c r="C133" s="11" t="s">
        <v>106</v>
      </c>
      <c r="D133" s="11"/>
      <c r="E133" s="11"/>
      <c r="F133" s="11" t="e">
        <v>#N/A</v>
      </c>
      <c r="G133" s="11" t="s">
        <v>881</v>
      </c>
      <c r="H133" s="11" t="e">
        <v>#N/A</v>
      </c>
      <c r="I133" s="11" t="e">
        <v>#N/A</v>
      </c>
      <c r="J133" s="49" t="e">
        <v>#N/A</v>
      </c>
      <c r="K133" s="11" t="e">
        <v>#N/A</v>
      </c>
      <c r="L133" s="11">
        <v>16.0</v>
      </c>
      <c r="M133" s="11" t="e">
        <v>#N/A</v>
      </c>
      <c r="N133" s="11" t="e">
        <v>#N/A</v>
      </c>
      <c r="O133" s="11" t="e">
        <v>#N/A</v>
      </c>
      <c r="P133" s="11" t="e">
        <v>#N/A</v>
      </c>
      <c r="Q133" s="11" t="e">
        <v>#N/A</v>
      </c>
      <c r="R133" s="11" t="e">
        <v>#N/A</v>
      </c>
      <c r="S133" s="11" t="e">
        <v>#N/A</v>
      </c>
      <c r="T133" s="11" t="e">
        <v>#N/A</v>
      </c>
      <c r="U133" s="11" t="e">
        <v>#N/A</v>
      </c>
      <c r="V133" s="11" t="e">
        <v>#N/A</v>
      </c>
      <c r="W133" s="11">
        <v>16.0</v>
      </c>
      <c r="X133" s="11">
        <v>-16.0</v>
      </c>
      <c r="Y133" s="11" t="e">
        <v>#N/A</v>
      </c>
      <c r="Z133" s="29" t="e">
        <v>#N/A</v>
      </c>
    </row>
    <row r="134" ht="14.25" customHeight="1">
      <c r="A134" s="11"/>
      <c r="B134" s="11">
        <v>6.0</v>
      </c>
      <c r="C134" s="11" t="s">
        <v>106</v>
      </c>
      <c r="D134" s="11">
        <v>13.0</v>
      </c>
      <c r="E134" s="11"/>
      <c r="F134" s="11">
        <v>0.0</v>
      </c>
      <c r="G134" s="11" t="s">
        <v>426</v>
      </c>
      <c r="H134" s="11" t="s">
        <v>75</v>
      </c>
      <c r="I134" s="11">
        <v>87.0</v>
      </c>
      <c r="J134" s="61">
        <v>0.0</v>
      </c>
      <c r="K134" s="11" t="s">
        <v>858</v>
      </c>
      <c r="L134" s="11">
        <v>9.0</v>
      </c>
      <c r="M134" s="11">
        <v>64.0</v>
      </c>
      <c r="N134" s="11">
        <v>-2.0</v>
      </c>
      <c r="O134" s="11">
        <v>71.0</v>
      </c>
      <c r="P134" s="11">
        <v>-7.0</v>
      </c>
      <c r="Q134" s="11">
        <v>56.0</v>
      </c>
      <c r="R134" s="11">
        <v>82.0</v>
      </c>
      <c r="S134" s="11">
        <v>64.0</v>
      </c>
      <c r="T134" s="11">
        <v>80.0</v>
      </c>
      <c r="U134" s="11">
        <v>50.0</v>
      </c>
      <c r="V134" s="11">
        <v>66.0</v>
      </c>
      <c r="W134" s="11">
        <v>9.0</v>
      </c>
      <c r="X134" s="11">
        <v>4.0</v>
      </c>
      <c r="Y134" s="11">
        <v>7.0</v>
      </c>
      <c r="Z134" s="29">
        <v>5.0</v>
      </c>
    </row>
    <row r="135" ht="14.25" customHeight="1">
      <c r="A135" s="11"/>
      <c r="B135" s="11">
        <v>13.0</v>
      </c>
      <c r="C135" s="11" t="s">
        <v>106</v>
      </c>
      <c r="D135" s="11"/>
      <c r="E135" s="11"/>
      <c r="F135" s="11">
        <v>0.0</v>
      </c>
      <c r="G135" s="11" t="s">
        <v>513</v>
      </c>
      <c r="H135" s="11" t="s">
        <v>109</v>
      </c>
      <c r="I135" s="11" t="s">
        <v>36</v>
      </c>
      <c r="J135" s="11">
        <v>0.0</v>
      </c>
      <c r="K135" s="11" t="s">
        <v>866</v>
      </c>
      <c r="L135" s="11">
        <v>23.0</v>
      </c>
      <c r="M135" s="11">
        <v>181.0</v>
      </c>
      <c r="N135" s="11">
        <v>34.0</v>
      </c>
      <c r="O135" s="11">
        <v>112.0</v>
      </c>
      <c r="P135" s="11">
        <v>69.0</v>
      </c>
      <c r="Q135" s="11">
        <v>109.0</v>
      </c>
      <c r="R135" s="11">
        <v>129.0</v>
      </c>
      <c r="S135" s="11">
        <v>212.0</v>
      </c>
      <c r="T135" s="11">
        <v>166.0</v>
      </c>
      <c r="U135" s="11">
        <v>123.0</v>
      </c>
      <c r="V135" s="11">
        <v>147.0</v>
      </c>
      <c r="W135" s="11">
        <v>19.0</v>
      </c>
      <c r="X135" s="11">
        <v>-19.0</v>
      </c>
      <c r="Y135" s="11">
        <v>22.0</v>
      </c>
      <c r="Z135" s="29" t="s">
        <v>866</v>
      </c>
    </row>
    <row r="136" ht="14.25" customHeight="1">
      <c r="A136" s="11"/>
      <c r="B136" s="11">
        <v>23.0</v>
      </c>
      <c r="C136" s="11" t="s">
        <v>106</v>
      </c>
      <c r="D136" s="11"/>
      <c r="E136" s="11"/>
      <c r="F136" s="11">
        <v>0.0</v>
      </c>
      <c r="G136" s="11" t="s">
        <v>651</v>
      </c>
      <c r="H136" s="11" t="s">
        <v>40</v>
      </c>
      <c r="I136" s="11">
        <v>248.0</v>
      </c>
      <c r="J136" s="59">
        <v>0.0</v>
      </c>
      <c r="K136" s="11" t="s">
        <v>866</v>
      </c>
      <c r="L136" s="11">
        <v>16.0</v>
      </c>
      <c r="M136" s="11" t="s">
        <v>36</v>
      </c>
      <c r="N136" s="11" t="e">
        <v>#VALUE!</v>
      </c>
      <c r="O136" s="11" t="s">
        <v>36</v>
      </c>
      <c r="P136" s="11" t="e">
        <v>#VALUE!</v>
      </c>
      <c r="Q136" s="11">
        <v>231.0</v>
      </c>
      <c r="R136" s="11" t="s">
        <v>36</v>
      </c>
      <c r="S136" s="11">
        <v>312.0</v>
      </c>
      <c r="T136" s="11" t="s">
        <v>36</v>
      </c>
      <c r="U136" s="11">
        <v>281.0</v>
      </c>
      <c r="V136" s="11">
        <v>274.0</v>
      </c>
      <c r="W136" s="11">
        <v>35.0</v>
      </c>
      <c r="X136" s="11">
        <v>-35.0</v>
      </c>
      <c r="Y136" s="11" t="e">
        <v>#VALUE!</v>
      </c>
      <c r="Z136" s="29" t="s">
        <v>866</v>
      </c>
    </row>
    <row r="137" ht="14.25" customHeight="1">
      <c r="A137" s="11"/>
      <c r="B137" s="11">
        <v>5.0</v>
      </c>
      <c r="C137" s="11" t="s">
        <v>106</v>
      </c>
      <c r="D137" s="11"/>
      <c r="E137" s="11"/>
      <c r="F137" s="11">
        <v>0.0</v>
      </c>
      <c r="G137" s="11" t="s">
        <v>288</v>
      </c>
      <c r="H137" s="11" t="s">
        <v>165</v>
      </c>
      <c r="I137" s="11">
        <v>60.0</v>
      </c>
      <c r="J137" s="36">
        <v>0.0</v>
      </c>
      <c r="K137" s="11" t="s">
        <v>844</v>
      </c>
      <c r="L137" s="11">
        <v>6.0</v>
      </c>
      <c r="M137" s="11">
        <v>45.0</v>
      </c>
      <c r="N137" s="11">
        <v>-3.0</v>
      </c>
      <c r="O137" s="11">
        <v>44.0</v>
      </c>
      <c r="P137" s="11">
        <v>1.0</v>
      </c>
      <c r="Q137" s="11">
        <v>40.0</v>
      </c>
      <c r="R137" s="11">
        <v>60.0</v>
      </c>
      <c r="S137" s="11">
        <v>47.0</v>
      </c>
      <c r="T137" s="11">
        <v>51.0</v>
      </c>
      <c r="U137" s="11">
        <v>55.0</v>
      </c>
      <c r="V137" s="11">
        <v>48.0</v>
      </c>
      <c r="W137" s="11">
        <v>7.0</v>
      </c>
      <c r="X137" s="11">
        <v>-7.0</v>
      </c>
      <c r="Y137" s="11">
        <v>-8.0</v>
      </c>
      <c r="Z137" s="29">
        <v>17.0</v>
      </c>
    </row>
    <row r="138" ht="14.25" customHeight="1">
      <c r="A138" s="11"/>
      <c r="B138" s="11">
        <v>18.0</v>
      </c>
      <c r="C138" s="11" t="s">
        <v>106</v>
      </c>
      <c r="D138" s="11"/>
      <c r="E138" s="11"/>
      <c r="F138" s="11">
        <v>0.0</v>
      </c>
      <c r="G138" s="11" t="s">
        <v>550</v>
      </c>
      <c r="H138" s="11" t="s">
        <v>237</v>
      </c>
      <c r="I138" s="11">
        <v>191.0</v>
      </c>
      <c r="J138" s="11">
        <v>0.0</v>
      </c>
      <c r="K138" s="11" t="s">
        <v>878</v>
      </c>
      <c r="L138" s="11">
        <v>29.0</v>
      </c>
      <c r="M138" s="11">
        <v>229.0</v>
      </c>
      <c r="N138" s="11">
        <v>13.0</v>
      </c>
      <c r="O138" s="11" t="s">
        <v>36</v>
      </c>
      <c r="P138" s="11" t="e">
        <v>#VALUE!</v>
      </c>
      <c r="Q138" s="11">
        <v>192.0</v>
      </c>
      <c r="R138" s="11">
        <v>240.0</v>
      </c>
      <c r="S138" s="11">
        <v>222.0</v>
      </c>
      <c r="T138" s="11">
        <v>222.0</v>
      </c>
      <c r="U138" s="11">
        <v>192.0</v>
      </c>
      <c r="V138" s="11">
        <v>216.0</v>
      </c>
      <c r="W138" s="11">
        <v>28.0</v>
      </c>
      <c r="X138" s="11">
        <v>-28.0</v>
      </c>
      <c r="Y138" s="11">
        <v>-18.0</v>
      </c>
      <c r="Z138" s="29" t="s">
        <v>866</v>
      </c>
    </row>
    <row r="139" ht="14.25" customHeight="1">
      <c r="A139" s="11"/>
      <c r="B139" s="11">
        <v>10.0</v>
      </c>
      <c r="C139" s="11" t="s">
        <v>106</v>
      </c>
      <c r="D139" s="11"/>
      <c r="E139" s="11"/>
      <c r="F139" s="11">
        <v>0.0</v>
      </c>
      <c r="G139" s="11" t="s">
        <v>278</v>
      </c>
      <c r="H139" s="11" t="s">
        <v>176</v>
      </c>
      <c r="I139" s="11">
        <v>95.0</v>
      </c>
      <c r="J139" s="59">
        <v>0.0</v>
      </c>
      <c r="K139" s="11" t="s">
        <v>882</v>
      </c>
      <c r="L139" s="11">
        <v>14.0</v>
      </c>
      <c r="M139" s="11">
        <v>107.0</v>
      </c>
      <c r="N139" s="11">
        <v>0.0</v>
      </c>
      <c r="O139" s="11">
        <v>102.0</v>
      </c>
      <c r="P139" s="11">
        <v>5.0</v>
      </c>
      <c r="Q139" s="11">
        <v>98.0</v>
      </c>
      <c r="R139" s="11">
        <v>119.0</v>
      </c>
      <c r="S139" s="11">
        <v>93.0</v>
      </c>
      <c r="T139" s="11">
        <v>98.0</v>
      </c>
      <c r="U139" s="11">
        <v>136.0</v>
      </c>
      <c r="V139" s="11">
        <v>107.0</v>
      </c>
      <c r="W139" s="11">
        <v>14.0</v>
      </c>
      <c r="X139" s="11">
        <v>-14.0</v>
      </c>
      <c r="Y139" s="11">
        <v>-27.0</v>
      </c>
      <c r="Z139" s="29">
        <v>29.0</v>
      </c>
    </row>
    <row r="140" ht="14.25" customHeight="1">
      <c r="A140" s="11"/>
      <c r="B140" s="11">
        <v>17.0</v>
      </c>
      <c r="C140" s="11" t="s">
        <v>106</v>
      </c>
      <c r="D140" s="11"/>
      <c r="E140" s="11"/>
      <c r="F140" s="11">
        <v>0.0</v>
      </c>
      <c r="G140" s="11" t="s">
        <v>883</v>
      </c>
      <c r="H140" s="11" t="s">
        <v>67</v>
      </c>
      <c r="I140" s="11">
        <v>127.0</v>
      </c>
      <c r="J140" s="11">
        <v>0.0</v>
      </c>
      <c r="K140" s="11" t="s">
        <v>884</v>
      </c>
      <c r="L140" s="11">
        <v>22.0</v>
      </c>
      <c r="M140" s="11">
        <v>174.0</v>
      </c>
      <c r="N140" s="11">
        <v>-14.0</v>
      </c>
      <c r="O140" s="11" t="s">
        <v>36</v>
      </c>
      <c r="P140" s="11" t="e">
        <v>#VALUE!</v>
      </c>
      <c r="Q140" s="11" t="s">
        <v>36</v>
      </c>
      <c r="R140" s="11">
        <v>221.0</v>
      </c>
      <c r="S140" s="11">
        <v>158.0</v>
      </c>
      <c r="T140" s="11">
        <v>155.0</v>
      </c>
      <c r="U140" s="11">
        <v>235.0</v>
      </c>
      <c r="V140" s="11">
        <v>188.0</v>
      </c>
      <c r="W140" s="11">
        <v>24.0</v>
      </c>
      <c r="X140" s="11">
        <v>-24.0</v>
      </c>
      <c r="Y140" s="11">
        <v>-38.0</v>
      </c>
      <c r="Z140" s="29">
        <v>61.0</v>
      </c>
    </row>
    <row r="141" ht="14.25" customHeight="1">
      <c r="A141" s="11"/>
      <c r="B141" s="11">
        <v>21.0</v>
      </c>
      <c r="C141" s="11" t="s">
        <v>106</v>
      </c>
      <c r="D141" s="11"/>
      <c r="E141" s="11"/>
      <c r="F141" s="11">
        <v>0.0</v>
      </c>
      <c r="G141" s="11" t="s">
        <v>588</v>
      </c>
      <c r="H141" s="11" t="s">
        <v>71</v>
      </c>
      <c r="I141" s="11" t="s">
        <v>36</v>
      </c>
      <c r="J141" s="11">
        <v>0.0</v>
      </c>
      <c r="K141" s="11" t="s">
        <v>866</v>
      </c>
      <c r="L141" s="11">
        <v>36.0</v>
      </c>
      <c r="M141" s="11">
        <v>285.0</v>
      </c>
      <c r="N141" s="11">
        <v>45.0</v>
      </c>
      <c r="O141" s="11">
        <v>173.0</v>
      </c>
      <c r="P141" s="11">
        <v>112.0</v>
      </c>
      <c r="Q141" s="11">
        <v>201.0</v>
      </c>
      <c r="R141" s="11">
        <v>344.0</v>
      </c>
      <c r="S141" s="11">
        <v>278.0</v>
      </c>
      <c r="T141" s="11">
        <v>239.0</v>
      </c>
      <c r="U141" s="11">
        <v>165.0</v>
      </c>
      <c r="V141" s="11">
        <v>240.0</v>
      </c>
      <c r="W141" s="11">
        <v>31.0</v>
      </c>
      <c r="X141" s="11">
        <v>-31.0</v>
      </c>
      <c r="Y141" s="11">
        <v>0.0</v>
      </c>
      <c r="Z141" s="29" t="s">
        <v>866</v>
      </c>
    </row>
    <row r="142" ht="14.25" customHeight="1">
      <c r="A142" s="11"/>
      <c r="B142" s="11">
        <v>16.0</v>
      </c>
      <c r="C142" s="11" t="s">
        <v>106</v>
      </c>
      <c r="D142" s="11"/>
      <c r="E142" s="11"/>
      <c r="F142" s="11">
        <v>0.0</v>
      </c>
      <c r="G142" s="11" t="s">
        <v>310</v>
      </c>
      <c r="H142" s="11" t="s">
        <v>49</v>
      </c>
      <c r="I142" s="11">
        <v>176.0</v>
      </c>
      <c r="J142" s="59">
        <v>0.0</v>
      </c>
      <c r="K142" s="11" t="s">
        <v>878</v>
      </c>
      <c r="L142" s="11">
        <v>26.0</v>
      </c>
      <c r="M142" s="11">
        <v>207.0</v>
      </c>
      <c r="N142" s="11">
        <v>18.0</v>
      </c>
      <c r="O142" s="11">
        <v>168.0</v>
      </c>
      <c r="P142" s="11">
        <v>39.0</v>
      </c>
      <c r="Q142" s="11">
        <v>160.0</v>
      </c>
      <c r="R142" s="11">
        <v>232.0</v>
      </c>
      <c r="S142" s="11">
        <v>197.0</v>
      </c>
      <c r="T142" s="11">
        <v>195.0</v>
      </c>
      <c r="U142" s="11">
        <v>167.0</v>
      </c>
      <c r="V142" s="11">
        <v>189.0</v>
      </c>
      <c r="W142" s="11">
        <v>24.0</v>
      </c>
      <c r="X142" s="11">
        <v>-24.0</v>
      </c>
      <c r="Y142" s="11">
        <v>-38.0</v>
      </c>
      <c r="Z142" s="29" t="s">
        <v>866</v>
      </c>
    </row>
    <row r="143" ht="14.25" customHeight="1">
      <c r="A143" s="11"/>
      <c r="B143" s="11">
        <v>16.0</v>
      </c>
      <c r="C143" s="11" t="s">
        <v>106</v>
      </c>
      <c r="D143" s="11">
        <v>9.0</v>
      </c>
      <c r="E143" s="11"/>
      <c r="F143" s="11">
        <v>0.0</v>
      </c>
      <c r="G143" s="11" t="s">
        <v>263</v>
      </c>
      <c r="H143" s="11" t="s">
        <v>165</v>
      </c>
      <c r="I143" s="11">
        <v>178.0</v>
      </c>
      <c r="J143" s="11">
        <v>0.0</v>
      </c>
      <c r="K143" s="11" t="s">
        <v>885</v>
      </c>
      <c r="L143" s="11">
        <v>20.0</v>
      </c>
      <c r="M143" s="11">
        <v>158.0</v>
      </c>
      <c r="N143" s="11">
        <v>-28.0</v>
      </c>
      <c r="O143" s="11">
        <v>210.0</v>
      </c>
      <c r="P143" s="11">
        <v>-52.0</v>
      </c>
      <c r="Q143" s="11" t="s">
        <v>36</v>
      </c>
      <c r="R143" s="11">
        <v>201.0</v>
      </c>
      <c r="S143" s="11">
        <v>165.0</v>
      </c>
      <c r="T143" s="11">
        <v>164.0</v>
      </c>
      <c r="U143" s="11">
        <v>220.0</v>
      </c>
      <c r="V143" s="11">
        <v>186.0</v>
      </c>
      <c r="W143" s="11">
        <v>24.0</v>
      </c>
      <c r="X143" s="11">
        <v>-15.0</v>
      </c>
      <c r="Y143" s="11">
        <v>-29.0</v>
      </c>
      <c r="Z143" s="29">
        <v>55.0</v>
      </c>
    </row>
    <row r="144" ht="14.25" customHeight="1">
      <c r="A144" s="11"/>
      <c r="B144" s="11">
        <v>21.0</v>
      </c>
      <c r="C144" s="11" t="s">
        <v>106</v>
      </c>
      <c r="D144" s="11"/>
      <c r="E144" s="11"/>
      <c r="F144" s="11">
        <v>0.0</v>
      </c>
      <c r="G144" s="11" t="s">
        <v>886</v>
      </c>
      <c r="H144" s="11" t="s">
        <v>148</v>
      </c>
      <c r="I144" s="11" t="s">
        <v>36</v>
      </c>
      <c r="J144" s="11">
        <v>0.0</v>
      </c>
      <c r="K144" s="11" t="s">
        <v>866</v>
      </c>
      <c r="L144" s="11">
        <v>30.0</v>
      </c>
      <c r="M144" s="11">
        <v>236.0</v>
      </c>
      <c r="N144" s="11">
        <v>-4.0</v>
      </c>
      <c r="O144" s="11">
        <v>192.0</v>
      </c>
      <c r="P144" s="11">
        <v>44.0</v>
      </c>
      <c r="Q144" s="11">
        <v>206.0</v>
      </c>
      <c r="R144" s="11">
        <v>329.0</v>
      </c>
      <c r="S144" s="11">
        <v>272.0</v>
      </c>
      <c r="T144" s="11">
        <v>234.0</v>
      </c>
      <c r="U144" s="11">
        <v>213.0</v>
      </c>
      <c r="V144" s="11">
        <v>240.0</v>
      </c>
      <c r="W144" s="11">
        <v>31.0</v>
      </c>
      <c r="X144" s="11">
        <v>-31.0</v>
      </c>
      <c r="Y144" s="11">
        <v>-46.0</v>
      </c>
      <c r="Z144" s="29" t="s">
        <v>866</v>
      </c>
    </row>
    <row r="145" ht="14.25" customHeight="1">
      <c r="A145" s="11"/>
      <c r="B145" s="11" t="e">
        <v>#N/A</v>
      </c>
      <c r="C145" s="11" t="s">
        <v>106</v>
      </c>
      <c r="D145" s="11"/>
      <c r="E145" s="11"/>
      <c r="F145" s="11" t="e">
        <v>#N/A</v>
      </c>
      <c r="G145" s="11" t="s">
        <v>887</v>
      </c>
      <c r="H145" s="11" t="e">
        <v>#N/A</v>
      </c>
      <c r="I145" s="11" t="e">
        <v>#N/A</v>
      </c>
      <c r="J145" s="11" t="e">
        <v>#N/A</v>
      </c>
      <c r="K145" s="11" t="e">
        <v>#N/A</v>
      </c>
      <c r="L145" s="11">
        <v>16.0</v>
      </c>
      <c r="M145" s="11" t="e">
        <v>#N/A</v>
      </c>
      <c r="N145" s="11" t="e">
        <v>#N/A</v>
      </c>
      <c r="O145" s="11" t="e">
        <v>#N/A</v>
      </c>
      <c r="P145" s="11" t="e">
        <v>#N/A</v>
      </c>
      <c r="Q145" s="11" t="e">
        <v>#N/A</v>
      </c>
      <c r="R145" s="11" t="e">
        <v>#N/A</v>
      </c>
      <c r="S145" s="11" t="e">
        <v>#N/A</v>
      </c>
      <c r="T145" s="11" t="e">
        <v>#N/A</v>
      </c>
      <c r="U145" s="11" t="e">
        <v>#N/A</v>
      </c>
      <c r="V145" s="11" t="e">
        <v>#N/A</v>
      </c>
      <c r="W145" s="11">
        <v>16.0</v>
      </c>
      <c r="X145" s="11">
        <v>-16.0</v>
      </c>
      <c r="Y145" s="11" t="e">
        <v>#N/A</v>
      </c>
      <c r="Z145" s="29" t="e">
        <v>#N/A</v>
      </c>
    </row>
    <row r="146" ht="14.25" customHeight="1">
      <c r="A146" s="11"/>
      <c r="B146" s="11">
        <v>10.0</v>
      </c>
      <c r="C146" s="11" t="s">
        <v>106</v>
      </c>
      <c r="D146" s="11"/>
      <c r="E146" s="11"/>
      <c r="F146" s="11">
        <v>0.0</v>
      </c>
      <c r="G146" s="11" t="s">
        <v>391</v>
      </c>
      <c r="H146" s="11" t="s">
        <v>52</v>
      </c>
      <c r="I146" s="11">
        <v>90.0</v>
      </c>
      <c r="J146" s="59">
        <v>0.0</v>
      </c>
      <c r="K146" s="11" t="s">
        <v>882</v>
      </c>
      <c r="L146" s="11">
        <v>14.0</v>
      </c>
      <c r="M146" s="11">
        <v>104.0</v>
      </c>
      <c r="N146" s="11">
        <v>-6.0</v>
      </c>
      <c r="O146" s="11">
        <v>92.0</v>
      </c>
      <c r="P146" s="11">
        <v>12.0</v>
      </c>
      <c r="Q146" s="11">
        <v>129.0</v>
      </c>
      <c r="R146" s="11">
        <v>114.0</v>
      </c>
      <c r="S146" s="11">
        <v>86.0</v>
      </c>
      <c r="T146" s="11">
        <v>92.0</v>
      </c>
      <c r="U146" s="11">
        <v>153.0</v>
      </c>
      <c r="V146" s="11">
        <v>110.0</v>
      </c>
      <c r="W146" s="11">
        <v>14.0</v>
      </c>
      <c r="X146" s="11">
        <v>-14.0</v>
      </c>
      <c r="Y146" s="11">
        <v>-32.0</v>
      </c>
      <c r="Z146" s="29">
        <v>31.0</v>
      </c>
    </row>
    <row r="147" ht="14.25" customHeight="1">
      <c r="A147" s="11"/>
      <c r="B147" s="11">
        <v>20.0</v>
      </c>
      <c r="C147" s="11" t="s">
        <v>106</v>
      </c>
      <c r="D147" s="11"/>
      <c r="E147" s="11"/>
      <c r="F147" s="11">
        <v>0.0</v>
      </c>
      <c r="G147" s="11" t="s">
        <v>664</v>
      </c>
      <c r="H147" s="11" t="s">
        <v>195</v>
      </c>
      <c r="I147" s="11" t="s">
        <v>36</v>
      </c>
      <c r="J147" s="11">
        <v>0.0</v>
      </c>
      <c r="K147" s="11" t="s">
        <v>866</v>
      </c>
      <c r="L147" s="11">
        <v>16.0</v>
      </c>
      <c r="M147" s="11" t="s">
        <v>36</v>
      </c>
      <c r="N147" s="11" t="e">
        <v>#VALUE!</v>
      </c>
      <c r="O147" s="11" t="s">
        <v>36</v>
      </c>
      <c r="P147" s="11" t="e">
        <v>#VALUE!</v>
      </c>
      <c r="Q147" s="11">
        <v>215.0</v>
      </c>
      <c r="R147" s="11" t="s">
        <v>36</v>
      </c>
      <c r="S147" s="11">
        <v>318.0</v>
      </c>
      <c r="T147" s="11">
        <v>261.0</v>
      </c>
      <c r="U147" s="11">
        <v>125.0</v>
      </c>
      <c r="V147" s="11">
        <v>229.0</v>
      </c>
      <c r="W147" s="11">
        <v>29.0</v>
      </c>
      <c r="X147" s="11">
        <v>-29.0</v>
      </c>
      <c r="Y147" s="11">
        <v>-12.0</v>
      </c>
      <c r="Z147" s="29" t="s">
        <v>866</v>
      </c>
    </row>
    <row r="148" ht="14.25" customHeight="1">
      <c r="A148" s="11"/>
      <c r="B148" s="11">
        <v>22.0</v>
      </c>
      <c r="C148" s="11" t="s">
        <v>106</v>
      </c>
      <c r="D148" s="11"/>
      <c r="E148" s="11"/>
      <c r="F148" s="11">
        <v>0.0</v>
      </c>
      <c r="G148" s="11" t="s">
        <v>811</v>
      </c>
      <c r="H148" s="11" t="s">
        <v>171</v>
      </c>
      <c r="I148" s="11">
        <v>258.0</v>
      </c>
      <c r="J148" s="61">
        <v>0.0</v>
      </c>
      <c r="K148" s="11" t="s">
        <v>866</v>
      </c>
      <c r="L148" s="11">
        <v>34.0</v>
      </c>
      <c r="M148" s="11">
        <v>271.0</v>
      </c>
      <c r="N148" s="11">
        <v>15.0</v>
      </c>
      <c r="O148" s="11" t="s">
        <v>36</v>
      </c>
      <c r="P148" s="11" t="e">
        <v>#VALUE!</v>
      </c>
      <c r="Q148" s="11">
        <v>225.0</v>
      </c>
      <c r="R148" s="11">
        <v>290.0</v>
      </c>
      <c r="S148" s="11">
        <v>259.0</v>
      </c>
      <c r="T148" s="11">
        <v>266.0</v>
      </c>
      <c r="U148" s="11">
        <v>229.0</v>
      </c>
      <c r="V148" s="11">
        <v>256.0</v>
      </c>
      <c r="W148" s="11">
        <v>33.0</v>
      </c>
      <c r="X148" s="11">
        <v>-33.0</v>
      </c>
      <c r="Y148" s="11" t="e">
        <v>#VALUE!</v>
      </c>
      <c r="Z148" s="29" t="s">
        <v>866</v>
      </c>
    </row>
    <row r="149" ht="14.25" customHeight="1">
      <c r="A149" s="11"/>
      <c r="B149" s="11">
        <v>7.0</v>
      </c>
      <c r="C149" s="11" t="s">
        <v>106</v>
      </c>
      <c r="D149" s="11"/>
      <c r="E149" s="11"/>
      <c r="F149" s="11">
        <v>0.0</v>
      </c>
      <c r="G149" s="11" t="s">
        <v>437</v>
      </c>
      <c r="H149" s="11" t="s">
        <v>195</v>
      </c>
      <c r="I149" s="11">
        <v>72.0</v>
      </c>
      <c r="J149" s="11">
        <v>0.0</v>
      </c>
      <c r="K149" s="11" t="s">
        <v>865</v>
      </c>
      <c r="L149" s="11">
        <v>10.0</v>
      </c>
      <c r="M149" s="11">
        <v>75.0</v>
      </c>
      <c r="N149" s="11">
        <v>0.0</v>
      </c>
      <c r="O149" s="11">
        <v>69.0</v>
      </c>
      <c r="P149" s="11">
        <v>6.0</v>
      </c>
      <c r="Q149" s="11">
        <v>68.0</v>
      </c>
      <c r="R149" s="11">
        <v>81.0</v>
      </c>
      <c r="S149" s="11">
        <v>74.0</v>
      </c>
      <c r="T149" s="11">
        <v>62.0</v>
      </c>
      <c r="U149" s="11">
        <v>98.0</v>
      </c>
      <c r="V149" s="11">
        <v>75.0</v>
      </c>
      <c r="W149" s="11">
        <v>10.0</v>
      </c>
      <c r="X149" s="11">
        <v>-10.0</v>
      </c>
      <c r="Y149" s="11">
        <v>6.0</v>
      </c>
      <c r="Z149" s="29">
        <v>37.0</v>
      </c>
    </row>
    <row r="150" ht="14.25" customHeight="1">
      <c r="A150" s="11"/>
      <c r="B150" s="11" t="e">
        <v>#N/A</v>
      </c>
      <c r="C150" s="11" t="s">
        <v>106</v>
      </c>
      <c r="D150" s="11"/>
      <c r="E150" s="11"/>
      <c r="F150" s="11" t="e">
        <v>#N/A</v>
      </c>
      <c r="G150" s="11" t="s">
        <v>888</v>
      </c>
      <c r="H150" s="11" t="e">
        <v>#N/A</v>
      </c>
      <c r="I150" s="11" t="e">
        <v>#N/A</v>
      </c>
      <c r="J150" s="49" t="e">
        <v>#N/A</v>
      </c>
      <c r="K150" s="11" t="e">
        <v>#N/A</v>
      </c>
      <c r="L150" s="11">
        <v>16.0</v>
      </c>
      <c r="M150" s="11" t="e">
        <v>#N/A</v>
      </c>
      <c r="N150" s="11" t="e">
        <v>#N/A</v>
      </c>
      <c r="O150" s="11" t="e">
        <v>#N/A</v>
      </c>
      <c r="P150" s="11" t="e">
        <v>#N/A</v>
      </c>
      <c r="Q150" s="11" t="e">
        <v>#N/A</v>
      </c>
      <c r="R150" s="11" t="e">
        <v>#N/A</v>
      </c>
      <c r="S150" s="11" t="e">
        <v>#N/A</v>
      </c>
      <c r="T150" s="11" t="e">
        <v>#N/A</v>
      </c>
      <c r="U150" s="11" t="e">
        <v>#N/A</v>
      </c>
      <c r="V150" s="11" t="e">
        <v>#N/A</v>
      </c>
      <c r="W150" s="11">
        <v>16.0</v>
      </c>
      <c r="X150" s="11">
        <v>-16.0</v>
      </c>
      <c r="Y150" s="11" t="e">
        <v>#N/A</v>
      </c>
      <c r="Z150" s="29" t="e">
        <v>#N/A</v>
      </c>
    </row>
    <row r="151" ht="14.25" customHeight="1">
      <c r="A151" s="11"/>
      <c r="B151" s="11" t="e">
        <v>#N/A</v>
      </c>
      <c r="C151" s="11" t="s">
        <v>106</v>
      </c>
      <c r="D151" s="11"/>
      <c r="E151" s="11"/>
      <c r="F151" s="11" t="e">
        <v>#N/A</v>
      </c>
      <c r="G151" s="11" t="s">
        <v>686</v>
      </c>
      <c r="H151" s="11" t="e">
        <v>#N/A</v>
      </c>
      <c r="I151" s="11" t="e">
        <v>#N/A</v>
      </c>
      <c r="J151" s="11" t="e">
        <v>#N/A</v>
      </c>
      <c r="K151" s="11" t="e">
        <v>#N/A</v>
      </c>
      <c r="L151" s="11">
        <v>16.0</v>
      </c>
      <c r="M151" s="11" t="e">
        <v>#N/A</v>
      </c>
      <c r="N151" s="11" t="e">
        <v>#N/A</v>
      </c>
      <c r="O151" s="11" t="e">
        <v>#N/A</v>
      </c>
      <c r="P151" s="11" t="e">
        <v>#N/A</v>
      </c>
      <c r="Q151" s="11" t="e">
        <v>#N/A</v>
      </c>
      <c r="R151" s="11" t="e">
        <v>#N/A</v>
      </c>
      <c r="S151" s="11" t="e">
        <v>#N/A</v>
      </c>
      <c r="T151" s="11" t="e">
        <v>#N/A</v>
      </c>
      <c r="U151" s="11" t="e">
        <v>#N/A</v>
      </c>
      <c r="V151" s="11" t="e">
        <v>#N/A</v>
      </c>
      <c r="W151" s="11">
        <v>16.0</v>
      </c>
      <c r="X151" s="11">
        <v>-16.0</v>
      </c>
      <c r="Y151" s="11" t="e">
        <v>#N/A</v>
      </c>
      <c r="Z151" s="29" t="e">
        <v>#N/A</v>
      </c>
    </row>
    <row r="152" ht="14.25" customHeight="1">
      <c r="A152" s="11"/>
      <c r="B152" s="11">
        <v>15.0</v>
      </c>
      <c r="C152" s="11" t="s">
        <v>106</v>
      </c>
      <c r="D152" s="11"/>
      <c r="E152" s="11"/>
      <c r="F152" s="11">
        <v>0.0</v>
      </c>
      <c r="G152" s="11" t="s">
        <v>380</v>
      </c>
      <c r="H152" s="11" t="s">
        <v>40</v>
      </c>
      <c r="I152" s="11">
        <v>156.0</v>
      </c>
      <c r="J152" s="59">
        <v>0.0</v>
      </c>
      <c r="K152" s="11" t="s">
        <v>872</v>
      </c>
      <c r="L152" s="11">
        <v>21.0</v>
      </c>
      <c r="M152" s="11">
        <v>167.0</v>
      </c>
      <c r="N152" s="11">
        <v>-2.0</v>
      </c>
      <c r="O152" s="11">
        <v>172.0</v>
      </c>
      <c r="P152" s="11">
        <v>-5.0</v>
      </c>
      <c r="Q152" s="11">
        <v>161.0</v>
      </c>
      <c r="R152" s="11">
        <v>199.0</v>
      </c>
      <c r="S152" s="11">
        <v>151.0</v>
      </c>
      <c r="T152" s="11">
        <v>154.0</v>
      </c>
      <c r="U152" s="11">
        <v>184.0</v>
      </c>
      <c r="V152" s="11">
        <v>169.0</v>
      </c>
      <c r="W152" s="11">
        <v>22.0</v>
      </c>
      <c r="X152" s="11">
        <v>-22.0</v>
      </c>
      <c r="Y152" s="11">
        <v>-23.0</v>
      </c>
      <c r="Z152" s="29">
        <v>46.0</v>
      </c>
    </row>
    <row r="153" ht="14.25" customHeight="1">
      <c r="A153" s="11"/>
      <c r="B153" s="11">
        <v>12.0</v>
      </c>
      <c r="C153" s="11" t="s">
        <v>106</v>
      </c>
      <c r="D153" s="11">
        <v>11.0</v>
      </c>
      <c r="E153" s="11"/>
      <c r="F153" s="11">
        <v>0.0</v>
      </c>
      <c r="G153" s="11" t="s">
        <v>385</v>
      </c>
      <c r="H153" s="11" t="s">
        <v>131</v>
      </c>
      <c r="I153" s="11">
        <v>102.0</v>
      </c>
      <c r="J153" s="40">
        <v>0.0</v>
      </c>
      <c r="K153" s="11" t="s">
        <v>861</v>
      </c>
      <c r="L153" s="11">
        <v>16.0</v>
      </c>
      <c r="M153" s="11">
        <v>124.0</v>
      </c>
      <c r="N153" s="11">
        <v>-15.0</v>
      </c>
      <c r="O153" s="11">
        <v>161.0</v>
      </c>
      <c r="P153" s="11">
        <v>-37.0</v>
      </c>
      <c r="Q153" s="11">
        <v>134.0</v>
      </c>
      <c r="R153" s="11">
        <v>133.0</v>
      </c>
      <c r="S153" s="11">
        <v>127.0</v>
      </c>
      <c r="T153" s="11">
        <v>117.0</v>
      </c>
      <c r="U153" s="11">
        <v>177.0</v>
      </c>
      <c r="V153" s="11">
        <v>139.0</v>
      </c>
      <c r="W153" s="11">
        <v>18.0</v>
      </c>
      <c r="X153" s="11">
        <v>-7.0</v>
      </c>
      <c r="Y153" s="11">
        <v>-31.0</v>
      </c>
      <c r="Z153" s="29">
        <v>44.0</v>
      </c>
    </row>
    <row r="154" ht="14.25" customHeight="1">
      <c r="A154" s="11"/>
      <c r="B154" s="11" t="e">
        <v>#N/A</v>
      </c>
      <c r="C154" s="11" t="s">
        <v>106</v>
      </c>
      <c r="D154" s="11"/>
      <c r="E154" s="11"/>
      <c r="F154" s="11" t="e">
        <v>#N/A</v>
      </c>
      <c r="G154" s="11" t="s">
        <v>889</v>
      </c>
      <c r="H154" s="11" t="e">
        <v>#N/A</v>
      </c>
      <c r="I154" s="11" t="e">
        <v>#N/A</v>
      </c>
      <c r="J154" s="11" t="e">
        <v>#N/A</v>
      </c>
      <c r="K154" s="11" t="e">
        <v>#N/A</v>
      </c>
      <c r="L154" s="11">
        <v>16.0</v>
      </c>
      <c r="M154" s="11" t="e">
        <v>#N/A</v>
      </c>
      <c r="N154" s="11" t="e">
        <v>#N/A</v>
      </c>
      <c r="O154" s="11" t="e">
        <v>#N/A</v>
      </c>
      <c r="P154" s="11" t="e">
        <v>#N/A</v>
      </c>
      <c r="Q154" s="11" t="e">
        <v>#N/A</v>
      </c>
      <c r="R154" s="11" t="e">
        <v>#N/A</v>
      </c>
      <c r="S154" s="11" t="e">
        <v>#N/A</v>
      </c>
      <c r="T154" s="11" t="e">
        <v>#N/A</v>
      </c>
      <c r="U154" s="11" t="e">
        <v>#N/A</v>
      </c>
      <c r="V154" s="11" t="e">
        <v>#N/A</v>
      </c>
      <c r="W154" s="11">
        <v>16.0</v>
      </c>
      <c r="X154" s="11">
        <v>-16.0</v>
      </c>
      <c r="Y154" s="11" t="e">
        <v>#N/A</v>
      </c>
      <c r="Z154" s="29" t="e">
        <v>#N/A</v>
      </c>
    </row>
    <row r="155" ht="14.25" customHeight="1">
      <c r="A155" s="11"/>
      <c r="B155" s="11" t="e">
        <v>#N/A</v>
      </c>
      <c r="C155" s="11" t="s">
        <v>106</v>
      </c>
      <c r="D155" s="11"/>
      <c r="E155" s="11"/>
      <c r="F155" s="11">
        <v>0.0</v>
      </c>
      <c r="G155" s="11" t="s">
        <v>890</v>
      </c>
      <c r="H155" s="11" t="e">
        <v>#N/A</v>
      </c>
      <c r="I155" s="11" t="e">
        <v>#N/A</v>
      </c>
      <c r="J155" s="11">
        <v>0.0</v>
      </c>
      <c r="K155" s="11" t="s">
        <v>866</v>
      </c>
      <c r="L155" s="11">
        <v>16.0</v>
      </c>
      <c r="M155" s="11" t="e">
        <v>#N/A</v>
      </c>
      <c r="N155" s="11" t="e">
        <v>#N/A</v>
      </c>
      <c r="O155" s="11" t="e">
        <v>#N/A</v>
      </c>
      <c r="P155" s="11" t="e">
        <v>#N/A</v>
      </c>
      <c r="Q155" s="11" t="e">
        <v>#N/A</v>
      </c>
      <c r="R155" s="11" t="e">
        <v>#N/A</v>
      </c>
      <c r="S155" s="11" t="e">
        <v>#N/A</v>
      </c>
      <c r="T155" s="11" t="e">
        <v>#N/A</v>
      </c>
      <c r="U155" s="11" t="e">
        <v>#N/A</v>
      </c>
      <c r="V155" s="11" t="e">
        <v>#N/A</v>
      </c>
      <c r="W155" s="11">
        <v>16.0</v>
      </c>
      <c r="X155" s="11">
        <v>-16.0</v>
      </c>
      <c r="Y155" s="11" t="e">
        <v>#N/A</v>
      </c>
      <c r="Z155" s="29" t="s">
        <v>866</v>
      </c>
    </row>
    <row r="156" ht="14.25" customHeight="1">
      <c r="A156" s="11"/>
      <c r="B156" s="11" t="e">
        <v>#N/A</v>
      </c>
      <c r="C156" s="11" t="s">
        <v>106</v>
      </c>
      <c r="D156" s="11"/>
      <c r="E156" s="11"/>
      <c r="F156" s="11" t="e">
        <v>#N/A</v>
      </c>
      <c r="G156" s="11" t="s">
        <v>891</v>
      </c>
      <c r="H156" s="11" t="e">
        <v>#N/A</v>
      </c>
      <c r="I156" s="11" t="e">
        <v>#N/A</v>
      </c>
      <c r="J156" s="11" t="e">
        <v>#N/A</v>
      </c>
      <c r="K156" s="11" t="e">
        <v>#N/A</v>
      </c>
      <c r="L156" s="11">
        <v>16.0</v>
      </c>
      <c r="M156" s="11" t="e">
        <v>#N/A</v>
      </c>
      <c r="N156" s="11" t="e">
        <v>#N/A</v>
      </c>
      <c r="O156" s="11" t="e">
        <v>#N/A</v>
      </c>
      <c r="P156" s="11" t="e">
        <v>#N/A</v>
      </c>
      <c r="Q156" s="11" t="e">
        <v>#N/A</v>
      </c>
      <c r="R156" s="11" t="e">
        <v>#N/A</v>
      </c>
      <c r="S156" s="11" t="e">
        <v>#N/A</v>
      </c>
      <c r="T156" s="11" t="e">
        <v>#N/A</v>
      </c>
      <c r="U156" s="11" t="e">
        <v>#N/A</v>
      </c>
      <c r="V156" s="11" t="e">
        <v>#N/A</v>
      </c>
      <c r="W156" s="11">
        <v>16.0</v>
      </c>
      <c r="X156" s="11">
        <v>-16.0</v>
      </c>
      <c r="Y156" s="11" t="e">
        <v>#N/A</v>
      </c>
      <c r="Z156" s="29" t="e">
        <v>#N/A</v>
      </c>
    </row>
    <row r="157" ht="14.25" customHeight="1">
      <c r="A157" s="11"/>
      <c r="B157" s="11">
        <v>15.0</v>
      </c>
      <c r="C157" s="11" t="s">
        <v>106</v>
      </c>
      <c r="D157" s="11"/>
      <c r="E157" s="11"/>
      <c r="F157" s="11">
        <v>0.0</v>
      </c>
      <c r="G157" s="11" t="s">
        <v>892</v>
      </c>
      <c r="H157" s="11" t="s">
        <v>75</v>
      </c>
      <c r="I157" s="11">
        <v>164.0</v>
      </c>
      <c r="J157" s="11">
        <v>0.0</v>
      </c>
      <c r="K157" s="11" t="s">
        <v>884</v>
      </c>
      <c r="L157" s="11">
        <v>22.0</v>
      </c>
      <c r="M157" s="11">
        <v>171.0</v>
      </c>
      <c r="N157" s="11">
        <v>0.0</v>
      </c>
      <c r="O157" s="11">
        <v>167.0</v>
      </c>
      <c r="P157" s="11">
        <v>4.0</v>
      </c>
      <c r="Q157" s="11">
        <v>159.0</v>
      </c>
      <c r="R157" s="11">
        <v>175.0</v>
      </c>
      <c r="S157" s="11">
        <v>168.0</v>
      </c>
      <c r="T157" s="11">
        <v>156.0</v>
      </c>
      <c r="U157" s="11">
        <v>203.0</v>
      </c>
      <c r="V157" s="11">
        <v>171.0</v>
      </c>
      <c r="W157" s="11">
        <v>22.0</v>
      </c>
      <c r="X157" s="11">
        <v>-22.0</v>
      </c>
      <c r="Y157" s="11">
        <v>20.0</v>
      </c>
      <c r="Z157" s="29">
        <v>65.0</v>
      </c>
    </row>
    <row r="158" ht="14.25" customHeight="1">
      <c r="A158" s="11"/>
      <c r="B158" s="11">
        <v>26.0</v>
      </c>
      <c r="C158" s="11" t="s">
        <v>106</v>
      </c>
      <c r="D158" s="11"/>
      <c r="E158" s="11"/>
      <c r="F158" s="11">
        <v>0.0</v>
      </c>
      <c r="G158" s="11" t="s">
        <v>508</v>
      </c>
      <c r="H158" s="11" t="s">
        <v>154</v>
      </c>
      <c r="I158" s="11">
        <v>246.0</v>
      </c>
      <c r="J158" s="40">
        <v>0.0</v>
      </c>
      <c r="K158" s="11" t="s">
        <v>866</v>
      </c>
      <c r="L158" s="11">
        <v>36.0</v>
      </c>
      <c r="M158" s="11">
        <v>284.0</v>
      </c>
      <c r="N158" s="11">
        <v>-16.0</v>
      </c>
      <c r="O158" s="11" t="s">
        <v>36</v>
      </c>
      <c r="P158" s="11" t="e">
        <v>#VALUE!</v>
      </c>
      <c r="Q158" s="11" t="s">
        <v>36</v>
      </c>
      <c r="R158" s="11">
        <v>291.0</v>
      </c>
      <c r="S158" s="11">
        <v>322.0</v>
      </c>
      <c r="T158" s="11">
        <v>277.0</v>
      </c>
      <c r="U158" s="11">
        <v>326.0</v>
      </c>
      <c r="V158" s="11">
        <v>300.0</v>
      </c>
      <c r="W158" s="11">
        <v>38.0</v>
      </c>
      <c r="X158" s="11">
        <v>-38.0</v>
      </c>
      <c r="Y158" s="11" t="e">
        <v>#VALUE!</v>
      </c>
      <c r="Z158" s="29" t="s">
        <v>866</v>
      </c>
    </row>
    <row r="159" ht="14.25" customHeight="1">
      <c r="A159" s="11"/>
      <c r="B159" s="11">
        <v>7.0</v>
      </c>
      <c r="C159" s="11" t="s">
        <v>106</v>
      </c>
      <c r="D159" s="11"/>
      <c r="E159" s="11"/>
      <c r="F159" s="11">
        <v>0.0</v>
      </c>
      <c r="G159" s="11" t="s">
        <v>369</v>
      </c>
      <c r="H159" s="11" t="s">
        <v>162</v>
      </c>
      <c r="I159" s="11">
        <v>99.0</v>
      </c>
      <c r="J159" s="11">
        <v>0.0</v>
      </c>
      <c r="K159" s="11" t="s">
        <v>871</v>
      </c>
      <c r="L159" s="11">
        <v>9.0</v>
      </c>
      <c r="M159" s="11">
        <v>71.0</v>
      </c>
      <c r="N159" s="11">
        <v>1.0</v>
      </c>
      <c r="O159" s="11">
        <v>54.0</v>
      </c>
      <c r="P159" s="11">
        <v>17.0</v>
      </c>
      <c r="Q159" s="11">
        <v>52.0</v>
      </c>
      <c r="R159" s="11">
        <v>85.0</v>
      </c>
      <c r="S159" s="11">
        <v>92.0</v>
      </c>
      <c r="T159" s="11">
        <v>78.0</v>
      </c>
      <c r="U159" s="11">
        <v>61.0</v>
      </c>
      <c r="V159" s="11">
        <v>70.0</v>
      </c>
      <c r="W159" s="11">
        <v>9.0</v>
      </c>
      <c r="X159" s="11">
        <v>-9.0</v>
      </c>
      <c r="Y159" s="11">
        <v>20.0</v>
      </c>
      <c r="Z159" s="29">
        <v>6.0</v>
      </c>
    </row>
    <row r="160" ht="14.25" customHeight="1">
      <c r="A160" s="11"/>
      <c r="B160" s="11" t="e">
        <v>#N/A</v>
      </c>
      <c r="C160" s="11" t="s">
        <v>106</v>
      </c>
      <c r="D160" s="11"/>
      <c r="E160" s="11"/>
      <c r="F160" s="11" t="e">
        <v>#N/A</v>
      </c>
      <c r="G160" s="11" t="s">
        <v>893</v>
      </c>
      <c r="H160" s="11" t="e">
        <v>#N/A</v>
      </c>
      <c r="I160" s="11" t="e">
        <v>#N/A</v>
      </c>
      <c r="J160" s="61" t="e">
        <v>#N/A</v>
      </c>
      <c r="K160" s="11" t="e">
        <v>#N/A</v>
      </c>
      <c r="L160" s="11">
        <v>16.0</v>
      </c>
      <c r="M160" s="11" t="e">
        <v>#N/A</v>
      </c>
      <c r="N160" s="11" t="e">
        <v>#N/A</v>
      </c>
      <c r="O160" s="11" t="e">
        <v>#N/A</v>
      </c>
      <c r="P160" s="11" t="e">
        <v>#N/A</v>
      </c>
      <c r="Q160" s="11" t="e">
        <v>#N/A</v>
      </c>
      <c r="R160" s="11" t="e">
        <v>#N/A</v>
      </c>
      <c r="S160" s="11" t="e">
        <v>#N/A</v>
      </c>
      <c r="T160" s="11" t="e">
        <v>#N/A</v>
      </c>
      <c r="U160" s="11" t="e">
        <v>#N/A</v>
      </c>
      <c r="V160" s="11" t="e">
        <v>#N/A</v>
      </c>
      <c r="W160" s="11">
        <v>16.0</v>
      </c>
      <c r="X160" s="11">
        <v>-16.0</v>
      </c>
      <c r="Y160" s="11" t="e">
        <v>#N/A</v>
      </c>
      <c r="Z160" s="29" t="e">
        <v>#N/A</v>
      </c>
    </row>
    <row r="161" ht="14.25" customHeight="1">
      <c r="A161" s="11"/>
      <c r="B161" s="11">
        <v>23.0</v>
      </c>
      <c r="C161" s="11" t="s">
        <v>106</v>
      </c>
      <c r="D161" s="11"/>
      <c r="E161" s="11"/>
      <c r="F161" s="11">
        <v>0.0</v>
      </c>
      <c r="G161" s="11" t="s">
        <v>477</v>
      </c>
      <c r="H161" s="11" t="s">
        <v>62</v>
      </c>
      <c r="I161" s="11">
        <v>224.0</v>
      </c>
      <c r="J161" s="11">
        <v>0.0</v>
      </c>
      <c r="K161" s="11" t="s">
        <v>866</v>
      </c>
      <c r="L161" s="11">
        <v>32.0</v>
      </c>
      <c r="M161" s="11">
        <v>251.0</v>
      </c>
      <c r="N161" s="11">
        <v>-14.0</v>
      </c>
      <c r="O161" s="11" t="s">
        <v>36</v>
      </c>
      <c r="P161" s="11" t="e">
        <v>#VALUE!</v>
      </c>
      <c r="Q161" s="11" t="s">
        <v>36</v>
      </c>
      <c r="R161" s="11">
        <v>307.0</v>
      </c>
      <c r="S161" s="11">
        <v>252.0</v>
      </c>
      <c r="T161" s="11">
        <v>252.0</v>
      </c>
      <c r="U161" s="11" t="s">
        <v>36</v>
      </c>
      <c r="V161" s="11">
        <v>265.0</v>
      </c>
      <c r="W161" s="11">
        <v>34.0</v>
      </c>
      <c r="X161" s="11">
        <v>-34.0</v>
      </c>
      <c r="Y161" s="11">
        <v>-18.0</v>
      </c>
      <c r="Z161" s="29" t="s">
        <v>866</v>
      </c>
    </row>
    <row r="162" ht="14.25" customHeight="1">
      <c r="A162" s="11"/>
      <c r="B162" s="11">
        <v>18.0</v>
      </c>
      <c r="C162" s="11" t="s">
        <v>106</v>
      </c>
      <c r="D162" s="11"/>
      <c r="E162" s="11"/>
      <c r="F162" s="11">
        <v>0.0</v>
      </c>
      <c r="G162" s="11" t="s">
        <v>634</v>
      </c>
      <c r="H162" s="11" t="s">
        <v>94</v>
      </c>
      <c r="I162" s="11">
        <v>230.0</v>
      </c>
      <c r="J162" s="11" t="s">
        <v>106</v>
      </c>
      <c r="K162" s="11" t="s">
        <v>885</v>
      </c>
      <c r="L162" s="11">
        <v>22.0</v>
      </c>
      <c r="M162" s="11">
        <v>172.0</v>
      </c>
      <c r="N162" s="11">
        <v>-26.0</v>
      </c>
      <c r="O162" s="11" t="s">
        <v>36</v>
      </c>
      <c r="P162" s="11" t="e">
        <v>#VALUE!</v>
      </c>
      <c r="Q162" s="11">
        <v>194.0</v>
      </c>
      <c r="R162" s="11">
        <v>226.0</v>
      </c>
      <c r="S162" s="11">
        <v>185.0</v>
      </c>
      <c r="T162" s="11">
        <v>175.0</v>
      </c>
      <c r="U162" s="11">
        <v>241.0</v>
      </c>
      <c r="V162" s="11">
        <v>198.0</v>
      </c>
      <c r="W162" s="11">
        <v>25.0</v>
      </c>
      <c r="X162" s="11">
        <v>-25.0</v>
      </c>
      <c r="Y162" s="11">
        <v>-9.0</v>
      </c>
      <c r="Z162" s="29">
        <v>54.0</v>
      </c>
    </row>
    <row r="163" ht="14.25" customHeight="1">
      <c r="A163" s="11"/>
      <c r="B163" s="11">
        <v>17.0</v>
      </c>
      <c r="C163" s="11" t="s">
        <v>106</v>
      </c>
      <c r="D163" s="11"/>
      <c r="E163" s="11"/>
      <c r="F163" s="11">
        <v>0.0</v>
      </c>
      <c r="G163" s="11" t="s">
        <v>572</v>
      </c>
      <c r="H163" s="11" t="s">
        <v>102</v>
      </c>
      <c r="I163" s="11" t="s">
        <v>36</v>
      </c>
      <c r="J163" s="11">
        <v>0.0</v>
      </c>
      <c r="K163" s="11" t="s">
        <v>866</v>
      </c>
      <c r="L163" s="11">
        <v>24.0</v>
      </c>
      <c r="M163" s="11">
        <v>191.0</v>
      </c>
      <c r="N163" s="11">
        <v>-4.0</v>
      </c>
      <c r="O163" s="11">
        <v>179.0</v>
      </c>
      <c r="P163" s="11">
        <v>12.0</v>
      </c>
      <c r="Q163" s="11">
        <v>187.0</v>
      </c>
      <c r="R163" s="11">
        <v>235.0</v>
      </c>
      <c r="S163" s="11">
        <v>239.0</v>
      </c>
      <c r="T163" s="11">
        <v>202.0</v>
      </c>
      <c r="U163" s="11">
        <v>137.0</v>
      </c>
      <c r="V163" s="11">
        <v>195.0</v>
      </c>
      <c r="W163" s="11">
        <v>25.0</v>
      </c>
      <c r="X163" s="11">
        <v>-25.0</v>
      </c>
      <c r="Y163" s="11">
        <v>-22.0</v>
      </c>
      <c r="Z163" s="29" t="s">
        <v>866</v>
      </c>
    </row>
    <row r="164" ht="14.25" customHeight="1">
      <c r="A164" s="11"/>
      <c r="B164" s="11">
        <v>11.0</v>
      </c>
      <c r="C164" s="11" t="s">
        <v>106</v>
      </c>
      <c r="D164" s="11"/>
      <c r="E164" s="11"/>
      <c r="F164" s="11">
        <v>0.0</v>
      </c>
      <c r="G164" s="11" t="s">
        <v>292</v>
      </c>
      <c r="H164" s="11" t="s">
        <v>62</v>
      </c>
      <c r="I164" s="11">
        <v>96.0</v>
      </c>
      <c r="J164" s="11" t="s">
        <v>95</v>
      </c>
      <c r="K164" s="11" t="s">
        <v>861</v>
      </c>
      <c r="L164" s="11">
        <v>14.0</v>
      </c>
      <c r="M164" s="11">
        <v>106.0</v>
      </c>
      <c r="N164" s="11">
        <v>-15.0</v>
      </c>
      <c r="O164" s="11">
        <v>129.0</v>
      </c>
      <c r="P164" s="11">
        <v>-23.0</v>
      </c>
      <c r="Q164" s="11">
        <v>135.0</v>
      </c>
      <c r="R164" s="11">
        <v>128.0</v>
      </c>
      <c r="S164" s="11">
        <v>112.0</v>
      </c>
      <c r="T164" s="11">
        <v>96.0</v>
      </c>
      <c r="U164" s="11">
        <v>141.0</v>
      </c>
      <c r="V164" s="11">
        <v>121.0</v>
      </c>
      <c r="W164" s="11">
        <v>16.0</v>
      </c>
      <c r="X164" s="11">
        <v>-16.0</v>
      </c>
      <c r="Y164" s="11">
        <v>-14.0</v>
      </c>
      <c r="Z164" s="29">
        <v>46.0</v>
      </c>
    </row>
    <row r="165" ht="14.25" customHeight="1">
      <c r="A165" s="11"/>
      <c r="B165" s="11">
        <v>12.0</v>
      </c>
      <c r="C165" s="11" t="s">
        <v>106</v>
      </c>
      <c r="D165" s="11"/>
      <c r="E165" s="11"/>
      <c r="F165" s="11">
        <v>0.0</v>
      </c>
      <c r="G165" s="11" t="s">
        <v>590</v>
      </c>
      <c r="H165" s="11" t="s">
        <v>40</v>
      </c>
      <c r="I165" s="11">
        <v>118.0</v>
      </c>
      <c r="J165" s="11">
        <v>0.0</v>
      </c>
      <c r="K165" s="11" t="s">
        <v>862</v>
      </c>
      <c r="L165" s="11">
        <v>16.0</v>
      </c>
      <c r="M165" s="11">
        <v>120.0</v>
      </c>
      <c r="N165" s="11">
        <v>-15.0</v>
      </c>
      <c r="O165" s="11">
        <v>121.0</v>
      </c>
      <c r="P165" s="11">
        <v>-1.0</v>
      </c>
      <c r="Q165" s="11">
        <v>139.0</v>
      </c>
      <c r="R165" s="11">
        <v>132.0</v>
      </c>
      <c r="S165" s="11">
        <v>137.0</v>
      </c>
      <c r="T165" s="11">
        <v>119.0</v>
      </c>
      <c r="U165" s="11">
        <v>183.0</v>
      </c>
      <c r="V165" s="11">
        <v>135.0</v>
      </c>
      <c r="W165" s="11">
        <v>17.0</v>
      </c>
      <c r="X165" s="11">
        <v>-17.0</v>
      </c>
      <c r="Y165" s="11">
        <v>-5.0</v>
      </c>
      <c r="Z165" s="29">
        <v>56.0</v>
      </c>
    </row>
    <row r="166" ht="14.25" customHeight="1">
      <c r="A166" s="11"/>
      <c r="B166" s="11" t="e">
        <v>#N/A</v>
      </c>
      <c r="C166" s="11" t="s">
        <v>106</v>
      </c>
      <c r="D166" s="11"/>
      <c r="E166" s="11"/>
      <c r="F166" s="11" t="e">
        <v>#N/A</v>
      </c>
      <c r="G166" s="11" t="s">
        <v>894</v>
      </c>
      <c r="H166" s="11" t="e">
        <v>#N/A</v>
      </c>
      <c r="I166" s="11" t="e">
        <v>#N/A</v>
      </c>
      <c r="J166" s="11" t="e">
        <v>#N/A</v>
      </c>
      <c r="K166" s="11" t="e">
        <v>#N/A</v>
      </c>
      <c r="L166" s="11">
        <v>16.0</v>
      </c>
      <c r="M166" s="11" t="e">
        <v>#N/A</v>
      </c>
      <c r="N166" s="11" t="e">
        <v>#N/A</v>
      </c>
      <c r="O166" s="11" t="e">
        <v>#N/A</v>
      </c>
      <c r="P166" s="11" t="e">
        <v>#N/A</v>
      </c>
      <c r="Q166" s="11" t="e">
        <v>#N/A</v>
      </c>
      <c r="R166" s="11" t="e">
        <v>#N/A</v>
      </c>
      <c r="S166" s="11" t="e">
        <v>#N/A</v>
      </c>
      <c r="T166" s="11" t="e">
        <v>#N/A</v>
      </c>
      <c r="U166" s="11" t="e">
        <v>#N/A</v>
      </c>
      <c r="V166" s="11" t="e">
        <v>#N/A</v>
      </c>
      <c r="W166" s="11">
        <v>16.0</v>
      </c>
      <c r="X166" s="11">
        <v>-16.0</v>
      </c>
      <c r="Y166" s="11" t="e">
        <v>#N/A</v>
      </c>
      <c r="Z166" s="29" t="e">
        <v>#N/A</v>
      </c>
    </row>
    <row r="167" ht="14.25" customHeight="1">
      <c r="A167" s="11"/>
      <c r="B167" s="11">
        <v>14.0</v>
      </c>
      <c r="C167" s="11" t="s">
        <v>106</v>
      </c>
      <c r="D167" s="11"/>
      <c r="E167" s="11"/>
      <c r="F167" s="11">
        <v>0.0</v>
      </c>
      <c r="G167" s="11" t="s">
        <v>502</v>
      </c>
      <c r="H167" s="11" t="s">
        <v>237</v>
      </c>
      <c r="I167" s="11" t="s">
        <v>36</v>
      </c>
      <c r="J167" s="11">
        <v>0.0</v>
      </c>
      <c r="K167" s="11" t="s">
        <v>866</v>
      </c>
      <c r="L167" s="11">
        <v>20.0</v>
      </c>
      <c r="M167" s="11">
        <v>154.0</v>
      </c>
      <c r="N167" s="11">
        <v>-3.0</v>
      </c>
      <c r="O167" s="11">
        <v>132.0</v>
      </c>
      <c r="P167" s="11">
        <v>22.0</v>
      </c>
      <c r="Q167" s="11">
        <v>90.0</v>
      </c>
      <c r="R167" s="11">
        <v>213.0</v>
      </c>
      <c r="S167" s="11">
        <v>215.0</v>
      </c>
      <c r="T167" s="11">
        <v>167.0</v>
      </c>
      <c r="U167" s="11">
        <v>131.0</v>
      </c>
      <c r="V167" s="11">
        <v>157.0</v>
      </c>
      <c r="W167" s="11">
        <v>20.0</v>
      </c>
      <c r="X167" s="11">
        <v>-20.0</v>
      </c>
      <c r="Y167" s="11">
        <v>9.0</v>
      </c>
      <c r="Z167" s="29" t="s">
        <v>866</v>
      </c>
    </row>
    <row r="168" ht="14.25" customHeight="1">
      <c r="A168" s="11"/>
      <c r="B168" s="11">
        <v>18.0</v>
      </c>
      <c r="C168" s="11" t="s">
        <v>106</v>
      </c>
      <c r="D168" s="11"/>
      <c r="E168" s="11"/>
      <c r="F168" s="11">
        <v>0.0</v>
      </c>
      <c r="G168" s="11" t="s">
        <v>623</v>
      </c>
      <c r="H168" s="11" t="s">
        <v>98</v>
      </c>
      <c r="I168" s="11">
        <v>163.0</v>
      </c>
      <c r="J168" s="11">
        <v>0.0</v>
      </c>
      <c r="K168" s="11" t="s">
        <v>878</v>
      </c>
      <c r="L168" s="11">
        <v>29.0</v>
      </c>
      <c r="M168" s="11">
        <v>228.0</v>
      </c>
      <c r="N168" s="11">
        <v>22.0</v>
      </c>
      <c r="O168" s="11">
        <v>176.0</v>
      </c>
      <c r="P168" s="11">
        <v>52.0</v>
      </c>
      <c r="Q168" s="11">
        <v>207.0</v>
      </c>
      <c r="R168" s="11">
        <v>238.0</v>
      </c>
      <c r="S168" s="11">
        <v>198.0</v>
      </c>
      <c r="T168" s="11">
        <v>191.0</v>
      </c>
      <c r="U168" s="11">
        <v>205.0</v>
      </c>
      <c r="V168" s="11">
        <v>206.0</v>
      </c>
      <c r="W168" s="11">
        <v>26.0</v>
      </c>
      <c r="X168" s="11">
        <v>-26.0</v>
      </c>
      <c r="Y168" s="11">
        <v>-61.0</v>
      </c>
      <c r="Z168" s="29" t="s">
        <v>866</v>
      </c>
    </row>
    <row r="169" ht="14.25" customHeight="1">
      <c r="A169" s="11"/>
      <c r="B169" s="11">
        <v>25.0</v>
      </c>
      <c r="C169" s="11" t="s">
        <v>106</v>
      </c>
      <c r="D169" s="11"/>
      <c r="E169" s="11"/>
      <c r="F169" s="11">
        <v>0.0</v>
      </c>
      <c r="G169" s="11" t="s">
        <v>895</v>
      </c>
      <c r="H169" s="11" t="s">
        <v>105</v>
      </c>
      <c r="I169" s="11">
        <v>270.0</v>
      </c>
      <c r="J169" s="11">
        <v>0.0</v>
      </c>
      <c r="K169" s="11" t="s">
        <v>866</v>
      </c>
      <c r="L169" s="11">
        <v>39.0</v>
      </c>
      <c r="M169" s="11">
        <v>311.0</v>
      </c>
      <c r="N169" s="11">
        <v>14.0</v>
      </c>
      <c r="O169" s="11" t="s">
        <v>36</v>
      </c>
      <c r="P169" s="11" t="e">
        <v>#VALUE!</v>
      </c>
      <c r="Q169" s="11">
        <v>326.0</v>
      </c>
      <c r="R169" s="11" t="s">
        <v>36</v>
      </c>
      <c r="S169" s="11">
        <v>291.0</v>
      </c>
      <c r="T169" s="11" t="s">
        <v>36</v>
      </c>
      <c r="U169" s="11">
        <v>262.0</v>
      </c>
      <c r="V169" s="11">
        <v>297.0</v>
      </c>
      <c r="W169" s="11">
        <v>38.0</v>
      </c>
      <c r="X169" s="11">
        <v>-38.0</v>
      </c>
      <c r="Y169" s="11" t="e">
        <v>#VALUE!</v>
      </c>
      <c r="Z169" s="29" t="s">
        <v>866</v>
      </c>
    </row>
    <row r="170" ht="14.25" customHeight="1">
      <c r="A170" s="11"/>
      <c r="B170" s="11" t="e">
        <v>#N/A</v>
      </c>
      <c r="C170" s="11" t="s">
        <v>106</v>
      </c>
      <c r="D170" s="11"/>
      <c r="E170" s="11"/>
      <c r="F170" s="11" t="e">
        <v>#N/A</v>
      </c>
      <c r="G170" s="11" t="s">
        <v>896</v>
      </c>
      <c r="H170" s="11" t="e">
        <v>#N/A</v>
      </c>
      <c r="I170" s="11" t="e">
        <v>#N/A</v>
      </c>
      <c r="J170" s="11" t="e">
        <v>#N/A</v>
      </c>
      <c r="K170" s="11" t="e">
        <v>#N/A</v>
      </c>
      <c r="L170" s="11">
        <v>16.0</v>
      </c>
      <c r="M170" s="11" t="e">
        <v>#N/A</v>
      </c>
      <c r="N170" s="11" t="e">
        <v>#N/A</v>
      </c>
      <c r="O170" s="11" t="e">
        <v>#N/A</v>
      </c>
      <c r="P170" s="11" t="e">
        <v>#N/A</v>
      </c>
      <c r="Q170" s="11" t="e">
        <v>#N/A</v>
      </c>
      <c r="R170" s="11" t="e">
        <v>#N/A</v>
      </c>
      <c r="S170" s="11" t="e">
        <v>#N/A</v>
      </c>
      <c r="T170" s="11" t="e">
        <v>#N/A</v>
      </c>
      <c r="U170" s="11" t="e">
        <v>#N/A</v>
      </c>
      <c r="V170" s="11" t="e">
        <v>#N/A</v>
      </c>
      <c r="W170" s="11">
        <v>16.0</v>
      </c>
      <c r="X170" s="11">
        <v>-16.0</v>
      </c>
      <c r="Y170" s="11" t="e">
        <v>#N/A</v>
      </c>
      <c r="Z170" s="29" t="e">
        <v>#N/A</v>
      </c>
    </row>
    <row r="171" ht="14.25" customHeight="1">
      <c r="A171" s="11"/>
      <c r="B171" s="11" t="e">
        <v>#N/A</v>
      </c>
      <c r="C171" s="11" t="s">
        <v>106</v>
      </c>
      <c r="D171" s="11"/>
      <c r="E171" s="11"/>
      <c r="F171" s="11" t="e">
        <v>#N/A</v>
      </c>
      <c r="G171" s="11" t="s">
        <v>813</v>
      </c>
      <c r="H171" s="11" t="e">
        <v>#N/A</v>
      </c>
      <c r="I171" s="11" t="e">
        <v>#N/A</v>
      </c>
      <c r="J171" s="11" t="e">
        <v>#N/A</v>
      </c>
      <c r="K171" s="11" t="e">
        <v>#N/A</v>
      </c>
      <c r="L171" s="11">
        <v>16.0</v>
      </c>
      <c r="M171" s="11" t="e">
        <v>#N/A</v>
      </c>
      <c r="N171" s="11" t="e">
        <v>#N/A</v>
      </c>
      <c r="O171" s="11" t="e">
        <v>#N/A</v>
      </c>
      <c r="P171" s="11" t="e">
        <v>#N/A</v>
      </c>
      <c r="Q171" s="11" t="e">
        <v>#N/A</v>
      </c>
      <c r="R171" s="11" t="e">
        <v>#N/A</v>
      </c>
      <c r="S171" s="11" t="e">
        <v>#N/A</v>
      </c>
      <c r="T171" s="11" t="e">
        <v>#N/A</v>
      </c>
      <c r="U171" s="11" t="e">
        <v>#N/A</v>
      </c>
      <c r="V171" s="11" t="e">
        <v>#N/A</v>
      </c>
      <c r="W171" s="11">
        <v>16.0</v>
      </c>
      <c r="X171" s="11">
        <v>-16.0</v>
      </c>
      <c r="Y171" s="11" t="e">
        <v>#N/A</v>
      </c>
      <c r="Z171" s="29" t="e">
        <v>#N/A</v>
      </c>
    </row>
    <row r="172" ht="14.25" customHeight="1">
      <c r="A172" s="11"/>
      <c r="B172" s="11">
        <v>15.0</v>
      </c>
      <c r="C172" s="11" t="s">
        <v>106</v>
      </c>
      <c r="D172" s="11"/>
      <c r="E172" s="11"/>
      <c r="F172" s="11">
        <v>0.0</v>
      </c>
      <c r="G172" s="11" t="s">
        <v>626</v>
      </c>
      <c r="H172" s="11" t="s">
        <v>67</v>
      </c>
      <c r="I172" s="11" t="s">
        <v>36</v>
      </c>
      <c r="J172" s="11">
        <v>0.0</v>
      </c>
      <c r="K172" s="11" t="s">
        <v>866</v>
      </c>
      <c r="L172" s="11">
        <v>29.0</v>
      </c>
      <c r="M172" s="11">
        <v>231.0</v>
      </c>
      <c r="N172" s="11">
        <v>56.0</v>
      </c>
      <c r="O172" s="11">
        <v>128.0</v>
      </c>
      <c r="P172" s="11">
        <v>103.0</v>
      </c>
      <c r="Q172" s="11">
        <v>153.0</v>
      </c>
      <c r="R172" s="11">
        <v>218.0</v>
      </c>
      <c r="S172" s="11">
        <v>224.0</v>
      </c>
      <c r="T172" s="11">
        <v>179.0</v>
      </c>
      <c r="U172" s="11">
        <v>92.0</v>
      </c>
      <c r="V172" s="11">
        <v>175.0</v>
      </c>
      <c r="W172" s="11">
        <v>22.0</v>
      </c>
      <c r="X172" s="11">
        <v>-22.0</v>
      </c>
      <c r="Y172" s="11">
        <v>15.0</v>
      </c>
      <c r="Z172" s="29" t="s">
        <v>866</v>
      </c>
    </row>
    <row r="173" ht="14.25" customHeight="1">
      <c r="A173" s="11"/>
      <c r="B173" s="11">
        <v>17.0</v>
      </c>
      <c r="C173" s="11" t="s">
        <v>106</v>
      </c>
      <c r="D173" s="11"/>
      <c r="E173" s="11"/>
      <c r="F173" s="11">
        <v>0.0</v>
      </c>
      <c r="G173" s="11" t="s">
        <v>337</v>
      </c>
      <c r="H173" s="11" t="s">
        <v>109</v>
      </c>
      <c r="I173" s="11">
        <v>186.0</v>
      </c>
      <c r="J173" s="11">
        <v>0.0</v>
      </c>
      <c r="K173" s="11" t="s">
        <v>866</v>
      </c>
      <c r="L173" s="11">
        <v>22.0</v>
      </c>
      <c r="M173" s="11">
        <v>175.0</v>
      </c>
      <c r="N173" s="11">
        <v>-14.0</v>
      </c>
      <c r="O173" s="11">
        <v>187.0</v>
      </c>
      <c r="P173" s="11">
        <v>-12.0</v>
      </c>
      <c r="Q173" s="11">
        <v>203.0</v>
      </c>
      <c r="R173" s="11">
        <v>261.0</v>
      </c>
      <c r="S173" s="11">
        <v>157.0</v>
      </c>
      <c r="T173" s="11">
        <v>182.0</v>
      </c>
      <c r="U173" s="11">
        <v>160.0</v>
      </c>
      <c r="V173" s="11">
        <v>189.0</v>
      </c>
      <c r="W173" s="11">
        <v>24.0</v>
      </c>
      <c r="X173" s="11">
        <v>-24.0</v>
      </c>
      <c r="Y173" s="11">
        <v>53.0</v>
      </c>
      <c r="Z173" s="29" t="s">
        <v>866</v>
      </c>
    </row>
    <row r="174" ht="14.25" customHeight="1">
      <c r="A174" s="11"/>
      <c r="B174" s="11" t="e">
        <v>#N/A</v>
      </c>
      <c r="C174" s="11" t="s">
        <v>106</v>
      </c>
      <c r="D174" s="11"/>
      <c r="E174" s="11"/>
      <c r="F174" s="11" t="e">
        <v>#N/A</v>
      </c>
      <c r="G174" s="11" t="s">
        <v>897</v>
      </c>
      <c r="H174" s="11" t="e">
        <v>#N/A</v>
      </c>
      <c r="I174" s="11" t="e">
        <v>#N/A</v>
      </c>
      <c r="J174" s="11" t="e">
        <v>#N/A</v>
      </c>
      <c r="K174" s="11" t="e">
        <v>#N/A</v>
      </c>
      <c r="L174" s="11">
        <v>16.0</v>
      </c>
      <c r="M174" s="11" t="e">
        <v>#N/A</v>
      </c>
      <c r="N174" s="11" t="e">
        <v>#N/A</v>
      </c>
      <c r="O174" s="11" t="e">
        <v>#N/A</v>
      </c>
      <c r="P174" s="11" t="e">
        <v>#N/A</v>
      </c>
      <c r="Q174" s="11"/>
      <c r="R174" s="11"/>
      <c r="S174" s="11"/>
      <c r="T174" s="11"/>
      <c r="U174" s="11"/>
      <c r="V174" s="11" t="e">
        <v>#N/A</v>
      </c>
      <c r="W174" s="11">
        <v>16.0</v>
      </c>
      <c r="X174" s="11">
        <v>-16.0</v>
      </c>
      <c r="Y174" s="11" t="e">
        <v>#N/A</v>
      </c>
      <c r="Z174" s="29" t="e">
        <v>#N/A</v>
      </c>
    </row>
    <row r="175" ht="14.25" customHeight="1">
      <c r="A175" s="11"/>
      <c r="B175" s="11">
        <v>18.0</v>
      </c>
      <c r="C175" s="11" t="s">
        <v>106</v>
      </c>
      <c r="D175" s="11"/>
      <c r="E175" s="11"/>
      <c r="F175" s="11">
        <v>0.0</v>
      </c>
      <c r="G175" s="11" t="s">
        <v>556</v>
      </c>
      <c r="H175" s="11" t="s">
        <v>162</v>
      </c>
      <c r="I175" s="11">
        <v>190.0</v>
      </c>
      <c r="J175" s="11">
        <v>0.0</v>
      </c>
      <c r="K175" s="11" t="s">
        <v>866</v>
      </c>
      <c r="L175" s="11">
        <v>29.0</v>
      </c>
      <c r="M175" s="11">
        <v>227.0</v>
      </c>
      <c r="N175" s="11">
        <v>17.0</v>
      </c>
      <c r="O175" s="11" t="s">
        <v>36</v>
      </c>
      <c r="P175" s="11" t="e">
        <v>#VALUE!</v>
      </c>
      <c r="Q175" s="11">
        <v>200.0</v>
      </c>
      <c r="R175" s="11">
        <v>242.0</v>
      </c>
      <c r="S175" s="11">
        <v>167.0</v>
      </c>
      <c r="T175" s="11">
        <v>215.0</v>
      </c>
      <c r="U175" s="11">
        <v>211.0</v>
      </c>
      <c r="V175" s="11">
        <v>210.0</v>
      </c>
      <c r="W175" s="11">
        <v>27.0</v>
      </c>
      <c r="X175" s="11">
        <v>-27.0</v>
      </c>
      <c r="Y175" s="11" t="e">
        <v>#VALUE!</v>
      </c>
      <c r="Z175" s="29" t="s">
        <v>866</v>
      </c>
    </row>
    <row r="176" ht="14.25" customHeight="1">
      <c r="A176" s="11"/>
      <c r="B176" s="11" t="e">
        <v>#N/A</v>
      </c>
      <c r="C176" s="11" t="s">
        <v>106</v>
      </c>
      <c r="D176" s="11"/>
      <c r="E176" s="11"/>
      <c r="F176" s="11" t="e">
        <v>#N/A</v>
      </c>
      <c r="G176" s="11" t="s">
        <v>898</v>
      </c>
      <c r="H176" s="11" t="e">
        <v>#N/A</v>
      </c>
      <c r="I176" s="11" t="e">
        <v>#N/A</v>
      </c>
      <c r="J176" s="11" t="e">
        <v>#N/A</v>
      </c>
      <c r="K176" s="11" t="e">
        <v>#N/A</v>
      </c>
      <c r="L176" s="11">
        <v>16.0</v>
      </c>
      <c r="M176" s="11" t="e">
        <v>#N/A</v>
      </c>
      <c r="N176" s="11" t="e">
        <v>#N/A</v>
      </c>
      <c r="O176" s="11" t="e">
        <v>#N/A</v>
      </c>
      <c r="P176" s="11" t="e">
        <v>#N/A</v>
      </c>
      <c r="Q176" s="11" t="e">
        <v>#N/A</v>
      </c>
      <c r="R176" s="11" t="e">
        <v>#N/A</v>
      </c>
      <c r="S176" s="11" t="e">
        <v>#N/A</v>
      </c>
      <c r="T176" s="11" t="e">
        <v>#N/A</v>
      </c>
      <c r="U176" s="11" t="e">
        <v>#N/A</v>
      </c>
      <c r="V176" s="11" t="e">
        <v>#N/A</v>
      </c>
      <c r="W176" s="11">
        <v>16.0</v>
      </c>
      <c r="X176" s="11">
        <v>-16.0</v>
      </c>
      <c r="Y176" s="11" t="e">
        <v>#N/A</v>
      </c>
      <c r="Z176" s="29" t="e">
        <v>#N/A</v>
      </c>
    </row>
    <row r="177" ht="14.25" customHeight="1">
      <c r="A177" s="11"/>
      <c r="B177" s="11">
        <v>23.0</v>
      </c>
      <c r="C177" s="11" t="s">
        <v>106</v>
      </c>
      <c r="D177" s="11"/>
      <c r="E177" s="11"/>
      <c r="F177" s="11">
        <v>0.0</v>
      </c>
      <c r="G177" s="11" t="s">
        <v>273</v>
      </c>
      <c r="H177" s="11" t="s">
        <v>125</v>
      </c>
      <c r="I177" s="11">
        <v>219.0</v>
      </c>
      <c r="J177" s="11">
        <v>0.0</v>
      </c>
      <c r="K177" s="11" t="s">
        <v>866</v>
      </c>
      <c r="L177" s="11">
        <v>32.0</v>
      </c>
      <c r="M177" s="11">
        <v>252.0</v>
      </c>
      <c r="N177" s="11">
        <v>-12.0</v>
      </c>
      <c r="O177" s="11" t="s">
        <v>36</v>
      </c>
      <c r="P177" s="11" t="e">
        <v>#VALUE!</v>
      </c>
      <c r="Q177" s="11" t="s">
        <v>36</v>
      </c>
      <c r="R177" s="11">
        <v>304.0</v>
      </c>
      <c r="S177" s="11">
        <v>218.0</v>
      </c>
      <c r="T177" s="11">
        <v>213.0</v>
      </c>
      <c r="U177" s="11">
        <v>335.0</v>
      </c>
      <c r="V177" s="11">
        <v>264.0</v>
      </c>
      <c r="W177" s="11">
        <v>34.0</v>
      </c>
      <c r="X177" s="11">
        <v>-34.0</v>
      </c>
      <c r="Y177" s="11">
        <v>-23.0</v>
      </c>
      <c r="Z177" s="29" t="s">
        <v>866</v>
      </c>
    </row>
    <row r="178" ht="14.25" customHeight="1">
      <c r="A178" s="11"/>
      <c r="B178" s="11">
        <v>15.0</v>
      </c>
      <c r="C178" s="11" t="s">
        <v>106</v>
      </c>
      <c r="D178" s="11"/>
      <c r="E178" s="11"/>
      <c r="F178" s="11">
        <v>0.0</v>
      </c>
      <c r="G178" s="11" t="s">
        <v>405</v>
      </c>
      <c r="H178" s="11" t="s">
        <v>116</v>
      </c>
      <c r="I178" s="11">
        <v>160.0</v>
      </c>
      <c r="J178" s="11">
        <v>0.0</v>
      </c>
      <c r="K178" s="11" t="s">
        <v>866</v>
      </c>
      <c r="L178" s="11">
        <v>22.0</v>
      </c>
      <c r="M178" s="11">
        <v>169.0</v>
      </c>
      <c r="N178" s="11">
        <v>0.0</v>
      </c>
      <c r="O178" s="11">
        <v>155.0</v>
      </c>
      <c r="P178" s="11">
        <v>14.0</v>
      </c>
      <c r="Q178" s="11">
        <v>155.0</v>
      </c>
      <c r="R178" s="11">
        <v>225.0</v>
      </c>
      <c r="S178" s="11">
        <v>140.0</v>
      </c>
      <c r="T178" s="11">
        <v>168.0</v>
      </c>
      <c r="U178" s="11">
        <v>173.0</v>
      </c>
      <c r="V178" s="11">
        <v>169.0</v>
      </c>
      <c r="W178" s="11">
        <v>22.0</v>
      </c>
      <c r="X178" s="11">
        <v>-22.0</v>
      </c>
      <c r="Y178" s="11">
        <v>-35.0</v>
      </c>
      <c r="Z178" s="29" t="s">
        <v>866</v>
      </c>
    </row>
    <row r="179" ht="14.25" customHeight="1">
      <c r="A179" s="11"/>
      <c r="B179" s="11">
        <v>23.0</v>
      </c>
      <c r="C179" s="11" t="s">
        <v>106</v>
      </c>
      <c r="D179" s="11"/>
      <c r="E179" s="11"/>
      <c r="F179" s="11">
        <v>0.0</v>
      </c>
      <c r="G179" s="11" t="s">
        <v>439</v>
      </c>
      <c r="H179" s="11" t="s">
        <v>154</v>
      </c>
      <c r="I179" s="11">
        <v>280.0</v>
      </c>
      <c r="J179" s="59">
        <v>0.0</v>
      </c>
      <c r="K179" s="11" t="s">
        <v>885</v>
      </c>
      <c r="L179" s="11">
        <v>31.0</v>
      </c>
      <c r="M179" s="11">
        <v>247.0</v>
      </c>
      <c r="N179" s="11">
        <v>-22.0</v>
      </c>
      <c r="O179" s="11" t="s">
        <v>36</v>
      </c>
      <c r="P179" s="11" t="e">
        <v>#VALUE!</v>
      </c>
      <c r="Q179" s="11" t="s">
        <v>36</v>
      </c>
      <c r="R179" s="11">
        <v>296.0</v>
      </c>
      <c r="S179" s="11">
        <v>255.0</v>
      </c>
      <c r="T179" s="11">
        <v>235.0</v>
      </c>
      <c r="U179" s="11">
        <v>315.0</v>
      </c>
      <c r="V179" s="11">
        <v>269.0</v>
      </c>
      <c r="W179" s="11">
        <v>34.0</v>
      </c>
      <c r="X179" s="11">
        <v>-34.0</v>
      </c>
      <c r="Y179" s="11">
        <v>-62.0</v>
      </c>
      <c r="Z179" s="29">
        <v>53.0</v>
      </c>
    </row>
    <row r="180" ht="14.25" customHeight="1">
      <c r="A180" s="11"/>
      <c r="B180" s="11">
        <v>11.0</v>
      </c>
      <c r="C180" s="11" t="s">
        <v>106</v>
      </c>
      <c r="D180" s="11"/>
      <c r="E180" s="11"/>
      <c r="F180" s="11">
        <v>0.0</v>
      </c>
      <c r="G180" s="11" t="s">
        <v>543</v>
      </c>
      <c r="H180" s="11" t="s">
        <v>71</v>
      </c>
      <c r="I180" s="11" t="s">
        <v>36</v>
      </c>
      <c r="J180" s="11">
        <v>0.0</v>
      </c>
      <c r="K180" s="11" t="s">
        <v>866</v>
      </c>
      <c r="L180" s="11">
        <v>17.0</v>
      </c>
      <c r="M180" s="11">
        <v>131.0</v>
      </c>
      <c r="N180" s="11">
        <v>14.0</v>
      </c>
      <c r="O180" s="11">
        <v>104.0</v>
      </c>
      <c r="P180" s="11">
        <v>27.0</v>
      </c>
      <c r="Q180" s="11"/>
      <c r="R180" s="11"/>
      <c r="S180" s="11"/>
      <c r="T180" s="11"/>
      <c r="U180" s="11"/>
      <c r="V180" s="11">
        <v>117.0</v>
      </c>
      <c r="W180" s="11">
        <v>15.0</v>
      </c>
      <c r="X180" s="11">
        <v>-15.0</v>
      </c>
      <c r="Y180" s="11">
        <v>64.0</v>
      </c>
      <c r="Z180" s="29" t="s">
        <v>866</v>
      </c>
    </row>
    <row r="181" ht="14.25" customHeight="1">
      <c r="A181" s="11"/>
      <c r="B181" s="11">
        <v>18.0</v>
      </c>
      <c r="C181" s="11" t="s">
        <v>106</v>
      </c>
      <c r="D181" s="11"/>
      <c r="E181" s="11"/>
      <c r="F181" s="11">
        <v>0.0</v>
      </c>
      <c r="G181" s="11" t="s">
        <v>630</v>
      </c>
      <c r="H181" s="11" t="s">
        <v>171</v>
      </c>
      <c r="I181" s="11" t="s">
        <v>36</v>
      </c>
      <c r="J181" s="11">
        <v>0.0</v>
      </c>
      <c r="K181" s="11" t="s">
        <v>866</v>
      </c>
      <c r="L181" s="11">
        <v>16.0</v>
      </c>
      <c r="M181" s="11" t="s">
        <v>36</v>
      </c>
      <c r="N181" s="11" t="e">
        <v>#VALUE!</v>
      </c>
      <c r="O181" s="11">
        <v>212.0</v>
      </c>
      <c r="P181" s="11" t="e">
        <v>#VALUE!</v>
      </c>
      <c r="Q181" s="11">
        <v>220.0</v>
      </c>
      <c r="R181" s="11" t="s">
        <v>36</v>
      </c>
      <c r="S181" s="11">
        <v>296.0</v>
      </c>
      <c r="T181" s="11">
        <v>246.0</v>
      </c>
      <c r="U181" s="11">
        <v>83.0</v>
      </c>
      <c r="V181" s="11">
        <v>211.0</v>
      </c>
      <c r="W181" s="11">
        <v>27.0</v>
      </c>
      <c r="X181" s="11">
        <v>-27.0</v>
      </c>
      <c r="Y181" s="11" t="e">
        <v>#VALUE!</v>
      </c>
      <c r="Z181" s="29" t="s">
        <v>866</v>
      </c>
    </row>
    <row r="182" ht="14.25" customHeight="1">
      <c r="A182" s="11"/>
      <c r="B182" s="11">
        <v>2.0</v>
      </c>
      <c r="C182" s="11" t="s">
        <v>106</v>
      </c>
      <c r="D182" s="11"/>
      <c r="E182" s="11"/>
      <c r="F182" s="11">
        <v>0.0</v>
      </c>
      <c r="G182" s="11" t="s">
        <v>199</v>
      </c>
      <c r="H182" s="11" t="s">
        <v>162</v>
      </c>
      <c r="I182" s="11">
        <v>21.0</v>
      </c>
      <c r="J182" s="11">
        <v>0.0</v>
      </c>
      <c r="K182" s="11" t="s">
        <v>847</v>
      </c>
      <c r="L182" s="11">
        <v>3.0</v>
      </c>
      <c r="M182" s="11">
        <v>22.0</v>
      </c>
      <c r="N182" s="11">
        <v>0.0</v>
      </c>
      <c r="O182" s="11">
        <v>22.0</v>
      </c>
      <c r="P182" s="11">
        <v>0.0</v>
      </c>
      <c r="Q182" s="11">
        <v>22.0</v>
      </c>
      <c r="R182" s="11">
        <v>25.0</v>
      </c>
      <c r="S182" s="11">
        <v>20.0</v>
      </c>
      <c r="T182" s="11">
        <v>19.0</v>
      </c>
      <c r="U182" s="11">
        <v>24.0</v>
      </c>
      <c r="V182" s="11">
        <v>22.0</v>
      </c>
      <c r="W182" s="11">
        <v>3.0</v>
      </c>
      <c r="X182" s="11">
        <v>-3.0</v>
      </c>
      <c r="Y182" s="11">
        <v>-5.0</v>
      </c>
      <c r="Z182" s="29">
        <v>9.0</v>
      </c>
    </row>
    <row r="183" ht="14.25" customHeight="1">
      <c r="A183" s="11"/>
      <c r="B183" s="11">
        <v>15.0</v>
      </c>
      <c r="C183" s="11" t="s">
        <v>106</v>
      </c>
      <c r="D183" s="11"/>
      <c r="E183" s="11"/>
      <c r="F183" s="11">
        <v>0.0</v>
      </c>
      <c r="G183" s="11" t="s">
        <v>584</v>
      </c>
      <c r="H183" s="11" t="s">
        <v>109</v>
      </c>
      <c r="I183" s="11">
        <v>123.0</v>
      </c>
      <c r="J183" s="11">
        <v>0.0</v>
      </c>
      <c r="K183" s="11" t="s">
        <v>857</v>
      </c>
      <c r="L183" s="11">
        <v>20.0</v>
      </c>
      <c r="M183" s="11">
        <v>152.0</v>
      </c>
      <c r="N183" s="11">
        <v>-10.0</v>
      </c>
      <c r="O183" s="11">
        <v>144.0</v>
      </c>
      <c r="P183" s="11">
        <v>8.0</v>
      </c>
      <c r="Q183" s="11">
        <v>176.0</v>
      </c>
      <c r="R183" s="11">
        <v>198.0</v>
      </c>
      <c r="S183" s="11">
        <v>153.0</v>
      </c>
      <c r="T183" s="11">
        <v>128.0</v>
      </c>
      <c r="U183" s="11">
        <v>185.0</v>
      </c>
      <c r="V183" s="11">
        <v>162.0</v>
      </c>
      <c r="W183" s="11">
        <v>21.0</v>
      </c>
      <c r="X183" s="11">
        <v>-21.0</v>
      </c>
      <c r="Y183" s="11">
        <v>-36.0</v>
      </c>
      <c r="Z183" s="29">
        <v>52.0</v>
      </c>
    </row>
    <row r="184" ht="14.25" customHeight="1">
      <c r="A184" s="11"/>
      <c r="B184" s="11">
        <v>15.0</v>
      </c>
      <c r="C184" s="11" t="s">
        <v>106</v>
      </c>
      <c r="D184" s="11"/>
      <c r="E184" s="11"/>
      <c r="F184" s="11">
        <v>0.0</v>
      </c>
      <c r="G184" s="11" t="s">
        <v>899</v>
      </c>
      <c r="H184" s="11" t="s">
        <v>165</v>
      </c>
      <c r="I184" s="11">
        <v>161.0</v>
      </c>
      <c r="J184" s="11">
        <v>0.0</v>
      </c>
      <c r="K184" s="11" t="s">
        <v>857</v>
      </c>
      <c r="L184" s="11">
        <v>25.0</v>
      </c>
      <c r="M184" s="11">
        <v>196.0</v>
      </c>
      <c r="N184" s="11">
        <v>13.0</v>
      </c>
      <c r="O184" s="11">
        <v>203.0</v>
      </c>
      <c r="P184" s="11">
        <v>-7.0</v>
      </c>
      <c r="Q184" s="11">
        <v>148.0</v>
      </c>
      <c r="R184" s="11">
        <v>197.0</v>
      </c>
      <c r="S184" s="11">
        <v>171.0</v>
      </c>
      <c r="T184" s="11">
        <v>161.0</v>
      </c>
      <c r="U184" s="11">
        <v>208.0</v>
      </c>
      <c r="V184" s="11">
        <v>183.0</v>
      </c>
      <c r="W184" s="11">
        <v>23.0</v>
      </c>
      <c r="X184" s="11">
        <v>-23.0</v>
      </c>
      <c r="Y184" s="11">
        <v>-13.0</v>
      </c>
      <c r="Z184" s="29">
        <v>54.0</v>
      </c>
    </row>
    <row r="185" ht="14.25" customHeight="1">
      <c r="A185" s="11"/>
      <c r="B185" s="11" t="e">
        <v>#N/A</v>
      </c>
      <c r="C185" s="11" t="s">
        <v>106</v>
      </c>
      <c r="D185" s="11"/>
      <c r="E185" s="11"/>
      <c r="F185" s="11" t="e">
        <v>#N/A</v>
      </c>
      <c r="G185" s="11" t="s">
        <v>900</v>
      </c>
      <c r="H185" s="11" t="e">
        <v>#N/A</v>
      </c>
      <c r="I185" s="11" t="e">
        <v>#N/A</v>
      </c>
      <c r="J185" s="11" t="e">
        <v>#N/A</v>
      </c>
      <c r="K185" s="11" t="e">
        <v>#N/A</v>
      </c>
      <c r="L185" s="11">
        <v>16.0</v>
      </c>
      <c r="M185" s="11" t="e">
        <v>#N/A</v>
      </c>
      <c r="N185" s="11" t="e">
        <v>#N/A</v>
      </c>
      <c r="O185" s="11" t="e">
        <v>#N/A</v>
      </c>
      <c r="P185" s="11" t="e">
        <v>#N/A</v>
      </c>
      <c r="Q185" s="11" t="e">
        <v>#N/A</v>
      </c>
      <c r="R185" s="11" t="e">
        <v>#N/A</v>
      </c>
      <c r="S185" s="11" t="e">
        <v>#N/A</v>
      </c>
      <c r="T185" s="11" t="e">
        <v>#N/A</v>
      </c>
      <c r="U185" s="11" t="e">
        <v>#N/A</v>
      </c>
      <c r="V185" s="11" t="e">
        <v>#N/A</v>
      </c>
      <c r="W185" s="11">
        <v>16.0</v>
      </c>
      <c r="X185" s="11">
        <v>-16.0</v>
      </c>
      <c r="Y185" s="11" t="e">
        <v>#N/A</v>
      </c>
      <c r="Z185" s="29" t="e">
        <v>#N/A</v>
      </c>
    </row>
    <row r="186" ht="14.25" customHeight="1">
      <c r="A186" s="11"/>
      <c r="B186" s="11">
        <v>12.0</v>
      </c>
      <c r="C186" s="11" t="s">
        <v>106</v>
      </c>
      <c r="D186" s="11"/>
      <c r="E186" s="11"/>
      <c r="F186" s="11">
        <v>0.0</v>
      </c>
      <c r="G186" s="11" t="s">
        <v>460</v>
      </c>
      <c r="H186" s="11" t="s">
        <v>148</v>
      </c>
      <c r="I186" s="11">
        <v>109.0</v>
      </c>
      <c r="J186" s="11">
        <v>0.0</v>
      </c>
      <c r="K186" s="11" t="s">
        <v>863</v>
      </c>
      <c r="L186" s="11">
        <v>20.0</v>
      </c>
      <c r="M186" s="11">
        <v>153.0</v>
      </c>
      <c r="N186" s="11">
        <v>13.0</v>
      </c>
      <c r="O186" s="11">
        <v>127.0</v>
      </c>
      <c r="P186" s="11">
        <v>26.0</v>
      </c>
      <c r="Q186" s="11">
        <v>156.0</v>
      </c>
      <c r="R186" s="11">
        <v>109.0</v>
      </c>
      <c r="S186" s="11">
        <v>108.0</v>
      </c>
      <c r="T186" s="11">
        <v>132.0</v>
      </c>
      <c r="U186" s="11">
        <v>197.0</v>
      </c>
      <c r="V186" s="11">
        <v>140.0</v>
      </c>
      <c r="W186" s="11">
        <v>18.0</v>
      </c>
      <c r="X186" s="11">
        <v>-18.0</v>
      </c>
      <c r="Y186" s="11">
        <v>-51.0</v>
      </c>
      <c r="Z186" s="29">
        <v>50.0</v>
      </c>
    </row>
    <row r="187" ht="14.25" customHeight="1">
      <c r="A187" s="11"/>
      <c r="B187" s="11">
        <v>7.0</v>
      </c>
      <c r="C187" s="11" t="s">
        <v>106</v>
      </c>
      <c r="D187" s="11"/>
      <c r="E187" s="11"/>
      <c r="F187" s="11">
        <v>0.0</v>
      </c>
      <c r="G187" s="11" t="s">
        <v>326</v>
      </c>
      <c r="H187" s="11" t="s">
        <v>176</v>
      </c>
      <c r="I187" s="11">
        <v>91.0</v>
      </c>
      <c r="J187" s="11">
        <v>0.0</v>
      </c>
      <c r="K187" s="11" t="s">
        <v>871</v>
      </c>
      <c r="L187" s="11">
        <v>10.0</v>
      </c>
      <c r="M187" s="11">
        <v>79.0</v>
      </c>
      <c r="N187" s="11">
        <v>3.0</v>
      </c>
      <c r="O187" s="11">
        <v>68.0</v>
      </c>
      <c r="P187" s="11">
        <v>11.0</v>
      </c>
      <c r="Q187" s="11">
        <v>66.0</v>
      </c>
      <c r="R187" s="11">
        <v>87.0</v>
      </c>
      <c r="S187" s="11">
        <v>89.0</v>
      </c>
      <c r="T187" s="11">
        <v>83.0</v>
      </c>
      <c r="U187" s="11">
        <v>64.0</v>
      </c>
      <c r="V187" s="11">
        <v>76.0</v>
      </c>
      <c r="W187" s="11">
        <v>10.0</v>
      </c>
      <c r="X187" s="11">
        <v>-10.0</v>
      </c>
      <c r="Y187" s="11">
        <v>7.0</v>
      </c>
      <c r="Z187" s="29">
        <v>7.0</v>
      </c>
    </row>
    <row r="188" ht="14.25" customHeight="1">
      <c r="A188" s="11"/>
      <c r="B188" s="11">
        <v>18.0</v>
      </c>
      <c r="C188" s="11" t="s">
        <v>106</v>
      </c>
      <c r="D188" s="11"/>
      <c r="E188" s="11"/>
      <c r="F188" s="11">
        <v>0.0</v>
      </c>
      <c r="G188" s="11" t="s">
        <v>901</v>
      </c>
      <c r="H188" s="11" t="s">
        <v>116</v>
      </c>
      <c r="I188" s="11">
        <v>141.0</v>
      </c>
      <c r="J188" s="11">
        <v>0.0</v>
      </c>
      <c r="K188" s="11" t="s">
        <v>862</v>
      </c>
      <c r="L188" s="11">
        <v>25.0</v>
      </c>
      <c r="M188" s="11">
        <v>199.0</v>
      </c>
      <c r="N188" s="11">
        <v>-3.0</v>
      </c>
      <c r="O188" s="11">
        <v>199.0</v>
      </c>
      <c r="P188" s="11">
        <v>0.0</v>
      </c>
      <c r="Q188" s="11">
        <v>224.0</v>
      </c>
      <c r="R188" s="11">
        <v>231.0</v>
      </c>
      <c r="S188" s="11">
        <v>159.0</v>
      </c>
      <c r="T188" s="11">
        <v>145.0</v>
      </c>
      <c r="U188" s="11">
        <v>263.0</v>
      </c>
      <c r="V188" s="11">
        <v>202.0</v>
      </c>
      <c r="W188" s="11">
        <v>26.0</v>
      </c>
      <c r="X188" s="11">
        <v>-26.0</v>
      </c>
      <c r="Y188" s="11">
        <v>-46.0</v>
      </c>
      <c r="Z188" s="29">
        <v>59.0</v>
      </c>
    </row>
    <row r="189" ht="14.25" customHeight="1">
      <c r="A189" s="11"/>
      <c r="B189" s="11">
        <v>14.0</v>
      </c>
      <c r="C189" s="11" t="s">
        <v>106</v>
      </c>
      <c r="D189" s="11"/>
      <c r="E189" s="11"/>
      <c r="F189" s="11">
        <v>0.0</v>
      </c>
      <c r="G189" s="11" t="s">
        <v>659</v>
      </c>
      <c r="H189" s="11" t="s">
        <v>102</v>
      </c>
      <c r="I189" s="11" t="s">
        <v>36</v>
      </c>
      <c r="J189" s="11">
        <v>0.0</v>
      </c>
      <c r="K189" s="11" t="s">
        <v>866</v>
      </c>
      <c r="L189" s="11">
        <v>21.0</v>
      </c>
      <c r="M189" s="11">
        <v>161.0</v>
      </c>
      <c r="N189" s="11">
        <v>-12.0</v>
      </c>
      <c r="O189" s="11">
        <v>185.0</v>
      </c>
      <c r="P189" s="11">
        <v>-24.0</v>
      </c>
      <c r="Q189" s="11"/>
      <c r="R189" s="11"/>
      <c r="S189" s="11"/>
      <c r="T189" s="11"/>
      <c r="U189" s="11"/>
      <c r="V189" s="11">
        <v>173.0</v>
      </c>
      <c r="W189" s="11">
        <v>22.0</v>
      </c>
      <c r="X189" s="11">
        <v>-22.0</v>
      </c>
      <c r="Y189" s="11">
        <v>53.0</v>
      </c>
      <c r="Z189" s="29" t="s">
        <v>866</v>
      </c>
    </row>
    <row r="190" ht="14.25" customHeight="1">
      <c r="A190" s="11"/>
      <c r="B190" s="11">
        <v>24.0</v>
      </c>
      <c r="C190" s="11" t="s">
        <v>106</v>
      </c>
      <c r="D190" s="11"/>
      <c r="E190" s="11"/>
      <c r="F190" s="11" t="e">
        <v>#N/A</v>
      </c>
      <c r="G190" s="11" t="s">
        <v>902</v>
      </c>
      <c r="H190" s="11" t="s">
        <v>94</v>
      </c>
      <c r="I190" s="11" t="s">
        <v>36</v>
      </c>
      <c r="J190" s="11" t="e">
        <v>#N/A</v>
      </c>
      <c r="K190" s="11" t="e">
        <v>#N/A</v>
      </c>
      <c r="L190" s="11">
        <v>31.0</v>
      </c>
      <c r="M190" s="11">
        <v>245.0</v>
      </c>
      <c r="N190" s="11">
        <v>-31.0</v>
      </c>
      <c r="O190" s="11" t="s">
        <v>36</v>
      </c>
      <c r="P190" s="11" t="e">
        <v>#VALUE!</v>
      </c>
      <c r="Q190" s="11">
        <v>248.0</v>
      </c>
      <c r="R190" s="11">
        <v>343.0</v>
      </c>
      <c r="S190" s="11">
        <v>333.0</v>
      </c>
      <c r="T190" s="11">
        <v>273.0</v>
      </c>
      <c r="U190" s="11">
        <v>217.0</v>
      </c>
      <c r="V190" s="11">
        <v>276.0</v>
      </c>
      <c r="W190" s="11">
        <v>35.0</v>
      </c>
      <c r="X190" s="11">
        <v>-35.0</v>
      </c>
      <c r="Y190" s="11" t="e">
        <v>#N/A</v>
      </c>
      <c r="Z190" s="29" t="e">
        <v>#N/A</v>
      </c>
    </row>
    <row r="191" ht="14.25" customHeight="1">
      <c r="A191" s="11"/>
      <c r="B191" s="11">
        <v>13.0</v>
      </c>
      <c r="C191" s="11" t="s">
        <v>106</v>
      </c>
      <c r="D191" s="11"/>
      <c r="E191" s="11"/>
      <c r="F191" s="11">
        <v>0.0</v>
      </c>
      <c r="G191" s="11" t="s">
        <v>495</v>
      </c>
      <c r="H191" s="11" t="s">
        <v>85</v>
      </c>
      <c r="I191" s="11" t="s">
        <v>36</v>
      </c>
      <c r="J191" s="11">
        <v>0.0</v>
      </c>
      <c r="K191" s="11" t="s">
        <v>866</v>
      </c>
      <c r="L191" s="11">
        <v>19.0</v>
      </c>
      <c r="M191" s="11">
        <v>144.0</v>
      </c>
      <c r="N191" s="11">
        <v>3.0</v>
      </c>
      <c r="O191" s="11">
        <v>87.0</v>
      </c>
      <c r="P191" s="11">
        <v>57.0</v>
      </c>
      <c r="Q191" s="11">
        <v>130.0</v>
      </c>
      <c r="R191" s="11">
        <v>164.0</v>
      </c>
      <c r="S191" s="11">
        <v>214.0</v>
      </c>
      <c r="T191" s="11">
        <v>160.0</v>
      </c>
      <c r="U191" s="11">
        <v>93.0</v>
      </c>
      <c r="V191" s="11">
        <v>141.0</v>
      </c>
      <c r="W191" s="11">
        <v>18.0</v>
      </c>
      <c r="X191" s="11">
        <v>-18.0</v>
      </c>
      <c r="Y191" s="11">
        <v>24.0</v>
      </c>
      <c r="Z191" s="29" t="s">
        <v>866</v>
      </c>
    </row>
    <row r="192" ht="14.25" customHeight="1">
      <c r="A192" s="11"/>
      <c r="B192" s="11">
        <v>15.0</v>
      </c>
      <c r="C192" s="11" t="s">
        <v>106</v>
      </c>
      <c r="D192" s="11"/>
      <c r="E192" s="11"/>
      <c r="F192" s="11">
        <v>0.0</v>
      </c>
      <c r="G192" s="11" t="s">
        <v>521</v>
      </c>
      <c r="H192" s="11" t="s">
        <v>67</v>
      </c>
      <c r="I192" s="11">
        <v>150.0</v>
      </c>
      <c r="J192" s="11">
        <v>0.0</v>
      </c>
      <c r="K192" s="11" t="s">
        <v>903</v>
      </c>
      <c r="L192" s="11">
        <v>19.0</v>
      </c>
      <c r="M192" s="11">
        <v>149.0</v>
      </c>
      <c r="N192" s="11">
        <v>-18.0</v>
      </c>
      <c r="O192" s="11">
        <v>164.0</v>
      </c>
      <c r="P192" s="11">
        <v>-15.0</v>
      </c>
      <c r="Q192" s="11">
        <v>190.0</v>
      </c>
      <c r="R192" s="11">
        <v>171.0</v>
      </c>
      <c r="S192" s="11">
        <v>143.0</v>
      </c>
      <c r="T192" s="11">
        <v>141.0</v>
      </c>
      <c r="U192" s="11">
        <v>215.0</v>
      </c>
      <c r="V192" s="11">
        <v>167.0</v>
      </c>
      <c r="W192" s="11">
        <v>21.0</v>
      </c>
      <c r="X192" s="11">
        <v>-21.0</v>
      </c>
      <c r="Y192" s="11">
        <v>-29.0</v>
      </c>
      <c r="Z192" s="29">
        <v>57.0</v>
      </c>
    </row>
    <row r="193" ht="14.25" customHeight="1">
      <c r="A193" s="11"/>
      <c r="B193" s="11">
        <v>14.0</v>
      </c>
      <c r="C193" s="11" t="s">
        <v>106</v>
      </c>
      <c r="D193" s="11"/>
      <c r="E193" s="11"/>
      <c r="F193" s="11">
        <v>0.0</v>
      </c>
      <c r="G193" s="11" t="s">
        <v>475</v>
      </c>
      <c r="H193" s="11" t="s">
        <v>119</v>
      </c>
      <c r="I193" s="11" t="s">
        <v>36</v>
      </c>
      <c r="J193" s="11">
        <v>0.0</v>
      </c>
      <c r="K193" s="11" t="s">
        <v>866</v>
      </c>
      <c r="L193" s="11">
        <v>24.0</v>
      </c>
      <c r="M193" s="11">
        <v>188.0</v>
      </c>
      <c r="N193" s="11">
        <v>23.0</v>
      </c>
      <c r="O193" s="11">
        <v>145.0</v>
      </c>
      <c r="P193" s="11">
        <v>43.0</v>
      </c>
      <c r="Q193" s="11">
        <v>100.0</v>
      </c>
      <c r="R193" s="11">
        <v>190.0</v>
      </c>
      <c r="S193" s="11">
        <v>216.0</v>
      </c>
      <c r="T193" s="11">
        <v>176.0</v>
      </c>
      <c r="U193" s="11">
        <v>145.0</v>
      </c>
      <c r="V193" s="11">
        <v>165.0</v>
      </c>
      <c r="W193" s="11">
        <v>21.0</v>
      </c>
      <c r="X193" s="11">
        <v>-21.0</v>
      </c>
      <c r="Y193" s="11">
        <v>23.0</v>
      </c>
      <c r="Z193" s="29" t="s">
        <v>866</v>
      </c>
    </row>
    <row r="194" ht="14.25" customHeight="1">
      <c r="A194" s="11"/>
      <c r="B194" s="11">
        <v>9.0</v>
      </c>
      <c r="C194" s="11" t="s">
        <v>106</v>
      </c>
      <c r="D194" s="11"/>
      <c r="E194" s="11"/>
      <c r="F194" s="11">
        <v>0.0</v>
      </c>
      <c r="G194" s="11" t="s">
        <v>313</v>
      </c>
      <c r="H194" s="11" t="s">
        <v>75</v>
      </c>
      <c r="I194" s="11">
        <v>83.0</v>
      </c>
      <c r="J194" s="11" t="s">
        <v>106</v>
      </c>
      <c r="K194" s="11" t="s">
        <v>882</v>
      </c>
      <c r="L194" s="11">
        <v>13.0</v>
      </c>
      <c r="M194" s="11">
        <v>103.0</v>
      </c>
      <c r="N194" s="11">
        <v>-1.0</v>
      </c>
      <c r="O194" s="11">
        <v>98.0</v>
      </c>
      <c r="P194" s="11">
        <v>5.0</v>
      </c>
      <c r="Q194" s="11">
        <v>122.0</v>
      </c>
      <c r="R194" s="11">
        <v>107.0</v>
      </c>
      <c r="S194" s="11">
        <v>88.0</v>
      </c>
      <c r="T194" s="11">
        <v>89.0</v>
      </c>
      <c r="U194" s="11">
        <v>122.0</v>
      </c>
      <c r="V194" s="11">
        <v>104.0</v>
      </c>
      <c r="W194" s="11">
        <v>14.0</v>
      </c>
      <c r="X194" s="11">
        <v>-14.0</v>
      </c>
      <c r="Y194" s="11">
        <v>-33.0</v>
      </c>
      <c r="Z194" s="29">
        <v>28.0</v>
      </c>
    </row>
    <row r="195" ht="14.25" customHeight="1">
      <c r="A195" s="11"/>
      <c r="B195" s="11">
        <v>19.0</v>
      </c>
      <c r="C195" s="11" t="s">
        <v>106</v>
      </c>
      <c r="D195" s="11"/>
      <c r="E195" s="11"/>
      <c r="F195" s="11" t="e">
        <v>#N/A</v>
      </c>
      <c r="G195" s="11" t="s">
        <v>904</v>
      </c>
      <c r="H195" s="11" t="s">
        <v>45</v>
      </c>
      <c r="I195" s="11" t="s">
        <v>36</v>
      </c>
      <c r="J195" s="11" t="e">
        <v>#N/A</v>
      </c>
      <c r="K195" s="11" t="e">
        <v>#N/A</v>
      </c>
      <c r="L195" s="11">
        <v>16.0</v>
      </c>
      <c r="M195" s="11" t="s">
        <v>36</v>
      </c>
      <c r="N195" s="11" t="e">
        <v>#VALUE!</v>
      </c>
      <c r="O195" s="11" t="s">
        <v>36</v>
      </c>
      <c r="P195" s="11" t="e">
        <v>#VALUE!</v>
      </c>
      <c r="Q195" s="11">
        <v>223.0</v>
      </c>
      <c r="R195" s="11" t="s">
        <v>36</v>
      </c>
      <c r="S195" s="11">
        <v>323.0</v>
      </c>
      <c r="T195" s="11">
        <v>267.0</v>
      </c>
      <c r="U195" s="11">
        <v>97.0</v>
      </c>
      <c r="V195" s="11">
        <v>227.0</v>
      </c>
      <c r="W195" s="11">
        <v>29.0</v>
      </c>
      <c r="X195" s="11">
        <v>-29.0</v>
      </c>
      <c r="Y195" s="11" t="e">
        <v>#N/A</v>
      </c>
      <c r="Z195" s="29" t="e">
        <v>#N/A</v>
      </c>
    </row>
    <row r="196" ht="14.25" customHeight="1">
      <c r="A196" s="11"/>
      <c r="B196" s="11">
        <v>8.0</v>
      </c>
      <c r="C196" s="11" t="s">
        <v>106</v>
      </c>
      <c r="D196" s="11"/>
      <c r="E196" s="11"/>
      <c r="F196" s="11">
        <v>0.0</v>
      </c>
      <c r="G196" s="11" t="s">
        <v>621</v>
      </c>
      <c r="H196" s="11" t="s">
        <v>58</v>
      </c>
      <c r="I196" s="11">
        <v>55.0</v>
      </c>
      <c r="J196" s="11">
        <v>0.0</v>
      </c>
      <c r="K196" s="11" t="s">
        <v>849</v>
      </c>
      <c r="L196" s="11">
        <v>12.0</v>
      </c>
      <c r="M196" s="11">
        <v>94.0</v>
      </c>
      <c r="N196" s="11">
        <v>8.0</v>
      </c>
      <c r="O196" s="11">
        <v>72.0</v>
      </c>
      <c r="P196" s="11">
        <v>22.0</v>
      </c>
      <c r="Q196" s="11">
        <v>93.0</v>
      </c>
      <c r="R196" s="11">
        <v>106.0</v>
      </c>
      <c r="S196" s="11">
        <v>67.0</v>
      </c>
      <c r="T196" s="11">
        <v>65.0</v>
      </c>
      <c r="U196" s="11">
        <v>110.0</v>
      </c>
      <c r="V196" s="11">
        <v>86.0</v>
      </c>
      <c r="W196" s="11">
        <v>11.0</v>
      </c>
      <c r="X196" s="11">
        <v>-11.0</v>
      </c>
      <c r="Y196" s="11">
        <v>-17.0</v>
      </c>
      <c r="Z196" s="29">
        <v>32.0</v>
      </c>
    </row>
    <row r="197" ht="14.25" customHeight="1">
      <c r="A197" s="11"/>
      <c r="B197" s="11">
        <v>17.0</v>
      </c>
      <c r="C197" s="11" t="s">
        <v>106</v>
      </c>
      <c r="D197" s="11"/>
      <c r="E197" s="11"/>
      <c r="F197" s="11">
        <v>0.0</v>
      </c>
      <c r="G197" s="11" t="s">
        <v>409</v>
      </c>
      <c r="H197" s="11" t="s">
        <v>231</v>
      </c>
      <c r="I197" s="11">
        <v>165.0</v>
      </c>
      <c r="J197" s="11">
        <v>0.0</v>
      </c>
      <c r="K197" s="11" t="s">
        <v>866</v>
      </c>
      <c r="L197" s="11">
        <v>27.0</v>
      </c>
      <c r="M197" s="11">
        <v>208.0</v>
      </c>
      <c r="N197" s="11">
        <v>6.0</v>
      </c>
      <c r="O197" s="11" t="s">
        <v>36</v>
      </c>
      <c r="P197" s="11" t="e">
        <v>#VALUE!</v>
      </c>
      <c r="Q197" s="11" t="s">
        <v>36</v>
      </c>
      <c r="R197" s="11">
        <v>249.0</v>
      </c>
      <c r="S197" s="11">
        <v>150.0</v>
      </c>
      <c r="T197" s="11">
        <v>187.0</v>
      </c>
      <c r="U197" s="11">
        <v>218.0</v>
      </c>
      <c r="V197" s="11">
        <v>202.0</v>
      </c>
      <c r="W197" s="11">
        <v>26.0</v>
      </c>
      <c r="X197" s="11">
        <v>-26.0</v>
      </c>
      <c r="Y197" s="11">
        <v>-58.0</v>
      </c>
      <c r="Z197" s="29" t="s">
        <v>866</v>
      </c>
    </row>
    <row r="198" ht="14.25" customHeight="1">
      <c r="A198" s="11"/>
      <c r="B198" s="11" t="e">
        <v>#N/A</v>
      </c>
      <c r="C198" s="11" t="s">
        <v>106</v>
      </c>
      <c r="D198" s="11"/>
      <c r="E198" s="11"/>
      <c r="F198" s="11">
        <v>0.0</v>
      </c>
      <c r="G198" s="11" t="s">
        <v>905</v>
      </c>
      <c r="H198" s="11" t="e">
        <v>#N/A</v>
      </c>
      <c r="I198" s="11" t="e">
        <v>#N/A</v>
      </c>
      <c r="J198" s="11">
        <v>0.0</v>
      </c>
      <c r="K198" s="11" t="s">
        <v>866</v>
      </c>
      <c r="L198" s="11">
        <v>16.0</v>
      </c>
      <c r="M198" s="11" t="e">
        <v>#N/A</v>
      </c>
      <c r="N198" s="11" t="e">
        <v>#N/A</v>
      </c>
      <c r="O198" s="11" t="e">
        <v>#N/A</v>
      </c>
      <c r="P198" s="11" t="e">
        <v>#N/A</v>
      </c>
      <c r="Q198" s="11" t="e">
        <v>#N/A</v>
      </c>
      <c r="R198" s="11" t="e">
        <v>#N/A</v>
      </c>
      <c r="S198" s="11" t="e">
        <v>#N/A</v>
      </c>
      <c r="T198" s="11" t="e">
        <v>#N/A</v>
      </c>
      <c r="U198" s="11" t="e">
        <v>#N/A</v>
      </c>
      <c r="V198" s="11" t="e">
        <v>#N/A</v>
      </c>
      <c r="W198" s="11">
        <v>16.0</v>
      </c>
      <c r="X198" s="11">
        <v>-16.0</v>
      </c>
      <c r="Y198" s="11" t="e">
        <v>#N/A</v>
      </c>
      <c r="Z198" s="29" t="s">
        <v>866</v>
      </c>
    </row>
    <row r="199" ht="14.25" customHeight="1">
      <c r="A199" s="11"/>
      <c r="B199" s="11" t="e">
        <v>#N/A</v>
      </c>
      <c r="C199" s="11" t="s">
        <v>106</v>
      </c>
      <c r="D199" s="11"/>
      <c r="E199" s="11"/>
      <c r="F199" s="11" t="e">
        <v>#N/A</v>
      </c>
      <c r="G199" s="11" t="s">
        <v>540</v>
      </c>
      <c r="H199" s="11" t="e">
        <v>#N/A</v>
      </c>
      <c r="I199" s="11" t="e">
        <v>#N/A</v>
      </c>
      <c r="J199" s="11" t="e">
        <v>#N/A</v>
      </c>
      <c r="K199" s="11" t="e">
        <v>#N/A</v>
      </c>
      <c r="L199" s="11">
        <v>16.0</v>
      </c>
      <c r="M199" s="11" t="e">
        <v>#N/A</v>
      </c>
      <c r="N199" s="11" t="e">
        <v>#N/A</v>
      </c>
      <c r="O199" s="11" t="e">
        <v>#N/A</v>
      </c>
      <c r="P199" s="11" t="e">
        <v>#N/A</v>
      </c>
      <c r="Q199" s="11" t="e">
        <v>#N/A</v>
      </c>
      <c r="R199" s="11" t="e">
        <v>#N/A</v>
      </c>
      <c r="S199" s="11" t="e">
        <v>#N/A</v>
      </c>
      <c r="T199" s="11" t="e">
        <v>#N/A</v>
      </c>
      <c r="U199" s="11" t="e">
        <v>#N/A</v>
      </c>
      <c r="V199" s="11" t="e">
        <v>#N/A</v>
      </c>
      <c r="W199" s="11">
        <v>16.0</v>
      </c>
      <c r="X199" s="11">
        <v>-16.0</v>
      </c>
      <c r="Y199" s="11" t="e">
        <v>#N/A</v>
      </c>
      <c r="Z199" s="29" t="e">
        <v>#N/A</v>
      </c>
    </row>
    <row r="200" ht="14.25" customHeight="1">
      <c r="A200" s="11"/>
      <c r="B200" s="11">
        <v>13.0</v>
      </c>
      <c r="C200" s="11" t="s">
        <v>106</v>
      </c>
      <c r="D200" s="11"/>
      <c r="E200" s="11"/>
      <c r="F200" s="11">
        <v>0.0</v>
      </c>
      <c r="G200" s="11" t="s">
        <v>906</v>
      </c>
      <c r="H200" s="11" t="s">
        <v>176</v>
      </c>
      <c r="I200" s="11">
        <v>115.0</v>
      </c>
      <c r="J200" s="11">
        <v>0.0</v>
      </c>
      <c r="K200" s="11" t="s">
        <v>884</v>
      </c>
      <c r="L200" s="11">
        <v>18.0</v>
      </c>
      <c r="M200" s="11">
        <v>140.0</v>
      </c>
      <c r="N200" s="11">
        <v>-7.0</v>
      </c>
      <c r="O200" s="11">
        <v>171.0</v>
      </c>
      <c r="P200" s="11">
        <v>-31.0</v>
      </c>
      <c r="Q200" s="11">
        <v>167.0</v>
      </c>
      <c r="R200" s="11">
        <v>131.0</v>
      </c>
      <c r="S200" s="11">
        <v>136.0</v>
      </c>
      <c r="T200" s="11">
        <v>113.0</v>
      </c>
      <c r="U200" s="11">
        <v>174.0</v>
      </c>
      <c r="V200" s="11">
        <v>147.0</v>
      </c>
      <c r="W200" s="11">
        <v>19.0</v>
      </c>
      <c r="X200" s="11">
        <v>-19.0</v>
      </c>
      <c r="Y200" s="11">
        <v>7.0</v>
      </c>
      <c r="Z200" s="29">
        <v>60.0</v>
      </c>
    </row>
    <row r="201" ht="14.25" customHeight="1">
      <c r="A201" s="11"/>
      <c r="B201" s="11" t="e">
        <v>#N/A</v>
      </c>
      <c r="C201" s="11" t="s">
        <v>106</v>
      </c>
      <c r="D201" s="11"/>
      <c r="E201" s="11"/>
      <c r="F201" s="11" t="e">
        <v>#N/A</v>
      </c>
      <c r="G201" s="11" t="s">
        <v>907</v>
      </c>
      <c r="H201" s="11" t="e">
        <v>#N/A</v>
      </c>
      <c r="I201" s="11" t="e">
        <v>#N/A</v>
      </c>
      <c r="J201" s="61" t="e">
        <v>#N/A</v>
      </c>
      <c r="K201" s="11" t="e">
        <v>#N/A</v>
      </c>
      <c r="L201" s="11">
        <v>16.0</v>
      </c>
      <c r="M201" s="11" t="e">
        <v>#N/A</v>
      </c>
      <c r="N201" s="11" t="e">
        <v>#N/A</v>
      </c>
      <c r="O201" s="11" t="e">
        <v>#N/A</v>
      </c>
      <c r="P201" s="11" t="e">
        <v>#N/A</v>
      </c>
      <c r="Q201" s="11" t="e">
        <v>#N/A</v>
      </c>
      <c r="R201" s="11" t="e">
        <v>#N/A</v>
      </c>
      <c r="S201" s="11" t="e">
        <v>#N/A</v>
      </c>
      <c r="T201" s="11" t="e">
        <v>#N/A</v>
      </c>
      <c r="U201" s="11" t="e">
        <v>#N/A</v>
      </c>
      <c r="V201" s="11" t="e">
        <v>#N/A</v>
      </c>
      <c r="W201" s="11">
        <v>16.0</v>
      </c>
      <c r="X201" s="11">
        <v>-16.0</v>
      </c>
      <c r="Y201" s="11" t="e">
        <v>#N/A</v>
      </c>
      <c r="Z201" s="29" t="e">
        <v>#N/A</v>
      </c>
    </row>
    <row r="202" ht="14.25" customHeight="1">
      <c r="A202" s="11"/>
      <c r="B202" s="11" t="e">
        <v>#N/A</v>
      </c>
      <c r="C202" s="11" t="s">
        <v>106</v>
      </c>
      <c r="D202" s="11"/>
      <c r="E202" s="11"/>
      <c r="F202" s="11" t="e">
        <v>#N/A</v>
      </c>
      <c r="G202" s="11" t="s">
        <v>908</v>
      </c>
      <c r="H202" s="11" t="e">
        <v>#N/A</v>
      </c>
      <c r="I202" s="11" t="e">
        <v>#N/A</v>
      </c>
      <c r="J202" s="11" t="e">
        <v>#N/A</v>
      </c>
      <c r="K202" s="11" t="e">
        <v>#N/A</v>
      </c>
      <c r="L202" s="11">
        <v>16.0</v>
      </c>
      <c r="M202" s="11" t="e">
        <v>#N/A</v>
      </c>
      <c r="N202" s="11" t="e">
        <v>#N/A</v>
      </c>
      <c r="O202" s="11" t="e">
        <v>#N/A</v>
      </c>
      <c r="P202" s="11" t="e">
        <v>#N/A</v>
      </c>
      <c r="Q202" s="11" t="e">
        <v>#N/A</v>
      </c>
      <c r="R202" s="11" t="e">
        <v>#N/A</v>
      </c>
      <c r="S202" s="11" t="e">
        <v>#N/A</v>
      </c>
      <c r="T202" s="11" t="e">
        <v>#N/A</v>
      </c>
      <c r="U202" s="11" t="e">
        <v>#N/A</v>
      </c>
      <c r="V202" s="11" t="e">
        <v>#N/A</v>
      </c>
      <c r="W202" s="11">
        <v>16.0</v>
      </c>
      <c r="X202" s="11">
        <v>-16.0</v>
      </c>
      <c r="Y202" s="11" t="e">
        <v>#N/A</v>
      </c>
      <c r="Z202" s="29" t="e">
        <v>#N/A</v>
      </c>
    </row>
    <row r="203" ht="14.25" customHeight="1">
      <c r="A203" s="11"/>
      <c r="B203" s="11">
        <v>16.0</v>
      </c>
      <c r="C203" s="11" t="s">
        <v>106</v>
      </c>
      <c r="D203" s="11"/>
      <c r="E203" s="11"/>
      <c r="F203" s="11">
        <v>0.0</v>
      </c>
      <c r="G203" s="11" t="s">
        <v>308</v>
      </c>
      <c r="H203" s="11" t="s">
        <v>128</v>
      </c>
      <c r="I203" s="11">
        <v>166.0</v>
      </c>
      <c r="J203" s="11">
        <v>0.0</v>
      </c>
      <c r="K203" s="11" t="s">
        <v>866</v>
      </c>
      <c r="L203" s="11">
        <v>26.0</v>
      </c>
      <c r="M203" s="11">
        <v>206.0</v>
      </c>
      <c r="N203" s="11">
        <v>19.0</v>
      </c>
      <c r="O203" s="11">
        <v>165.0</v>
      </c>
      <c r="P203" s="11">
        <v>41.0</v>
      </c>
      <c r="Q203" s="11">
        <v>174.0</v>
      </c>
      <c r="R203" s="11">
        <v>206.0</v>
      </c>
      <c r="S203" s="11">
        <v>169.0</v>
      </c>
      <c r="T203" s="11">
        <v>146.0</v>
      </c>
      <c r="U203" s="11">
        <v>249.0</v>
      </c>
      <c r="V203" s="11">
        <v>187.0</v>
      </c>
      <c r="W203" s="11">
        <v>24.0</v>
      </c>
      <c r="X203" s="11">
        <v>-24.0</v>
      </c>
      <c r="Y203" s="11">
        <v>-19.0</v>
      </c>
      <c r="Z203" s="29" t="s">
        <v>866</v>
      </c>
    </row>
    <row r="204" ht="14.25" customHeight="1">
      <c r="A204" s="11"/>
      <c r="B204" s="11">
        <v>19.0</v>
      </c>
      <c r="C204" s="11" t="s">
        <v>106</v>
      </c>
      <c r="D204" s="11"/>
      <c r="E204" s="11"/>
      <c r="F204" s="11">
        <v>0.0</v>
      </c>
      <c r="G204" s="11" t="s">
        <v>280</v>
      </c>
      <c r="H204" s="11" t="s">
        <v>105</v>
      </c>
      <c r="I204" s="11">
        <v>204.0</v>
      </c>
      <c r="J204" s="11">
        <v>0.0</v>
      </c>
      <c r="K204" s="11" t="s">
        <v>866</v>
      </c>
      <c r="L204" s="11">
        <v>27.0</v>
      </c>
      <c r="M204" s="11">
        <v>212.0</v>
      </c>
      <c r="N204" s="11">
        <v>-8.0</v>
      </c>
      <c r="O204" s="11">
        <v>197.0</v>
      </c>
      <c r="P204" s="11">
        <v>15.0</v>
      </c>
      <c r="Q204" s="11" t="s">
        <v>36</v>
      </c>
      <c r="R204" s="11">
        <v>227.0</v>
      </c>
      <c r="S204" s="11">
        <v>226.0</v>
      </c>
      <c r="T204" s="11">
        <v>180.0</v>
      </c>
      <c r="U204" s="11">
        <v>278.0</v>
      </c>
      <c r="V204" s="11">
        <v>220.0</v>
      </c>
      <c r="W204" s="11">
        <v>28.0</v>
      </c>
      <c r="X204" s="11">
        <v>-28.0</v>
      </c>
      <c r="Y204" s="11">
        <v>16.0</v>
      </c>
      <c r="Z204" s="29" t="s">
        <v>866</v>
      </c>
    </row>
    <row r="205" ht="14.25" customHeight="1">
      <c r="A205" s="11"/>
      <c r="B205" s="11" t="e">
        <v>#N/A</v>
      </c>
      <c r="C205" s="11" t="s">
        <v>106</v>
      </c>
      <c r="D205" s="11"/>
      <c r="E205" s="11"/>
      <c r="F205" s="11" t="e">
        <v>#N/A</v>
      </c>
      <c r="G205" s="11" t="s">
        <v>909</v>
      </c>
      <c r="H205" s="11" t="e">
        <v>#N/A</v>
      </c>
      <c r="I205" s="11" t="e">
        <v>#N/A</v>
      </c>
      <c r="J205" s="11" t="e">
        <v>#N/A</v>
      </c>
      <c r="K205" s="11" t="e">
        <v>#N/A</v>
      </c>
      <c r="L205" s="11">
        <v>16.0</v>
      </c>
      <c r="M205" s="11" t="e">
        <v>#N/A</v>
      </c>
      <c r="N205" s="11" t="e">
        <v>#N/A</v>
      </c>
      <c r="O205" s="11" t="e">
        <v>#N/A</v>
      </c>
      <c r="P205" s="11" t="e">
        <v>#N/A</v>
      </c>
      <c r="Q205" s="11" t="e">
        <v>#N/A</v>
      </c>
      <c r="R205" s="11" t="e">
        <v>#N/A</v>
      </c>
      <c r="S205" s="11" t="e">
        <v>#N/A</v>
      </c>
      <c r="T205" s="11" t="e">
        <v>#N/A</v>
      </c>
      <c r="U205" s="11" t="e">
        <v>#N/A</v>
      </c>
      <c r="V205" s="11" t="e">
        <v>#N/A</v>
      </c>
      <c r="W205" s="11">
        <v>16.0</v>
      </c>
      <c r="X205" s="11">
        <v>-16.0</v>
      </c>
      <c r="Y205" s="11" t="e">
        <v>#N/A</v>
      </c>
      <c r="Z205" s="29" t="e">
        <v>#N/A</v>
      </c>
    </row>
    <row r="206" ht="14.25" customHeight="1">
      <c r="A206" s="11"/>
      <c r="B206" s="11">
        <v>17.0</v>
      </c>
      <c r="C206" s="11" t="s">
        <v>106</v>
      </c>
      <c r="D206" s="11"/>
      <c r="E206" s="11"/>
      <c r="F206" s="11">
        <v>0.0</v>
      </c>
      <c r="G206" s="11" t="s">
        <v>538</v>
      </c>
      <c r="H206" s="11" t="s">
        <v>35</v>
      </c>
      <c r="I206" s="11" t="s">
        <v>36</v>
      </c>
      <c r="J206" s="11">
        <v>0.0</v>
      </c>
      <c r="K206" s="11" t="s">
        <v>866</v>
      </c>
      <c r="L206" s="11">
        <v>24.0</v>
      </c>
      <c r="M206" s="11">
        <v>187.0</v>
      </c>
      <c r="N206" s="11">
        <v>-8.0</v>
      </c>
      <c r="O206" s="11">
        <v>178.0</v>
      </c>
      <c r="P206" s="11">
        <v>9.0</v>
      </c>
      <c r="Q206" s="11">
        <v>136.0</v>
      </c>
      <c r="R206" s="11">
        <v>257.0</v>
      </c>
      <c r="S206" s="11">
        <v>254.0</v>
      </c>
      <c r="T206" s="11">
        <v>201.0</v>
      </c>
      <c r="U206" s="11">
        <v>152.0</v>
      </c>
      <c r="V206" s="11">
        <v>195.0</v>
      </c>
      <c r="W206" s="11">
        <v>25.0</v>
      </c>
      <c r="X206" s="11">
        <v>-25.0</v>
      </c>
      <c r="Y206" s="11">
        <v>-9.0</v>
      </c>
      <c r="Z206" s="29" t="s">
        <v>866</v>
      </c>
    </row>
    <row r="207" ht="14.25" customHeight="1">
      <c r="A207" s="11"/>
      <c r="B207" s="11">
        <v>16.0</v>
      </c>
      <c r="C207" s="11" t="s">
        <v>106</v>
      </c>
      <c r="D207" s="11"/>
      <c r="E207" s="11"/>
      <c r="F207" s="11">
        <v>0.0</v>
      </c>
      <c r="G207" s="11" t="s">
        <v>481</v>
      </c>
      <c r="H207" s="11" t="s">
        <v>165</v>
      </c>
      <c r="I207" s="11">
        <v>146.0</v>
      </c>
      <c r="J207" s="11">
        <v>0.0</v>
      </c>
      <c r="K207" s="11" t="s">
        <v>868</v>
      </c>
      <c r="L207" s="11">
        <v>26.0</v>
      </c>
      <c r="M207" s="11">
        <v>201.0</v>
      </c>
      <c r="N207" s="11">
        <v>17.0</v>
      </c>
      <c r="O207" s="11">
        <v>190.0</v>
      </c>
      <c r="P207" s="11">
        <v>11.0</v>
      </c>
      <c r="Q207" s="11">
        <v>193.0</v>
      </c>
      <c r="R207" s="11">
        <v>187.0</v>
      </c>
      <c r="S207" s="11">
        <v>170.0</v>
      </c>
      <c r="T207" s="11">
        <v>157.0</v>
      </c>
      <c r="U207" s="11">
        <v>194.0</v>
      </c>
      <c r="V207" s="11">
        <v>184.0</v>
      </c>
      <c r="W207" s="11">
        <v>24.0</v>
      </c>
      <c r="X207" s="11">
        <v>-24.0</v>
      </c>
      <c r="Y207" s="11">
        <v>-48.0</v>
      </c>
      <c r="Z207" s="29">
        <v>21.0</v>
      </c>
    </row>
    <row r="208" ht="14.25" customHeight="1">
      <c r="A208" s="11"/>
      <c r="B208" s="11" t="e">
        <v>#N/A</v>
      </c>
      <c r="C208" s="11" t="s">
        <v>106</v>
      </c>
      <c r="D208" s="11"/>
      <c r="E208" s="11"/>
      <c r="F208" s="11" t="e">
        <v>#N/A</v>
      </c>
      <c r="G208" s="11" t="s">
        <v>732</v>
      </c>
      <c r="H208" s="11" t="e">
        <v>#N/A</v>
      </c>
      <c r="I208" s="11" t="e">
        <v>#N/A</v>
      </c>
      <c r="J208" s="11" t="e">
        <v>#N/A</v>
      </c>
      <c r="K208" s="11" t="e">
        <v>#N/A</v>
      </c>
      <c r="L208" s="11">
        <v>16.0</v>
      </c>
      <c r="M208" s="11" t="e">
        <v>#N/A</v>
      </c>
      <c r="N208" s="11" t="e">
        <v>#N/A</v>
      </c>
      <c r="O208" s="11" t="e">
        <v>#N/A</v>
      </c>
      <c r="P208" s="11" t="e">
        <v>#N/A</v>
      </c>
      <c r="Q208" s="11" t="e">
        <v>#N/A</v>
      </c>
      <c r="R208" s="11" t="e">
        <v>#N/A</v>
      </c>
      <c r="S208" s="11" t="e">
        <v>#N/A</v>
      </c>
      <c r="T208" s="11" t="e">
        <v>#N/A</v>
      </c>
      <c r="U208" s="11" t="e">
        <v>#N/A</v>
      </c>
      <c r="V208" s="11" t="e">
        <v>#N/A</v>
      </c>
      <c r="W208" s="11">
        <v>16.0</v>
      </c>
      <c r="X208" s="11">
        <v>-16.0</v>
      </c>
      <c r="Y208" s="11" t="e">
        <v>#N/A</v>
      </c>
      <c r="Z208" s="29" t="e">
        <v>#N/A</v>
      </c>
    </row>
    <row r="209" ht="14.25" customHeight="1">
      <c r="A209" s="11"/>
      <c r="B209" s="11">
        <v>14.0</v>
      </c>
      <c r="C209" s="11" t="s">
        <v>106</v>
      </c>
      <c r="D209" s="11"/>
      <c r="E209" s="11"/>
      <c r="F209" s="11">
        <v>0.0</v>
      </c>
      <c r="G209" s="11" t="s">
        <v>910</v>
      </c>
      <c r="H209" s="11" t="s">
        <v>237</v>
      </c>
      <c r="I209" s="11">
        <v>189.0</v>
      </c>
      <c r="J209" s="11">
        <v>0.0</v>
      </c>
      <c r="K209" s="11" t="s">
        <v>866</v>
      </c>
      <c r="L209" s="11">
        <v>14.0</v>
      </c>
      <c r="M209" s="11">
        <v>110.0</v>
      </c>
      <c r="N209" s="11">
        <v>-47.0</v>
      </c>
      <c r="O209" s="11">
        <v>183.0</v>
      </c>
      <c r="P209" s="11">
        <v>-73.0</v>
      </c>
      <c r="Q209" s="11">
        <v>186.0</v>
      </c>
      <c r="R209" s="11">
        <v>203.0</v>
      </c>
      <c r="S209" s="11">
        <v>161.0</v>
      </c>
      <c r="T209" s="11">
        <v>169.0</v>
      </c>
      <c r="U209" s="11">
        <v>91.0</v>
      </c>
      <c r="V209" s="11">
        <v>157.0</v>
      </c>
      <c r="W209" s="11">
        <v>20.0</v>
      </c>
      <c r="X209" s="11">
        <v>-20.0</v>
      </c>
      <c r="Y209" s="11">
        <v>3.0</v>
      </c>
      <c r="Z209" s="29" t="s">
        <v>866</v>
      </c>
    </row>
    <row r="210" ht="14.25" customHeight="1">
      <c r="A210" s="11"/>
      <c r="B210" s="11">
        <v>9.0</v>
      </c>
      <c r="C210" s="11" t="s">
        <v>106</v>
      </c>
      <c r="D210" s="11"/>
      <c r="E210" s="11"/>
      <c r="F210" s="11">
        <v>0.0</v>
      </c>
      <c r="G210" s="11" t="s">
        <v>812</v>
      </c>
      <c r="H210" s="11" t="s">
        <v>148</v>
      </c>
      <c r="I210" s="11">
        <v>98.0</v>
      </c>
      <c r="J210" s="11">
        <v>0.0</v>
      </c>
      <c r="K210" s="11" t="s">
        <v>856</v>
      </c>
      <c r="L210" s="11">
        <v>18.0</v>
      </c>
      <c r="M210" s="11">
        <v>136.0</v>
      </c>
      <c r="N210" s="11">
        <v>24.0</v>
      </c>
      <c r="O210" s="11">
        <v>116.0</v>
      </c>
      <c r="P210" s="11">
        <v>20.0</v>
      </c>
      <c r="Q210" s="11">
        <v>120.0</v>
      </c>
      <c r="R210" s="11">
        <v>121.0</v>
      </c>
      <c r="S210" s="11">
        <v>119.0</v>
      </c>
      <c r="T210" s="11">
        <v>112.0</v>
      </c>
      <c r="U210" s="11">
        <v>63.0</v>
      </c>
      <c r="V210" s="11">
        <v>112.0</v>
      </c>
      <c r="W210" s="11">
        <v>15.0</v>
      </c>
      <c r="X210" s="11">
        <v>-15.0</v>
      </c>
      <c r="Y210" s="11">
        <v>-10.0</v>
      </c>
      <c r="Z210" s="29">
        <v>10.0</v>
      </c>
    </row>
    <row r="211" ht="14.25" customHeight="1">
      <c r="A211" s="11"/>
      <c r="B211" s="11">
        <v>8.0</v>
      </c>
      <c r="C211" s="11" t="s">
        <v>106</v>
      </c>
      <c r="D211" s="11"/>
      <c r="E211" s="11"/>
      <c r="F211" s="11">
        <v>0.0</v>
      </c>
      <c r="G211" s="11" t="s">
        <v>435</v>
      </c>
      <c r="H211" s="11" t="s">
        <v>128</v>
      </c>
      <c r="I211" s="11">
        <v>88.0</v>
      </c>
      <c r="J211" s="11">
        <v>0.0</v>
      </c>
      <c r="K211" s="11" t="s">
        <v>853</v>
      </c>
      <c r="L211" s="11">
        <v>11.0</v>
      </c>
      <c r="M211" s="11">
        <v>82.0</v>
      </c>
      <c r="N211" s="11">
        <v>-1.0</v>
      </c>
      <c r="O211" s="11">
        <v>70.0</v>
      </c>
      <c r="P211" s="11">
        <v>12.0</v>
      </c>
      <c r="Q211" s="11">
        <v>81.0</v>
      </c>
      <c r="R211" s="11">
        <v>90.0</v>
      </c>
      <c r="S211" s="11">
        <v>80.0</v>
      </c>
      <c r="T211" s="11">
        <v>81.0</v>
      </c>
      <c r="U211" s="11">
        <v>101.0</v>
      </c>
      <c r="V211" s="11">
        <v>83.0</v>
      </c>
      <c r="W211" s="11">
        <v>11.0</v>
      </c>
      <c r="X211" s="11">
        <v>-11.0</v>
      </c>
      <c r="Y211" s="11">
        <v>-16.0</v>
      </c>
      <c r="Z211" s="29">
        <v>34.0</v>
      </c>
    </row>
    <row r="212" ht="14.25" customHeight="1">
      <c r="A212" s="11"/>
      <c r="B212" s="11" t="e">
        <v>#N/A</v>
      </c>
      <c r="C212" s="11" t="s">
        <v>106</v>
      </c>
      <c r="D212" s="11"/>
      <c r="E212" s="11"/>
      <c r="F212" s="11" t="e">
        <v>#N/A</v>
      </c>
      <c r="G212" s="11" t="s">
        <v>911</v>
      </c>
      <c r="H212" s="11" t="e">
        <v>#N/A</v>
      </c>
      <c r="I212" s="11" t="e">
        <v>#N/A</v>
      </c>
      <c r="J212" s="11" t="e">
        <v>#N/A</v>
      </c>
      <c r="K212" s="11" t="e">
        <v>#N/A</v>
      </c>
      <c r="L212" s="11">
        <v>16.0</v>
      </c>
      <c r="M212" s="11" t="e">
        <v>#N/A</v>
      </c>
      <c r="N212" s="11" t="e">
        <v>#N/A</v>
      </c>
      <c r="O212" s="11" t="e">
        <v>#N/A</v>
      </c>
      <c r="P212" s="11" t="e">
        <v>#N/A</v>
      </c>
      <c r="Q212" s="11" t="e">
        <v>#N/A</v>
      </c>
      <c r="R212" s="11" t="e">
        <v>#N/A</v>
      </c>
      <c r="S212" s="11" t="e">
        <v>#N/A</v>
      </c>
      <c r="T212" s="11" t="e">
        <v>#N/A</v>
      </c>
      <c r="U212" s="11" t="e">
        <v>#N/A</v>
      </c>
      <c r="V212" s="11" t="e">
        <v>#N/A</v>
      </c>
      <c r="W212" s="11">
        <v>16.0</v>
      </c>
      <c r="X212" s="11">
        <v>-16.0</v>
      </c>
      <c r="Y212" s="11" t="e">
        <v>#N/A</v>
      </c>
      <c r="Z212" s="29" t="e">
        <v>#N/A</v>
      </c>
    </row>
    <row r="213" ht="14.25" customHeight="1">
      <c r="A213" s="11"/>
      <c r="B213" s="11">
        <v>21.0</v>
      </c>
      <c r="C213" s="11" t="s">
        <v>106</v>
      </c>
      <c r="D213" s="11"/>
      <c r="E213" s="11"/>
      <c r="F213" s="11">
        <v>0.0</v>
      </c>
      <c r="G213" s="11" t="s">
        <v>912</v>
      </c>
      <c r="H213" s="11" t="s">
        <v>119</v>
      </c>
      <c r="I213" s="11">
        <v>202.0</v>
      </c>
      <c r="J213" s="11">
        <v>0.0</v>
      </c>
      <c r="K213" s="11" t="s">
        <v>866</v>
      </c>
      <c r="L213" s="11">
        <v>16.0</v>
      </c>
      <c r="M213" s="11" t="s">
        <v>36</v>
      </c>
      <c r="N213" s="11" t="e">
        <v>#VALUE!</v>
      </c>
      <c r="O213" s="11" t="s">
        <v>36</v>
      </c>
      <c r="P213" s="11" t="e">
        <v>#VALUE!</v>
      </c>
      <c r="Q213" s="11" t="s">
        <v>36</v>
      </c>
      <c r="R213" s="11" t="s">
        <v>36</v>
      </c>
      <c r="S213" s="11">
        <v>209.0</v>
      </c>
      <c r="T213" s="11">
        <v>237.0</v>
      </c>
      <c r="U213" s="11">
        <v>295.0</v>
      </c>
      <c r="V213" s="11">
        <v>247.0</v>
      </c>
      <c r="W213" s="11">
        <v>31.0</v>
      </c>
      <c r="X213" s="11">
        <v>-31.0</v>
      </c>
      <c r="Y213" s="11">
        <v>-18.0</v>
      </c>
      <c r="Z213" s="29" t="s">
        <v>866</v>
      </c>
    </row>
    <row r="214" ht="14.25" customHeight="1">
      <c r="A214" s="11"/>
      <c r="B214" s="11">
        <v>25.0</v>
      </c>
      <c r="C214" s="11" t="s">
        <v>106</v>
      </c>
      <c r="D214" s="11"/>
      <c r="E214" s="11"/>
      <c r="F214" s="11">
        <v>0.0</v>
      </c>
      <c r="G214" s="11" t="s">
        <v>913</v>
      </c>
      <c r="H214" s="11" t="s">
        <v>71</v>
      </c>
      <c r="I214" s="11">
        <v>284.0</v>
      </c>
      <c r="J214" s="11">
        <v>0.0</v>
      </c>
      <c r="K214" s="11" t="s">
        <v>866</v>
      </c>
      <c r="L214" s="11">
        <v>40.0</v>
      </c>
      <c r="M214" s="11">
        <v>319.0</v>
      </c>
      <c r="N214" s="11">
        <v>16.0</v>
      </c>
      <c r="O214" s="11" t="s">
        <v>36</v>
      </c>
      <c r="P214" s="11" t="e">
        <v>#VALUE!</v>
      </c>
      <c r="Q214" s="11" t="s">
        <v>36</v>
      </c>
      <c r="R214" s="11" t="s">
        <v>36</v>
      </c>
      <c r="S214" s="11">
        <v>340.0</v>
      </c>
      <c r="T214" s="11">
        <v>270.0</v>
      </c>
      <c r="U214" s="11">
        <v>284.0</v>
      </c>
      <c r="V214" s="11">
        <v>303.0</v>
      </c>
      <c r="W214" s="11">
        <v>38.0</v>
      </c>
      <c r="X214" s="11">
        <v>-38.0</v>
      </c>
      <c r="Y214" s="11" t="e">
        <v>#VALUE!</v>
      </c>
      <c r="Z214" s="29" t="s">
        <v>866</v>
      </c>
    </row>
    <row r="215" ht="14.25" customHeight="1">
      <c r="A215" s="11"/>
      <c r="B215" s="11">
        <v>23.0</v>
      </c>
      <c r="C215" s="11" t="s">
        <v>106</v>
      </c>
      <c r="D215" s="11"/>
      <c r="E215" s="11"/>
      <c r="F215" s="11">
        <v>0.0</v>
      </c>
      <c r="G215" s="11" t="s">
        <v>411</v>
      </c>
      <c r="H215" s="11" t="s">
        <v>62</v>
      </c>
      <c r="I215" s="11">
        <v>188.0</v>
      </c>
      <c r="J215" s="11" t="s">
        <v>106</v>
      </c>
      <c r="K215" s="11" t="s">
        <v>914</v>
      </c>
      <c r="L215" s="11">
        <v>35.0</v>
      </c>
      <c r="M215" s="11">
        <v>277.0</v>
      </c>
      <c r="N215" s="11">
        <v>24.0</v>
      </c>
      <c r="O215" s="11">
        <v>156.0</v>
      </c>
      <c r="P215" s="11">
        <v>121.0</v>
      </c>
      <c r="Q215" s="11" t="s">
        <v>36</v>
      </c>
      <c r="R215" s="11">
        <v>310.0</v>
      </c>
      <c r="S215" s="11">
        <v>231.0</v>
      </c>
      <c r="T215" s="11">
        <v>236.0</v>
      </c>
      <c r="U215" s="11">
        <v>310.0</v>
      </c>
      <c r="V215" s="11">
        <v>253.0</v>
      </c>
      <c r="W215" s="11">
        <v>32.0</v>
      </c>
      <c r="X215" s="11">
        <v>-32.0</v>
      </c>
      <c r="Y215" s="11">
        <v>-8.0</v>
      </c>
      <c r="Z215" s="29">
        <v>25.0</v>
      </c>
    </row>
    <row r="216" ht="14.25" customHeight="1">
      <c r="A216" s="11"/>
      <c r="B216" s="11">
        <v>19.0</v>
      </c>
      <c r="C216" s="11" t="s">
        <v>106</v>
      </c>
      <c r="D216" s="11"/>
      <c r="E216" s="11"/>
      <c r="F216" s="11">
        <v>0.0</v>
      </c>
      <c r="G216" s="11" t="s">
        <v>915</v>
      </c>
      <c r="H216" s="11" t="s">
        <v>162</v>
      </c>
      <c r="I216" s="11" t="s">
        <v>36</v>
      </c>
      <c r="J216" s="11">
        <v>0.0</v>
      </c>
      <c r="K216" s="11" t="s">
        <v>866</v>
      </c>
      <c r="L216" s="11">
        <v>24.0</v>
      </c>
      <c r="M216" s="11">
        <v>184.0</v>
      </c>
      <c r="N216" s="11">
        <v>-36.0</v>
      </c>
      <c r="O216" s="11" t="s">
        <v>36</v>
      </c>
      <c r="P216" s="11" t="e">
        <v>#VALUE!</v>
      </c>
      <c r="Q216" s="11">
        <v>202.0</v>
      </c>
      <c r="R216" s="11">
        <v>228.0</v>
      </c>
      <c r="S216" s="11">
        <v>317.0</v>
      </c>
      <c r="T216" s="11">
        <v>254.0</v>
      </c>
      <c r="U216" s="11">
        <v>138.0</v>
      </c>
      <c r="V216" s="11">
        <v>220.0</v>
      </c>
      <c r="W216" s="11">
        <v>28.0</v>
      </c>
      <c r="X216" s="11">
        <v>-28.0</v>
      </c>
      <c r="Y216" s="11" t="e">
        <v>#VALUE!</v>
      </c>
      <c r="Z216" s="29" t="s">
        <v>866</v>
      </c>
    </row>
    <row r="217" ht="14.25" customHeight="1">
      <c r="A217" s="11"/>
      <c r="B217" s="11" t="e">
        <v>#N/A</v>
      </c>
      <c r="C217" s="11" t="s">
        <v>106</v>
      </c>
      <c r="D217" s="11"/>
      <c r="E217" s="11"/>
      <c r="F217" s="11" t="e">
        <v>#N/A</v>
      </c>
      <c r="G217" s="11" t="s">
        <v>916</v>
      </c>
      <c r="H217" s="11" t="e">
        <v>#N/A</v>
      </c>
      <c r="I217" s="11" t="e">
        <v>#N/A</v>
      </c>
      <c r="J217" s="11" t="e">
        <v>#N/A</v>
      </c>
      <c r="K217" s="11" t="e">
        <v>#N/A</v>
      </c>
      <c r="L217" s="11">
        <v>16.0</v>
      </c>
      <c r="M217" s="11" t="e">
        <v>#N/A</v>
      </c>
      <c r="N217" s="11" t="e">
        <v>#N/A</v>
      </c>
      <c r="O217" s="11" t="e">
        <v>#N/A</v>
      </c>
      <c r="P217" s="11" t="e">
        <v>#N/A</v>
      </c>
      <c r="Q217" s="11" t="e">
        <v>#N/A</v>
      </c>
      <c r="R217" s="11" t="e">
        <v>#N/A</v>
      </c>
      <c r="S217" s="11" t="e">
        <v>#N/A</v>
      </c>
      <c r="T217" s="11" t="e">
        <v>#N/A</v>
      </c>
      <c r="U217" s="11" t="e">
        <v>#N/A</v>
      </c>
      <c r="V217" s="11" t="e">
        <v>#N/A</v>
      </c>
      <c r="W217" s="11">
        <v>16.0</v>
      </c>
      <c r="X217" s="11">
        <v>-16.0</v>
      </c>
      <c r="Y217" s="11" t="e">
        <v>#N/A</v>
      </c>
      <c r="Z217" s="29" t="e">
        <v>#N/A</v>
      </c>
    </row>
    <row r="218" ht="14.25" customHeight="1">
      <c r="A218" s="11"/>
      <c r="B218" s="11">
        <v>20.0</v>
      </c>
      <c r="C218" s="11" t="s">
        <v>106</v>
      </c>
      <c r="D218" s="11"/>
      <c r="E218" s="11"/>
      <c r="F218" s="11">
        <v>0.0</v>
      </c>
      <c r="G218" s="11" t="s">
        <v>917</v>
      </c>
      <c r="H218" s="11" t="s">
        <v>171</v>
      </c>
      <c r="I218" s="11">
        <v>220.0</v>
      </c>
      <c r="J218" s="11">
        <v>0.0</v>
      </c>
      <c r="K218" s="11" t="s">
        <v>866</v>
      </c>
      <c r="L218" s="11">
        <v>26.0</v>
      </c>
      <c r="M218" s="11">
        <v>203.0</v>
      </c>
      <c r="N218" s="11">
        <v>-25.0</v>
      </c>
      <c r="O218" s="11">
        <v>213.0</v>
      </c>
      <c r="P218" s="11">
        <v>-10.0</v>
      </c>
      <c r="Q218" s="11" t="s">
        <v>36</v>
      </c>
      <c r="R218" s="11">
        <v>275.0</v>
      </c>
      <c r="S218" s="11">
        <v>186.0</v>
      </c>
      <c r="T218" s="11">
        <v>188.0</v>
      </c>
      <c r="U218" s="11">
        <v>304.0</v>
      </c>
      <c r="V218" s="11">
        <v>228.0</v>
      </c>
      <c r="W218" s="11">
        <v>29.0</v>
      </c>
      <c r="X218" s="11">
        <v>-29.0</v>
      </c>
      <c r="Y218" s="11">
        <v>-57.0</v>
      </c>
      <c r="Z218" s="29" t="s">
        <v>866</v>
      </c>
    </row>
    <row r="219" ht="14.25" customHeight="1">
      <c r="A219" s="11"/>
      <c r="B219" s="11">
        <v>22.0</v>
      </c>
      <c r="C219" s="11" t="s">
        <v>106</v>
      </c>
      <c r="D219" s="11"/>
      <c r="E219" s="11"/>
      <c r="F219" s="11">
        <v>0.0</v>
      </c>
      <c r="G219" s="11" t="s">
        <v>918</v>
      </c>
      <c r="H219" s="11" t="s">
        <v>62</v>
      </c>
      <c r="I219" s="11" t="s">
        <v>36</v>
      </c>
      <c r="J219" s="11">
        <v>0.0</v>
      </c>
      <c r="K219" s="11" t="s">
        <v>866</v>
      </c>
      <c r="L219" s="11">
        <v>37.0</v>
      </c>
      <c r="M219" s="11">
        <v>290.0</v>
      </c>
      <c r="N219" s="11">
        <v>29.0</v>
      </c>
      <c r="O219" s="11" t="s">
        <v>36</v>
      </c>
      <c r="P219" s="11" t="e">
        <v>#VALUE!</v>
      </c>
      <c r="Q219" s="11">
        <v>180.0</v>
      </c>
      <c r="R219" s="11" t="s">
        <v>36</v>
      </c>
      <c r="S219" s="11">
        <v>331.0</v>
      </c>
      <c r="T219" s="11">
        <v>271.0</v>
      </c>
      <c r="U219" s="11">
        <v>234.0</v>
      </c>
      <c r="V219" s="11">
        <v>261.0</v>
      </c>
      <c r="W219" s="11">
        <v>33.0</v>
      </c>
      <c r="X219" s="11">
        <v>-33.0</v>
      </c>
      <c r="Y219" s="11" t="e">
        <v>#VALUE!</v>
      </c>
      <c r="Z219" s="29" t="s">
        <v>866</v>
      </c>
    </row>
    <row r="220" ht="14.25" customHeight="1">
      <c r="A220" s="11"/>
      <c r="B220" s="11">
        <v>14.0</v>
      </c>
      <c r="C220" s="11" t="s">
        <v>106</v>
      </c>
      <c r="D220" s="11"/>
      <c r="E220" s="11"/>
      <c r="F220" s="11">
        <v>0.0</v>
      </c>
      <c r="G220" s="11" t="s">
        <v>919</v>
      </c>
      <c r="H220" s="11" t="s">
        <v>192</v>
      </c>
      <c r="I220" s="11">
        <v>158.0</v>
      </c>
      <c r="J220" s="11">
        <v>0.0</v>
      </c>
      <c r="K220" s="11" t="s">
        <v>866</v>
      </c>
      <c r="L220" s="11">
        <v>21.0</v>
      </c>
      <c r="M220" s="11">
        <v>165.0</v>
      </c>
      <c r="N220" s="11">
        <v>8.0</v>
      </c>
      <c r="O220" s="11">
        <v>115.0</v>
      </c>
      <c r="P220" s="11">
        <v>50.0</v>
      </c>
      <c r="Q220" s="11">
        <v>154.0</v>
      </c>
      <c r="R220" s="11">
        <v>207.0</v>
      </c>
      <c r="S220" s="11">
        <v>133.0</v>
      </c>
      <c r="T220" s="11">
        <v>165.0</v>
      </c>
      <c r="U220" s="11">
        <v>162.0</v>
      </c>
      <c r="V220" s="11">
        <v>157.0</v>
      </c>
      <c r="W220" s="11">
        <v>20.0</v>
      </c>
      <c r="X220" s="11">
        <v>-20.0</v>
      </c>
      <c r="Y220" s="11">
        <v>-4.0</v>
      </c>
      <c r="Z220" s="29" t="s">
        <v>866</v>
      </c>
    </row>
    <row r="221" ht="14.25" customHeight="1">
      <c r="A221" s="11"/>
      <c r="B221" s="11">
        <v>24.0</v>
      </c>
      <c r="C221" s="11" t="s">
        <v>106</v>
      </c>
      <c r="D221" s="11"/>
      <c r="E221" s="11"/>
      <c r="F221" s="11">
        <v>0.0</v>
      </c>
      <c r="G221" s="11" t="s">
        <v>920</v>
      </c>
      <c r="H221" s="11" t="s">
        <v>102</v>
      </c>
      <c r="I221" s="11">
        <v>283.0</v>
      </c>
      <c r="J221" s="11">
        <v>0.0</v>
      </c>
      <c r="K221" s="11" t="s">
        <v>866</v>
      </c>
      <c r="L221" s="11">
        <v>36.0</v>
      </c>
      <c r="M221" s="11">
        <v>287.0</v>
      </c>
      <c r="N221" s="11">
        <v>5.0</v>
      </c>
      <c r="O221" s="11" t="s">
        <v>36</v>
      </c>
      <c r="P221" s="11" t="e">
        <v>#VALUE!</v>
      </c>
      <c r="Q221" s="11" t="s">
        <v>36</v>
      </c>
      <c r="R221" s="11">
        <v>313.0</v>
      </c>
      <c r="S221" s="11">
        <v>293.0</v>
      </c>
      <c r="T221" s="11">
        <v>268.0</v>
      </c>
      <c r="U221" s="11">
        <v>252.0</v>
      </c>
      <c r="V221" s="11">
        <v>282.0</v>
      </c>
      <c r="W221" s="11">
        <v>36.0</v>
      </c>
      <c r="X221" s="11">
        <v>-36.0</v>
      </c>
      <c r="Y221" s="11" t="e">
        <v>#VALUE!</v>
      </c>
      <c r="Z221" s="29" t="s">
        <v>866</v>
      </c>
    </row>
    <row r="222" ht="14.25" customHeight="1">
      <c r="A222" s="11"/>
      <c r="B222" s="11">
        <v>21.0</v>
      </c>
      <c r="C222" s="11" t="s">
        <v>106</v>
      </c>
      <c r="D222" s="11"/>
      <c r="E222" s="11"/>
      <c r="F222" s="11">
        <v>0.0</v>
      </c>
      <c r="G222" s="11" t="s">
        <v>921</v>
      </c>
      <c r="H222" s="11" t="s">
        <v>128</v>
      </c>
      <c r="I222" s="11">
        <v>217.0</v>
      </c>
      <c r="J222" s="11">
        <v>0.0</v>
      </c>
      <c r="K222" s="11" t="s">
        <v>866</v>
      </c>
      <c r="L222" s="11">
        <v>34.0</v>
      </c>
      <c r="M222" s="11">
        <v>265.0</v>
      </c>
      <c r="N222" s="11">
        <v>20.0</v>
      </c>
      <c r="O222" s="11" t="s">
        <v>36</v>
      </c>
      <c r="P222" s="11" t="e">
        <v>#VALUE!</v>
      </c>
      <c r="Q222" s="11">
        <v>239.0</v>
      </c>
      <c r="R222" s="11">
        <v>264.0</v>
      </c>
      <c r="S222" s="11">
        <v>243.0</v>
      </c>
      <c r="T222" s="11">
        <v>238.0</v>
      </c>
      <c r="U222" s="11">
        <v>225.0</v>
      </c>
      <c r="V222" s="11">
        <v>245.0</v>
      </c>
      <c r="W222" s="11">
        <v>31.0</v>
      </c>
      <c r="X222" s="11">
        <v>-31.0</v>
      </c>
      <c r="Y222" s="11" t="e">
        <v>#VALUE!</v>
      </c>
      <c r="Z222" s="29" t="s">
        <v>866</v>
      </c>
    </row>
    <row r="223" ht="14.25" customHeight="1">
      <c r="A223" s="11"/>
      <c r="B223" s="11">
        <v>11.0</v>
      </c>
      <c r="C223" s="11" t="s">
        <v>106</v>
      </c>
      <c r="D223" s="11"/>
      <c r="E223" s="11"/>
      <c r="F223" s="11">
        <v>0.0</v>
      </c>
      <c r="G223" s="11" t="s">
        <v>210</v>
      </c>
      <c r="H223" s="11" t="s">
        <v>116</v>
      </c>
      <c r="I223" s="11">
        <v>110.0</v>
      </c>
      <c r="J223" s="11">
        <v>0.0</v>
      </c>
      <c r="K223" s="11" t="s">
        <v>873</v>
      </c>
      <c r="L223" s="11">
        <v>16.0</v>
      </c>
      <c r="M223" s="11">
        <v>127.0</v>
      </c>
      <c r="N223" s="11">
        <v>1.0</v>
      </c>
      <c r="O223" s="11">
        <v>130.0</v>
      </c>
      <c r="P223" s="11">
        <v>-3.0</v>
      </c>
      <c r="Q223" s="11">
        <v>124.0</v>
      </c>
      <c r="R223" s="11">
        <v>130.0</v>
      </c>
      <c r="S223" s="11">
        <v>117.0</v>
      </c>
      <c r="T223" s="11">
        <v>114.0</v>
      </c>
      <c r="U223" s="11">
        <v>144.0</v>
      </c>
      <c r="V223" s="11">
        <v>126.0</v>
      </c>
      <c r="W223" s="11">
        <v>16.0</v>
      </c>
      <c r="X223" s="11">
        <v>-16.0</v>
      </c>
      <c r="Y223" s="11">
        <v>-27.0</v>
      </c>
      <c r="Z223" s="29">
        <v>14.0</v>
      </c>
    </row>
    <row r="224" ht="14.25" customHeight="1">
      <c r="A224" s="11"/>
      <c r="B224" s="11">
        <v>12.0</v>
      </c>
      <c r="C224" s="11" t="s">
        <v>106</v>
      </c>
      <c r="D224" s="11"/>
      <c r="E224" s="11"/>
      <c r="F224" s="11">
        <v>0.0</v>
      </c>
      <c r="G224" s="11" t="s">
        <v>407</v>
      </c>
      <c r="H224" s="11" t="s">
        <v>206</v>
      </c>
      <c r="I224" s="11">
        <v>126.0</v>
      </c>
      <c r="J224" s="11">
        <v>0.0</v>
      </c>
      <c r="K224" s="11" t="s">
        <v>872</v>
      </c>
      <c r="L224" s="11">
        <v>16.0</v>
      </c>
      <c r="M224" s="11">
        <v>122.0</v>
      </c>
      <c r="N224" s="11">
        <v>-13.0</v>
      </c>
      <c r="O224" s="11">
        <v>105.0</v>
      </c>
      <c r="P224" s="11">
        <v>17.0</v>
      </c>
      <c r="Q224" s="11">
        <v>132.0</v>
      </c>
      <c r="R224" s="11">
        <v>139.0</v>
      </c>
      <c r="S224" s="11">
        <v>120.0</v>
      </c>
      <c r="T224" s="11">
        <v>118.0</v>
      </c>
      <c r="U224" s="11">
        <v>209.0</v>
      </c>
      <c r="V224" s="11">
        <v>135.0</v>
      </c>
      <c r="W224" s="11">
        <v>17.0</v>
      </c>
      <c r="X224" s="11">
        <v>-17.0</v>
      </c>
      <c r="Y224" s="11">
        <v>-34.0</v>
      </c>
      <c r="Z224" s="29">
        <v>38.0</v>
      </c>
    </row>
    <row r="225" ht="14.25" customHeight="1">
      <c r="A225" s="11"/>
      <c r="B225" s="11">
        <v>18.0</v>
      </c>
      <c r="C225" s="11" t="s">
        <v>106</v>
      </c>
      <c r="D225" s="11"/>
      <c r="E225" s="11"/>
      <c r="F225" s="11">
        <v>0.0</v>
      </c>
      <c r="G225" s="11" t="s">
        <v>442</v>
      </c>
      <c r="H225" s="11" t="s">
        <v>52</v>
      </c>
      <c r="I225" s="11">
        <v>173.0</v>
      </c>
      <c r="J225" s="11">
        <v>0.0</v>
      </c>
      <c r="K225" s="11" t="s">
        <v>878</v>
      </c>
      <c r="L225" s="11">
        <v>29.0</v>
      </c>
      <c r="M225" s="11">
        <v>226.0</v>
      </c>
      <c r="N225" s="11">
        <v>16.0</v>
      </c>
      <c r="O225" s="11" t="s">
        <v>36</v>
      </c>
      <c r="P225" s="11" t="e">
        <v>#VALUE!</v>
      </c>
      <c r="Q225" s="11">
        <v>204.0</v>
      </c>
      <c r="R225" s="11">
        <v>222.0</v>
      </c>
      <c r="S225" s="11">
        <v>213.0</v>
      </c>
      <c r="T225" s="11">
        <v>196.0</v>
      </c>
      <c r="U225" s="11">
        <v>201.0</v>
      </c>
      <c r="V225" s="11">
        <v>210.0</v>
      </c>
      <c r="W225" s="11">
        <v>27.0</v>
      </c>
      <c r="X225" s="11">
        <v>-27.0</v>
      </c>
      <c r="Y225" s="11">
        <v>12.0</v>
      </c>
      <c r="Z225" s="29" t="s">
        <v>866</v>
      </c>
    </row>
    <row r="226" ht="14.25" customHeight="1">
      <c r="A226" s="11"/>
      <c r="B226" s="11">
        <v>23.0</v>
      </c>
      <c r="C226" s="11" t="s">
        <v>106</v>
      </c>
      <c r="D226" s="11"/>
      <c r="E226" s="11"/>
      <c r="F226" s="11">
        <v>0.0</v>
      </c>
      <c r="G226" s="11" t="s">
        <v>389</v>
      </c>
      <c r="H226" s="11" t="s">
        <v>131</v>
      </c>
      <c r="I226" s="11">
        <v>212.0</v>
      </c>
      <c r="J226" s="11">
        <v>0.0</v>
      </c>
      <c r="K226" s="11" t="s">
        <v>866</v>
      </c>
      <c r="L226" s="11">
        <v>35.0</v>
      </c>
      <c r="M226" s="11">
        <v>273.0</v>
      </c>
      <c r="N226" s="11">
        <v>5.0</v>
      </c>
      <c r="O226" s="11" t="s">
        <v>36</v>
      </c>
      <c r="P226" s="11" t="e">
        <v>#VALUE!</v>
      </c>
      <c r="Q226" s="11" t="s">
        <v>36</v>
      </c>
      <c r="R226" s="11">
        <v>311.0</v>
      </c>
      <c r="S226" s="11">
        <v>223.0</v>
      </c>
      <c r="T226" s="11">
        <v>256.0</v>
      </c>
      <c r="U226" s="11">
        <v>279.0</v>
      </c>
      <c r="V226" s="11">
        <v>268.0</v>
      </c>
      <c r="W226" s="11">
        <v>34.0</v>
      </c>
      <c r="X226" s="11">
        <v>-34.0</v>
      </c>
      <c r="Y226" s="11" t="e">
        <v>#VALUE!</v>
      </c>
      <c r="Z226" s="29" t="s">
        <v>866</v>
      </c>
    </row>
    <row r="227" ht="14.25" customHeight="1">
      <c r="A227" s="11"/>
      <c r="B227" s="11">
        <v>19.0</v>
      </c>
      <c r="C227" s="11" t="s">
        <v>106</v>
      </c>
      <c r="D227" s="11"/>
      <c r="E227" s="11"/>
      <c r="F227" s="11">
        <v>0.0</v>
      </c>
      <c r="G227" s="11" t="s">
        <v>532</v>
      </c>
      <c r="H227" s="11" t="s">
        <v>105</v>
      </c>
      <c r="I227" s="11" t="s">
        <v>36</v>
      </c>
      <c r="J227" s="11">
        <v>0.0</v>
      </c>
      <c r="K227" s="11" t="s">
        <v>866</v>
      </c>
      <c r="L227" s="11">
        <v>31.0</v>
      </c>
      <c r="M227" s="11">
        <v>246.0</v>
      </c>
      <c r="N227" s="11">
        <v>26.0</v>
      </c>
      <c r="O227" s="11">
        <v>174.0</v>
      </c>
      <c r="P227" s="11">
        <v>72.0</v>
      </c>
      <c r="Q227" s="11">
        <v>244.0</v>
      </c>
      <c r="R227" s="11">
        <v>251.0</v>
      </c>
      <c r="S227" s="11">
        <v>273.0</v>
      </c>
      <c r="T227" s="11">
        <v>197.0</v>
      </c>
      <c r="U227" s="11">
        <v>158.0</v>
      </c>
      <c r="V227" s="11">
        <v>220.0</v>
      </c>
      <c r="W227" s="11">
        <v>28.0</v>
      </c>
      <c r="X227" s="11">
        <v>-28.0</v>
      </c>
      <c r="Y227" s="11">
        <v>-33.0</v>
      </c>
      <c r="Z227" s="29" t="s">
        <v>866</v>
      </c>
    </row>
    <row r="228" ht="14.25" customHeight="1">
      <c r="A228" s="11"/>
      <c r="B228" s="11">
        <v>18.0</v>
      </c>
      <c r="C228" s="11" t="s">
        <v>106</v>
      </c>
      <c r="D228" s="11"/>
      <c r="E228" s="11"/>
      <c r="F228" s="11">
        <v>0.0</v>
      </c>
      <c r="G228" s="11" t="s">
        <v>922</v>
      </c>
      <c r="H228" s="11" t="s">
        <v>85</v>
      </c>
      <c r="I228" s="11" t="s">
        <v>36</v>
      </c>
      <c r="J228" s="11">
        <v>0.0</v>
      </c>
      <c r="K228" s="11" t="s">
        <v>866</v>
      </c>
      <c r="L228" s="11">
        <v>27.0</v>
      </c>
      <c r="M228" s="11">
        <v>214.0</v>
      </c>
      <c r="N228" s="11">
        <v>16.0</v>
      </c>
      <c r="O228" s="11">
        <v>182.0</v>
      </c>
      <c r="P228" s="11">
        <v>32.0</v>
      </c>
      <c r="Q228" s="11"/>
      <c r="R228" s="11"/>
      <c r="S228" s="11"/>
      <c r="T228" s="11"/>
      <c r="U228" s="11"/>
      <c r="V228" s="11">
        <v>198.0</v>
      </c>
      <c r="W228" s="11">
        <v>25.0</v>
      </c>
      <c r="X228" s="11">
        <v>-25.0</v>
      </c>
      <c r="Y228" s="11">
        <v>36.0</v>
      </c>
      <c r="Z228" s="29" t="s">
        <v>866</v>
      </c>
    </row>
    <row r="229" ht="14.25" customHeight="1">
      <c r="A229" s="11"/>
      <c r="B229" s="11">
        <v>19.0</v>
      </c>
      <c r="C229" s="11" t="s">
        <v>106</v>
      </c>
      <c r="D229" s="11"/>
      <c r="E229" s="11"/>
      <c r="F229" s="11">
        <v>0.0</v>
      </c>
      <c r="G229" s="11" t="s">
        <v>491</v>
      </c>
      <c r="H229" s="11" t="s">
        <v>52</v>
      </c>
      <c r="I229" s="11" t="s">
        <v>36</v>
      </c>
      <c r="J229" s="11">
        <v>0.0</v>
      </c>
      <c r="K229" s="11" t="s">
        <v>866</v>
      </c>
      <c r="L229" s="11">
        <v>23.0</v>
      </c>
      <c r="M229" s="11">
        <v>183.0</v>
      </c>
      <c r="N229" s="11">
        <v>-26.0</v>
      </c>
      <c r="O229" s="11">
        <v>196.0</v>
      </c>
      <c r="P229" s="11">
        <v>-13.0</v>
      </c>
      <c r="Q229" s="11">
        <v>142.0</v>
      </c>
      <c r="R229" s="11">
        <v>273.0</v>
      </c>
      <c r="S229" s="11">
        <v>268.0</v>
      </c>
      <c r="T229" s="11">
        <v>225.0</v>
      </c>
      <c r="U229" s="11">
        <v>179.0</v>
      </c>
      <c r="V229" s="11">
        <v>209.0</v>
      </c>
      <c r="W229" s="11">
        <v>27.0</v>
      </c>
      <c r="X229" s="11">
        <v>-27.0</v>
      </c>
      <c r="Y229" s="11">
        <v>-12.0</v>
      </c>
      <c r="Z229" s="29" t="s">
        <v>866</v>
      </c>
    </row>
    <row r="230" ht="14.25" customHeight="1">
      <c r="A230" s="11"/>
      <c r="B230" s="11">
        <v>19.0</v>
      </c>
      <c r="C230" s="11" t="s">
        <v>106</v>
      </c>
      <c r="D230" s="11"/>
      <c r="E230" s="11"/>
      <c r="F230" s="11">
        <v>0.0</v>
      </c>
      <c r="G230" s="11" t="s">
        <v>645</v>
      </c>
      <c r="H230" s="11" t="s">
        <v>45</v>
      </c>
      <c r="I230" s="11">
        <v>206.0</v>
      </c>
      <c r="J230" s="11">
        <v>0.0</v>
      </c>
      <c r="K230" s="11" t="s">
        <v>866</v>
      </c>
      <c r="L230" s="11">
        <v>27.0</v>
      </c>
      <c r="M230" s="11">
        <v>209.0</v>
      </c>
      <c r="N230" s="11">
        <v>-13.0</v>
      </c>
      <c r="O230" s="11" t="s">
        <v>36</v>
      </c>
      <c r="P230" s="11" t="e">
        <v>#VALUE!</v>
      </c>
      <c r="Q230" s="11" t="s">
        <v>36</v>
      </c>
      <c r="R230" s="11">
        <v>237.0</v>
      </c>
      <c r="S230" s="11">
        <v>180.0</v>
      </c>
      <c r="T230" s="11">
        <v>220.0</v>
      </c>
      <c r="U230" s="11">
        <v>265.0</v>
      </c>
      <c r="V230" s="11">
        <v>222.0</v>
      </c>
      <c r="W230" s="11">
        <v>28.0</v>
      </c>
      <c r="X230" s="11">
        <v>-28.0</v>
      </c>
      <c r="Y230" s="11">
        <v>11.0</v>
      </c>
      <c r="Z230" s="29" t="s">
        <v>866</v>
      </c>
    </row>
    <row r="231" ht="14.25" customHeight="1">
      <c r="A231" s="11"/>
      <c r="B231" s="11" t="e">
        <v>#DIV/0!</v>
      </c>
      <c r="C231" s="11" t="s">
        <v>106</v>
      </c>
      <c r="D231" s="11"/>
      <c r="E231" s="11"/>
      <c r="F231" s="11">
        <v>0.0</v>
      </c>
      <c r="G231" s="11" t="s">
        <v>923</v>
      </c>
      <c r="H231" s="11" t="s">
        <v>94</v>
      </c>
      <c r="I231" s="11" t="s">
        <v>36</v>
      </c>
      <c r="J231" s="11">
        <v>0.0</v>
      </c>
      <c r="K231" s="11" t="s">
        <v>866</v>
      </c>
      <c r="L231" s="11">
        <v>16.0</v>
      </c>
      <c r="M231" s="11" t="s">
        <v>36</v>
      </c>
      <c r="N231" s="11" t="e">
        <v>#VALUE!</v>
      </c>
      <c r="O231" s="11">
        <v>188.0</v>
      </c>
      <c r="P231" s="11" t="e">
        <v>#VALUE!</v>
      </c>
      <c r="Q231" s="11"/>
      <c r="R231" s="11"/>
      <c r="S231" s="11"/>
      <c r="T231" s="11"/>
      <c r="U231" s="11"/>
      <c r="V231" s="11">
        <v>188.0</v>
      </c>
      <c r="W231" s="11">
        <v>24.0</v>
      </c>
      <c r="X231" s="11">
        <v>-24.0</v>
      </c>
      <c r="Y231" s="11">
        <v>36.0</v>
      </c>
      <c r="Z231" s="29" t="s">
        <v>866</v>
      </c>
    </row>
    <row r="232" ht="14.25" customHeight="1">
      <c r="A232" s="11"/>
      <c r="B232" s="11">
        <v>19.0</v>
      </c>
      <c r="C232" s="11" t="s">
        <v>106</v>
      </c>
      <c r="D232" s="11"/>
      <c r="E232" s="11"/>
      <c r="F232" s="11">
        <v>0.0</v>
      </c>
      <c r="G232" s="11" t="s">
        <v>606</v>
      </c>
      <c r="H232" s="11" t="s">
        <v>109</v>
      </c>
      <c r="I232" s="11">
        <v>205.0</v>
      </c>
      <c r="J232" s="11">
        <v>0.0</v>
      </c>
      <c r="K232" s="11" t="s">
        <v>866</v>
      </c>
      <c r="L232" s="11">
        <v>27.0</v>
      </c>
      <c r="M232" s="11">
        <v>213.0</v>
      </c>
      <c r="N232" s="11">
        <v>-8.0</v>
      </c>
      <c r="O232" s="11" t="s">
        <v>36</v>
      </c>
      <c r="P232" s="11" t="e">
        <v>#VALUE!</v>
      </c>
      <c r="Q232" s="11" t="s">
        <v>36</v>
      </c>
      <c r="R232" s="11">
        <v>278.0</v>
      </c>
      <c r="S232" s="11">
        <v>193.0</v>
      </c>
      <c r="T232" s="11">
        <v>190.0</v>
      </c>
      <c r="U232" s="11">
        <v>232.0</v>
      </c>
      <c r="V232" s="11">
        <v>221.0</v>
      </c>
      <c r="W232" s="11">
        <v>28.0</v>
      </c>
      <c r="X232" s="11">
        <v>-28.0</v>
      </c>
      <c r="Y232" s="11" t="e">
        <v>#VALUE!</v>
      </c>
      <c r="Z232" s="29" t="s">
        <v>866</v>
      </c>
    </row>
    <row r="233" ht="14.25" customHeight="1">
      <c r="A233" s="11"/>
      <c r="B233" s="11">
        <v>20.0</v>
      </c>
      <c r="C233" s="11" t="s">
        <v>106</v>
      </c>
      <c r="D233" s="11"/>
      <c r="E233" s="11"/>
      <c r="F233" s="11">
        <v>0.0</v>
      </c>
      <c r="G233" s="11" t="s">
        <v>451</v>
      </c>
      <c r="H233" s="11" t="s">
        <v>162</v>
      </c>
      <c r="I233" s="11">
        <v>237.0</v>
      </c>
      <c r="J233" s="11">
        <v>0.0</v>
      </c>
      <c r="K233" s="11" t="s">
        <v>866</v>
      </c>
      <c r="L233" s="11">
        <v>23.0</v>
      </c>
      <c r="M233" s="11">
        <v>177.0</v>
      </c>
      <c r="N233" s="11">
        <v>-45.0</v>
      </c>
      <c r="O233" s="11" t="s">
        <v>36</v>
      </c>
      <c r="P233" s="11" t="e">
        <v>#VALUE!</v>
      </c>
      <c r="Q233" s="11" t="s">
        <v>36</v>
      </c>
      <c r="R233" s="11" t="s">
        <v>36</v>
      </c>
      <c r="S233" s="11">
        <v>277.0</v>
      </c>
      <c r="T233" s="11">
        <v>205.0</v>
      </c>
      <c r="U233" s="11">
        <v>231.0</v>
      </c>
      <c r="V233" s="11">
        <v>222.0</v>
      </c>
      <c r="W233" s="11">
        <v>28.0</v>
      </c>
      <c r="X233" s="11">
        <v>-28.0</v>
      </c>
      <c r="Y233" s="11" t="e">
        <v>#VALUE!</v>
      </c>
      <c r="Z233" s="29" t="s">
        <v>866</v>
      </c>
    </row>
    <row r="234" ht="14.25" customHeight="1">
      <c r="A234" s="11"/>
      <c r="B234" s="11" t="e">
        <v>#N/A</v>
      </c>
      <c r="C234" s="11" t="s">
        <v>106</v>
      </c>
      <c r="D234" s="11"/>
      <c r="E234" s="11"/>
      <c r="F234" s="11" t="e">
        <v>#N/A</v>
      </c>
      <c r="G234" s="11" t="s">
        <v>924</v>
      </c>
      <c r="H234" s="11" t="e">
        <v>#N/A</v>
      </c>
      <c r="I234" s="11" t="e">
        <v>#N/A</v>
      </c>
      <c r="J234" s="11" t="e">
        <v>#N/A</v>
      </c>
      <c r="K234" s="11" t="e">
        <v>#N/A</v>
      </c>
      <c r="L234" s="11">
        <v>16.0</v>
      </c>
      <c r="M234" s="11" t="e">
        <v>#N/A</v>
      </c>
      <c r="N234" s="11" t="e">
        <v>#N/A</v>
      </c>
      <c r="O234" s="11" t="e">
        <v>#N/A</v>
      </c>
      <c r="P234" s="11" t="e">
        <v>#N/A</v>
      </c>
      <c r="Q234" s="11" t="e">
        <v>#N/A</v>
      </c>
      <c r="R234" s="11" t="e">
        <v>#N/A</v>
      </c>
      <c r="S234" s="11" t="e">
        <v>#N/A</v>
      </c>
      <c r="T234" s="11" t="e">
        <v>#N/A</v>
      </c>
      <c r="U234" s="11" t="e">
        <v>#N/A</v>
      </c>
      <c r="V234" s="11" t="e">
        <v>#N/A</v>
      </c>
      <c r="W234" s="11">
        <v>16.0</v>
      </c>
      <c r="X234" s="11">
        <v>-16.0</v>
      </c>
      <c r="Y234" s="11" t="e">
        <v>#N/A</v>
      </c>
      <c r="Z234" s="29" t="e">
        <v>#N/A</v>
      </c>
    </row>
    <row r="235" ht="14.25" customHeight="1">
      <c r="A235" s="11"/>
      <c r="B235" s="11">
        <v>18.0</v>
      </c>
      <c r="C235" s="11" t="s">
        <v>106</v>
      </c>
      <c r="D235" s="11"/>
      <c r="E235" s="11"/>
      <c r="F235" s="11">
        <v>0.0</v>
      </c>
      <c r="G235" s="11" t="s">
        <v>925</v>
      </c>
      <c r="H235" s="11" t="s">
        <v>131</v>
      </c>
      <c r="I235" s="11">
        <v>209.0</v>
      </c>
      <c r="J235" s="11">
        <v>0.0</v>
      </c>
      <c r="K235" s="11" t="s">
        <v>866</v>
      </c>
      <c r="L235" s="11">
        <v>34.0</v>
      </c>
      <c r="M235" s="11">
        <v>266.0</v>
      </c>
      <c r="N235" s="11">
        <v>47.0</v>
      </c>
      <c r="O235" s="11">
        <v>202.0</v>
      </c>
      <c r="P235" s="11">
        <v>64.0</v>
      </c>
      <c r="Q235" s="11" t="s">
        <v>36</v>
      </c>
      <c r="R235" s="11">
        <v>233.0</v>
      </c>
      <c r="S235" s="11">
        <v>189.0</v>
      </c>
      <c r="T235" s="11">
        <v>206.0</v>
      </c>
      <c r="U235" s="11" t="s">
        <v>36</v>
      </c>
      <c r="V235" s="11">
        <v>219.0</v>
      </c>
      <c r="W235" s="11">
        <v>28.0</v>
      </c>
      <c r="X235" s="11">
        <v>-28.0</v>
      </c>
      <c r="Y235" s="11">
        <v>8.0</v>
      </c>
      <c r="Z235" s="29" t="s">
        <v>866</v>
      </c>
    </row>
    <row r="236" ht="14.25" customHeight="1">
      <c r="A236" s="11"/>
      <c r="B236" s="11">
        <v>21.0</v>
      </c>
      <c r="C236" s="11" t="s">
        <v>106</v>
      </c>
      <c r="D236" s="11"/>
      <c r="E236" s="11"/>
      <c r="F236" s="11">
        <v>0.0</v>
      </c>
      <c r="G236" s="11" t="s">
        <v>926</v>
      </c>
      <c r="H236" s="11" t="s">
        <v>237</v>
      </c>
      <c r="I236" s="11">
        <v>179.0</v>
      </c>
      <c r="J236" s="11">
        <v>0.0</v>
      </c>
      <c r="K236" s="11" t="s">
        <v>866</v>
      </c>
      <c r="L236" s="11">
        <v>34.0</v>
      </c>
      <c r="M236" s="11">
        <v>269.0</v>
      </c>
      <c r="N236" s="11">
        <v>17.0</v>
      </c>
      <c r="O236" s="11" t="s">
        <v>36</v>
      </c>
      <c r="P236" s="11" t="e">
        <v>#VALUE!</v>
      </c>
      <c r="Q236" s="11" t="s">
        <v>36</v>
      </c>
      <c r="R236" s="11" t="s">
        <v>36</v>
      </c>
      <c r="S236" s="11">
        <v>242.0</v>
      </c>
      <c r="T236" s="11">
        <v>245.0</v>
      </c>
      <c r="U236" s="11" t="s">
        <v>36</v>
      </c>
      <c r="V236" s="11">
        <v>252.0</v>
      </c>
      <c r="W236" s="11">
        <v>32.0</v>
      </c>
      <c r="X236" s="11">
        <v>-32.0</v>
      </c>
      <c r="Y236" s="11">
        <v>-15.0</v>
      </c>
      <c r="Z236" s="29" t="s">
        <v>866</v>
      </c>
    </row>
    <row r="237" ht="14.25" customHeight="1">
      <c r="A237" s="11"/>
      <c r="B237" s="11">
        <v>18.0</v>
      </c>
      <c r="C237" s="11" t="s">
        <v>106</v>
      </c>
      <c r="D237" s="11"/>
      <c r="E237" s="11"/>
      <c r="F237" s="11">
        <v>0.0</v>
      </c>
      <c r="G237" s="11" t="s">
        <v>564</v>
      </c>
      <c r="H237" s="11" t="s">
        <v>154</v>
      </c>
      <c r="I237" s="11" t="s">
        <v>36</v>
      </c>
      <c r="J237" s="11">
        <v>0.0</v>
      </c>
      <c r="K237" s="11" t="s">
        <v>866</v>
      </c>
      <c r="L237" s="11">
        <v>31.0</v>
      </c>
      <c r="M237" s="11">
        <v>243.0</v>
      </c>
      <c r="N237" s="11">
        <v>40.0</v>
      </c>
      <c r="O237" s="11">
        <v>136.0</v>
      </c>
      <c r="P237" s="11">
        <v>107.0</v>
      </c>
      <c r="Q237" s="11">
        <v>171.0</v>
      </c>
      <c r="R237" s="11">
        <v>247.0</v>
      </c>
      <c r="S237" s="11">
        <v>258.0</v>
      </c>
      <c r="T237" s="11">
        <v>199.0</v>
      </c>
      <c r="U237" s="11">
        <v>170.0</v>
      </c>
      <c r="V237" s="11">
        <v>203.0</v>
      </c>
      <c r="W237" s="11">
        <v>26.0</v>
      </c>
      <c r="X237" s="11">
        <v>-26.0</v>
      </c>
      <c r="Y237" s="11">
        <v>17.0</v>
      </c>
      <c r="Z237" s="29" t="s">
        <v>866</v>
      </c>
    </row>
    <row r="238" ht="14.25" customHeight="1">
      <c r="A238" s="11"/>
      <c r="B238" s="11" t="e">
        <v>#N/A</v>
      </c>
      <c r="C238" s="11" t="s">
        <v>106</v>
      </c>
      <c r="D238" s="11"/>
      <c r="E238" s="11"/>
      <c r="F238" s="11" t="e">
        <v>#N/A</v>
      </c>
      <c r="G238" s="11" t="s">
        <v>927</v>
      </c>
      <c r="H238" s="11" t="e">
        <v>#N/A</v>
      </c>
      <c r="I238" s="11" t="e">
        <v>#N/A</v>
      </c>
      <c r="J238" s="11" t="e">
        <v>#N/A</v>
      </c>
      <c r="K238" s="11" t="e">
        <v>#N/A</v>
      </c>
      <c r="L238" s="11">
        <v>16.0</v>
      </c>
      <c r="M238" s="11" t="e">
        <v>#N/A</v>
      </c>
      <c r="N238" s="11" t="e">
        <v>#N/A</v>
      </c>
      <c r="O238" s="11" t="e">
        <v>#N/A</v>
      </c>
      <c r="P238" s="11" t="e">
        <v>#N/A</v>
      </c>
      <c r="Q238" s="11" t="e">
        <v>#N/A</v>
      </c>
      <c r="R238" s="11" t="e">
        <v>#N/A</v>
      </c>
      <c r="S238" s="11" t="e">
        <v>#N/A</v>
      </c>
      <c r="T238" s="11" t="e">
        <v>#N/A</v>
      </c>
      <c r="U238" s="11" t="e">
        <v>#N/A</v>
      </c>
      <c r="V238" s="11" t="e">
        <v>#N/A</v>
      </c>
      <c r="W238" s="11">
        <v>16.0</v>
      </c>
      <c r="X238" s="11">
        <v>-16.0</v>
      </c>
      <c r="Y238" s="11" t="e">
        <v>#N/A</v>
      </c>
      <c r="Z238" s="29" t="e">
        <v>#N/A</v>
      </c>
    </row>
    <row r="239" ht="14.25" customHeight="1">
      <c r="A239" s="11"/>
      <c r="B239" s="11" t="e">
        <v>#N/A</v>
      </c>
      <c r="C239" s="11" t="s">
        <v>106</v>
      </c>
      <c r="D239" s="11"/>
      <c r="E239" s="11"/>
      <c r="F239" s="11" t="e">
        <v>#N/A</v>
      </c>
      <c r="G239" s="11" t="s">
        <v>928</v>
      </c>
      <c r="H239" s="11" t="e">
        <v>#N/A</v>
      </c>
      <c r="I239" s="11" t="e">
        <v>#N/A</v>
      </c>
      <c r="J239" s="11" t="e">
        <v>#N/A</v>
      </c>
      <c r="K239" s="11" t="e">
        <v>#N/A</v>
      </c>
      <c r="L239" s="11">
        <v>16.0</v>
      </c>
      <c r="M239" s="11" t="e">
        <v>#N/A</v>
      </c>
      <c r="N239" s="11" t="e">
        <v>#N/A</v>
      </c>
      <c r="O239" s="11" t="e">
        <v>#N/A</v>
      </c>
      <c r="P239" s="11" t="e">
        <v>#N/A</v>
      </c>
      <c r="Q239" s="11" t="e">
        <v>#N/A</v>
      </c>
      <c r="R239" s="11" t="e">
        <v>#N/A</v>
      </c>
      <c r="S239" s="11" t="e">
        <v>#N/A</v>
      </c>
      <c r="T239" s="11" t="e">
        <v>#N/A</v>
      </c>
      <c r="U239" s="11" t="e">
        <v>#N/A</v>
      </c>
      <c r="V239" s="11" t="e">
        <v>#N/A</v>
      </c>
      <c r="W239" s="11">
        <v>16.0</v>
      </c>
      <c r="X239" s="11">
        <v>-16.0</v>
      </c>
      <c r="Y239" s="11" t="e">
        <v>#N/A</v>
      </c>
      <c r="Z239" s="29" t="e">
        <v>#N/A</v>
      </c>
    </row>
    <row r="240" ht="14.25" customHeight="1">
      <c r="A240" s="11"/>
      <c r="B240" s="11" t="e">
        <v>#N/A</v>
      </c>
      <c r="C240" s="11" t="s">
        <v>106</v>
      </c>
      <c r="D240" s="11"/>
      <c r="E240" s="11"/>
      <c r="F240" s="11" t="e">
        <v>#N/A</v>
      </c>
      <c r="G240" s="11" t="s">
        <v>628</v>
      </c>
      <c r="H240" s="11" t="e">
        <v>#N/A</v>
      </c>
      <c r="I240" s="11" t="e">
        <v>#N/A</v>
      </c>
      <c r="J240" s="11" t="e">
        <v>#N/A</v>
      </c>
      <c r="K240" s="11" t="e">
        <v>#N/A</v>
      </c>
      <c r="L240" s="11">
        <v>16.0</v>
      </c>
      <c r="M240" s="11" t="e">
        <v>#N/A</v>
      </c>
      <c r="N240" s="11" t="e">
        <v>#N/A</v>
      </c>
      <c r="O240" s="11" t="e">
        <v>#N/A</v>
      </c>
      <c r="P240" s="11" t="e">
        <v>#N/A</v>
      </c>
      <c r="Q240" s="11" t="e">
        <v>#N/A</v>
      </c>
      <c r="R240" s="11" t="e">
        <v>#N/A</v>
      </c>
      <c r="S240" s="11" t="e">
        <v>#N/A</v>
      </c>
      <c r="T240" s="11" t="e">
        <v>#N/A</v>
      </c>
      <c r="U240" s="11" t="e">
        <v>#N/A</v>
      </c>
      <c r="V240" s="11" t="e">
        <v>#N/A</v>
      </c>
      <c r="W240" s="11">
        <v>16.0</v>
      </c>
      <c r="X240" s="11">
        <v>-16.0</v>
      </c>
      <c r="Y240" s="11" t="e">
        <v>#N/A</v>
      </c>
      <c r="Z240" s="29" t="e">
        <v>#N/A</v>
      </c>
    </row>
    <row r="241" ht="14.25" customHeight="1">
      <c r="A241" s="11"/>
      <c r="B241" s="11">
        <v>14.0</v>
      </c>
      <c r="C241" s="11" t="s">
        <v>106</v>
      </c>
      <c r="D241" s="11"/>
      <c r="E241" s="11"/>
      <c r="F241" s="11">
        <v>0.0</v>
      </c>
      <c r="G241" s="11" t="s">
        <v>580</v>
      </c>
      <c r="H241" s="11" t="s">
        <v>119</v>
      </c>
      <c r="I241" s="11" t="s">
        <v>36</v>
      </c>
      <c r="J241" s="11">
        <v>0.0</v>
      </c>
      <c r="K241" s="11" t="s">
        <v>866</v>
      </c>
      <c r="L241" s="11">
        <v>21.0</v>
      </c>
      <c r="M241" s="11">
        <v>162.0</v>
      </c>
      <c r="N241" s="11">
        <v>-18.0</v>
      </c>
      <c r="O241" s="11">
        <v>198.0</v>
      </c>
      <c r="P241" s="11">
        <v>-36.0</v>
      </c>
      <c r="Q241" s="11"/>
      <c r="R241" s="11"/>
      <c r="S241" s="11"/>
      <c r="T241" s="11"/>
      <c r="U241" s="11"/>
      <c r="V241" s="11">
        <v>180.0</v>
      </c>
      <c r="W241" s="11">
        <v>23.0</v>
      </c>
      <c r="X241" s="11">
        <v>-23.0</v>
      </c>
      <c r="Y241" s="11">
        <v>21.0</v>
      </c>
      <c r="Z241" s="29" t="s">
        <v>866</v>
      </c>
    </row>
    <row r="242" ht="14.25" customHeight="1">
      <c r="A242" s="11"/>
      <c r="B242" s="11" t="e">
        <v>#N/A</v>
      </c>
      <c r="C242" s="11" t="s">
        <v>106</v>
      </c>
      <c r="D242" s="11"/>
      <c r="E242" s="11"/>
      <c r="F242" s="11" t="e">
        <v>#N/A</v>
      </c>
      <c r="G242" s="11" t="s">
        <v>929</v>
      </c>
      <c r="H242" s="11" t="e">
        <v>#N/A</v>
      </c>
      <c r="I242" s="11" t="e">
        <v>#N/A</v>
      </c>
      <c r="J242" s="11" t="e">
        <v>#N/A</v>
      </c>
      <c r="K242" s="11" t="e">
        <v>#N/A</v>
      </c>
      <c r="L242" s="11">
        <v>16.0</v>
      </c>
      <c r="M242" s="11" t="e">
        <v>#N/A</v>
      </c>
      <c r="N242" s="11" t="e">
        <v>#N/A</v>
      </c>
      <c r="O242" s="11" t="e">
        <v>#N/A</v>
      </c>
      <c r="P242" s="11" t="e">
        <v>#N/A</v>
      </c>
      <c r="Q242" s="11"/>
      <c r="R242" s="11"/>
      <c r="S242" s="11"/>
      <c r="T242" s="11"/>
      <c r="U242" s="11"/>
      <c r="V242" s="11" t="e">
        <v>#N/A</v>
      </c>
      <c r="W242" s="11">
        <v>16.0</v>
      </c>
      <c r="X242" s="11">
        <v>-16.0</v>
      </c>
      <c r="Y242" s="11" t="e">
        <v>#N/A</v>
      </c>
      <c r="Z242" s="29" t="e">
        <v>#N/A</v>
      </c>
    </row>
    <row r="243" ht="14.25" customHeight="1">
      <c r="A243" s="11"/>
      <c r="B243" s="11" t="e">
        <v>#N/A</v>
      </c>
      <c r="C243" s="11" t="s">
        <v>106</v>
      </c>
      <c r="D243" s="11"/>
      <c r="E243" s="11"/>
      <c r="F243" s="11" t="e">
        <v>#N/A</v>
      </c>
      <c r="G243" s="11" t="s">
        <v>931</v>
      </c>
      <c r="H243" s="11" t="e">
        <v>#N/A</v>
      </c>
      <c r="I243" s="11" t="e">
        <v>#N/A</v>
      </c>
      <c r="J243" s="11" t="e">
        <v>#N/A</v>
      </c>
      <c r="K243" s="11" t="e">
        <v>#N/A</v>
      </c>
      <c r="L243" s="11">
        <v>16.0</v>
      </c>
      <c r="M243" s="11" t="e">
        <v>#N/A</v>
      </c>
      <c r="N243" s="11" t="e">
        <v>#N/A</v>
      </c>
      <c r="O243" s="11" t="e">
        <v>#N/A</v>
      </c>
      <c r="P243" s="11" t="e">
        <v>#N/A</v>
      </c>
      <c r="Q243" s="11" t="e">
        <v>#N/A</v>
      </c>
      <c r="R243" s="11" t="e">
        <v>#N/A</v>
      </c>
      <c r="S243" s="11" t="e">
        <v>#N/A</v>
      </c>
      <c r="T243" s="11" t="e">
        <v>#N/A</v>
      </c>
      <c r="U243" s="11" t="e">
        <v>#N/A</v>
      </c>
      <c r="V243" s="11" t="e">
        <v>#N/A</v>
      </c>
      <c r="W243" s="11">
        <v>16.0</v>
      </c>
      <c r="X243" s="11">
        <v>-16.0</v>
      </c>
      <c r="Y243" s="11" t="e">
        <v>#N/A</v>
      </c>
      <c r="Z243" s="29" t="e">
        <v>#N/A</v>
      </c>
    </row>
    <row r="244" ht="14.25" customHeight="1">
      <c r="A244" s="11"/>
      <c r="B244" s="11" t="e">
        <v>#N/A</v>
      </c>
      <c r="C244" s="11" t="s">
        <v>106</v>
      </c>
      <c r="D244" s="11"/>
      <c r="E244" s="11"/>
      <c r="F244" s="11" t="e">
        <v>#N/A</v>
      </c>
      <c r="G244" s="11" t="s">
        <v>489</v>
      </c>
      <c r="H244" s="11" t="e">
        <v>#N/A</v>
      </c>
      <c r="I244" s="11" t="e">
        <v>#N/A</v>
      </c>
      <c r="J244" s="11" t="e">
        <v>#N/A</v>
      </c>
      <c r="K244" s="11" t="e">
        <v>#N/A</v>
      </c>
      <c r="L244" s="11">
        <v>16.0</v>
      </c>
      <c r="M244" s="11" t="e">
        <v>#N/A</v>
      </c>
      <c r="N244" s="11" t="e">
        <v>#N/A</v>
      </c>
      <c r="O244" s="11" t="e">
        <v>#N/A</v>
      </c>
      <c r="P244" s="11" t="e">
        <v>#N/A</v>
      </c>
      <c r="Q244" s="11" t="e">
        <v>#N/A</v>
      </c>
      <c r="R244" s="11" t="e">
        <v>#N/A</v>
      </c>
      <c r="S244" s="11" t="e">
        <v>#N/A</v>
      </c>
      <c r="T244" s="11" t="e">
        <v>#N/A</v>
      </c>
      <c r="U244" s="11" t="e">
        <v>#N/A</v>
      </c>
      <c r="V244" s="11" t="e">
        <v>#N/A</v>
      </c>
      <c r="W244" s="11">
        <v>16.0</v>
      </c>
      <c r="X244" s="11">
        <v>-16.0</v>
      </c>
      <c r="Y244" s="11" t="e">
        <v>#N/A</v>
      </c>
      <c r="Z244" s="29" t="e">
        <v>#N/A</v>
      </c>
    </row>
    <row r="245" ht="14.25" customHeight="1">
      <c r="A245" s="11"/>
      <c r="B245" s="11" t="e">
        <v>#N/A</v>
      </c>
      <c r="C245" s="11" t="s">
        <v>106</v>
      </c>
      <c r="D245" s="11"/>
      <c r="E245" s="11"/>
      <c r="F245" s="11" t="e">
        <v>#N/A</v>
      </c>
      <c r="G245" s="11" t="s">
        <v>718</v>
      </c>
      <c r="H245" s="11" t="e">
        <v>#N/A</v>
      </c>
      <c r="I245" s="11" t="e">
        <v>#N/A</v>
      </c>
      <c r="J245" s="11" t="e">
        <v>#N/A</v>
      </c>
      <c r="K245" s="11" t="e">
        <v>#N/A</v>
      </c>
      <c r="L245" s="11">
        <v>16.0</v>
      </c>
      <c r="M245" s="11" t="e">
        <v>#N/A</v>
      </c>
      <c r="N245" s="11" t="e">
        <v>#N/A</v>
      </c>
      <c r="O245" s="11" t="e">
        <v>#N/A</v>
      </c>
      <c r="P245" s="11" t="e">
        <v>#N/A</v>
      </c>
      <c r="Q245" s="11" t="e">
        <v>#N/A</v>
      </c>
      <c r="R245" s="11" t="e">
        <v>#N/A</v>
      </c>
      <c r="S245" s="11" t="e">
        <v>#N/A</v>
      </c>
      <c r="T245" s="11" t="e">
        <v>#N/A</v>
      </c>
      <c r="U245" s="11" t="e">
        <v>#N/A</v>
      </c>
      <c r="V245" s="11" t="e">
        <v>#N/A</v>
      </c>
      <c r="W245" s="11">
        <v>16.0</v>
      </c>
      <c r="X245" s="11">
        <v>-16.0</v>
      </c>
      <c r="Y245" s="11" t="e">
        <v>#N/A</v>
      </c>
      <c r="Z245" s="29" t="e">
        <v>#N/A</v>
      </c>
    </row>
    <row r="246" ht="14.25" customHeight="1">
      <c r="A246" s="11"/>
      <c r="B246" s="11" t="e">
        <v>#N/A</v>
      </c>
      <c r="C246" s="11" t="s">
        <v>106</v>
      </c>
      <c r="D246" s="11"/>
      <c r="E246" s="11"/>
      <c r="F246" s="11" t="e">
        <v>#N/A</v>
      </c>
      <c r="G246" s="11" t="s">
        <v>947</v>
      </c>
      <c r="H246" s="11" t="e">
        <v>#N/A</v>
      </c>
      <c r="I246" s="11" t="e">
        <v>#N/A</v>
      </c>
      <c r="J246" s="11" t="e">
        <v>#N/A</v>
      </c>
      <c r="K246" s="11" t="e">
        <v>#N/A</v>
      </c>
      <c r="L246" s="11">
        <v>16.0</v>
      </c>
      <c r="M246" s="11" t="e">
        <v>#N/A</v>
      </c>
      <c r="N246" s="11" t="e">
        <v>#N/A</v>
      </c>
      <c r="O246" s="11" t="e">
        <v>#N/A</v>
      </c>
      <c r="P246" s="11" t="e">
        <v>#N/A</v>
      </c>
      <c r="Q246" s="11" t="e">
        <v>#N/A</v>
      </c>
      <c r="R246" s="11" t="e">
        <v>#N/A</v>
      </c>
      <c r="S246" s="11" t="e">
        <v>#N/A</v>
      </c>
      <c r="T246" s="11" t="e">
        <v>#N/A</v>
      </c>
      <c r="U246" s="11" t="e">
        <v>#N/A</v>
      </c>
      <c r="V246" s="11" t="e">
        <v>#N/A</v>
      </c>
      <c r="W246" s="11">
        <v>16.0</v>
      </c>
      <c r="X246" s="11">
        <v>-16.0</v>
      </c>
      <c r="Y246" s="11" t="e">
        <v>#N/A</v>
      </c>
      <c r="Z246" s="29" t="e">
        <v>#N/A</v>
      </c>
    </row>
    <row r="247" ht="14.25" customHeight="1">
      <c r="A247" s="11"/>
      <c r="B247" s="11" t="e">
        <v>#N/A</v>
      </c>
      <c r="C247" s="11" t="s">
        <v>106</v>
      </c>
      <c r="D247" s="11"/>
      <c r="E247" s="11"/>
      <c r="F247" s="11" t="e">
        <v>#N/A</v>
      </c>
      <c r="G247" s="11" t="s">
        <v>948</v>
      </c>
      <c r="H247" s="11" t="e">
        <v>#N/A</v>
      </c>
      <c r="I247" s="11" t="e">
        <v>#N/A</v>
      </c>
      <c r="J247" s="11" t="e">
        <v>#N/A</v>
      </c>
      <c r="K247" s="11" t="e">
        <v>#N/A</v>
      </c>
      <c r="L247" s="11">
        <v>16.0</v>
      </c>
      <c r="M247" s="11" t="e">
        <v>#N/A</v>
      </c>
      <c r="N247" s="11" t="e">
        <v>#N/A</v>
      </c>
      <c r="O247" s="11" t="e">
        <v>#N/A</v>
      </c>
      <c r="P247" s="11" t="e">
        <v>#N/A</v>
      </c>
      <c r="Q247" s="11" t="e">
        <v>#N/A</v>
      </c>
      <c r="R247" s="11" t="e">
        <v>#N/A</v>
      </c>
      <c r="S247" s="11" t="e">
        <v>#N/A</v>
      </c>
      <c r="T247" s="11" t="e">
        <v>#N/A</v>
      </c>
      <c r="U247" s="11" t="e">
        <v>#N/A</v>
      </c>
      <c r="V247" s="11" t="e">
        <v>#N/A</v>
      </c>
      <c r="W247" s="11">
        <v>16.0</v>
      </c>
      <c r="X247" s="11">
        <v>-16.0</v>
      </c>
      <c r="Y247" s="11" t="e">
        <v>#N/A</v>
      </c>
      <c r="Z247" s="29" t="e">
        <v>#N/A</v>
      </c>
    </row>
    <row r="248" ht="14.25" customHeight="1">
      <c r="A248" s="11"/>
      <c r="B248" s="11">
        <v>15.0</v>
      </c>
      <c r="C248" s="11" t="s">
        <v>106</v>
      </c>
      <c r="D248" s="11"/>
      <c r="E248" s="11"/>
      <c r="F248" s="11">
        <v>0.0</v>
      </c>
      <c r="G248" s="11" t="s">
        <v>515</v>
      </c>
      <c r="H248" s="11" t="s">
        <v>75</v>
      </c>
      <c r="I248" s="11" t="s">
        <v>36</v>
      </c>
      <c r="J248" s="11">
        <v>0.0</v>
      </c>
      <c r="K248" s="11" t="s">
        <v>866</v>
      </c>
      <c r="L248" s="11">
        <v>21.0</v>
      </c>
      <c r="M248" s="11">
        <v>160.0</v>
      </c>
      <c r="N248" s="11">
        <v>-5.0</v>
      </c>
      <c r="O248" s="11">
        <v>141.0</v>
      </c>
      <c r="P248" s="11">
        <v>19.0</v>
      </c>
      <c r="Q248" s="11">
        <v>119.0</v>
      </c>
      <c r="R248" s="11">
        <v>193.0</v>
      </c>
      <c r="S248" s="11">
        <v>220.0</v>
      </c>
      <c r="T248" s="11">
        <v>172.0</v>
      </c>
      <c r="U248" s="11">
        <v>151.0</v>
      </c>
      <c r="V248" s="11">
        <v>165.0</v>
      </c>
      <c r="W248" s="11">
        <v>21.0</v>
      </c>
      <c r="X248" s="11">
        <v>-21.0</v>
      </c>
      <c r="Y248" s="11">
        <v>7.0</v>
      </c>
      <c r="Z248" s="29" t="s">
        <v>866</v>
      </c>
    </row>
    <row r="249" ht="14.25" customHeight="1">
      <c r="A249" s="11"/>
      <c r="B249" s="11">
        <v>11.0</v>
      </c>
      <c r="C249" s="11" t="s">
        <v>106</v>
      </c>
      <c r="D249" s="11"/>
      <c r="E249" s="11"/>
      <c r="F249" s="11">
        <v>0.0</v>
      </c>
      <c r="G249" s="11" t="s">
        <v>485</v>
      </c>
      <c r="H249" s="11" t="s">
        <v>176</v>
      </c>
      <c r="I249" s="11" t="s">
        <v>36</v>
      </c>
      <c r="J249" s="11">
        <v>0.0</v>
      </c>
      <c r="K249" s="11" t="s">
        <v>866</v>
      </c>
      <c r="L249" s="11">
        <v>19.0</v>
      </c>
      <c r="M249" s="11">
        <v>147.0</v>
      </c>
      <c r="N249" s="11">
        <v>18.0</v>
      </c>
      <c r="O249" s="11">
        <v>106.0</v>
      </c>
      <c r="P249" s="11">
        <v>41.0</v>
      </c>
      <c r="Q249" s="11">
        <v>94.0</v>
      </c>
      <c r="R249" s="11">
        <v>134.0</v>
      </c>
      <c r="S249" s="11">
        <v>203.0</v>
      </c>
      <c r="T249" s="11">
        <v>140.0</v>
      </c>
      <c r="U249" s="11">
        <v>82.0</v>
      </c>
      <c r="V249" s="11">
        <v>129.0</v>
      </c>
      <c r="W249" s="11">
        <v>17.0</v>
      </c>
      <c r="X249" s="11">
        <v>-17.0</v>
      </c>
      <c r="Y249" s="11">
        <v>29.0</v>
      </c>
      <c r="Z249" s="29" t="s">
        <v>866</v>
      </c>
    </row>
    <row r="250" ht="14.25" customHeight="1">
      <c r="A250" s="11"/>
      <c r="B250" s="11">
        <v>14.0</v>
      </c>
      <c r="C250" s="11" t="s">
        <v>106</v>
      </c>
      <c r="D250" s="11"/>
      <c r="E250" s="11"/>
      <c r="F250" s="11">
        <v>0.0</v>
      </c>
      <c r="G250" s="11" t="s">
        <v>620</v>
      </c>
      <c r="H250" s="11" t="s">
        <v>45</v>
      </c>
      <c r="I250" s="11" t="s">
        <v>36</v>
      </c>
      <c r="J250" s="11">
        <v>0.0</v>
      </c>
      <c r="K250" s="11" t="s">
        <v>866</v>
      </c>
      <c r="L250" s="11">
        <v>21.0</v>
      </c>
      <c r="M250" s="11">
        <v>163.0</v>
      </c>
      <c r="N250" s="11">
        <v>-13.0</v>
      </c>
      <c r="O250" s="11">
        <v>189.0</v>
      </c>
      <c r="P250" s="11">
        <v>-26.0</v>
      </c>
      <c r="Q250" s="11"/>
      <c r="R250" s="11"/>
      <c r="S250" s="11"/>
      <c r="T250" s="11"/>
      <c r="U250" s="11"/>
      <c r="V250" s="11">
        <v>176.0</v>
      </c>
      <c r="W250" s="11">
        <v>23.0</v>
      </c>
      <c r="X250" s="11">
        <v>-23.0</v>
      </c>
      <c r="Y250" s="11">
        <v>42.0</v>
      </c>
      <c r="Z250" s="29" t="s">
        <v>866</v>
      </c>
    </row>
    <row r="251" ht="14.25" customHeight="1">
      <c r="A251" s="11"/>
      <c r="B251" s="11">
        <v>22.0</v>
      </c>
      <c r="C251" s="11" t="s">
        <v>106</v>
      </c>
      <c r="D251" s="11"/>
      <c r="E251" s="11"/>
      <c r="F251" s="11">
        <v>0.0</v>
      </c>
      <c r="G251" s="11" t="s">
        <v>832</v>
      </c>
      <c r="H251" s="11" t="s">
        <v>45</v>
      </c>
      <c r="I251" s="11">
        <v>199.0</v>
      </c>
      <c r="J251" s="11">
        <v>0.0</v>
      </c>
      <c r="K251" s="11" t="s">
        <v>866</v>
      </c>
      <c r="L251" s="11">
        <v>33.0</v>
      </c>
      <c r="M251" s="11">
        <v>262.0</v>
      </c>
      <c r="N251" s="11">
        <v>-1.0</v>
      </c>
      <c r="O251" s="11" t="s">
        <v>36</v>
      </c>
      <c r="P251" s="11" t="e">
        <v>#VALUE!</v>
      </c>
      <c r="Q251" s="11" t="s">
        <v>36</v>
      </c>
      <c r="R251" s="11">
        <v>324.0</v>
      </c>
      <c r="S251" s="11">
        <v>245.0</v>
      </c>
      <c r="T251" s="11">
        <v>217.0</v>
      </c>
      <c r="U251" s="11">
        <v>267.0</v>
      </c>
      <c r="V251" s="11">
        <v>263.0</v>
      </c>
      <c r="W251" s="11">
        <v>33.0</v>
      </c>
      <c r="X251" s="11">
        <v>-33.0</v>
      </c>
      <c r="Y251" s="11" t="e">
        <v>#VALUE!</v>
      </c>
      <c r="Z251" s="29" t="s">
        <v>866</v>
      </c>
    </row>
    <row r="252" ht="14.25" customHeight="1">
      <c r="A252" s="11"/>
      <c r="B252" s="11" t="e">
        <v>#N/A</v>
      </c>
      <c r="C252" s="11" t="s">
        <v>106</v>
      </c>
      <c r="D252" s="11"/>
      <c r="E252" s="11"/>
      <c r="F252" s="11" t="e">
        <v>#N/A</v>
      </c>
      <c r="G252" s="11" t="s">
        <v>294</v>
      </c>
      <c r="H252" s="11" t="e">
        <v>#N/A</v>
      </c>
      <c r="I252" s="11" t="e">
        <v>#N/A</v>
      </c>
      <c r="J252" s="11" t="e">
        <v>#N/A</v>
      </c>
      <c r="K252" s="11" t="e">
        <v>#N/A</v>
      </c>
      <c r="L252" s="11">
        <v>16.0</v>
      </c>
      <c r="M252" s="11" t="e">
        <v>#N/A</v>
      </c>
      <c r="N252" s="11" t="e">
        <v>#N/A</v>
      </c>
      <c r="O252" s="11" t="e">
        <v>#N/A</v>
      </c>
      <c r="P252" s="11" t="e">
        <v>#N/A</v>
      </c>
      <c r="Q252" s="11" t="e">
        <v>#N/A</v>
      </c>
      <c r="R252" s="11" t="e">
        <v>#N/A</v>
      </c>
      <c r="S252" s="11" t="e">
        <v>#N/A</v>
      </c>
      <c r="T252" s="11" t="e">
        <v>#N/A</v>
      </c>
      <c r="U252" s="11" t="e">
        <v>#N/A</v>
      </c>
      <c r="V252" s="11" t="e">
        <v>#N/A</v>
      </c>
      <c r="W252" s="11">
        <v>16.0</v>
      </c>
      <c r="X252" s="11">
        <v>-16.0</v>
      </c>
      <c r="Y252" s="11" t="e">
        <v>#N/A</v>
      </c>
      <c r="Z252" s="29" t="e">
        <v>#N/A</v>
      </c>
    </row>
    <row r="253" ht="14.25" customHeight="1">
      <c r="A253" s="11"/>
      <c r="B253" s="11">
        <v>19.0</v>
      </c>
      <c r="C253" s="11" t="s">
        <v>106</v>
      </c>
      <c r="D253" s="11"/>
      <c r="E253" s="11"/>
      <c r="F253" s="11">
        <v>0.0</v>
      </c>
      <c r="G253" s="11" t="s">
        <v>951</v>
      </c>
      <c r="H253" s="11" t="s">
        <v>85</v>
      </c>
      <c r="I253" s="11">
        <v>167.0</v>
      </c>
      <c r="J253" s="11">
        <v>0.0</v>
      </c>
      <c r="K253" s="11" t="s">
        <v>903</v>
      </c>
      <c r="L253" s="11">
        <v>26.0</v>
      </c>
      <c r="M253" s="11">
        <v>204.0</v>
      </c>
      <c r="N253" s="11">
        <v>-13.0</v>
      </c>
      <c r="O253" s="11">
        <v>211.0</v>
      </c>
      <c r="P253" s="11">
        <v>-7.0</v>
      </c>
      <c r="Q253" s="11">
        <v>213.0</v>
      </c>
      <c r="R253" s="11">
        <v>258.0</v>
      </c>
      <c r="S253" s="11">
        <v>163.0</v>
      </c>
      <c r="T253" s="11">
        <v>173.0</v>
      </c>
      <c r="U253" s="11">
        <v>302.0</v>
      </c>
      <c r="V253" s="11">
        <v>217.0</v>
      </c>
      <c r="W253" s="11">
        <v>28.0</v>
      </c>
      <c r="X253" s="11">
        <v>-28.0</v>
      </c>
      <c r="Y253" s="11">
        <v>-50.0</v>
      </c>
      <c r="Z253" s="29" t="s">
        <v>866</v>
      </c>
    </row>
    <row r="254" ht="14.25" customHeight="1">
      <c r="A254" s="11"/>
      <c r="B254" s="11">
        <v>16.0</v>
      </c>
      <c r="C254" s="11" t="s">
        <v>106</v>
      </c>
      <c r="D254" s="11"/>
      <c r="E254" s="11"/>
      <c r="F254" s="11">
        <v>0.0</v>
      </c>
      <c r="G254" s="11" t="s">
        <v>952</v>
      </c>
      <c r="H254" s="11" t="s">
        <v>67</v>
      </c>
      <c r="I254" s="11" t="s">
        <v>36</v>
      </c>
      <c r="J254" s="11">
        <v>0.0</v>
      </c>
      <c r="K254" s="11" t="s">
        <v>866</v>
      </c>
      <c r="L254" s="11">
        <v>24.0</v>
      </c>
      <c r="M254" s="11">
        <v>185.0</v>
      </c>
      <c r="N254" s="11">
        <v>14.0</v>
      </c>
      <c r="O254" s="11">
        <v>158.0</v>
      </c>
      <c r="P254" s="11">
        <v>27.0</v>
      </c>
      <c r="Q254" s="11"/>
      <c r="R254" s="11"/>
      <c r="S254" s="11"/>
      <c r="T254" s="11"/>
      <c r="U254" s="11"/>
      <c r="V254" s="11">
        <v>171.0</v>
      </c>
      <c r="W254" s="11">
        <v>22.0</v>
      </c>
      <c r="X254" s="11">
        <v>-22.0</v>
      </c>
      <c r="Y254" s="11">
        <v>68.0</v>
      </c>
      <c r="Z254" s="29" t="s">
        <v>866</v>
      </c>
    </row>
    <row r="255" ht="14.25" customHeight="1">
      <c r="A255" s="11"/>
      <c r="B255" s="11">
        <v>14.0</v>
      </c>
      <c r="C255" s="11" t="s">
        <v>106</v>
      </c>
      <c r="D255" s="11"/>
      <c r="E255" s="11"/>
      <c r="F255" s="11">
        <v>0.0</v>
      </c>
      <c r="G255" s="11" t="s">
        <v>954</v>
      </c>
      <c r="H255" s="11" t="s">
        <v>40</v>
      </c>
      <c r="I255" s="11" t="s">
        <v>36</v>
      </c>
      <c r="J255" s="11">
        <v>0.0</v>
      </c>
      <c r="K255" s="11" t="s">
        <v>866</v>
      </c>
      <c r="L255" s="11">
        <v>20.0</v>
      </c>
      <c r="M255" s="11">
        <v>159.0</v>
      </c>
      <c r="N255" s="11">
        <v>-17.0</v>
      </c>
      <c r="O255" s="11">
        <v>193.0</v>
      </c>
      <c r="P255" s="11">
        <v>-34.0</v>
      </c>
      <c r="Q255" s="11"/>
      <c r="R255" s="11"/>
      <c r="S255" s="11"/>
      <c r="T255" s="11"/>
      <c r="U255" s="11"/>
      <c r="V255" s="11">
        <v>176.0</v>
      </c>
      <c r="W255" s="11">
        <v>23.0</v>
      </c>
      <c r="X255" s="11">
        <v>-23.0</v>
      </c>
      <c r="Y255" s="11">
        <v>70.0</v>
      </c>
      <c r="Z255" s="29" t="s">
        <v>866</v>
      </c>
    </row>
    <row r="256" ht="14.25" customHeight="1">
      <c r="A256" s="11"/>
      <c r="B256" s="11" t="e">
        <v>#N/A</v>
      </c>
      <c r="C256" s="11" t="s">
        <v>106</v>
      </c>
      <c r="D256" s="11"/>
      <c r="E256" s="11"/>
      <c r="F256" s="11" t="e">
        <v>#N/A</v>
      </c>
      <c r="G256" s="11" t="s">
        <v>956</v>
      </c>
      <c r="H256" s="11" t="e">
        <v>#N/A</v>
      </c>
      <c r="I256" s="11" t="e">
        <v>#N/A</v>
      </c>
      <c r="J256" s="11" t="e">
        <v>#N/A</v>
      </c>
      <c r="K256" s="11" t="e">
        <v>#N/A</v>
      </c>
      <c r="L256" s="11">
        <v>16.0</v>
      </c>
      <c r="M256" s="11" t="e">
        <v>#N/A</v>
      </c>
      <c r="N256" s="11" t="e">
        <v>#N/A</v>
      </c>
      <c r="O256" s="11" t="e">
        <v>#N/A</v>
      </c>
      <c r="P256" s="11" t="e">
        <v>#N/A</v>
      </c>
      <c r="Q256" s="11" t="e">
        <v>#N/A</v>
      </c>
      <c r="R256" s="11" t="e">
        <v>#N/A</v>
      </c>
      <c r="S256" s="11" t="e">
        <v>#N/A</v>
      </c>
      <c r="T256" s="11" t="e">
        <v>#N/A</v>
      </c>
      <c r="U256" s="11" t="e">
        <v>#N/A</v>
      </c>
      <c r="V256" s="11" t="e">
        <v>#N/A</v>
      </c>
      <c r="W256" s="11">
        <v>16.0</v>
      </c>
      <c r="X256" s="11">
        <v>-16.0</v>
      </c>
      <c r="Y256" s="11" t="e">
        <v>#N/A</v>
      </c>
      <c r="Z256" s="29" t="e">
        <v>#N/A</v>
      </c>
    </row>
    <row r="257" ht="14.25" customHeight="1">
      <c r="A257" s="11"/>
      <c r="B257" s="11" t="e">
        <v>#N/A</v>
      </c>
      <c r="C257" s="11" t="s">
        <v>106</v>
      </c>
      <c r="D257" s="11"/>
      <c r="E257" s="11"/>
      <c r="F257" s="11" t="e">
        <v>#N/A</v>
      </c>
      <c r="G257" s="11" t="s">
        <v>529</v>
      </c>
      <c r="H257" s="11" t="e">
        <v>#N/A</v>
      </c>
      <c r="I257" s="11" t="e">
        <v>#N/A</v>
      </c>
      <c r="J257" s="11" t="e">
        <v>#N/A</v>
      </c>
      <c r="K257" s="11" t="e">
        <v>#N/A</v>
      </c>
      <c r="L257" s="11">
        <v>16.0</v>
      </c>
      <c r="M257" s="11" t="e">
        <v>#N/A</v>
      </c>
      <c r="N257" s="11" t="e">
        <v>#N/A</v>
      </c>
      <c r="O257" s="11" t="e">
        <v>#N/A</v>
      </c>
      <c r="P257" s="11" t="e">
        <v>#N/A</v>
      </c>
      <c r="Q257" s="11" t="e">
        <v>#N/A</v>
      </c>
      <c r="R257" s="11" t="e">
        <v>#N/A</v>
      </c>
      <c r="S257" s="11" t="e">
        <v>#N/A</v>
      </c>
      <c r="T257" s="11" t="e">
        <v>#N/A</v>
      </c>
      <c r="U257" s="11" t="e">
        <v>#N/A</v>
      </c>
      <c r="V257" s="11" t="e">
        <v>#N/A</v>
      </c>
      <c r="W257" s="11">
        <v>16.0</v>
      </c>
      <c r="X257" s="11">
        <v>-16.0</v>
      </c>
      <c r="Y257" s="11" t="e">
        <v>#N/A</v>
      </c>
      <c r="Z257" s="29" t="e">
        <v>#N/A</v>
      </c>
    </row>
    <row r="258" ht="14.25" customHeight="1">
      <c r="A258" s="11"/>
      <c r="B258" s="11" t="e">
        <v>#N/A</v>
      </c>
      <c r="C258" s="11" t="s">
        <v>106</v>
      </c>
      <c r="D258" s="11"/>
      <c r="E258" s="11"/>
      <c r="F258" s="11" t="e">
        <v>#N/A</v>
      </c>
      <c r="G258" s="11" t="s">
        <v>958</v>
      </c>
      <c r="H258" s="11" t="e">
        <v>#N/A</v>
      </c>
      <c r="I258" s="11" t="e">
        <v>#N/A</v>
      </c>
      <c r="J258" s="11" t="e">
        <v>#N/A</v>
      </c>
      <c r="K258" s="11" t="e">
        <v>#N/A</v>
      </c>
      <c r="L258" s="11">
        <v>16.0</v>
      </c>
      <c r="M258" s="11" t="e">
        <v>#N/A</v>
      </c>
      <c r="N258" s="11" t="e">
        <v>#N/A</v>
      </c>
      <c r="O258" s="11" t="e">
        <v>#N/A</v>
      </c>
      <c r="P258" s="11" t="e">
        <v>#N/A</v>
      </c>
      <c r="Q258" s="11" t="e">
        <v>#N/A</v>
      </c>
      <c r="R258" s="11" t="e">
        <v>#N/A</v>
      </c>
      <c r="S258" s="11" t="e">
        <v>#N/A</v>
      </c>
      <c r="T258" s="11" t="e">
        <v>#N/A</v>
      </c>
      <c r="U258" s="11" t="e">
        <v>#N/A</v>
      </c>
      <c r="V258" s="11" t="e">
        <v>#N/A</v>
      </c>
      <c r="W258" s="11">
        <v>16.0</v>
      </c>
      <c r="X258" s="11">
        <v>-16.0</v>
      </c>
      <c r="Y258" s="11" t="e">
        <v>#N/A</v>
      </c>
      <c r="Z258" s="29" t="e">
        <v>#N/A</v>
      </c>
    </row>
    <row r="259" ht="14.25" customHeight="1">
      <c r="A259" s="11"/>
      <c r="B259" s="11">
        <v>10.0</v>
      </c>
      <c r="C259" s="11" t="s">
        <v>106</v>
      </c>
      <c r="D259" s="11"/>
      <c r="E259" s="11"/>
      <c r="F259" s="11">
        <v>0.0</v>
      </c>
      <c r="G259" s="11" t="s">
        <v>239</v>
      </c>
      <c r="H259" s="11" t="s">
        <v>154</v>
      </c>
      <c r="I259" s="11">
        <v>112.0</v>
      </c>
      <c r="J259" s="11" t="s">
        <v>106</v>
      </c>
      <c r="K259" s="11" t="s">
        <v>870</v>
      </c>
      <c r="L259" s="11">
        <v>14.0</v>
      </c>
      <c r="M259" s="11">
        <v>105.0</v>
      </c>
      <c r="N259" s="11">
        <v>-4.0</v>
      </c>
      <c r="O259" s="11">
        <v>114.0</v>
      </c>
      <c r="P259" s="11">
        <v>-9.0</v>
      </c>
      <c r="Q259" s="11">
        <v>106.0</v>
      </c>
      <c r="R259" s="11">
        <v>123.0</v>
      </c>
      <c r="S259" s="11">
        <v>91.0</v>
      </c>
      <c r="T259" s="11">
        <v>111.0</v>
      </c>
      <c r="U259" s="11">
        <v>116.0</v>
      </c>
      <c r="V259" s="11">
        <v>109.0</v>
      </c>
      <c r="W259" s="11">
        <v>14.0</v>
      </c>
      <c r="X259" s="11">
        <v>-14.0</v>
      </c>
      <c r="Y259" s="11">
        <v>-24.0</v>
      </c>
      <c r="Z259" s="29">
        <v>12.0</v>
      </c>
    </row>
    <row r="260" ht="14.25" customHeight="1">
      <c r="A260" s="11"/>
      <c r="B260" s="11">
        <v>18.0</v>
      </c>
      <c r="C260" s="11" t="s">
        <v>106</v>
      </c>
      <c r="D260" s="11"/>
      <c r="E260" s="11"/>
      <c r="F260" s="11">
        <v>0.0</v>
      </c>
      <c r="G260" s="11" t="s">
        <v>504</v>
      </c>
      <c r="H260" s="11" t="s">
        <v>116</v>
      </c>
      <c r="I260" s="11" t="s">
        <v>36</v>
      </c>
      <c r="J260" s="11">
        <v>0.0</v>
      </c>
      <c r="K260" s="11" t="s">
        <v>866</v>
      </c>
      <c r="L260" s="11">
        <v>31.0</v>
      </c>
      <c r="M260" s="11">
        <v>240.0</v>
      </c>
      <c r="N260" s="11">
        <v>26.0</v>
      </c>
      <c r="O260" s="11" t="s">
        <v>36</v>
      </c>
      <c r="P260" s="11" t="e">
        <v>#VALUE!</v>
      </c>
      <c r="Q260" s="11">
        <v>152.0</v>
      </c>
      <c r="R260" s="11" t="s">
        <v>36</v>
      </c>
      <c r="S260" s="11">
        <v>265.0</v>
      </c>
      <c r="T260" s="11">
        <v>226.0</v>
      </c>
      <c r="U260" s="11">
        <v>190.0</v>
      </c>
      <c r="V260" s="11">
        <v>214.0</v>
      </c>
      <c r="W260" s="11">
        <v>27.0</v>
      </c>
      <c r="X260" s="11">
        <v>-27.0</v>
      </c>
      <c r="Y260" s="11">
        <v>30.0</v>
      </c>
      <c r="Z260" s="29" t="s">
        <v>866</v>
      </c>
    </row>
    <row r="261" ht="14.25" customHeight="1">
      <c r="A261" s="11"/>
      <c r="B261" s="11">
        <v>21.0</v>
      </c>
      <c r="C261" s="11" t="s">
        <v>106</v>
      </c>
      <c r="D261" s="11"/>
      <c r="E261" s="11"/>
      <c r="F261" s="11">
        <v>0.0</v>
      </c>
      <c r="G261" s="11" t="s">
        <v>643</v>
      </c>
      <c r="H261" s="11" t="s">
        <v>176</v>
      </c>
      <c r="I261" s="11">
        <v>187.0</v>
      </c>
      <c r="J261" s="11">
        <v>0.0</v>
      </c>
      <c r="K261" s="11" t="s">
        <v>866</v>
      </c>
      <c r="L261" s="11">
        <v>33.0</v>
      </c>
      <c r="M261" s="11">
        <v>259.0</v>
      </c>
      <c r="N261" s="11">
        <v>14.0</v>
      </c>
      <c r="O261" s="11" t="s">
        <v>36</v>
      </c>
      <c r="P261" s="11" t="e">
        <v>#VALUE!</v>
      </c>
      <c r="Q261" s="11" t="s">
        <v>36</v>
      </c>
      <c r="R261" s="11" t="s">
        <v>36</v>
      </c>
      <c r="S261" s="11">
        <v>206.0</v>
      </c>
      <c r="T261" s="11">
        <v>227.0</v>
      </c>
      <c r="U261" s="11">
        <v>289.0</v>
      </c>
      <c r="V261" s="11">
        <v>245.0</v>
      </c>
      <c r="W261" s="11">
        <v>31.0</v>
      </c>
      <c r="X261" s="11">
        <v>-31.0</v>
      </c>
      <c r="Y261" s="11">
        <v>-7.0</v>
      </c>
      <c r="Z261" s="29" t="s">
        <v>866</v>
      </c>
    </row>
    <row r="262" ht="14.25" customHeight="1">
      <c r="A262" s="11"/>
      <c r="B262" s="11">
        <v>23.0</v>
      </c>
      <c r="C262" s="11" t="s">
        <v>106</v>
      </c>
      <c r="D262" s="11"/>
      <c r="E262" s="11"/>
      <c r="F262" s="11">
        <v>0.0</v>
      </c>
      <c r="G262" s="11" t="s">
        <v>830</v>
      </c>
      <c r="H262" s="11" t="s">
        <v>128</v>
      </c>
      <c r="I262" s="11">
        <v>185.0</v>
      </c>
      <c r="J262" s="11">
        <v>0.0</v>
      </c>
      <c r="K262" s="11" t="s">
        <v>866</v>
      </c>
      <c r="L262" s="11">
        <v>34.0</v>
      </c>
      <c r="M262" s="11">
        <v>268.0</v>
      </c>
      <c r="N262" s="11">
        <v>-3.0</v>
      </c>
      <c r="O262" s="11" t="s">
        <v>36</v>
      </c>
      <c r="P262" s="11" t="e">
        <v>#VALUE!</v>
      </c>
      <c r="Q262" s="11" t="s">
        <v>36</v>
      </c>
      <c r="R262" s="11">
        <v>309.0</v>
      </c>
      <c r="S262" s="11">
        <v>237.0</v>
      </c>
      <c r="T262" s="11">
        <v>231.0</v>
      </c>
      <c r="U262" s="11">
        <v>311.0</v>
      </c>
      <c r="V262" s="11">
        <v>271.0</v>
      </c>
      <c r="W262" s="11">
        <v>34.0</v>
      </c>
      <c r="X262" s="11">
        <v>-34.0</v>
      </c>
      <c r="Y262" s="11" t="e">
        <v>#VALUE!</v>
      </c>
      <c r="Z262" s="29" t="s">
        <v>866</v>
      </c>
    </row>
    <row r="263" ht="14.25" customHeight="1">
      <c r="A263" s="11"/>
      <c r="B263" s="11"/>
      <c r="C263" s="11" t="s">
        <v>106</v>
      </c>
      <c r="D263" s="11"/>
      <c r="E263" s="11"/>
      <c r="F263" s="11" t="e">
        <v>#N/A</v>
      </c>
      <c r="G263" s="11" t="s">
        <v>961</v>
      </c>
      <c r="H263" s="11" t="e">
        <v>#N/A</v>
      </c>
      <c r="I263" s="11" t="e">
        <v>#N/A</v>
      </c>
      <c r="J263" s="11" t="e">
        <v>#N/A</v>
      </c>
      <c r="K263" s="11" t="e">
        <v>#N/A</v>
      </c>
      <c r="L263" s="11">
        <v>16.0</v>
      </c>
      <c r="M263" s="11" t="e">
        <v>#N/A</v>
      </c>
      <c r="N263" s="11" t="e">
        <v>#N/A</v>
      </c>
      <c r="O263" s="11" t="e">
        <v>#N/A</v>
      </c>
      <c r="P263" s="11" t="e">
        <v>#N/A</v>
      </c>
      <c r="Q263" s="11" t="e">
        <v>#N/A</v>
      </c>
      <c r="R263" s="11" t="e">
        <v>#N/A</v>
      </c>
      <c r="S263" s="11" t="e">
        <v>#N/A</v>
      </c>
      <c r="T263" s="11" t="e">
        <v>#N/A</v>
      </c>
      <c r="U263" s="11" t="e">
        <v>#N/A</v>
      </c>
      <c r="V263" s="11" t="e">
        <v>#N/A</v>
      </c>
      <c r="W263" s="11">
        <v>16.0</v>
      </c>
      <c r="X263" s="11">
        <v>-16.0</v>
      </c>
      <c r="Y263" s="11" t="e">
        <v>#N/A</v>
      </c>
      <c r="Z263" s="29" t="e">
        <v>#N/A</v>
      </c>
    </row>
    <row r="264" ht="14.25" customHeight="1">
      <c r="A264" s="11"/>
      <c r="B264" s="11" t="e">
        <v>#N/A</v>
      </c>
      <c r="C264" s="11" t="s">
        <v>106</v>
      </c>
      <c r="D264" s="11"/>
      <c r="E264" s="11"/>
      <c r="F264" s="11" t="e">
        <v>#N/A</v>
      </c>
      <c r="G264" s="11" t="s">
        <v>707</v>
      </c>
      <c r="H264" s="11" t="e">
        <v>#N/A</v>
      </c>
      <c r="I264" s="11" t="e">
        <v>#N/A</v>
      </c>
      <c r="J264" s="11" t="e">
        <v>#N/A</v>
      </c>
      <c r="K264" s="11" t="e">
        <v>#N/A</v>
      </c>
      <c r="L264" s="11">
        <v>16.0</v>
      </c>
      <c r="M264" s="11" t="e">
        <v>#N/A</v>
      </c>
      <c r="N264" s="11" t="e">
        <v>#N/A</v>
      </c>
      <c r="O264" s="11" t="e">
        <v>#N/A</v>
      </c>
      <c r="P264" s="11" t="e">
        <v>#N/A</v>
      </c>
      <c r="Q264" s="11" t="e">
        <v>#N/A</v>
      </c>
      <c r="R264" s="11" t="e">
        <v>#N/A</v>
      </c>
      <c r="S264" s="11" t="e">
        <v>#N/A</v>
      </c>
      <c r="T264" s="11" t="e">
        <v>#N/A</v>
      </c>
      <c r="U264" s="11" t="e">
        <v>#N/A</v>
      </c>
      <c r="V264" s="11" t="e">
        <v>#N/A</v>
      </c>
      <c r="W264" s="11">
        <v>16.0</v>
      </c>
      <c r="X264" s="11">
        <v>-16.0</v>
      </c>
      <c r="Y264" s="11" t="e">
        <v>#N/A</v>
      </c>
      <c r="Z264" s="29" t="e">
        <v>#N/A</v>
      </c>
    </row>
    <row r="265" ht="14.25" customHeight="1">
      <c r="A265" s="11"/>
      <c r="B265" s="11">
        <v>20.0</v>
      </c>
      <c r="C265" s="11" t="s">
        <v>106</v>
      </c>
      <c r="D265" s="11"/>
      <c r="E265" s="11"/>
      <c r="F265" s="11">
        <v>0.0</v>
      </c>
      <c r="G265" s="11" t="s">
        <v>387</v>
      </c>
      <c r="H265" s="11" t="s">
        <v>109</v>
      </c>
      <c r="I265" s="11">
        <v>184.0</v>
      </c>
      <c r="J265" s="11" t="s">
        <v>106</v>
      </c>
      <c r="K265" s="11" t="s">
        <v>885</v>
      </c>
      <c r="L265" s="11">
        <v>28.0</v>
      </c>
      <c r="M265" s="11">
        <v>223.0</v>
      </c>
      <c r="N265" s="11">
        <v>-10.0</v>
      </c>
      <c r="O265" s="11" t="s">
        <v>36</v>
      </c>
      <c r="P265" s="11" t="e">
        <v>#VALUE!</v>
      </c>
      <c r="Q265" s="11" t="s">
        <v>36</v>
      </c>
      <c r="R265" s="11">
        <v>312.0</v>
      </c>
      <c r="S265" s="11">
        <v>166.0</v>
      </c>
      <c r="T265" s="11">
        <v>184.0</v>
      </c>
      <c r="U265" s="11">
        <v>283.0</v>
      </c>
      <c r="V265" s="11">
        <v>233.0</v>
      </c>
      <c r="W265" s="11">
        <v>30.0</v>
      </c>
      <c r="X265" s="11">
        <v>-30.0</v>
      </c>
      <c r="Y265" s="11">
        <v>-28.0</v>
      </c>
      <c r="Z265" s="29">
        <v>52.0</v>
      </c>
    </row>
    <row r="266" ht="14.25" customHeight="1">
      <c r="A266" s="11"/>
      <c r="B266" s="11" t="e">
        <v>#N/A</v>
      </c>
      <c r="C266" s="11" t="s">
        <v>106</v>
      </c>
      <c r="D266" s="11"/>
      <c r="E266" s="11"/>
      <c r="F266" s="11" t="e">
        <v>#N/A</v>
      </c>
      <c r="G266" s="11" t="s">
        <v>965</v>
      </c>
      <c r="H266" s="11" t="e">
        <v>#N/A</v>
      </c>
      <c r="I266" s="11" t="e">
        <v>#N/A</v>
      </c>
      <c r="J266" s="11" t="e">
        <v>#N/A</v>
      </c>
      <c r="K266" s="11" t="e">
        <v>#N/A</v>
      </c>
      <c r="L266" s="11">
        <v>16.0</v>
      </c>
      <c r="M266" s="11" t="e">
        <v>#N/A</v>
      </c>
      <c r="N266" s="11" t="e">
        <v>#N/A</v>
      </c>
      <c r="O266" s="11" t="e">
        <v>#N/A</v>
      </c>
      <c r="P266" s="11" t="e">
        <v>#N/A</v>
      </c>
      <c r="Q266" s="11" t="e">
        <v>#N/A</v>
      </c>
      <c r="R266" s="11" t="e">
        <v>#N/A</v>
      </c>
      <c r="S266" s="11" t="e">
        <v>#N/A</v>
      </c>
      <c r="T266" s="11" t="e">
        <v>#N/A</v>
      </c>
      <c r="U266" s="11" t="e">
        <v>#N/A</v>
      </c>
      <c r="V266" s="11" t="e">
        <v>#N/A</v>
      </c>
      <c r="W266" s="11">
        <v>16.0</v>
      </c>
      <c r="X266" s="11">
        <v>-16.0</v>
      </c>
      <c r="Y266" s="11" t="e">
        <v>#N/A</v>
      </c>
      <c r="Z266" s="29" t="e">
        <v>#N/A</v>
      </c>
    </row>
    <row r="267" ht="14.25" customHeight="1">
      <c r="A267" s="11"/>
      <c r="B267" s="11">
        <v>24.0</v>
      </c>
      <c r="C267" s="11" t="s">
        <v>106</v>
      </c>
      <c r="D267" s="11"/>
      <c r="E267" s="11"/>
      <c r="F267" s="11">
        <v>0.0</v>
      </c>
      <c r="G267" s="11" t="s">
        <v>966</v>
      </c>
      <c r="H267" s="11" t="s">
        <v>165</v>
      </c>
      <c r="I267" s="11">
        <v>198.0</v>
      </c>
      <c r="J267" s="11">
        <v>0.0</v>
      </c>
      <c r="K267" s="11" t="s">
        <v>866</v>
      </c>
      <c r="L267" s="11">
        <v>32.0</v>
      </c>
      <c r="M267" s="11">
        <v>254.0</v>
      </c>
      <c r="N267" s="11">
        <v>-20.0</v>
      </c>
      <c r="O267" s="11" t="s">
        <v>36</v>
      </c>
      <c r="P267" s="11" t="e">
        <v>#VALUE!</v>
      </c>
      <c r="Q267" s="11">
        <v>347.0</v>
      </c>
      <c r="R267" s="11">
        <v>318.0</v>
      </c>
      <c r="S267" s="11">
        <v>204.0</v>
      </c>
      <c r="T267" s="11">
        <v>247.0</v>
      </c>
      <c r="U267" s="11" t="s">
        <v>36</v>
      </c>
      <c r="V267" s="11">
        <v>274.0</v>
      </c>
      <c r="W267" s="11">
        <v>35.0</v>
      </c>
      <c r="X267" s="11">
        <v>-35.0</v>
      </c>
      <c r="Y267" s="11">
        <v>-43.0</v>
      </c>
      <c r="Z267" s="29" t="s">
        <v>866</v>
      </c>
    </row>
    <row r="268" ht="14.25" customHeight="1">
      <c r="A268" s="11"/>
      <c r="B268" s="11" t="e">
        <v>#N/A</v>
      </c>
      <c r="C268" s="11" t="s">
        <v>106</v>
      </c>
      <c r="D268" s="11"/>
      <c r="E268" s="11"/>
      <c r="F268" s="11" t="e">
        <v>#N/A</v>
      </c>
      <c r="G268" s="11" t="s">
        <v>967</v>
      </c>
      <c r="H268" s="11" t="e">
        <v>#N/A</v>
      </c>
      <c r="I268" s="11" t="e">
        <v>#N/A</v>
      </c>
      <c r="J268" s="11" t="e">
        <v>#N/A</v>
      </c>
      <c r="K268" s="11" t="e">
        <v>#N/A</v>
      </c>
      <c r="L268" s="11">
        <v>16.0</v>
      </c>
      <c r="M268" s="11" t="e">
        <v>#N/A</v>
      </c>
      <c r="N268" s="11" t="e">
        <v>#N/A</v>
      </c>
      <c r="O268" s="11" t="e">
        <v>#N/A</v>
      </c>
      <c r="P268" s="11" t="e">
        <v>#N/A</v>
      </c>
      <c r="Q268" s="11" t="e">
        <v>#N/A</v>
      </c>
      <c r="R268" s="11" t="e">
        <v>#N/A</v>
      </c>
      <c r="S268" s="11" t="e">
        <v>#N/A</v>
      </c>
      <c r="T268" s="11" t="e">
        <v>#N/A</v>
      </c>
      <c r="U268" s="11" t="e">
        <v>#N/A</v>
      </c>
      <c r="V268" s="11" t="e">
        <v>#N/A</v>
      </c>
      <c r="W268" s="11">
        <v>16.0</v>
      </c>
      <c r="X268" s="11">
        <v>-16.0</v>
      </c>
      <c r="Y268" s="11" t="e">
        <v>#N/A</v>
      </c>
      <c r="Z268" s="29" t="e">
        <v>#N/A</v>
      </c>
    </row>
    <row r="269" ht="14.25" customHeight="1">
      <c r="A269" s="11"/>
      <c r="B269" s="11" t="e">
        <v>#N/A</v>
      </c>
      <c r="C269" s="11" t="s">
        <v>106</v>
      </c>
      <c r="D269" s="11"/>
      <c r="E269" s="11"/>
      <c r="F269" s="11" t="e">
        <v>#N/A</v>
      </c>
      <c r="G269" s="11" t="s">
        <v>968</v>
      </c>
      <c r="H269" s="11" t="e">
        <v>#N/A</v>
      </c>
      <c r="I269" s="11" t="e">
        <v>#N/A</v>
      </c>
      <c r="J269" s="11" t="e">
        <v>#N/A</v>
      </c>
      <c r="K269" s="11" t="e">
        <v>#N/A</v>
      </c>
      <c r="L269" s="11">
        <v>16.0</v>
      </c>
      <c r="M269" s="11" t="e">
        <v>#N/A</v>
      </c>
      <c r="N269" s="11" t="e">
        <v>#N/A</v>
      </c>
      <c r="O269" s="11" t="e">
        <v>#N/A</v>
      </c>
      <c r="P269" s="11" t="e">
        <v>#N/A</v>
      </c>
      <c r="Q269" s="11" t="e">
        <v>#N/A</v>
      </c>
      <c r="R269" s="11" t="e">
        <v>#N/A</v>
      </c>
      <c r="S269" s="11" t="e">
        <v>#N/A</v>
      </c>
      <c r="T269" s="11" t="e">
        <v>#N/A</v>
      </c>
      <c r="U269" s="11" t="e">
        <v>#N/A</v>
      </c>
      <c r="V269" s="11" t="e">
        <v>#N/A</v>
      </c>
      <c r="W269" s="11">
        <v>16.0</v>
      </c>
      <c r="X269" s="11">
        <v>-16.0</v>
      </c>
      <c r="Y269" s="11" t="e">
        <v>#N/A</v>
      </c>
      <c r="Z269" s="29" t="e">
        <v>#N/A</v>
      </c>
    </row>
    <row r="270" ht="14.25" customHeight="1">
      <c r="A270" s="11"/>
      <c r="B270" s="11" t="e">
        <v>#N/A</v>
      </c>
      <c r="C270" s="11" t="s">
        <v>106</v>
      </c>
      <c r="D270" s="11"/>
      <c r="E270" s="11"/>
      <c r="F270" s="11" t="e">
        <v>#N/A</v>
      </c>
      <c r="G270" s="11" t="s">
        <v>840</v>
      </c>
      <c r="H270" s="11" t="e">
        <v>#N/A</v>
      </c>
      <c r="I270" s="11" t="e">
        <v>#N/A</v>
      </c>
      <c r="J270" s="11" t="e">
        <v>#N/A</v>
      </c>
      <c r="K270" s="11" t="e">
        <v>#N/A</v>
      </c>
      <c r="L270" s="11">
        <v>16.0</v>
      </c>
      <c r="M270" s="11" t="e">
        <v>#N/A</v>
      </c>
      <c r="N270" s="11" t="e">
        <v>#N/A</v>
      </c>
      <c r="O270" s="11" t="e">
        <v>#N/A</v>
      </c>
      <c r="P270" s="11" t="e">
        <v>#N/A</v>
      </c>
      <c r="Q270" s="11" t="e">
        <v>#N/A</v>
      </c>
      <c r="R270" s="11" t="e">
        <v>#N/A</v>
      </c>
      <c r="S270" s="11" t="e">
        <v>#N/A</v>
      </c>
      <c r="T270" s="11" t="e">
        <v>#N/A</v>
      </c>
      <c r="U270" s="11" t="e">
        <v>#N/A</v>
      </c>
      <c r="V270" s="11" t="e">
        <v>#N/A</v>
      </c>
      <c r="W270" s="11">
        <v>16.0</v>
      </c>
      <c r="X270" s="11">
        <v>-16.0</v>
      </c>
      <c r="Y270" s="11" t="e">
        <v>#N/A</v>
      </c>
      <c r="Z270" s="29" t="e">
        <v>#N/A</v>
      </c>
    </row>
    <row r="271" ht="14.25" customHeight="1">
      <c r="A271" s="11"/>
      <c r="B271" s="11">
        <v>22.0</v>
      </c>
      <c r="C271" s="11" t="s">
        <v>106</v>
      </c>
      <c r="D271" s="11"/>
      <c r="E271" s="11"/>
      <c r="F271" s="11">
        <v>0.0</v>
      </c>
      <c r="G271" s="11" t="s">
        <v>969</v>
      </c>
      <c r="H271" s="11" t="s">
        <v>71</v>
      </c>
      <c r="I271" s="11">
        <v>249.0</v>
      </c>
      <c r="J271" s="11">
        <v>0.0</v>
      </c>
      <c r="K271" s="11" t="s">
        <v>866</v>
      </c>
      <c r="L271" s="11">
        <v>28.0</v>
      </c>
      <c r="M271" s="11">
        <v>222.0</v>
      </c>
      <c r="N271" s="11">
        <v>-30.0</v>
      </c>
      <c r="O271" s="11" t="s">
        <v>36</v>
      </c>
      <c r="P271" s="11" t="e">
        <v>#VALUE!</v>
      </c>
      <c r="Q271" s="11" t="s">
        <v>36</v>
      </c>
      <c r="R271" s="11">
        <v>276.0</v>
      </c>
      <c r="S271" s="11">
        <v>256.0</v>
      </c>
      <c r="T271" s="11">
        <v>233.0</v>
      </c>
      <c r="U271" s="11">
        <v>276.0</v>
      </c>
      <c r="V271" s="11">
        <v>252.0</v>
      </c>
      <c r="W271" s="11">
        <v>32.0</v>
      </c>
      <c r="X271" s="11">
        <v>-32.0</v>
      </c>
      <c r="Y271" s="11">
        <v>-37.0</v>
      </c>
      <c r="Z271" s="29" t="s">
        <v>866</v>
      </c>
    </row>
    <row r="272" ht="14.25" customHeight="1">
      <c r="A272" s="11"/>
      <c r="B272" s="11" t="e">
        <v>#N/A</v>
      </c>
      <c r="C272" s="11" t="s">
        <v>106</v>
      </c>
      <c r="D272" s="11"/>
      <c r="E272" s="11"/>
      <c r="F272" s="11">
        <v>0.0</v>
      </c>
      <c r="G272" s="11" t="s">
        <v>970</v>
      </c>
      <c r="H272" s="11" t="e">
        <v>#N/A</v>
      </c>
      <c r="I272" s="11" t="e">
        <v>#N/A</v>
      </c>
      <c r="J272" s="11">
        <v>0.0</v>
      </c>
      <c r="K272" s="11" t="s">
        <v>866</v>
      </c>
      <c r="L272" s="11">
        <v>16.0</v>
      </c>
      <c r="M272" s="11" t="e">
        <v>#N/A</v>
      </c>
      <c r="N272" s="11" t="e">
        <v>#N/A</v>
      </c>
      <c r="O272" s="11" t="e">
        <v>#N/A</v>
      </c>
      <c r="P272" s="11" t="e">
        <v>#N/A</v>
      </c>
      <c r="Q272" s="11" t="e">
        <v>#N/A</v>
      </c>
      <c r="R272" s="11" t="e">
        <v>#N/A</v>
      </c>
      <c r="S272" s="11" t="e">
        <v>#N/A</v>
      </c>
      <c r="T272" s="11" t="e">
        <v>#N/A</v>
      </c>
      <c r="U272" s="11" t="e">
        <v>#N/A</v>
      </c>
      <c r="V272" s="11" t="e">
        <v>#N/A</v>
      </c>
      <c r="W272" s="11">
        <v>16.0</v>
      </c>
      <c r="X272" s="11">
        <v>-16.0</v>
      </c>
      <c r="Y272" s="11" t="e">
        <v>#N/A</v>
      </c>
      <c r="Z272" s="29" t="s">
        <v>866</v>
      </c>
    </row>
    <row r="273" ht="14.25" customHeight="1">
      <c r="A273" s="11"/>
      <c r="B273" s="11" t="e">
        <v>#N/A</v>
      </c>
      <c r="C273" s="11" t="s">
        <v>106</v>
      </c>
      <c r="D273" s="11"/>
      <c r="E273" s="11"/>
      <c r="F273" s="11">
        <v>0.0</v>
      </c>
      <c r="G273" s="11" t="s">
        <v>413</v>
      </c>
      <c r="H273" s="11" t="e">
        <v>#N/A</v>
      </c>
      <c r="I273" s="11">
        <v>244.0</v>
      </c>
      <c r="J273" s="11">
        <v>0.0</v>
      </c>
      <c r="K273" s="11" t="s">
        <v>866</v>
      </c>
      <c r="L273" s="11">
        <v>16.0</v>
      </c>
      <c r="M273" s="11" t="e">
        <v>#N/A</v>
      </c>
      <c r="N273" s="11" t="e">
        <v>#N/A</v>
      </c>
      <c r="O273" s="11" t="e">
        <v>#N/A</v>
      </c>
      <c r="P273" s="11" t="e">
        <v>#N/A</v>
      </c>
      <c r="Q273" s="11" t="e">
        <v>#N/A</v>
      </c>
      <c r="R273" s="11" t="e">
        <v>#N/A</v>
      </c>
      <c r="S273" s="11" t="e">
        <v>#N/A</v>
      </c>
      <c r="T273" s="11" t="e">
        <v>#N/A</v>
      </c>
      <c r="U273" s="11" t="e">
        <v>#N/A</v>
      </c>
      <c r="V273" s="11" t="e">
        <v>#N/A</v>
      </c>
      <c r="W273" s="11">
        <v>16.0</v>
      </c>
      <c r="X273" s="11">
        <v>-16.0</v>
      </c>
      <c r="Y273" s="11" t="e">
        <v>#N/A</v>
      </c>
      <c r="Z273" s="29" t="s">
        <v>866</v>
      </c>
    </row>
    <row r="274" ht="14.25" customHeight="1">
      <c r="A274" s="11"/>
      <c r="B274" s="11" t="e">
        <v>#N/A</v>
      </c>
      <c r="C274" s="11" t="s">
        <v>106</v>
      </c>
      <c r="D274" s="11"/>
      <c r="E274" s="11"/>
      <c r="F274" s="11" t="e">
        <v>#N/A</v>
      </c>
      <c r="G274" s="11" t="s">
        <v>971</v>
      </c>
      <c r="H274" s="11" t="e">
        <v>#N/A</v>
      </c>
      <c r="I274" s="11" t="e">
        <v>#N/A</v>
      </c>
      <c r="J274" s="11" t="e">
        <v>#N/A</v>
      </c>
      <c r="K274" s="11" t="e">
        <v>#N/A</v>
      </c>
      <c r="L274" s="11">
        <v>16.0</v>
      </c>
      <c r="M274" s="11" t="e">
        <v>#N/A</v>
      </c>
      <c r="N274" s="11" t="e">
        <v>#N/A</v>
      </c>
      <c r="O274" s="11" t="e">
        <v>#N/A</v>
      </c>
      <c r="P274" s="11" t="e">
        <v>#N/A</v>
      </c>
      <c r="Q274" s="11" t="e">
        <v>#N/A</v>
      </c>
      <c r="R274" s="11" t="e">
        <v>#N/A</v>
      </c>
      <c r="S274" s="11" t="e">
        <v>#N/A</v>
      </c>
      <c r="T274" s="11" t="e">
        <v>#N/A</v>
      </c>
      <c r="U274" s="11" t="e">
        <v>#N/A</v>
      </c>
      <c r="V274" s="11" t="e">
        <v>#N/A</v>
      </c>
      <c r="W274" s="11">
        <v>16.0</v>
      </c>
      <c r="X274" s="11">
        <v>-16.0</v>
      </c>
      <c r="Y274" s="11" t="e">
        <v>#N/A</v>
      </c>
      <c r="Z274" s="29" t="e">
        <v>#N/A</v>
      </c>
    </row>
    <row r="275" ht="14.25" customHeight="1">
      <c r="A275" s="11"/>
      <c r="B275" s="11" t="e">
        <v>#N/A</v>
      </c>
      <c r="C275" s="11" t="s">
        <v>106</v>
      </c>
      <c r="D275" s="11"/>
      <c r="E275" s="11"/>
      <c r="F275" s="11" t="e">
        <v>#N/A</v>
      </c>
      <c r="G275" s="11" t="s">
        <v>972</v>
      </c>
      <c r="H275" s="11" t="e">
        <v>#N/A</v>
      </c>
      <c r="I275" s="11" t="e">
        <v>#N/A</v>
      </c>
      <c r="J275" s="11" t="e">
        <v>#N/A</v>
      </c>
      <c r="K275" s="11" t="e">
        <v>#N/A</v>
      </c>
      <c r="L275" s="11">
        <v>16.0</v>
      </c>
      <c r="M275" s="11" t="e">
        <v>#N/A</v>
      </c>
      <c r="N275" s="11" t="e">
        <v>#N/A</v>
      </c>
      <c r="O275" s="11" t="e">
        <v>#N/A</v>
      </c>
      <c r="P275" s="11" t="e">
        <v>#N/A</v>
      </c>
      <c r="Q275" s="11" t="e">
        <v>#N/A</v>
      </c>
      <c r="R275" s="11" t="e">
        <v>#N/A</v>
      </c>
      <c r="S275" s="11" t="e">
        <v>#N/A</v>
      </c>
      <c r="T275" s="11" t="e">
        <v>#N/A</v>
      </c>
      <c r="U275" s="11" t="e">
        <v>#N/A</v>
      </c>
      <c r="V275" s="11" t="e">
        <v>#N/A</v>
      </c>
      <c r="W275" s="11">
        <v>16.0</v>
      </c>
      <c r="X275" s="11">
        <v>-16.0</v>
      </c>
      <c r="Y275" s="11" t="e">
        <v>#N/A</v>
      </c>
      <c r="Z275" s="29" t="e">
        <v>#N/A</v>
      </c>
    </row>
    <row r="276" ht="14.25" customHeight="1">
      <c r="A276" s="11"/>
      <c r="B276" s="11" t="e">
        <v>#N/A</v>
      </c>
      <c r="C276" s="11" t="s">
        <v>106</v>
      </c>
      <c r="D276" s="11"/>
      <c r="E276" s="11"/>
      <c r="F276" s="11" t="e">
        <v>#N/A</v>
      </c>
      <c r="G276" s="11" t="s">
        <v>973</v>
      </c>
      <c r="H276" s="11" t="e">
        <v>#N/A</v>
      </c>
      <c r="I276" s="11" t="e">
        <v>#N/A</v>
      </c>
      <c r="J276" s="11" t="e">
        <v>#N/A</v>
      </c>
      <c r="K276" s="11" t="e">
        <v>#N/A</v>
      </c>
      <c r="L276" s="11">
        <v>16.0</v>
      </c>
      <c r="M276" s="11" t="e">
        <v>#N/A</v>
      </c>
      <c r="N276" s="11" t="e">
        <v>#N/A</v>
      </c>
      <c r="O276" s="11" t="e">
        <v>#N/A</v>
      </c>
      <c r="P276" s="11" t="e">
        <v>#N/A</v>
      </c>
      <c r="Q276" s="11" t="e">
        <v>#N/A</v>
      </c>
      <c r="R276" s="11" t="e">
        <v>#N/A</v>
      </c>
      <c r="S276" s="11" t="e">
        <v>#N/A</v>
      </c>
      <c r="T276" s="11" t="e">
        <v>#N/A</v>
      </c>
      <c r="U276" s="11" t="e">
        <v>#N/A</v>
      </c>
      <c r="V276" s="11" t="e">
        <v>#N/A</v>
      </c>
      <c r="W276" s="11">
        <v>16.0</v>
      </c>
      <c r="X276" s="11">
        <v>-16.0</v>
      </c>
      <c r="Y276" s="11" t="e">
        <v>#N/A</v>
      </c>
      <c r="Z276" s="29" t="e">
        <v>#N/A</v>
      </c>
    </row>
    <row r="277" ht="14.25" customHeight="1">
      <c r="A277" s="11"/>
      <c r="B277" s="11">
        <v>21.0</v>
      </c>
      <c r="C277" s="11" t="s">
        <v>106</v>
      </c>
      <c r="D277" s="11"/>
      <c r="E277" s="11"/>
      <c r="F277" s="11">
        <v>0.0</v>
      </c>
      <c r="G277" s="11" t="s">
        <v>974</v>
      </c>
      <c r="H277" s="11" t="s">
        <v>102</v>
      </c>
      <c r="I277" s="11">
        <v>279.0</v>
      </c>
      <c r="J277" s="11">
        <v>0.0</v>
      </c>
      <c r="K277" s="11" t="s">
        <v>866</v>
      </c>
      <c r="L277" s="11">
        <v>35.0</v>
      </c>
      <c r="M277" s="11">
        <v>276.0</v>
      </c>
      <c r="N277" s="11">
        <v>24.0</v>
      </c>
      <c r="O277" s="11" t="s">
        <v>36</v>
      </c>
      <c r="P277" s="11" t="e">
        <v>#VALUE!</v>
      </c>
      <c r="Q277" s="11">
        <v>233.0</v>
      </c>
      <c r="R277" s="11" t="s">
        <v>36</v>
      </c>
      <c r="S277" s="11">
        <v>249.0</v>
      </c>
      <c r="T277" s="11">
        <v>263.0</v>
      </c>
      <c r="U277" s="11">
        <v>240.0</v>
      </c>
      <c r="V277" s="11">
        <v>252.0</v>
      </c>
      <c r="W277" s="11">
        <v>32.0</v>
      </c>
      <c r="X277" s="11">
        <v>-32.0</v>
      </c>
      <c r="Y277" s="11" t="e">
        <v>#VALUE!</v>
      </c>
      <c r="Z277" s="29" t="s">
        <v>866</v>
      </c>
    </row>
    <row r="278" ht="14.25" customHeight="1">
      <c r="A278" s="11"/>
      <c r="B278" s="11" t="e">
        <v>#N/A</v>
      </c>
      <c r="C278" s="11" t="s">
        <v>106</v>
      </c>
      <c r="D278" s="11"/>
      <c r="E278" s="11"/>
      <c r="F278" s="11" t="e">
        <v>#N/A</v>
      </c>
      <c r="G278" s="11" t="s">
        <v>975</v>
      </c>
      <c r="H278" s="11" t="e">
        <v>#N/A</v>
      </c>
      <c r="I278" s="11" t="e">
        <v>#N/A</v>
      </c>
      <c r="J278" s="11" t="e">
        <v>#N/A</v>
      </c>
      <c r="K278" s="11" t="e">
        <v>#N/A</v>
      </c>
      <c r="L278" s="11">
        <v>16.0</v>
      </c>
      <c r="M278" s="11" t="e">
        <v>#N/A</v>
      </c>
      <c r="N278" s="11" t="e">
        <v>#N/A</v>
      </c>
      <c r="O278" s="11" t="e">
        <v>#N/A</v>
      </c>
      <c r="P278" s="11" t="e">
        <v>#N/A</v>
      </c>
      <c r="Q278" s="11" t="e">
        <v>#N/A</v>
      </c>
      <c r="R278" s="11" t="e">
        <v>#N/A</v>
      </c>
      <c r="S278" s="11" t="e">
        <v>#N/A</v>
      </c>
      <c r="T278" s="11" t="e">
        <v>#N/A</v>
      </c>
      <c r="U278" s="11" t="e">
        <v>#N/A</v>
      </c>
      <c r="V278" s="11" t="e">
        <v>#N/A</v>
      </c>
      <c r="W278" s="11">
        <v>16.0</v>
      </c>
      <c r="X278" s="11">
        <v>-16.0</v>
      </c>
      <c r="Y278" s="11" t="e">
        <v>#N/A</v>
      </c>
      <c r="Z278" s="29" t="e">
        <v>#N/A</v>
      </c>
    </row>
    <row r="279" ht="14.25" customHeight="1">
      <c r="A279" s="11"/>
      <c r="B279" s="11" t="e">
        <v>#N/A</v>
      </c>
      <c r="C279" s="11" t="s">
        <v>106</v>
      </c>
      <c r="D279" s="11"/>
      <c r="E279" s="11"/>
      <c r="F279" s="11" t="e">
        <v>#N/A</v>
      </c>
      <c r="G279" s="11" t="s">
        <v>976</v>
      </c>
      <c r="H279" s="11" t="e">
        <v>#N/A</v>
      </c>
      <c r="I279" s="11" t="e">
        <v>#N/A</v>
      </c>
      <c r="J279" s="11" t="e">
        <v>#N/A</v>
      </c>
      <c r="K279" s="11" t="e">
        <v>#N/A</v>
      </c>
      <c r="L279" s="11">
        <v>16.0</v>
      </c>
      <c r="M279" s="11" t="e">
        <v>#N/A</v>
      </c>
      <c r="N279" s="11" t="e">
        <v>#N/A</v>
      </c>
      <c r="O279" s="11" t="e">
        <v>#N/A</v>
      </c>
      <c r="P279" s="11" t="e">
        <v>#N/A</v>
      </c>
      <c r="Q279" s="11" t="e">
        <v>#N/A</v>
      </c>
      <c r="R279" s="11" t="e">
        <v>#N/A</v>
      </c>
      <c r="S279" s="11" t="e">
        <v>#N/A</v>
      </c>
      <c r="T279" s="11" t="e">
        <v>#N/A</v>
      </c>
      <c r="U279" s="11" t="e">
        <v>#N/A</v>
      </c>
      <c r="V279" s="11" t="e">
        <v>#N/A</v>
      </c>
      <c r="W279" s="11">
        <v>16.0</v>
      </c>
      <c r="X279" s="11">
        <v>-16.0</v>
      </c>
      <c r="Y279" s="11" t="e">
        <v>#N/A</v>
      </c>
      <c r="Z279" s="29" t="e">
        <v>#N/A</v>
      </c>
    </row>
    <row r="280" ht="14.25" customHeight="1">
      <c r="A280" s="11"/>
      <c r="B280" s="11">
        <v>16.0</v>
      </c>
      <c r="C280" s="11" t="s">
        <v>106</v>
      </c>
      <c r="D280" s="11"/>
      <c r="E280" s="11"/>
      <c r="F280" s="11">
        <v>0.0</v>
      </c>
      <c r="G280" s="11" t="s">
        <v>682</v>
      </c>
      <c r="H280" s="11" t="s">
        <v>40</v>
      </c>
      <c r="I280" s="11">
        <v>143.0</v>
      </c>
      <c r="J280" s="11">
        <v>0.0</v>
      </c>
      <c r="K280" s="11" t="s">
        <v>878</v>
      </c>
      <c r="L280" s="11">
        <v>24.0</v>
      </c>
      <c r="M280" s="11">
        <v>189.0</v>
      </c>
      <c r="N280" s="11">
        <v>4.0</v>
      </c>
      <c r="O280" s="11">
        <v>177.0</v>
      </c>
      <c r="P280" s="11">
        <v>12.0</v>
      </c>
      <c r="Q280" s="11">
        <v>181.0</v>
      </c>
      <c r="R280" s="11">
        <v>236.0</v>
      </c>
      <c r="S280" s="11">
        <v>164.0</v>
      </c>
      <c r="T280" s="11">
        <v>159.0</v>
      </c>
      <c r="U280" s="11">
        <v>189.0</v>
      </c>
      <c r="V280" s="11">
        <v>185.0</v>
      </c>
      <c r="W280" s="11">
        <v>24.0</v>
      </c>
      <c r="X280" s="11">
        <v>-24.0</v>
      </c>
      <c r="Y280" s="11">
        <v>-43.0</v>
      </c>
      <c r="Z280" s="29">
        <v>24.0</v>
      </c>
    </row>
    <row r="281" ht="14.25" customHeight="1">
      <c r="A281" s="11"/>
      <c r="B281" s="11">
        <v>9.0</v>
      </c>
      <c r="C281" s="11" t="s">
        <v>106</v>
      </c>
      <c r="D281" s="11"/>
      <c r="E281" s="11"/>
      <c r="F281" s="11">
        <v>0.0</v>
      </c>
      <c r="G281" s="11" t="s">
        <v>468</v>
      </c>
      <c r="H281" s="11" t="s">
        <v>58</v>
      </c>
      <c r="I281" s="11">
        <v>84.0</v>
      </c>
      <c r="J281" s="11">
        <v>0.0</v>
      </c>
      <c r="K281" s="11" t="s">
        <v>855</v>
      </c>
      <c r="L281" s="11">
        <v>13.0</v>
      </c>
      <c r="M281" s="11">
        <v>102.0</v>
      </c>
      <c r="N281" s="11">
        <v>-3.0</v>
      </c>
      <c r="O281" s="11">
        <v>119.0</v>
      </c>
      <c r="P281" s="11">
        <v>-17.0</v>
      </c>
      <c r="Q281" s="11">
        <v>115.0</v>
      </c>
      <c r="R281" s="11">
        <v>110.0</v>
      </c>
      <c r="S281" s="11">
        <v>98.0</v>
      </c>
      <c r="T281" s="11">
        <v>85.0</v>
      </c>
      <c r="U281" s="11">
        <v>111.0</v>
      </c>
      <c r="V281" s="11">
        <v>105.0</v>
      </c>
      <c r="W281" s="11">
        <v>14.0</v>
      </c>
      <c r="X281" s="11">
        <v>-14.0</v>
      </c>
      <c r="Y281" s="11">
        <v>-12.0</v>
      </c>
      <c r="Z281" s="29">
        <v>40.0</v>
      </c>
    </row>
    <row r="282" ht="14.25" customHeight="1">
      <c r="A282" s="11"/>
      <c r="B282" s="11" t="e">
        <v>#N/A</v>
      </c>
      <c r="C282" s="11" t="s">
        <v>106</v>
      </c>
      <c r="D282" s="11"/>
      <c r="E282" s="11"/>
      <c r="F282" s="11" t="e">
        <v>#N/A</v>
      </c>
      <c r="G282" s="11" t="s">
        <v>977</v>
      </c>
      <c r="H282" s="11" t="e">
        <v>#N/A</v>
      </c>
      <c r="I282" s="11" t="e">
        <v>#N/A</v>
      </c>
      <c r="J282" s="11" t="e">
        <v>#N/A</v>
      </c>
      <c r="K282" s="11" t="e">
        <v>#N/A</v>
      </c>
      <c r="L282" s="11">
        <v>16.0</v>
      </c>
      <c r="M282" s="11" t="e">
        <v>#N/A</v>
      </c>
      <c r="N282" s="11" t="e">
        <v>#N/A</v>
      </c>
      <c r="O282" s="11" t="e">
        <v>#N/A</v>
      </c>
      <c r="P282" s="11" t="e">
        <v>#N/A</v>
      </c>
      <c r="Q282" s="11" t="e">
        <v>#N/A</v>
      </c>
      <c r="R282" s="11" t="e">
        <v>#N/A</v>
      </c>
      <c r="S282" s="11" t="e">
        <v>#N/A</v>
      </c>
      <c r="T282" s="11" t="e">
        <v>#N/A</v>
      </c>
      <c r="U282" s="11" t="e">
        <v>#N/A</v>
      </c>
      <c r="V282" s="11" t="e">
        <v>#N/A</v>
      </c>
      <c r="W282" s="11">
        <v>16.0</v>
      </c>
      <c r="X282" s="11">
        <v>-16.0</v>
      </c>
      <c r="Y282" s="11" t="e">
        <v>#N/A</v>
      </c>
      <c r="Z282" s="29" t="e">
        <v>#N/A</v>
      </c>
    </row>
    <row r="283" ht="14.25" customHeight="1">
      <c r="A283" s="11"/>
      <c r="B283" s="11" t="e">
        <v>#N/A</v>
      </c>
      <c r="C283" s="11" t="s">
        <v>106</v>
      </c>
      <c r="D283" s="11"/>
      <c r="E283" s="11"/>
      <c r="F283" s="11" t="e">
        <v>#N/A</v>
      </c>
      <c r="G283" s="11" t="s">
        <v>978</v>
      </c>
      <c r="H283" s="11" t="e">
        <v>#N/A</v>
      </c>
      <c r="I283" s="11" t="e">
        <v>#N/A</v>
      </c>
      <c r="J283" s="11" t="e">
        <v>#N/A</v>
      </c>
      <c r="K283" s="11" t="e">
        <v>#N/A</v>
      </c>
      <c r="L283" s="11">
        <v>16.0</v>
      </c>
      <c r="M283" s="11" t="e">
        <v>#N/A</v>
      </c>
      <c r="N283" s="11" t="e">
        <v>#N/A</v>
      </c>
      <c r="O283" s="11" t="e">
        <v>#N/A</v>
      </c>
      <c r="P283" s="11" t="e">
        <v>#N/A</v>
      </c>
      <c r="Q283" s="11" t="e">
        <v>#N/A</v>
      </c>
      <c r="R283" s="11" t="e">
        <v>#N/A</v>
      </c>
      <c r="S283" s="11" t="e">
        <v>#N/A</v>
      </c>
      <c r="T283" s="11" t="e">
        <v>#N/A</v>
      </c>
      <c r="U283" s="11" t="e">
        <v>#N/A</v>
      </c>
      <c r="V283" s="11" t="e">
        <v>#N/A</v>
      </c>
      <c r="W283" s="11">
        <v>16.0</v>
      </c>
      <c r="X283" s="11">
        <v>-16.0</v>
      </c>
      <c r="Y283" s="11" t="e">
        <v>#N/A</v>
      </c>
      <c r="Z283" s="29" t="e">
        <v>#N/A</v>
      </c>
    </row>
    <row r="284" ht="14.25" customHeight="1">
      <c r="A284" s="11"/>
      <c r="B284" s="11" t="e">
        <v>#N/A</v>
      </c>
      <c r="C284" s="11" t="s">
        <v>106</v>
      </c>
      <c r="D284" s="11"/>
      <c r="E284" s="11"/>
      <c r="F284" s="11" t="e">
        <v>#N/A</v>
      </c>
      <c r="G284" s="11" t="s">
        <v>828</v>
      </c>
      <c r="H284" s="11" t="e">
        <v>#N/A</v>
      </c>
      <c r="I284" s="11" t="e">
        <v>#N/A</v>
      </c>
      <c r="J284" s="11" t="e">
        <v>#N/A</v>
      </c>
      <c r="K284" s="11" t="e">
        <v>#N/A</v>
      </c>
      <c r="L284" s="11">
        <v>16.0</v>
      </c>
      <c r="M284" s="11" t="e">
        <v>#N/A</v>
      </c>
      <c r="N284" s="11" t="e">
        <v>#N/A</v>
      </c>
      <c r="O284" s="11" t="e">
        <v>#N/A</v>
      </c>
      <c r="P284" s="11" t="e">
        <v>#N/A</v>
      </c>
      <c r="Q284" s="11" t="e">
        <v>#N/A</v>
      </c>
      <c r="R284" s="11" t="e">
        <v>#N/A</v>
      </c>
      <c r="S284" s="11" t="e">
        <v>#N/A</v>
      </c>
      <c r="T284" s="11" t="e">
        <v>#N/A</v>
      </c>
      <c r="U284" s="11" t="e">
        <v>#N/A</v>
      </c>
      <c r="V284" s="11" t="e">
        <v>#N/A</v>
      </c>
      <c r="W284" s="11">
        <v>16.0</v>
      </c>
      <c r="X284" s="11">
        <v>-16.0</v>
      </c>
      <c r="Y284" s="11" t="e">
        <v>#N/A</v>
      </c>
      <c r="Z284" s="29" t="e">
        <v>#N/A</v>
      </c>
    </row>
    <row r="285" ht="14.25" customHeight="1">
      <c r="A285" s="11"/>
      <c r="B285" s="11" t="e">
        <v>#N/A</v>
      </c>
      <c r="C285" s="11" t="s">
        <v>106</v>
      </c>
      <c r="D285" s="11"/>
      <c r="E285" s="11"/>
      <c r="F285" s="11" t="e">
        <v>#N/A</v>
      </c>
      <c r="G285" s="11" t="s">
        <v>979</v>
      </c>
      <c r="H285" s="11" t="e">
        <v>#N/A</v>
      </c>
      <c r="I285" s="11" t="e">
        <v>#N/A</v>
      </c>
      <c r="J285" s="11" t="e">
        <v>#N/A</v>
      </c>
      <c r="K285" s="11" t="e">
        <v>#N/A</v>
      </c>
      <c r="L285" s="11">
        <v>16.0</v>
      </c>
      <c r="M285" s="11" t="e">
        <v>#N/A</v>
      </c>
      <c r="N285" s="11" t="e">
        <v>#N/A</v>
      </c>
      <c r="O285" s="11" t="e">
        <v>#N/A</v>
      </c>
      <c r="P285" s="11" t="e">
        <v>#N/A</v>
      </c>
      <c r="Q285" s="11"/>
      <c r="R285" s="11"/>
      <c r="S285" s="11"/>
      <c r="T285" s="11"/>
      <c r="U285" s="11"/>
      <c r="V285" s="11" t="e">
        <v>#N/A</v>
      </c>
      <c r="W285" s="11">
        <v>16.0</v>
      </c>
      <c r="X285" s="11">
        <v>-16.0</v>
      </c>
      <c r="Y285" s="11" t="e">
        <v>#N/A</v>
      </c>
      <c r="Z285" s="29" t="e">
        <v>#N/A</v>
      </c>
    </row>
    <row r="286" ht="14.25" customHeight="1">
      <c r="A286" s="11"/>
      <c r="B286" s="11">
        <v>13.0</v>
      </c>
      <c r="C286" s="11" t="s">
        <v>106</v>
      </c>
      <c r="D286" s="11"/>
      <c r="E286" s="11"/>
      <c r="F286" s="11">
        <v>0.0</v>
      </c>
      <c r="G286" s="11" t="s">
        <v>810</v>
      </c>
      <c r="H286" s="11" t="s">
        <v>75</v>
      </c>
      <c r="I286" s="11">
        <v>125.0</v>
      </c>
      <c r="J286" s="11">
        <v>0.0</v>
      </c>
      <c r="K286" s="11" t="s">
        <v>980</v>
      </c>
      <c r="L286" s="11">
        <v>19.0</v>
      </c>
      <c r="M286" s="11">
        <v>146.0</v>
      </c>
      <c r="N286" s="11">
        <v>1.0</v>
      </c>
      <c r="O286" s="11">
        <v>152.0</v>
      </c>
      <c r="P286" s="11">
        <v>-6.0</v>
      </c>
      <c r="Q286" s="11">
        <v>138.0</v>
      </c>
      <c r="R286" s="11">
        <v>157.0</v>
      </c>
      <c r="S286" s="11">
        <v>139.0</v>
      </c>
      <c r="T286" s="11">
        <v>135.0</v>
      </c>
      <c r="U286" s="11">
        <v>154.0</v>
      </c>
      <c r="V286" s="11">
        <v>145.0</v>
      </c>
      <c r="W286" s="11">
        <v>19.0</v>
      </c>
      <c r="X286" s="11">
        <v>-19.0</v>
      </c>
      <c r="Y286" s="11">
        <v>-20.0</v>
      </c>
      <c r="Z286" s="29">
        <v>23.0</v>
      </c>
    </row>
    <row r="287" ht="14.25" customHeight="1">
      <c r="A287" s="11"/>
      <c r="B287" s="11" t="e">
        <v>#N/A</v>
      </c>
      <c r="C287" s="11" t="s">
        <v>106</v>
      </c>
      <c r="D287" s="11"/>
      <c r="E287" s="11"/>
      <c r="F287" s="11" t="e">
        <v>#N/A</v>
      </c>
      <c r="G287" s="11" t="s">
        <v>714</v>
      </c>
      <c r="H287" s="11" t="e">
        <v>#N/A</v>
      </c>
      <c r="I287" s="11" t="e">
        <v>#N/A</v>
      </c>
      <c r="J287" s="11" t="e">
        <v>#N/A</v>
      </c>
      <c r="K287" s="11" t="e">
        <v>#N/A</v>
      </c>
      <c r="L287" s="11">
        <v>16.0</v>
      </c>
      <c r="M287" s="11" t="e">
        <v>#N/A</v>
      </c>
      <c r="N287" s="11" t="e">
        <v>#N/A</v>
      </c>
      <c r="O287" s="11" t="e">
        <v>#N/A</v>
      </c>
      <c r="P287" s="11" t="e">
        <v>#N/A</v>
      </c>
      <c r="Q287" s="11" t="e">
        <v>#N/A</v>
      </c>
      <c r="R287" s="11" t="e">
        <v>#N/A</v>
      </c>
      <c r="S287" s="11" t="e">
        <v>#N/A</v>
      </c>
      <c r="T287" s="11" t="e">
        <v>#N/A</v>
      </c>
      <c r="U287" s="11" t="e">
        <v>#N/A</v>
      </c>
      <c r="V287" s="11" t="e">
        <v>#N/A</v>
      </c>
      <c r="W287" s="11">
        <v>16.0</v>
      </c>
      <c r="X287" s="11">
        <v>-16.0</v>
      </c>
      <c r="Y287" s="11" t="e">
        <v>#N/A</v>
      </c>
      <c r="Z287" s="29" t="e">
        <v>#N/A</v>
      </c>
    </row>
    <row r="288" ht="14.25" customHeight="1">
      <c r="A288" s="11"/>
      <c r="B288" s="11" t="e">
        <v>#N/A</v>
      </c>
      <c r="C288" s="11" t="s">
        <v>106</v>
      </c>
      <c r="D288" s="11"/>
      <c r="E288" s="11"/>
      <c r="F288" s="11" t="e">
        <v>#N/A</v>
      </c>
      <c r="G288" s="11" t="s">
        <v>981</v>
      </c>
      <c r="H288" s="11" t="e">
        <v>#N/A</v>
      </c>
      <c r="I288" s="11" t="e">
        <v>#N/A</v>
      </c>
      <c r="J288" s="11" t="e">
        <v>#N/A</v>
      </c>
      <c r="K288" s="11" t="e">
        <v>#N/A</v>
      </c>
      <c r="L288" s="11">
        <v>16.0</v>
      </c>
      <c r="M288" s="11" t="e">
        <v>#N/A</v>
      </c>
      <c r="N288" s="11" t="e">
        <v>#N/A</v>
      </c>
      <c r="O288" s="11" t="e">
        <v>#N/A</v>
      </c>
      <c r="P288" s="11" t="e">
        <v>#N/A</v>
      </c>
      <c r="Q288" s="11" t="e">
        <v>#N/A</v>
      </c>
      <c r="R288" s="11" t="e">
        <v>#N/A</v>
      </c>
      <c r="S288" s="11" t="e">
        <v>#N/A</v>
      </c>
      <c r="T288" s="11" t="e">
        <v>#N/A</v>
      </c>
      <c r="U288" s="11" t="e">
        <v>#N/A</v>
      </c>
      <c r="V288" s="11" t="e">
        <v>#N/A</v>
      </c>
      <c r="W288" s="11">
        <v>16.0</v>
      </c>
      <c r="X288" s="11">
        <v>-16.0</v>
      </c>
      <c r="Y288" s="11" t="e">
        <v>#N/A</v>
      </c>
      <c r="Z288" s="29" t="e">
        <v>#N/A</v>
      </c>
    </row>
    <row r="289" ht="14.25" customHeight="1">
      <c r="A289" s="11"/>
      <c r="B289" s="11" t="e">
        <v>#N/A</v>
      </c>
      <c r="C289" s="11" t="s">
        <v>106</v>
      </c>
      <c r="D289" s="11"/>
      <c r="E289" s="11"/>
      <c r="F289" s="11" t="e">
        <v>#N/A</v>
      </c>
      <c r="G289" s="11" t="s">
        <v>982</v>
      </c>
      <c r="H289" s="11" t="e">
        <v>#N/A</v>
      </c>
      <c r="I289" s="11" t="e">
        <v>#N/A</v>
      </c>
      <c r="J289" s="11" t="e">
        <v>#N/A</v>
      </c>
      <c r="K289" s="11" t="e">
        <v>#N/A</v>
      </c>
      <c r="L289" s="11">
        <v>16.0</v>
      </c>
      <c r="M289" s="11" t="e">
        <v>#N/A</v>
      </c>
      <c r="N289" s="11" t="e">
        <v>#N/A</v>
      </c>
      <c r="O289" s="11" t="e">
        <v>#N/A</v>
      </c>
      <c r="P289" s="11" t="e">
        <v>#N/A</v>
      </c>
      <c r="Q289" s="11" t="e">
        <v>#N/A</v>
      </c>
      <c r="R289" s="11" t="e">
        <v>#N/A</v>
      </c>
      <c r="S289" s="11" t="e">
        <v>#N/A</v>
      </c>
      <c r="T289" s="11" t="e">
        <v>#N/A</v>
      </c>
      <c r="U289" s="11" t="e">
        <v>#N/A</v>
      </c>
      <c r="V289" s="11" t="e">
        <v>#N/A</v>
      </c>
      <c r="W289" s="11">
        <v>16.0</v>
      </c>
      <c r="X289" s="11">
        <v>-16.0</v>
      </c>
      <c r="Y289" s="11" t="e">
        <v>#N/A</v>
      </c>
      <c r="Z289" s="29" t="e">
        <v>#N/A</v>
      </c>
    </row>
    <row r="290" ht="14.25" customHeight="1">
      <c r="A290" s="11"/>
      <c r="B290" s="11">
        <v>12.0</v>
      </c>
      <c r="C290" s="11" t="s">
        <v>106</v>
      </c>
      <c r="D290" s="11"/>
      <c r="E290" s="11"/>
      <c r="F290" s="11">
        <v>0.0</v>
      </c>
      <c r="G290" s="11" t="s">
        <v>586</v>
      </c>
      <c r="H290" s="11" t="s">
        <v>105</v>
      </c>
      <c r="I290" s="11" t="s">
        <v>36</v>
      </c>
      <c r="J290" s="11">
        <v>0.0</v>
      </c>
      <c r="K290" s="11" t="s">
        <v>866</v>
      </c>
      <c r="L290" s="11">
        <v>17.0</v>
      </c>
      <c r="M290" s="11">
        <v>132.0</v>
      </c>
      <c r="N290" s="11">
        <v>-12.0</v>
      </c>
      <c r="O290" s="11">
        <v>157.0</v>
      </c>
      <c r="P290" s="11">
        <v>-25.0</v>
      </c>
      <c r="Q290" s="11"/>
      <c r="R290" s="11"/>
      <c r="S290" s="11"/>
      <c r="T290" s="11"/>
      <c r="U290" s="11"/>
      <c r="V290" s="11">
        <v>144.0</v>
      </c>
      <c r="W290" s="11">
        <v>19.0</v>
      </c>
      <c r="X290" s="11">
        <v>-19.0</v>
      </c>
      <c r="Y290" s="11">
        <v>49.0</v>
      </c>
      <c r="Z290" s="29" t="s">
        <v>866</v>
      </c>
    </row>
    <row r="291" ht="14.25" customHeight="1">
      <c r="A291" s="11"/>
      <c r="B291" s="11" t="e">
        <v>#N/A</v>
      </c>
      <c r="C291" s="11" t="s">
        <v>106</v>
      </c>
      <c r="D291" s="11"/>
      <c r="E291" s="11"/>
      <c r="F291" s="11" t="e">
        <v>#N/A</v>
      </c>
      <c r="G291" s="11" t="s">
        <v>983</v>
      </c>
      <c r="H291" s="11" t="e">
        <v>#N/A</v>
      </c>
      <c r="I291" s="11" t="e">
        <v>#N/A</v>
      </c>
      <c r="J291" s="11" t="e">
        <v>#N/A</v>
      </c>
      <c r="K291" s="11" t="e">
        <v>#N/A</v>
      </c>
      <c r="L291" s="11">
        <v>16.0</v>
      </c>
      <c r="M291" s="11" t="e">
        <v>#N/A</v>
      </c>
      <c r="N291" s="11" t="e">
        <v>#N/A</v>
      </c>
      <c r="O291" s="11" t="e">
        <v>#N/A</v>
      </c>
      <c r="P291" s="11" t="e">
        <v>#N/A</v>
      </c>
      <c r="Q291" s="11"/>
      <c r="R291" s="11"/>
      <c r="S291" s="11"/>
      <c r="T291" s="11"/>
      <c r="U291" s="11"/>
      <c r="V291" s="11" t="e">
        <v>#N/A</v>
      </c>
      <c r="W291" s="11">
        <v>16.0</v>
      </c>
      <c r="X291" s="11">
        <v>-16.0</v>
      </c>
      <c r="Y291" s="11" t="e">
        <v>#N/A</v>
      </c>
      <c r="Z291" s="29" t="e">
        <v>#N/A</v>
      </c>
    </row>
    <row r="292" ht="14.25" customHeight="1">
      <c r="A292" s="11"/>
      <c r="B292" s="11">
        <v>22.0</v>
      </c>
      <c r="C292" s="11" t="s">
        <v>106</v>
      </c>
      <c r="D292" s="11"/>
      <c r="E292" s="11"/>
      <c r="F292" s="11" t="e">
        <v>#N/A</v>
      </c>
      <c r="G292" s="11" t="s">
        <v>984</v>
      </c>
      <c r="H292" s="11" t="s">
        <v>192</v>
      </c>
      <c r="I292" s="11" t="s">
        <v>36</v>
      </c>
      <c r="J292" s="11" t="e">
        <v>#N/A</v>
      </c>
      <c r="K292" s="11" t="e">
        <v>#N/A</v>
      </c>
      <c r="L292" s="11">
        <v>33.0</v>
      </c>
      <c r="M292" s="11">
        <v>257.0</v>
      </c>
      <c r="N292" s="11">
        <v>52.0</v>
      </c>
      <c r="O292" s="11">
        <v>153.0</v>
      </c>
      <c r="P292" s="11">
        <v>104.0</v>
      </c>
      <c r="Q292" s="11"/>
      <c r="R292" s="11"/>
      <c r="S292" s="11"/>
      <c r="T292" s="11"/>
      <c r="U292" s="11"/>
      <c r="V292" s="11">
        <v>205.0</v>
      </c>
      <c r="W292" s="11">
        <v>26.0</v>
      </c>
      <c r="X292" s="11">
        <v>-26.0</v>
      </c>
      <c r="Y292" s="11" t="e">
        <v>#N/A</v>
      </c>
      <c r="Z292" s="29" t="e">
        <v>#N/A</v>
      </c>
    </row>
    <row r="293" ht="14.25" customHeight="1">
      <c r="A293" s="11"/>
      <c r="B293" s="11" t="e">
        <v>#N/A</v>
      </c>
      <c r="C293" s="11" t="s">
        <v>106</v>
      </c>
      <c r="D293" s="11"/>
      <c r="E293" s="11"/>
      <c r="F293" s="11" t="e">
        <v>#N/A</v>
      </c>
      <c r="G293" s="11" t="s">
        <v>582</v>
      </c>
      <c r="H293" s="11" t="e">
        <v>#N/A</v>
      </c>
      <c r="I293" s="11" t="e">
        <v>#N/A</v>
      </c>
      <c r="J293" s="11" t="e">
        <v>#N/A</v>
      </c>
      <c r="K293" s="11" t="e">
        <v>#N/A</v>
      </c>
      <c r="L293" s="11">
        <v>16.0</v>
      </c>
      <c r="M293" s="11" t="e">
        <v>#N/A</v>
      </c>
      <c r="N293" s="11" t="e">
        <v>#N/A</v>
      </c>
      <c r="O293" s="11" t="e">
        <v>#N/A</v>
      </c>
      <c r="P293" s="11" t="e">
        <v>#N/A</v>
      </c>
      <c r="Q293" s="11"/>
      <c r="R293" s="11"/>
      <c r="S293" s="11"/>
      <c r="T293" s="11"/>
      <c r="U293" s="11"/>
      <c r="V293" s="11" t="e">
        <v>#N/A</v>
      </c>
      <c r="W293" s="11">
        <v>16.0</v>
      </c>
      <c r="X293" s="11">
        <v>-16.0</v>
      </c>
      <c r="Y293" s="11" t="e">
        <v>#N/A</v>
      </c>
      <c r="Z293" s="29" t="e">
        <v>#N/A</v>
      </c>
    </row>
    <row r="294" ht="14.25" customHeight="1">
      <c r="A294" s="11"/>
      <c r="B294" s="11" t="e">
        <v>#N/A</v>
      </c>
      <c r="C294" s="11" t="s">
        <v>106</v>
      </c>
      <c r="D294" s="11"/>
      <c r="E294" s="11"/>
      <c r="F294" s="11" t="e">
        <v>#N/A</v>
      </c>
      <c r="G294" s="11" t="s">
        <v>985</v>
      </c>
      <c r="H294" s="11" t="e">
        <v>#N/A</v>
      </c>
      <c r="I294" s="11" t="e">
        <v>#N/A</v>
      </c>
      <c r="J294" s="11" t="e">
        <v>#N/A</v>
      </c>
      <c r="K294" s="11" t="e">
        <v>#N/A</v>
      </c>
      <c r="L294" s="11">
        <v>16.0</v>
      </c>
      <c r="M294" s="11" t="e">
        <v>#N/A</v>
      </c>
      <c r="N294" s="11" t="e">
        <v>#N/A</v>
      </c>
      <c r="O294" s="11" t="e">
        <v>#N/A</v>
      </c>
      <c r="P294" s="11" t="e">
        <v>#N/A</v>
      </c>
      <c r="Q294" s="11"/>
      <c r="R294" s="11"/>
      <c r="S294" s="11"/>
      <c r="T294" s="11"/>
      <c r="U294" s="11"/>
      <c r="V294" s="11" t="e">
        <v>#N/A</v>
      </c>
      <c r="W294" s="11">
        <v>16.0</v>
      </c>
      <c r="X294" s="11">
        <v>-16.0</v>
      </c>
      <c r="Y294" s="11" t="e">
        <v>#N/A</v>
      </c>
      <c r="Z294" s="29" t="e">
        <v>#N/A</v>
      </c>
    </row>
    <row r="295" ht="14.25" customHeight="1">
      <c r="A295" s="11"/>
      <c r="B295" s="11" t="e">
        <v>#N/A</v>
      </c>
      <c r="C295" s="11" t="s">
        <v>106</v>
      </c>
      <c r="D295" s="11"/>
      <c r="E295" s="11"/>
      <c r="F295" s="11" t="e">
        <v>#N/A</v>
      </c>
      <c r="G295" s="11" t="s">
        <v>986</v>
      </c>
      <c r="H295" s="11" t="e">
        <v>#N/A</v>
      </c>
      <c r="I295" s="11" t="e">
        <v>#N/A</v>
      </c>
      <c r="J295" s="11" t="e">
        <v>#N/A</v>
      </c>
      <c r="K295" s="11" t="e">
        <v>#N/A</v>
      </c>
      <c r="L295" s="11">
        <v>16.0</v>
      </c>
      <c r="M295" s="11" t="e">
        <v>#N/A</v>
      </c>
      <c r="N295" s="11" t="e">
        <v>#N/A</v>
      </c>
      <c r="O295" s="11" t="e">
        <v>#N/A</v>
      </c>
      <c r="P295" s="11" t="e">
        <v>#N/A</v>
      </c>
      <c r="Q295" s="11" t="e">
        <v>#N/A</v>
      </c>
      <c r="R295" s="11" t="e">
        <v>#N/A</v>
      </c>
      <c r="S295" s="11" t="e">
        <v>#N/A</v>
      </c>
      <c r="T295" s="11" t="e">
        <v>#N/A</v>
      </c>
      <c r="U295" s="11" t="e">
        <v>#N/A</v>
      </c>
      <c r="V295" s="11" t="e">
        <v>#N/A</v>
      </c>
      <c r="W295" s="11">
        <v>16.0</v>
      </c>
      <c r="X295" s="11">
        <v>-16.0</v>
      </c>
      <c r="Y295" s="11" t="e">
        <v>#N/A</v>
      </c>
      <c r="Z295" s="29" t="e">
        <v>#N/A</v>
      </c>
    </row>
    <row r="296" ht="14.25" customHeight="1">
      <c r="A296" s="11"/>
      <c r="B296" s="11"/>
      <c r="C296" s="11" t="s">
        <v>106</v>
      </c>
      <c r="D296" s="11"/>
      <c r="E296" s="11"/>
      <c r="F296" s="11" t="e">
        <v>#N/A</v>
      </c>
      <c r="G296" s="11" t="s">
        <v>987</v>
      </c>
      <c r="H296" s="11" t="e">
        <v>#N/A</v>
      </c>
      <c r="I296" s="11" t="e">
        <v>#N/A</v>
      </c>
      <c r="J296" s="11" t="e">
        <v>#N/A</v>
      </c>
      <c r="K296" s="11" t="e">
        <v>#N/A</v>
      </c>
      <c r="L296" s="11">
        <v>16.0</v>
      </c>
      <c r="M296" s="11" t="e">
        <v>#N/A</v>
      </c>
      <c r="N296" s="11" t="e">
        <v>#N/A</v>
      </c>
      <c r="O296" s="11" t="e">
        <v>#N/A</v>
      </c>
      <c r="P296" s="11" t="e">
        <v>#N/A</v>
      </c>
      <c r="Q296" s="11" t="e">
        <v>#N/A</v>
      </c>
      <c r="R296" s="11" t="e">
        <v>#N/A</v>
      </c>
      <c r="S296" s="11" t="e">
        <v>#N/A</v>
      </c>
      <c r="T296" s="11" t="e">
        <v>#N/A</v>
      </c>
      <c r="U296" s="11" t="e">
        <v>#N/A</v>
      </c>
      <c r="V296" s="11" t="e">
        <v>#N/A</v>
      </c>
      <c r="W296" s="11">
        <v>16.0</v>
      </c>
      <c r="X296" s="11">
        <v>-16.0</v>
      </c>
      <c r="Y296" s="11" t="e">
        <v>#N/A</v>
      </c>
      <c r="Z296" s="29" t="e">
        <v>#N/A</v>
      </c>
    </row>
    <row r="297" ht="14.25" customHeight="1">
      <c r="A297" s="11"/>
      <c r="B297" s="11">
        <v>23.0</v>
      </c>
      <c r="C297" s="11" t="s">
        <v>106</v>
      </c>
      <c r="D297" s="11"/>
      <c r="E297" s="11"/>
      <c r="F297" s="11">
        <v>0.0</v>
      </c>
      <c r="G297" s="11" t="s">
        <v>827</v>
      </c>
      <c r="H297" s="11" t="s">
        <v>128</v>
      </c>
      <c r="I297" s="11">
        <v>207.0</v>
      </c>
      <c r="J297" s="11">
        <v>0.0</v>
      </c>
      <c r="K297" s="11" t="s">
        <v>866</v>
      </c>
      <c r="L297" s="11">
        <v>34.0</v>
      </c>
      <c r="M297" s="11">
        <v>267.0</v>
      </c>
      <c r="N297" s="11">
        <v>1.0</v>
      </c>
      <c r="O297" s="11" t="s">
        <v>36</v>
      </c>
      <c r="P297" s="11" t="e">
        <v>#VALUE!</v>
      </c>
      <c r="Q297" s="11" t="s">
        <v>36</v>
      </c>
      <c r="R297" s="11">
        <v>328.0</v>
      </c>
      <c r="S297" s="11">
        <v>201.0</v>
      </c>
      <c r="T297" s="11">
        <v>243.0</v>
      </c>
      <c r="U297" s="11">
        <v>294.0</v>
      </c>
      <c r="V297" s="11">
        <v>266.0</v>
      </c>
      <c r="W297" s="11">
        <v>34.0</v>
      </c>
      <c r="X297" s="11">
        <v>-34.0</v>
      </c>
      <c r="Y297" s="11">
        <v>-66.0</v>
      </c>
      <c r="Z297" s="29" t="s">
        <v>866</v>
      </c>
    </row>
    <row r="298" ht="14.25" customHeight="1">
      <c r="A298" s="11"/>
      <c r="B298" s="11"/>
      <c r="C298" s="11" t="s">
        <v>106</v>
      </c>
      <c r="D298" s="11"/>
      <c r="E298" s="11"/>
      <c r="F298" s="11" t="e">
        <v>#N/A</v>
      </c>
      <c r="G298" s="11" t="s">
        <v>988</v>
      </c>
      <c r="H298" s="11" t="e">
        <v>#N/A</v>
      </c>
      <c r="I298" s="11" t="e">
        <v>#N/A</v>
      </c>
      <c r="J298" s="11" t="e">
        <v>#N/A</v>
      </c>
      <c r="K298" s="11" t="e">
        <v>#N/A</v>
      </c>
      <c r="L298" s="11">
        <v>16.0</v>
      </c>
      <c r="M298" s="11" t="e">
        <v>#N/A</v>
      </c>
      <c r="N298" s="11" t="e">
        <v>#N/A</v>
      </c>
      <c r="O298" s="11" t="e">
        <v>#N/A</v>
      </c>
      <c r="P298" s="11" t="e">
        <v>#N/A</v>
      </c>
      <c r="Q298" s="11" t="e">
        <v>#N/A</v>
      </c>
      <c r="R298" s="11" t="e">
        <v>#N/A</v>
      </c>
      <c r="S298" s="11" t="e">
        <v>#N/A</v>
      </c>
      <c r="T298" s="11" t="e">
        <v>#N/A</v>
      </c>
      <c r="U298" s="11" t="e">
        <v>#N/A</v>
      </c>
      <c r="V298" s="11" t="e">
        <v>#N/A</v>
      </c>
      <c r="W298" s="11">
        <v>16.0</v>
      </c>
      <c r="X298" s="11">
        <v>-16.0</v>
      </c>
      <c r="Y298" s="11" t="e">
        <v>#N/A</v>
      </c>
      <c r="Z298" s="29" t="e">
        <v>#N/A</v>
      </c>
    </row>
    <row r="299" ht="14.25" customHeight="1">
      <c r="A299" s="11"/>
      <c r="B299" s="11">
        <v>23.0</v>
      </c>
      <c r="C299" s="11" t="s">
        <v>106</v>
      </c>
      <c r="D299" s="11"/>
      <c r="E299" s="11"/>
      <c r="F299" s="11">
        <v>0.0</v>
      </c>
      <c r="G299" s="11" t="s">
        <v>989</v>
      </c>
      <c r="H299" s="11" t="s">
        <v>237</v>
      </c>
      <c r="I299" s="11">
        <v>250.0</v>
      </c>
      <c r="J299" s="11">
        <v>0.0</v>
      </c>
      <c r="K299" s="11" t="s">
        <v>866</v>
      </c>
      <c r="L299" s="11">
        <v>35.0</v>
      </c>
      <c r="M299" s="11">
        <v>274.0</v>
      </c>
      <c r="N299" s="11">
        <v>1.0</v>
      </c>
      <c r="O299" s="11" t="s">
        <v>36</v>
      </c>
      <c r="P299" s="11" t="e">
        <v>#VALUE!</v>
      </c>
      <c r="Q299" s="11" t="s">
        <v>36</v>
      </c>
      <c r="R299" s="11">
        <v>302.0</v>
      </c>
      <c r="S299" s="11">
        <v>262.0</v>
      </c>
      <c r="T299" s="11">
        <v>250.0</v>
      </c>
      <c r="U299" s="11">
        <v>277.0</v>
      </c>
      <c r="V299" s="11">
        <v>273.0</v>
      </c>
      <c r="W299" s="11">
        <v>35.0</v>
      </c>
      <c r="X299" s="11">
        <v>-35.0</v>
      </c>
      <c r="Y299" s="11" t="e">
        <v>#VALUE!</v>
      </c>
      <c r="Z299" s="29" t="s">
        <v>866</v>
      </c>
    </row>
    <row r="300" ht="14.25" customHeight="1">
      <c r="A300" s="11"/>
      <c r="B300" s="11" t="e">
        <v>#N/A</v>
      </c>
      <c r="C300" s="11" t="s">
        <v>106</v>
      </c>
      <c r="D300" s="11"/>
      <c r="E300" s="11"/>
      <c r="F300" s="11" t="e">
        <v>#N/A</v>
      </c>
      <c r="G300" s="11" t="s">
        <v>990</v>
      </c>
      <c r="H300" s="11" t="e">
        <v>#N/A</v>
      </c>
      <c r="I300" s="11" t="e">
        <v>#N/A</v>
      </c>
      <c r="J300" s="11" t="e">
        <v>#N/A</v>
      </c>
      <c r="K300" s="11" t="e">
        <v>#N/A</v>
      </c>
      <c r="L300" s="11">
        <v>16.0</v>
      </c>
      <c r="M300" s="11" t="e">
        <v>#N/A</v>
      </c>
      <c r="N300" s="11" t="e">
        <v>#N/A</v>
      </c>
      <c r="O300" s="11" t="e">
        <v>#N/A</v>
      </c>
      <c r="P300" s="11" t="e">
        <v>#N/A</v>
      </c>
      <c r="Q300" s="11" t="e">
        <v>#N/A</v>
      </c>
      <c r="R300" s="11" t="e">
        <v>#N/A</v>
      </c>
      <c r="S300" s="11" t="e">
        <v>#N/A</v>
      </c>
      <c r="T300" s="11" t="e">
        <v>#N/A</v>
      </c>
      <c r="U300" s="11" t="e">
        <v>#N/A</v>
      </c>
      <c r="V300" s="11" t="e">
        <v>#N/A</v>
      </c>
      <c r="W300" s="11">
        <v>16.0</v>
      </c>
      <c r="X300" s="11">
        <v>-16.0</v>
      </c>
      <c r="Y300" s="11" t="e">
        <v>#N/A</v>
      </c>
      <c r="Z300" s="29" t="e">
        <v>#N/A</v>
      </c>
    </row>
    <row r="301" ht="14.25" customHeight="1">
      <c r="A301" s="11"/>
      <c r="B301" s="11">
        <v>20.0</v>
      </c>
      <c r="C301" s="11" t="s">
        <v>106</v>
      </c>
      <c r="D301" s="11"/>
      <c r="E301" s="11"/>
      <c r="F301" s="11">
        <v>0.0</v>
      </c>
      <c r="G301" s="11" t="s">
        <v>688</v>
      </c>
      <c r="H301" s="11" t="s">
        <v>128</v>
      </c>
      <c r="I301" s="11" t="s">
        <v>36</v>
      </c>
      <c r="J301" s="11">
        <v>0.0</v>
      </c>
      <c r="K301" s="11" t="s">
        <v>866</v>
      </c>
      <c r="L301" s="11">
        <v>30.0</v>
      </c>
      <c r="M301" s="11">
        <v>239.0</v>
      </c>
      <c r="N301" s="11">
        <v>19.0</v>
      </c>
      <c r="O301" s="11">
        <v>169.0</v>
      </c>
      <c r="P301" s="11">
        <v>70.0</v>
      </c>
      <c r="Q301" s="11">
        <v>199.0</v>
      </c>
      <c r="R301" s="11" t="s">
        <v>36</v>
      </c>
      <c r="S301" s="11">
        <v>281.0</v>
      </c>
      <c r="T301" s="11">
        <v>249.0</v>
      </c>
      <c r="U301" s="11">
        <v>187.0</v>
      </c>
      <c r="V301" s="11">
        <v>220.0</v>
      </c>
      <c r="W301" s="11">
        <v>28.0</v>
      </c>
      <c r="X301" s="11">
        <v>-28.0</v>
      </c>
      <c r="Y301" s="11" t="e">
        <v>#VALUE!</v>
      </c>
      <c r="Z301" s="29" t="s">
        <v>866</v>
      </c>
    </row>
    <row r="302" ht="14.25" customHeight="1">
      <c r="A302" s="11"/>
      <c r="B302" s="11"/>
      <c r="C302" s="11" t="s">
        <v>106</v>
      </c>
      <c r="D302" s="11"/>
      <c r="E302" s="11"/>
      <c r="F302" s="11" t="e">
        <v>#N/A</v>
      </c>
      <c r="G302" s="11" t="s">
        <v>991</v>
      </c>
      <c r="H302" s="11" t="e">
        <v>#N/A</v>
      </c>
      <c r="I302" s="11" t="e">
        <v>#N/A</v>
      </c>
      <c r="J302" s="11" t="e">
        <v>#N/A</v>
      </c>
      <c r="K302" s="11" t="e">
        <v>#N/A</v>
      </c>
      <c r="L302" s="11">
        <v>16.0</v>
      </c>
      <c r="M302" s="11" t="e">
        <v>#N/A</v>
      </c>
      <c r="N302" s="11" t="e">
        <v>#N/A</v>
      </c>
      <c r="O302" s="11" t="e">
        <v>#N/A</v>
      </c>
      <c r="P302" s="11" t="e">
        <v>#N/A</v>
      </c>
      <c r="Q302" s="11" t="e">
        <v>#N/A</v>
      </c>
      <c r="R302" s="11" t="e">
        <v>#N/A</v>
      </c>
      <c r="S302" s="11" t="e">
        <v>#N/A</v>
      </c>
      <c r="T302" s="11" t="e">
        <v>#N/A</v>
      </c>
      <c r="U302" s="11" t="e">
        <v>#N/A</v>
      </c>
      <c r="V302" s="11" t="e">
        <v>#N/A</v>
      </c>
      <c r="W302" s="11">
        <v>16.0</v>
      </c>
      <c r="X302" s="11">
        <v>-16.0</v>
      </c>
      <c r="Y302" s="11" t="e">
        <v>#N/A</v>
      </c>
      <c r="Z302" s="29" t="e">
        <v>#N/A</v>
      </c>
    </row>
    <row r="303" ht="14.25" customHeight="1">
      <c r="A303" s="11"/>
      <c r="B303" s="11" t="e">
        <v>#N/A</v>
      </c>
      <c r="C303" s="11" t="s">
        <v>106</v>
      </c>
      <c r="D303" s="11"/>
      <c r="E303" s="11"/>
      <c r="F303" s="11" t="e">
        <v>#N/A</v>
      </c>
      <c r="G303" s="11" t="s">
        <v>992</v>
      </c>
      <c r="H303" s="11" t="e">
        <v>#N/A</v>
      </c>
      <c r="I303" s="11" t="e">
        <v>#N/A</v>
      </c>
      <c r="J303" s="11" t="e">
        <v>#N/A</v>
      </c>
      <c r="K303" s="11" t="e">
        <v>#N/A</v>
      </c>
      <c r="L303" s="11">
        <v>16.0</v>
      </c>
      <c r="M303" s="11" t="e">
        <v>#N/A</v>
      </c>
      <c r="N303" s="11" t="e">
        <v>#N/A</v>
      </c>
      <c r="O303" s="11" t="e">
        <v>#N/A</v>
      </c>
      <c r="P303" s="11" t="e">
        <v>#N/A</v>
      </c>
      <c r="Q303" s="11" t="e">
        <v>#N/A</v>
      </c>
      <c r="R303" s="11" t="e">
        <v>#N/A</v>
      </c>
      <c r="S303" s="11" t="e">
        <v>#N/A</v>
      </c>
      <c r="T303" s="11" t="e">
        <v>#N/A</v>
      </c>
      <c r="U303" s="11" t="e">
        <v>#N/A</v>
      </c>
      <c r="V303" s="11" t="e">
        <v>#N/A</v>
      </c>
      <c r="W303" s="11">
        <v>16.0</v>
      </c>
      <c r="X303" s="11">
        <v>-16.0</v>
      </c>
      <c r="Y303" s="11" t="e">
        <v>#N/A</v>
      </c>
      <c r="Z303" s="29" t="e">
        <v>#N/A</v>
      </c>
    </row>
    <row r="304" ht="14.25" customHeight="1">
      <c r="A304" s="11"/>
      <c r="B304" s="11">
        <v>23.0</v>
      </c>
      <c r="C304" s="11" t="s">
        <v>106</v>
      </c>
      <c r="D304" s="11"/>
      <c r="E304" s="11"/>
      <c r="F304" s="11">
        <v>0.0</v>
      </c>
      <c r="G304" s="11" t="s">
        <v>993</v>
      </c>
      <c r="H304" s="11" t="s">
        <v>49</v>
      </c>
      <c r="I304" s="11">
        <v>238.0</v>
      </c>
      <c r="J304" s="11">
        <v>0.0</v>
      </c>
      <c r="K304" s="11" t="s">
        <v>866</v>
      </c>
      <c r="L304" s="11">
        <v>34.0</v>
      </c>
      <c r="M304" s="11">
        <v>270.0</v>
      </c>
      <c r="N304" s="11">
        <v>4.0</v>
      </c>
      <c r="O304" s="11" t="s">
        <v>36</v>
      </c>
      <c r="P304" s="11" t="e">
        <v>#VALUE!</v>
      </c>
      <c r="Q304" s="11" t="s">
        <v>36</v>
      </c>
      <c r="R304" s="11" t="s">
        <v>36</v>
      </c>
      <c r="S304" s="11">
        <v>241.0</v>
      </c>
      <c r="T304" s="11">
        <v>274.0</v>
      </c>
      <c r="U304" s="11">
        <v>282.0</v>
      </c>
      <c r="V304" s="11">
        <v>266.0</v>
      </c>
      <c r="W304" s="11">
        <v>34.0</v>
      </c>
      <c r="X304" s="11">
        <v>-34.0</v>
      </c>
      <c r="Y304" s="11" t="e">
        <v>#VALUE!</v>
      </c>
      <c r="Z304" s="29" t="s">
        <v>866</v>
      </c>
    </row>
    <row r="305" ht="14.25" customHeight="1">
      <c r="A305" s="11"/>
      <c r="B305" s="11" t="e">
        <v>#N/A</v>
      </c>
      <c r="C305" s="11" t="s">
        <v>106</v>
      </c>
      <c r="D305" s="11"/>
      <c r="E305" s="11"/>
      <c r="F305" s="11" t="e">
        <v>#N/A</v>
      </c>
      <c r="G305" s="11" t="s">
        <v>994</v>
      </c>
      <c r="H305" s="11" t="e">
        <v>#N/A</v>
      </c>
      <c r="I305" s="11" t="e">
        <v>#N/A</v>
      </c>
      <c r="J305" s="11" t="e">
        <v>#N/A</v>
      </c>
      <c r="K305" s="11" t="e">
        <v>#N/A</v>
      </c>
      <c r="L305" s="11">
        <v>16.0</v>
      </c>
      <c r="M305" s="11" t="e">
        <v>#N/A</v>
      </c>
      <c r="N305" s="11" t="e">
        <v>#N/A</v>
      </c>
      <c r="O305" s="11" t="e">
        <v>#N/A</v>
      </c>
      <c r="P305" s="11" t="e">
        <v>#N/A</v>
      </c>
      <c r="Q305" s="11" t="e">
        <v>#N/A</v>
      </c>
      <c r="R305" s="11" t="e">
        <v>#N/A</v>
      </c>
      <c r="S305" s="11" t="e">
        <v>#N/A</v>
      </c>
      <c r="T305" s="11" t="e">
        <v>#N/A</v>
      </c>
      <c r="U305" s="11" t="e">
        <v>#N/A</v>
      </c>
      <c r="V305" s="11" t="e">
        <v>#N/A</v>
      </c>
      <c r="W305" s="11">
        <v>16.0</v>
      </c>
      <c r="X305" s="11">
        <v>-16.0</v>
      </c>
      <c r="Y305" s="11" t="e">
        <v>#N/A</v>
      </c>
      <c r="Z305" s="29" t="e">
        <v>#N/A</v>
      </c>
    </row>
    <row r="306" ht="14.25" customHeight="1">
      <c r="A306" s="11"/>
      <c r="B306" s="11" t="e">
        <v>#N/A</v>
      </c>
      <c r="C306" s="11" t="s">
        <v>106</v>
      </c>
      <c r="D306" s="11"/>
      <c r="E306" s="11"/>
      <c r="F306" s="11" t="e">
        <v>#N/A</v>
      </c>
      <c r="G306" s="11" t="s">
        <v>554</v>
      </c>
      <c r="H306" s="11" t="e">
        <v>#N/A</v>
      </c>
      <c r="I306" s="11" t="e">
        <v>#N/A</v>
      </c>
      <c r="J306" s="11" t="e">
        <v>#N/A</v>
      </c>
      <c r="K306" s="11" t="e">
        <v>#N/A</v>
      </c>
      <c r="L306" s="11">
        <v>16.0</v>
      </c>
      <c r="M306" s="11" t="e">
        <v>#N/A</v>
      </c>
      <c r="N306" s="11" t="e">
        <v>#N/A</v>
      </c>
      <c r="O306" s="11" t="e">
        <v>#N/A</v>
      </c>
      <c r="P306" s="11" t="e">
        <v>#N/A</v>
      </c>
      <c r="Q306" s="11" t="e">
        <v>#N/A</v>
      </c>
      <c r="R306" s="11" t="e">
        <v>#N/A</v>
      </c>
      <c r="S306" s="11" t="e">
        <v>#N/A</v>
      </c>
      <c r="T306" s="11" t="e">
        <v>#N/A</v>
      </c>
      <c r="U306" s="11" t="e">
        <v>#N/A</v>
      </c>
      <c r="V306" s="11" t="e">
        <v>#N/A</v>
      </c>
      <c r="W306" s="11">
        <v>16.0</v>
      </c>
      <c r="X306" s="11">
        <v>-16.0</v>
      </c>
      <c r="Y306" s="11" t="e">
        <v>#N/A</v>
      </c>
      <c r="Z306" s="29" t="e">
        <v>#N/A</v>
      </c>
    </row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>
      <c r="F312" s="1" t="s">
        <v>22</v>
      </c>
    </row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6:$Z$306">
    <sortState ref="A6:Z306">
      <sortCondition ref="V6:V306"/>
    </sortState>
  </autoFilter>
  <mergeCells count="1">
    <mergeCell ref="A1:C1"/>
  </mergeCells>
  <conditionalFormatting sqref="K8:K306">
    <cfRule type="colorScale" priority="1">
      <colorScale>
        <cfvo type="formula" val="12"/>
        <cfvo type="percentile" val="50"/>
        <cfvo type="max"/>
        <color rgb="FF63BE7B"/>
        <color rgb="FFFFEB84"/>
        <color rgb="FFF8696B"/>
      </colorScale>
    </cfRule>
  </conditionalFormatting>
  <conditionalFormatting sqref="K5:Z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7:L306">
    <cfRule type="cellIs" dxfId="1" priority="3" operator="lessThan">
      <formula>B7</formula>
    </cfRule>
  </conditionalFormatting>
  <conditionalFormatting sqref="L7:L306">
    <cfRule type="cellIs" dxfId="2" priority="4" operator="greaterThan">
      <formula>B7</formula>
    </cfRule>
  </conditionalFormatting>
  <conditionalFormatting sqref="N7:N306">
    <cfRule type="colorScale" priority="5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P7:P306">
    <cfRule type="colorScale" priority="6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X7:X30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7:Y306">
    <cfRule type="colorScale" priority="8">
      <colorScale>
        <cfvo type="formula" val="-12"/>
        <cfvo type="formula" val="0"/>
        <cfvo type="formula" val="12"/>
        <color rgb="FFF8696B"/>
        <color rgb="FFD8D8D8"/>
        <color rgb="FF63BE7B"/>
      </colorScale>
    </cfRule>
  </conditionalFormatting>
  <conditionalFormatting sqref="B7:G7 B8:E261 B262:B302 C262:C306 D262:E302 F8:F306 G8:G296 J7:K306 Y7:Z306">
    <cfRule type="expression" dxfId="0" priority="9">
      <formula>$C7="No"</formula>
    </cfRule>
  </conditionalFormatting>
  <printOptions/>
  <pageMargins bottom="0.75" footer="0.0" header="0.0" left="0.7" right="0.7" top="0.75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16.57"/>
    <col customWidth="1" min="3" max="4" width="8.71"/>
    <col customWidth="1" min="5" max="5" width="13.71"/>
    <col customWidth="1" min="6" max="8" width="11.71"/>
    <col customWidth="1" min="9" max="9" width="12.86"/>
    <col customWidth="1" min="10" max="12" width="11.71"/>
    <col customWidth="1" min="13" max="26" width="8.71"/>
  </cols>
  <sheetData>
    <row r="1" ht="12.75" customHeight="1">
      <c r="A1" s="41" t="s">
        <v>739</v>
      </c>
      <c r="B1" s="41"/>
      <c r="C1" s="41"/>
      <c r="D1" s="41"/>
      <c r="E1" s="41" t="s">
        <v>740</v>
      </c>
      <c r="F1" s="41"/>
      <c r="G1" s="41"/>
      <c r="H1" s="41"/>
      <c r="I1" s="41"/>
      <c r="J1" s="41"/>
      <c r="K1" s="41"/>
      <c r="L1" s="41"/>
      <c r="M1" s="41"/>
      <c r="N1" s="41"/>
      <c r="O1" s="41"/>
      <c r="P1" s="42"/>
      <c r="Q1" s="42"/>
      <c r="R1" s="42"/>
      <c r="S1" s="3"/>
      <c r="T1" s="3"/>
      <c r="U1" s="3"/>
      <c r="V1" s="3"/>
      <c r="W1" s="3"/>
      <c r="X1" s="3"/>
      <c r="Y1" s="3"/>
      <c r="Z1" s="3"/>
    </row>
    <row r="2" ht="12.75" customHeight="1">
      <c r="A2" s="43"/>
      <c r="B2" s="43"/>
      <c r="C2" s="43"/>
      <c r="D2" s="43"/>
      <c r="E2" s="43">
        <v>1.0</v>
      </c>
      <c r="F2" s="43">
        <v>2.0</v>
      </c>
      <c r="G2" s="43">
        <v>3.0</v>
      </c>
      <c r="H2" s="43">
        <v>4.0</v>
      </c>
      <c r="I2" s="43">
        <v>5.0</v>
      </c>
      <c r="J2" s="43">
        <v>6.0</v>
      </c>
      <c r="K2" s="43">
        <v>7.0</v>
      </c>
      <c r="L2" s="43">
        <v>8.0</v>
      </c>
      <c r="M2" s="43"/>
      <c r="N2" s="43"/>
      <c r="O2" s="3" t="s">
        <v>930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2.75" customHeight="1">
      <c r="A3" s="44"/>
      <c r="B3" s="44"/>
      <c r="C3" s="44"/>
      <c r="D3" s="44"/>
      <c r="E3" s="44" t="s">
        <v>932</v>
      </c>
      <c r="F3" s="44" t="s">
        <v>933</v>
      </c>
      <c r="G3" s="44" t="s">
        <v>934</v>
      </c>
      <c r="H3" s="44" t="s">
        <v>935</v>
      </c>
      <c r="I3" s="44" t="s">
        <v>936</v>
      </c>
      <c r="J3" s="3" t="s">
        <v>937</v>
      </c>
      <c r="K3" s="44" t="s">
        <v>938</v>
      </c>
      <c r="L3" s="44" t="s">
        <v>939</v>
      </c>
      <c r="M3" s="44"/>
      <c r="N3" s="44"/>
      <c r="O3" s="45"/>
      <c r="P3" s="45" t="s">
        <v>940</v>
      </c>
      <c r="Q3" s="45" t="s">
        <v>940</v>
      </c>
      <c r="R3" s="45" t="s">
        <v>940</v>
      </c>
      <c r="S3" s="3"/>
      <c r="T3" s="3"/>
      <c r="U3" s="3"/>
      <c r="V3" s="3"/>
      <c r="W3" s="3"/>
      <c r="X3" s="3"/>
      <c r="Y3" s="3"/>
      <c r="Z3" s="3"/>
    </row>
    <row r="4" ht="12.75" customHeight="1">
      <c r="A4" s="46" t="s">
        <v>4</v>
      </c>
      <c r="B4" s="46" t="s">
        <v>756</v>
      </c>
      <c r="C4" s="44"/>
      <c r="D4" s="47"/>
      <c r="E4" s="46" t="s">
        <v>941</v>
      </c>
      <c r="F4" s="46" t="s">
        <v>942</v>
      </c>
      <c r="G4" s="62" t="s">
        <v>764</v>
      </c>
      <c r="H4" s="46" t="s">
        <v>760</v>
      </c>
      <c r="I4" s="46" t="s">
        <v>943</v>
      </c>
      <c r="J4" s="46" t="s">
        <v>944</v>
      </c>
      <c r="K4" s="46" t="s">
        <v>945</v>
      </c>
      <c r="L4" s="46" t="s">
        <v>759</v>
      </c>
      <c r="M4" s="44"/>
      <c r="N4" s="44"/>
      <c r="O4" s="47" t="s">
        <v>770</v>
      </c>
      <c r="P4" s="45"/>
      <c r="Q4" s="45"/>
      <c r="R4" s="45"/>
      <c r="S4" s="3"/>
      <c r="T4" s="3"/>
      <c r="U4" s="3"/>
      <c r="V4" s="3"/>
      <c r="W4" s="3"/>
      <c r="X4" s="3"/>
      <c r="Y4" s="3"/>
      <c r="Z4" s="3"/>
    </row>
    <row r="5" ht="12.75" customHeight="1">
      <c r="A5" s="47">
        <v>1.0</v>
      </c>
      <c r="B5" s="47"/>
      <c r="C5" s="44"/>
      <c r="D5" s="47" t="s">
        <v>770</v>
      </c>
      <c r="E5" s="47"/>
      <c r="F5" s="47"/>
      <c r="G5" s="63"/>
      <c r="H5" s="47"/>
      <c r="I5" s="47"/>
      <c r="J5" s="47"/>
      <c r="K5" s="47"/>
      <c r="L5" s="63"/>
      <c r="M5" s="44"/>
      <c r="N5" s="44"/>
      <c r="O5" s="47" t="s">
        <v>772</v>
      </c>
      <c r="P5" s="45" t="s">
        <v>946</v>
      </c>
      <c r="Q5" s="45" t="s">
        <v>946</v>
      </c>
      <c r="R5" s="45" t="s">
        <v>946</v>
      </c>
      <c r="S5" s="3"/>
      <c r="T5" s="3"/>
      <c r="U5" s="3"/>
      <c r="V5" s="3"/>
      <c r="W5" s="3"/>
      <c r="X5" s="3"/>
      <c r="Y5" s="3"/>
      <c r="Z5" s="3"/>
    </row>
    <row r="6" ht="12.75" customHeight="1">
      <c r="A6" s="47">
        <v>2.0</v>
      </c>
      <c r="B6" s="47"/>
      <c r="C6" s="44"/>
      <c r="D6" s="47" t="s">
        <v>772</v>
      </c>
      <c r="E6" s="63"/>
      <c r="F6" s="47"/>
      <c r="G6" s="47"/>
      <c r="H6" s="47"/>
      <c r="I6" s="47"/>
      <c r="J6" s="47"/>
      <c r="K6" s="47"/>
      <c r="L6" s="63"/>
      <c r="M6" s="44"/>
      <c r="N6" s="44"/>
      <c r="O6" s="47" t="s">
        <v>772</v>
      </c>
      <c r="P6" s="45"/>
      <c r="Q6" s="45"/>
      <c r="R6" s="45"/>
      <c r="S6" s="3"/>
      <c r="T6" s="3"/>
      <c r="U6" s="3"/>
      <c r="V6" s="3"/>
      <c r="W6" s="3"/>
      <c r="X6" s="3"/>
      <c r="Y6" s="3"/>
      <c r="Z6" s="3"/>
    </row>
    <row r="7" ht="12.75" customHeight="1">
      <c r="A7" s="47">
        <v>3.0</v>
      </c>
      <c r="B7" s="47"/>
      <c r="C7" s="44"/>
      <c r="D7" s="47" t="s">
        <v>772</v>
      </c>
      <c r="E7" s="47"/>
      <c r="F7" s="47"/>
      <c r="G7" s="47"/>
      <c r="H7" s="47"/>
      <c r="I7" s="3"/>
      <c r="J7" s="47"/>
      <c r="K7" s="63"/>
      <c r="L7" s="47"/>
      <c r="M7" s="44"/>
      <c r="N7" s="44"/>
      <c r="O7" s="47" t="s">
        <v>775</v>
      </c>
      <c r="P7" s="45" t="s">
        <v>949</v>
      </c>
      <c r="Q7" s="45"/>
      <c r="R7" s="45"/>
      <c r="S7" s="3"/>
      <c r="T7" s="3"/>
      <c r="U7" s="3"/>
      <c r="V7" s="3"/>
      <c r="W7" s="3"/>
      <c r="X7" s="3"/>
      <c r="Y7" s="3"/>
      <c r="Z7" s="3"/>
    </row>
    <row r="8" ht="12.75" customHeight="1">
      <c r="A8" s="47">
        <v>4.0</v>
      </c>
      <c r="B8" s="47"/>
      <c r="C8" s="44"/>
      <c r="D8" s="47" t="s">
        <v>775</v>
      </c>
      <c r="E8" s="63"/>
      <c r="F8" s="47"/>
      <c r="G8" s="47"/>
      <c r="H8" s="63"/>
      <c r="I8" s="47"/>
      <c r="J8" s="63"/>
      <c r="K8" s="63"/>
      <c r="L8" s="47"/>
      <c r="M8" s="44"/>
      <c r="N8" s="44"/>
      <c r="O8" s="47" t="s">
        <v>775</v>
      </c>
      <c r="P8" s="45"/>
      <c r="Q8" s="45"/>
      <c r="R8" s="45"/>
      <c r="S8" s="3"/>
      <c r="T8" s="3"/>
      <c r="U8" s="3"/>
      <c r="V8" s="3"/>
      <c r="W8" s="3"/>
      <c r="X8" s="3"/>
      <c r="Y8" s="3"/>
      <c r="Z8" s="3"/>
    </row>
    <row r="9" ht="12.75" customHeight="1">
      <c r="A9" s="47">
        <v>5.0</v>
      </c>
      <c r="B9" s="47"/>
      <c r="C9" s="44"/>
      <c r="D9" s="47" t="s">
        <v>775</v>
      </c>
      <c r="E9" s="47"/>
      <c r="F9" s="47"/>
      <c r="G9" s="63"/>
      <c r="H9" s="63"/>
      <c r="I9" s="47"/>
      <c r="J9" s="63"/>
      <c r="K9" s="47"/>
      <c r="L9" s="47"/>
      <c r="M9" s="44"/>
      <c r="N9" s="44"/>
      <c r="O9" s="47" t="s">
        <v>775</v>
      </c>
      <c r="P9" s="45"/>
      <c r="Q9" s="45"/>
      <c r="R9" s="45"/>
      <c r="S9" s="3"/>
      <c r="T9" s="3"/>
      <c r="U9" s="3"/>
      <c r="V9" s="3"/>
      <c r="W9" s="3"/>
      <c r="X9" s="3"/>
      <c r="Y9" s="3"/>
      <c r="Z9" s="3"/>
    </row>
    <row r="10" ht="12.75" customHeight="1">
      <c r="A10" s="47">
        <v>6.0</v>
      </c>
      <c r="B10" s="47"/>
      <c r="C10" s="44"/>
      <c r="D10" s="47" t="s">
        <v>950</v>
      </c>
      <c r="E10" s="47"/>
      <c r="F10" s="63"/>
      <c r="G10" s="47"/>
      <c r="H10" s="47"/>
      <c r="I10" s="47"/>
      <c r="J10" s="47"/>
      <c r="K10" s="47"/>
      <c r="L10" s="47"/>
      <c r="M10" s="44"/>
      <c r="N10" s="44"/>
      <c r="O10" s="47" t="s">
        <v>781</v>
      </c>
      <c r="P10" s="45"/>
      <c r="Q10" s="45"/>
      <c r="R10" s="45"/>
      <c r="S10" s="3"/>
      <c r="T10" s="3"/>
      <c r="U10" s="3"/>
      <c r="V10" s="3"/>
      <c r="W10" s="3"/>
      <c r="X10" s="3"/>
      <c r="Y10" s="3"/>
      <c r="Z10" s="3"/>
    </row>
    <row r="11" ht="12.75" customHeight="1">
      <c r="A11" s="47">
        <v>7.0</v>
      </c>
      <c r="B11" s="47"/>
      <c r="C11" s="44"/>
      <c r="D11" s="47" t="s">
        <v>950</v>
      </c>
      <c r="E11" s="47"/>
      <c r="F11" s="47"/>
      <c r="G11" s="47"/>
      <c r="H11" s="47"/>
      <c r="I11" s="47"/>
      <c r="J11" s="47"/>
      <c r="K11" s="47"/>
      <c r="L11" s="47"/>
      <c r="M11" s="44"/>
      <c r="N11" s="44"/>
      <c r="O11" s="47" t="s">
        <v>784</v>
      </c>
      <c r="P11" s="45"/>
      <c r="Q11" s="45"/>
      <c r="R11" s="45"/>
      <c r="S11" s="3"/>
      <c r="T11" s="3"/>
      <c r="U11" s="3"/>
      <c r="V11" s="3"/>
      <c r="W11" s="3"/>
      <c r="X11" s="3"/>
      <c r="Y11" s="3"/>
      <c r="Z11" s="3"/>
    </row>
    <row r="12" ht="12.75" customHeight="1">
      <c r="A12" s="47">
        <v>8.0</v>
      </c>
      <c r="B12" s="47"/>
      <c r="C12" s="44"/>
      <c r="D12" s="47" t="s">
        <v>781</v>
      </c>
      <c r="E12" s="47"/>
      <c r="F12" s="47"/>
      <c r="G12" s="47"/>
      <c r="H12" s="47"/>
      <c r="I12" s="47"/>
      <c r="J12" s="47"/>
      <c r="K12" s="47"/>
      <c r="L12" s="47"/>
      <c r="M12" s="44"/>
      <c r="N12" s="44"/>
      <c r="O12" s="47" t="s">
        <v>785</v>
      </c>
      <c r="P12" s="45"/>
      <c r="Q12" s="45"/>
      <c r="R12" s="45"/>
      <c r="S12" s="3"/>
      <c r="T12" s="3"/>
      <c r="U12" s="3"/>
      <c r="V12" s="3"/>
      <c r="W12" s="3"/>
      <c r="X12" s="3"/>
      <c r="Y12" s="3"/>
      <c r="Z12" s="3"/>
    </row>
    <row r="13" ht="12.75" customHeight="1">
      <c r="A13" s="47">
        <v>9.0</v>
      </c>
      <c r="B13" s="47"/>
      <c r="C13" s="44"/>
      <c r="D13" s="47" t="s">
        <v>785</v>
      </c>
      <c r="E13" s="47"/>
      <c r="F13" s="47"/>
      <c r="G13" s="47"/>
      <c r="H13" s="47"/>
      <c r="I13" s="47"/>
      <c r="J13" s="47"/>
      <c r="K13" s="47"/>
      <c r="L13" s="47"/>
      <c r="M13" s="44"/>
      <c r="N13" s="44"/>
      <c r="O13" s="47" t="s">
        <v>786</v>
      </c>
      <c r="P13" s="45"/>
      <c r="Q13" s="45"/>
      <c r="R13" s="45"/>
      <c r="S13" s="3"/>
      <c r="T13" s="3"/>
      <c r="U13" s="3"/>
      <c r="V13" s="3"/>
      <c r="W13" s="3"/>
      <c r="X13" s="3"/>
      <c r="Y13" s="3"/>
      <c r="Z13" s="3"/>
    </row>
    <row r="14" ht="12.75" customHeight="1">
      <c r="A14" s="47">
        <v>10.0</v>
      </c>
      <c r="B14" s="47"/>
      <c r="C14" s="44"/>
      <c r="D14" s="47" t="s">
        <v>786</v>
      </c>
      <c r="E14" s="47"/>
      <c r="F14" s="47"/>
      <c r="G14" s="47"/>
      <c r="H14" s="47"/>
      <c r="I14" s="47"/>
      <c r="J14" s="47"/>
      <c r="K14" s="47"/>
      <c r="L14" s="47"/>
      <c r="M14" s="44"/>
      <c r="N14" s="44"/>
      <c r="O14" s="47" t="s">
        <v>786</v>
      </c>
      <c r="P14" s="45"/>
      <c r="Q14" s="45"/>
      <c r="R14" s="45"/>
      <c r="S14" s="3"/>
      <c r="T14" s="3"/>
      <c r="U14" s="3"/>
      <c r="V14" s="3"/>
      <c r="W14" s="3"/>
      <c r="X14" s="3"/>
      <c r="Y14" s="3"/>
      <c r="Z14" s="3"/>
    </row>
    <row r="15" ht="12.75" customHeight="1">
      <c r="A15" s="47">
        <v>11.0</v>
      </c>
      <c r="B15" s="47"/>
      <c r="C15" s="44"/>
      <c r="D15" s="47" t="s">
        <v>786</v>
      </c>
      <c r="E15" s="47"/>
      <c r="F15" s="3"/>
      <c r="G15" s="47"/>
      <c r="H15" s="47"/>
      <c r="I15" s="47"/>
      <c r="J15" s="47"/>
      <c r="K15" s="47"/>
      <c r="L15" s="47"/>
      <c r="M15" s="44"/>
      <c r="N15" s="44"/>
      <c r="O15" s="47" t="s">
        <v>786</v>
      </c>
      <c r="P15" s="45"/>
      <c r="Q15" s="45"/>
      <c r="R15" s="45"/>
      <c r="S15" s="3"/>
      <c r="T15" s="3"/>
      <c r="U15" s="3"/>
      <c r="V15" s="3"/>
      <c r="W15" s="3"/>
      <c r="X15" s="3"/>
      <c r="Y15" s="3"/>
      <c r="Z15" s="3"/>
    </row>
    <row r="16" ht="12.75" customHeight="1">
      <c r="A16" s="47">
        <v>12.0</v>
      </c>
      <c r="B16" s="47"/>
      <c r="C16" s="44"/>
      <c r="D16" s="47" t="s">
        <v>786</v>
      </c>
      <c r="E16" s="47"/>
      <c r="F16" s="47"/>
      <c r="G16" s="3"/>
      <c r="H16" s="47"/>
      <c r="I16" s="47"/>
      <c r="J16" s="47"/>
      <c r="K16" s="47"/>
      <c r="L16" s="47"/>
      <c r="M16" s="44"/>
      <c r="N16" s="44"/>
      <c r="O16" s="47" t="s">
        <v>786</v>
      </c>
      <c r="P16" s="45"/>
      <c r="Q16" s="45"/>
      <c r="R16" s="45"/>
      <c r="S16" s="3"/>
      <c r="T16" s="3"/>
      <c r="U16" s="3"/>
      <c r="V16" s="3"/>
      <c r="W16" s="3"/>
      <c r="X16" s="3"/>
      <c r="Y16" s="3"/>
      <c r="Z16" s="3"/>
    </row>
    <row r="17" ht="12.75" customHeight="1">
      <c r="A17" s="47">
        <v>13.0</v>
      </c>
      <c r="B17" s="64" t="s">
        <v>953</v>
      </c>
      <c r="C17" s="44"/>
      <c r="D17" s="47" t="s">
        <v>786</v>
      </c>
      <c r="E17" s="47"/>
      <c r="F17" s="47"/>
      <c r="G17" s="47"/>
      <c r="H17" s="47"/>
      <c r="I17" s="47"/>
      <c r="J17" s="47"/>
      <c r="K17" s="47"/>
      <c r="L17" s="47"/>
      <c r="M17" s="44"/>
      <c r="N17" s="44"/>
      <c r="O17" s="47" t="s">
        <v>786</v>
      </c>
      <c r="P17" s="45"/>
      <c r="Q17" s="45"/>
      <c r="R17" s="45"/>
      <c r="S17" s="3"/>
      <c r="T17" s="3"/>
      <c r="U17" s="3"/>
      <c r="V17" s="3"/>
      <c r="W17" s="3"/>
      <c r="X17" s="3"/>
      <c r="Y17" s="3"/>
      <c r="Z17" s="3"/>
    </row>
    <row r="18" ht="12.75" customHeight="1">
      <c r="A18" s="47">
        <v>14.0</v>
      </c>
      <c r="B18" s="64" t="s">
        <v>955</v>
      </c>
      <c r="C18" s="44"/>
      <c r="D18" s="47" t="s">
        <v>786</v>
      </c>
      <c r="E18" s="47"/>
      <c r="F18" s="47"/>
      <c r="G18" s="47"/>
      <c r="H18" s="47"/>
      <c r="I18" s="47"/>
      <c r="J18" s="47"/>
      <c r="K18" s="47"/>
      <c r="L18" s="47"/>
      <c r="M18" s="44"/>
      <c r="N18" s="44"/>
      <c r="O18" s="47" t="s">
        <v>786</v>
      </c>
      <c r="P18" s="45"/>
      <c r="Q18" s="45"/>
      <c r="R18" s="45"/>
      <c r="S18" s="3"/>
      <c r="T18" s="3"/>
      <c r="U18" s="3"/>
      <c r="V18" s="3"/>
      <c r="W18" s="3"/>
      <c r="X18" s="3"/>
      <c r="Y18" s="3"/>
      <c r="Z18" s="3"/>
    </row>
    <row r="19" ht="12.75" customHeight="1">
      <c r="A19" s="47">
        <v>15.0</v>
      </c>
      <c r="B19" s="47"/>
      <c r="C19" s="44"/>
      <c r="D19" s="47" t="s">
        <v>786</v>
      </c>
      <c r="E19" s="47"/>
      <c r="F19" s="47"/>
      <c r="G19" s="47"/>
      <c r="H19" s="47"/>
      <c r="I19" s="47"/>
      <c r="J19" s="47"/>
      <c r="K19" s="47"/>
      <c r="L19" s="47"/>
      <c r="M19" s="44"/>
      <c r="N19" s="44"/>
      <c r="O19" s="47" t="s">
        <v>786</v>
      </c>
      <c r="P19" s="45"/>
      <c r="Q19" s="45"/>
      <c r="R19" s="45"/>
      <c r="S19" s="3"/>
      <c r="T19" s="3"/>
      <c r="U19" s="3"/>
      <c r="V19" s="3"/>
      <c r="W19" s="3"/>
      <c r="X19" s="3"/>
      <c r="Y19" s="3"/>
      <c r="Z19" s="3"/>
    </row>
    <row r="20" ht="12.75" customHeight="1">
      <c r="A20" s="47">
        <v>16.0</v>
      </c>
      <c r="B20" s="47" t="s">
        <v>784</v>
      </c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S20" s="3"/>
      <c r="T20" s="3"/>
      <c r="U20" s="3"/>
      <c r="V20" s="3"/>
      <c r="W20" s="3"/>
      <c r="X20" s="3"/>
      <c r="Y20" s="3"/>
      <c r="Z20" s="3"/>
    </row>
    <row r="21" ht="12.75" customHeight="1">
      <c r="A21" s="44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S21" s="3"/>
      <c r="T21" s="3"/>
      <c r="U21" s="3"/>
      <c r="V21" s="3"/>
      <c r="W21" s="3"/>
      <c r="X21" s="3"/>
      <c r="Y21" s="3"/>
      <c r="Z21" s="3"/>
    </row>
    <row r="22" ht="12.75" customHeight="1">
      <c r="A22" s="50"/>
      <c r="B22" s="50"/>
      <c r="C22" s="50"/>
      <c r="D22" s="50"/>
      <c r="E22" s="41" t="s">
        <v>957</v>
      </c>
      <c r="F22" s="50"/>
      <c r="G22" s="50"/>
      <c r="H22" s="50"/>
      <c r="I22" s="50"/>
      <c r="J22" s="50"/>
      <c r="K22" s="50"/>
      <c r="L22" s="50"/>
      <c r="M22" s="50"/>
      <c r="N22" s="50"/>
      <c r="O22" s="50"/>
      <c r="Q22" s="51"/>
      <c r="R22" s="51"/>
      <c r="S22" s="3"/>
      <c r="T22" s="3"/>
      <c r="U22" s="3"/>
      <c r="V22" s="3"/>
      <c r="W22" s="3"/>
      <c r="X22" s="3"/>
      <c r="Y22" s="3"/>
      <c r="Z22" s="3"/>
    </row>
    <row r="23" ht="12.75" customHeight="1">
      <c r="A23" s="44"/>
      <c r="B23" s="44"/>
      <c r="C23" s="44"/>
      <c r="D23" s="44"/>
      <c r="E23" s="44" t="s">
        <v>8</v>
      </c>
      <c r="F23" s="44" t="s">
        <v>5</v>
      </c>
      <c r="G23" s="44" t="s">
        <v>959</v>
      </c>
      <c r="H23" s="44" t="s">
        <v>9</v>
      </c>
      <c r="I23" s="44" t="s">
        <v>960</v>
      </c>
      <c r="J23" s="44"/>
      <c r="K23" s="44"/>
      <c r="L23" s="44"/>
      <c r="M23" s="44"/>
      <c r="N23" s="44"/>
      <c r="O23" s="44"/>
      <c r="S23" s="3"/>
      <c r="T23" s="3"/>
      <c r="U23" s="3"/>
      <c r="V23" s="3"/>
      <c r="W23" s="3"/>
      <c r="X23" s="3"/>
      <c r="Y23" s="3"/>
      <c r="Z23" s="3"/>
    </row>
    <row r="24" ht="12.75" customHeight="1">
      <c r="A24" s="44"/>
      <c r="B24" s="44"/>
      <c r="C24" s="44"/>
      <c r="D24" s="44"/>
      <c r="E24" s="47" t="s">
        <v>770</v>
      </c>
      <c r="F24" s="47"/>
      <c r="G24" s="47"/>
      <c r="H24" s="47"/>
      <c r="I24" s="47"/>
      <c r="J24" s="44"/>
      <c r="K24" s="44"/>
      <c r="L24" s="44"/>
      <c r="M24" s="44"/>
      <c r="N24" s="44"/>
      <c r="O24" s="44"/>
      <c r="S24" s="3"/>
      <c r="T24" s="3"/>
      <c r="U24" s="3"/>
      <c r="V24" s="3"/>
      <c r="W24" s="3"/>
      <c r="X24" s="3"/>
      <c r="Y24" s="3"/>
      <c r="Z24" s="3"/>
    </row>
    <row r="25" ht="12.75" customHeight="1">
      <c r="A25" s="44"/>
      <c r="B25" s="44"/>
      <c r="C25" s="44"/>
      <c r="D25" s="44"/>
      <c r="E25" s="63" t="s">
        <v>772</v>
      </c>
      <c r="F25" s="63"/>
      <c r="G25" s="63"/>
      <c r="H25" s="63"/>
      <c r="I25" s="63"/>
      <c r="J25" s="44"/>
      <c r="K25" s="44"/>
      <c r="L25" s="44"/>
      <c r="M25" s="44"/>
      <c r="N25" s="44"/>
      <c r="O25" s="44"/>
      <c r="S25" s="3"/>
      <c r="T25" s="3"/>
      <c r="U25" s="3"/>
      <c r="V25" s="3"/>
      <c r="W25" s="3"/>
      <c r="X25" s="3"/>
      <c r="Y25" s="3"/>
      <c r="Z25" s="3"/>
    </row>
    <row r="26" ht="12.75" customHeight="1">
      <c r="A26" s="44"/>
      <c r="B26" s="44"/>
      <c r="C26" s="44"/>
      <c r="D26" s="44"/>
      <c r="E26" s="47" t="s">
        <v>772</v>
      </c>
      <c r="F26" s="44"/>
      <c r="G26" s="47"/>
      <c r="H26" s="47"/>
      <c r="I26" s="47"/>
      <c r="J26" s="44"/>
      <c r="K26" s="44"/>
      <c r="L26" s="44"/>
      <c r="M26" s="44"/>
      <c r="N26" s="44"/>
      <c r="O26" s="44"/>
      <c r="S26" s="3"/>
      <c r="T26" s="3"/>
      <c r="U26" s="3"/>
      <c r="V26" s="3"/>
      <c r="W26" s="3"/>
      <c r="X26" s="3"/>
      <c r="Y26" s="3"/>
      <c r="Z26" s="3"/>
    </row>
    <row r="27" ht="12.75" customHeight="1">
      <c r="A27" s="44"/>
      <c r="B27" s="44"/>
      <c r="C27" s="44"/>
      <c r="D27" s="44"/>
      <c r="E27" s="47" t="s">
        <v>775</v>
      </c>
      <c r="F27" s="47"/>
      <c r="G27" s="47"/>
      <c r="H27" s="47"/>
      <c r="I27" s="47"/>
      <c r="J27" s="44"/>
      <c r="K27" s="44"/>
      <c r="L27" s="44"/>
      <c r="M27" s="44"/>
      <c r="N27" s="44"/>
      <c r="O27" s="44"/>
      <c r="S27" s="3"/>
      <c r="T27" s="3"/>
      <c r="U27" s="3"/>
      <c r="V27" s="3"/>
      <c r="W27" s="3"/>
      <c r="X27" s="3"/>
      <c r="Y27" s="3"/>
      <c r="Z27" s="3"/>
    </row>
    <row r="28" ht="12.75" customHeight="1">
      <c r="A28" s="44"/>
      <c r="B28" s="44"/>
      <c r="C28" s="44"/>
      <c r="D28" s="44"/>
      <c r="E28" s="47" t="s">
        <v>775</v>
      </c>
      <c r="F28" s="47"/>
      <c r="G28" s="47"/>
      <c r="H28" s="47"/>
      <c r="I28" s="47"/>
      <c r="J28" s="44"/>
      <c r="K28" s="44"/>
      <c r="L28" s="44"/>
      <c r="M28" s="44"/>
      <c r="N28" s="44"/>
      <c r="O28" s="44"/>
      <c r="S28" s="3"/>
      <c r="T28" s="3"/>
      <c r="U28" s="3"/>
      <c r="V28" s="3"/>
      <c r="W28" s="3"/>
      <c r="X28" s="3"/>
      <c r="Y28" s="3"/>
      <c r="Z28" s="3"/>
    </row>
    <row r="29" ht="12.75" customHeight="1">
      <c r="A29" s="44"/>
      <c r="B29" s="44"/>
      <c r="C29" s="44"/>
      <c r="D29" s="44"/>
      <c r="E29" s="47" t="s">
        <v>775</v>
      </c>
      <c r="F29" s="47"/>
      <c r="G29" s="47"/>
      <c r="H29" s="47"/>
      <c r="I29" s="47"/>
      <c r="J29" s="44"/>
      <c r="K29" s="44"/>
      <c r="L29" s="44"/>
      <c r="M29" s="44"/>
      <c r="N29" s="44"/>
      <c r="O29" s="44"/>
      <c r="S29" s="3"/>
      <c r="T29" s="3"/>
      <c r="U29" s="3"/>
      <c r="V29" s="3"/>
      <c r="W29" s="3"/>
      <c r="X29" s="3"/>
      <c r="Y29" s="3"/>
      <c r="Z29" s="3"/>
    </row>
    <row r="30" ht="12.75" customHeight="1">
      <c r="A30" s="44"/>
      <c r="B30" s="44"/>
      <c r="C30" s="44"/>
      <c r="D30" s="44"/>
      <c r="E30" s="65" t="s">
        <v>781</v>
      </c>
      <c r="F30" s="65"/>
      <c r="G30" s="65"/>
      <c r="H30" s="65"/>
      <c r="I30" s="65"/>
      <c r="J30" s="44"/>
      <c r="K30" s="44"/>
      <c r="L30" s="44"/>
      <c r="M30" s="44"/>
      <c r="N30" s="44"/>
      <c r="O30" s="44"/>
      <c r="S30" s="3"/>
      <c r="T30" s="3"/>
      <c r="U30" s="3"/>
      <c r="V30" s="3"/>
      <c r="W30" s="3"/>
      <c r="X30" s="3"/>
      <c r="Y30" s="3"/>
      <c r="Z30" s="3"/>
    </row>
    <row r="31" ht="12.75" customHeight="1">
      <c r="A31" s="44"/>
      <c r="B31" s="44"/>
      <c r="C31" s="44"/>
      <c r="D31" s="44"/>
      <c r="E31" s="47" t="s">
        <v>784</v>
      </c>
      <c r="F31" s="47"/>
      <c r="G31" s="47"/>
      <c r="H31" s="47"/>
      <c r="I31" s="47"/>
      <c r="J31" s="44"/>
      <c r="K31" s="44"/>
      <c r="L31" s="44"/>
      <c r="M31" s="44"/>
      <c r="N31" s="44"/>
      <c r="O31" s="44"/>
      <c r="S31" s="3"/>
      <c r="T31" s="3"/>
      <c r="U31" s="3"/>
      <c r="V31" s="3"/>
      <c r="W31" s="3"/>
      <c r="X31" s="3"/>
      <c r="Y31" s="3"/>
      <c r="Z31" s="3"/>
    </row>
    <row r="32" ht="12.75" customHeight="1">
      <c r="A32" s="44"/>
      <c r="B32" s="44"/>
      <c r="C32" s="44"/>
      <c r="D32" s="44"/>
      <c r="E32" s="66" t="s">
        <v>785</v>
      </c>
      <c r="F32" s="66"/>
      <c r="G32" s="66"/>
      <c r="H32" s="66"/>
      <c r="I32" s="66"/>
      <c r="J32" s="44"/>
      <c r="K32" s="44"/>
      <c r="L32" s="44"/>
      <c r="M32" s="44"/>
      <c r="N32" s="44"/>
      <c r="O32" s="44"/>
      <c r="S32" s="3"/>
      <c r="T32" s="3"/>
      <c r="U32" s="3"/>
      <c r="V32" s="3"/>
      <c r="W32" s="3"/>
      <c r="X32" s="3"/>
      <c r="Y32" s="3"/>
      <c r="Z32" s="3"/>
    </row>
    <row r="33" ht="12.75" customHeight="1">
      <c r="A33" s="44"/>
      <c r="B33" s="44"/>
      <c r="C33" s="44"/>
      <c r="D33" s="44"/>
      <c r="E33" s="67" t="s">
        <v>962</v>
      </c>
      <c r="F33" s="67"/>
      <c r="G33" s="67">
        <f>SUM(G24:G32)</f>
        <v>0</v>
      </c>
      <c r="H33" s="67"/>
      <c r="I33" s="67"/>
      <c r="J33" s="44" t="s">
        <v>963</v>
      </c>
      <c r="K33" s="44"/>
      <c r="L33" s="44"/>
      <c r="M33" s="44"/>
      <c r="N33" s="44"/>
      <c r="O33" s="44"/>
      <c r="S33" s="3"/>
      <c r="T33" s="3"/>
      <c r="U33" s="3"/>
      <c r="V33" s="3"/>
      <c r="W33" s="3"/>
      <c r="X33" s="3"/>
      <c r="Y33" s="3"/>
      <c r="Z33" s="3"/>
    </row>
    <row r="34" ht="12.75" customHeight="1">
      <c r="A34" s="44"/>
      <c r="B34" s="44"/>
      <c r="C34" s="44"/>
      <c r="D34" s="44"/>
      <c r="E34" s="47" t="s">
        <v>964</v>
      </c>
      <c r="F34" s="47"/>
      <c r="G34" s="47"/>
      <c r="H34" s="47"/>
      <c r="I34" s="47"/>
      <c r="J34" s="44"/>
      <c r="K34" s="44"/>
      <c r="L34" s="44"/>
      <c r="M34" s="44"/>
      <c r="N34" s="44"/>
      <c r="O34" s="44"/>
      <c r="S34" s="3"/>
      <c r="T34" s="3"/>
      <c r="U34" s="3"/>
      <c r="V34" s="3"/>
      <c r="W34" s="3"/>
      <c r="X34" s="3"/>
      <c r="Y34" s="3"/>
      <c r="Z34" s="3"/>
    </row>
    <row r="35" ht="12.75" customHeight="1">
      <c r="A35" s="44"/>
      <c r="B35" s="44"/>
      <c r="C35" s="44"/>
      <c r="D35" s="44"/>
      <c r="E35" s="47" t="s">
        <v>964</v>
      </c>
      <c r="F35" s="47"/>
      <c r="G35" s="47"/>
      <c r="H35" s="47"/>
      <c r="I35" s="47"/>
      <c r="J35" s="44"/>
      <c r="K35" s="44"/>
      <c r="L35" s="44"/>
      <c r="M35" s="44"/>
      <c r="N35" s="44"/>
      <c r="O35" s="44"/>
      <c r="S35" s="3"/>
      <c r="T35" s="3"/>
      <c r="U35" s="3"/>
      <c r="V35" s="3"/>
      <c r="W35" s="3"/>
      <c r="X35" s="3"/>
      <c r="Y35" s="3"/>
      <c r="Z35" s="3"/>
    </row>
    <row r="36" ht="12.75" customHeight="1">
      <c r="A36" s="44"/>
      <c r="B36" s="44"/>
      <c r="C36" s="44"/>
      <c r="D36" s="44"/>
      <c r="E36" s="47" t="s">
        <v>964</v>
      </c>
      <c r="F36" s="47"/>
      <c r="G36" s="47"/>
      <c r="H36" s="47"/>
      <c r="I36" s="47"/>
      <c r="J36" s="44"/>
      <c r="K36" s="44"/>
      <c r="L36" s="44"/>
      <c r="M36" s="44"/>
      <c r="N36" s="44"/>
      <c r="O36" s="44"/>
      <c r="S36" s="3"/>
      <c r="T36" s="3"/>
      <c r="U36" s="3"/>
      <c r="V36" s="3"/>
      <c r="W36" s="3"/>
      <c r="X36" s="3"/>
      <c r="Y36" s="3"/>
      <c r="Z36" s="3"/>
    </row>
    <row r="37" ht="12.75" customHeight="1">
      <c r="A37" s="44"/>
      <c r="B37" s="44"/>
      <c r="C37" s="44"/>
      <c r="D37" s="44"/>
      <c r="E37" s="47" t="s">
        <v>964</v>
      </c>
      <c r="F37" s="47"/>
      <c r="G37" s="47"/>
      <c r="H37" s="47"/>
      <c r="I37" s="47"/>
      <c r="J37" s="44"/>
      <c r="K37" s="44"/>
      <c r="L37" s="44"/>
      <c r="M37" s="44"/>
      <c r="N37" s="44"/>
      <c r="O37" s="44"/>
      <c r="S37" s="3"/>
      <c r="T37" s="3"/>
      <c r="U37" s="3"/>
      <c r="V37" s="3"/>
      <c r="W37" s="3"/>
      <c r="X37" s="3"/>
      <c r="Y37" s="3"/>
      <c r="Z37" s="3"/>
    </row>
    <row r="38" ht="12.75" customHeight="1">
      <c r="A38" s="44"/>
      <c r="B38" s="44"/>
      <c r="C38" s="44"/>
      <c r="D38" s="44"/>
      <c r="E38" s="47" t="s">
        <v>964</v>
      </c>
      <c r="F38" s="47"/>
      <c r="G38" s="47"/>
      <c r="H38" s="47"/>
      <c r="I38" s="47"/>
      <c r="J38" s="44"/>
      <c r="K38" s="44"/>
      <c r="L38" s="44"/>
      <c r="M38" s="44"/>
      <c r="N38" s="44"/>
      <c r="O38" s="44"/>
      <c r="S38" s="3"/>
      <c r="T38" s="3"/>
      <c r="U38" s="3"/>
      <c r="V38" s="3"/>
      <c r="W38" s="3"/>
      <c r="X38" s="3"/>
      <c r="Y38" s="3"/>
      <c r="Z38" s="3"/>
    </row>
    <row r="39" ht="12.75" customHeight="1">
      <c r="A39" s="44"/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S39" s="3"/>
      <c r="T39" s="3"/>
      <c r="U39" s="3"/>
      <c r="V39" s="3"/>
      <c r="W39" s="3"/>
      <c r="X39" s="3"/>
      <c r="Y39" s="3"/>
      <c r="Z39" s="3"/>
    </row>
    <row r="40" ht="12.75" customHeight="1">
      <c r="A40" s="44"/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S40" s="3"/>
      <c r="T40" s="3"/>
      <c r="U40" s="3"/>
      <c r="V40" s="3"/>
      <c r="W40" s="3"/>
      <c r="X40" s="3"/>
      <c r="Y40" s="3"/>
      <c r="Z40" s="3"/>
    </row>
    <row r="41" ht="12.75" customHeight="1">
      <c r="A41" s="44"/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S41" s="3"/>
      <c r="T41" s="3"/>
      <c r="U41" s="3"/>
      <c r="V41" s="3"/>
      <c r="W41" s="3"/>
      <c r="X41" s="3"/>
      <c r="Y41" s="3"/>
      <c r="Z41" s="3"/>
    </row>
    <row r="42" ht="12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2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2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2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2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2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2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2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2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2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2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2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2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2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2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2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2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2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2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2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2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2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2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2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2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2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2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2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2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2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2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2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2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2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2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2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2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2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2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2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2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2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2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2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2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2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2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2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2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2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2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2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2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2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2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2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2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2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2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2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2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2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2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2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2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2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2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2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2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2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2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2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2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2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2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2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2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2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2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2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2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2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2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2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2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2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2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2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2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2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2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2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2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2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2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2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2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2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2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2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2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2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2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2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2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2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2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2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2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2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2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2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2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2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2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2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2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2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2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2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2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2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2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2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2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2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2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2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2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2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2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2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2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2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2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2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2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2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2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2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2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2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2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2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2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2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2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2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2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2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2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2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2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2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2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2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2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2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2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2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2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2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2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2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2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2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2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2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2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2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2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2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2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2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2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2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2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2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2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2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2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2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2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2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2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2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2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2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2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2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2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2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2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2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2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2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2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2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2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2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2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2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2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2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2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2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2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2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2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2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2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2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2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2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2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2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2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2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2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2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2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2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2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2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2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2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2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2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2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2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2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2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2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2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2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2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2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2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2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2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2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2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2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2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2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2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2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2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2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2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2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2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2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2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2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2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2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2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2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2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2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2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2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2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2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2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2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2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2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2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2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2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2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2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2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2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2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2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2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2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2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2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2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2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2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2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2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2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2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2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2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2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2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2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2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2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2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2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2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2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2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2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2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2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2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2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2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2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2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2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2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2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2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2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2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2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2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2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2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2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2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2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2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2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2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2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2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2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2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2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2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2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2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2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2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2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2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2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2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2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2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2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2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2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2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2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2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2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2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2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2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2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2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2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2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2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2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2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2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2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2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2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2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2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2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2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2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2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2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2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2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2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2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2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2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2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2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2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2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2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2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2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2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2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2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2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2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2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2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2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2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2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2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2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2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2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2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2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2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2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2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2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2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2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2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2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2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2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2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2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2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2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2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2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2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2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2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2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2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2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2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2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2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2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2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2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2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2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2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2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2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2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2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2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2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2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2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2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2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2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2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2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2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2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2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2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2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2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2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2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2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2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2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2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2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2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2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2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2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2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2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2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2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2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2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2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2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2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2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2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2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2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2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2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2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2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2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2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2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2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2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2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2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2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2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2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2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2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2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2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2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2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2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2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2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2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2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2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2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2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2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2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2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2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2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2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2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2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2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2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2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2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2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2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2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2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2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2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2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2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2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2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2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2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2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2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2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2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2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2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2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2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2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2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2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2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2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2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2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2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2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2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2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2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2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2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2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2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2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2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2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2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2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2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2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2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2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2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2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2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2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2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2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2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2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2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2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2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2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2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2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2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2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2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2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2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2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2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2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2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2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2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2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2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2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2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2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2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2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2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2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2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2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2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2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2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2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2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2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2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2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2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2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2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2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2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2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2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2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2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2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2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2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2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2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2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2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2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2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2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2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2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2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2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2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2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2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2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2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2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2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2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2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2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2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2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2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2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2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2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2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2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2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2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2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2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2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2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2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2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2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2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2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2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2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2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2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2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2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2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2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2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2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2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2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2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2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2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2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2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2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2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2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2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2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2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2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2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2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2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2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2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2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2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2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2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2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2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2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2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2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2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2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2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2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2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2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2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2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2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2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2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2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2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2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2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2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2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2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2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2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2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2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2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2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2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2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2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2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2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2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2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2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2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2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2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2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2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2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2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2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2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2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2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2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2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2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2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2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2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2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2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2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2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2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2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2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2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2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2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2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2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2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2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2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2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2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2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2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2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2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2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2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2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2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2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2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2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2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2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2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2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2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2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2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2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2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2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2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2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2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2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2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2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2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2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2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2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2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2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2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2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2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2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2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2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2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2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2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2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2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2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2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2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2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2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2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2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2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2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2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2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2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2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2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2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2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2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2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2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2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2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2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2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2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2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2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2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2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2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2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2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2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2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2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2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2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2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2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2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2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2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2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2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2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2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2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2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2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2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2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2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2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2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2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2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2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2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2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2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2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2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2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2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2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2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2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2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2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2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2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2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2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2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2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2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2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2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2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2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2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2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2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2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2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2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2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2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2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2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2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2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2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2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2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2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2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2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2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2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2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2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2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2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2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2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2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2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2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2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2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2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2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2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2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2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2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2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2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2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2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2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2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2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2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2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2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2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2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2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2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2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2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2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2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2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2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2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2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2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2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2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2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2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2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2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2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2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2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2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2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2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2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2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2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2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2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2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2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rintOptions/>
  <pageMargins bottom="1.0" footer="0.0" header="0.0" left="0.75" right="0.75" top="1.0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2" width="8.71"/>
    <col customWidth="1" min="3" max="6" width="9.71"/>
    <col customWidth="1" min="7" max="7" width="8.0"/>
    <col customWidth="1" min="8" max="8" width="17.86"/>
    <col customWidth="1" min="9" max="10" width="8.71"/>
    <col customWidth="1" min="11" max="11" width="20.0"/>
    <col customWidth="1" min="12" max="40" width="8.71"/>
  </cols>
  <sheetData>
    <row r="1" ht="14.25" customHeight="1">
      <c r="A1" s="68" t="s">
        <v>995</v>
      </c>
      <c r="D1" s="68"/>
      <c r="E1" s="3"/>
      <c r="F1" s="3"/>
      <c r="G1" s="3"/>
      <c r="H1" s="3"/>
      <c r="I1" s="4"/>
      <c r="J1" s="4" t="s">
        <v>996</v>
      </c>
      <c r="K1" s="69">
        <v>100.0</v>
      </c>
      <c r="L1" s="70" t="s">
        <v>997</v>
      </c>
      <c r="M1" s="71"/>
      <c r="N1" s="6" t="s">
        <v>998</v>
      </c>
      <c r="O1" s="6" t="s">
        <v>999</v>
      </c>
      <c r="P1" s="6" t="s">
        <v>1000</v>
      </c>
      <c r="Q1" s="6" t="s">
        <v>1001</v>
      </c>
      <c r="R1" s="6" t="s">
        <v>1002</v>
      </c>
      <c r="S1" s="6" t="s">
        <v>1003</v>
      </c>
      <c r="T1" s="6" t="s">
        <v>440</v>
      </c>
      <c r="U1" s="6" t="s">
        <v>607</v>
      </c>
      <c r="V1" s="6" t="s">
        <v>1004</v>
      </c>
      <c r="W1" s="6" t="s">
        <v>1005</v>
      </c>
      <c r="X1" s="6" t="s">
        <v>1006</v>
      </c>
      <c r="Y1" s="6" t="s">
        <v>1007</v>
      </c>
      <c r="Z1" s="72" t="s">
        <v>1008</v>
      </c>
      <c r="AA1" s="72" t="s">
        <v>1009</v>
      </c>
      <c r="AB1" s="6" t="s">
        <v>1010</v>
      </c>
      <c r="AC1" s="6" t="s">
        <v>1011</v>
      </c>
      <c r="AD1" s="72" t="s">
        <v>1012</v>
      </c>
      <c r="AE1" s="6" t="s">
        <v>1013</v>
      </c>
      <c r="AF1" s="73" t="s">
        <v>1014</v>
      </c>
      <c r="AG1" s="73" t="s">
        <v>770</v>
      </c>
      <c r="AH1" s="73">
        <v>25.0</v>
      </c>
      <c r="AI1" s="73" t="s">
        <v>1015</v>
      </c>
      <c r="AJ1" s="73" t="s">
        <v>781</v>
      </c>
      <c r="AK1" s="73">
        <v>14.0</v>
      </c>
      <c r="AL1" s="1" t="s">
        <v>962</v>
      </c>
      <c r="AM1" s="1">
        <f>SUM(AH1:AH6, AK1:AK6, AN3:AN6)</f>
        <v>197</v>
      </c>
    </row>
    <row r="2" ht="14.25" customHeight="1">
      <c r="B2" s="3"/>
      <c r="C2" s="3"/>
      <c r="D2" s="3"/>
      <c r="E2" s="3"/>
      <c r="F2" s="3"/>
      <c r="G2" s="3"/>
      <c r="H2" s="3"/>
      <c r="I2" s="4"/>
      <c r="J2" s="4" t="s">
        <v>1016</v>
      </c>
      <c r="K2" s="69">
        <v>15.0</v>
      </c>
      <c r="M2" s="74" t="s">
        <v>1017</v>
      </c>
      <c r="N2" s="75" t="s">
        <v>1018</v>
      </c>
      <c r="O2" s="45">
        <v>70.0</v>
      </c>
      <c r="P2" s="45">
        <v>64.0</v>
      </c>
      <c r="Q2" s="45">
        <v>71.0</v>
      </c>
      <c r="R2" s="45">
        <v>37.0</v>
      </c>
      <c r="S2" s="45">
        <v>27.0</v>
      </c>
      <c r="T2" s="45">
        <v>15.0</v>
      </c>
      <c r="U2" s="45">
        <v>3.0</v>
      </c>
      <c r="V2" s="45">
        <v>74.0</v>
      </c>
      <c r="W2" s="45">
        <v>28.0</v>
      </c>
      <c r="X2" s="45">
        <v>6.0</v>
      </c>
      <c r="Y2" s="45">
        <v>4.0</v>
      </c>
      <c r="Z2" s="45">
        <v>39.0</v>
      </c>
      <c r="AA2" s="45">
        <v>23.0</v>
      </c>
      <c r="AB2" s="45">
        <v>16.0</v>
      </c>
      <c r="AC2" s="45">
        <v>52.0</v>
      </c>
      <c r="AD2" s="45">
        <v>18.0</v>
      </c>
      <c r="AE2" s="45">
        <v>3.0</v>
      </c>
      <c r="AF2" s="73" t="s">
        <v>1019</v>
      </c>
      <c r="AG2" s="73" t="s">
        <v>772</v>
      </c>
      <c r="AH2" s="73">
        <v>17.0</v>
      </c>
      <c r="AI2" s="73" t="s">
        <v>1020</v>
      </c>
      <c r="AJ2" s="73" t="s">
        <v>1021</v>
      </c>
      <c r="AK2" s="73">
        <v>8.0</v>
      </c>
    </row>
    <row r="3" ht="14.25" customHeight="1">
      <c r="B3" s="3"/>
      <c r="C3" s="3"/>
      <c r="D3" s="3"/>
      <c r="E3" s="3"/>
      <c r="F3" s="3"/>
      <c r="G3" s="3"/>
      <c r="H3" s="3"/>
      <c r="I3" s="4"/>
      <c r="J3" s="4" t="s">
        <v>1022</v>
      </c>
      <c r="K3" s="76">
        <f>((K1)/K2)</f>
        <v>6.666666667</v>
      </c>
      <c r="L3" s="3"/>
      <c r="M3" s="77"/>
      <c r="N3" s="75" t="s">
        <v>1023</v>
      </c>
      <c r="O3" s="45">
        <v>67.0</v>
      </c>
      <c r="P3" s="45">
        <v>45.0</v>
      </c>
      <c r="Q3" s="45">
        <v>13.0</v>
      </c>
      <c r="R3" s="45">
        <v>15.0</v>
      </c>
      <c r="S3" s="45">
        <v>13.0</v>
      </c>
      <c r="T3" s="45">
        <v>1.0</v>
      </c>
      <c r="U3" s="45">
        <v>1.0</v>
      </c>
      <c r="V3" s="45">
        <v>36.0</v>
      </c>
      <c r="W3" s="45">
        <v>10.0</v>
      </c>
      <c r="X3" s="45">
        <v>2.0</v>
      </c>
      <c r="Y3" s="45">
        <v>0.0</v>
      </c>
      <c r="Z3" s="45">
        <v>30.0</v>
      </c>
      <c r="AA3" s="45">
        <v>18.0</v>
      </c>
      <c r="AB3" s="45">
        <v>3.0</v>
      </c>
      <c r="AC3" s="45">
        <v>31.0</v>
      </c>
      <c r="AD3" s="45">
        <v>8.0</v>
      </c>
      <c r="AE3" s="45">
        <v>1.0</v>
      </c>
      <c r="AF3" s="73" t="s">
        <v>1024</v>
      </c>
      <c r="AG3" s="73" t="s">
        <v>772</v>
      </c>
      <c r="AH3" s="73">
        <v>15.0</v>
      </c>
      <c r="AI3" s="73" t="s">
        <v>1025</v>
      </c>
      <c r="AJ3" s="73" t="s">
        <v>1026</v>
      </c>
      <c r="AK3" s="73">
        <v>6.0</v>
      </c>
      <c r="AM3" s="1" t="s">
        <v>784</v>
      </c>
      <c r="AN3" s="1">
        <v>2.0</v>
      </c>
    </row>
    <row r="4" ht="14.25" customHeight="1">
      <c r="C4" s="3"/>
      <c r="D4" s="3"/>
      <c r="E4" s="3"/>
      <c r="F4" s="3"/>
      <c r="G4" s="3"/>
      <c r="H4" s="3"/>
      <c r="I4" s="4"/>
      <c r="J4" s="3"/>
      <c r="K4" s="3"/>
      <c r="L4" s="3"/>
      <c r="M4" s="78" t="s">
        <v>1027</v>
      </c>
      <c r="N4" s="20" t="s">
        <v>1018</v>
      </c>
      <c r="O4" s="45">
        <v>70.0</v>
      </c>
      <c r="P4" s="45">
        <v>68.0</v>
      </c>
      <c r="Q4" s="45">
        <v>56.0</v>
      </c>
      <c r="R4" s="45">
        <v>47.0</v>
      </c>
      <c r="S4" s="45">
        <v>35.0</v>
      </c>
      <c r="T4" s="45">
        <v>24.0</v>
      </c>
      <c r="U4" s="45">
        <v>25.0</v>
      </c>
      <c r="V4" s="45">
        <v>66.0</v>
      </c>
      <c r="W4" s="45">
        <v>32.0</v>
      </c>
      <c r="X4" s="45">
        <v>15.0</v>
      </c>
      <c r="Y4" s="45">
        <v>6.0</v>
      </c>
      <c r="Z4" s="45">
        <v>23.0</v>
      </c>
      <c r="AA4" s="45">
        <v>11.0</v>
      </c>
      <c r="AB4" s="45">
        <v>7.0</v>
      </c>
      <c r="AC4" s="45">
        <v>39.0</v>
      </c>
      <c r="AD4" s="45">
        <v>16.0</v>
      </c>
      <c r="AE4" s="45">
        <v>3.0</v>
      </c>
      <c r="AF4" s="73" t="s">
        <v>1028</v>
      </c>
      <c r="AG4" s="73" t="s">
        <v>775</v>
      </c>
      <c r="AH4" s="73">
        <v>53.0</v>
      </c>
      <c r="AI4" s="73" t="s">
        <v>1029</v>
      </c>
      <c r="AJ4" s="73" t="s">
        <v>1026</v>
      </c>
      <c r="AK4" s="73">
        <v>2.0</v>
      </c>
      <c r="AM4" s="1" t="s">
        <v>785</v>
      </c>
      <c r="AN4" s="1">
        <v>2.0</v>
      </c>
    </row>
    <row r="5" ht="14.25" customHeight="1">
      <c r="C5" s="3"/>
      <c r="D5" s="3"/>
      <c r="E5" s="3"/>
      <c r="F5" s="3"/>
      <c r="G5" s="3"/>
      <c r="H5" s="3"/>
      <c r="I5" s="4"/>
      <c r="J5" s="3"/>
      <c r="K5" s="3"/>
      <c r="L5" s="3"/>
      <c r="M5" s="77"/>
      <c r="N5" s="20" t="s">
        <v>1023</v>
      </c>
      <c r="O5" s="45">
        <v>67.0</v>
      </c>
      <c r="P5" s="45">
        <v>58.0</v>
      </c>
      <c r="Q5" s="45">
        <v>37.0</v>
      </c>
      <c r="R5" s="45">
        <v>29.0</v>
      </c>
      <c r="S5" s="45">
        <v>9.0</v>
      </c>
      <c r="T5" s="45">
        <v>3.0</v>
      </c>
      <c r="U5" s="45">
        <v>1.0</v>
      </c>
      <c r="V5" s="45">
        <v>25.0</v>
      </c>
      <c r="W5" s="45">
        <v>13.0</v>
      </c>
      <c r="X5" s="45">
        <v>5.0</v>
      </c>
      <c r="Y5" s="45">
        <v>1.0</v>
      </c>
      <c r="Z5" s="45">
        <v>13.0</v>
      </c>
      <c r="AA5" s="45">
        <v>9.0</v>
      </c>
      <c r="AB5" s="45">
        <v>2.0</v>
      </c>
      <c r="AC5" s="45">
        <v>23.0</v>
      </c>
      <c r="AD5" s="45">
        <v>3.0</v>
      </c>
      <c r="AE5" s="45">
        <v>2.0</v>
      </c>
      <c r="AF5" s="73" t="s">
        <v>1030</v>
      </c>
      <c r="AG5" s="73" t="s">
        <v>775</v>
      </c>
      <c r="AH5" s="73">
        <v>28.0</v>
      </c>
      <c r="AI5" s="73" t="s">
        <v>1031</v>
      </c>
      <c r="AJ5" s="73" t="s">
        <v>1026</v>
      </c>
      <c r="AK5" s="73">
        <v>1.0</v>
      </c>
      <c r="AL5" s="73" t="s">
        <v>1032</v>
      </c>
      <c r="AM5" s="73" t="s">
        <v>1033</v>
      </c>
      <c r="AN5" s="73">
        <v>1.0</v>
      </c>
    </row>
    <row r="6" ht="14.25" customHeight="1">
      <c r="A6" s="20" t="s">
        <v>72</v>
      </c>
      <c r="B6" s="21" t="s">
        <v>76</v>
      </c>
      <c r="C6" s="22" t="s">
        <v>77</v>
      </c>
      <c r="D6" s="22" t="s">
        <v>1034</v>
      </c>
      <c r="E6" s="22" t="s">
        <v>1035</v>
      </c>
      <c r="F6" s="22" t="s">
        <v>1036</v>
      </c>
      <c r="G6" s="22" t="s">
        <v>10</v>
      </c>
      <c r="H6" s="6" t="s">
        <v>5</v>
      </c>
      <c r="I6" s="6" t="s">
        <v>7</v>
      </c>
      <c r="J6" s="6" t="s">
        <v>8</v>
      </c>
      <c r="K6" s="6" t="s">
        <v>11</v>
      </c>
      <c r="L6" s="6" t="s">
        <v>12</v>
      </c>
      <c r="M6" s="23" t="s">
        <v>81</v>
      </c>
      <c r="N6" s="23" t="s">
        <v>17</v>
      </c>
      <c r="O6" s="20" t="s">
        <v>16</v>
      </c>
      <c r="P6" s="24" t="s">
        <v>86</v>
      </c>
      <c r="Q6" s="20" t="s">
        <v>13</v>
      </c>
      <c r="R6" s="20" t="s">
        <v>15</v>
      </c>
      <c r="S6" s="20" t="s">
        <v>20</v>
      </c>
      <c r="T6" s="20" t="s">
        <v>27</v>
      </c>
      <c r="U6" s="20" t="s">
        <v>23</v>
      </c>
      <c r="V6" s="21" t="s">
        <v>87</v>
      </c>
      <c r="W6" s="21" t="s">
        <v>1037</v>
      </c>
      <c r="X6" s="6" t="s">
        <v>14</v>
      </c>
      <c r="AF6" s="73" t="s">
        <v>1038</v>
      </c>
      <c r="AG6" s="73" t="s">
        <v>950</v>
      </c>
      <c r="AH6" s="73">
        <v>19.0</v>
      </c>
      <c r="AI6" s="73" t="s">
        <v>1039</v>
      </c>
      <c r="AJ6" s="73" t="s">
        <v>1033</v>
      </c>
      <c r="AK6" s="73">
        <v>3.0</v>
      </c>
      <c r="AL6" s="73" t="s">
        <v>1040</v>
      </c>
      <c r="AM6" s="73" t="s">
        <v>1026</v>
      </c>
      <c r="AN6" s="73">
        <v>1.0</v>
      </c>
    </row>
    <row r="7" ht="14.25" customHeight="1">
      <c r="A7" s="11"/>
      <c r="B7" s="11">
        <v>1.0</v>
      </c>
      <c r="C7" s="11" t="s">
        <v>106</v>
      </c>
      <c r="D7" s="11"/>
      <c r="E7" s="11">
        <v>55.0</v>
      </c>
      <c r="F7" s="11" t="s">
        <v>866</v>
      </c>
      <c r="G7" s="11">
        <v>0.0</v>
      </c>
      <c r="H7" s="11" t="s">
        <v>44</v>
      </c>
      <c r="I7" s="11" t="s">
        <v>45</v>
      </c>
      <c r="J7" s="11" t="s">
        <v>775</v>
      </c>
      <c r="K7" s="11" t="s">
        <v>59</v>
      </c>
      <c r="L7" s="11">
        <v>1.0</v>
      </c>
      <c r="M7" s="11">
        <v>1.0</v>
      </c>
      <c r="N7" s="11">
        <v>1.0</v>
      </c>
      <c r="O7" s="11">
        <v>1.0</v>
      </c>
      <c r="P7" s="11">
        <v>0.0</v>
      </c>
      <c r="Q7" s="11">
        <v>1.0</v>
      </c>
      <c r="R7" s="11">
        <v>1.0</v>
      </c>
      <c r="S7" s="11">
        <v>1.0</v>
      </c>
      <c r="T7" s="11">
        <v>1.0</v>
      </c>
      <c r="U7" s="11">
        <v>1.0</v>
      </c>
      <c r="V7" s="11">
        <v>1.0</v>
      </c>
      <c r="W7" s="11">
        <v>1.0</v>
      </c>
      <c r="X7" s="29" t="s">
        <v>866</v>
      </c>
    </row>
    <row r="8" ht="14.25" customHeight="1">
      <c r="A8" s="11"/>
      <c r="B8" s="11">
        <v>16.0</v>
      </c>
      <c r="C8" s="11" t="s">
        <v>106</v>
      </c>
      <c r="D8" s="11"/>
      <c r="E8" s="11">
        <v>1.0</v>
      </c>
      <c r="F8" s="11" t="s">
        <v>866</v>
      </c>
      <c r="G8" s="11" t="s">
        <v>106</v>
      </c>
      <c r="H8" s="11" t="s">
        <v>678</v>
      </c>
      <c r="I8" s="11" t="s">
        <v>94</v>
      </c>
      <c r="J8" s="11" t="s">
        <v>772</v>
      </c>
      <c r="K8" s="11" t="s">
        <v>1041</v>
      </c>
      <c r="L8" s="11">
        <v>0.0</v>
      </c>
      <c r="M8" s="11">
        <v>15.0</v>
      </c>
      <c r="N8" s="11">
        <v>176.0</v>
      </c>
      <c r="O8" s="11">
        <v>147.0</v>
      </c>
      <c r="P8" s="11">
        <v>29.0</v>
      </c>
      <c r="Q8" s="11">
        <v>126.0</v>
      </c>
      <c r="R8" s="11">
        <v>182.0</v>
      </c>
      <c r="S8" s="11">
        <v>145.0</v>
      </c>
      <c r="T8" s="11">
        <v>218.0</v>
      </c>
      <c r="U8" s="11">
        <v>243.0</v>
      </c>
      <c r="V8" s="11">
        <v>176.0</v>
      </c>
      <c r="W8" s="11">
        <v>15.0</v>
      </c>
      <c r="X8" s="29" t="s">
        <v>1042</v>
      </c>
    </row>
    <row r="9" ht="14.25" customHeight="1">
      <c r="A9" s="11"/>
      <c r="B9" s="11">
        <v>19.0</v>
      </c>
      <c r="C9" s="11" t="s">
        <v>106</v>
      </c>
      <c r="D9" s="11"/>
      <c r="E9" s="11">
        <v>0.0</v>
      </c>
      <c r="F9" s="11" t="s">
        <v>866</v>
      </c>
      <c r="G9" s="11">
        <v>0.0</v>
      </c>
      <c r="H9" s="11" t="s">
        <v>951</v>
      </c>
      <c r="I9" s="11" t="s">
        <v>85</v>
      </c>
      <c r="J9" s="11" t="s">
        <v>772</v>
      </c>
      <c r="K9" s="11" t="s">
        <v>903</v>
      </c>
      <c r="L9" s="11">
        <v>0.0</v>
      </c>
      <c r="M9" s="11">
        <v>14.0</v>
      </c>
      <c r="N9" s="11">
        <v>167.0</v>
      </c>
      <c r="O9" s="11">
        <v>173.0</v>
      </c>
      <c r="P9" s="11">
        <v>-6.0</v>
      </c>
      <c r="Q9" s="11">
        <v>211.0</v>
      </c>
      <c r="R9" s="11">
        <v>213.0</v>
      </c>
      <c r="S9" s="11">
        <v>163.0</v>
      </c>
      <c r="T9" s="11">
        <v>204.0</v>
      </c>
      <c r="U9" s="11">
        <v>302.0</v>
      </c>
      <c r="V9" s="11">
        <v>204.0</v>
      </c>
      <c r="W9" s="11">
        <v>18.0</v>
      </c>
      <c r="X9" s="29" t="s">
        <v>1043</v>
      </c>
    </row>
    <row r="10" ht="14.25" customHeight="1">
      <c r="A10" s="11"/>
      <c r="B10" s="11">
        <v>19.0</v>
      </c>
      <c r="C10" s="11" t="s">
        <v>106</v>
      </c>
      <c r="D10" s="11"/>
      <c r="E10" s="11">
        <v>0.0</v>
      </c>
      <c r="F10" s="11" t="s">
        <v>866</v>
      </c>
      <c r="G10" s="11">
        <v>0.0</v>
      </c>
      <c r="H10" s="11" t="s">
        <v>917</v>
      </c>
      <c r="I10" s="11" t="s">
        <v>171</v>
      </c>
      <c r="J10" s="11" t="s">
        <v>772</v>
      </c>
      <c r="K10" s="11">
        <v>0.0</v>
      </c>
      <c r="L10" s="11">
        <v>0.0</v>
      </c>
      <c r="M10" s="11">
        <v>15.0</v>
      </c>
      <c r="N10" s="11">
        <v>171.0</v>
      </c>
      <c r="O10" s="11">
        <v>219.0</v>
      </c>
      <c r="P10" s="11">
        <v>-48.0</v>
      </c>
      <c r="Q10" s="11">
        <v>213.0</v>
      </c>
      <c r="R10" s="11" t="s">
        <v>36</v>
      </c>
      <c r="S10" s="11">
        <v>186.0</v>
      </c>
      <c r="T10" s="11">
        <v>203.0</v>
      </c>
      <c r="U10" s="11">
        <v>304.0</v>
      </c>
      <c r="V10" s="11">
        <v>216.0</v>
      </c>
      <c r="W10" s="11">
        <v>19.0</v>
      </c>
      <c r="X10" s="29" t="s">
        <v>866</v>
      </c>
    </row>
    <row r="11" ht="14.25" customHeight="1">
      <c r="A11" s="11"/>
      <c r="B11" s="11">
        <v>1.0</v>
      </c>
      <c r="C11" s="11" t="s">
        <v>106</v>
      </c>
      <c r="D11" s="11"/>
      <c r="E11" s="11">
        <v>55.0</v>
      </c>
      <c r="F11" s="11" t="s">
        <v>866</v>
      </c>
      <c r="G11" s="11">
        <v>0.0</v>
      </c>
      <c r="H11" s="11" t="s">
        <v>74</v>
      </c>
      <c r="I11" s="11" t="s">
        <v>75</v>
      </c>
      <c r="J11" s="11" t="s">
        <v>775</v>
      </c>
      <c r="K11" s="11" t="s">
        <v>59</v>
      </c>
      <c r="L11" s="11">
        <v>2.0</v>
      </c>
      <c r="M11" s="11">
        <v>1.0</v>
      </c>
      <c r="N11" s="11">
        <v>6.0</v>
      </c>
      <c r="O11" s="11">
        <v>6.0</v>
      </c>
      <c r="P11" s="11">
        <v>0.0</v>
      </c>
      <c r="Q11" s="11">
        <v>6.0</v>
      </c>
      <c r="R11" s="11">
        <v>4.0</v>
      </c>
      <c r="S11" s="11">
        <v>6.0</v>
      </c>
      <c r="T11" s="11">
        <v>5.0</v>
      </c>
      <c r="U11" s="11">
        <v>5.0</v>
      </c>
      <c r="V11" s="11">
        <v>5.0</v>
      </c>
      <c r="W11" s="11">
        <v>1.0</v>
      </c>
      <c r="X11" s="29" t="s">
        <v>866</v>
      </c>
    </row>
    <row r="12" ht="14.25" customHeight="1">
      <c r="A12" s="11"/>
      <c r="B12" s="11">
        <v>1.0</v>
      </c>
      <c r="C12" s="11" t="s">
        <v>106</v>
      </c>
      <c r="D12" s="11"/>
      <c r="E12" s="11">
        <v>55.0</v>
      </c>
      <c r="F12" s="11" t="s">
        <v>866</v>
      </c>
      <c r="G12" s="11">
        <v>0.0</v>
      </c>
      <c r="H12" s="11" t="s">
        <v>70</v>
      </c>
      <c r="I12" s="11" t="s">
        <v>71</v>
      </c>
      <c r="J12" s="11" t="s">
        <v>775</v>
      </c>
      <c r="K12" s="11" t="s">
        <v>59</v>
      </c>
      <c r="L12" s="11">
        <v>3.0</v>
      </c>
      <c r="M12" s="11">
        <v>1.0</v>
      </c>
      <c r="N12" s="11">
        <v>5.0</v>
      </c>
      <c r="O12" s="11">
        <v>3.0</v>
      </c>
      <c r="P12" s="11">
        <v>2.0</v>
      </c>
      <c r="Q12" s="11">
        <v>5.0</v>
      </c>
      <c r="R12" s="11">
        <v>6.0</v>
      </c>
      <c r="S12" s="11">
        <v>4.0</v>
      </c>
      <c r="T12" s="11">
        <v>6.0</v>
      </c>
      <c r="U12" s="11">
        <v>3.0</v>
      </c>
      <c r="V12" s="11">
        <v>4.0</v>
      </c>
      <c r="W12" s="11">
        <v>1.0</v>
      </c>
      <c r="X12" s="29" t="s">
        <v>866</v>
      </c>
    </row>
    <row r="13" ht="14.25" customHeight="1">
      <c r="A13" s="11"/>
      <c r="B13" s="11">
        <v>20.0</v>
      </c>
      <c r="C13" s="11" t="s">
        <v>106</v>
      </c>
      <c r="D13" s="11"/>
      <c r="E13" s="11">
        <v>0.0</v>
      </c>
      <c r="F13" s="11" t="s">
        <v>866</v>
      </c>
      <c r="G13" s="11">
        <v>0.0</v>
      </c>
      <c r="H13" s="11" t="s">
        <v>1044</v>
      </c>
      <c r="I13" s="11" t="s">
        <v>49</v>
      </c>
      <c r="J13" s="11" t="s">
        <v>772</v>
      </c>
      <c r="K13" s="11">
        <v>0.0</v>
      </c>
      <c r="L13" s="11">
        <v>0.0</v>
      </c>
      <c r="M13" s="11">
        <v>17.0</v>
      </c>
      <c r="N13" s="11">
        <v>199.0</v>
      </c>
      <c r="O13" s="11">
        <v>236.0</v>
      </c>
      <c r="P13" s="11">
        <v>-37.0</v>
      </c>
      <c r="Q13" s="11" t="s">
        <v>36</v>
      </c>
      <c r="R13" s="11" t="s">
        <v>36</v>
      </c>
      <c r="S13" s="11">
        <v>208.0</v>
      </c>
      <c r="T13" s="11">
        <v>263.0</v>
      </c>
      <c r="U13" s="11" t="s">
        <v>36</v>
      </c>
      <c r="V13" s="11">
        <v>226.0</v>
      </c>
      <c r="W13" s="11">
        <v>19.0</v>
      </c>
      <c r="X13" s="29" t="s">
        <v>1045</v>
      </c>
    </row>
    <row r="14" ht="14.25" customHeight="1">
      <c r="A14" s="11"/>
      <c r="B14" s="11">
        <v>2.0</v>
      </c>
      <c r="C14" s="11" t="s">
        <v>106</v>
      </c>
      <c r="D14" s="11"/>
      <c r="E14" s="11">
        <v>50.0</v>
      </c>
      <c r="F14" s="11" t="s">
        <v>866</v>
      </c>
      <c r="G14" s="11">
        <v>0.0</v>
      </c>
      <c r="H14" s="11" t="s">
        <v>118</v>
      </c>
      <c r="I14" s="11" t="s">
        <v>119</v>
      </c>
      <c r="J14" s="11" t="s">
        <v>775</v>
      </c>
      <c r="K14" s="11" t="s">
        <v>846</v>
      </c>
      <c r="L14" s="11">
        <v>4.0</v>
      </c>
      <c r="M14" s="11">
        <v>1.0</v>
      </c>
      <c r="N14" s="11">
        <v>7.0</v>
      </c>
      <c r="O14" s="11">
        <v>8.0</v>
      </c>
      <c r="P14" s="11">
        <v>-1.0</v>
      </c>
      <c r="Q14" s="11">
        <v>13.0</v>
      </c>
      <c r="R14" s="11">
        <v>13.0</v>
      </c>
      <c r="S14" s="11">
        <v>12.0</v>
      </c>
      <c r="T14" s="11">
        <v>13.0</v>
      </c>
      <c r="U14" s="11">
        <v>16.0</v>
      </c>
      <c r="V14" s="11">
        <v>11.0</v>
      </c>
      <c r="W14" s="11">
        <v>1.0</v>
      </c>
      <c r="X14" s="29" t="s">
        <v>1046</v>
      </c>
    </row>
    <row r="15" ht="14.25" customHeight="1">
      <c r="A15" s="11"/>
      <c r="B15" s="11">
        <v>1.0</v>
      </c>
      <c r="C15" s="11" t="s">
        <v>106</v>
      </c>
      <c r="D15" s="11"/>
      <c r="E15" s="11">
        <v>48.0</v>
      </c>
      <c r="F15" s="11" t="s">
        <v>866</v>
      </c>
      <c r="G15" s="11">
        <v>0.0</v>
      </c>
      <c r="H15" s="11" t="s">
        <v>64</v>
      </c>
      <c r="I15" s="11" t="s">
        <v>35</v>
      </c>
      <c r="J15" s="11" t="s">
        <v>775</v>
      </c>
      <c r="K15" s="11" t="s">
        <v>846</v>
      </c>
      <c r="L15" s="11">
        <v>6.0</v>
      </c>
      <c r="M15" s="11">
        <v>1.0</v>
      </c>
      <c r="N15" s="11">
        <v>8.0</v>
      </c>
      <c r="O15" s="11">
        <v>10.0</v>
      </c>
      <c r="P15" s="11">
        <v>-2.0</v>
      </c>
      <c r="Q15" s="11">
        <v>12.0</v>
      </c>
      <c r="R15" s="11">
        <v>8.0</v>
      </c>
      <c r="S15" s="11">
        <v>11.0</v>
      </c>
      <c r="T15" s="11">
        <v>8.0</v>
      </c>
      <c r="U15" s="11">
        <v>8.0</v>
      </c>
      <c r="V15" s="11">
        <v>9.0</v>
      </c>
      <c r="W15" s="11">
        <v>1.0</v>
      </c>
      <c r="X15" s="29" t="s">
        <v>866</v>
      </c>
    </row>
    <row r="16" ht="14.25" customHeight="1">
      <c r="A16" s="11"/>
      <c r="B16" s="11">
        <v>1.0</v>
      </c>
      <c r="C16" s="11" t="s">
        <v>106</v>
      </c>
      <c r="D16" s="11"/>
      <c r="E16" s="11">
        <v>50.0</v>
      </c>
      <c r="F16" s="11" t="s">
        <v>866</v>
      </c>
      <c r="G16" s="11">
        <v>0.0</v>
      </c>
      <c r="H16" s="11" t="s">
        <v>127</v>
      </c>
      <c r="I16" s="11" t="s">
        <v>128</v>
      </c>
      <c r="J16" s="11" t="s">
        <v>775</v>
      </c>
      <c r="K16" s="11" t="s">
        <v>846</v>
      </c>
      <c r="L16" s="11">
        <v>5.0</v>
      </c>
      <c r="M16" s="11">
        <v>1.0</v>
      </c>
      <c r="N16" s="11">
        <v>10.0</v>
      </c>
      <c r="O16" s="11">
        <v>9.0</v>
      </c>
      <c r="P16" s="11">
        <v>1.0</v>
      </c>
      <c r="Q16" s="11">
        <v>11.0</v>
      </c>
      <c r="R16" s="11">
        <v>10.0</v>
      </c>
      <c r="S16" s="11">
        <v>10.0</v>
      </c>
      <c r="T16" s="11">
        <v>12.0</v>
      </c>
      <c r="U16" s="11">
        <v>9.0</v>
      </c>
      <c r="V16" s="11">
        <v>10.0</v>
      </c>
      <c r="W16" s="11">
        <v>1.0</v>
      </c>
      <c r="X16" s="29" t="s">
        <v>1047</v>
      </c>
    </row>
    <row r="17" ht="14.25" customHeight="1">
      <c r="A17" s="11"/>
      <c r="B17" s="11">
        <v>18.0</v>
      </c>
      <c r="C17" s="11" t="s">
        <v>106</v>
      </c>
      <c r="D17" s="11"/>
      <c r="E17" s="11">
        <v>0.0</v>
      </c>
      <c r="F17" s="11" t="s">
        <v>866</v>
      </c>
      <c r="G17" s="11">
        <v>0.0</v>
      </c>
      <c r="H17" s="11" t="s">
        <v>1048</v>
      </c>
      <c r="I17" s="11" t="s">
        <v>102</v>
      </c>
      <c r="J17" s="11" t="s">
        <v>772</v>
      </c>
      <c r="K17" s="11">
        <v>0.0</v>
      </c>
      <c r="L17" s="11">
        <v>0.0</v>
      </c>
      <c r="M17" s="11">
        <v>20.0</v>
      </c>
      <c r="N17" s="11">
        <v>232.0</v>
      </c>
      <c r="O17" s="11">
        <v>212.0</v>
      </c>
      <c r="P17" s="11">
        <v>20.0</v>
      </c>
      <c r="Q17" s="11" t="s">
        <v>36</v>
      </c>
      <c r="R17" s="11" t="s">
        <v>36</v>
      </c>
      <c r="S17" s="11">
        <v>194.0</v>
      </c>
      <c r="T17" s="11">
        <v>234.0</v>
      </c>
      <c r="U17" s="11" t="s">
        <v>36</v>
      </c>
      <c r="V17" s="11">
        <v>218.0</v>
      </c>
      <c r="W17" s="11">
        <v>19.0</v>
      </c>
      <c r="X17" s="29" t="s">
        <v>866</v>
      </c>
    </row>
    <row r="18" ht="14.25" customHeight="1">
      <c r="A18" s="11"/>
      <c r="B18" s="11">
        <v>2.0</v>
      </c>
      <c r="C18" s="11" t="s">
        <v>106</v>
      </c>
      <c r="D18" s="11"/>
      <c r="E18" s="11">
        <v>45.0</v>
      </c>
      <c r="F18" s="11" t="s">
        <v>866</v>
      </c>
      <c r="G18" s="11">
        <v>0.0</v>
      </c>
      <c r="H18" s="11" t="s">
        <v>242</v>
      </c>
      <c r="I18" s="11" t="s">
        <v>206</v>
      </c>
      <c r="J18" s="11" t="s">
        <v>775</v>
      </c>
      <c r="K18" s="11" t="s">
        <v>846</v>
      </c>
      <c r="L18" s="11">
        <v>8.0</v>
      </c>
      <c r="M18" s="11">
        <v>2.0</v>
      </c>
      <c r="N18" s="11">
        <v>13.0</v>
      </c>
      <c r="O18" s="11">
        <v>12.0</v>
      </c>
      <c r="P18" s="11">
        <v>1.0</v>
      </c>
      <c r="Q18" s="11">
        <v>20.0</v>
      </c>
      <c r="R18" s="11">
        <v>16.0</v>
      </c>
      <c r="S18" s="11">
        <v>16.0</v>
      </c>
      <c r="T18" s="11">
        <v>16.0</v>
      </c>
      <c r="U18" s="11">
        <v>13.0</v>
      </c>
      <c r="V18" s="11">
        <v>15.0</v>
      </c>
      <c r="W18" s="11">
        <v>2.0</v>
      </c>
      <c r="X18" s="29" t="s">
        <v>1047</v>
      </c>
    </row>
    <row r="19" ht="14.25" customHeight="1">
      <c r="A19" s="11"/>
      <c r="B19" s="11">
        <v>2.0</v>
      </c>
      <c r="C19" s="11" t="s">
        <v>106</v>
      </c>
      <c r="D19" s="11"/>
      <c r="E19" s="11">
        <v>45.0</v>
      </c>
      <c r="F19" s="11" t="s">
        <v>866</v>
      </c>
      <c r="G19" s="11">
        <v>0.0</v>
      </c>
      <c r="H19" s="11" t="s">
        <v>114</v>
      </c>
      <c r="I19" s="11" t="s">
        <v>40</v>
      </c>
      <c r="J19" s="11" t="s">
        <v>775</v>
      </c>
      <c r="K19" s="11" t="s">
        <v>846</v>
      </c>
      <c r="L19" s="11">
        <v>7.0</v>
      </c>
      <c r="M19" s="11">
        <v>2.0</v>
      </c>
      <c r="N19" s="11">
        <v>12.0</v>
      </c>
      <c r="O19" s="11">
        <v>15.0</v>
      </c>
      <c r="P19" s="11">
        <v>-3.0</v>
      </c>
      <c r="Q19" s="11">
        <v>23.0</v>
      </c>
      <c r="R19" s="11">
        <v>21.0</v>
      </c>
      <c r="S19" s="11">
        <v>19.0</v>
      </c>
      <c r="T19" s="11">
        <v>17.0</v>
      </c>
      <c r="U19" s="11">
        <v>20.0</v>
      </c>
      <c r="V19" s="11">
        <v>18.0</v>
      </c>
      <c r="W19" s="11">
        <v>2.0</v>
      </c>
      <c r="X19" s="29" t="s">
        <v>866</v>
      </c>
    </row>
    <row r="20" ht="14.25" customHeight="1">
      <c r="A20" s="11"/>
      <c r="B20" s="11">
        <v>18.0</v>
      </c>
      <c r="C20" s="11" t="s">
        <v>106</v>
      </c>
      <c r="D20" s="11"/>
      <c r="E20" s="11">
        <v>0.0</v>
      </c>
      <c r="F20" s="11" t="s">
        <v>866</v>
      </c>
      <c r="G20" s="11">
        <v>0.0</v>
      </c>
      <c r="H20" s="11" t="s">
        <v>282</v>
      </c>
      <c r="I20" s="11" t="s">
        <v>49</v>
      </c>
      <c r="J20" s="11" t="s">
        <v>772</v>
      </c>
      <c r="K20" s="11">
        <v>0.0</v>
      </c>
      <c r="L20" s="11">
        <v>0.0</v>
      </c>
      <c r="M20" s="11">
        <v>15.0</v>
      </c>
      <c r="N20" s="11">
        <v>179.0</v>
      </c>
      <c r="O20" s="11">
        <v>210.0</v>
      </c>
      <c r="P20" s="11">
        <v>-31.0</v>
      </c>
      <c r="Q20" s="11" t="s">
        <v>36</v>
      </c>
      <c r="R20" s="11" t="s">
        <v>36</v>
      </c>
      <c r="S20" s="11">
        <v>176.0</v>
      </c>
      <c r="T20" s="11">
        <v>200.0</v>
      </c>
      <c r="U20" s="11">
        <v>245.0</v>
      </c>
      <c r="V20" s="11">
        <v>202.0</v>
      </c>
      <c r="W20" s="11">
        <v>17.0</v>
      </c>
      <c r="X20" s="29" t="s">
        <v>1049</v>
      </c>
    </row>
    <row r="21" ht="14.25" customHeight="1">
      <c r="A21" s="11"/>
      <c r="B21" s="11">
        <v>1.0</v>
      </c>
      <c r="C21" s="11" t="s">
        <v>106</v>
      </c>
      <c r="D21" s="11"/>
      <c r="E21" s="11">
        <v>40.0</v>
      </c>
      <c r="F21" s="11" t="s">
        <v>866</v>
      </c>
      <c r="G21" s="11">
        <v>0.0</v>
      </c>
      <c r="H21" s="11" t="s">
        <v>48</v>
      </c>
      <c r="I21" s="11" t="s">
        <v>49</v>
      </c>
      <c r="J21" s="11" t="s">
        <v>775</v>
      </c>
      <c r="K21" s="11" t="s">
        <v>846</v>
      </c>
      <c r="L21" s="11">
        <v>9.0</v>
      </c>
      <c r="M21" s="11">
        <v>2.0</v>
      </c>
      <c r="N21" s="11">
        <v>16.0</v>
      </c>
      <c r="O21" s="11">
        <v>11.0</v>
      </c>
      <c r="P21" s="11">
        <v>5.0</v>
      </c>
      <c r="Q21" s="11">
        <v>14.0</v>
      </c>
      <c r="R21" s="11">
        <v>9.0</v>
      </c>
      <c r="S21" s="11">
        <v>15.0</v>
      </c>
      <c r="T21" s="11">
        <v>11.0</v>
      </c>
      <c r="U21" s="11">
        <v>7.0</v>
      </c>
      <c r="V21" s="11">
        <v>11.0</v>
      </c>
      <c r="W21" s="11">
        <v>1.0</v>
      </c>
      <c r="X21" s="29" t="s">
        <v>866</v>
      </c>
    </row>
    <row r="22" ht="14.25" customHeight="1">
      <c r="A22" s="11"/>
      <c r="B22" s="11">
        <v>17.0</v>
      </c>
      <c r="C22" s="11" t="s">
        <v>106</v>
      </c>
      <c r="D22" s="11"/>
      <c r="E22" s="11">
        <v>0.0</v>
      </c>
      <c r="F22" s="11" t="s">
        <v>866</v>
      </c>
      <c r="G22" s="11">
        <v>0.0</v>
      </c>
      <c r="H22" s="11" t="s">
        <v>834</v>
      </c>
      <c r="I22" s="11" t="s">
        <v>45</v>
      </c>
      <c r="J22" s="11" t="s">
        <v>772</v>
      </c>
      <c r="K22" s="11">
        <v>0.0</v>
      </c>
      <c r="L22" s="11">
        <v>0.0</v>
      </c>
      <c r="M22" s="11">
        <v>18.0</v>
      </c>
      <c r="N22" s="11">
        <v>204.0</v>
      </c>
      <c r="O22" s="11">
        <v>199.0</v>
      </c>
      <c r="P22" s="11">
        <v>5.0</v>
      </c>
      <c r="Q22" s="11">
        <v>200.0</v>
      </c>
      <c r="R22" s="11" t="s">
        <v>36</v>
      </c>
      <c r="S22" s="11">
        <v>173.0</v>
      </c>
      <c r="T22" s="11">
        <v>232.0</v>
      </c>
      <c r="U22" s="11" t="s">
        <v>36</v>
      </c>
      <c r="V22" s="11">
        <v>201.0</v>
      </c>
      <c r="W22" s="11">
        <v>17.0</v>
      </c>
      <c r="X22" s="29" t="s">
        <v>1050</v>
      </c>
    </row>
    <row r="23" ht="14.25" customHeight="1">
      <c r="A23" s="11"/>
      <c r="B23" s="11">
        <v>19.0</v>
      </c>
      <c r="C23" s="11" t="s">
        <v>106</v>
      </c>
      <c r="D23" s="11"/>
      <c r="E23" s="11">
        <v>1.0</v>
      </c>
      <c r="F23" s="11" t="s">
        <v>866</v>
      </c>
      <c r="G23" s="11">
        <v>0.0</v>
      </c>
      <c r="H23" s="11" t="s">
        <v>925</v>
      </c>
      <c r="I23" s="11" t="s">
        <v>131</v>
      </c>
      <c r="J23" s="11" t="s">
        <v>772</v>
      </c>
      <c r="K23" s="11">
        <v>0.0</v>
      </c>
      <c r="L23" s="11">
        <v>0.0</v>
      </c>
      <c r="M23" s="11">
        <v>19.0</v>
      </c>
      <c r="N23" s="11">
        <v>227.0</v>
      </c>
      <c r="O23" s="11">
        <v>205.0</v>
      </c>
      <c r="P23" s="11">
        <v>22.0</v>
      </c>
      <c r="Q23" s="11">
        <v>202.0</v>
      </c>
      <c r="R23" s="11" t="s">
        <v>36</v>
      </c>
      <c r="S23" s="11">
        <v>189.0</v>
      </c>
      <c r="T23" s="11">
        <v>266.0</v>
      </c>
      <c r="U23" s="11" t="s">
        <v>36</v>
      </c>
      <c r="V23" s="11">
        <v>217.0</v>
      </c>
      <c r="W23" s="11">
        <v>19.0</v>
      </c>
      <c r="X23" s="29" t="s">
        <v>866</v>
      </c>
    </row>
    <row r="24" ht="14.25" customHeight="1">
      <c r="A24" s="11"/>
      <c r="B24" s="11">
        <v>22.0</v>
      </c>
      <c r="C24" s="11" t="s">
        <v>106</v>
      </c>
      <c r="D24" s="11"/>
      <c r="E24" s="11">
        <v>0.0</v>
      </c>
      <c r="F24" s="11" t="s">
        <v>866</v>
      </c>
      <c r="G24" s="11">
        <v>0.0</v>
      </c>
      <c r="H24" s="11" t="s">
        <v>566</v>
      </c>
      <c r="I24" s="11" t="s">
        <v>162</v>
      </c>
      <c r="J24" s="11" t="s">
        <v>772</v>
      </c>
      <c r="K24" s="11">
        <v>0.0</v>
      </c>
      <c r="L24" s="11">
        <v>0.0</v>
      </c>
      <c r="M24" s="11">
        <v>18.0</v>
      </c>
      <c r="N24" s="11">
        <v>206.0</v>
      </c>
      <c r="O24" s="11">
        <v>222.0</v>
      </c>
      <c r="P24" s="11">
        <v>-16.0</v>
      </c>
      <c r="Q24" s="11" t="s">
        <v>36</v>
      </c>
      <c r="R24" s="11" t="s">
        <v>36</v>
      </c>
      <c r="S24" s="11">
        <v>195.0</v>
      </c>
      <c r="T24" s="11" t="s">
        <v>36</v>
      </c>
      <c r="U24" s="11">
        <v>318.0</v>
      </c>
      <c r="V24" s="11">
        <v>235.0</v>
      </c>
      <c r="W24" s="11">
        <v>20.0</v>
      </c>
      <c r="X24" s="29" t="s">
        <v>866</v>
      </c>
    </row>
    <row r="25" ht="14.25" customHeight="1">
      <c r="A25" s="11"/>
      <c r="B25" s="11">
        <v>21.0</v>
      </c>
      <c r="C25" s="11" t="s">
        <v>106</v>
      </c>
      <c r="D25" s="11"/>
      <c r="E25" s="11">
        <v>0.0</v>
      </c>
      <c r="F25" s="11" t="s">
        <v>866</v>
      </c>
      <c r="G25" s="11">
        <v>0.0</v>
      </c>
      <c r="H25" s="11" t="s">
        <v>969</v>
      </c>
      <c r="I25" s="11" t="s">
        <v>71</v>
      </c>
      <c r="J25" s="11" t="s">
        <v>772</v>
      </c>
      <c r="K25" s="11">
        <v>0.0</v>
      </c>
      <c r="L25" s="11">
        <v>0.0</v>
      </c>
      <c r="M25" s="11">
        <v>18.0</v>
      </c>
      <c r="N25" s="11">
        <v>215.0</v>
      </c>
      <c r="O25" s="11">
        <v>245.0</v>
      </c>
      <c r="P25" s="11">
        <v>-30.0</v>
      </c>
      <c r="Q25" s="11" t="s">
        <v>36</v>
      </c>
      <c r="R25" s="11" t="s">
        <v>36</v>
      </c>
      <c r="S25" s="11">
        <v>256.0</v>
      </c>
      <c r="T25" s="11">
        <v>222.0</v>
      </c>
      <c r="U25" s="11">
        <v>276.0</v>
      </c>
      <c r="V25" s="11">
        <v>242.0</v>
      </c>
      <c r="W25" s="11">
        <v>21.0</v>
      </c>
      <c r="X25" s="29" t="s">
        <v>866</v>
      </c>
    </row>
    <row r="26" ht="14.25" customHeight="1">
      <c r="A26" s="11"/>
      <c r="B26" s="11">
        <v>2.0</v>
      </c>
      <c r="C26" s="11" t="s">
        <v>106</v>
      </c>
      <c r="D26" s="11"/>
      <c r="E26" s="11">
        <v>35.0</v>
      </c>
      <c r="F26" s="11" t="s">
        <v>866</v>
      </c>
      <c r="G26" s="11">
        <v>0.0</v>
      </c>
      <c r="H26" s="11" t="s">
        <v>113</v>
      </c>
      <c r="I26" s="11" t="s">
        <v>85</v>
      </c>
      <c r="J26" s="11" t="s">
        <v>775</v>
      </c>
      <c r="K26" s="11" t="s">
        <v>845</v>
      </c>
      <c r="L26" s="11">
        <v>11.0</v>
      </c>
      <c r="M26" s="11">
        <v>2.0</v>
      </c>
      <c r="N26" s="11">
        <v>18.0</v>
      </c>
      <c r="O26" s="11">
        <v>17.0</v>
      </c>
      <c r="P26" s="11">
        <v>1.0</v>
      </c>
      <c r="Q26" s="11">
        <v>27.0</v>
      </c>
      <c r="R26" s="11">
        <v>18.0</v>
      </c>
      <c r="S26" s="11">
        <v>23.0</v>
      </c>
      <c r="T26" s="11">
        <v>18.0</v>
      </c>
      <c r="U26" s="11">
        <v>15.0</v>
      </c>
      <c r="V26" s="11">
        <v>19.0</v>
      </c>
      <c r="W26" s="11">
        <v>2.0</v>
      </c>
      <c r="X26" s="29" t="s">
        <v>866</v>
      </c>
    </row>
    <row r="27" ht="14.25" customHeight="1">
      <c r="A27" s="11"/>
      <c r="B27" s="11" t="e">
        <v>#N/A</v>
      </c>
      <c r="C27" s="11" t="s">
        <v>106</v>
      </c>
      <c r="D27" s="11"/>
      <c r="E27" s="11">
        <v>0.0</v>
      </c>
      <c r="F27" s="11" t="s">
        <v>866</v>
      </c>
      <c r="G27" s="11">
        <v>0.0</v>
      </c>
      <c r="H27" s="11" t="s">
        <v>576</v>
      </c>
      <c r="I27" s="11" t="e">
        <v>#N/A</v>
      </c>
      <c r="J27" s="11" t="e">
        <v>#N/A</v>
      </c>
      <c r="K27" s="11">
        <v>0.0</v>
      </c>
      <c r="L27" s="11">
        <v>0.0</v>
      </c>
      <c r="M27" s="11">
        <v>16.0</v>
      </c>
      <c r="N27" s="11" t="e">
        <v>#N/A</v>
      </c>
      <c r="O27" s="11" t="e">
        <v>#N/A</v>
      </c>
      <c r="P27" s="11" t="e">
        <v>#N/A</v>
      </c>
      <c r="Q27" s="11" t="e">
        <v>#N/A</v>
      </c>
      <c r="R27" s="11" t="e">
        <v>#N/A</v>
      </c>
      <c r="S27" s="11" t="e">
        <v>#N/A</v>
      </c>
      <c r="T27" s="11" t="e">
        <v>#N/A</v>
      </c>
      <c r="U27" s="11" t="e">
        <v>#N/A</v>
      </c>
      <c r="V27" s="11" t="e">
        <v>#N/A</v>
      </c>
      <c r="W27" s="11">
        <v>16.0</v>
      </c>
      <c r="X27" s="29" t="s">
        <v>1051</v>
      </c>
    </row>
    <row r="28" ht="14.25" customHeight="1">
      <c r="A28" s="11"/>
      <c r="B28" s="11">
        <v>3.0</v>
      </c>
      <c r="C28" s="11" t="s">
        <v>106</v>
      </c>
      <c r="D28" s="11"/>
      <c r="E28" s="11">
        <v>35.0</v>
      </c>
      <c r="F28" s="11" t="s">
        <v>866</v>
      </c>
      <c r="G28" s="11">
        <v>0.0</v>
      </c>
      <c r="H28" s="11" t="s">
        <v>173</v>
      </c>
      <c r="I28" s="11" t="s">
        <v>105</v>
      </c>
      <c r="J28" s="11" t="s">
        <v>775</v>
      </c>
      <c r="K28" s="11" t="s">
        <v>845</v>
      </c>
      <c r="L28" s="11">
        <v>10.0</v>
      </c>
      <c r="M28" s="11">
        <v>2.0</v>
      </c>
      <c r="N28" s="11">
        <v>22.0</v>
      </c>
      <c r="O28" s="11">
        <v>21.0</v>
      </c>
      <c r="P28" s="11">
        <v>1.0</v>
      </c>
      <c r="Q28" s="11">
        <v>29.0</v>
      </c>
      <c r="R28" s="11">
        <v>30.0</v>
      </c>
      <c r="S28" s="11">
        <v>25.0</v>
      </c>
      <c r="T28" s="11">
        <v>24.0</v>
      </c>
      <c r="U28" s="11">
        <v>23.0</v>
      </c>
      <c r="V28" s="11">
        <v>24.0</v>
      </c>
      <c r="W28" s="11">
        <v>3.0</v>
      </c>
      <c r="X28" s="29" t="s">
        <v>1052</v>
      </c>
    </row>
    <row r="29" ht="14.25" customHeight="1">
      <c r="A29" s="11"/>
      <c r="B29" s="11">
        <v>2.0</v>
      </c>
      <c r="C29" s="11" t="s">
        <v>106</v>
      </c>
      <c r="D29" s="11"/>
      <c r="E29" s="11"/>
      <c r="F29" s="11" t="s">
        <v>866</v>
      </c>
      <c r="G29" s="11">
        <v>0.0</v>
      </c>
      <c r="H29" s="11" t="s">
        <v>111</v>
      </c>
      <c r="I29" s="11" t="s">
        <v>98</v>
      </c>
      <c r="J29" s="11" t="s">
        <v>781</v>
      </c>
      <c r="K29" s="11" t="s">
        <v>166</v>
      </c>
      <c r="L29" s="11">
        <v>1.0</v>
      </c>
      <c r="M29" s="11">
        <v>2.0</v>
      </c>
      <c r="N29" s="11">
        <v>23.0</v>
      </c>
      <c r="O29" s="11">
        <v>18.0</v>
      </c>
      <c r="P29" s="11">
        <v>5.0</v>
      </c>
      <c r="Q29" s="11">
        <v>24.0</v>
      </c>
      <c r="R29" s="11">
        <v>20.0</v>
      </c>
      <c r="S29" s="11">
        <v>7.0</v>
      </c>
      <c r="T29" s="11">
        <v>19.0</v>
      </c>
      <c r="U29" s="11">
        <v>17.0</v>
      </c>
      <c r="V29" s="11">
        <v>18.0</v>
      </c>
      <c r="W29" s="11">
        <v>2.0</v>
      </c>
      <c r="X29" s="29" t="s">
        <v>866</v>
      </c>
    </row>
    <row r="30" ht="14.25" customHeight="1">
      <c r="A30" s="11"/>
      <c r="B30" s="11">
        <v>3.0</v>
      </c>
      <c r="C30" s="11" t="s">
        <v>106</v>
      </c>
      <c r="D30" s="11"/>
      <c r="E30" s="11"/>
      <c r="F30" s="11" t="s">
        <v>866</v>
      </c>
      <c r="G30" s="11">
        <v>0.0</v>
      </c>
      <c r="H30" s="11" t="s">
        <v>124</v>
      </c>
      <c r="I30" s="11" t="s">
        <v>125</v>
      </c>
      <c r="J30" s="11" t="s">
        <v>781</v>
      </c>
      <c r="K30" s="11" t="s">
        <v>166</v>
      </c>
      <c r="L30" s="11">
        <v>2.0</v>
      </c>
      <c r="M30" s="11">
        <v>3.0</v>
      </c>
      <c r="N30" s="11">
        <v>24.0</v>
      </c>
      <c r="O30" s="11">
        <v>25.0</v>
      </c>
      <c r="P30" s="11">
        <v>-1.0</v>
      </c>
      <c r="Q30" s="11">
        <v>35.0</v>
      </c>
      <c r="R30" s="11">
        <v>25.0</v>
      </c>
      <c r="S30" s="11">
        <v>13.0</v>
      </c>
      <c r="T30" s="11">
        <v>26.0</v>
      </c>
      <c r="U30" s="11">
        <v>27.0</v>
      </c>
      <c r="V30" s="11">
        <v>25.0</v>
      </c>
      <c r="W30" s="11">
        <v>3.0</v>
      </c>
      <c r="X30" s="29" t="s">
        <v>866</v>
      </c>
    </row>
    <row r="31" ht="14.25" customHeight="1">
      <c r="A31" s="11"/>
      <c r="B31" s="11">
        <v>3.0</v>
      </c>
      <c r="C31" s="11" t="s">
        <v>106</v>
      </c>
      <c r="D31" s="11"/>
      <c r="E31" s="11"/>
      <c r="F31" s="11" t="s">
        <v>866</v>
      </c>
      <c r="G31" s="11">
        <v>0.0</v>
      </c>
      <c r="H31" s="11" t="s">
        <v>284</v>
      </c>
      <c r="I31" s="11" t="s">
        <v>58</v>
      </c>
      <c r="J31" s="11" t="s">
        <v>781</v>
      </c>
      <c r="K31" s="11" t="s">
        <v>166</v>
      </c>
      <c r="L31" s="11">
        <v>3.0</v>
      </c>
      <c r="M31" s="11">
        <v>3.0</v>
      </c>
      <c r="N31" s="11">
        <v>25.0</v>
      </c>
      <c r="O31" s="11">
        <v>34.0</v>
      </c>
      <c r="P31" s="11">
        <v>-9.0</v>
      </c>
      <c r="Q31" s="11">
        <v>38.0</v>
      </c>
      <c r="R31" s="11">
        <v>35.0</v>
      </c>
      <c r="S31" s="11">
        <v>24.0</v>
      </c>
      <c r="T31" s="11">
        <v>38.0</v>
      </c>
      <c r="U31" s="11">
        <v>38.0</v>
      </c>
      <c r="V31" s="11">
        <v>33.0</v>
      </c>
      <c r="W31" s="11">
        <v>3.0</v>
      </c>
      <c r="X31" s="29" t="s">
        <v>866</v>
      </c>
    </row>
    <row r="32" ht="14.25" customHeight="1">
      <c r="A32" s="11"/>
      <c r="B32" s="11">
        <v>2.0</v>
      </c>
      <c r="C32" s="11" t="s">
        <v>106</v>
      </c>
      <c r="D32" s="11"/>
      <c r="E32" s="11"/>
      <c r="F32" s="11" t="s">
        <v>866</v>
      </c>
      <c r="G32" s="11">
        <v>0.0</v>
      </c>
      <c r="H32" s="11" t="s">
        <v>183</v>
      </c>
      <c r="I32" s="11" t="s">
        <v>109</v>
      </c>
      <c r="J32" s="11" t="s">
        <v>770</v>
      </c>
      <c r="K32" s="11" t="s">
        <v>233</v>
      </c>
      <c r="L32" s="11">
        <v>1.0</v>
      </c>
      <c r="M32" s="11">
        <v>3.0</v>
      </c>
      <c r="N32" s="11">
        <v>26.0</v>
      </c>
      <c r="O32" s="11">
        <v>29.0</v>
      </c>
      <c r="P32" s="11">
        <v>-3.0</v>
      </c>
      <c r="Q32" s="11">
        <v>17.0</v>
      </c>
      <c r="R32" s="11">
        <v>23.0</v>
      </c>
      <c r="S32" s="11">
        <v>29.0</v>
      </c>
      <c r="T32" s="11">
        <v>23.0</v>
      </c>
      <c r="U32" s="11">
        <v>18.0</v>
      </c>
      <c r="V32" s="11">
        <v>23.0</v>
      </c>
      <c r="W32" s="11">
        <v>2.0</v>
      </c>
      <c r="X32" s="29" t="s">
        <v>866</v>
      </c>
    </row>
    <row r="33" ht="14.25" customHeight="1">
      <c r="A33" s="11"/>
      <c r="B33" s="11">
        <v>18.0</v>
      </c>
      <c r="C33" s="11" t="s">
        <v>106</v>
      </c>
      <c r="D33" s="11"/>
      <c r="E33" s="11">
        <v>0.0</v>
      </c>
      <c r="F33" s="11" t="s">
        <v>866</v>
      </c>
      <c r="G33" s="11">
        <v>0.0</v>
      </c>
      <c r="H33" s="11" t="s">
        <v>1053</v>
      </c>
      <c r="I33" s="11" t="s">
        <v>102</v>
      </c>
      <c r="J33" s="11" t="s">
        <v>772</v>
      </c>
      <c r="K33" s="11">
        <v>0.0</v>
      </c>
      <c r="L33" s="11">
        <v>0.0</v>
      </c>
      <c r="M33" s="11">
        <v>16.0</v>
      </c>
      <c r="N33" s="11" t="s">
        <v>36</v>
      </c>
      <c r="O33" s="11">
        <v>209.0</v>
      </c>
      <c r="P33" s="11" t="e">
        <v>#VALUE!</v>
      </c>
      <c r="Q33" s="11">
        <v>215.0</v>
      </c>
      <c r="R33" s="11">
        <v>255.0</v>
      </c>
      <c r="S33" s="11">
        <v>191.0</v>
      </c>
      <c r="T33" s="11">
        <v>193.0</v>
      </c>
      <c r="U33" s="11">
        <v>204.0</v>
      </c>
      <c r="V33" s="11">
        <v>211.0</v>
      </c>
      <c r="W33" s="11">
        <v>18.0</v>
      </c>
      <c r="X33" s="29" t="s">
        <v>866</v>
      </c>
    </row>
    <row r="34" ht="14.25" customHeight="1">
      <c r="A34" s="11"/>
      <c r="B34" s="11">
        <v>2.0</v>
      </c>
      <c r="C34" s="11" t="s">
        <v>106</v>
      </c>
      <c r="D34" s="11"/>
      <c r="E34" s="11"/>
      <c r="F34" s="11" t="s">
        <v>866</v>
      </c>
      <c r="G34" s="11">
        <v>0.0</v>
      </c>
      <c r="H34" s="11" t="s">
        <v>136</v>
      </c>
      <c r="I34" s="11" t="s">
        <v>67</v>
      </c>
      <c r="J34" s="11" t="s">
        <v>770</v>
      </c>
      <c r="K34" s="11" t="s">
        <v>233</v>
      </c>
      <c r="L34" s="11">
        <v>2.0</v>
      </c>
      <c r="M34" s="11">
        <v>3.0</v>
      </c>
      <c r="N34" s="11">
        <v>28.0</v>
      </c>
      <c r="O34" s="11">
        <v>28.0</v>
      </c>
      <c r="P34" s="11">
        <v>0.0</v>
      </c>
      <c r="Q34" s="11">
        <v>15.0</v>
      </c>
      <c r="R34" s="11">
        <v>19.0</v>
      </c>
      <c r="S34" s="11">
        <v>27.0</v>
      </c>
      <c r="T34" s="11">
        <v>21.0</v>
      </c>
      <c r="U34" s="11">
        <v>21.0</v>
      </c>
      <c r="V34" s="11">
        <v>22.0</v>
      </c>
      <c r="W34" s="11">
        <v>2.0</v>
      </c>
      <c r="X34" s="29" t="s">
        <v>866</v>
      </c>
    </row>
    <row r="35" ht="14.25" customHeight="1">
      <c r="A35" s="11"/>
      <c r="B35" s="48">
        <v>3.0</v>
      </c>
      <c r="C35" s="11" t="s">
        <v>106</v>
      </c>
      <c r="D35" s="11"/>
      <c r="E35" s="11">
        <v>35.0</v>
      </c>
      <c r="F35" s="11" t="s">
        <v>866</v>
      </c>
      <c r="G35" s="11">
        <v>0.0</v>
      </c>
      <c r="H35" s="11" t="s">
        <v>158</v>
      </c>
      <c r="I35" s="48" t="s">
        <v>45</v>
      </c>
      <c r="J35" s="11" t="s">
        <v>775</v>
      </c>
      <c r="K35" s="11" t="s">
        <v>845</v>
      </c>
      <c r="L35" s="11">
        <v>12.0</v>
      </c>
      <c r="M35" s="11">
        <v>3.0</v>
      </c>
      <c r="N35" s="11">
        <v>29.0</v>
      </c>
      <c r="O35" s="11">
        <v>24.0</v>
      </c>
      <c r="P35" s="11">
        <v>5.0</v>
      </c>
      <c r="Q35" s="11">
        <v>32.0</v>
      </c>
      <c r="R35" s="11">
        <v>26.0</v>
      </c>
      <c r="S35" s="11">
        <v>30.0</v>
      </c>
      <c r="T35" s="11">
        <v>31.0</v>
      </c>
      <c r="U35" s="11">
        <v>33.0</v>
      </c>
      <c r="V35" s="11">
        <v>29.0</v>
      </c>
      <c r="W35" s="11">
        <v>3.0</v>
      </c>
      <c r="X35" s="29" t="s">
        <v>866</v>
      </c>
    </row>
    <row r="36" ht="14.25" customHeight="1">
      <c r="A36" s="11"/>
      <c r="B36" s="11">
        <v>3.0</v>
      </c>
      <c r="C36" s="11" t="s">
        <v>106</v>
      </c>
      <c r="D36" s="11"/>
      <c r="E36" s="11">
        <v>33.0</v>
      </c>
      <c r="F36" s="11" t="s">
        <v>866</v>
      </c>
      <c r="G36" s="11">
        <v>0.0</v>
      </c>
      <c r="H36" s="11" t="s">
        <v>51</v>
      </c>
      <c r="I36" s="11" t="s">
        <v>52</v>
      </c>
      <c r="J36" s="11" t="s">
        <v>775</v>
      </c>
      <c r="K36" s="11" t="s">
        <v>843</v>
      </c>
      <c r="L36" s="11">
        <v>13.0</v>
      </c>
      <c r="M36" s="11">
        <v>3.0</v>
      </c>
      <c r="N36" s="11">
        <v>33.0</v>
      </c>
      <c r="O36" s="11">
        <v>32.0</v>
      </c>
      <c r="P36" s="11">
        <v>1.0</v>
      </c>
      <c r="Q36" s="11">
        <v>40.0</v>
      </c>
      <c r="R36" s="11">
        <v>37.0</v>
      </c>
      <c r="S36" s="11">
        <v>31.0</v>
      </c>
      <c r="T36" s="11">
        <v>29.0</v>
      </c>
      <c r="U36" s="11">
        <v>39.0</v>
      </c>
      <c r="V36" s="11">
        <v>34.0</v>
      </c>
      <c r="W36" s="11">
        <v>3.0</v>
      </c>
      <c r="X36" s="29" t="s">
        <v>866</v>
      </c>
    </row>
    <row r="37" ht="14.25" customHeight="1">
      <c r="A37" s="11"/>
      <c r="B37" s="11">
        <v>3.0</v>
      </c>
      <c r="C37" s="11" t="s">
        <v>106</v>
      </c>
      <c r="D37" s="11"/>
      <c r="E37" s="11"/>
      <c r="F37" s="11" t="s">
        <v>866</v>
      </c>
      <c r="G37" s="11">
        <v>0.0</v>
      </c>
      <c r="H37" s="11" t="s">
        <v>224</v>
      </c>
      <c r="I37" s="11" t="s">
        <v>192</v>
      </c>
      <c r="J37" s="11" t="s">
        <v>770</v>
      </c>
      <c r="K37" s="11" t="s">
        <v>860</v>
      </c>
      <c r="L37" s="11">
        <v>4.0</v>
      </c>
      <c r="M37" s="11">
        <v>3.0</v>
      </c>
      <c r="N37" s="11">
        <v>30.0</v>
      </c>
      <c r="O37" s="11">
        <v>37.0</v>
      </c>
      <c r="P37" s="11">
        <v>-7.0</v>
      </c>
      <c r="Q37" s="11">
        <v>30.0</v>
      </c>
      <c r="R37" s="11">
        <v>27.0</v>
      </c>
      <c r="S37" s="11">
        <v>35.0</v>
      </c>
      <c r="T37" s="11">
        <v>33.0</v>
      </c>
      <c r="U37" s="11">
        <v>29.0</v>
      </c>
      <c r="V37" s="11">
        <v>31.0</v>
      </c>
      <c r="W37" s="11">
        <v>3.0</v>
      </c>
      <c r="X37" s="29" t="s">
        <v>866</v>
      </c>
    </row>
    <row r="38" ht="14.25" customHeight="1">
      <c r="A38" s="11"/>
      <c r="B38" s="11">
        <v>18.0</v>
      </c>
      <c r="C38" s="11" t="s">
        <v>106</v>
      </c>
      <c r="D38" s="11"/>
      <c r="E38" s="11">
        <v>0.0</v>
      </c>
      <c r="F38" s="11" t="s">
        <v>866</v>
      </c>
      <c r="G38" s="11">
        <v>0.0</v>
      </c>
      <c r="H38" s="11" t="s">
        <v>606</v>
      </c>
      <c r="I38" s="11" t="s">
        <v>109</v>
      </c>
      <c r="J38" s="11" t="s">
        <v>772</v>
      </c>
      <c r="K38" s="11">
        <v>0.0</v>
      </c>
      <c r="L38" s="11">
        <v>0.0</v>
      </c>
      <c r="M38" s="11">
        <v>16.0</v>
      </c>
      <c r="N38" s="11" t="s">
        <v>36</v>
      </c>
      <c r="O38" s="11">
        <v>221.0</v>
      </c>
      <c r="P38" s="11" t="e">
        <v>#VALUE!</v>
      </c>
      <c r="Q38" s="11" t="s">
        <v>36</v>
      </c>
      <c r="R38" s="11" t="s">
        <v>36</v>
      </c>
      <c r="S38" s="11">
        <v>193.0</v>
      </c>
      <c r="T38" s="11">
        <v>213.0</v>
      </c>
      <c r="U38" s="11">
        <v>232.0</v>
      </c>
      <c r="V38" s="11">
        <v>214.0</v>
      </c>
      <c r="W38" s="11">
        <v>18.0</v>
      </c>
      <c r="X38" s="29" t="s">
        <v>866</v>
      </c>
    </row>
    <row r="39" ht="14.25" customHeight="1">
      <c r="A39" s="11"/>
      <c r="B39" s="48">
        <v>4.0</v>
      </c>
      <c r="C39" s="11" t="s">
        <v>106</v>
      </c>
      <c r="D39" s="11"/>
      <c r="E39" s="11">
        <v>28.0</v>
      </c>
      <c r="F39" s="11" t="s">
        <v>866</v>
      </c>
      <c r="G39" s="11">
        <v>0.0</v>
      </c>
      <c r="H39" s="11" t="s">
        <v>156</v>
      </c>
      <c r="I39" s="11" t="s">
        <v>148</v>
      </c>
      <c r="J39" s="11" t="s">
        <v>775</v>
      </c>
      <c r="K39" s="11" t="s">
        <v>843</v>
      </c>
      <c r="L39" s="11">
        <v>17.0</v>
      </c>
      <c r="M39" s="11">
        <v>4.0</v>
      </c>
      <c r="N39" s="11">
        <v>39.0</v>
      </c>
      <c r="O39" s="11">
        <v>35.0</v>
      </c>
      <c r="P39" s="11">
        <v>4.0</v>
      </c>
      <c r="Q39" s="11">
        <v>51.0</v>
      </c>
      <c r="R39" s="11">
        <v>41.0</v>
      </c>
      <c r="S39" s="11">
        <v>39.0</v>
      </c>
      <c r="T39" s="11">
        <v>34.0</v>
      </c>
      <c r="U39" s="11">
        <v>37.0</v>
      </c>
      <c r="V39" s="11">
        <v>39.0</v>
      </c>
      <c r="W39" s="11">
        <v>4.0</v>
      </c>
      <c r="X39" s="29" t="s">
        <v>866</v>
      </c>
    </row>
    <row r="40" ht="14.25" customHeight="1">
      <c r="A40" s="11"/>
      <c r="B40" s="11">
        <v>4.0</v>
      </c>
      <c r="C40" s="11" t="s">
        <v>106</v>
      </c>
      <c r="D40" s="11"/>
      <c r="E40" s="11">
        <v>28.0</v>
      </c>
      <c r="F40" s="11" t="s">
        <v>866</v>
      </c>
      <c r="G40" s="11">
        <v>0.0</v>
      </c>
      <c r="H40" s="11" t="s">
        <v>220</v>
      </c>
      <c r="I40" s="11" t="s">
        <v>162</v>
      </c>
      <c r="J40" s="11" t="s">
        <v>775</v>
      </c>
      <c r="K40" s="11" t="s">
        <v>843</v>
      </c>
      <c r="L40" s="11">
        <v>15.0</v>
      </c>
      <c r="M40" s="11">
        <v>3.0</v>
      </c>
      <c r="N40" s="11">
        <v>32.0</v>
      </c>
      <c r="O40" s="11">
        <v>33.0</v>
      </c>
      <c r="P40" s="11">
        <v>-1.0</v>
      </c>
      <c r="Q40" s="11">
        <v>36.0</v>
      </c>
      <c r="R40" s="11">
        <v>43.0</v>
      </c>
      <c r="S40" s="11">
        <v>38.0</v>
      </c>
      <c r="T40" s="11">
        <v>39.0</v>
      </c>
      <c r="U40" s="11">
        <v>32.0</v>
      </c>
      <c r="V40" s="11">
        <v>36.0</v>
      </c>
      <c r="W40" s="11">
        <v>4.0</v>
      </c>
      <c r="X40" s="29" t="s">
        <v>866</v>
      </c>
    </row>
    <row r="41" ht="14.25" customHeight="1">
      <c r="A41" s="11"/>
      <c r="B41" s="11">
        <v>20.0</v>
      </c>
      <c r="C41" s="11" t="s">
        <v>106</v>
      </c>
      <c r="D41" s="11"/>
      <c r="E41" s="11">
        <v>0.0</v>
      </c>
      <c r="F41" s="11" t="s">
        <v>866</v>
      </c>
      <c r="G41" s="11">
        <v>0.0</v>
      </c>
      <c r="H41" s="11" t="s">
        <v>819</v>
      </c>
      <c r="I41" s="11" t="s">
        <v>98</v>
      </c>
      <c r="J41" s="11" t="s">
        <v>772</v>
      </c>
      <c r="K41" s="11">
        <v>0.0</v>
      </c>
      <c r="L41" s="11">
        <v>0.0</v>
      </c>
      <c r="M41" s="11">
        <v>16.0</v>
      </c>
      <c r="N41" s="11" t="s">
        <v>36</v>
      </c>
      <c r="O41" s="11">
        <v>252.0</v>
      </c>
      <c r="P41" s="11" t="e">
        <v>#VALUE!</v>
      </c>
      <c r="Q41" s="11">
        <v>191.0</v>
      </c>
      <c r="R41" s="11" t="s">
        <v>36</v>
      </c>
      <c r="S41" s="11">
        <v>221.0</v>
      </c>
      <c r="T41" s="11">
        <v>260.0</v>
      </c>
      <c r="U41" s="11">
        <v>247.0</v>
      </c>
      <c r="V41" s="11">
        <v>234.0</v>
      </c>
      <c r="W41" s="11">
        <v>20.0</v>
      </c>
      <c r="X41" s="29" t="s">
        <v>866</v>
      </c>
    </row>
    <row r="42" ht="14.25" customHeight="1">
      <c r="A42" s="11"/>
      <c r="B42" s="11">
        <v>3.0</v>
      </c>
      <c r="C42" s="11" t="s">
        <v>106</v>
      </c>
      <c r="D42" s="11"/>
      <c r="E42" s="11"/>
      <c r="F42" s="11" t="s">
        <v>866</v>
      </c>
      <c r="G42" s="11">
        <v>0.0</v>
      </c>
      <c r="H42" s="11" t="s">
        <v>234</v>
      </c>
      <c r="I42" s="11" t="s">
        <v>85</v>
      </c>
      <c r="J42" s="11" t="s">
        <v>770</v>
      </c>
      <c r="K42" s="11" t="s">
        <v>860</v>
      </c>
      <c r="L42" s="11">
        <v>3.0</v>
      </c>
      <c r="M42" s="11">
        <v>3.0</v>
      </c>
      <c r="N42" s="11">
        <v>35.0</v>
      </c>
      <c r="O42" s="11">
        <v>44.0</v>
      </c>
      <c r="P42" s="11">
        <v>-9.0</v>
      </c>
      <c r="Q42" s="11">
        <v>31.0</v>
      </c>
      <c r="R42" s="11">
        <v>28.0</v>
      </c>
      <c r="S42" s="11">
        <v>40.0</v>
      </c>
      <c r="T42" s="11">
        <v>37.0</v>
      </c>
      <c r="U42" s="11">
        <v>34.0</v>
      </c>
      <c r="V42" s="11">
        <v>35.0</v>
      </c>
      <c r="W42" s="11">
        <v>3.0</v>
      </c>
      <c r="X42" s="29" t="s">
        <v>866</v>
      </c>
    </row>
    <row r="43" ht="14.25" customHeight="1">
      <c r="A43" s="11"/>
      <c r="B43" s="48">
        <v>4.0</v>
      </c>
      <c r="C43" s="11" t="s">
        <v>106</v>
      </c>
      <c r="D43" s="11"/>
      <c r="E43" s="11">
        <v>30.0</v>
      </c>
      <c r="F43" s="11" t="s">
        <v>866</v>
      </c>
      <c r="G43" s="11" t="s">
        <v>106</v>
      </c>
      <c r="H43" s="11" t="s">
        <v>228</v>
      </c>
      <c r="I43" s="11" t="s">
        <v>125</v>
      </c>
      <c r="J43" s="11" t="s">
        <v>775</v>
      </c>
      <c r="K43" s="11" t="s">
        <v>843</v>
      </c>
      <c r="L43" s="11">
        <v>14.0</v>
      </c>
      <c r="M43" s="11">
        <v>4.0</v>
      </c>
      <c r="N43" s="11">
        <v>37.0</v>
      </c>
      <c r="O43" s="11">
        <v>30.0</v>
      </c>
      <c r="P43" s="11">
        <v>7.0</v>
      </c>
      <c r="Q43" s="11">
        <v>46.0</v>
      </c>
      <c r="R43" s="11">
        <v>44.0</v>
      </c>
      <c r="S43" s="11">
        <v>41.0</v>
      </c>
      <c r="T43" s="11">
        <v>36.0</v>
      </c>
      <c r="U43" s="11">
        <v>41.0</v>
      </c>
      <c r="V43" s="11">
        <v>39.0</v>
      </c>
      <c r="W43" s="11">
        <v>4.0</v>
      </c>
      <c r="X43" s="29" t="s">
        <v>1047</v>
      </c>
    </row>
    <row r="44" ht="14.25" customHeight="1">
      <c r="A44" s="11"/>
      <c r="B44" s="11">
        <v>3.0</v>
      </c>
      <c r="C44" s="11" t="s">
        <v>106</v>
      </c>
      <c r="D44" s="11"/>
      <c r="E44" s="11">
        <v>30.0</v>
      </c>
      <c r="F44" s="11" t="s">
        <v>866</v>
      </c>
      <c r="G44" s="11" t="s">
        <v>106</v>
      </c>
      <c r="H44" s="11" t="s">
        <v>132</v>
      </c>
      <c r="I44" s="11" t="s">
        <v>94</v>
      </c>
      <c r="J44" s="11" t="s">
        <v>775</v>
      </c>
      <c r="K44" s="11" t="s">
        <v>843</v>
      </c>
      <c r="L44" s="11">
        <v>16.0</v>
      </c>
      <c r="M44" s="11">
        <v>4.0</v>
      </c>
      <c r="N44" s="11">
        <v>42.0</v>
      </c>
      <c r="O44" s="11">
        <v>26.0</v>
      </c>
      <c r="P44" s="11">
        <v>16.0</v>
      </c>
      <c r="Q44" s="11">
        <v>39.0</v>
      </c>
      <c r="R44" s="11">
        <v>31.0</v>
      </c>
      <c r="S44" s="11">
        <v>36.0</v>
      </c>
      <c r="T44" s="11">
        <v>27.0</v>
      </c>
      <c r="U44" s="11">
        <v>36.0</v>
      </c>
      <c r="V44" s="11">
        <v>33.0</v>
      </c>
      <c r="W44" s="11">
        <v>3.0</v>
      </c>
      <c r="X44" s="29" t="s">
        <v>1054</v>
      </c>
    </row>
    <row r="45" ht="14.25" customHeight="1">
      <c r="A45" s="11"/>
      <c r="B45" s="11">
        <v>24.0</v>
      </c>
      <c r="C45" s="11" t="s">
        <v>106</v>
      </c>
      <c r="D45" s="11"/>
      <c r="E45" s="11">
        <v>0.0</v>
      </c>
      <c r="F45" s="11" t="s">
        <v>866</v>
      </c>
      <c r="G45" s="11">
        <v>0.0</v>
      </c>
      <c r="H45" s="11" t="s">
        <v>920</v>
      </c>
      <c r="I45" s="11" t="s">
        <v>102</v>
      </c>
      <c r="J45" s="11" t="s">
        <v>772</v>
      </c>
      <c r="K45" s="11">
        <v>0.0</v>
      </c>
      <c r="L45" s="11">
        <v>0.0</v>
      </c>
      <c r="M45" s="11">
        <v>16.0</v>
      </c>
      <c r="N45" s="11" t="s">
        <v>36</v>
      </c>
      <c r="O45" s="11">
        <v>300.0</v>
      </c>
      <c r="P45" s="11" t="e">
        <v>#VALUE!</v>
      </c>
      <c r="Q45" s="11" t="s">
        <v>36</v>
      </c>
      <c r="R45" s="11" t="s">
        <v>36</v>
      </c>
      <c r="S45" s="11">
        <v>293.0</v>
      </c>
      <c r="T45" s="11">
        <v>287.0</v>
      </c>
      <c r="U45" s="11">
        <v>252.0</v>
      </c>
      <c r="V45" s="11">
        <v>283.0</v>
      </c>
      <c r="W45" s="11">
        <v>24.0</v>
      </c>
      <c r="X45" s="29" t="s">
        <v>866</v>
      </c>
    </row>
    <row r="46" ht="14.25" customHeight="1">
      <c r="A46" s="11"/>
      <c r="B46" s="11">
        <v>21.0</v>
      </c>
      <c r="C46" s="11" t="s">
        <v>106</v>
      </c>
      <c r="D46" s="11"/>
      <c r="E46" s="11">
        <v>0.0</v>
      </c>
      <c r="F46" s="11" t="s">
        <v>866</v>
      </c>
      <c r="G46" s="11">
        <v>0.0</v>
      </c>
      <c r="H46" s="11" t="s">
        <v>808</v>
      </c>
      <c r="I46" s="11" t="s">
        <v>62</v>
      </c>
      <c r="J46" s="11" t="s">
        <v>772</v>
      </c>
      <c r="K46" s="11" t="s">
        <v>903</v>
      </c>
      <c r="L46" s="11">
        <v>0.0</v>
      </c>
      <c r="M46" s="11">
        <v>17.0</v>
      </c>
      <c r="N46" s="11">
        <v>202.0</v>
      </c>
      <c r="O46" s="11">
        <v>189.0</v>
      </c>
      <c r="P46" s="11">
        <v>13.0</v>
      </c>
      <c r="Q46" s="11" t="s">
        <v>36</v>
      </c>
      <c r="R46" s="11" t="s">
        <v>36</v>
      </c>
      <c r="S46" s="11">
        <v>178.0</v>
      </c>
      <c r="T46" s="11">
        <v>237.0</v>
      </c>
      <c r="U46" s="11">
        <v>316.0</v>
      </c>
      <c r="V46" s="11">
        <v>224.0</v>
      </c>
      <c r="W46" s="11">
        <v>19.0</v>
      </c>
      <c r="X46" s="29" t="s">
        <v>1055</v>
      </c>
    </row>
    <row r="47" ht="14.25" customHeight="1">
      <c r="A47" s="11"/>
      <c r="B47" s="11">
        <v>4.0</v>
      </c>
      <c r="C47" s="11" t="s">
        <v>106</v>
      </c>
      <c r="D47" s="11"/>
      <c r="E47" s="11"/>
      <c r="F47" s="11" t="s">
        <v>866</v>
      </c>
      <c r="G47" s="11">
        <v>0.0</v>
      </c>
      <c r="H47" s="11" t="s">
        <v>191</v>
      </c>
      <c r="I47" s="11" t="s">
        <v>192</v>
      </c>
      <c r="J47" s="11" t="s">
        <v>775</v>
      </c>
      <c r="K47" s="11" t="s">
        <v>852</v>
      </c>
      <c r="L47" s="11">
        <v>17.0</v>
      </c>
      <c r="M47" s="11">
        <v>4.0</v>
      </c>
      <c r="N47" s="11">
        <v>36.0</v>
      </c>
      <c r="O47" s="11">
        <v>41.0</v>
      </c>
      <c r="P47" s="11">
        <v>-5.0</v>
      </c>
      <c r="Q47" s="11">
        <v>45.0</v>
      </c>
      <c r="R47" s="11">
        <v>36.0</v>
      </c>
      <c r="S47" s="11">
        <v>46.0</v>
      </c>
      <c r="T47" s="11">
        <v>42.0</v>
      </c>
      <c r="U47" s="11">
        <v>28.0</v>
      </c>
      <c r="V47" s="11">
        <v>39.0</v>
      </c>
      <c r="W47" s="11">
        <v>4.0</v>
      </c>
      <c r="X47" s="29" t="s">
        <v>1056</v>
      </c>
    </row>
    <row r="48" ht="14.25" customHeight="1">
      <c r="A48" s="11"/>
      <c r="B48" s="11">
        <v>4.0</v>
      </c>
      <c r="C48" s="11" t="s">
        <v>106</v>
      </c>
      <c r="D48" s="11"/>
      <c r="E48" s="11"/>
      <c r="F48" s="11" t="s">
        <v>866</v>
      </c>
      <c r="G48" s="11">
        <v>0.0</v>
      </c>
      <c r="H48" s="11" t="s">
        <v>197</v>
      </c>
      <c r="I48" s="11" t="s">
        <v>49</v>
      </c>
      <c r="J48" s="11" t="s">
        <v>775</v>
      </c>
      <c r="K48" s="11" t="s">
        <v>852</v>
      </c>
      <c r="L48" s="11">
        <v>19.0</v>
      </c>
      <c r="M48" s="11">
        <v>4.0</v>
      </c>
      <c r="N48" s="11">
        <v>43.0</v>
      </c>
      <c r="O48" s="11">
        <v>36.0</v>
      </c>
      <c r="P48" s="11">
        <v>7.0</v>
      </c>
      <c r="Q48" s="11">
        <v>34.0</v>
      </c>
      <c r="R48" s="11">
        <v>34.0</v>
      </c>
      <c r="S48" s="11">
        <v>43.0</v>
      </c>
      <c r="T48" s="11">
        <v>44.0</v>
      </c>
      <c r="U48" s="11">
        <v>48.0</v>
      </c>
      <c r="V48" s="11">
        <v>40.0</v>
      </c>
      <c r="W48" s="11">
        <v>4.0</v>
      </c>
      <c r="X48" s="29" t="s">
        <v>866</v>
      </c>
    </row>
    <row r="49" ht="14.25" customHeight="1">
      <c r="A49" s="11"/>
      <c r="B49" s="11">
        <v>1.0</v>
      </c>
      <c r="C49" s="11" t="s">
        <v>106</v>
      </c>
      <c r="D49" s="11"/>
      <c r="E49" s="11">
        <v>58.0</v>
      </c>
      <c r="F49" s="11" t="s">
        <v>866</v>
      </c>
      <c r="G49" s="11">
        <v>0.0</v>
      </c>
      <c r="H49" s="11" t="s">
        <v>39</v>
      </c>
      <c r="I49" s="11" t="s">
        <v>40</v>
      </c>
      <c r="J49" s="11" t="s">
        <v>772</v>
      </c>
      <c r="K49" s="11" t="s">
        <v>842</v>
      </c>
      <c r="L49" s="11">
        <v>1.0</v>
      </c>
      <c r="M49" s="11">
        <v>1.0</v>
      </c>
      <c r="N49" s="11">
        <v>2.0</v>
      </c>
      <c r="O49" s="11">
        <v>2.0</v>
      </c>
      <c r="P49" s="11">
        <v>0.0</v>
      </c>
      <c r="Q49" s="11">
        <v>2.0</v>
      </c>
      <c r="R49" s="11">
        <v>2.0</v>
      </c>
      <c r="S49" s="11">
        <v>2.0</v>
      </c>
      <c r="T49" s="11">
        <v>3.0</v>
      </c>
      <c r="U49" s="11">
        <v>2.0</v>
      </c>
      <c r="V49" s="11">
        <v>2.0</v>
      </c>
      <c r="W49" s="11">
        <v>1.0</v>
      </c>
      <c r="X49" s="29" t="s">
        <v>866</v>
      </c>
    </row>
    <row r="50" ht="14.25" customHeight="1">
      <c r="A50" s="11"/>
      <c r="B50" s="11">
        <v>1.0</v>
      </c>
      <c r="C50" s="11" t="s">
        <v>106</v>
      </c>
      <c r="D50" s="11"/>
      <c r="E50" s="11">
        <v>58.0</v>
      </c>
      <c r="F50" s="11" t="s">
        <v>866</v>
      </c>
      <c r="G50" s="11">
        <v>0.0</v>
      </c>
      <c r="H50" s="11" t="s">
        <v>84</v>
      </c>
      <c r="I50" s="11" t="s">
        <v>85</v>
      </c>
      <c r="J50" s="11" t="s">
        <v>772</v>
      </c>
      <c r="K50" s="11" t="s">
        <v>842</v>
      </c>
      <c r="L50" s="11">
        <v>2.0</v>
      </c>
      <c r="M50" s="11">
        <v>1.0</v>
      </c>
      <c r="N50" s="11">
        <v>3.0</v>
      </c>
      <c r="O50" s="11">
        <v>5.0</v>
      </c>
      <c r="P50" s="11">
        <v>-2.0</v>
      </c>
      <c r="Q50" s="11">
        <v>3.0</v>
      </c>
      <c r="R50" s="11">
        <v>3.0</v>
      </c>
      <c r="S50" s="11">
        <v>5.0</v>
      </c>
      <c r="T50" s="11">
        <v>2.0</v>
      </c>
      <c r="U50" s="11">
        <v>4.0</v>
      </c>
      <c r="V50" s="11">
        <v>3.0</v>
      </c>
      <c r="W50" s="11">
        <v>1.0</v>
      </c>
      <c r="X50" s="29" t="s">
        <v>866</v>
      </c>
    </row>
    <row r="51" ht="14.25" customHeight="1">
      <c r="A51" s="11"/>
      <c r="B51" s="11">
        <v>1.0</v>
      </c>
      <c r="C51" s="11" t="s">
        <v>106</v>
      </c>
      <c r="D51" s="11"/>
      <c r="E51" s="11">
        <v>58.0</v>
      </c>
      <c r="F51" s="11" t="s">
        <v>866</v>
      </c>
      <c r="G51" s="11">
        <v>0.0</v>
      </c>
      <c r="H51" s="11" t="s">
        <v>25</v>
      </c>
      <c r="I51" s="11" t="s">
        <v>35</v>
      </c>
      <c r="J51" s="11" t="s">
        <v>772</v>
      </c>
      <c r="K51" s="11" t="s">
        <v>842</v>
      </c>
      <c r="L51" s="11">
        <v>3.0</v>
      </c>
      <c r="M51" s="11">
        <v>1.0</v>
      </c>
      <c r="N51" s="11">
        <v>4.0</v>
      </c>
      <c r="O51" s="11">
        <v>4.0</v>
      </c>
      <c r="P51" s="11">
        <v>0.0</v>
      </c>
      <c r="Q51" s="11">
        <v>4.0</v>
      </c>
      <c r="R51" s="11">
        <v>5.0</v>
      </c>
      <c r="S51" s="11">
        <v>3.0</v>
      </c>
      <c r="T51" s="11">
        <v>4.0</v>
      </c>
      <c r="U51" s="11">
        <v>6.0</v>
      </c>
      <c r="V51" s="11">
        <v>4.0</v>
      </c>
      <c r="W51" s="11">
        <v>1.0</v>
      </c>
      <c r="X51" s="29" t="s">
        <v>866</v>
      </c>
    </row>
    <row r="52" ht="14.25" customHeight="1">
      <c r="A52" s="11"/>
      <c r="B52" s="11">
        <v>5.0</v>
      </c>
      <c r="C52" s="11" t="s">
        <v>106</v>
      </c>
      <c r="D52" s="11"/>
      <c r="E52" s="11"/>
      <c r="F52" s="11" t="s">
        <v>866</v>
      </c>
      <c r="G52" s="11">
        <v>0.0</v>
      </c>
      <c r="H52" s="11" t="s">
        <v>142</v>
      </c>
      <c r="I52" s="11" t="s">
        <v>85</v>
      </c>
      <c r="J52" s="11" t="s">
        <v>775</v>
      </c>
      <c r="K52" s="11" t="s">
        <v>852</v>
      </c>
      <c r="L52" s="11">
        <v>18.0</v>
      </c>
      <c r="M52" s="11">
        <v>4.0</v>
      </c>
      <c r="N52" s="11">
        <v>45.0</v>
      </c>
      <c r="O52" s="11">
        <v>52.0</v>
      </c>
      <c r="P52" s="11">
        <v>-7.0</v>
      </c>
      <c r="Q52" s="11">
        <v>60.0</v>
      </c>
      <c r="R52" s="11">
        <v>61.0</v>
      </c>
      <c r="S52" s="11">
        <v>60.0</v>
      </c>
      <c r="T52" s="11">
        <v>53.0</v>
      </c>
      <c r="U52" s="11">
        <v>60.0</v>
      </c>
      <c r="V52" s="11">
        <v>55.0</v>
      </c>
      <c r="W52" s="11">
        <v>5.0</v>
      </c>
      <c r="X52" s="29" t="s">
        <v>866</v>
      </c>
    </row>
    <row r="53" ht="14.25" customHeight="1">
      <c r="A53" s="11"/>
      <c r="B53" s="11">
        <v>7.0</v>
      </c>
      <c r="C53" s="11" t="s">
        <v>106</v>
      </c>
      <c r="D53" s="11"/>
      <c r="E53" s="11"/>
      <c r="F53" s="11" t="s">
        <v>866</v>
      </c>
      <c r="G53" s="11" t="s">
        <v>95</v>
      </c>
      <c r="H53" s="11" t="s">
        <v>175</v>
      </c>
      <c r="I53" s="11" t="s">
        <v>94</v>
      </c>
      <c r="J53" s="11" t="s">
        <v>775</v>
      </c>
      <c r="K53" s="11" t="s">
        <v>849</v>
      </c>
      <c r="L53" s="11">
        <v>31.0</v>
      </c>
      <c r="M53" s="11">
        <v>5.0</v>
      </c>
      <c r="N53" s="11">
        <v>48.0</v>
      </c>
      <c r="O53" s="11">
        <v>53.0</v>
      </c>
      <c r="P53" s="11">
        <v>-5.0</v>
      </c>
      <c r="Q53" s="11">
        <v>79.0</v>
      </c>
      <c r="R53" s="11">
        <v>64.0</v>
      </c>
      <c r="S53" s="11">
        <v>66.0</v>
      </c>
      <c r="T53" s="11">
        <v>70.0</v>
      </c>
      <c r="U53" s="11">
        <v>84.0</v>
      </c>
      <c r="V53" s="11">
        <v>66.0</v>
      </c>
      <c r="W53" s="11">
        <v>6.0</v>
      </c>
      <c r="X53" s="29" t="s">
        <v>866</v>
      </c>
    </row>
    <row r="54" ht="14.25" customHeight="1">
      <c r="A54" s="11"/>
      <c r="B54" s="11">
        <v>6.0</v>
      </c>
      <c r="C54" s="11" t="s">
        <v>106</v>
      </c>
      <c r="D54" s="11"/>
      <c r="E54" s="11"/>
      <c r="F54" s="11" t="s">
        <v>866</v>
      </c>
      <c r="G54" s="11" t="s">
        <v>106</v>
      </c>
      <c r="H54" s="11" t="s">
        <v>121</v>
      </c>
      <c r="I54" s="48" t="s">
        <v>71</v>
      </c>
      <c r="J54" s="11" t="s">
        <v>775</v>
      </c>
      <c r="K54" s="11" t="s">
        <v>852</v>
      </c>
      <c r="L54" s="11">
        <v>21.0</v>
      </c>
      <c r="M54" s="11">
        <v>4.0</v>
      </c>
      <c r="N54" s="11">
        <v>47.0</v>
      </c>
      <c r="O54" s="11">
        <v>42.0</v>
      </c>
      <c r="P54" s="11">
        <v>5.0</v>
      </c>
      <c r="Q54" s="11">
        <v>62.0</v>
      </c>
      <c r="R54" s="11">
        <v>67.0</v>
      </c>
      <c r="S54" s="11">
        <v>54.0</v>
      </c>
      <c r="T54" s="11">
        <v>62.0</v>
      </c>
      <c r="U54" s="11">
        <v>75.0</v>
      </c>
      <c r="V54" s="11">
        <v>58.0</v>
      </c>
      <c r="W54" s="11">
        <v>5.0</v>
      </c>
      <c r="X54" s="29" t="s">
        <v>866</v>
      </c>
    </row>
    <row r="55" ht="14.25" customHeight="1">
      <c r="A55" s="11"/>
      <c r="B55" s="11">
        <v>5.0</v>
      </c>
      <c r="C55" s="11" t="s">
        <v>106</v>
      </c>
      <c r="D55" s="11"/>
      <c r="E55" s="11"/>
      <c r="F55" s="11" t="s">
        <v>866</v>
      </c>
      <c r="G55" s="11">
        <v>0.0</v>
      </c>
      <c r="H55" s="11" t="s">
        <v>250</v>
      </c>
      <c r="I55" s="11" t="s">
        <v>237</v>
      </c>
      <c r="J55" s="11" t="s">
        <v>775</v>
      </c>
      <c r="K55" s="11" t="s">
        <v>852</v>
      </c>
      <c r="L55" s="11">
        <v>20.0</v>
      </c>
      <c r="M55" s="11">
        <v>5.0</v>
      </c>
      <c r="N55" s="11">
        <v>49.0</v>
      </c>
      <c r="O55" s="11">
        <v>50.0</v>
      </c>
      <c r="P55" s="11">
        <v>-1.0</v>
      </c>
      <c r="Q55" s="11">
        <v>48.0</v>
      </c>
      <c r="R55" s="11">
        <v>45.0</v>
      </c>
      <c r="S55" s="11">
        <v>52.0</v>
      </c>
      <c r="T55" s="11">
        <v>46.0</v>
      </c>
      <c r="U55" s="11">
        <v>52.0</v>
      </c>
      <c r="V55" s="11">
        <v>48.0</v>
      </c>
      <c r="W55" s="11">
        <v>5.0</v>
      </c>
      <c r="X55" s="29" t="s">
        <v>866</v>
      </c>
    </row>
    <row r="56" ht="14.25" customHeight="1">
      <c r="A56" s="11"/>
      <c r="B56" s="11">
        <v>5.0</v>
      </c>
      <c r="C56" s="11" t="s">
        <v>106</v>
      </c>
      <c r="D56" s="11"/>
      <c r="E56" s="11"/>
      <c r="F56" s="11" t="s">
        <v>866</v>
      </c>
      <c r="G56" s="11">
        <v>0.0</v>
      </c>
      <c r="H56" s="11" t="s">
        <v>353</v>
      </c>
      <c r="I56" s="11" t="s">
        <v>102</v>
      </c>
      <c r="J56" s="11" t="s">
        <v>775</v>
      </c>
      <c r="K56" s="11" t="s">
        <v>852</v>
      </c>
      <c r="L56" s="11">
        <v>22.0</v>
      </c>
      <c r="M56" s="11">
        <v>5.0</v>
      </c>
      <c r="N56" s="11">
        <v>51.0</v>
      </c>
      <c r="O56" s="11">
        <v>40.0</v>
      </c>
      <c r="P56" s="11">
        <v>11.0</v>
      </c>
      <c r="Q56" s="11">
        <v>50.0</v>
      </c>
      <c r="R56" s="11">
        <v>50.0</v>
      </c>
      <c r="S56" s="11">
        <v>48.0</v>
      </c>
      <c r="T56" s="11">
        <v>58.0</v>
      </c>
      <c r="U56" s="11">
        <v>68.0</v>
      </c>
      <c r="V56" s="11">
        <v>52.0</v>
      </c>
      <c r="W56" s="11">
        <v>5.0</v>
      </c>
      <c r="X56" s="29" t="s">
        <v>1047</v>
      </c>
    </row>
    <row r="57" ht="14.25" customHeight="1">
      <c r="A57" s="11"/>
      <c r="B57" s="11">
        <v>6.0</v>
      </c>
      <c r="C57" s="11" t="s">
        <v>106</v>
      </c>
      <c r="D57" s="11"/>
      <c r="E57" s="11"/>
      <c r="F57" s="11" t="s">
        <v>866</v>
      </c>
      <c r="G57" s="11">
        <v>0.0</v>
      </c>
      <c r="H57" s="11" t="s">
        <v>150</v>
      </c>
      <c r="I57" s="48" t="s">
        <v>109</v>
      </c>
      <c r="J57" s="11" t="s">
        <v>775</v>
      </c>
      <c r="K57" s="11" t="s">
        <v>864</v>
      </c>
      <c r="L57" s="11">
        <v>27.0</v>
      </c>
      <c r="M57" s="11">
        <v>5.0</v>
      </c>
      <c r="N57" s="11">
        <v>52.0</v>
      </c>
      <c r="O57" s="11">
        <v>57.0</v>
      </c>
      <c r="P57" s="11">
        <v>-5.0</v>
      </c>
      <c r="Q57" s="11">
        <v>63.0</v>
      </c>
      <c r="R57" s="11">
        <v>55.0</v>
      </c>
      <c r="S57" s="11">
        <v>65.0</v>
      </c>
      <c r="T57" s="11">
        <v>55.0</v>
      </c>
      <c r="U57" s="11">
        <v>73.0</v>
      </c>
      <c r="V57" s="11">
        <v>60.0</v>
      </c>
      <c r="W57" s="11">
        <v>6.0</v>
      </c>
      <c r="X57" s="29" t="s">
        <v>866</v>
      </c>
    </row>
    <row r="58" ht="14.25" customHeight="1">
      <c r="A58" s="11"/>
      <c r="B58" s="11">
        <v>1.0</v>
      </c>
      <c r="C58" s="11" t="s">
        <v>106</v>
      </c>
      <c r="D58" s="11"/>
      <c r="E58" s="11">
        <v>55.0</v>
      </c>
      <c r="F58" s="11" t="s">
        <v>866</v>
      </c>
      <c r="G58" s="11">
        <v>0.0</v>
      </c>
      <c r="H58" s="11" t="s">
        <v>57</v>
      </c>
      <c r="I58" s="11" t="s">
        <v>58</v>
      </c>
      <c r="J58" s="11" t="s">
        <v>772</v>
      </c>
      <c r="K58" s="11" t="s">
        <v>842</v>
      </c>
      <c r="L58" s="11">
        <v>4.0</v>
      </c>
      <c r="M58" s="11">
        <v>1.0</v>
      </c>
      <c r="N58" s="11">
        <v>9.0</v>
      </c>
      <c r="O58" s="11">
        <v>7.0</v>
      </c>
      <c r="P58" s="11">
        <v>2.0</v>
      </c>
      <c r="Q58" s="11">
        <v>8.0</v>
      </c>
      <c r="R58" s="11">
        <v>7.0</v>
      </c>
      <c r="S58" s="11">
        <v>8.0</v>
      </c>
      <c r="T58" s="11">
        <v>10.0</v>
      </c>
      <c r="U58" s="11">
        <v>11.0</v>
      </c>
      <c r="V58" s="11">
        <v>8.0</v>
      </c>
      <c r="W58" s="11">
        <v>1.0</v>
      </c>
      <c r="X58" s="29" t="s">
        <v>866</v>
      </c>
    </row>
    <row r="59" ht="14.25" customHeight="1">
      <c r="A59" s="11"/>
      <c r="B59" s="11">
        <v>3.0</v>
      </c>
      <c r="C59" s="11" t="s">
        <v>106</v>
      </c>
      <c r="D59" s="11"/>
      <c r="E59" s="11"/>
      <c r="F59" s="11" t="s">
        <v>866</v>
      </c>
      <c r="G59" s="11">
        <v>0.0</v>
      </c>
      <c r="H59" s="11" t="s">
        <v>212</v>
      </c>
      <c r="I59" s="11" t="s">
        <v>45</v>
      </c>
      <c r="J59" s="11" t="s">
        <v>770</v>
      </c>
      <c r="K59" s="11" t="s">
        <v>860</v>
      </c>
      <c r="L59" s="11">
        <v>5.0</v>
      </c>
      <c r="M59" s="11">
        <v>5.0</v>
      </c>
      <c r="N59" s="11">
        <v>53.0</v>
      </c>
      <c r="O59" s="11">
        <v>63.0</v>
      </c>
      <c r="P59" s="11">
        <v>-10.0</v>
      </c>
      <c r="Q59" s="11">
        <v>25.0</v>
      </c>
      <c r="R59" s="11">
        <v>33.0</v>
      </c>
      <c r="S59" s="11">
        <v>45.0</v>
      </c>
      <c r="T59" s="11">
        <v>41.0</v>
      </c>
      <c r="U59" s="11">
        <v>35.0</v>
      </c>
      <c r="V59" s="11">
        <v>42.0</v>
      </c>
      <c r="W59" s="11">
        <v>4.0</v>
      </c>
      <c r="X59" s="29" t="s">
        <v>866</v>
      </c>
    </row>
    <row r="60" ht="14.25" customHeight="1">
      <c r="A60" s="11"/>
      <c r="B60" s="11">
        <v>1.0</v>
      </c>
      <c r="C60" s="11" t="s">
        <v>106</v>
      </c>
      <c r="D60" s="11"/>
      <c r="E60" s="11">
        <v>48.0</v>
      </c>
      <c r="F60" s="11" t="s">
        <v>866</v>
      </c>
      <c r="G60" s="11">
        <v>0.0</v>
      </c>
      <c r="H60" s="11" t="s">
        <v>97</v>
      </c>
      <c r="I60" s="11" t="s">
        <v>98</v>
      </c>
      <c r="J60" s="11" t="s">
        <v>772</v>
      </c>
      <c r="K60" s="11" t="s">
        <v>842</v>
      </c>
      <c r="L60" s="11">
        <v>5.0</v>
      </c>
      <c r="M60" s="11">
        <v>2.0</v>
      </c>
      <c r="N60" s="11">
        <v>14.0</v>
      </c>
      <c r="O60" s="11">
        <v>13.0</v>
      </c>
      <c r="P60" s="11">
        <v>1.0</v>
      </c>
      <c r="Q60" s="11">
        <v>9.0</v>
      </c>
      <c r="R60" s="11">
        <v>11.0</v>
      </c>
      <c r="S60" s="11">
        <v>9.0</v>
      </c>
      <c r="T60" s="11">
        <v>9.0</v>
      </c>
      <c r="U60" s="11">
        <v>12.0</v>
      </c>
      <c r="V60" s="11">
        <v>11.0</v>
      </c>
      <c r="W60" s="11">
        <v>1.0</v>
      </c>
      <c r="X60" s="29" t="s">
        <v>1057</v>
      </c>
    </row>
    <row r="61" ht="14.25" customHeight="1">
      <c r="A61" s="11"/>
      <c r="B61" s="11">
        <v>5.0</v>
      </c>
      <c r="C61" s="11" t="s">
        <v>106</v>
      </c>
      <c r="D61" s="11"/>
      <c r="E61" s="11"/>
      <c r="F61" s="11" t="s">
        <v>866</v>
      </c>
      <c r="G61" s="11">
        <v>0.0</v>
      </c>
      <c r="H61" s="11" t="s">
        <v>203</v>
      </c>
      <c r="I61" s="11" t="s">
        <v>35</v>
      </c>
      <c r="J61" s="11" t="s">
        <v>775</v>
      </c>
      <c r="K61" s="11" t="s">
        <v>864</v>
      </c>
      <c r="L61" s="11">
        <v>23.0</v>
      </c>
      <c r="M61" s="11">
        <v>5.0</v>
      </c>
      <c r="N61" s="11">
        <v>57.0</v>
      </c>
      <c r="O61" s="11">
        <v>45.0</v>
      </c>
      <c r="P61" s="11">
        <v>12.0</v>
      </c>
      <c r="Q61" s="11">
        <v>64.0</v>
      </c>
      <c r="R61" s="11">
        <v>65.0</v>
      </c>
      <c r="S61" s="11">
        <v>57.0</v>
      </c>
      <c r="T61" s="11">
        <v>60.0</v>
      </c>
      <c r="U61" s="11">
        <v>51.0</v>
      </c>
      <c r="V61" s="11">
        <v>57.0</v>
      </c>
      <c r="W61" s="11">
        <v>5.0</v>
      </c>
      <c r="X61" s="29" t="s">
        <v>866</v>
      </c>
    </row>
    <row r="62" ht="14.25" customHeight="1">
      <c r="A62" s="11"/>
      <c r="B62" s="11">
        <v>2.0</v>
      </c>
      <c r="C62" s="11" t="s">
        <v>106</v>
      </c>
      <c r="D62" s="11"/>
      <c r="E62" s="11">
        <v>45.0</v>
      </c>
      <c r="F62" s="11" t="s">
        <v>866</v>
      </c>
      <c r="G62" s="11">
        <v>0.0</v>
      </c>
      <c r="H62" s="11" t="s">
        <v>92</v>
      </c>
      <c r="I62" s="11" t="s">
        <v>94</v>
      </c>
      <c r="J62" s="11" t="s">
        <v>772</v>
      </c>
      <c r="K62" s="11" t="s">
        <v>847</v>
      </c>
      <c r="L62" s="11">
        <v>6.0</v>
      </c>
      <c r="M62" s="11">
        <v>2.0</v>
      </c>
      <c r="N62" s="11">
        <v>20.0</v>
      </c>
      <c r="O62" s="11">
        <v>16.0</v>
      </c>
      <c r="P62" s="11">
        <v>4.0</v>
      </c>
      <c r="Q62" s="11">
        <v>16.0</v>
      </c>
      <c r="R62" s="11">
        <v>14.0</v>
      </c>
      <c r="S62" s="11">
        <v>18.0</v>
      </c>
      <c r="T62" s="11">
        <v>14.0</v>
      </c>
      <c r="U62" s="11">
        <v>14.0</v>
      </c>
      <c r="V62" s="11">
        <v>16.0</v>
      </c>
      <c r="W62" s="11">
        <v>2.0</v>
      </c>
      <c r="X62" s="29" t="s">
        <v>866</v>
      </c>
    </row>
    <row r="63" ht="14.25" customHeight="1">
      <c r="A63" s="11"/>
      <c r="B63" s="11">
        <v>5.0</v>
      </c>
      <c r="C63" s="11" t="s">
        <v>106</v>
      </c>
      <c r="D63" s="11"/>
      <c r="E63" s="11"/>
      <c r="F63" s="11" t="s">
        <v>866</v>
      </c>
      <c r="G63" s="11">
        <v>0.0</v>
      </c>
      <c r="H63" s="11" t="s">
        <v>187</v>
      </c>
      <c r="I63" s="11" t="s">
        <v>171</v>
      </c>
      <c r="J63" s="11" t="s">
        <v>775</v>
      </c>
      <c r="K63" s="11" t="s">
        <v>864</v>
      </c>
      <c r="L63" s="11">
        <v>28.0</v>
      </c>
      <c r="M63" s="11">
        <v>6.0</v>
      </c>
      <c r="N63" s="11">
        <v>60.0</v>
      </c>
      <c r="O63" s="11">
        <v>49.0</v>
      </c>
      <c r="P63" s="11">
        <v>11.0</v>
      </c>
      <c r="Q63" s="11">
        <v>52.0</v>
      </c>
      <c r="R63" s="11">
        <v>54.0</v>
      </c>
      <c r="S63" s="11">
        <v>55.0</v>
      </c>
      <c r="T63" s="11">
        <v>48.0</v>
      </c>
      <c r="U63" s="11">
        <v>46.0</v>
      </c>
      <c r="V63" s="11">
        <v>52.0</v>
      </c>
      <c r="W63" s="11">
        <v>5.0</v>
      </c>
      <c r="X63" s="29" t="s">
        <v>866</v>
      </c>
    </row>
    <row r="64" ht="14.25" customHeight="1">
      <c r="A64" s="11"/>
      <c r="B64" s="11">
        <v>6.0</v>
      </c>
      <c r="C64" s="11" t="s">
        <v>106</v>
      </c>
      <c r="D64" s="11"/>
      <c r="E64" s="11"/>
      <c r="F64" s="11" t="s">
        <v>866</v>
      </c>
      <c r="G64" s="11" t="s">
        <v>106</v>
      </c>
      <c r="H64" s="11" t="s">
        <v>444</v>
      </c>
      <c r="I64" s="48" t="s">
        <v>231</v>
      </c>
      <c r="J64" s="11" t="s">
        <v>775</v>
      </c>
      <c r="K64" s="11" t="s">
        <v>864</v>
      </c>
      <c r="L64" s="11">
        <v>25.0</v>
      </c>
      <c r="M64" s="11">
        <v>5.0</v>
      </c>
      <c r="N64" s="11">
        <v>58.0</v>
      </c>
      <c r="O64" s="11">
        <v>51.0</v>
      </c>
      <c r="P64" s="11">
        <v>7.0</v>
      </c>
      <c r="Q64" s="11">
        <v>67.0</v>
      </c>
      <c r="R64" s="11">
        <v>60.0</v>
      </c>
      <c r="S64" s="11">
        <v>59.0</v>
      </c>
      <c r="T64" s="11">
        <v>72.0</v>
      </c>
      <c r="U64" s="11">
        <v>66.0</v>
      </c>
      <c r="V64" s="11">
        <v>61.0</v>
      </c>
      <c r="W64" s="11">
        <v>6.0</v>
      </c>
      <c r="X64" s="29" t="s">
        <v>866</v>
      </c>
    </row>
    <row r="65" ht="14.25" customHeight="1">
      <c r="A65" s="11"/>
      <c r="B65" s="11">
        <v>6.0</v>
      </c>
      <c r="C65" s="11" t="s">
        <v>106</v>
      </c>
      <c r="D65" s="11"/>
      <c r="E65" s="11"/>
      <c r="F65" s="11" t="s">
        <v>866</v>
      </c>
      <c r="G65" s="11" t="s">
        <v>106</v>
      </c>
      <c r="H65" s="11" t="s">
        <v>164</v>
      </c>
      <c r="I65" s="48" t="s">
        <v>165</v>
      </c>
      <c r="J65" s="11" t="s">
        <v>775</v>
      </c>
      <c r="K65" s="11" t="s">
        <v>864</v>
      </c>
      <c r="L65" s="11">
        <v>24.0</v>
      </c>
      <c r="M65" s="11">
        <v>5.0</v>
      </c>
      <c r="N65" s="11">
        <v>55.0</v>
      </c>
      <c r="O65" s="11">
        <v>38.0</v>
      </c>
      <c r="P65" s="11">
        <v>17.0</v>
      </c>
      <c r="Q65" s="11">
        <v>65.0</v>
      </c>
      <c r="R65" s="11">
        <v>62.0</v>
      </c>
      <c r="S65" s="11">
        <v>44.0</v>
      </c>
      <c r="T65" s="11">
        <v>59.0</v>
      </c>
      <c r="U65" s="11">
        <v>72.0</v>
      </c>
      <c r="V65" s="11">
        <v>56.0</v>
      </c>
      <c r="W65" s="11">
        <v>5.0</v>
      </c>
      <c r="X65" s="29" t="s">
        <v>1058</v>
      </c>
    </row>
    <row r="66" ht="14.25" customHeight="1">
      <c r="A66" s="11"/>
      <c r="B66" s="11">
        <v>2.0</v>
      </c>
      <c r="C66" s="11" t="s">
        <v>106</v>
      </c>
      <c r="D66" s="11"/>
      <c r="E66" s="11">
        <v>47.0</v>
      </c>
      <c r="F66" s="11" t="s">
        <v>866</v>
      </c>
      <c r="G66" s="11">
        <v>0.0</v>
      </c>
      <c r="H66" s="11" t="s">
        <v>153</v>
      </c>
      <c r="I66" s="11" t="s">
        <v>154</v>
      </c>
      <c r="J66" s="11" t="s">
        <v>772</v>
      </c>
      <c r="K66" s="11" t="s">
        <v>847</v>
      </c>
      <c r="L66" s="11">
        <v>7.0</v>
      </c>
      <c r="M66" s="11">
        <v>2.0</v>
      </c>
      <c r="N66" s="11">
        <v>15.0</v>
      </c>
      <c r="O66" s="11">
        <v>23.0</v>
      </c>
      <c r="P66" s="11">
        <v>-8.0</v>
      </c>
      <c r="Q66" s="11">
        <v>10.0</v>
      </c>
      <c r="R66" s="11">
        <v>17.0</v>
      </c>
      <c r="S66" s="11">
        <v>22.0</v>
      </c>
      <c r="T66" s="11">
        <v>15.0</v>
      </c>
      <c r="U66" s="11">
        <v>19.0</v>
      </c>
      <c r="V66" s="11">
        <v>17.0</v>
      </c>
      <c r="W66" s="11">
        <v>2.0</v>
      </c>
      <c r="X66" s="29" t="s">
        <v>866</v>
      </c>
    </row>
    <row r="67" ht="14.25" customHeight="1">
      <c r="A67" s="11"/>
      <c r="B67" s="11">
        <v>5.0</v>
      </c>
      <c r="C67" s="11" t="s">
        <v>106</v>
      </c>
      <c r="D67" s="11"/>
      <c r="E67" s="11"/>
      <c r="F67" s="11" t="s">
        <v>866</v>
      </c>
      <c r="G67" s="11" t="s">
        <v>106</v>
      </c>
      <c r="H67" s="11" t="s">
        <v>261</v>
      </c>
      <c r="I67" s="11" t="s">
        <v>176</v>
      </c>
      <c r="J67" s="11" t="s">
        <v>775</v>
      </c>
      <c r="K67" s="11" t="s">
        <v>864</v>
      </c>
      <c r="L67" s="11">
        <v>26.0</v>
      </c>
      <c r="M67" s="11">
        <v>5.0</v>
      </c>
      <c r="N67" s="11">
        <v>59.0</v>
      </c>
      <c r="O67" s="11">
        <v>48.0</v>
      </c>
      <c r="P67" s="11">
        <v>11.0</v>
      </c>
      <c r="Q67" s="11">
        <v>53.0</v>
      </c>
      <c r="R67" s="11">
        <v>58.0</v>
      </c>
      <c r="S67" s="11">
        <v>50.0</v>
      </c>
      <c r="T67" s="11">
        <v>50.0</v>
      </c>
      <c r="U67" s="11">
        <v>56.0</v>
      </c>
      <c r="V67" s="11">
        <v>53.0</v>
      </c>
      <c r="W67" s="11">
        <v>5.0</v>
      </c>
      <c r="X67" s="29" t="s">
        <v>866</v>
      </c>
    </row>
    <row r="68" ht="14.25" customHeight="1">
      <c r="A68" s="11"/>
      <c r="B68" s="11">
        <v>5.0</v>
      </c>
      <c r="C68" s="11" t="s">
        <v>106</v>
      </c>
      <c r="D68" s="11"/>
      <c r="E68" s="11"/>
      <c r="F68" s="11" t="s">
        <v>866</v>
      </c>
      <c r="G68" s="11">
        <v>0.0</v>
      </c>
      <c r="H68" s="11" t="s">
        <v>246</v>
      </c>
      <c r="I68" s="11" t="s">
        <v>35</v>
      </c>
      <c r="J68" s="11" t="s">
        <v>781</v>
      </c>
      <c r="K68" s="11" t="s">
        <v>858</v>
      </c>
      <c r="L68" s="11">
        <v>4.0</v>
      </c>
      <c r="M68" s="11">
        <v>6.0</v>
      </c>
      <c r="N68" s="11">
        <v>68.0</v>
      </c>
      <c r="O68" s="11">
        <v>77.0</v>
      </c>
      <c r="P68" s="11">
        <v>-9.0</v>
      </c>
      <c r="Q68" s="11">
        <v>58.0</v>
      </c>
      <c r="R68" s="11">
        <v>49.0</v>
      </c>
      <c r="S68" s="11">
        <v>53.0</v>
      </c>
      <c r="T68" s="11">
        <v>51.0</v>
      </c>
      <c r="U68" s="11">
        <v>43.0</v>
      </c>
      <c r="V68" s="11">
        <v>57.0</v>
      </c>
      <c r="W68" s="11">
        <v>5.0</v>
      </c>
      <c r="X68" s="29" t="s">
        <v>866</v>
      </c>
    </row>
    <row r="69" ht="14.25" customHeight="1">
      <c r="A69" s="11"/>
      <c r="B69" s="11">
        <v>8.0</v>
      </c>
      <c r="C69" s="11" t="s">
        <v>106</v>
      </c>
      <c r="D69" s="11"/>
      <c r="E69" s="11"/>
      <c r="F69" s="11" t="s">
        <v>866</v>
      </c>
      <c r="G69" s="11">
        <v>0.0</v>
      </c>
      <c r="H69" s="11" t="s">
        <v>130</v>
      </c>
      <c r="I69" s="11" t="s">
        <v>131</v>
      </c>
      <c r="J69" s="11" t="s">
        <v>775</v>
      </c>
      <c r="K69" s="11" t="s">
        <v>849</v>
      </c>
      <c r="L69" s="11">
        <v>32.0</v>
      </c>
      <c r="M69" s="11">
        <v>6.0</v>
      </c>
      <c r="N69" s="11">
        <v>66.0</v>
      </c>
      <c r="O69" s="11">
        <v>67.0</v>
      </c>
      <c r="P69" s="11">
        <v>-1.0</v>
      </c>
      <c r="Q69" s="11">
        <v>101.0</v>
      </c>
      <c r="R69" s="11">
        <v>84.0</v>
      </c>
      <c r="S69" s="11">
        <v>82.0</v>
      </c>
      <c r="T69" s="11">
        <v>73.0</v>
      </c>
      <c r="U69" s="11">
        <v>87.0</v>
      </c>
      <c r="V69" s="11">
        <v>80.0</v>
      </c>
      <c r="W69" s="11">
        <v>7.0</v>
      </c>
      <c r="X69" s="29" t="s">
        <v>866</v>
      </c>
      <c r="AJ69" s="79" t="s">
        <v>1059</v>
      </c>
    </row>
    <row r="70" ht="14.25" customHeight="1">
      <c r="A70" s="11"/>
      <c r="B70" s="11">
        <v>1.0</v>
      </c>
      <c r="C70" s="11" t="s">
        <v>106</v>
      </c>
      <c r="D70" s="11"/>
      <c r="E70" s="11">
        <v>46.0</v>
      </c>
      <c r="F70" s="11" t="s">
        <v>866</v>
      </c>
      <c r="G70" s="11">
        <v>0.0</v>
      </c>
      <c r="H70" s="11" t="s">
        <v>108</v>
      </c>
      <c r="I70" s="11" t="s">
        <v>109</v>
      </c>
      <c r="J70" s="11" t="s">
        <v>772</v>
      </c>
      <c r="K70" s="11" t="s">
        <v>847</v>
      </c>
      <c r="L70" s="11">
        <v>8.0</v>
      </c>
      <c r="M70" s="11">
        <v>1.0</v>
      </c>
      <c r="N70" s="11">
        <v>11.0</v>
      </c>
      <c r="O70" s="11">
        <v>14.0</v>
      </c>
      <c r="P70" s="11">
        <v>-3.0</v>
      </c>
      <c r="Q70" s="11">
        <v>7.0</v>
      </c>
      <c r="R70" s="11">
        <v>12.0</v>
      </c>
      <c r="S70" s="11">
        <v>14.0</v>
      </c>
      <c r="T70" s="11">
        <v>7.0</v>
      </c>
      <c r="U70" s="11">
        <v>10.0</v>
      </c>
      <c r="V70" s="11">
        <v>10.0</v>
      </c>
      <c r="W70" s="11">
        <v>1.0</v>
      </c>
      <c r="X70" s="29" t="s">
        <v>866</v>
      </c>
    </row>
    <row r="71" ht="14.25" customHeight="1">
      <c r="A71" s="11"/>
      <c r="B71" s="11">
        <v>8.0</v>
      </c>
      <c r="C71" s="11" t="s">
        <v>106</v>
      </c>
      <c r="D71" s="11"/>
      <c r="E71" s="11"/>
      <c r="F71" s="11" t="s">
        <v>866</v>
      </c>
      <c r="G71" s="11">
        <v>0.0</v>
      </c>
      <c r="H71" s="11" t="s">
        <v>208</v>
      </c>
      <c r="I71" s="11" t="s">
        <v>171</v>
      </c>
      <c r="J71" s="11" t="s">
        <v>775</v>
      </c>
      <c r="K71" s="11" t="s">
        <v>849</v>
      </c>
      <c r="L71" s="11">
        <v>33.0</v>
      </c>
      <c r="M71" s="11">
        <v>6.0</v>
      </c>
      <c r="N71" s="11">
        <v>63.0</v>
      </c>
      <c r="O71" s="11">
        <v>64.0</v>
      </c>
      <c r="P71" s="11">
        <v>-1.0</v>
      </c>
      <c r="Q71" s="11">
        <v>99.0</v>
      </c>
      <c r="R71" s="11">
        <v>76.0</v>
      </c>
      <c r="S71" s="11">
        <v>77.0</v>
      </c>
      <c r="T71" s="11">
        <v>80.0</v>
      </c>
      <c r="U71" s="11">
        <v>89.0</v>
      </c>
      <c r="V71" s="11">
        <v>78.0</v>
      </c>
      <c r="W71" s="11">
        <v>7.0</v>
      </c>
      <c r="X71" s="29" t="s">
        <v>1047</v>
      </c>
    </row>
    <row r="72" ht="14.25" customHeight="1">
      <c r="A72" s="11"/>
      <c r="B72" s="11">
        <v>2.0</v>
      </c>
      <c r="C72" s="11" t="s">
        <v>106</v>
      </c>
      <c r="D72" s="11"/>
      <c r="E72" s="11">
        <v>43.0</v>
      </c>
      <c r="F72" s="11" t="s">
        <v>866</v>
      </c>
      <c r="G72" s="11">
        <v>0.0</v>
      </c>
      <c r="H72" s="11" t="s">
        <v>199</v>
      </c>
      <c r="I72" s="11" t="s">
        <v>162</v>
      </c>
      <c r="J72" s="11" t="s">
        <v>772</v>
      </c>
      <c r="K72" s="11" t="s">
        <v>847</v>
      </c>
      <c r="L72" s="11">
        <v>9.0</v>
      </c>
      <c r="M72" s="11">
        <v>2.0</v>
      </c>
      <c r="N72" s="11">
        <v>17.0</v>
      </c>
      <c r="O72" s="11">
        <v>20.0</v>
      </c>
      <c r="P72" s="11">
        <v>-3.0</v>
      </c>
      <c r="Q72" s="11">
        <v>22.0</v>
      </c>
      <c r="R72" s="11">
        <v>22.0</v>
      </c>
      <c r="S72" s="11">
        <v>20.0</v>
      </c>
      <c r="T72" s="11">
        <v>22.0</v>
      </c>
      <c r="U72" s="11">
        <v>24.0</v>
      </c>
      <c r="V72" s="11">
        <v>21.0</v>
      </c>
      <c r="W72" s="11">
        <v>2.0</v>
      </c>
      <c r="X72" s="29" t="s">
        <v>1043</v>
      </c>
    </row>
    <row r="73" ht="14.25" customHeight="1">
      <c r="A73" s="11"/>
      <c r="B73" s="48">
        <v>2.0</v>
      </c>
      <c r="C73" s="11" t="s">
        <v>106</v>
      </c>
      <c r="D73" s="11"/>
      <c r="E73" s="11">
        <v>40.0</v>
      </c>
      <c r="F73" s="11" t="s">
        <v>866</v>
      </c>
      <c r="G73" s="11" t="s">
        <v>106</v>
      </c>
      <c r="H73" s="11" t="s">
        <v>80</v>
      </c>
      <c r="I73" s="11" t="s">
        <v>45</v>
      </c>
      <c r="J73" s="11" t="s">
        <v>772</v>
      </c>
      <c r="K73" s="11" t="s">
        <v>847</v>
      </c>
      <c r="L73" s="11">
        <v>10.0</v>
      </c>
      <c r="M73" s="11">
        <v>2.0</v>
      </c>
      <c r="N73" s="11">
        <v>21.0</v>
      </c>
      <c r="O73" s="11">
        <v>19.0</v>
      </c>
      <c r="P73" s="11">
        <v>2.0</v>
      </c>
      <c r="Q73" s="11">
        <v>19.0</v>
      </c>
      <c r="R73" s="11">
        <v>24.0</v>
      </c>
      <c r="S73" s="11">
        <v>17.0</v>
      </c>
      <c r="T73" s="11">
        <v>28.0</v>
      </c>
      <c r="U73" s="11">
        <v>26.0</v>
      </c>
      <c r="V73" s="11">
        <v>22.0</v>
      </c>
      <c r="W73" s="11">
        <v>2.0</v>
      </c>
      <c r="X73" s="29" t="s">
        <v>1060</v>
      </c>
    </row>
    <row r="74" ht="14.25" customHeight="1">
      <c r="A74" s="11"/>
      <c r="B74" s="11">
        <v>6.0</v>
      </c>
      <c r="C74" s="11" t="s">
        <v>106</v>
      </c>
      <c r="D74" s="11"/>
      <c r="E74" s="11"/>
      <c r="F74" s="11" t="s">
        <v>866</v>
      </c>
      <c r="G74" s="11" t="s">
        <v>106</v>
      </c>
      <c r="H74" s="11" t="s">
        <v>465</v>
      </c>
      <c r="I74" s="11" t="s">
        <v>206</v>
      </c>
      <c r="J74" s="11" t="s">
        <v>775</v>
      </c>
      <c r="K74" s="11" t="s">
        <v>864</v>
      </c>
      <c r="L74" s="11">
        <v>30.0</v>
      </c>
      <c r="M74" s="11">
        <v>6.0</v>
      </c>
      <c r="N74" s="11">
        <v>62.0</v>
      </c>
      <c r="O74" s="11">
        <v>55.0</v>
      </c>
      <c r="P74" s="11">
        <v>7.0</v>
      </c>
      <c r="Q74" s="11">
        <v>83.0</v>
      </c>
      <c r="R74" s="11">
        <v>74.0</v>
      </c>
      <c r="S74" s="11">
        <v>71.0</v>
      </c>
      <c r="T74" s="11">
        <v>66.0</v>
      </c>
      <c r="U74" s="11">
        <v>62.0</v>
      </c>
      <c r="V74" s="11">
        <v>67.0</v>
      </c>
      <c r="W74" s="11">
        <v>6.0</v>
      </c>
      <c r="X74" s="29" t="s">
        <v>1061</v>
      </c>
    </row>
    <row r="75" ht="14.25" customHeight="1">
      <c r="A75" s="11"/>
      <c r="B75" s="11">
        <v>5.0</v>
      </c>
      <c r="C75" s="11" t="s">
        <v>106</v>
      </c>
      <c r="D75" s="11"/>
      <c r="E75" s="11"/>
      <c r="F75" s="11" t="s">
        <v>866</v>
      </c>
      <c r="G75" s="11">
        <v>0.0</v>
      </c>
      <c r="H75" s="11" t="s">
        <v>319</v>
      </c>
      <c r="I75" s="11" t="s">
        <v>102</v>
      </c>
      <c r="J75" s="11" t="s">
        <v>770</v>
      </c>
      <c r="K75" s="11" t="s">
        <v>856</v>
      </c>
      <c r="L75" s="11">
        <v>9.0</v>
      </c>
      <c r="M75" s="11">
        <v>7.0</v>
      </c>
      <c r="N75" s="11">
        <v>76.0</v>
      </c>
      <c r="O75" s="11">
        <v>80.0</v>
      </c>
      <c r="P75" s="11">
        <v>-4.0</v>
      </c>
      <c r="Q75" s="11">
        <v>47.0</v>
      </c>
      <c r="R75" s="11">
        <v>42.0</v>
      </c>
      <c r="S75" s="11">
        <v>73.0</v>
      </c>
      <c r="T75" s="11">
        <v>57.0</v>
      </c>
      <c r="U75" s="11">
        <v>42.0</v>
      </c>
      <c r="V75" s="11">
        <v>59.0</v>
      </c>
      <c r="W75" s="11">
        <v>5.0</v>
      </c>
      <c r="X75" s="29" t="s">
        <v>866</v>
      </c>
    </row>
    <row r="76" ht="14.25" customHeight="1">
      <c r="A76" s="11"/>
      <c r="B76" s="11">
        <v>3.0</v>
      </c>
      <c r="C76" s="11" t="s">
        <v>106</v>
      </c>
      <c r="D76" s="11"/>
      <c r="E76" s="11">
        <v>35.0</v>
      </c>
      <c r="F76" s="11" t="s">
        <v>866</v>
      </c>
      <c r="G76" s="11">
        <v>0.0</v>
      </c>
      <c r="H76" s="11" t="s">
        <v>138</v>
      </c>
      <c r="I76" s="11" t="s">
        <v>49</v>
      </c>
      <c r="J76" s="11" t="s">
        <v>772</v>
      </c>
      <c r="K76" s="11" t="s">
        <v>847</v>
      </c>
      <c r="L76" s="11">
        <v>11.0</v>
      </c>
      <c r="M76" s="11">
        <v>3.0</v>
      </c>
      <c r="N76" s="11">
        <v>27.0</v>
      </c>
      <c r="O76" s="11">
        <v>31.0</v>
      </c>
      <c r="P76" s="11">
        <v>-4.0</v>
      </c>
      <c r="Q76" s="11">
        <v>18.0</v>
      </c>
      <c r="R76" s="11">
        <v>29.0</v>
      </c>
      <c r="S76" s="11">
        <v>26.0</v>
      </c>
      <c r="T76" s="11">
        <v>25.0</v>
      </c>
      <c r="U76" s="11">
        <v>25.0</v>
      </c>
      <c r="V76" s="11">
        <v>25.0</v>
      </c>
      <c r="W76" s="11">
        <v>3.0</v>
      </c>
      <c r="X76" s="29" t="s">
        <v>866</v>
      </c>
    </row>
    <row r="77" ht="14.25" customHeight="1">
      <c r="A77" s="11"/>
      <c r="B77" s="11">
        <v>6.0</v>
      </c>
      <c r="C77" s="11" t="s">
        <v>106</v>
      </c>
      <c r="D77" s="11"/>
      <c r="E77" s="11"/>
      <c r="F77" s="11" t="s">
        <v>866</v>
      </c>
      <c r="G77" s="11">
        <v>0.0</v>
      </c>
      <c r="H77" s="11" t="s">
        <v>426</v>
      </c>
      <c r="I77" s="11" t="s">
        <v>75</v>
      </c>
      <c r="J77" s="11" t="s">
        <v>781</v>
      </c>
      <c r="K77" s="11" t="s">
        <v>858</v>
      </c>
      <c r="L77" s="11">
        <v>5.0</v>
      </c>
      <c r="M77" s="11">
        <v>7.0</v>
      </c>
      <c r="N77" s="11">
        <v>73.0</v>
      </c>
      <c r="O77" s="11">
        <v>87.0</v>
      </c>
      <c r="P77" s="11">
        <v>-14.0</v>
      </c>
      <c r="Q77" s="11">
        <v>71.0</v>
      </c>
      <c r="R77" s="11">
        <v>56.0</v>
      </c>
      <c r="S77" s="11">
        <v>64.0</v>
      </c>
      <c r="T77" s="11">
        <v>64.0</v>
      </c>
      <c r="U77" s="11">
        <v>50.0</v>
      </c>
      <c r="V77" s="11">
        <v>66.0</v>
      </c>
      <c r="W77" s="11">
        <v>6.0</v>
      </c>
      <c r="X77" s="29" t="s">
        <v>866</v>
      </c>
    </row>
    <row r="78" ht="14.25" customHeight="1">
      <c r="A78" s="11"/>
      <c r="B78" s="11">
        <v>2.0</v>
      </c>
      <c r="C78" s="11" t="s">
        <v>106</v>
      </c>
      <c r="D78" s="11"/>
      <c r="E78" s="11">
        <v>33.0</v>
      </c>
      <c r="F78" s="11" t="s">
        <v>866</v>
      </c>
      <c r="G78" s="11" t="s">
        <v>95</v>
      </c>
      <c r="H78" s="11" t="s">
        <v>61</v>
      </c>
      <c r="I78" s="11" t="s">
        <v>62</v>
      </c>
      <c r="J78" s="11" t="s">
        <v>772</v>
      </c>
      <c r="K78" s="11" t="s">
        <v>847</v>
      </c>
      <c r="L78" s="11">
        <v>12.0</v>
      </c>
      <c r="M78" s="11">
        <v>2.0</v>
      </c>
      <c r="N78" s="11">
        <v>19.0</v>
      </c>
      <c r="O78" s="11">
        <v>22.0</v>
      </c>
      <c r="P78" s="11">
        <v>-3.0</v>
      </c>
      <c r="Q78" s="11">
        <v>21.0</v>
      </c>
      <c r="R78" s="11">
        <v>15.0</v>
      </c>
      <c r="S78" s="11">
        <v>21.0</v>
      </c>
      <c r="T78" s="11">
        <v>20.0</v>
      </c>
      <c r="U78" s="11">
        <v>22.0</v>
      </c>
      <c r="V78" s="11">
        <v>20.0</v>
      </c>
      <c r="W78" s="11">
        <v>2.0</v>
      </c>
      <c r="X78" s="29" t="s">
        <v>866</v>
      </c>
    </row>
    <row r="79" ht="14.25" customHeight="1">
      <c r="A79" s="11"/>
      <c r="B79" s="48">
        <v>4.0</v>
      </c>
      <c r="C79" s="11" t="s">
        <v>106</v>
      </c>
      <c r="D79" s="11"/>
      <c r="E79" s="11">
        <v>35.0</v>
      </c>
      <c r="F79" s="11" t="s">
        <v>866</v>
      </c>
      <c r="G79" s="11">
        <v>0.0</v>
      </c>
      <c r="H79" s="11" t="s">
        <v>104</v>
      </c>
      <c r="I79" s="11" t="s">
        <v>105</v>
      </c>
      <c r="J79" s="11" t="s">
        <v>772</v>
      </c>
      <c r="K79" s="11" t="s">
        <v>847</v>
      </c>
      <c r="L79" s="11">
        <v>12.0</v>
      </c>
      <c r="M79" s="11">
        <v>3.0</v>
      </c>
      <c r="N79" s="11">
        <v>31.0</v>
      </c>
      <c r="O79" s="11">
        <v>27.0</v>
      </c>
      <c r="P79" s="11">
        <v>4.0</v>
      </c>
      <c r="Q79" s="11">
        <v>37.0</v>
      </c>
      <c r="R79" s="11">
        <v>39.0</v>
      </c>
      <c r="S79" s="11">
        <v>28.0</v>
      </c>
      <c r="T79" s="11">
        <v>35.0</v>
      </c>
      <c r="U79" s="11">
        <v>45.0</v>
      </c>
      <c r="V79" s="11">
        <v>34.0</v>
      </c>
      <c r="W79" s="11">
        <v>3.0</v>
      </c>
      <c r="X79" s="29" t="s">
        <v>1062</v>
      </c>
    </row>
    <row r="80" ht="14.25" customHeight="1">
      <c r="A80" s="11"/>
      <c r="B80" s="11">
        <v>6.0</v>
      </c>
      <c r="C80" s="11" t="s">
        <v>106</v>
      </c>
      <c r="D80" s="11"/>
      <c r="E80" s="11"/>
      <c r="F80" s="11" t="s">
        <v>866</v>
      </c>
      <c r="G80" s="11" t="s">
        <v>106</v>
      </c>
      <c r="H80" s="11" t="s">
        <v>134</v>
      </c>
      <c r="I80" s="11" t="s">
        <v>102</v>
      </c>
      <c r="J80" s="11" t="s">
        <v>775</v>
      </c>
      <c r="K80" s="11" t="s">
        <v>864</v>
      </c>
      <c r="L80" s="11">
        <v>29.0</v>
      </c>
      <c r="M80" s="11">
        <v>7.0</v>
      </c>
      <c r="N80" s="11">
        <v>74.0</v>
      </c>
      <c r="O80" s="11">
        <v>60.0</v>
      </c>
      <c r="P80" s="11">
        <v>14.0</v>
      </c>
      <c r="Q80" s="11">
        <v>84.0</v>
      </c>
      <c r="R80" s="11">
        <v>71.0</v>
      </c>
      <c r="S80" s="11">
        <v>72.0</v>
      </c>
      <c r="T80" s="11">
        <v>49.0</v>
      </c>
      <c r="U80" s="11">
        <v>47.0</v>
      </c>
      <c r="V80" s="11">
        <v>65.0</v>
      </c>
      <c r="W80" s="11">
        <v>6.0</v>
      </c>
      <c r="X80" s="29" t="s">
        <v>1063</v>
      </c>
    </row>
    <row r="81" ht="14.25" customHeight="1">
      <c r="A81" s="11"/>
      <c r="B81" s="11">
        <v>4.0</v>
      </c>
      <c r="C81" s="11" t="s">
        <v>106</v>
      </c>
      <c r="D81" s="11"/>
      <c r="E81" s="11">
        <v>20.0</v>
      </c>
      <c r="F81" s="11" t="s">
        <v>866</v>
      </c>
      <c r="G81" s="11">
        <v>0.0</v>
      </c>
      <c r="H81" s="11" t="s">
        <v>101</v>
      </c>
      <c r="I81" s="11" t="s">
        <v>52</v>
      </c>
      <c r="J81" s="11" t="s">
        <v>772</v>
      </c>
      <c r="K81" s="11" t="s">
        <v>844</v>
      </c>
      <c r="L81" s="11">
        <v>13.0</v>
      </c>
      <c r="M81" s="11">
        <v>4.0</v>
      </c>
      <c r="N81" s="11">
        <v>38.0</v>
      </c>
      <c r="O81" s="11">
        <v>47.0</v>
      </c>
      <c r="P81" s="11">
        <v>-9.0</v>
      </c>
      <c r="Q81" s="11">
        <v>33.0</v>
      </c>
      <c r="R81" s="11">
        <v>47.0</v>
      </c>
      <c r="S81" s="11">
        <v>34.0</v>
      </c>
      <c r="T81" s="11">
        <v>43.0</v>
      </c>
      <c r="U81" s="11">
        <v>40.0</v>
      </c>
      <c r="V81" s="11">
        <v>40.0</v>
      </c>
      <c r="W81" s="11">
        <v>4.0</v>
      </c>
      <c r="X81" s="29" t="s">
        <v>866</v>
      </c>
    </row>
    <row r="82" ht="14.25" customHeight="1">
      <c r="A82" s="11"/>
      <c r="B82" s="11">
        <v>4.0</v>
      </c>
      <c r="C82" s="11" t="s">
        <v>106</v>
      </c>
      <c r="D82" s="11"/>
      <c r="E82" s="11">
        <v>23.0</v>
      </c>
      <c r="F82" s="11" t="s">
        <v>866</v>
      </c>
      <c r="G82" s="11" t="s">
        <v>106</v>
      </c>
      <c r="H82" s="11" t="s">
        <v>216</v>
      </c>
      <c r="I82" s="11" t="s">
        <v>116</v>
      </c>
      <c r="J82" s="11" t="s">
        <v>772</v>
      </c>
      <c r="K82" s="11" t="s">
        <v>844</v>
      </c>
      <c r="L82" s="11">
        <v>14.0</v>
      </c>
      <c r="M82" s="11">
        <v>4.0</v>
      </c>
      <c r="N82" s="11">
        <v>46.0</v>
      </c>
      <c r="O82" s="11">
        <v>43.0</v>
      </c>
      <c r="P82" s="11">
        <v>3.0</v>
      </c>
      <c r="Q82" s="11">
        <v>43.0</v>
      </c>
      <c r="R82" s="11">
        <v>48.0</v>
      </c>
      <c r="S82" s="11">
        <v>32.0</v>
      </c>
      <c r="T82" s="11">
        <v>54.0</v>
      </c>
      <c r="U82" s="11">
        <v>54.0</v>
      </c>
      <c r="V82" s="11">
        <v>45.0</v>
      </c>
      <c r="W82" s="11">
        <v>4.0</v>
      </c>
      <c r="X82" s="29" t="s">
        <v>1064</v>
      </c>
    </row>
    <row r="83" ht="14.25" customHeight="1">
      <c r="A83" s="11"/>
      <c r="B83" s="11">
        <v>9.0</v>
      </c>
      <c r="C83" s="11" t="s">
        <v>106</v>
      </c>
      <c r="D83" s="11"/>
      <c r="E83" s="11"/>
      <c r="F83" s="11" t="s">
        <v>866</v>
      </c>
      <c r="G83" s="11">
        <v>0.0</v>
      </c>
      <c r="H83" s="11" t="s">
        <v>315</v>
      </c>
      <c r="I83" s="11" t="s">
        <v>58</v>
      </c>
      <c r="J83" s="11" t="s">
        <v>770</v>
      </c>
      <c r="K83" s="11" t="s">
        <v>856</v>
      </c>
      <c r="L83" s="11">
        <v>12.0</v>
      </c>
      <c r="M83" s="11">
        <v>8.0</v>
      </c>
      <c r="N83" s="11">
        <v>86.0</v>
      </c>
      <c r="O83" s="11">
        <v>101.0</v>
      </c>
      <c r="P83" s="11">
        <v>-15.0</v>
      </c>
      <c r="Q83" s="11">
        <v>89.0</v>
      </c>
      <c r="R83" s="11">
        <v>79.0</v>
      </c>
      <c r="S83" s="11">
        <v>110.0</v>
      </c>
      <c r="T83" s="11">
        <v>112.0</v>
      </c>
      <c r="U83" s="11">
        <v>106.0</v>
      </c>
      <c r="V83" s="11">
        <v>97.0</v>
      </c>
      <c r="W83" s="11">
        <v>9.0</v>
      </c>
      <c r="X83" s="29" t="s">
        <v>866</v>
      </c>
    </row>
    <row r="84" ht="14.25" customHeight="1">
      <c r="A84" s="11"/>
      <c r="B84" s="11">
        <v>8.0</v>
      </c>
      <c r="C84" s="11" t="s">
        <v>106</v>
      </c>
      <c r="D84" s="11"/>
      <c r="E84" s="11"/>
      <c r="F84" s="11" t="s">
        <v>866</v>
      </c>
      <c r="G84" s="11">
        <v>0.0</v>
      </c>
      <c r="H84" s="11" t="s">
        <v>621</v>
      </c>
      <c r="I84" s="11" t="s">
        <v>58</v>
      </c>
      <c r="J84" s="11" t="s">
        <v>775</v>
      </c>
      <c r="K84" s="11" t="s">
        <v>849</v>
      </c>
      <c r="L84" s="11">
        <v>32.0</v>
      </c>
      <c r="M84" s="11">
        <v>6.0</v>
      </c>
      <c r="N84" s="11">
        <v>69.0</v>
      </c>
      <c r="O84" s="11">
        <v>59.0</v>
      </c>
      <c r="P84" s="11">
        <v>10.0</v>
      </c>
      <c r="Q84" s="11">
        <v>72.0</v>
      </c>
      <c r="R84" s="11">
        <v>93.0</v>
      </c>
      <c r="S84" s="11">
        <v>67.0</v>
      </c>
      <c r="T84" s="11">
        <v>94.0</v>
      </c>
      <c r="U84" s="11">
        <v>110.0</v>
      </c>
      <c r="V84" s="11">
        <v>80.0</v>
      </c>
      <c r="W84" s="11">
        <v>7.0</v>
      </c>
      <c r="X84" s="29" t="s">
        <v>1047</v>
      </c>
    </row>
    <row r="85" ht="14.25" customHeight="1">
      <c r="A85" s="11"/>
      <c r="B85" s="11">
        <v>6.0</v>
      </c>
      <c r="C85" s="11" t="s">
        <v>106</v>
      </c>
      <c r="D85" s="11"/>
      <c r="E85" s="11"/>
      <c r="F85" s="11" t="s">
        <v>866</v>
      </c>
      <c r="G85" s="11" t="s">
        <v>95</v>
      </c>
      <c r="H85" s="11" t="s">
        <v>357</v>
      </c>
      <c r="I85" s="11" t="s">
        <v>109</v>
      </c>
      <c r="J85" s="11" t="s">
        <v>781</v>
      </c>
      <c r="K85" s="11" t="s">
        <v>854</v>
      </c>
      <c r="L85" s="11">
        <v>7.0</v>
      </c>
      <c r="M85" s="11">
        <v>7.0</v>
      </c>
      <c r="N85" s="11">
        <v>79.0</v>
      </c>
      <c r="O85" s="11">
        <v>95.0</v>
      </c>
      <c r="P85" s="11">
        <v>-16.0</v>
      </c>
      <c r="Q85" s="11">
        <v>73.0</v>
      </c>
      <c r="R85" s="11">
        <v>73.0</v>
      </c>
      <c r="S85" s="11">
        <v>79.0</v>
      </c>
      <c r="T85" s="11">
        <v>77.0</v>
      </c>
      <c r="U85" s="11">
        <v>53.0</v>
      </c>
      <c r="V85" s="11">
        <v>75.0</v>
      </c>
      <c r="W85" s="11">
        <v>7.0</v>
      </c>
      <c r="X85" s="29" t="s">
        <v>866</v>
      </c>
    </row>
    <row r="86" ht="14.25" customHeight="1">
      <c r="A86" s="11"/>
      <c r="B86" s="11">
        <v>9.0</v>
      </c>
      <c r="C86" s="11" t="s">
        <v>106</v>
      </c>
      <c r="D86" s="11"/>
      <c r="E86" s="11"/>
      <c r="F86" s="11" t="s">
        <v>866</v>
      </c>
      <c r="G86" s="11">
        <v>0.0</v>
      </c>
      <c r="H86" s="11" t="s">
        <v>303</v>
      </c>
      <c r="I86" s="11" t="s">
        <v>75</v>
      </c>
      <c r="J86" s="11" t="s">
        <v>775</v>
      </c>
      <c r="K86" s="11" t="s">
        <v>865</v>
      </c>
      <c r="L86" s="11">
        <v>36.0</v>
      </c>
      <c r="M86" s="11">
        <v>8.0</v>
      </c>
      <c r="N86" s="11">
        <v>84.0</v>
      </c>
      <c r="O86" s="11">
        <v>74.0</v>
      </c>
      <c r="P86" s="11">
        <v>10.0</v>
      </c>
      <c r="Q86" s="11">
        <v>103.0</v>
      </c>
      <c r="R86" s="11">
        <v>110.0</v>
      </c>
      <c r="S86" s="11">
        <v>95.0</v>
      </c>
      <c r="T86" s="11">
        <v>81.0</v>
      </c>
      <c r="U86" s="11">
        <v>94.0</v>
      </c>
      <c r="V86" s="11">
        <v>91.0</v>
      </c>
      <c r="W86" s="11">
        <v>8.0</v>
      </c>
      <c r="X86" s="29" t="s">
        <v>866</v>
      </c>
    </row>
    <row r="87" ht="14.25" customHeight="1">
      <c r="A87" s="11"/>
      <c r="B87" s="11">
        <v>10.0</v>
      </c>
      <c r="C87" s="11" t="s">
        <v>106</v>
      </c>
      <c r="D87" s="11"/>
      <c r="E87" s="11"/>
      <c r="F87" s="11" t="s">
        <v>866</v>
      </c>
      <c r="G87" s="11">
        <v>0.0</v>
      </c>
      <c r="H87" s="11" t="s">
        <v>812</v>
      </c>
      <c r="I87" s="48" t="s">
        <v>148</v>
      </c>
      <c r="J87" s="11" t="s">
        <v>770</v>
      </c>
      <c r="K87" s="11" t="s">
        <v>856</v>
      </c>
      <c r="L87" s="11">
        <v>10.0</v>
      </c>
      <c r="M87" s="11">
        <v>9.0</v>
      </c>
      <c r="N87" s="11">
        <v>102.0</v>
      </c>
      <c r="O87" s="11">
        <v>109.0</v>
      </c>
      <c r="P87" s="11">
        <v>-7.0</v>
      </c>
      <c r="Q87" s="11">
        <v>116.0</v>
      </c>
      <c r="R87" s="11">
        <v>120.0</v>
      </c>
      <c r="S87" s="11">
        <v>119.0</v>
      </c>
      <c r="T87" s="11">
        <v>136.0</v>
      </c>
      <c r="U87" s="11">
        <v>63.0</v>
      </c>
      <c r="V87" s="11">
        <v>109.0</v>
      </c>
      <c r="W87" s="11">
        <v>10.0</v>
      </c>
      <c r="X87" s="29" t="s">
        <v>866</v>
      </c>
    </row>
    <row r="88" ht="14.25" customHeight="1">
      <c r="A88" s="11"/>
      <c r="B88" s="11">
        <v>8.0</v>
      </c>
      <c r="C88" s="11" t="s">
        <v>106</v>
      </c>
      <c r="D88" s="11"/>
      <c r="E88" s="11"/>
      <c r="F88" s="11" t="s">
        <v>866</v>
      </c>
      <c r="G88" s="11">
        <v>0.0</v>
      </c>
      <c r="H88" s="11" t="s">
        <v>342</v>
      </c>
      <c r="I88" s="48" t="s">
        <v>98</v>
      </c>
      <c r="J88" s="11" t="s">
        <v>775</v>
      </c>
      <c r="K88" s="11" t="s">
        <v>865</v>
      </c>
      <c r="L88" s="11">
        <v>35.0</v>
      </c>
      <c r="M88" s="11">
        <v>8.0</v>
      </c>
      <c r="N88" s="11">
        <v>87.0</v>
      </c>
      <c r="O88" s="11">
        <v>73.0</v>
      </c>
      <c r="P88" s="11">
        <v>14.0</v>
      </c>
      <c r="Q88" s="11">
        <v>85.0</v>
      </c>
      <c r="R88" s="11">
        <v>82.0</v>
      </c>
      <c r="S88" s="11">
        <v>87.0</v>
      </c>
      <c r="T88" s="11">
        <v>83.0</v>
      </c>
      <c r="U88" s="11">
        <v>119.0</v>
      </c>
      <c r="V88" s="11">
        <v>88.0</v>
      </c>
      <c r="W88" s="11">
        <v>8.0</v>
      </c>
      <c r="X88" s="29" t="s">
        <v>866</v>
      </c>
    </row>
    <row r="89" ht="14.25" customHeight="1">
      <c r="A89" s="11"/>
      <c r="B89" s="11">
        <v>7.0</v>
      </c>
      <c r="C89" s="11" t="s">
        <v>106</v>
      </c>
      <c r="D89" s="11"/>
      <c r="E89" s="11"/>
      <c r="F89" s="11" t="s">
        <v>866</v>
      </c>
      <c r="G89" s="11">
        <v>0.0</v>
      </c>
      <c r="H89" s="11" t="s">
        <v>437</v>
      </c>
      <c r="I89" s="11" t="s">
        <v>195</v>
      </c>
      <c r="J89" s="11" t="s">
        <v>775</v>
      </c>
      <c r="K89" s="11" t="s">
        <v>865</v>
      </c>
      <c r="L89" s="11">
        <v>37.0</v>
      </c>
      <c r="M89" s="11">
        <v>7.0</v>
      </c>
      <c r="N89" s="11">
        <v>81.0</v>
      </c>
      <c r="O89" s="11">
        <v>72.0</v>
      </c>
      <c r="P89" s="11">
        <v>9.0</v>
      </c>
      <c r="Q89" s="11">
        <v>69.0</v>
      </c>
      <c r="R89" s="11">
        <v>68.0</v>
      </c>
      <c r="S89" s="11">
        <v>74.0</v>
      </c>
      <c r="T89" s="11">
        <v>75.0</v>
      </c>
      <c r="U89" s="11">
        <v>98.0</v>
      </c>
      <c r="V89" s="11">
        <v>76.0</v>
      </c>
      <c r="W89" s="11">
        <v>7.0</v>
      </c>
      <c r="X89" s="29" t="s">
        <v>866</v>
      </c>
    </row>
    <row r="90" ht="14.25" customHeight="1">
      <c r="A90" s="11"/>
      <c r="B90" s="11">
        <v>7.0</v>
      </c>
      <c r="C90" s="11" t="s">
        <v>106</v>
      </c>
      <c r="D90" s="11"/>
      <c r="E90" s="11"/>
      <c r="F90" s="11" t="s">
        <v>866</v>
      </c>
      <c r="G90" s="11">
        <v>0.0</v>
      </c>
      <c r="H90" s="11" t="s">
        <v>326</v>
      </c>
      <c r="I90" s="11" t="s">
        <v>176</v>
      </c>
      <c r="J90" s="11" t="s">
        <v>770</v>
      </c>
      <c r="K90" s="11" t="s">
        <v>871</v>
      </c>
      <c r="L90" s="11">
        <v>7.0</v>
      </c>
      <c r="M90" s="11">
        <v>7.0</v>
      </c>
      <c r="N90" s="11">
        <v>83.0</v>
      </c>
      <c r="O90" s="11">
        <v>96.0</v>
      </c>
      <c r="P90" s="11">
        <v>-13.0</v>
      </c>
      <c r="Q90" s="11">
        <v>68.0</v>
      </c>
      <c r="R90" s="11">
        <v>66.0</v>
      </c>
      <c r="S90" s="11">
        <v>89.0</v>
      </c>
      <c r="T90" s="11">
        <v>79.0</v>
      </c>
      <c r="U90" s="11">
        <v>64.0</v>
      </c>
      <c r="V90" s="11">
        <v>77.0</v>
      </c>
      <c r="W90" s="11">
        <v>7.0</v>
      </c>
      <c r="X90" s="29" t="s">
        <v>866</v>
      </c>
    </row>
    <row r="91" ht="14.25" customHeight="1">
      <c r="A91" s="11"/>
      <c r="B91" s="11">
        <v>6.0</v>
      </c>
      <c r="C91" s="11" t="s">
        <v>106</v>
      </c>
      <c r="D91" s="11"/>
      <c r="E91" s="11"/>
      <c r="F91" s="11" t="s">
        <v>866</v>
      </c>
      <c r="G91" s="11" t="s">
        <v>95</v>
      </c>
      <c r="H91" s="11" t="s">
        <v>321</v>
      </c>
      <c r="I91" s="11" t="s">
        <v>102</v>
      </c>
      <c r="J91" s="11" t="s">
        <v>781</v>
      </c>
      <c r="K91" s="11" t="s">
        <v>854</v>
      </c>
      <c r="L91" s="11">
        <v>9.0</v>
      </c>
      <c r="M91" s="11">
        <v>7.0</v>
      </c>
      <c r="N91" s="11">
        <v>82.0</v>
      </c>
      <c r="O91" s="11">
        <v>91.0</v>
      </c>
      <c r="P91" s="11">
        <v>-9.0</v>
      </c>
      <c r="Q91" s="11">
        <v>61.0</v>
      </c>
      <c r="R91" s="11">
        <v>57.0</v>
      </c>
      <c r="S91" s="11">
        <v>63.0</v>
      </c>
      <c r="T91" s="11">
        <v>67.0</v>
      </c>
      <c r="U91" s="11">
        <v>58.0</v>
      </c>
      <c r="V91" s="11">
        <v>68.0</v>
      </c>
      <c r="W91" s="11">
        <v>6.0</v>
      </c>
      <c r="X91" s="29" t="s">
        <v>866</v>
      </c>
    </row>
    <row r="92" ht="14.25" customHeight="1">
      <c r="A92" s="11"/>
      <c r="B92" s="11">
        <v>9.0</v>
      </c>
      <c r="C92" s="11" t="s">
        <v>106</v>
      </c>
      <c r="D92" s="11"/>
      <c r="E92" s="11"/>
      <c r="F92" s="11" t="s">
        <v>866</v>
      </c>
      <c r="G92" s="11">
        <v>0.0</v>
      </c>
      <c r="H92" s="11" t="s">
        <v>259</v>
      </c>
      <c r="I92" s="11" t="s">
        <v>71</v>
      </c>
      <c r="J92" s="11" t="s">
        <v>770</v>
      </c>
      <c r="K92" s="11" t="s">
        <v>856</v>
      </c>
      <c r="L92" s="11">
        <v>11.0</v>
      </c>
      <c r="M92" s="11">
        <v>8.0</v>
      </c>
      <c r="N92" s="11">
        <v>88.0</v>
      </c>
      <c r="O92" s="11">
        <v>103.0</v>
      </c>
      <c r="P92" s="11">
        <v>-15.0</v>
      </c>
      <c r="Q92" s="11">
        <v>77.0</v>
      </c>
      <c r="R92" s="11">
        <v>99.0</v>
      </c>
      <c r="S92" s="11">
        <v>97.0</v>
      </c>
      <c r="T92" s="11">
        <v>117.0</v>
      </c>
      <c r="U92" s="11">
        <v>117.0</v>
      </c>
      <c r="V92" s="11">
        <v>99.0</v>
      </c>
      <c r="W92" s="11">
        <v>9.0</v>
      </c>
      <c r="X92" s="29" t="s">
        <v>866</v>
      </c>
    </row>
    <row r="93" ht="14.25" customHeight="1">
      <c r="A93" s="11"/>
      <c r="B93" s="11">
        <v>8.0</v>
      </c>
      <c r="C93" s="11" t="s">
        <v>106</v>
      </c>
      <c r="D93" s="11"/>
      <c r="E93" s="11"/>
      <c r="F93" s="11" t="s">
        <v>866</v>
      </c>
      <c r="G93" s="11">
        <v>0.0</v>
      </c>
      <c r="H93" s="11" t="s">
        <v>299</v>
      </c>
      <c r="I93" s="11" t="s">
        <v>116</v>
      </c>
      <c r="J93" s="11" t="s">
        <v>775</v>
      </c>
      <c r="K93" s="11" t="s">
        <v>865</v>
      </c>
      <c r="L93" s="11">
        <v>38.0</v>
      </c>
      <c r="M93" s="11">
        <v>7.0</v>
      </c>
      <c r="N93" s="11">
        <v>77.0</v>
      </c>
      <c r="O93" s="11">
        <v>69.0</v>
      </c>
      <c r="P93" s="11">
        <v>8.0</v>
      </c>
      <c r="Q93" s="11">
        <v>91.0</v>
      </c>
      <c r="R93" s="11">
        <v>88.0</v>
      </c>
      <c r="S93" s="11">
        <v>85.0</v>
      </c>
      <c r="T93" s="11">
        <v>89.0</v>
      </c>
      <c r="U93" s="11">
        <v>95.0</v>
      </c>
      <c r="V93" s="11">
        <v>84.0</v>
      </c>
      <c r="W93" s="11">
        <v>8.0</v>
      </c>
      <c r="X93" s="29" t="s">
        <v>866</v>
      </c>
    </row>
    <row r="94" ht="14.25" customHeight="1">
      <c r="A94" s="11"/>
      <c r="B94" s="11">
        <v>8.0</v>
      </c>
      <c r="C94" s="11" t="s">
        <v>106</v>
      </c>
      <c r="D94" s="11"/>
      <c r="E94" s="11">
        <v>8.0</v>
      </c>
      <c r="F94" s="11" t="s">
        <v>866</v>
      </c>
      <c r="G94" s="11" t="s">
        <v>106</v>
      </c>
      <c r="H94" s="11" t="s">
        <v>161</v>
      </c>
      <c r="I94" s="11" t="s">
        <v>162</v>
      </c>
      <c r="J94" s="11" t="s">
        <v>775</v>
      </c>
      <c r="K94" s="11" t="s">
        <v>849</v>
      </c>
      <c r="L94" s="11">
        <v>34.0</v>
      </c>
      <c r="M94" s="11">
        <v>7.0</v>
      </c>
      <c r="N94" s="11">
        <v>72.0</v>
      </c>
      <c r="O94" s="11">
        <v>56.0</v>
      </c>
      <c r="P94" s="11">
        <v>16.0</v>
      </c>
      <c r="Q94" s="11">
        <v>80.0</v>
      </c>
      <c r="R94" s="11">
        <v>83.0</v>
      </c>
      <c r="S94" s="11">
        <v>61.0</v>
      </c>
      <c r="T94" s="11">
        <v>101.0</v>
      </c>
      <c r="U94" s="11">
        <v>120.0</v>
      </c>
      <c r="V94" s="11">
        <v>81.0</v>
      </c>
      <c r="W94" s="11">
        <v>7.0</v>
      </c>
      <c r="X94" s="29" t="s">
        <v>1061</v>
      </c>
    </row>
    <row r="95" ht="14.25" customHeight="1">
      <c r="A95" s="11"/>
      <c r="B95" s="11">
        <v>10.0</v>
      </c>
      <c r="C95" s="11" t="s">
        <v>106</v>
      </c>
      <c r="D95" s="11"/>
      <c r="E95" s="11"/>
      <c r="F95" s="11" t="s">
        <v>866</v>
      </c>
      <c r="G95" s="11">
        <v>0.0</v>
      </c>
      <c r="H95" s="11" t="s">
        <v>468</v>
      </c>
      <c r="I95" s="11" t="s">
        <v>58</v>
      </c>
      <c r="J95" s="11" t="s">
        <v>775</v>
      </c>
      <c r="K95" s="11" t="s">
        <v>855</v>
      </c>
      <c r="L95" s="11">
        <v>40.0</v>
      </c>
      <c r="M95" s="11">
        <v>8.0</v>
      </c>
      <c r="N95" s="11">
        <v>93.0</v>
      </c>
      <c r="O95" s="11">
        <v>76.0</v>
      </c>
      <c r="P95" s="11">
        <v>17.0</v>
      </c>
      <c r="Q95" s="11">
        <v>119.0</v>
      </c>
      <c r="R95" s="11">
        <v>115.0</v>
      </c>
      <c r="S95" s="11">
        <v>98.0</v>
      </c>
      <c r="T95" s="11">
        <v>102.0</v>
      </c>
      <c r="U95" s="11">
        <v>111.0</v>
      </c>
      <c r="V95" s="11">
        <v>102.0</v>
      </c>
      <c r="W95" s="11">
        <v>9.0</v>
      </c>
      <c r="X95" s="29" t="s">
        <v>866</v>
      </c>
    </row>
    <row r="96" ht="14.25" customHeight="1">
      <c r="A96" s="11"/>
      <c r="B96" s="11">
        <v>6.0</v>
      </c>
      <c r="C96" s="11" t="s">
        <v>106</v>
      </c>
      <c r="D96" s="11"/>
      <c r="E96" s="11"/>
      <c r="F96" s="11" t="s">
        <v>866</v>
      </c>
      <c r="G96" s="11">
        <v>0.0</v>
      </c>
      <c r="H96" s="11" t="s">
        <v>369</v>
      </c>
      <c r="I96" s="48" t="s">
        <v>162</v>
      </c>
      <c r="J96" s="11" t="s">
        <v>770</v>
      </c>
      <c r="K96" s="11" t="s">
        <v>871</v>
      </c>
      <c r="L96" s="11">
        <v>6.0</v>
      </c>
      <c r="M96" s="11">
        <v>8.0</v>
      </c>
      <c r="N96" s="11">
        <v>90.0</v>
      </c>
      <c r="O96" s="11">
        <v>93.0</v>
      </c>
      <c r="P96" s="11">
        <v>-3.0</v>
      </c>
      <c r="Q96" s="11">
        <v>54.0</v>
      </c>
      <c r="R96" s="11">
        <v>52.0</v>
      </c>
      <c r="S96" s="11">
        <v>92.0</v>
      </c>
      <c r="T96" s="11">
        <v>71.0</v>
      </c>
      <c r="U96" s="11">
        <v>61.0</v>
      </c>
      <c r="V96" s="11">
        <v>73.0</v>
      </c>
      <c r="W96" s="11">
        <v>7.0</v>
      </c>
      <c r="X96" s="29" t="s">
        <v>866</v>
      </c>
    </row>
    <row r="97" ht="14.25" customHeight="1">
      <c r="A97" s="11"/>
      <c r="B97" s="11">
        <v>7.0</v>
      </c>
      <c r="C97" s="11" t="s">
        <v>106</v>
      </c>
      <c r="D97" s="11"/>
      <c r="E97" s="11"/>
      <c r="F97" s="11" t="s">
        <v>866</v>
      </c>
      <c r="G97" s="11" t="s">
        <v>95</v>
      </c>
      <c r="H97" s="11" t="s">
        <v>666</v>
      </c>
      <c r="I97" s="60" t="s">
        <v>176</v>
      </c>
      <c r="J97" s="11" t="s">
        <v>781</v>
      </c>
      <c r="K97" s="11" t="s">
        <v>854</v>
      </c>
      <c r="L97" s="11">
        <v>8.0</v>
      </c>
      <c r="M97" s="11">
        <v>8.0</v>
      </c>
      <c r="N97" s="11">
        <v>92.0</v>
      </c>
      <c r="O97" s="11">
        <v>107.0</v>
      </c>
      <c r="P97" s="11">
        <v>-15.0</v>
      </c>
      <c r="Q97" s="11">
        <v>97.0</v>
      </c>
      <c r="R97" s="11">
        <v>78.0</v>
      </c>
      <c r="S97" s="11">
        <v>75.0</v>
      </c>
      <c r="T97" s="11">
        <v>87.0</v>
      </c>
      <c r="U97" s="11">
        <v>74.0</v>
      </c>
      <c r="V97" s="11">
        <v>87.0</v>
      </c>
      <c r="W97" s="11">
        <v>8.0</v>
      </c>
      <c r="X97" s="29" t="s">
        <v>866</v>
      </c>
    </row>
    <row r="98" ht="14.25" customHeight="1">
      <c r="A98" s="11"/>
      <c r="B98" s="11">
        <v>8.0</v>
      </c>
      <c r="C98" s="11" t="s">
        <v>106</v>
      </c>
      <c r="D98" s="11"/>
      <c r="E98" s="11"/>
      <c r="F98" s="11" t="s">
        <v>866</v>
      </c>
      <c r="G98" s="11">
        <v>0.0</v>
      </c>
      <c r="H98" s="11" t="s">
        <v>361</v>
      </c>
      <c r="I98" s="11" t="s">
        <v>125</v>
      </c>
      <c r="J98" s="11" t="s">
        <v>770</v>
      </c>
      <c r="K98" s="11" t="s">
        <v>871</v>
      </c>
      <c r="L98" s="11">
        <v>8.0</v>
      </c>
      <c r="M98" s="11">
        <v>9.0</v>
      </c>
      <c r="N98" s="11">
        <v>98.0</v>
      </c>
      <c r="O98" s="11">
        <v>98.0</v>
      </c>
      <c r="P98" s="11">
        <v>0.0</v>
      </c>
      <c r="Q98" s="11">
        <v>82.0</v>
      </c>
      <c r="R98" s="11">
        <v>77.0</v>
      </c>
      <c r="S98" s="11">
        <v>105.0</v>
      </c>
      <c r="T98" s="11">
        <v>91.0</v>
      </c>
      <c r="U98" s="11">
        <v>81.0</v>
      </c>
      <c r="V98" s="11">
        <v>90.0</v>
      </c>
      <c r="W98" s="11">
        <v>8.0</v>
      </c>
      <c r="X98" s="29" t="s">
        <v>866</v>
      </c>
    </row>
    <row r="99" ht="14.25" customHeight="1">
      <c r="A99" s="11"/>
      <c r="B99" s="11">
        <v>7.0</v>
      </c>
      <c r="C99" s="11" t="s">
        <v>106</v>
      </c>
      <c r="D99" s="11"/>
      <c r="E99" s="11"/>
      <c r="F99" s="11" t="s">
        <v>866</v>
      </c>
      <c r="G99" s="11">
        <v>0.0</v>
      </c>
      <c r="H99" s="11" t="s">
        <v>578</v>
      </c>
      <c r="I99" s="11" t="s">
        <v>195</v>
      </c>
      <c r="J99" s="11" t="s">
        <v>781</v>
      </c>
      <c r="K99" s="11" t="s">
        <v>854</v>
      </c>
      <c r="L99" s="11">
        <v>10.0</v>
      </c>
      <c r="M99" s="11">
        <v>9.0</v>
      </c>
      <c r="N99" s="11">
        <v>97.0</v>
      </c>
      <c r="O99" s="11">
        <v>118.0</v>
      </c>
      <c r="P99" s="11">
        <v>-21.0</v>
      </c>
      <c r="Q99" s="11">
        <v>74.0</v>
      </c>
      <c r="R99" s="11">
        <v>72.0</v>
      </c>
      <c r="S99" s="11">
        <v>76.0</v>
      </c>
      <c r="T99" s="11">
        <v>92.0</v>
      </c>
      <c r="U99" s="11">
        <v>85.0</v>
      </c>
      <c r="V99" s="11">
        <v>87.0</v>
      </c>
      <c r="W99" s="11">
        <v>8.0</v>
      </c>
      <c r="X99" s="29" t="s">
        <v>866</v>
      </c>
    </row>
    <row r="100" ht="14.25" customHeight="1">
      <c r="A100" s="11"/>
      <c r="B100" s="48">
        <v>3.0</v>
      </c>
      <c r="C100" s="11" t="s">
        <v>106</v>
      </c>
      <c r="D100" s="11"/>
      <c r="E100" s="11">
        <v>20.0</v>
      </c>
      <c r="F100" s="11" t="s">
        <v>866</v>
      </c>
      <c r="G100" s="11">
        <v>0.0</v>
      </c>
      <c r="H100" s="11" t="s">
        <v>66</v>
      </c>
      <c r="I100" s="11" t="s">
        <v>67</v>
      </c>
      <c r="J100" s="11" t="s">
        <v>772</v>
      </c>
      <c r="K100" s="11" t="s">
        <v>844</v>
      </c>
      <c r="L100" s="11">
        <v>15.0</v>
      </c>
      <c r="M100" s="11">
        <v>3.0</v>
      </c>
      <c r="N100" s="11">
        <v>34.0</v>
      </c>
      <c r="O100" s="11">
        <v>39.0</v>
      </c>
      <c r="P100" s="11">
        <v>-5.0</v>
      </c>
      <c r="Q100" s="11">
        <v>26.0</v>
      </c>
      <c r="R100" s="11">
        <v>32.0</v>
      </c>
      <c r="S100" s="11">
        <v>33.0</v>
      </c>
      <c r="T100" s="11">
        <v>30.0</v>
      </c>
      <c r="U100" s="11">
        <v>30.0</v>
      </c>
      <c r="V100" s="11">
        <v>32.0</v>
      </c>
      <c r="W100" s="11">
        <v>3.0</v>
      </c>
      <c r="X100" s="29" t="s">
        <v>866</v>
      </c>
    </row>
    <row r="101" ht="14.25" customHeight="1">
      <c r="A101" s="11"/>
      <c r="B101" s="11">
        <v>9.0</v>
      </c>
      <c r="C101" s="11" t="s">
        <v>106</v>
      </c>
      <c r="D101" s="11"/>
      <c r="E101" s="11"/>
      <c r="F101" s="11" t="s">
        <v>866</v>
      </c>
      <c r="G101" s="11" t="s">
        <v>106</v>
      </c>
      <c r="H101" s="11" t="s">
        <v>239</v>
      </c>
      <c r="I101" s="11" t="s">
        <v>154</v>
      </c>
      <c r="J101" s="11" t="s">
        <v>781</v>
      </c>
      <c r="K101" s="11" t="s">
        <v>870</v>
      </c>
      <c r="L101" s="11">
        <v>12.0</v>
      </c>
      <c r="M101" s="11">
        <v>8.0</v>
      </c>
      <c r="N101" s="11">
        <v>85.0</v>
      </c>
      <c r="O101" s="11">
        <v>112.0</v>
      </c>
      <c r="P101" s="11">
        <v>-27.0</v>
      </c>
      <c r="Q101" s="11">
        <v>114.0</v>
      </c>
      <c r="R101" s="11">
        <v>106.0</v>
      </c>
      <c r="S101" s="11">
        <v>91.0</v>
      </c>
      <c r="T101" s="11">
        <v>105.0</v>
      </c>
      <c r="U101" s="11">
        <v>116.0</v>
      </c>
      <c r="V101" s="11">
        <v>104.0</v>
      </c>
      <c r="W101" s="11">
        <v>9.0</v>
      </c>
      <c r="X101" s="29" t="s">
        <v>866</v>
      </c>
    </row>
    <row r="102" ht="14.25" customHeight="1">
      <c r="A102" s="11"/>
      <c r="B102" s="11">
        <v>4.0</v>
      </c>
      <c r="C102" s="11" t="s">
        <v>106</v>
      </c>
      <c r="D102" s="11"/>
      <c r="E102" s="11">
        <v>17.0</v>
      </c>
      <c r="F102" s="11" t="s">
        <v>866</v>
      </c>
      <c r="G102" s="11">
        <v>0.0</v>
      </c>
      <c r="H102" s="11" t="s">
        <v>147</v>
      </c>
      <c r="I102" s="11" t="s">
        <v>148</v>
      </c>
      <c r="J102" s="11" t="s">
        <v>772</v>
      </c>
      <c r="K102" s="11" t="s">
        <v>844</v>
      </c>
      <c r="L102" s="11">
        <v>16.0</v>
      </c>
      <c r="M102" s="11">
        <v>5.0</v>
      </c>
      <c r="N102" s="11">
        <v>50.0</v>
      </c>
      <c r="O102" s="11">
        <v>46.0</v>
      </c>
      <c r="P102" s="11">
        <v>4.0</v>
      </c>
      <c r="Q102" s="11">
        <v>41.0</v>
      </c>
      <c r="R102" s="11">
        <v>51.0</v>
      </c>
      <c r="S102" s="11">
        <v>42.0</v>
      </c>
      <c r="T102" s="11">
        <v>32.0</v>
      </c>
      <c r="U102" s="11">
        <v>31.0</v>
      </c>
      <c r="V102" s="11">
        <v>41.0</v>
      </c>
      <c r="W102" s="11">
        <v>4.0</v>
      </c>
      <c r="X102" s="29" t="s">
        <v>866</v>
      </c>
    </row>
    <row r="103" ht="14.25" customHeight="1">
      <c r="A103" s="11"/>
      <c r="B103" s="11">
        <v>4.0</v>
      </c>
      <c r="C103" s="11" t="s">
        <v>106</v>
      </c>
      <c r="D103" s="11"/>
      <c r="E103" s="11">
        <v>18.0</v>
      </c>
      <c r="F103" s="11" t="s">
        <v>866</v>
      </c>
      <c r="G103" s="11">
        <v>0.0</v>
      </c>
      <c r="H103" s="11" t="s">
        <v>288</v>
      </c>
      <c r="I103" s="11" t="s">
        <v>165</v>
      </c>
      <c r="J103" s="11" t="s">
        <v>772</v>
      </c>
      <c r="K103" s="11" t="s">
        <v>844</v>
      </c>
      <c r="L103" s="11">
        <v>17.0</v>
      </c>
      <c r="M103" s="11">
        <v>4.0</v>
      </c>
      <c r="N103" s="11">
        <v>40.0</v>
      </c>
      <c r="O103" s="11">
        <v>54.0</v>
      </c>
      <c r="P103" s="11">
        <v>-14.0</v>
      </c>
      <c r="Q103" s="11">
        <v>44.0</v>
      </c>
      <c r="R103" s="11">
        <v>40.0</v>
      </c>
      <c r="S103" s="11">
        <v>47.0</v>
      </c>
      <c r="T103" s="11">
        <v>45.0</v>
      </c>
      <c r="U103" s="11">
        <v>55.0</v>
      </c>
      <c r="V103" s="11">
        <v>46.0</v>
      </c>
      <c r="W103" s="11">
        <v>4.0</v>
      </c>
      <c r="X103" s="29" t="s">
        <v>866</v>
      </c>
    </row>
    <row r="104" ht="14.25" customHeight="1">
      <c r="A104" s="11"/>
      <c r="B104" s="11">
        <v>4.0</v>
      </c>
      <c r="C104" s="11" t="s">
        <v>106</v>
      </c>
      <c r="D104" s="11"/>
      <c r="E104" s="11">
        <v>17.0</v>
      </c>
      <c r="F104" s="11" t="s">
        <v>866</v>
      </c>
      <c r="G104" s="11">
        <v>0.0</v>
      </c>
      <c r="H104" s="11" t="s">
        <v>416</v>
      </c>
      <c r="I104" s="11" t="s">
        <v>131</v>
      </c>
      <c r="J104" s="11" t="s">
        <v>772</v>
      </c>
      <c r="K104" s="11" t="s">
        <v>844</v>
      </c>
      <c r="L104" s="11">
        <v>18.0</v>
      </c>
      <c r="M104" s="11">
        <v>4.0</v>
      </c>
      <c r="N104" s="11">
        <v>41.0</v>
      </c>
      <c r="O104" s="11">
        <v>58.0</v>
      </c>
      <c r="P104" s="11">
        <v>-17.0</v>
      </c>
      <c r="Q104" s="11">
        <v>28.0</v>
      </c>
      <c r="R104" s="11">
        <v>38.0</v>
      </c>
      <c r="S104" s="11">
        <v>37.0</v>
      </c>
      <c r="T104" s="11">
        <v>40.0</v>
      </c>
      <c r="U104" s="11">
        <v>44.0</v>
      </c>
      <c r="V104" s="11">
        <v>40.0</v>
      </c>
      <c r="W104" s="11">
        <v>4.0</v>
      </c>
      <c r="X104" s="29" t="s">
        <v>866</v>
      </c>
    </row>
    <row r="105" ht="14.25" customHeight="1">
      <c r="A105" s="11"/>
      <c r="B105" s="11">
        <v>11.0</v>
      </c>
      <c r="C105" s="11" t="s">
        <v>106</v>
      </c>
      <c r="D105" s="11"/>
      <c r="E105" s="11">
        <v>3.0</v>
      </c>
      <c r="F105" s="11" t="s">
        <v>866</v>
      </c>
      <c r="G105" s="11">
        <v>0.0</v>
      </c>
      <c r="H105" s="11" t="s">
        <v>210</v>
      </c>
      <c r="I105" s="11" t="s">
        <v>116</v>
      </c>
      <c r="J105" s="11" t="s">
        <v>770</v>
      </c>
      <c r="K105" s="11" t="s">
        <v>873</v>
      </c>
      <c r="L105" s="11">
        <v>14.0</v>
      </c>
      <c r="M105" s="11">
        <v>9.0</v>
      </c>
      <c r="N105" s="11">
        <v>99.0</v>
      </c>
      <c r="O105" s="11">
        <v>110.0</v>
      </c>
      <c r="P105" s="11">
        <v>-11.0</v>
      </c>
      <c r="Q105" s="11">
        <v>130.0</v>
      </c>
      <c r="R105" s="11">
        <v>124.0</v>
      </c>
      <c r="S105" s="11">
        <v>117.0</v>
      </c>
      <c r="T105" s="11">
        <v>127.0</v>
      </c>
      <c r="U105" s="11">
        <v>144.0</v>
      </c>
      <c r="V105" s="11">
        <v>121.0</v>
      </c>
      <c r="W105" s="11">
        <v>11.0</v>
      </c>
      <c r="X105" s="29" t="s">
        <v>866</v>
      </c>
    </row>
    <row r="106" ht="14.25" customHeight="1">
      <c r="A106" s="11"/>
      <c r="B106" s="11">
        <v>10.0</v>
      </c>
      <c r="C106" s="11" t="s">
        <v>106</v>
      </c>
      <c r="D106" s="11"/>
      <c r="E106" s="11">
        <v>3.0</v>
      </c>
      <c r="F106" s="11" t="s">
        <v>866</v>
      </c>
      <c r="G106" s="11">
        <v>0.0</v>
      </c>
      <c r="H106" s="11" t="s">
        <v>244</v>
      </c>
      <c r="I106" s="48" t="s">
        <v>171</v>
      </c>
      <c r="J106" s="11" t="s">
        <v>770</v>
      </c>
      <c r="K106" s="11" t="s">
        <v>873</v>
      </c>
      <c r="L106" s="11">
        <v>13.0</v>
      </c>
      <c r="M106" s="11">
        <v>9.0</v>
      </c>
      <c r="N106" s="11">
        <v>103.0</v>
      </c>
      <c r="O106" s="11">
        <v>113.0</v>
      </c>
      <c r="P106" s="11">
        <v>-10.0</v>
      </c>
      <c r="Q106" s="11">
        <v>120.0</v>
      </c>
      <c r="R106" s="11">
        <v>112.0</v>
      </c>
      <c r="S106" s="11">
        <v>124.0</v>
      </c>
      <c r="T106" s="11">
        <v>126.0</v>
      </c>
      <c r="U106" s="11">
        <v>114.0</v>
      </c>
      <c r="V106" s="11">
        <v>116.0</v>
      </c>
      <c r="W106" s="11">
        <v>10.0</v>
      </c>
      <c r="X106" s="29" t="s">
        <v>866</v>
      </c>
    </row>
    <row r="107" ht="14.25" customHeight="1">
      <c r="A107" s="11"/>
      <c r="B107" s="11">
        <v>8.0</v>
      </c>
      <c r="C107" s="11" t="s">
        <v>106</v>
      </c>
      <c r="D107" s="11"/>
      <c r="E107" s="11"/>
      <c r="F107" s="11" t="s">
        <v>866</v>
      </c>
      <c r="G107" s="11" t="s">
        <v>106</v>
      </c>
      <c r="H107" s="11" t="s">
        <v>364</v>
      </c>
      <c r="I107" s="11" t="s">
        <v>192</v>
      </c>
      <c r="J107" s="11" t="s">
        <v>775</v>
      </c>
      <c r="K107" s="11" t="s">
        <v>855</v>
      </c>
      <c r="L107" s="11">
        <v>41.0</v>
      </c>
      <c r="M107" s="11">
        <v>8.0</v>
      </c>
      <c r="N107" s="11">
        <v>94.0</v>
      </c>
      <c r="O107" s="11">
        <v>65.0</v>
      </c>
      <c r="P107" s="11">
        <v>29.0</v>
      </c>
      <c r="Q107" s="11">
        <v>75.0</v>
      </c>
      <c r="R107" s="11">
        <v>95.0</v>
      </c>
      <c r="S107" s="11">
        <v>83.0</v>
      </c>
      <c r="T107" s="11">
        <v>84.0</v>
      </c>
      <c r="U107" s="11">
        <v>96.0</v>
      </c>
      <c r="V107" s="11">
        <v>84.0</v>
      </c>
      <c r="W107" s="11">
        <v>8.0</v>
      </c>
      <c r="X107" s="29" t="s">
        <v>1066</v>
      </c>
    </row>
    <row r="108" ht="14.25" customHeight="1">
      <c r="A108" s="11"/>
      <c r="B108" s="11">
        <v>4.0</v>
      </c>
      <c r="C108" s="11" t="s">
        <v>106</v>
      </c>
      <c r="D108" s="11"/>
      <c r="E108" s="11">
        <v>17.0</v>
      </c>
      <c r="F108" s="11" t="s">
        <v>866</v>
      </c>
      <c r="G108" s="11">
        <v>0.0</v>
      </c>
      <c r="H108" s="11" t="s">
        <v>498</v>
      </c>
      <c r="I108" s="11" t="s">
        <v>125</v>
      </c>
      <c r="J108" s="11" t="s">
        <v>772</v>
      </c>
      <c r="K108" s="11" t="s">
        <v>844</v>
      </c>
      <c r="L108" s="11">
        <v>19.0</v>
      </c>
      <c r="M108" s="11">
        <v>4.0</v>
      </c>
      <c r="N108" s="11">
        <v>44.0</v>
      </c>
      <c r="O108" s="11">
        <v>62.0</v>
      </c>
      <c r="P108" s="11">
        <v>-18.0</v>
      </c>
      <c r="Q108" s="11">
        <v>42.0</v>
      </c>
      <c r="R108" s="11">
        <v>46.0</v>
      </c>
      <c r="S108" s="11">
        <v>49.0</v>
      </c>
      <c r="T108" s="11">
        <v>47.0</v>
      </c>
      <c r="U108" s="11">
        <v>49.0</v>
      </c>
      <c r="V108" s="11">
        <v>48.0</v>
      </c>
      <c r="W108" s="11">
        <v>5.0</v>
      </c>
      <c r="X108" s="29" t="s">
        <v>866</v>
      </c>
    </row>
    <row r="109" ht="14.25" customHeight="1">
      <c r="A109" s="11"/>
      <c r="B109" s="11">
        <v>11.0</v>
      </c>
      <c r="C109" s="11" t="s">
        <v>106</v>
      </c>
      <c r="D109" s="11"/>
      <c r="E109" s="11"/>
      <c r="F109" s="11" t="s">
        <v>866</v>
      </c>
      <c r="G109" s="11" t="s">
        <v>95</v>
      </c>
      <c r="H109" s="11" t="s">
        <v>292</v>
      </c>
      <c r="I109" s="11" t="s">
        <v>62</v>
      </c>
      <c r="J109" s="11" t="s">
        <v>775</v>
      </c>
      <c r="K109" s="11" t="s">
        <v>861</v>
      </c>
      <c r="L109" s="11">
        <v>46.0</v>
      </c>
      <c r="M109" s="11">
        <v>9.0</v>
      </c>
      <c r="N109" s="11">
        <v>107.0</v>
      </c>
      <c r="O109" s="11">
        <v>83.0</v>
      </c>
      <c r="P109" s="11">
        <v>24.0</v>
      </c>
      <c r="Q109" s="11">
        <v>129.0</v>
      </c>
      <c r="R109" s="11">
        <v>135.0</v>
      </c>
      <c r="S109" s="11">
        <v>112.0</v>
      </c>
      <c r="T109" s="11">
        <v>106.0</v>
      </c>
      <c r="U109" s="11">
        <v>141.0</v>
      </c>
      <c r="V109" s="11">
        <v>116.0</v>
      </c>
      <c r="W109" s="11">
        <v>10.0</v>
      </c>
      <c r="X109" s="29" t="s">
        <v>866</v>
      </c>
    </row>
    <row r="110" ht="14.25" customHeight="1">
      <c r="A110" s="11"/>
      <c r="B110" s="11">
        <v>12.0</v>
      </c>
      <c r="C110" s="11" t="s">
        <v>106</v>
      </c>
      <c r="D110" s="11"/>
      <c r="E110" s="11"/>
      <c r="F110" s="11" t="s">
        <v>866</v>
      </c>
      <c r="G110" s="11">
        <v>0.0</v>
      </c>
      <c r="H110" s="11" t="s">
        <v>301</v>
      </c>
      <c r="I110" s="48" t="s">
        <v>154</v>
      </c>
      <c r="J110" s="11" t="s">
        <v>775</v>
      </c>
      <c r="K110" s="11" t="s">
        <v>861</v>
      </c>
      <c r="L110" s="11">
        <v>43.0</v>
      </c>
      <c r="M110" s="11">
        <v>10.0</v>
      </c>
      <c r="N110" s="11">
        <v>110.0</v>
      </c>
      <c r="O110" s="11">
        <v>86.0</v>
      </c>
      <c r="P110" s="11">
        <v>24.0</v>
      </c>
      <c r="Q110" s="11">
        <v>134.0</v>
      </c>
      <c r="R110" s="11">
        <v>128.0</v>
      </c>
      <c r="S110" s="11">
        <v>116.0</v>
      </c>
      <c r="T110" s="11">
        <v>99.0</v>
      </c>
      <c r="U110" s="11">
        <v>134.0</v>
      </c>
      <c r="V110" s="11">
        <v>115.0</v>
      </c>
      <c r="W110" s="11">
        <v>10.0</v>
      </c>
      <c r="X110" s="29" t="s">
        <v>866</v>
      </c>
    </row>
    <row r="111" ht="14.25" customHeight="1">
      <c r="A111" s="11"/>
      <c r="B111" s="11">
        <v>9.0</v>
      </c>
      <c r="C111" s="11" t="s">
        <v>106</v>
      </c>
      <c r="D111" s="11"/>
      <c r="E111" s="11"/>
      <c r="F111" s="11" t="s">
        <v>866</v>
      </c>
      <c r="G111" s="11">
        <v>0.0</v>
      </c>
      <c r="H111" s="11" t="s">
        <v>374</v>
      </c>
      <c r="I111" s="11" t="s">
        <v>67</v>
      </c>
      <c r="J111" s="11" t="s">
        <v>775</v>
      </c>
      <c r="K111" s="11" t="s">
        <v>861</v>
      </c>
      <c r="L111" s="11">
        <v>45.0</v>
      </c>
      <c r="M111" s="11">
        <v>9.0</v>
      </c>
      <c r="N111" s="11">
        <v>106.0</v>
      </c>
      <c r="O111" s="11">
        <v>81.0</v>
      </c>
      <c r="P111" s="11">
        <v>25.0</v>
      </c>
      <c r="Q111" s="11">
        <v>118.0</v>
      </c>
      <c r="R111" s="11">
        <v>108.0</v>
      </c>
      <c r="S111" s="11">
        <v>103.0</v>
      </c>
      <c r="T111" s="11">
        <v>93.0</v>
      </c>
      <c r="U111" s="11">
        <v>102.0</v>
      </c>
      <c r="V111" s="11">
        <v>101.0</v>
      </c>
      <c r="W111" s="11">
        <v>9.0</v>
      </c>
      <c r="X111" s="29" t="s">
        <v>866</v>
      </c>
    </row>
    <row r="112" ht="14.25" customHeight="1">
      <c r="A112" s="11"/>
      <c r="B112" s="11">
        <v>10.0</v>
      </c>
      <c r="C112" s="11" t="s">
        <v>106</v>
      </c>
      <c r="D112" s="11"/>
      <c r="E112" s="11"/>
      <c r="F112" s="11" t="s">
        <v>866</v>
      </c>
      <c r="G112" s="11">
        <v>0.0</v>
      </c>
      <c r="H112" s="11" t="s">
        <v>266</v>
      </c>
      <c r="I112" s="80" t="s">
        <v>105</v>
      </c>
      <c r="J112" s="11" t="s">
        <v>770</v>
      </c>
      <c r="K112" s="11" t="s">
        <v>867</v>
      </c>
      <c r="L112" s="11">
        <v>17.0</v>
      </c>
      <c r="M112" s="11">
        <v>9.0</v>
      </c>
      <c r="N112" s="11">
        <v>105.0</v>
      </c>
      <c r="O112" s="11">
        <v>126.0</v>
      </c>
      <c r="P112" s="11">
        <v>-21.0</v>
      </c>
      <c r="Q112" s="11">
        <v>122.0</v>
      </c>
      <c r="R112" s="11">
        <v>91.0</v>
      </c>
      <c r="S112" s="11">
        <v>135.0</v>
      </c>
      <c r="T112" s="11">
        <v>109.0</v>
      </c>
      <c r="U112" s="11">
        <v>124.0</v>
      </c>
      <c r="V112" s="11">
        <v>116.0</v>
      </c>
      <c r="W112" s="11">
        <v>10.0</v>
      </c>
      <c r="X112" s="29" t="s">
        <v>866</v>
      </c>
    </row>
    <row r="113" ht="14.25" customHeight="1">
      <c r="A113" s="11"/>
      <c r="B113" s="11">
        <v>8.0</v>
      </c>
      <c r="C113" s="11" t="s">
        <v>106</v>
      </c>
      <c r="D113" s="11"/>
      <c r="E113" s="11">
        <v>8.0</v>
      </c>
      <c r="F113" s="11" t="s">
        <v>866</v>
      </c>
      <c r="G113" s="11" t="s">
        <v>106</v>
      </c>
      <c r="H113" s="11" t="s">
        <v>330</v>
      </c>
      <c r="I113" s="11" t="s">
        <v>154</v>
      </c>
      <c r="J113" s="11" t="s">
        <v>775</v>
      </c>
      <c r="K113" s="11" t="s">
        <v>855</v>
      </c>
      <c r="L113" s="11">
        <v>39.0</v>
      </c>
      <c r="M113" s="11">
        <v>8.0</v>
      </c>
      <c r="N113" s="11">
        <v>91.0</v>
      </c>
      <c r="O113" s="11">
        <v>66.0</v>
      </c>
      <c r="P113" s="11">
        <v>25.0</v>
      </c>
      <c r="Q113" s="11">
        <v>100.0</v>
      </c>
      <c r="R113" s="11">
        <v>80.0</v>
      </c>
      <c r="S113" s="11">
        <v>81.0</v>
      </c>
      <c r="T113" s="11">
        <v>95.0</v>
      </c>
      <c r="U113" s="11">
        <v>115.0</v>
      </c>
      <c r="V113" s="11">
        <v>89.0</v>
      </c>
      <c r="W113" s="11">
        <v>8.0</v>
      </c>
      <c r="X113" s="29" t="s">
        <v>1061</v>
      </c>
    </row>
    <row r="114" ht="14.25" customHeight="1">
      <c r="A114" s="11"/>
      <c r="B114" s="11">
        <v>9.0</v>
      </c>
      <c r="C114" s="11" t="s">
        <v>106</v>
      </c>
      <c r="D114" s="11"/>
      <c r="E114" s="11"/>
      <c r="F114" s="11" t="s">
        <v>866</v>
      </c>
      <c r="G114" s="11">
        <v>0.0</v>
      </c>
      <c r="H114" s="11" t="s">
        <v>270</v>
      </c>
      <c r="I114" s="11" t="s">
        <v>162</v>
      </c>
      <c r="J114" s="11" t="s">
        <v>775</v>
      </c>
      <c r="K114" s="11" t="s">
        <v>855</v>
      </c>
      <c r="L114" s="11">
        <v>42.0</v>
      </c>
      <c r="M114" s="11">
        <v>11.0</v>
      </c>
      <c r="N114" s="11">
        <v>127.0</v>
      </c>
      <c r="O114" s="11">
        <v>104.0</v>
      </c>
      <c r="P114" s="11">
        <v>23.0</v>
      </c>
      <c r="Q114" s="11">
        <v>107.0</v>
      </c>
      <c r="R114" s="11">
        <v>102.0</v>
      </c>
      <c r="S114" s="11">
        <v>118.0</v>
      </c>
      <c r="T114" s="11">
        <v>90.0</v>
      </c>
      <c r="U114" s="11">
        <v>90.0</v>
      </c>
      <c r="V114" s="11">
        <v>105.0</v>
      </c>
      <c r="W114" s="11">
        <v>9.0</v>
      </c>
      <c r="X114" s="29" t="s">
        <v>866</v>
      </c>
    </row>
    <row r="115" ht="14.25" customHeight="1">
      <c r="A115" s="11"/>
      <c r="B115" s="11">
        <v>12.0</v>
      </c>
      <c r="C115" s="11" t="s">
        <v>106</v>
      </c>
      <c r="D115" s="11"/>
      <c r="E115" s="11"/>
      <c r="F115" s="11" t="s">
        <v>866</v>
      </c>
      <c r="G115" s="11">
        <v>0.0</v>
      </c>
      <c r="H115" s="11" t="s">
        <v>376</v>
      </c>
      <c r="I115" s="48" t="s">
        <v>154</v>
      </c>
      <c r="J115" s="11" t="s">
        <v>770</v>
      </c>
      <c r="K115" s="11" t="s">
        <v>873</v>
      </c>
      <c r="L115" s="11">
        <v>15.0</v>
      </c>
      <c r="M115" s="11">
        <v>10.0</v>
      </c>
      <c r="N115" s="11">
        <v>111.0</v>
      </c>
      <c r="O115" s="11">
        <v>127.0</v>
      </c>
      <c r="P115" s="11">
        <v>-16.0</v>
      </c>
      <c r="Q115" s="11">
        <v>123.0</v>
      </c>
      <c r="R115" s="11">
        <v>125.0</v>
      </c>
      <c r="S115" s="11">
        <v>147.0</v>
      </c>
      <c r="T115" s="11">
        <v>142.0</v>
      </c>
      <c r="U115" s="11">
        <v>140.0</v>
      </c>
      <c r="V115" s="11">
        <v>130.0</v>
      </c>
      <c r="W115" s="11">
        <v>11.0</v>
      </c>
      <c r="X115" s="29" t="s">
        <v>866</v>
      </c>
    </row>
    <row r="116" ht="14.25" customHeight="1">
      <c r="A116" s="11"/>
      <c r="B116" s="11">
        <v>6.0</v>
      </c>
      <c r="C116" s="11" t="s">
        <v>106</v>
      </c>
      <c r="D116" s="11"/>
      <c r="E116" s="11">
        <v>17.0</v>
      </c>
      <c r="F116" s="11" t="s">
        <v>866</v>
      </c>
      <c r="G116" s="11" t="s">
        <v>106</v>
      </c>
      <c r="H116" s="11" t="s">
        <v>275</v>
      </c>
      <c r="I116" s="48" t="s">
        <v>176</v>
      </c>
      <c r="J116" s="11" t="s">
        <v>772</v>
      </c>
      <c r="K116" s="11" t="s">
        <v>851</v>
      </c>
      <c r="L116" s="11">
        <v>20.0</v>
      </c>
      <c r="M116" s="11">
        <v>5.0</v>
      </c>
      <c r="N116" s="11">
        <v>56.0</v>
      </c>
      <c r="O116" s="11">
        <v>61.0</v>
      </c>
      <c r="P116" s="11">
        <v>-5.0</v>
      </c>
      <c r="Q116" s="11">
        <v>55.0</v>
      </c>
      <c r="R116" s="11">
        <v>75.0</v>
      </c>
      <c r="S116" s="11">
        <v>51.0</v>
      </c>
      <c r="T116" s="11">
        <v>56.0</v>
      </c>
      <c r="U116" s="11">
        <v>70.0</v>
      </c>
      <c r="V116" s="11">
        <v>60.0</v>
      </c>
      <c r="W116" s="11">
        <v>6.0</v>
      </c>
      <c r="X116" s="29" t="s">
        <v>1067</v>
      </c>
    </row>
    <row r="117" ht="14.25" customHeight="1">
      <c r="A117" s="11"/>
      <c r="B117" s="11">
        <v>6.0</v>
      </c>
      <c r="C117" s="11" t="s">
        <v>106</v>
      </c>
      <c r="D117" s="11"/>
      <c r="E117" s="11">
        <v>13.0</v>
      </c>
      <c r="F117" s="11" t="s">
        <v>866</v>
      </c>
      <c r="G117" s="11">
        <v>0.0</v>
      </c>
      <c r="H117" s="11" t="s">
        <v>185</v>
      </c>
      <c r="I117" s="11" t="s">
        <v>35</v>
      </c>
      <c r="J117" s="11" t="s">
        <v>772</v>
      </c>
      <c r="K117" s="11" t="s">
        <v>851</v>
      </c>
      <c r="L117" s="11">
        <v>21.0</v>
      </c>
      <c r="M117" s="11">
        <v>6.0</v>
      </c>
      <c r="N117" s="11">
        <v>61.0</v>
      </c>
      <c r="O117" s="11">
        <v>75.0</v>
      </c>
      <c r="P117" s="11">
        <v>-14.0</v>
      </c>
      <c r="Q117" s="11">
        <v>57.0</v>
      </c>
      <c r="R117" s="11">
        <v>59.0</v>
      </c>
      <c r="S117" s="11">
        <v>68.0</v>
      </c>
      <c r="T117" s="11">
        <v>52.0</v>
      </c>
      <c r="U117" s="11">
        <v>67.0</v>
      </c>
      <c r="V117" s="11">
        <v>62.0</v>
      </c>
      <c r="W117" s="11">
        <v>6.0</v>
      </c>
      <c r="X117" s="29" t="s">
        <v>866</v>
      </c>
    </row>
    <row r="118" ht="14.25" customHeight="1">
      <c r="A118" s="11"/>
      <c r="B118" s="11">
        <v>10.0</v>
      </c>
      <c r="C118" s="11" t="s">
        <v>106</v>
      </c>
      <c r="D118" s="11"/>
      <c r="E118" s="11"/>
      <c r="F118" s="11" t="s">
        <v>866</v>
      </c>
      <c r="G118" s="11">
        <v>0.0</v>
      </c>
      <c r="H118" s="11" t="s">
        <v>346</v>
      </c>
      <c r="I118" s="11" t="s">
        <v>35</v>
      </c>
      <c r="J118" s="11" t="s">
        <v>770</v>
      </c>
      <c r="K118" s="11" t="s">
        <v>867</v>
      </c>
      <c r="L118" s="11">
        <v>16.0</v>
      </c>
      <c r="M118" s="11">
        <v>10.0</v>
      </c>
      <c r="N118" s="11">
        <v>113.0</v>
      </c>
      <c r="O118" s="11">
        <v>120.0</v>
      </c>
      <c r="P118" s="11">
        <v>-7.0</v>
      </c>
      <c r="Q118" s="11">
        <v>93.0</v>
      </c>
      <c r="R118" s="11">
        <v>123.0</v>
      </c>
      <c r="S118" s="11">
        <v>132.0</v>
      </c>
      <c r="T118" s="11">
        <v>97.0</v>
      </c>
      <c r="U118" s="11">
        <v>105.0</v>
      </c>
      <c r="V118" s="11">
        <v>111.0</v>
      </c>
      <c r="W118" s="11">
        <v>10.0</v>
      </c>
      <c r="X118" s="29" t="s">
        <v>866</v>
      </c>
    </row>
    <row r="119" ht="14.25" customHeight="1">
      <c r="A119" s="11"/>
      <c r="B119" s="11">
        <v>13.0</v>
      </c>
      <c r="C119" s="11" t="s">
        <v>106</v>
      </c>
      <c r="D119" s="11"/>
      <c r="E119" s="11"/>
      <c r="F119" s="11" t="s">
        <v>866</v>
      </c>
      <c r="G119" s="11">
        <v>0.0</v>
      </c>
      <c r="H119" s="11" t="s">
        <v>385</v>
      </c>
      <c r="I119" s="11" t="s">
        <v>131</v>
      </c>
      <c r="J119" s="11" t="s">
        <v>775</v>
      </c>
      <c r="K119" s="11" t="s">
        <v>861</v>
      </c>
      <c r="L119" s="11">
        <v>44.0</v>
      </c>
      <c r="M119" s="11">
        <v>10.0</v>
      </c>
      <c r="N119" s="11">
        <v>108.0</v>
      </c>
      <c r="O119" s="11">
        <v>102.0</v>
      </c>
      <c r="P119" s="11">
        <v>6.0</v>
      </c>
      <c r="Q119" s="11">
        <v>161.0</v>
      </c>
      <c r="R119" s="11">
        <v>134.0</v>
      </c>
      <c r="S119" s="11">
        <v>127.0</v>
      </c>
      <c r="T119" s="11">
        <v>124.0</v>
      </c>
      <c r="U119" s="11">
        <v>177.0</v>
      </c>
      <c r="V119" s="11">
        <v>133.0</v>
      </c>
      <c r="W119" s="11">
        <v>12.0</v>
      </c>
      <c r="X119" s="29" t="s">
        <v>866</v>
      </c>
    </row>
    <row r="120" ht="14.25" customHeight="1">
      <c r="A120" s="11"/>
      <c r="B120" s="11">
        <v>12.0</v>
      </c>
      <c r="C120" s="11" t="s">
        <v>106</v>
      </c>
      <c r="D120" s="11"/>
      <c r="E120" s="11"/>
      <c r="F120" s="11" t="s">
        <v>866</v>
      </c>
      <c r="G120" s="11" t="s">
        <v>106</v>
      </c>
      <c r="H120" s="11" t="s">
        <v>348</v>
      </c>
      <c r="I120" s="11" t="s">
        <v>71</v>
      </c>
      <c r="J120" s="11" t="s">
        <v>781</v>
      </c>
      <c r="K120" s="11" t="s">
        <v>870</v>
      </c>
      <c r="L120" s="11">
        <v>14.0</v>
      </c>
      <c r="M120" s="11">
        <v>10.0</v>
      </c>
      <c r="N120" s="11">
        <v>115.0</v>
      </c>
      <c r="O120" s="11">
        <v>137.0</v>
      </c>
      <c r="P120" s="11">
        <v>-22.0</v>
      </c>
      <c r="Q120" s="11">
        <v>139.0</v>
      </c>
      <c r="R120" s="11">
        <v>137.0</v>
      </c>
      <c r="S120" s="11">
        <v>100.0</v>
      </c>
      <c r="T120" s="11">
        <v>137.0</v>
      </c>
      <c r="U120" s="11">
        <v>159.0</v>
      </c>
      <c r="V120" s="11">
        <v>132.0</v>
      </c>
      <c r="W120" s="11">
        <v>12.0</v>
      </c>
      <c r="X120" s="29" t="s">
        <v>866</v>
      </c>
    </row>
    <row r="121" ht="14.25" customHeight="1">
      <c r="A121" s="11"/>
      <c r="B121" s="11">
        <v>8.0</v>
      </c>
      <c r="C121" s="11" t="s">
        <v>106</v>
      </c>
      <c r="D121" s="11"/>
      <c r="E121" s="11">
        <v>6.0</v>
      </c>
      <c r="F121" s="11" t="s">
        <v>866</v>
      </c>
      <c r="G121" s="11">
        <v>0.0</v>
      </c>
      <c r="H121" s="11" t="s">
        <v>789</v>
      </c>
      <c r="I121" s="11" t="s">
        <v>119</v>
      </c>
      <c r="J121" s="11" t="s">
        <v>772</v>
      </c>
      <c r="K121" s="11" t="s">
        <v>851</v>
      </c>
      <c r="L121" s="11">
        <v>22.0</v>
      </c>
      <c r="M121" s="11">
        <v>14.0</v>
      </c>
      <c r="N121" s="11">
        <v>161.0</v>
      </c>
      <c r="O121" s="11">
        <v>122.0</v>
      </c>
      <c r="P121" s="11">
        <v>39.0</v>
      </c>
      <c r="Q121" s="11">
        <v>81.0</v>
      </c>
      <c r="R121" s="11">
        <v>121.0</v>
      </c>
      <c r="S121" s="11">
        <v>115.0</v>
      </c>
      <c r="T121" s="11">
        <v>63.0</v>
      </c>
      <c r="U121" s="11">
        <v>65.0</v>
      </c>
      <c r="V121" s="11">
        <v>104.0</v>
      </c>
      <c r="W121" s="11">
        <v>9.0</v>
      </c>
      <c r="X121" s="29" t="s">
        <v>1068</v>
      </c>
    </row>
    <row r="122" ht="14.25" customHeight="1">
      <c r="A122" s="11"/>
      <c r="B122" s="11">
        <v>10.0</v>
      </c>
      <c r="C122" s="11" t="s">
        <v>106</v>
      </c>
      <c r="D122" s="11"/>
      <c r="E122" s="11"/>
      <c r="F122" s="11" t="s">
        <v>866</v>
      </c>
      <c r="G122" s="11" t="s">
        <v>95</v>
      </c>
      <c r="H122" s="11" t="s">
        <v>286</v>
      </c>
      <c r="I122" s="11" t="s">
        <v>62</v>
      </c>
      <c r="J122" s="11" t="s">
        <v>775</v>
      </c>
      <c r="K122" s="11" t="s">
        <v>861</v>
      </c>
      <c r="L122" s="11">
        <v>47.0</v>
      </c>
      <c r="M122" s="11">
        <v>10.0</v>
      </c>
      <c r="N122" s="11">
        <v>114.0</v>
      </c>
      <c r="O122" s="11">
        <v>90.0</v>
      </c>
      <c r="P122" s="11">
        <v>24.0</v>
      </c>
      <c r="Q122" s="11">
        <v>94.0</v>
      </c>
      <c r="R122" s="11">
        <v>92.0</v>
      </c>
      <c r="S122" s="11">
        <v>99.0</v>
      </c>
      <c r="T122" s="11">
        <v>114.0</v>
      </c>
      <c r="U122" s="11">
        <v>164.0</v>
      </c>
      <c r="V122" s="11">
        <v>109.0</v>
      </c>
      <c r="W122" s="11">
        <v>10.0</v>
      </c>
      <c r="X122" s="29" t="s">
        <v>866</v>
      </c>
    </row>
    <row r="123" ht="14.25" customHeight="1">
      <c r="A123" s="11"/>
      <c r="B123" s="11">
        <v>6.0</v>
      </c>
      <c r="C123" s="11" t="s">
        <v>106</v>
      </c>
      <c r="D123" s="11"/>
      <c r="E123" s="11">
        <v>11.0</v>
      </c>
      <c r="F123" s="11" t="s">
        <v>866</v>
      </c>
      <c r="G123" s="11">
        <v>0.0</v>
      </c>
      <c r="H123" s="11" t="s">
        <v>418</v>
      </c>
      <c r="I123" s="48" t="s">
        <v>102</v>
      </c>
      <c r="J123" s="11" t="s">
        <v>772</v>
      </c>
      <c r="K123" s="11" t="s">
        <v>851</v>
      </c>
      <c r="L123" s="11">
        <v>23.0</v>
      </c>
      <c r="M123" s="11">
        <v>6.0</v>
      </c>
      <c r="N123" s="11">
        <v>65.0</v>
      </c>
      <c r="O123" s="11">
        <v>71.0</v>
      </c>
      <c r="P123" s="11">
        <v>-6.0</v>
      </c>
      <c r="Q123" s="11">
        <v>66.0</v>
      </c>
      <c r="R123" s="11">
        <v>63.0</v>
      </c>
      <c r="S123" s="11">
        <v>62.0</v>
      </c>
      <c r="T123" s="11">
        <v>61.0</v>
      </c>
      <c r="U123" s="11">
        <v>59.0</v>
      </c>
      <c r="V123" s="11">
        <v>63.0</v>
      </c>
      <c r="W123" s="11">
        <v>6.0</v>
      </c>
      <c r="X123" s="29" t="s">
        <v>866</v>
      </c>
    </row>
    <row r="124" ht="14.25" customHeight="1">
      <c r="A124" s="11"/>
      <c r="B124" s="11">
        <v>8.0</v>
      </c>
      <c r="C124" s="11" t="s">
        <v>106</v>
      </c>
      <c r="D124" s="11"/>
      <c r="E124" s="11"/>
      <c r="F124" s="11" t="s">
        <v>866</v>
      </c>
      <c r="G124" s="11">
        <v>0.0</v>
      </c>
      <c r="H124" s="11" t="s">
        <v>458</v>
      </c>
      <c r="I124" s="11" t="s">
        <v>52</v>
      </c>
      <c r="J124" s="11" t="s">
        <v>775</v>
      </c>
      <c r="K124" s="11" t="s">
        <v>862</v>
      </c>
      <c r="L124" s="11">
        <v>55.0</v>
      </c>
      <c r="M124" s="11">
        <v>11.0</v>
      </c>
      <c r="N124" s="11">
        <v>121.0</v>
      </c>
      <c r="O124" s="11">
        <v>100.0</v>
      </c>
      <c r="P124" s="11">
        <v>21.0</v>
      </c>
      <c r="Q124" s="11">
        <v>95.0</v>
      </c>
      <c r="R124" s="11">
        <v>86.0</v>
      </c>
      <c r="S124" s="11">
        <v>101.0</v>
      </c>
      <c r="T124" s="11">
        <v>88.0</v>
      </c>
      <c r="U124" s="11">
        <v>109.0</v>
      </c>
      <c r="V124" s="11">
        <v>100.0</v>
      </c>
      <c r="W124" s="11">
        <v>9.0</v>
      </c>
      <c r="X124" s="29" t="s">
        <v>866</v>
      </c>
    </row>
    <row r="125" ht="14.25" customHeight="1">
      <c r="A125" s="11"/>
      <c r="B125" s="11">
        <v>11.0</v>
      </c>
      <c r="C125" s="11" t="s">
        <v>106</v>
      </c>
      <c r="D125" s="11"/>
      <c r="E125" s="11"/>
      <c r="F125" s="11" t="s">
        <v>866</v>
      </c>
      <c r="G125" s="11">
        <v>0.0</v>
      </c>
      <c r="H125" s="11" t="s">
        <v>334</v>
      </c>
      <c r="I125" s="11" t="s">
        <v>67</v>
      </c>
      <c r="J125" s="11" t="s">
        <v>781</v>
      </c>
      <c r="K125" s="11">
        <v>0.0</v>
      </c>
      <c r="L125" s="11">
        <v>0.0</v>
      </c>
      <c r="M125" s="11">
        <v>11.0</v>
      </c>
      <c r="N125" s="11">
        <v>120.0</v>
      </c>
      <c r="O125" s="11">
        <v>132.0</v>
      </c>
      <c r="P125" s="11">
        <v>-12.0</v>
      </c>
      <c r="Q125" s="11">
        <v>142.0</v>
      </c>
      <c r="R125" s="11">
        <v>126.0</v>
      </c>
      <c r="S125" s="11">
        <v>107.0</v>
      </c>
      <c r="T125" s="11">
        <v>119.0</v>
      </c>
      <c r="U125" s="11">
        <v>128.0</v>
      </c>
      <c r="V125" s="11">
        <v>124.0</v>
      </c>
      <c r="W125" s="11">
        <v>11.0</v>
      </c>
      <c r="X125" s="29" t="s">
        <v>866</v>
      </c>
    </row>
    <row r="126" ht="14.25" customHeight="1">
      <c r="A126" s="11"/>
      <c r="B126" s="11">
        <v>11.0</v>
      </c>
      <c r="C126" s="11" t="s">
        <v>106</v>
      </c>
      <c r="D126" s="11"/>
      <c r="E126" s="11"/>
      <c r="F126" s="11" t="s">
        <v>866</v>
      </c>
      <c r="G126" s="11">
        <v>0.0</v>
      </c>
      <c r="H126" s="11" t="s">
        <v>328</v>
      </c>
      <c r="I126" s="11" t="s">
        <v>85</v>
      </c>
      <c r="J126" s="11" t="s">
        <v>781</v>
      </c>
      <c r="K126" s="11">
        <v>0.0</v>
      </c>
      <c r="L126" s="11">
        <v>0.0</v>
      </c>
      <c r="M126" s="11">
        <v>10.0</v>
      </c>
      <c r="N126" s="11">
        <v>118.0</v>
      </c>
      <c r="O126" s="11">
        <v>141.0</v>
      </c>
      <c r="P126" s="11">
        <v>-23.0</v>
      </c>
      <c r="Q126" s="11">
        <v>124.0</v>
      </c>
      <c r="R126" s="11">
        <v>131.0</v>
      </c>
      <c r="S126" s="11">
        <v>123.0</v>
      </c>
      <c r="T126" s="11">
        <v>138.0</v>
      </c>
      <c r="U126" s="11">
        <v>142.0</v>
      </c>
      <c r="V126" s="11">
        <v>131.0</v>
      </c>
      <c r="W126" s="11">
        <v>11.0</v>
      </c>
      <c r="X126" s="29" t="s">
        <v>866</v>
      </c>
    </row>
    <row r="127" ht="14.25" customHeight="1">
      <c r="A127" s="11"/>
      <c r="B127" s="11">
        <v>6.0</v>
      </c>
      <c r="C127" s="11" t="s">
        <v>106</v>
      </c>
      <c r="D127" s="11"/>
      <c r="E127" s="11">
        <v>11.0</v>
      </c>
      <c r="F127" s="11" t="s">
        <v>866</v>
      </c>
      <c r="G127" s="11">
        <v>0.0</v>
      </c>
      <c r="H127" s="11" t="s">
        <v>255</v>
      </c>
      <c r="I127" s="11" t="s">
        <v>231</v>
      </c>
      <c r="J127" s="11" t="s">
        <v>772</v>
      </c>
      <c r="K127" s="11" t="s">
        <v>851</v>
      </c>
      <c r="L127" s="11">
        <v>24.0</v>
      </c>
      <c r="M127" s="11">
        <v>5.0</v>
      </c>
      <c r="N127" s="11">
        <v>54.0</v>
      </c>
      <c r="O127" s="11">
        <v>68.0</v>
      </c>
      <c r="P127" s="11">
        <v>-14.0</v>
      </c>
      <c r="Q127" s="11">
        <v>59.0</v>
      </c>
      <c r="R127" s="11">
        <v>69.0</v>
      </c>
      <c r="S127" s="11">
        <v>58.0</v>
      </c>
      <c r="T127" s="11">
        <v>69.0</v>
      </c>
      <c r="U127" s="11">
        <v>78.0</v>
      </c>
      <c r="V127" s="11">
        <v>65.0</v>
      </c>
      <c r="W127" s="11">
        <v>6.0</v>
      </c>
      <c r="X127" s="29" t="s">
        <v>866</v>
      </c>
    </row>
    <row r="128" ht="14.25" customHeight="1">
      <c r="A128" s="11"/>
      <c r="B128" s="11">
        <v>6.0</v>
      </c>
      <c r="C128" s="11" t="s">
        <v>106</v>
      </c>
      <c r="D128" s="11"/>
      <c r="E128" s="11">
        <v>8.0</v>
      </c>
      <c r="F128" s="11" t="s">
        <v>866</v>
      </c>
      <c r="G128" s="11">
        <v>0.0</v>
      </c>
      <c r="H128" s="11" t="s">
        <v>350</v>
      </c>
      <c r="I128" s="11" t="s">
        <v>75</v>
      </c>
      <c r="J128" s="11" t="s">
        <v>772</v>
      </c>
      <c r="K128" s="11" t="s">
        <v>851</v>
      </c>
      <c r="L128" s="11">
        <v>25.0</v>
      </c>
      <c r="M128" s="11">
        <v>6.0</v>
      </c>
      <c r="N128" s="11">
        <v>70.0</v>
      </c>
      <c r="O128" s="11">
        <v>78.0</v>
      </c>
      <c r="P128" s="11">
        <v>-8.0</v>
      </c>
      <c r="Q128" s="11">
        <v>56.0</v>
      </c>
      <c r="R128" s="11">
        <v>70.0</v>
      </c>
      <c r="S128" s="11">
        <v>70.0</v>
      </c>
      <c r="T128" s="11">
        <v>65.0</v>
      </c>
      <c r="U128" s="11">
        <v>77.0</v>
      </c>
      <c r="V128" s="11">
        <v>69.0</v>
      </c>
      <c r="W128" s="11">
        <v>6.0</v>
      </c>
      <c r="X128" s="29" t="s">
        <v>866</v>
      </c>
    </row>
    <row r="129" ht="14.25" customHeight="1">
      <c r="A129" s="11"/>
      <c r="B129" s="11">
        <v>13.0</v>
      </c>
      <c r="C129" s="11" t="s">
        <v>106</v>
      </c>
      <c r="D129" s="11"/>
      <c r="E129" s="11"/>
      <c r="F129" s="11" t="s">
        <v>866</v>
      </c>
      <c r="G129" s="11">
        <v>0.0</v>
      </c>
      <c r="H129" s="11" t="s">
        <v>810</v>
      </c>
      <c r="I129" s="11" t="s">
        <v>75</v>
      </c>
      <c r="J129" s="11" t="s">
        <v>770</v>
      </c>
      <c r="K129" s="11" t="s">
        <v>980</v>
      </c>
      <c r="L129" s="11">
        <v>23.0</v>
      </c>
      <c r="M129" s="11">
        <v>11.0</v>
      </c>
      <c r="N129" s="11">
        <v>125.0</v>
      </c>
      <c r="O129" s="11">
        <v>123.0</v>
      </c>
      <c r="P129" s="11">
        <v>2.0</v>
      </c>
      <c r="Q129" s="11">
        <v>152.0</v>
      </c>
      <c r="R129" s="11">
        <v>138.0</v>
      </c>
      <c r="S129" s="11">
        <v>139.0</v>
      </c>
      <c r="T129" s="11">
        <v>146.0</v>
      </c>
      <c r="U129" s="11">
        <v>154.0</v>
      </c>
      <c r="V129" s="11">
        <v>139.0</v>
      </c>
      <c r="W129" s="11">
        <v>12.0</v>
      </c>
      <c r="X129" s="29" t="s">
        <v>866</v>
      </c>
    </row>
    <row r="130" ht="14.25" customHeight="1">
      <c r="A130" s="11"/>
      <c r="B130" s="11">
        <v>10.0</v>
      </c>
      <c r="C130" s="11" t="s">
        <v>106</v>
      </c>
      <c r="D130" s="11"/>
      <c r="E130" s="11"/>
      <c r="F130" s="11" t="s">
        <v>866</v>
      </c>
      <c r="G130" s="11">
        <v>0.0</v>
      </c>
      <c r="H130" s="11" t="s">
        <v>672</v>
      </c>
      <c r="I130" s="11" t="s">
        <v>67</v>
      </c>
      <c r="J130" s="11" t="s">
        <v>775</v>
      </c>
      <c r="K130" s="11" t="s">
        <v>857</v>
      </c>
      <c r="L130" s="11">
        <v>51.0</v>
      </c>
      <c r="M130" s="11">
        <v>11.0</v>
      </c>
      <c r="N130" s="11">
        <v>122.0</v>
      </c>
      <c r="O130" s="11">
        <v>85.0</v>
      </c>
      <c r="P130" s="11">
        <v>37.0</v>
      </c>
      <c r="Q130" s="11">
        <v>113.0</v>
      </c>
      <c r="R130" s="11">
        <v>111.0</v>
      </c>
      <c r="S130" s="11">
        <v>102.0</v>
      </c>
      <c r="T130" s="11">
        <v>118.0</v>
      </c>
      <c r="U130" s="11">
        <v>139.0</v>
      </c>
      <c r="V130" s="11">
        <v>112.0</v>
      </c>
      <c r="W130" s="11">
        <v>10.0</v>
      </c>
      <c r="X130" s="29" t="s">
        <v>1052</v>
      </c>
    </row>
    <row r="131" ht="14.25" customHeight="1">
      <c r="A131" s="11"/>
      <c r="B131" s="11">
        <v>5.0</v>
      </c>
      <c r="C131" s="11" t="s">
        <v>106</v>
      </c>
      <c r="D131" s="11"/>
      <c r="E131" s="11">
        <v>10.0</v>
      </c>
      <c r="F131" s="11" t="s">
        <v>866</v>
      </c>
      <c r="G131" s="11" t="s">
        <v>95</v>
      </c>
      <c r="H131" s="11" t="s">
        <v>181</v>
      </c>
      <c r="I131" s="11" t="s">
        <v>171</v>
      </c>
      <c r="J131" s="11" t="s">
        <v>772</v>
      </c>
      <c r="K131" s="11" t="s">
        <v>851</v>
      </c>
      <c r="L131" s="11">
        <v>26.0</v>
      </c>
      <c r="M131" s="11">
        <v>6.0</v>
      </c>
      <c r="N131" s="11">
        <v>64.0</v>
      </c>
      <c r="O131" s="11">
        <v>70.0</v>
      </c>
      <c r="P131" s="11">
        <v>-6.0</v>
      </c>
      <c r="Q131" s="11">
        <v>49.0</v>
      </c>
      <c r="R131" s="11">
        <v>53.0</v>
      </c>
      <c r="S131" s="11">
        <v>56.0</v>
      </c>
      <c r="T131" s="11">
        <v>68.0</v>
      </c>
      <c r="U131" s="11">
        <v>57.0</v>
      </c>
      <c r="V131" s="11">
        <v>59.0</v>
      </c>
      <c r="W131" s="11">
        <v>5.0</v>
      </c>
      <c r="X131" s="29" t="s">
        <v>866</v>
      </c>
    </row>
    <row r="132" ht="14.25" customHeight="1">
      <c r="A132" s="11"/>
      <c r="B132" s="11">
        <v>12.0</v>
      </c>
      <c r="C132" s="11" t="s">
        <v>106</v>
      </c>
      <c r="D132" s="11"/>
      <c r="E132" s="11"/>
      <c r="F132" s="11" t="s">
        <v>866</v>
      </c>
      <c r="G132" s="11">
        <v>0.0</v>
      </c>
      <c r="H132" s="11" t="s">
        <v>424</v>
      </c>
      <c r="I132" s="11" t="s">
        <v>119</v>
      </c>
      <c r="J132" s="11" t="s">
        <v>770</v>
      </c>
      <c r="K132" s="11" t="s">
        <v>867</v>
      </c>
      <c r="L132" s="11">
        <v>18.0</v>
      </c>
      <c r="M132" s="11">
        <v>11.0</v>
      </c>
      <c r="N132" s="11">
        <v>129.0</v>
      </c>
      <c r="O132" s="11">
        <v>134.0</v>
      </c>
      <c r="P132" s="11">
        <v>-5.0</v>
      </c>
      <c r="Q132" s="11">
        <v>135.0</v>
      </c>
      <c r="R132" s="11">
        <v>127.0</v>
      </c>
      <c r="S132" s="11">
        <v>142.0</v>
      </c>
      <c r="T132" s="11">
        <v>125.0</v>
      </c>
      <c r="U132" s="11">
        <v>132.0</v>
      </c>
      <c r="V132" s="11">
        <v>132.0</v>
      </c>
      <c r="W132" s="11">
        <v>12.0</v>
      </c>
      <c r="X132" s="29" t="s">
        <v>866</v>
      </c>
    </row>
    <row r="133" ht="14.25" customHeight="1">
      <c r="A133" s="11"/>
      <c r="B133" s="11">
        <v>10.0</v>
      </c>
      <c r="C133" s="11" t="s">
        <v>106</v>
      </c>
      <c r="D133" s="11"/>
      <c r="E133" s="11"/>
      <c r="F133" s="11" t="s">
        <v>866</v>
      </c>
      <c r="G133" s="11" t="s">
        <v>106</v>
      </c>
      <c r="H133" s="11" t="s">
        <v>170</v>
      </c>
      <c r="I133" s="11" t="s">
        <v>171</v>
      </c>
      <c r="J133" s="11" t="s">
        <v>781</v>
      </c>
      <c r="K133" s="11" t="s">
        <v>870</v>
      </c>
      <c r="L133" s="11">
        <v>13.0</v>
      </c>
      <c r="M133" s="11">
        <v>11.0</v>
      </c>
      <c r="N133" s="11">
        <v>128.0</v>
      </c>
      <c r="O133" s="11">
        <v>108.0</v>
      </c>
      <c r="P133" s="11">
        <v>20.0</v>
      </c>
      <c r="Q133" s="11">
        <v>131.0</v>
      </c>
      <c r="R133" s="11">
        <v>113.0</v>
      </c>
      <c r="S133" s="11">
        <v>96.0</v>
      </c>
      <c r="T133" s="11">
        <v>113.0</v>
      </c>
      <c r="U133" s="11">
        <v>113.0</v>
      </c>
      <c r="V133" s="11">
        <v>114.0</v>
      </c>
      <c r="W133" s="11">
        <v>10.0</v>
      </c>
      <c r="X133" s="29" t="s">
        <v>1069</v>
      </c>
    </row>
    <row r="134" ht="14.25" customHeight="1">
      <c r="A134" s="11"/>
      <c r="B134" s="11">
        <v>14.0</v>
      </c>
      <c r="C134" s="11" t="s">
        <v>106</v>
      </c>
      <c r="D134" s="11"/>
      <c r="E134" s="11"/>
      <c r="F134" s="11" t="s">
        <v>866</v>
      </c>
      <c r="G134" s="11">
        <v>0.0</v>
      </c>
      <c r="H134" s="11" t="s">
        <v>268</v>
      </c>
      <c r="I134" s="11" t="s">
        <v>206</v>
      </c>
      <c r="J134" s="11" t="s">
        <v>770</v>
      </c>
      <c r="K134" s="11" t="s">
        <v>867</v>
      </c>
      <c r="L134" s="11">
        <v>19.0</v>
      </c>
      <c r="M134" s="11">
        <v>12.0</v>
      </c>
      <c r="N134" s="11">
        <v>132.0</v>
      </c>
      <c r="O134" s="11">
        <v>130.0</v>
      </c>
      <c r="P134" s="11">
        <v>2.0</v>
      </c>
      <c r="Q134" s="11">
        <v>151.0</v>
      </c>
      <c r="R134" s="11">
        <v>172.0</v>
      </c>
      <c r="S134" s="11">
        <v>144.0</v>
      </c>
      <c r="T134" s="11">
        <v>168.0</v>
      </c>
      <c r="U134" s="11">
        <v>178.0</v>
      </c>
      <c r="V134" s="11">
        <v>153.0</v>
      </c>
      <c r="W134" s="11">
        <v>13.0</v>
      </c>
      <c r="X134" s="29" t="s">
        <v>866</v>
      </c>
    </row>
    <row r="135" ht="14.25" customHeight="1">
      <c r="A135" s="11"/>
      <c r="B135" s="11">
        <v>12.0</v>
      </c>
      <c r="C135" s="11" t="s">
        <v>106</v>
      </c>
      <c r="D135" s="11"/>
      <c r="E135" s="11"/>
      <c r="F135" s="11" t="s">
        <v>866</v>
      </c>
      <c r="G135" s="11">
        <v>0.0</v>
      </c>
      <c r="H135" s="11" t="s">
        <v>590</v>
      </c>
      <c r="I135" s="11" t="s">
        <v>40</v>
      </c>
      <c r="J135" s="11" t="s">
        <v>775</v>
      </c>
      <c r="K135" s="11" t="s">
        <v>862</v>
      </c>
      <c r="L135" s="11">
        <v>56.0</v>
      </c>
      <c r="M135" s="11">
        <v>11.0</v>
      </c>
      <c r="N135" s="11">
        <v>130.0</v>
      </c>
      <c r="O135" s="11">
        <v>105.0</v>
      </c>
      <c r="P135" s="11">
        <v>25.0</v>
      </c>
      <c r="Q135" s="11">
        <v>121.0</v>
      </c>
      <c r="R135" s="11">
        <v>139.0</v>
      </c>
      <c r="S135" s="11">
        <v>137.0</v>
      </c>
      <c r="T135" s="11">
        <v>120.0</v>
      </c>
      <c r="U135" s="11">
        <v>183.0</v>
      </c>
      <c r="V135" s="11">
        <v>133.0</v>
      </c>
      <c r="W135" s="11">
        <v>12.0</v>
      </c>
      <c r="X135" s="29" t="s">
        <v>1070</v>
      </c>
    </row>
    <row r="136" ht="14.25" customHeight="1">
      <c r="A136" s="11"/>
      <c r="B136" s="11">
        <v>14.0</v>
      </c>
      <c r="C136" s="11" t="s">
        <v>106</v>
      </c>
      <c r="D136" s="11"/>
      <c r="E136" s="11"/>
      <c r="F136" s="11" t="s">
        <v>866</v>
      </c>
      <c r="G136" s="11">
        <v>0.0</v>
      </c>
      <c r="H136" s="11" t="s">
        <v>584</v>
      </c>
      <c r="I136" s="11" t="s">
        <v>109</v>
      </c>
      <c r="J136" s="11" t="s">
        <v>775</v>
      </c>
      <c r="K136" s="11" t="s">
        <v>857</v>
      </c>
      <c r="L136" s="11">
        <v>52.0</v>
      </c>
      <c r="M136" s="11">
        <v>11.0</v>
      </c>
      <c r="N136" s="11">
        <v>126.0</v>
      </c>
      <c r="O136" s="11">
        <v>114.0</v>
      </c>
      <c r="P136" s="11">
        <v>12.0</v>
      </c>
      <c r="Q136" s="11">
        <v>144.0</v>
      </c>
      <c r="R136" s="11">
        <v>176.0</v>
      </c>
      <c r="S136" s="11">
        <v>153.0</v>
      </c>
      <c r="T136" s="11">
        <v>152.0</v>
      </c>
      <c r="U136" s="11">
        <v>185.0</v>
      </c>
      <c r="V136" s="11">
        <v>150.0</v>
      </c>
      <c r="W136" s="11">
        <v>13.0</v>
      </c>
      <c r="X136" s="29" t="s">
        <v>866</v>
      </c>
    </row>
    <row r="137" ht="14.25" customHeight="1">
      <c r="A137" s="11"/>
      <c r="B137" s="11">
        <v>7.0</v>
      </c>
      <c r="C137" s="11" t="s">
        <v>106</v>
      </c>
      <c r="D137" s="11"/>
      <c r="E137" s="11">
        <v>8.0</v>
      </c>
      <c r="F137" s="11" t="s">
        <v>866</v>
      </c>
      <c r="G137" s="11">
        <v>0.0</v>
      </c>
      <c r="H137" s="11" t="s">
        <v>837</v>
      </c>
      <c r="I137" s="11" t="s">
        <v>237</v>
      </c>
      <c r="J137" s="11" t="s">
        <v>772</v>
      </c>
      <c r="K137" s="11" t="s">
        <v>882</v>
      </c>
      <c r="L137" s="11">
        <v>27.0</v>
      </c>
      <c r="M137" s="11">
        <v>8.0</v>
      </c>
      <c r="N137" s="11">
        <v>95.0</v>
      </c>
      <c r="O137" s="11">
        <v>79.0</v>
      </c>
      <c r="P137" s="11">
        <v>16.0</v>
      </c>
      <c r="Q137" s="11">
        <v>78.0</v>
      </c>
      <c r="R137" s="11">
        <v>97.0</v>
      </c>
      <c r="S137" s="11">
        <v>78.0</v>
      </c>
      <c r="T137" s="11">
        <v>76.0</v>
      </c>
      <c r="U137" s="11">
        <v>80.0</v>
      </c>
      <c r="V137" s="11">
        <v>83.0</v>
      </c>
      <c r="W137" s="11">
        <v>7.0</v>
      </c>
      <c r="X137" s="29" t="s">
        <v>1071</v>
      </c>
    </row>
    <row r="138" ht="14.25" customHeight="1">
      <c r="A138" s="11"/>
      <c r="B138" s="11">
        <v>14.0</v>
      </c>
      <c r="C138" s="11" t="s">
        <v>106</v>
      </c>
      <c r="D138" s="11"/>
      <c r="E138" s="11"/>
      <c r="F138" s="11" t="s">
        <v>866</v>
      </c>
      <c r="G138" s="11">
        <v>0.0</v>
      </c>
      <c r="H138" s="11" t="s">
        <v>405</v>
      </c>
      <c r="I138" s="11" t="s">
        <v>116</v>
      </c>
      <c r="J138" s="11" t="s">
        <v>781</v>
      </c>
      <c r="K138" s="11">
        <v>0.0</v>
      </c>
      <c r="L138" s="11">
        <v>0.0</v>
      </c>
      <c r="M138" s="11">
        <v>12.0</v>
      </c>
      <c r="N138" s="11">
        <v>134.0</v>
      </c>
      <c r="O138" s="11">
        <v>162.0</v>
      </c>
      <c r="P138" s="11">
        <v>-28.0</v>
      </c>
      <c r="Q138" s="11">
        <v>155.0</v>
      </c>
      <c r="R138" s="11">
        <v>155.0</v>
      </c>
      <c r="S138" s="11">
        <v>140.0</v>
      </c>
      <c r="T138" s="11">
        <v>169.0</v>
      </c>
      <c r="U138" s="11">
        <v>173.0</v>
      </c>
      <c r="V138" s="11">
        <v>155.0</v>
      </c>
      <c r="W138" s="11">
        <v>13.0</v>
      </c>
      <c r="X138" s="29" t="s">
        <v>866</v>
      </c>
    </row>
    <row r="139" ht="14.25" customHeight="1">
      <c r="A139" s="11"/>
      <c r="B139" s="11">
        <v>9.0</v>
      </c>
      <c r="C139" s="11" t="s">
        <v>106</v>
      </c>
      <c r="D139" s="11"/>
      <c r="E139" s="11">
        <v>6.0</v>
      </c>
      <c r="F139" s="11" t="s">
        <v>866</v>
      </c>
      <c r="G139" s="11" t="s">
        <v>106</v>
      </c>
      <c r="H139" s="11" t="s">
        <v>313</v>
      </c>
      <c r="I139" s="11" t="s">
        <v>75</v>
      </c>
      <c r="J139" s="11" t="s">
        <v>772</v>
      </c>
      <c r="K139" s="11" t="s">
        <v>882</v>
      </c>
      <c r="L139" s="11">
        <v>28.0</v>
      </c>
      <c r="M139" s="11">
        <v>6.0</v>
      </c>
      <c r="N139" s="11">
        <v>71.0</v>
      </c>
      <c r="O139" s="11">
        <v>82.0</v>
      </c>
      <c r="P139" s="11">
        <v>-11.0</v>
      </c>
      <c r="Q139" s="11">
        <v>98.0</v>
      </c>
      <c r="R139" s="11">
        <v>122.0</v>
      </c>
      <c r="S139" s="11">
        <v>88.0</v>
      </c>
      <c r="T139" s="11">
        <v>103.0</v>
      </c>
      <c r="U139" s="11">
        <v>122.0</v>
      </c>
      <c r="V139" s="11">
        <v>98.0</v>
      </c>
      <c r="W139" s="11">
        <v>9.0</v>
      </c>
      <c r="X139" s="29" t="s">
        <v>1072</v>
      </c>
    </row>
    <row r="140" ht="14.25" customHeight="1">
      <c r="A140" s="11"/>
      <c r="B140" s="11">
        <v>9.0</v>
      </c>
      <c r="C140" s="11" t="s">
        <v>106</v>
      </c>
      <c r="D140" s="11"/>
      <c r="E140" s="11">
        <v>5.0</v>
      </c>
      <c r="F140" s="11" t="s">
        <v>866</v>
      </c>
      <c r="G140" s="11">
        <v>0.0</v>
      </c>
      <c r="H140" s="11" t="s">
        <v>278</v>
      </c>
      <c r="I140" s="80" t="s">
        <v>176</v>
      </c>
      <c r="J140" s="11" t="s">
        <v>772</v>
      </c>
      <c r="K140" s="11" t="s">
        <v>882</v>
      </c>
      <c r="L140" s="11">
        <v>29.0</v>
      </c>
      <c r="M140" s="11">
        <v>7.0</v>
      </c>
      <c r="N140" s="11">
        <v>80.0</v>
      </c>
      <c r="O140" s="11">
        <v>97.0</v>
      </c>
      <c r="P140" s="11">
        <v>-17.0</v>
      </c>
      <c r="Q140" s="11">
        <v>102.0</v>
      </c>
      <c r="R140" s="11">
        <v>98.0</v>
      </c>
      <c r="S140" s="11">
        <v>93.0</v>
      </c>
      <c r="T140" s="11">
        <v>107.0</v>
      </c>
      <c r="U140" s="11">
        <v>136.0</v>
      </c>
      <c r="V140" s="11">
        <v>101.0</v>
      </c>
      <c r="W140" s="11">
        <v>9.0</v>
      </c>
      <c r="X140" s="29" t="s">
        <v>866</v>
      </c>
    </row>
    <row r="141" ht="14.25" customHeight="1">
      <c r="A141" s="11"/>
      <c r="B141" s="11">
        <v>10.0</v>
      </c>
      <c r="C141" s="11" t="s">
        <v>106</v>
      </c>
      <c r="D141" s="11"/>
      <c r="E141" s="11">
        <v>5.0</v>
      </c>
      <c r="F141" s="11" t="s">
        <v>866</v>
      </c>
      <c r="G141" s="11">
        <v>0.0</v>
      </c>
      <c r="H141" s="11" t="s">
        <v>194</v>
      </c>
      <c r="I141" s="11" t="s">
        <v>195</v>
      </c>
      <c r="J141" s="11" t="s">
        <v>772</v>
      </c>
      <c r="K141" s="11" t="s">
        <v>882</v>
      </c>
      <c r="L141" s="11">
        <v>30.0</v>
      </c>
      <c r="M141" s="11">
        <v>15.0</v>
      </c>
      <c r="N141" s="11">
        <v>175.0</v>
      </c>
      <c r="O141" s="11">
        <v>144.0</v>
      </c>
      <c r="P141" s="11">
        <v>31.0</v>
      </c>
      <c r="Q141" s="11">
        <v>110.0</v>
      </c>
      <c r="R141" s="11">
        <v>146.0</v>
      </c>
      <c r="S141" s="11">
        <v>111.0</v>
      </c>
      <c r="T141" s="11">
        <v>74.0</v>
      </c>
      <c r="U141" s="11">
        <v>99.0</v>
      </c>
      <c r="V141" s="11">
        <v>122.0</v>
      </c>
      <c r="W141" s="11">
        <v>11.0</v>
      </c>
      <c r="X141" s="29" t="s">
        <v>1073</v>
      </c>
    </row>
    <row r="142" ht="14.25" customHeight="1">
      <c r="A142" s="11"/>
      <c r="B142" s="11">
        <v>8.0</v>
      </c>
      <c r="C142" s="11" t="s">
        <v>106</v>
      </c>
      <c r="D142" s="11"/>
      <c r="E142" s="11"/>
      <c r="F142" s="11" t="s">
        <v>866</v>
      </c>
      <c r="G142" s="11" t="s">
        <v>106</v>
      </c>
      <c r="H142" s="11" t="s">
        <v>201</v>
      </c>
      <c r="I142" s="11" t="s">
        <v>62</v>
      </c>
      <c r="J142" s="11" t="s">
        <v>781</v>
      </c>
      <c r="K142" s="11" t="s">
        <v>870</v>
      </c>
      <c r="L142" s="11">
        <v>11.0</v>
      </c>
      <c r="M142" s="11">
        <v>10.0</v>
      </c>
      <c r="N142" s="11">
        <v>117.0</v>
      </c>
      <c r="O142" s="11">
        <v>89.0</v>
      </c>
      <c r="P142" s="11">
        <v>28.0</v>
      </c>
      <c r="Q142" s="11">
        <v>96.0</v>
      </c>
      <c r="R142" s="11">
        <v>89.0</v>
      </c>
      <c r="S142" s="11">
        <v>69.0</v>
      </c>
      <c r="T142" s="11">
        <v>96.0</v>
      </c>
      <c r="U142" s="11">
        <v>88.0</v>
      </c>
      <c r="V142" s="11">
        <v>92.0</v>
      </c>
      <c r="W142" s="11">
        <v>8.0</v>
      </c>
      <c r="X142" s="29" t="s">
        <v>1074</v>
      </c>
    </row>
    <row r="143" ht="14.25" customHeight="1">
      <c r="A143" s="11"/>
      <c r="B143" s="11">
        <v>16.0</v>
      </c>
      <c r="C143" s="11" t="s">
        <v>106</v>
      </c>
      <c r="D143" s="11"/>
      <c r="E143" s="11"/>
      <c r="F143" s="11" t="s">
        <v>866</v>
      </c>
      <c r="G143" s="11">
        <v>0.0</v>
      </c>
      <c r="H143" s="11" t="s">
        <v>481</v>
      </c>
      <c r="I143" s="11" t="s">
        <v>165</v>
      </c>
      <c r="J143" s="11" t="s">
        <v>770</v>
      </c>
      <c r="K143" s="11" t="s">
        <v>868</v>
      </c>
      <c r="L143" s="11">
        <v>21.0</v>
      </c>
      <c r="M143" s="11">
        <v>12.0</v>
      </c>
      <c r="N143" s="11">
        <v>136.0</v>
      </c>
      <c r="O143" s="11">
        <v>150.0</v>
      </c>
      <c r="P143" s="11">
        <v>-14.0</v>
      </c>
      <c r="Q143" s="11">
        <v>190.0</v>
      </c>
      <c r="R143" s="11">
        <v>193.0</v>
      </c>
      <c r="S143" s="11">
        <v>170.0</v>
      </c>
      <c r="T143" s="11">
        <v>201.0</v>
      </c>
      <c r="U143" s="11">
        <v>194.0</v>
      </c>
      <c r="V143" s="11">
        <v>176.0</v>
      </c>
      <c r="W143" s="11">
        <v>15.0</v>
      </c>
      <c r="X143" s="29" t="s">
        <v>866</v>
      </c>
    </row>
    <row r="144" ht="14.25" customHeight="1">
      <c r="A144" s="11"/>
      <c r="B144" s="11">
        <v>13.0</v>
      </c>
      <c r="C144" s="11" t="s">
        <v>106</v>
      </c>
      <c r="D144" s="11"/>
      <c r="E144" s="11"/>
      <c r="F144" s="11" t="s">
        <v>866</v>
      </c>
      <c r="G144" s="11">
        <v>0.0</v>
      </c>
      <c r="H144" s="11" t="s">
        <v>699</v>
      </c>
      <c r="I144" s="11" t="s">
        <v>119</v>
      </c>
      <c r="J144" s="11" t="s">
        <v>775</v>
      </c>
      <c r="K144" s="11" t="s">
        <v>857</v>
      </c>
      <c r="L144" s="11">
        <v>50.0</v>
      </c>
      <c r="M144" s="11">
        <v>13.0</v>
      </c>
      <c r="N144" s="11">
        <v>148.0</v>
      </c>
      <c r="O144" s="11">
        <v>92.0</v>
      </c>
      <c r="P144" s="11">
        <v>56.0</v>
      </c>
      <c r="Q144" s="11">
        <v>166.0</v>
      </c>
      <c r="R144" s="11">
        <v>144.0</v>
      </c>
      <c r="S144" s="11">
        <v>129.0</v>
      </c>
      <c r="T144" s="11">
        <v>116.0</v>
      </c>
      <c r="U144" s="11">
        <v>207.0</v>
      </c>
      <c r="V144" s="11">
        <v>143.0</v>
      </c>
      <c r="W144" s="11">
        <v>12.0</v>
      </c>
      <c r="X144" s="29" t="s">
        <v>1075</v>
      </c>
    </row>
    <row r="145" ht="14.25" customHeight="1">
      <c r="A145" s="11"/>
      <c r="B145" s="11">
        <v>13.0</v>
      </c>
      <c r="C145" s="11" t="s">
        <v>106</v>
      </c>
      <c r="D145" s="11"/>
      <c r="E145" s="11"/>
      <c r="F145" s="11" t="s">
        <v>866</v>
      </c>
      <c r="G145" s="11">
        <v>0.0</v>
      </c>
      <c r="H145" s="11" t="s">
        <v>910</v>
      </c>
      <c r="I145" s="11" t="s">
        <v>237</v>
      </c>
      <c r="J145" s="11" t="s">
        <v>781</v>
      </c>
      <c r="K145" s="11">
        <v>0.0</v>
      </c>
      <c r="L145" s="11">
        <v>0.0</v>
      </c>
      <c r="M145" s="11">
        <v>14.0</v>
      </c>
      <c r="N145" s="11">
        <v>160.0</v>
      </c>
      <c r="O145" s="11">
        <v>187.0</v>
      </c>
      <c r="P145" s="11">
        <v>-27.0</v>
      </c>
      <c r="Q145" s="11">
        <v>183.0</v>
      </c>
      <c r="R145" s="11">
        <v>186.0</v>
      </c>
      <c r="S145" s="11">
        <v>161.0</v>
      </c>
      <c r="T145" s="11">
        <v>110.0</v>
      </c>
      <c r="U145" s="11">
        <v>91.0</v>
      </c>
      <c r="V145" s="11">
        <v>154.0</v>
      </c>
      <c r="W145" s="11">
        <v>13.0</v>
      </c>
      <c r="X145" s="29" t="s">
        <v>866</v>
      </c>
    </row>
    <row r="146" ht="14.25" customHeight="1">
      <c r="A146" s="11"/>
      <c r="B146" s="11">
        <v>10.0</v>
      </c>
      <c r="C146" s="11" t="s">
        <v>106</v>
      </c>
      <c r="D146" s="11"/>
      <c r="E146" s="11">
        <v>1.0</v>
      </c>
      <c r="F146" s="11" t="s">
        <v>866</v>
      </c>
      <c r="G146" s="11">
        <v>0.0</v>
      </c>
      <c r="H146" s="11" t="s">
        <v>391</v>
      </c>
      <c r="I146" s="11" t="s">
        <v>52</v>
      </c>
      <c r="J146" s="11" t="s">
        <v>772</v>
      </c>
      <c r="K146" s="11" t="s">
        <v>882</v>
      </c>
      <c r="L146" s="11">
        <v>31.0</v>
      </c>
      <c r="M146" s="11">
        <v>7.0</v>
      </c>
      <c r="N146" s="11">
        <v>78.0</v>
      </c>
      <c r="O146" s="11">
        <v>94.0</v>
      </c>
      <c r="P146" s="11">
        <v>-16.0</v>
      </c>
      <c r="Q146" s="11">
        <v>92.0</v>
      </c>
      <c r="R146" s="11">
        <v>129.0</v>
      </c>
      <c r="S146" s="11">
        <v>86.0</v>
      </c>
      <c r="T146" s="11">
        <v>104.0</v>
      </c>
      <c r="U146" s="11">
        <v>153.0</v>
      </c>
      <c r="V146" s="11">
        <v>105.0</v>
      </c>
      <c r="W146" s="11">
        <v>9.0</v>
      </c>
      <c r="X146" s="29" t="s">
        <v>866</v>
      </c>
    </row>
    <row r="147" ht="14.25" customHeight="1">
      <c r="A147" s="11"/>
      <c r="B147" s="11">
        <v>13.0</v>
      </c>
      <c r="C147" s="11" t="s">
        <v>106</v>
      </c>
      <c r="D147" s="11"/>
      <c r="E147" s="11"/>
      <c r="F147" s="11" t="s">
        <v>866</v>
      </c>
      <c r="G147" s="11">
        <v>0.0</v>
      </c>
      <c r="H147" s="11" t="s">
        <v>653</v>
      </c>
      <c r="I147" s="11" t="s">
        <v>119</v>
      </c>
      <c r="J147" s="11" t="s">
        <v>775</v>
      </c>
      <c r="K147" s="11" t="s">
        <v>862</v>
      </c>
      <c r="L147" s="11">
        <v>57.0</v>
      </c>
      <c r="M147" s="11">
        <v>12.0</v>
      </c>
      <c r="N147" s="11">
        <v>133.0</v>
      </c>
      <c r="O147" s="11">
        <v>115.0</v>
      </c>
      <c r="P147" s="11">
        <v>18.0</v>
      </c>
      <c r="Q147" s="11">
        <v>137.0</v>
      </c>
      <c r="R147" s="11">
        <v>178.0</v>
      </c>
      <c r="S147" s="11">
        <v>131.0</v>
      </c>
      <c r="T147" s="11">
        <v>148.0</v>
      </c>
      <c r="U147" s="11">
        <v>172.0</v>
      </c>
      <c r="V147" s="11">
        <v>144.0</v>
      </c>
      <c r="W147" s="11">
        <v>13.0</v>
      </c>
      <c r="X147" s="29" t="s">
        <v>866</v>
      </c>
    </row>
    <row r="148" ht="14.25" customHeight="1">
      <c r="A148" s="11"/>
      <c r="B148" s="11">
        <v>9.0</v>
      </c>
      <c r="C148" s="11" t="s">
        <v>106</v>
      </c>
      <c r="D148" s="11"/>
      <c r="E148" s="11">
        <v>1.0</v>
      </c>
      <c r="F148" s="11" t="s">
        <v>866</v>
      </c>
      <c r="G148" s="11">
        <v>0.0</v>
      </c>
      <c r="H148" s="11" t="s">
        <v>178</v>
      </c>
      <c r="I148" s="11" t="s">
        <v>128</v>
      </c>
      <c r="J148" s="11" t="s">
        <v>772</v>
      </c>
      <c r="K148" s="11" t="s">
        <v>853</v>
      </c>
      <c r="L148" s="11">
        <v>32.0</v>
      </c>
      <c r="M148" s="11">
        <v>12.0</v>
      </c>
      <c r="N148" s="11">
        <v>135.0</v>
      </c>
      <c r="O148" s="11">
        <v>116.0</v>
      </c>
      <c r="P148" s="11">
        <v>19.0</v>
      </c>
      <c r="Q148" s="11">
        <v>117.0</v>
      </c>
      <c r="R148" s="11">
        <v>105.0</v>
      </c>
      <c r="S148" s="11">
        <v>104.0</v>
      </c>
      <c r="T148" s="11">
        <v>98.0</v>
      </c>
      <c r="U148" s="11">
        <v>100.0</v>
      </c>
      <c r="V148" s="11">
        <v>110.0</v>
      </c>
      <c r="W148" s="11">
        <v>10.0</v>
      </c>
      <c r="X148" s="29" t="s">
        <v>1076</v>
      </c>
    </row>
    <row r="149" ht="14.25" customHeight="1">
      <c r="A149" s="11"/>
      <c r="B149" s="11">
        <v>13.0</v>
      </c>
      <c r="C149" s="11" t="s">
        <v>106</v>
      </c>
      <c r="D149" s="11"/>
      <c r="E149" s="11"/>
      <c r="F149" s="11" t="s">
        <v>866</v>
      </c>
      <c r="G149" s="11" t="s">
        <v>106</v>
      </c>
      <c r="H149" s="11" t="s">
        <v>624</v>
      </c>
      <c r="I149" s="11" t="s">
        <v>58</v>
      </c>
      <c r="J149" s="11" t="s">
        <v>775</v>
      </c>
      <c r="K149" s="11" t="s">
        <v>857</v>
      </c>
      <c r="L149" s="11">
        <v>48.0</v>
      </c>
      <c r="M149" s="11">
        <v>12.0</v>
      </c>
      <c r="N149" s="11">
        <v>141.0</v>
      </c>
      <c r="O149" s="11">
        <v>131.0</v>
      </c>
      <c r="P149" s="11">
        <v>10.0</v>
      </c>
      <c r="Q149" s="11">
        <v>162.0</v>
      </c>
      <c r="R149" s="11">
        <v>169.0</v>
      </c>
      <c r="S149" s="11">
        <v>154.0</v>
      </c>
      <c r="T149" s="11">
        <v>115.0</v>
      </c>
      <c r="U149" s="11">
        <v>127.0</v>
      </c>
      <c r="V149" s="11">
        <v>142.0</v>
      </c>
      <c r="W149" s="11">
        <v>12.0</v>
      </c>
      <c r="X149" s="29" t="s">
        <v>1077</v>
      </c>
    </row>
    <row r="150" ht="14.25" customHeight="1">
      <c r="A150" s="11"/>
      <c r="B150" s="11">
        <v>9.0</v>
      </c>
      <c r="C150" s="11" t="s">
        <v>106</v>
      </c>
      <c r="D150" s="11"/>
      <c r="E150" s="11">
        <v>2.0</v>
      </c>
      <c r="F150" s="11" t="s">
        <v>866</v>
      </c>
      <c r="G150" s="11">
        <v>0.0</v>
      </c>
      <c r="H150" s="11" t="s">
        <v>168</v>
      </c>
      <c r="I150" s="11" t="s">
        <v>206</v>
      </c>
      <c r="J150" s="11" t="s">
        <v>772</v>
      </c>
      <c r="K150" s="11" t="s">
        <v>853</v>
      </c>
      <c r="L150" s="11">
        <v>33.0</v>
      </c>
      <c r="M150" s="11">
        <v>9.0</v>
      </c>
      <c r="N150" s="11">
        <v>96.0</v>
      </c>
      <c r="O150" s="11">
        <v>106.0</v>
      </c>
      <c r="P150" s="11">
        <v>-10.0</v>
      </c>
      <c r="Q150" s="11">
        <v>90.0</v>
      </c>
      <c r="R150" s="11">
        <v>116.0</v>
      </c>
      <c r="S150" s="11">
        <v>94.0</v>
      </c>
      <c r="T150" s="11">
        <v>85.0</v>
      </c>
      <c r="U150" s="11">
        <v>121.0</v>
      </c>
      <c r="V150" s="11">
        <v>101.0</v>
      </c>
      <c r="W150" s="11">
        <v>9.0</v>
      </c>
      <c r="X150" s="29" t="s">
        <v>866</v>
      </c>
    </row>
    <row r="151" ht="14.25" customHeight="1">
      <c r="A151" s="11"/>
      <c r="B151" s="11">
        <v>15.0</v>
      </c>
      <c r="C151" s="11" t="s">
        <v>106</v>
      </c>
      <c r="D151" s="11"/>
      <c r="E151" s="11"/>
      <c r="F151" s="11" t="s">
        <v>866</v>
      </c>
      <c r="G151" s="11">
        <v>0.0</v>
      </c>
      <c r="H151" s="11" t="s">
        <v>310</v>
      </c>
      <c r="I151" s="11" t="s">
        <v>49</v>
      </c>
      <c r="J151" s="11" t="s">
        <v>770</v>
      </c>
      <c r="K151" s="11" t="s">
        <v>878</v>
      </c>
      <c r="L151" s="11">
        <v>0.0</v>
      </c>
      <c r="M151" s="11">
        <v>13.0</v>
      </c>
      <c r="N151" s="11">
        <v>151.0</v>
      </c>
      <c r="O151" s="11">
        <v>177.0</v>
      </c>
      <c r="P151" s="11">
        <v>-26.0</v>
      </c>
      <c r="Q151" s="11">
        <v>168.0</v>
      </c>
      <c r="R151" s="11">
        <v>160.0</v>
      </c>
      <c r="S151" s="11">
        <v>197.0</v>
      </c>
      <c r="T151" s="11">
        <v>207.0</v>
      </c>
      <c r="U151" s="11">
        <v>167.0</v>
      </c>
      <c r="V151" s="11">
        <v>175.0</v>
      </c>
      <c r="W151" s="11">
        <v>15.0</v>
      </c>
      <c r="X151" s="29" t="s">
        <v>866</v>
      </c>
    </row>
    <row r="152" ht="14.25" customHeight="1">
      <c r="A152" s="11"/>
      <c r="B152" s="11">
        <v>14.0</v>
      </c>
      <c r="C152" s="11" t="s">
        <v>106</v>
      </c>
      <c r="D152" s="11"/>
      <c r="E152" s="11"/>
      <c r="F152" s="11" t="s">
        <v>866</v>
      </c>
      <c r="G152" s="11">
        <v>0.0</v>
      </c>
      <c r="H152" s="11" t="s">
        <v>428</v>
      </c>
      <c r="I152" s="11" t="s">
        <v>105</v>
      </c>
      <c r="J152" s="11" t="s">
        <v>775</v>
      </c>
      <c r="K152" s="11" t="s">
        <v>862</v>
      </c>
      <c r="L152" s="11">
        <v>58.0</v>
      </c>
      <c r="M152" s="11">
        <v>12.0</v>
      </c>
      <c r="N152" s="11">
        <v>140.0</v>
      </c>
      <c r="O152" s="11">
        <v>119.0</v>
      </c>
      <c r="P152" s="11">
        <v>21.0</v>
      </c>
      <c r="Q152" s="11">
        <v>150.0</v>
      </c>
      <c r="R152" s="11">
        <v>118.0</v>
      </c>
      <c r="S152" s="11">
        <v>134.0</v>
      </c>
      <c r="T152" s="11">
        <v>164.0</v>
      </c>
      <c r="U152" s="11">
        <v>222.0</v>
      </c>
      <c r="V152" s="11">
        <v>149.0</v>
      </c>
      <c r="W152" s="11">
        <v>13.0</v>
      </c>
      <c r="X152" s="29" t="s">
        <v>866</v>
      </c>
    </row>
    <row r="153" ht="14.25" customHeight="1">
      <c r="A153" s="11"/>
      <c r="B153" s="11">
        <v>16.0</v>
      </c>
      <c r="C153" s="11" t="s">
        <v>106</v>
      </c>
      <c r="D153" s="11"/>
      <c r="E153" s="11"/>
      <c r="F153" s="11" t="s">
        <v>866</v>
      </c>
      <c r="G153" s="11">
        <v>0.0</v>
      </c>
      <c r="H153" s="11" t="s">
        <v>682</v>
      </c>
      <c r="I153" s="11" t="s">
        <v>40</v>
      </c>
      <c r="J153" s="11" t="s">
        <v>770</v>
      </c>
      <c r="K153" s="11" t="s">
        <v>878</v>
      </c>
      <c r="L153" s="11">
        <v>24.0</v>
      </c>
      <c r="M153" s="11">
        <v>12.0</v>
      </c>
      <c r="N153" s="11">
        <v>142.0</v>
      </c>
      <c r="O153" s="11">
        <v>143.0</v>
      </c>
      <c r="P153" s="11">
        <v>-1.0</v>
      </c>
      <c r="Q153" s="11">
        <v>177.0</v>
      </c>
      <c r="R153" s="11">
        <v>181.0</v>
      </c>
      <c r="S153" s="11">
        <v>164.0</v>
      </c>
      <c r="T153" s="11">
        <v>189.0</v>
      </c>
      <c r="U153" s="11">
        <v>189.0</v>
      </c>
      <c r="V153" s="11">
        <v>169.0</v>
      </c>
      <c r="W153" s="11">
        <v>15.0</v>
      </c>
      <c r="X153" s="29" t="s">
        <v>866</v>
      </c>
    </row>
    <row r="154" ht="14.25" customHeight="1">
      <c r="A154" s="11"/>
      <c r="B154" s="11">
        <v>7.0</v>
      </c>
      <c r="C154" s="11" t="s">
        <v>106</v>
      </c>
      <c r="D154" s="11"/>
      <c r="E154" s="11">
        <v>3.0</v>
      </c>
      <c r="F154" s="11" t="s">
        <v>866</v>
      </c>
      <c r="G154" s="11">
        <v>0.0</v>
      </c>
      <c r="H154" s="11" t="s">
        <v>435</v>
      </c>
      <c r="I154" s="11" t="s">
        <v>128</v>
      </c>
      <c r="J154" s="11" t="s">
        <v>772</v>
      </c>
      <c r="K154" s="11" t="s">
        <v>853</v>
      </c>
      <c r="L154" s="11">
        <v>34.0</v>
      </c>
      <c r="M154" s="11">
        <v>6.0</v>
      </c>
      <c r="N154" s="11">
        <v>67.0</v>
      </c>
      <c r="O154" s="11">
        <v>84.0</v>
      </c>
      <c r="P154" s="11">
        <v>-17.0</v>
      </c>
      <c r="Q154" s="11">
        <v>70.0</v>
      </c>
      <c r="R154" s="11">
        <v>81.0</v>
      </c>
      <c r="S154" s="11">
        <v>80.0</v>
      </c>
      <c r="T154" s="11">
        <v>82.0</v>
      </c>
      <c r="U154" s="11">
        <v>101.0</v>
      </c>
      <c r="V154" s="11">
        <v>80.0</v>
      </c>
      <c r="W154" s="11">
        <v>7.0</v>
      </c>
      <c r="X154" s="29" t="s">
        <v>1078</v>
      </c>
    </row>
    <row r="155" ht="14.25" customHeight="1">
      <c r="A155" s="11"/>
      <c r="B155" s="11">
        <v>11.0</v>
      </c>
      <c r="C155" s="11" t="s">
        <v>106</v>
      </c>
      <c r="D155" s="11"/>
      <c r="E155" s="11"/>
      <c r="F155" s="11" t="s">
        <v>866</v>
      </c>
      <c r="G155" s="11" t="s">
        <v>106</v>
      </c>
      <c r="H155" s="11" t="s">
        <v>248</v>
      </c>
      <c r="I155" s="11" t="s">
        <v>40</v>
      </c>
      <c r="J155" s="11" t="s">
        <v>781</v>
      </c>
      <c r="K155" s="11" t="s">
        <v>870</v>
      </c>
      <c r="L155" s="11">
        <v>15.0</v>
      </c>
      <c r="M155" s="11">
        <v>14.0</v>
      </c>
      <c r="N155" s="11">
        <v>159.0</v>
      </c>
      <c r="O155" s="11">
        <v>140.0</v>
      </c>
      <c r="P155" s="11">
        <v>19.0</v>
      </c>
      <c r="Q155" s="11">
        <v>148.0</v>
      </c>
      <c r="R155" s="11">
        <v>141.0</v>
      </c>
      <c r="S155" s="11">
        <v>114.0</v>
      </c>
      <c r="T155" s="11">
        <v>121.0</v>
      </c>
      <c r="U155" s="11">
        <v>129.0</v>
      </c>
      <c r="V155" s="11">
        <v>136.0</v>
      </c>
      <c r="W155" s="11">
        <v>12.0</v>
      </c>
      <c r="X155" s="29" t="s">
        <v>866</v>
      </c>
    </row>
    <row r="156" ht="14.25" customHeight="1">
      <c r="A156" s="11"/>
      <c r="B156" s="11">
        <v>17.0</v>
      </c>
      <c r="C156" s="11" t="s">
        <v>106</v>
      </c>
      <c r="D156" s="11"/>
      <c r="E156" s="11"/>
      <c r="F156" s="11" t="s">
        <v>866</v>
      </c>
      <c r="G156" s="11">
        <v>0.0</v>
      </c>
      <c r="H156" s="11" t="s">
        <v>623</v>
      </c>
      <c r="I156" s="11" t="s">
        <v>98</v>
      </c>
      <c r="J156" s="11" t="s">
        <v>770</v>
      </c>
      <c r="K156" s="11" t="s">
        <v>878</v>
      </c>
      <c r="L156" s="11">
        <v>0.0</v>
      </c>
      <c r="M156" s="11">
        <v>13.0</v>
      </c>
      <c r="N156" s="11">
        <v>145.0</v>
      </c>
      <c r="O156" s="11">
        <v>164.0</v>
      </c>
      <c r="P156" s="11">
        <v>-19.0</v>
      </c>
      <c r="Q156" s="11">
        <v>176.0</v>
      </c>
      <c r="R156" s="11">
        <v>207.0</v>
      </c>
      <c r="S156" s="11">
        <v>198.0</v>
      </c>
      <c r="T156" s="11">
        <v>228.0</v>
      </c>
      <c r="U156" s="11">
        <v>205.0</v>
      </c>
      <c r="V156" s="11">
        <v>189.0</v>
      </c>
      <c r="W156" s="11">
        <v>16.0</v>
      </c>
      <c r="X156" s="29" t="s">
        <v>866</v>
      </c>
    </row>
    <row r="157" ht="14.25" customHeight="1">
      <c r="A157" s="11"/>
      <c r="B157" s="11">
        <v>18.0</v>
      </c>
      <c r="C157" s="11" t="s">
        <v>106</v>
      </c>
      <c r="D157" s="11"/>
      <c r="E157" s="11"/>
      <c r="F157" s="11" t="s">
        <v>866</v>
      </c>
      <c r="G157" s="11">
        <v>0.0</v>
      </c>
      <c r="H157" s="11" t="s">
        <v>901</v>
      </c>
      <c r="I157" s="80" t="s">
        <v>116</v>
      </c>
      <c r="J157" s="11" t="s">
        <v>775</v>
      </c>
      <c r="K157" s="11" t="s">
        <v>862</v>
      </c>
      <c r="L157" s="11">
        <v>59.0</v>
      </c>
      <c r="M157" s="11">
        <v>14.0</v>
      </c>
      <c r="N157" s="11">
        <v>156.0</v>
      </c>
      <c r="O157" s="11">
        <v>148.0</v>
      </c>
      <c r="P157" s="11">
        <v>8.0</v>
      </c>
      <c r="Q157" s="11">
        <v>199.0</v>
      </c>
      <c r="R157" s="11">
        <v>224.0</v>
      </c>
      <c r="S157" s="11">
        <v>159.0</v>
      </c>
      <c r="T157" s="11">
        <v>199.0</v>
      </c>
      <c r="U157" s="11">
        <v>263.0</v>
      </c>
      <c r="V157" s="11">
        <v>192.0</v>
      </c>
      <c r="W157" s="11">
        <v>17.0</v>
      </c>
      <c r="X157" s="29" t="s">
        <v>866</v>
      </c>
    </row>
    <row r="158" ht="14.25" customHeight="1">
      <c r="A158" s="11"/>
      <c r="B158" s="11">
        <v>18.0</v>
      </c>
      <c r="C158" s="11" t="s">
        <v>106</v>
      </c>
      <c r="D158" s="11"/>
      <c r="E158" s="11"/>
      <c r="F158" s="11" t="s">
        <v>866</v>
      </c>
      <c r="G158" s="11">
        <v>0.0</v>
      </c>
      <c r="H158" s="11" t="s">
        <v>1079</v>
      </c>
      <c r="I158" s="11" t="s">
        <v>195</v>
      </c>
      <c r="J158" s="11" t="s">
        <v>775</v>
      </c>
      <c r="K158" s="11">
        <v>0.0</v>
      </c>
      <c r="L158" s="11">
        <v>0.0</v>
      </c>
      <c r="M158" s="11">
        <v>13.0</v>
      </c>
      <c r="N158" s="11">
        <v>149.0</v>
      </c>
      <c r="O158" s="11">
        <v>152.0</v>
      </c>
      <c r="P158" s="11">
        <v>-3.0</v>
      </c>
      <c r="Q158" s="11">
        <v>204.0</v>
      </c>
      <c r="R158" s="11">
        <v>163.0</v>
      </c>
      <c r="S158" s="11">
        <v>155.0</v>
      </c>
      <c r="T158" s="11">
        <v>192.0</v>
      </c>
      <c r="U158" s="11">
        <v>309.0</v>
      </c>
      <c r="V158" s="11">
        <v>189.0</v>
      </c>
      <c r="W158" s="11">
        <v>16.0</v>
      </c>
      <c r="X158" s="29" t="s">
        <v>866</v>
      </c>
    </row>
    <row r="159" ht="14.25" customHeight="1">
      <c r="A159" s="11"/>
      <c r="B159" s="11">
        <v>14.0</v>
      </c>
      <c r="C159" s="11" t="s">
        <v>106</v>
      </c>
      <c r="D159" s="11"/>
      <c r="E159" s="11"/>
      <c r="F159" s="11" t="s">
        <v>866</v>
      </c>
      <c r="G159" s="11">
        <v>0.0</v>
      </c>
      <c r="H159" s="11" t="s">
        <v>906</v>
      </c>
      <c r="I159" s="11" t="s">
        <v>176</v>
      </c>
      <c r="J159" s="11" t="s">
        <v>775</v>
      </c>
      <c r="K159" s="11" t="s">
        <v>884</v>
      </c>
      <c r="L159" s="11">
        <v>60.0</v>
      </c>
      <c r="M159" s="11">
        <v>13.0</v>
      </c>
      <c r="N159" s="11">
        <v>154.0</v>
      </c>
      <c r="O159" s="11">
        <v>117.0</v>
      </c>
      <c r="P159" s="11">
        <v>37.0</v>
      </c>
      <c r="Q159" s="11">
        <v>171.0</v>
      </c>
      <c r="R159" s="11">
        <v>167.0</v>
      </c>
      <c r="S159" s="11">
        <v>136.0</v>
      </c>
      <c r="T159" s="11">
        <v>140.0</v>
      </c>
      <c r="U159" s="11">
        <v>174.0</v>
      </c>
      <c r="V159" s="11">
        <v>151.0</v>
      </c>
      <c r="W159" s="11">
        <v>13.0</v>
      </c>
      <c r="X159" s="29" t="s">
        <v>866</v>
      </c>
    </row>
    <row r="160" ht="14.25" customHeight="1">
      <c r="A160" s="11"/>
      <c r="B160" s="11">
        <v>13.0</v>
      </c>
      <c r="C160" s="11" t="s">
        <v>106</v>
      </c>
      <c r="D160" s="11"/>
      <c r="E160" s="11"/>
      <c r="F160" s="11" t="s">
        <v>866</v>
      </c>
      <c r="G160" s="11">
        <v>0.0</v>
      </c>
      <c r="H160" s="11" t="s">
        <v>919</v>
      </c>
      <c r="I160" s="11" t="s">
        <v>192</v>
      </c>
      <c r="J160" s="11" t="s">
        <v>781</v>
      </c>
      <c r="K160" s="11">
        <v>0.0</v>
      </c>
      <c r="L160" s="11">
        <v>0.0</v>
      </c>
      <c r="M160" s="11">
        <v>13.0</v>
      </c>
      <c r="N160" s="11">
        <v>153.0</v>
      </c>
      <c r="O160" s="11">
        <v>165.0</v>
      </c>
      <c r="P160" s="11">
        <v>-12.0</v>
      </c>
      <c r="Q160" s="11">
        <v>115.0</v>
      </c>
      <c r="R160" s="11">
        <v>154.0</v>
      </c>
      <c r="S160" s="11">
        <v>133.0</v>
      </c>
      <c r="T160" s="11">
        <v>165.0</v>
      </c>
      <c r="U160" s="11">
        <v>162.0</v>
      </c>
      <c r="V160" s="11">
        <v>149.0</v>
      </c>
      <c r="W160" s="11">
        <v>13.0</v>
      </c>
      <c r="X160" s="29" t="s">
        <v>866</v>
      </c>
    </row>
    <row r="161" ht="14.25" customHeight="1">
      <c r="A161" s="11"/>
      <c r="B161" s="11">
        <v>15.0</v>
      </c>
      <c r="C161" s="11" t="s">
        <v>106</v>
      </c>
      <c r="D161" s="11"/>
      <c r="E161" s="11"/>
      <c r="F161" s="11" t="s">
        <v>866</v>
      </c>
      <c r="G161" s="11">
        <v>0.0</v>
      </c>
      <c r="H161" s="11" t="s">
        <v>639</v>
      </c>
      <c r="I161" s="11" t="s">
        <v>94</v>
      </c>
      <c r="J161" s="11" t="s">
        <v>770</v>
      </c>
      <c r="K161" s="11" t="s">
        <v>878</v>
      </c>
      <c r="L161" s="11">
        <v>20.0</v>
      </c>
      <c r="M161" s="11">
        <v>13.0</v>
      </c>
      <c r="N161" s="11">
        <v>152.0</v>
      </c>
      <c r="O161" s="11">
        <v>158.0</v>
      </c>
      <c r="P161" s="11">
        <v>-6.0</v>
      </c>
      <c r="Q161" s="11">
        <v>154.0</v>
      </c>
      <c r="R161" s="11">
        <v>166.0</v>
      </c>
      <c r="S161" s="11">
        <v>183.0</v>
      </c>
      <c r="T161" s="11">
        <v>198.0</v>
      </c>
      <c r="U161" s="11">
        <v>193.0</v>
      </c>
      <c r="V161" s="11">
        <v>172.0</v>
      </c>
      <c r="W161" s="11">
        <v>15.0</v>
      </c>
      <c r="X161" s="29" t="s">
        <v>866</v>
      </c>
    </row>
    <row r="162" ht="14.25" customHeight="1">
      <c r="A162" s="11"/>
      <c r="B162" s="11">
        <v>15.0</v>
      </c>
      <c r="C162" s="11" t="s">
        <v>106</v>
      </c>
      <c r="D162" s="11"/>
      <c r="E162" s="11"/>
      <c r="F162" s="11" t="s">
        <v>866</v>
      </c>
      <c r="G162" s="11">
        <v>0.0</v>
      </c>
      <c r="H162" s="11" t="s">
        <v>189</v>
      </c>
      <c r="I162" s="11" t="s">
        <v>171</v>
      </c>
      <c r="J162" s="11" t="s">
        <v>775</v>
      </c>
      <c r="K162" s="11" t="s">
        <v>857</v>
      </c>
      <c r="L162" s="11">
        <v>49.0</v>
      </c>
      <c r="M162" s="11">
        <v>14.0</v>
      </c>
      <c r="N162" s="11">
        <v>162.0</v>
      </c>
      <c r="O162" s="11">
        <v>111.0</v>
      </c>
      <c r="P162" s="11">
        <v>51.0</v>
      </c>
      <c r="Q162" s="11">
        <v>175.0</v>
      </c>
      <c r="R162" s="11">
        <v>195.0</v>
      </c>
      <c r="S162" s="11">
        <v>141.0</v>
      </c>
      <c r="T162" s="11">
        <v>145.0</v>
      </c>
      <c r="U162" s="11">
        <v>210.0</v>
      </c>
      <c r="V162" s="11">
        <v>162.0</v>
      </c>
      <c r="W162" s="11">
        <v>14.0</v>
      </c>
      <c r="X162" s="29" t="s">
        <v>1080</v>
      </c>
    </row>
    <row r="163" ht="14.25" customHeight="1">
      <c r="A163" s="11"/>
      <c r="B163" s="11">
        <v>8.0</v>
      </c>
      <c r="C163" s="11" t="s">
        <v>106</v>
      </c>
      <c r="D163" s="11"/>
      <c r="E163" s="11">
        <v>2.0</v>
      </c>
      <c r="F163" s="11" t="s">
        <v>866</v>
      </c>
      <c r="G163" s="11">
        <v>0.0</v>
      </c>
      <c r="H163" s="11" t="s">
        <v>236</v>
      </c>
      <c r="I163" s="48" t="s">
        <v>237</v>
      </c>
      <c r="J163" s="11" t="s">
        <v>772</v>
      </c>
      <c r="K163" s="11" t="s">
        <v>853</v>
      </c>
      <c r="L163" s="11">
        <v>35.0</v>
      </c>
      <c r="M163" s="11">
        <v>7.0</v>
      </c>
      <c r="N163" s="11">
        <v>75.0</v>
      </c>
      <c r="O163" s="11">
        <v>88.0</v>
      </c>
      <c r="P163" s="11">
        <v>-13.0</v>
      </c>
      <c r="Q163" s="11">
        <v>88.0</v>
      </c>
      <c r="R163" s="11">
        <v>85.0</v>
      </c>
      <c r="S163" s="11">
        <v>84.0</v>
      </c>
      <c r="T163" s="11">
        <v>86.0</v>
      </c>
      <c r="U163" s="11">
        <v>107.0</v>
      </c>
      <c r="V163" s="11">
        <v>87.0</v>
      </c>
      <c r="W163" s="11">
        <v>8.0</v>
      </c>
      <c r="X163" s="29" t="s">
        <v>866</v>
      </c>
    </row>
    <row r="164" ht="14.25" customHeight="1">
      <c r="A164" s="11"/>
      <c r="B164" s="11">
        <v>17.0</v>
      </c>
      <c r="C164" s="11" t="s">
        <v>106</v>
      </c>
      <c r="D164" s="11"/>
      <c r="E164" s="11"/>
      <c r="F164" s="11" t="s">
        <v>866</v>
      </c>
      <c r="G164" s="11">
        <v>0.0</v>
      </c>
      <c r="H164" s="11" t="s">
        <v>409</v>
      </c>
      <c r="I164" s="11" t="s">
        <v>231</v>
      </c>
      <c r="J164" s="11" t="s">
        <v>781</v>
      </c>
      <c r="K164" s="11">
        <v>0.0</v>
      </c>
      <c r="L164" s="11">
        <v>0.0</v>
      </c>
      <c r="M164" s="11">
        <v>13.0</v>
      </c>
      <c r="N164" s="11">
        <v>144.0</v>
      </c>
      <c r="O164" s="11">
        <v>166.0</v>
      </c>
      <c r="P164" s="11">
        <v>-22.0</v>
      </c>
      <c r="Q164" s="11" t="s">
        <v>36</v>
      </c>
      <c r="R164" s="11" t="s">
        <v>36</v>
      </c>
      <c r="S164" s="11">
        <v>150.0</v>
      </c>
      <c r="T164" s="11">
        <v>208.0</v>
      </c>
      <c r="U164" s="11">
        <v>218.0</v>
      </c>
      <c r="V164" s="11">
        <v>177.0</v>
      </c>
      <c r="W164" s="11">
        <v>15.0</v>
      </c>
      <c r="X164" s="29" t="s">
        <v>866</v>
      </c>
    </row>
    <row r="165" ht="14.25" customHeight="1">
      <c r="A165" s="11"/>
      <c r="B165" s="11">
        <v>10.0</v>
      </c>
      <c r="C165" s="11" t="s">
        <v>106</v>
      </c>
      <c r="D165" s="11"/>
      <c r="E165" s="11">
        <v>1.0</v>
      </c>
      <c r="F165" s="11" t="s">
        <v>866</v>
      </c>
      <c r="G165" s="11">
        <v>0.0</v>
      </c>
      <c r="H165" s="11" t="s">
        <v>422</v>
      </c>
      <c r="I165" s="11" t="s">
        <v>58</v>
      </c>
      <c r="J165" s="11" t="s">
        <v>772</v>
      </c>
      <c r="K165" s="11" t="s">
        <v>853</v>
      </c>
      <c r="L165" s="11">
        <v>36.0</v>
      </c>
      <c r="M165" s="11">
        <v>13.0</v>
      </c>
      <c r="N165" s="11">
        <v>147.0</v>
      </c>
      <c r="O165" s="11">
        <v>133.0</v>
      </c>
      <c r="P165" s="11">
        <v>14.0</v>
      </c>
      <c r="Q165" s="11">
        <v>125.0</v>
      </c>
      <c r="R165" s="11">
        <v>168.0</v>
      </c>
      <c r="S165" s="11">
        <v>125.0</v>
      </c>
      <c r="T165" s="11">
        <v>78.0</v>
      </c>
      <c r="U165" s="11">
        <v>103.0</v>
      </c>
      <c r="V165" s="11">
        <v>125.0</v>
      </c>
      <c r="W165" s="11">
        <v>11.0</v>
      </c>
      <c r="X165" s="29" t="s">
        <v>866</v>
      </c>
    </row>
    <row r="166" ht="14.25" customHeight="1">
      <c r="A166" s="11"/>
      <c r="B166" s="11">
        <v>11.0</v>
      </c>
      <c r="C166" s="11" t="s">
        <v>106</v>
      </c>
      <c r="D166" s="11"/>
      <c r="E166" s="11"/>
      <c r="F166" s="11" t="s">
        <v>866</v>
      </c>
      <c r="G166" s="11">
        <v>0.0</v>
      </c>
      <c r="H166" s="11" t="s">
        <v>485</v>
      </c>
      <c r="I166" s="11" t="s">
        <v>176</v>
      </c>
      <c r="J166" s="11" t="s">
        <v>1081</v>
      </c>
      <c r="K166" s="11">
        <v>0.0</v>
      </c>
      <c r="L166" s="11">
        <v>0.0</v>
      </c>
      <c r="M166" s="11">
        <v>14.0</v>
      </c>
      <c r="N166" s="11">
        <v>158.0</v>
      </c>
      <c r="O166" s="11" t="s">
        <v>36</v>
      </c>
      <c r="P166" s="11" t="e">
        <v>#VALUE!</v>
      </c>
      <c r="Q166" s="11">
        <v>106.0</v>
      </c>
      <c r="R166" s="11">
        <v>94.0</v>
      </c>
      <c r="S166" s="11">
        <v>203.0</v>
      </c>
      <c r="T166" s="11">
        <v>147.0</v>
      </c>
      <c r="U166" s="11">
        <v>82.0</v>
      </c>
      <c r="V166" s="11">
        <v>131.0</v>
      </c>
      <c r="W166" s="11">
        <v>11.0</v>
      </c>
      <c r="X166" s="29" t="s">
        <v>866</v>
      </c>
    </row>
    <row r="167" ht="14.25" customHeight="1">
      <c r="A167" s="11"/>
      <c r="B167" s="11">
        <v>10.0</v>
      </c>
      <c r="C167" s="11" t="s">
        <v>106</v>
      </c>
      <c r="D167" s="11"/>
      <c r="E167" s="11">
        <v>3.0</v>
      </c>
      <c r="F167" s="11" t="s">
        <v>866</v>
      </c>
      <c r="G167" s="11">
        <v>0.0</v>
      </c>
      <c r="H167" s="11" t="s">
        <v>226</v>
      </c>
      <c r="I167" s="11" t="s">
        <v>116</v>
      </c>
      <c r="J167" s="11" t="s">
        <v>772</v>
      </c>
      <c r="K167" s="11" t="s">
        <v>853</v>
      </c>
      <c r="L167" s="11">
        <v>37.0</v>
      </c>
      <c r="M167" s="11">
        <v>10.0</v>
      </c>
      <c r="N167" s="11">
        <v>116.0</v>
      </c>
      <c r="O167" s="11">
        <v>125.0</v>
      </c>
      <c r="P167" s="11">
        <v>-9.0</v>
      </c>
      <c r="Q167" s="11">
        <v>109.0</v>
      </c>
      <c r="R167" s="11">
        <v>107.0</v>
      </c>
      <c r="S167" s="11">
        <v>126.0</v>
      </c>
      <c r="T167" s="11">
        <v>111.0</v>
      </c>
      <c r="U167" s="11">
        <v>130.0</v>
      </c>
      <c r="V167" s="11">
        <v>117.0</v>
      </c>
      <c r="W167" s="11">
        <v>10.0</v>
      </c>
      <c r="X167" s="29" t="s">
        <v>866</v>
      </c>
    </row>
    <row r="168" ht="14.25" customHeight="1">
      <c r="A168" s="11"/>
      <c r="B168" s="11">
        <v>16.0</v>
      </c>
      <c r="C168" s="11" t="s">
        <v>106</v>
      </c>
      <c r="D168" s="11"/>
      <c r="E168" s="11"/>
      <c r="F168" s="11" t="s">
        <v>866</v>
      </c>
      <c r="G168" s="11">
        <v>0.0</v>
      </c>
      <c r="H168" s="11" t="s">
        <v>883</v>
      </c>
      <c r="I168" s="11" t="s">
        <v>67</v>
      </c>
      <c r="J168" s="11" t="s">
        <v>775</v>
      </c>
      <c r="K168" s="11" t="s">
        <v>884</v>
      </c>
      <c r="L168" s="11">
        <v>61.0</v>
      </c>
      <c r="M168" s="11">
        <v>13.0</v>
      </c>
      <c r="N168" s="11">
        <v>150.0</v>
      </c>
      <c r="O168" s="11">
        <v>136.0</v>
      </c>
      <c r="P168" s="11">
        <v>14.0</v>
      </c>
      <c r="Q168" s="11" t="s">
        <v>36</v>
      </c>
      <c r="R168" s="11" t="s">
        <v>36</v>
      </c>
      <c r="S168" s="11">
        <v>158.0</v>
      </c>
      <c r="T168" s="11">
        <v>174.0</v>
      </c>
      <c r="U168" s="11">
        <v>235.0</v>
      </c>
      <c r="V168" s="11">
        <v>170.0</v>
      </c>
      <c r="W168" s="11">
        <v>15.0</v>
      </c>
      <c r="X168" s="29" t="s">
        <v>866</v>
      </c>
    </row>
    <row r="169" ht="14.25" customHeight="1">
      <c r="A169" s="11"/>
      <c r="B169" s="11">
        <v>12.0</v>
      </c>
      <c r="C169" s="11" t="s">
        <v>106</v>
      </c>
      <c r="D169" s="11"/>
      <c r="E169" s="11">
        <v>3.0</v>
      </c>
      <c r="F169" s="11" t="s">
        <v>866</v>
      </c>
      <c r="G169" s="11">
        <v>0.0</v>
      </c>
      <c r="H169" s="11" t="s">
        <v>407</v>
      </c>
      <c r="I169" s="11" t="s">
        <v>206</v>
      </c>
      <c r="J169" s="11" t="s">
        <v>772</v>
      </c>
      <c r="K169" s="11" t="s">
        <v>872</v>
      </c>
      <c r="L169" s="11">
        <v>38.0</v>
      </c>
      <c r="M169" s="11">
        <v>9.0</v>
      </c>
      <c r="N169" s="11">
        <v>101.0</v>
      </c>
      <c r="O169" s="11">
        <v>121.0</v>
      </c>
      <c r="P169" s="11">
        <v>-20.0</v>
      </c>
      <c r="Q169" s="11">
        <v>105.0</v>
      </c>
      <c r="R169" s="11">
        <v>132.0</v>
      </c>
      <c r="S169" s="11">
        <v>120.0</v>
      </c>
      <c r="T169" s="11">
        <v>122.0</v>
      </c>
      <c r="U169" s="11">
        <v>209.0</v>
      </c>
      <c r="V169" s="11">
        <v>130.0</v>
      </c>
      <c r="W169" s="11">
        <v>11.0</v>
      </c>
      <c r="X169" s="29" t="s">
        <v>866</v>
      </c>
    </row>
    <row r="170" ht="14.25" customHeight="1">
      <c r="A170" s="11"/>
      <c r="B170" s="11">
        <v>12.0</v>
      </c>
      <c r="C170" s="11" t="s">
        <v>106</v>
      </c>
      <c r="D170" s="11"/>
      <c r="E170" s="11"/>
      <c r="F170" s="11" t="s">
        <v>866</v>
      </c>
      <c r="G170" s="11">
        <v>0.0</v>
      </c>
      <c r="H170" s="11" t="s">
        <v>495</v>
      </c>
      <c r="I170" s="11" t="s">
        <v>85</v>
      </c>
      <c r="J170" s="11" t="s">
        <v>1081</v>
      </c>
      <c r="K170" s="11">
        <v>0.0</v>
      </c>
      <c r="L170" s="11">
        <v>0.0</v>
      </c>
      <c r="M170" s="11">
        <v>14.0</v>
      </c>
      <c r="N170" s="11">
        <v>165.0</v>
      </c>
      <c r="O170" s="11" t="s">
        <v>36</v>
      </c>
      <c r="P170" s="11" t="e">
        <v>#VALUE!</v>
      </c>
      <c r="Q170" s="11">
        <v>87.0</v>
      </c>
      <c r="R170" s="11">
        <v>130.0</v>
      </c>
      <c r="S170" s="11">
        <v>214.0</v>
      </c>
      <c r="T170" s="11">
        <v>144.0</v>
      </c>
      <c r="U170" s="11">
        <v>93.0</v>
      </c>
      <c r="V170" s="11">
        <v>138.0</v>
      </c>
      <c r="W170" s="11">
        <v>12.0</v>
      </c>
      <c r="X170" s="29" t="s">
        <v>866</v>
      </c>
    </row>
    <row r="171" ht="14.25" customHeight="1">
      <c r="A171" s="11"/>
      <c r="B171" s="11">
        <v>13.0</v>
      </c>
      <c r="C171" s="11" t="s">
        <v>106</v>
      </c>
      <c r="D171" s="11"/>
      <c r="E171" s="11"/>
      <c r="F171" s="11" t="s">
        <v>866</v>
      </c>
      <c r="G171" s="11">
        <v>0.0</v>
      </c>
      <c r="H171" s="11" t="s">
        <v>502</v>
      </c>
      <c r="I171" s="11" t="s">
        <v>237</v>
      </c>
      <c r="J171" s="11" t="s">
        <v>1081</v>
      </c>
      <c r="K171" s="11">
        <v>0.0</v>
      </c>
      <c r="L171" s="11">
        <v>0.0</v>
      </c>
      <c r="M171" s="11">
        <v>14.0</v>
      </c>
      <c r="N171" s="11">
        <v>166.0</v>
      </c>
      <c r="O171" s="11" t="s">
        <v>36</v>
      </c>
      <c r="P171" s="11" t="e">
        <v>#VALUE!</v>
      </c>
      <c r="Q171" s="11">
        <v>132.0</v>
      </c>
      <c r="R171" s="11">
        <v>90.0</v>
      </c>
      <c r="S171" s="11">
        <v>215.0</v>
      </c>
      <c r="T171" s="11">
        <v>154.0</v>
      </c>
      <c r="U171" s="11">
        <v>131.0</v>
      </c>
      <c r="V171" s="11">
        <v>148.0</v>
      </c>
      <c r="W171" s="11">
        <v>13.0</v>
      </c>
      <c r="X171" s="29" t="s">
        <v>866</v>
      </c>
    </row>
    <row r="172" ht="14.25" customHeight="1">
      <c r="A172" s="11"/>
      <c r="B172" s="11">
        <v>12.0</v>
      </c>
      <c r="C172" s="11" t="s">
        <v>106</v>
      </c>
      <c r="D172" s="11"/>
      <c r="E172" s="11">
        <v>1.0</v>
      </c>
      <c r="F172" s="11" t="s">
        <v>866</v>
      </c>
      <c r="G172" s="11">
        <v>0.0</v>
      </c>
      <c r="H172" s="11" t="s">
        <v>661</v>
      </c>
      <c r="I172" s="11" t="s">
        <v>105</v>
      </c>
      <c r="J172" s="11" t="s">
        <v>772</v>
      </c>
      <c r="K172" s="11" t="s">
        <v>872</v>
      </c>
      <c r="L172" s="11">
        <v>39.0</v>
      </c>
      <c r="M172" s="11">
        <v>13.0</v>
      </c>
      <c r="N172" s="11">
        <v>155.0</v>
      </c>
      <c r="O172" s="11">
        <v>160.0</v>
      </c>
      <c r="P172" s="11">
        <v>-5.0</v>
      </c>
      <c r="Q172" s="11">
        <v>138.0</v>
      </c>
      <c r="R172" s="11">
        <v>162.0</v>
      </c>
      <c r="S172" s="11">
        <v>148.0</v>
      </c>
      <c r="T172" s="11">
        <v>108.0</v>
      </c>
      <c r="U172" s="11">
        <v>118.0</v>
      </c>
      <c r="V172" s="11">
        <v>141.0</v>
      </c>
      <c r="W172" s="11">
        <v>12.0</v>
      </c>
      <c r="X172" s="29" t="s">
        <v>866</v>
      </c>
    </row>
    <row r="173" ht="14.25" customHeight="1">
      <c r="A173" s="11"/>
      <c r="B173" s="11">
        <v>14.0</v>
      </c>
      <c r="C173" s="11" t="s">
        <v>106</v>
      </c>
      <c r="D173" s="11"/>
      <c r="E173" s="11">
        <v>0.0</v>
      </c>
      <c r="F173" s="11" t="s">
        <v>866</v>
      </c>
      <c r="G173" s="11">
        <v>0.0</v>
      </c>
      <c r="H173" s="11" t="s">
        <v>393</v>
      </c>
      <c r="I173" s="11" t="s">
        <v>231</v>
      </c>
      <c r="J173" s="11" t="s">
        <v>772</v>
      </c>
      <c r="K173" s="11" t="s">
        <v>872</v>
      </c>
      <c r="L173" s="11">
        <v>40.0</v>
      </c>
      <c r="M173" s="11">
        <v>11.0</v>
      </c>
      <c r="N173" s="11">
        <v>131.0</v>
      </c>
      <c r="O173" s="11">
        <v>172.0</v>
      </c>
      <c r="P173" s="11">
        <v>-41.0</v>
      </c>
      <c r="Q173" s="11">
        <v>163.0</v>
      </c>
      <c r="R173" s="11">
        <v>165.0</v>
      </c>
      <c r="S173" s="11">
        <v>152.0</v>
      </c>
      <c r="T173" s="11">
        <v>123.0</v>
      </c>
      <c r="U173" s="11">
        <v>198.0</v>
      </c>
      <c r="V173" s="11">
        <v>157.0</v>
      </c>
      <c r="W173" s="11">
        <v>14.0</v>
      </c>
      <c r="X173" s="29" t="s">
        <v>866</v>
      </c>
    </row>
    <row r="174" ht="14.25" customHeight="1">
      <c r="A174" s="11"/>
      <c r="B174" s="11">
        <v>17.0</v>
      </c>
      <c r="C174" s="11" t="s">
        <v>106</v>
      </c>
      <c r="D174" s="11"/>
      <c r="E174" s="11"/>
      <c r="F174" s="11" t="s">
        <v>866</v>
      </c>
      <c r="G174" s="11">
        <v>0.0</v>
      </c>
      <c r="H174" s="11" t="s">
        <v>359</v>
      </c>
      <c r="I174" s="11" t="s">
        <v>154</v>
      </c>
      <c r="J174" s="11" t="s">
        <v>775</v>
      </c>
      <c r="K174" s="11">
        <v>0.0</v>
      </c>
      <c r="L174" s="11">
        <v>0.0</v>
      </c>
      <c r="M174" s="11">
        <v>15.0</v>
      </c>
      <c r="N174" s="11">
        <v>178.0</v>
      </c>
      <c r="O174" s="11">
        <v>149.0</v>
      </c>
      <c r="P174" s="11">
        <v>29.0</v>
      </c>
      <c r="Q174" s="11">
        <v>205.0</v>
      </c>
      <c r="R174" s="11" t="s">
        <v>36</v>
      </c>
      <c r="S174" s="11">
        <v>172.0</v>
      </c>
      <c r="T174" s="11">
        <v>210.0</v>
      </c>
      <c r="U174" s="11">
        <v>223.0</v>
      </c>
      <c r="V174" s="11">
        <v>189.0</v>
      </c>
      <c r="W174" s="11">
        <v>16.0</v>
      </c>
      <c r="X174" s="29" t="s">
        <v>866</v>
      </c>
    </row>
    <row r="175" ht="14.25" customHeight="1">
      <c r="A175" s="11"/>
      <c r="B175" s="11">
        <v>17.0</v>
      </c>
      <c r="C175" s="11" t="s">
        <v>106</v>
      </c>
      <c r="D175" s="11"/>
      <c r="E175" s="11"/>
      <c r="F175" s="11" t="s">
        <v>866</v>
      </c>
      <c r="G175" s="11">
        <v>0.0</v>
      </c>
      <c r="H175" s="11" t="s">
        <v>399</v>
      </c>
      <c r="I175" s="11" t="s">
        <v>206</v>
      </c>
      <c r="J175" s="11" t="s">
        <v>781</v>
      </c>
      <c r="K175" s="11">
        <v>0.0</v>
      </c>
      <c r="L175" s="11">
        <v>0.0</v>
      </c>
      <c r="M175" s="11">
        <v>14.0</v>
      </c>
      <c r="N175" s="11">
        <v>163.0</v>
      </c>
      <c r="O175" s="11">
        <v>155.0</v>
      </c>
      <c r="P175" s="11">
        <v>8.0</v>
      </c>
      <c r="Q175" s="11">
        <v>186.0</v>
      </c>
      <c r="R175" s="11">
        <v>205.0</v>
      </c>
      <c r="S175" s="11">
        <v>138.0</v>
      </c>
      <c r="T175" s="11">
        <v>195.0</v>
      </c>
      <c r="U175" s="11">
        <v>254.0</v>
      </c>
      <c r="V175" s="11">
        <v>185.0</v>
      </c>
      <c r="W175" s="11">
        <v>16.0</v>
      </c>
      <c r="X175" s="29" t="s">
        <v>866</v>
      </c>
    </row>
    <row r="176" ht="14.25" customHeight="1">
      <c r="A176" s="11"/>
      <c r="B176" s="11">
        <v>17.0</v>
      </c>
      <c r="C176" s="11" t="s">
        <v>106</v>
      </c>
      <c r="D176" s="11"/>
      <c r="E176" s="11"/>
      <c r="F176" s="11" t="s">
        <v>866</v>
      </c>
      <c r="G176" s="11">
        <v>0.0</v>
      </c>
      <c r="H176" s="11" t="s">
        <v>308</v>
      </c>
      <c r="I176" s="11" t="s">
        <v>128</v>
      </c>
      <c r="J176" s="11" t="s">
        <v>775</v>
      </c>
      <c r="K176" s="11">
        <v>0.0</v>
      </c>
      <c r="L176" s="11">
        <v>0.0</v>
      </c>
      <c r="M176" s="11">
        <v>15.0</v>
      </c>
      <c r="N176" s="11">
        <v>168.0</v>
      </c>
      <c r="O176" s="11">
        <v>170.0</v>
      </c>
      <c r="P176" s="11">
        <v>-2.0</v>
      </c>
      <c r="Q176" s="11">
        <v>165.0</v>
      </c>
      <c r="R176" s="11">
        <v>174.0</v>
      </c>
      <c r="S176" s="11">
        <v>169.0</v>
      </c>
      <c r="T176" s="11">
        <v>206.0</v>
      </c>
      <c r="U176" s="11">
        <v>249.0</v>
      </c>
      <c r="V176" s="11">
        <v>185.0</v>
      </c>
      <c r="W176" s="11">
        <v>16.0</v>
      </c>
      <c r="X176" s="29" t="s">
        <v>866</v>
      </c>
    </row>
    <row r="177" ht="14.25" customHeight="1">
      <c r="A177" s="11"/>
      <c r="B177" s="11">
        <v>15.0</v>
      </c>
      <c r="C177" s="11" t="s">
        <v>106</v>
      </c>
      <c r="D177" s="11"/>
      <c r="E177" s="11"/>
      <c r="F177" s="11" t="s">
        <v>866</v>
      </c>
      <c r="G177" s="11">
        <v>0.0</v>
      </c>
      <c r="H177" s="11" t="s">
        <v>892</v>
      </c>
      <c r="I177" s="11" t="s">
        <v>75</v>
      </c>
      <c r="J177" s="11" t="s">
        <v>775</v>
      </c>
      <c r="K177" s="11" t="s">
        <v>884</v>
      </c>
      <c r="L177" s="11">
        <v>65.0</v>
      </c>
      <c r="M177" s="11">
        <v>16.0</v>
      </c>
      <c r="N177" s="11">
        <v>191.0</v>
      </c>
      <c r="O177" s="11">
        <v>169.0</v>
      </c>
      <c r="P177" s="11">
        <v>22.0</v>
      </c>
      <c r="Q177" s="11">
        <v>167.0</v>
      </c>
      <c r="R177" s="11">
        <v>159.0</v>
      </c>
      <c r="S177" s="11">
        <v>168.0</v>
      </c>
      <c r="T177" s="11">
        <v>171.0</v>
      </c>
      <c r="U177" s="11">
        <v>203.0</v>
      </c>
      <c r="V177" s="11">
        <v>175.0</v>
      </c>
      <c r="W177" s="11">
        <v>15.0</v>
      </c>
      <c r="X177" s="29" t="s">
        <v>1082</v>
      </c>
    </row>
    <row r="178" ht="14.25" customHeight="1">
      <c r="A178" s="11"/>
      <c r="B178" s="11">
        <v>13.0</v>
      </c>
      <c r="C178" s="11" t="s">
        <v>106</v>
      </c>
      <c r="D178" s="11"/>
      <c r="E178" s="11"/>
      <c r="F178" s="11" t="s">
        <v>866</v>
      </c>
      <c r="G178" s="11">
        <v>0.0</v>
      </c>
      <c r="H178" s="11" t="s">
        <v>513</v>
      </c>
      <c r="I178" s="11" t="s">
        <v>109</v>
      </c>
      <c r="J178" s="11" t="s">
        <v>1081</v>
      </c>
      <c r="K178" s="11">
        <v>0.0</v>
      </c>
      <c r="L178" s="11">
        <v>0.0</v>
      </c>
      <c r="M178" s="11">
        <v>15.0</v>
      </c>
      <c r="N178" s="11">
        <v>169.0</v>
      </c>
      <c r="O178" s="11" t="s">
        <v>36</v>
      </c>
      <c r="P178" s="11" t="e">
        <v>#VALUE!</v>
      </c>
      <c r="Q178" s="11">
        <v>112.0</v>
      </c>
      <c r="R178" s="11">
        <v>109.0</v>
      </c>
      <c r="S178" s="11">
        <v>212.0</v>
      </c>
      <c r="T178" s="11">
        <v>181.0</v>
      </c>
      <c r="U178" s="11">
        <v>123.0</v>
      </c>
      <c r="V178" s="11">
        <v>151.0</v>
      </c>
      <c r="W178" s="11">
        <v>13.0</v>
      </c>
      <c r="X178" s="29" t="s">
        <v>866</v>
      </c>
    </row>
    <row r="179" ht="14.25" customHeight="1">
      <c r="A179" s="11"/>
      <c r="B179" s="11">
        <v>12.0</v>
      </c>
      <c r="C179" s="11" t="s">
        <v>106</v>
      </c>
      <c r="D179" s="11"/>
      <c r="E179" s="11">
        <v>2.0</v>
      </c>
      <c r="F179" s="11" t="s">
        <v>866</v>
      </c>
      <c r="G179" s="11" t="s">
        <v>106</v>
      </c>
      <c r="H179" s="11" t="s">
        <v>525</v>
      </c>
      <c r="I179" s="11" t="s">
        <v>71</v>
      </c>
      <c r="J179" s="11" t="s">
        <v>772</v>
      </c>
      <c r="K179" s="11" t="s">
        <v>872</v>
      </c>
      <c r="L179" s="11">
        <v>41.0</v>
      </c>
      <c r="M179" s="11">
        <v>12.0</v>
      </c>
      <c r="N179" s="11">
        <v>143.0</v>
      </c>
      <c r="O179" s="11">
        <v>146.0</v>
      </c>
      <c r="P179" s="11">
        <v>-3.0</v>
      </c>
      <c r="Q179" s="11">
        <v>140.0</v>
      </c>
      <c r="R179" s="11">
        <v>158.0</v>
      </c>
      <c r="S179" s="11">
        <v>113.0</v>
      </c>
      <c r="T179" s="11">
        <v>128.0</v>
      </c>
      <c r="U179" s="11">
        <v>155.0</v>
      </c>
      <c r="V179" s="11">
        <v>140.0</v>
      </c>
      <c r="W179" s="11">
        <v>12.0</v>
      </c>
      <c r="X179" s="29" t="s">
        <v>1083</v>
      </c>
    </row>
    <row r="180" ht="14.25" customHeight="1">
      <c r="A180" s="11"/>
      <c r="B180" s="11">
        <v>15.0</v>
      </c>
      <c r="C180" s="11" t="s">
        <v>106</v>
      </c>
      <c r="D180" s="11"/>
      <c r="E180" s="11"/>
      <c r="F180" s="11" t="s">
        <v>866</v>
      </c>
      <c r="G180" s="11">
        <v>0.0</v>
      </c>
      <c r="H180" s="11" t="s">
        <v>826</v>
      </c>
      <c r="I180" s="11" t="s">
        <v>102</v>
      </c>
      <c r="J180" s="11" t="s">
        <v>775</v>
      </c>
      <c r="K180" s="11">
        <v>0.0</v>
      </c>
      <c r="L180" s="11">
        <v>0.0</v>
      </c>
      <c r="M180" s="11">
        <v>15.0</v>
      </c>
      <c r="N180" s="11">
        <v>174.0</v>
      </c>
      <c r="O180" s="11">
        <v>145.0</v>
      </c>
      <c r="P180" s="11">
        <v>29.0</v>
      </c>
      <c r="Q180" s="11">
        <v>214.0</v>
      </c>
      <c r="R180" s="11">
        <v>170.0</v>
      </c>
      <c r="S180" s="11">
        <v>162.0</v>
      </c>
      <c r="T180" s="11">
        <v>190.0</v>
      </c>
      <c r="U180" s="11">
        <v>126.0</v>
      </c>
      <c r="V180" s="11">
        <v>168.0</v>
      </c>
      <c r="W180" s="11">
        <v>15.0</v>
      </c>
      <c r="X180" s="29" t="s">
        <v>866</v>
      </c>
    </row>
    <row r="181" ht="14.25" customHeight="1">
      <c r="A181" s="11"/>
      <c r="B181" s="11">
        <v>13.0</v>
      </c>
      <c r="C181" s="11" t="s">
        <v>106</v>
      </c>
      <c r="D181" s="11"/>
      <c r="E181" s="11">
        <v>1.0</v>
      </c>
      <c r="F181" s="11" t="s">
        <v>866</v>
      </c>
      <c r="G181" s="11">
        <v>0.0</v>
      </c>
      <c r="H181" s="11" t="s">
        <v>205</v>
      </c>
      <c r="I181" s="11" t="s">
        <v>206</v>
      </c>
      <c r="J181" s="11" t="s">
        <v>772</v>
      </c>
      <c r="K181" s="11" t="s">
        <v>872</v>
      </c>
      <c r="L181" s="11">
        <v>42.0</v>
      </c>
      <c r="M181" s="11">
        <v>10.0</v>
      </c>
      <c r="N181" s="11">
        <v>109.0</v>
      </c>
      <c r="O181" s="11">
        <v>124.0</v>
      </c>
      <c r="P181" s="11">
        <v>-15.0</v>
      </c>
      <c r="Q181" s="11">
        <v>146.0</v>
      </c>
      <c r="R181" s="11">
        <v>157.0</v>
      </c>
      <c r="S181" s="11">
        <v>122.0</v>
      </c>
      <c r="T181" s="11">
        <v>155.0</v>
      </c>
      <c r="U181" s="11">
        <v>163.0</v>
      </c>
      <c r="V181" s="11">
        <v>139.0</v>
      </c>
      <c r="W181" s="11">
        <v>12.0</v>
      </c>
      <c r="X181" s="29" t="s">
        <v>1084</v>
      </c>
    </row>
    <row r="182" ht="14.25" customHeight="1">
      <c r="A182" s="11"/>
      <c r="B182" s="11">
        <v>16.0</v>
      </c>
      <c r="C182" s="11" t="s">
        <v>106</v>
      </c>
      <c r="D182" s="11"/>
      <c r="E182" s="11"/>
      <c r="F182" s="11" t="s">
        <v>866</v>
      </c>
      <c r="G182" s="11">
        <v>0.0</v>
      </c>
      <c r="H182" s="11" t="s">
        <v>572</v>
      </c>
      <c r="I182" s="11" t="s">
        <v>102</v>
      </c>
      <c r="J182" s="11" t="s">
        <v>1081</v>
      </c>
      <c r="K182" s="11">
        <v>0.0</v>
      </c>
      <c r="L182" s="11">
        <v>0.0</v>
      </c>
      <c r="M182" s="11">
        <v>15.0</v>
      </c>
      <c r="N182" s="11">
        <v>173.0</v>
      </c>
      <c r="O182" s="11" t="s">
        <v>36</v>
      </c>
      <c r="P182" s="11" t="e">
        <v>#VALUE!</v>
      </c>
      <c r="Q182" s="11">
        <v>179.0</v>
      </c>
      <c r="R182" s="11">
        <v>187.0</v>
      </c>
      <c r="S182" s="11">
        <v>239.0</v>
      </c>
      <c r="T182" s="11">
        <v>191.0</v>
      </c>
      <c r="U182" s="11">
        <v>137.0</v>
      </c>
      <c r="V182" s="11">
        <v>184.0</v>
      </c>
      <c r="W182" s="11">
        <v>16.0</v>
      </c>
      <c r="X182" s="29" t="s">
        <v>866</v>
      </c>
    </row>
    <row r="183" ht="14.25" customHeight="1">
      <c r="A183" s="11"/>
      <c r="B183" s="11">
        <v>14.0</v>
      </c>
      <c r="C183" s="11" t="s">
        <v>106</v>
      </c>
      <c r="D183" s="11"/>
      <c r="E183" s="11"/>
      <c r="F183" s="11" t="s">
        <v>866</v>
      </c>
      <c r="G183" s="11">
        <v>0.0</v>
      </c>
      <c r="H183" s="11" t="s">
        <v>515</v>
      </c>
      <c r="I183" s="11" t="s">
        <v>75</v>
      </c>
      <c r="J183" s="11" t="s">
        <v>1081</v>
      </c>
      <c r="K183" s="11">
        <v>0.0</v>
      </c>
      <c r="L183" s="11">
        <v>0.0</v>
      </c>
      <c r="M183" s="11">
        <v>15.0</v>
      </c>
      <c r="N183" s="11">
        <v>172.0</v>
      </c>
      <c r="O183" s="11" t="s">
        <v>36</v>
      </c>
      <c r="P183" s="11" t="e">
        <v>#VALUE!</v>
      </c>
      <c r="Q183" s="11">
        <v>141.0</v>
      </c>
      <c r="R183" s="11">
        <v>119.0</v>
      </c>
      <c r="S183" s="11">
        <v>220.0</v>
      </c>
      <c r="T183" s="11">
        <v>160.0</v>
      </c>
      <c r="U183" s="11">
        <v>151.0</v>
      </c>
      <c r="V183" s="11">
        <v>160.0</v>
      </c>
      <c r="W183" s="11">
        <v>14.0</v>
      </c>
      <c r="X183" s="29" t="s">
        <v>866</v>
      </c>
    </row>
    <row r="184" ht="14.25" customHeight="1">
      <c r="A184" s="11"/>
      <c r="B184" s="11">
        <v>11.0</v>
      </c>
      <c r="C184" s="11" t="s">
        <v>106</v>
      </c>
      <c r="D184" s="11"/>
      <c r="E184" s="11"/>
      <c r="F184" s="11" t="s">
        <v>866</v>
      </c>
      <c r="G184" s="11">
        <v>0.0</v>
      </c>
      <c r="H184" s="11" t="s">
        <v>543</v>
      </c>
      <c r="I184" s="11" t="s">
        <v>71</v>
      </c>
      <c r="J184" s="11" t="s">
        <v>1085</v>
      </c>
      <c r="K184" s="11">
        <v>0.0</v>
      </c>
      <c r="L184" s="11">
        <v>0.0</v>
      </c>
      <c r="M184" s="11">
        <v>16.0</v>
      </c>
      <c r="N184" s="11">
        <v>181.0</v>
      </c>
      <c r="O184" s="11" t="s">
        <v>36</v>
      </c>
      <c r="P184" s="11" t="e">
        <v>#VALUE!</v>
      </c>
      <c r="Q184" s="11">
        <v>104.0</v>
      </c>
      <c r="R184" s="11">
        <v>104.0</v>
      </c>
      <c r="S184" s="11">
        <v>205.0</v>
      </c>
      <c r="T184" s="11">
        <v>131.0</v>
      </c>
      <c r="U184" s="11">
        <v>71.0</v>
      </c>
      <c r="V184" s="11">
        <v>132.0</v>
      </c>
      <c r="W184" s="11">
        <v>12.0</v>
      </c>
      <c r="X184" s="29" t="s">
        <v>866</v>
      </c>
    </row>
    <row r="185" ht="14.25" customHeight="1">
      <c r="A185" s="11"/>
      <c r="B185" s="11">
        <v>15.0</v>
      </c>
      <c r="C185" s="11" t="s">
        <v>106</v>
      </c>
      <c r="D185" s="11"/>
      <c r="E185" s="11">
        <v>0.0</v>
      </c>
      <c r="F185" s="11" t="s">
        <v>866</v>
      </c>
      <c r="G185" s="11" t="s">
        <v>95</v>
      </c>
      <c r="H185" s="11" t="s">
        <v>1086</v>
      </c>
      <c r="I185" s="11" t="s">
        <v>58</v>
      </c>
      <c r="J185" s="11" t="s">
        <v>772</v>
      </c>
      <c r="K185" s="11" t="s">
        <v>872</v>
      </c>
      <c r="L185" s="11">
        <v>43.0</v>
      </c>
      <c r="M185" s="11">
        <v>16.0</v>
      </c>
      <c r="N185" s="11">
        <v>180.0</v>
      </c>
      <c r="O185" s="11">
        <v>218.0</v>
      </c>
      <c r="P185" s="11">
        <v>-38.0</v>
      </c>
      <c r="Q185" s="11">
        <v>180.0</v>
      </c>
      <c r="R185" s="11" t="s">
        <v>36</v>
      </c>
      <c r="S185" s="11">
        <v>182.0</v>
      </c>
      <c r="T185" s="11">
        <v>151.0</v>
      </c>
      <c r="U185" s="11">
        <v>199.0</v>
      </c>
      <c r="V185" s="11">
        <v>185.0</v>
      </c>
      <c r="W185" s="11">
        <v>16.0</v>
      </c>
      <c r="X185" s="29" t="s">
        <v>1043</v>
      </c>
    </row>
    <row r="186" ht="14.25" customHeight="1">
      <c r="A186" s="11"/>
      <c r="B186" s="11">
        <v>14.0</v>
      </c>
      <c r="C186" s="11" t="s">
        <v>106</v>
      </c>
      <c r="D186" s="11"/>
      <c r="E186" s="11"/>
      <c r="F186" s="11" t="s">
        <v>866</v>
      </c>
      <c r="G186" s="11">
        <v>0.0</v>
      </c>
      <c r="H186" s="11" t="s">
        <v>506</v>
      </c>
      <c r="I186" s="11" t="s">
        <v>105</v>
      </c>
      <c r="J186" s="11" t="s">
        <v>775</v>
      </c>
      <c r="K186" s="11" t="s">
        <v>884</v>
      </c>
      <c r="L186" s="11">
        <v>62.0</v>
      </c>
      <c r="M186" s="11">
        <v>16.0</v>
      </c>
      <c r="N186" s="11">
        <v>185.0</v>
      </c>
      <c r="O186" s="11">
        <v>159.0</v>
      </c>
      <c r="P186" s="11">
        <v>26.0</v>
      </c>
      <c r="Q186" s="11" t="s">
        <v>36</v>
      </c>
      <c r="R186" s="11" t="s">
        <v>36</v>
      </c>
      <c r="S186" s="11">
        <v>181.0</v>
      </c>
      <c r="T186" s="11">
        <v>139.0</v>
      </c>
      <c r="U186" s="11">
        <v>169.0</v>
      </c>
      <c r="V186" s="11">
        <v>166.0</v>
      </c>
      <c r="W186" s="11">
        <v>14.0</v>
      </c>
      <c r="X186" s="29" t="s">
        <v>1087</v>
      </c>
    </row>
    <row r="187" ht="14.25" customHeight="1">
      <c r="A187" s="11"/>
      <c r="B187" s="11">
        <v>14.0</v>
      </c>
      <c r="C187" s="11" t="s">
        <v>106</v>
      </c>
      <c r="D187" s="11"/>
      <c r="E187" s="11">
        <v>1.0</v>
      </c>
      <c r="F187" s="11" t="s">
        <v>866</v>
      </c>
      <c r="G187" s="11">
        <v>0.0</v>
      </c>
      <c r="H187" s="11" t="s">
        <v>829</v>
      </c>
      <c r="I187" s="11" t="s">
        <v>125</v>
      </c>
      <c r="J187" s="11" t="s">
        <v>772</v>
      </c>
      <c r="K187" s="11" t="s">
        <v>872</v>
      </c>
      <c r="L187" s="11">
        <v>44.0</v>
      </c>
      <c r="M187" s="11">
        <v>12.0</v>
      </c>
      <c r="N187" s="11">
        <v>137.0</v>
      </c>
      <c r="O187" s="11">
        <v>139.0</v>
      </c>
      <c r="P187" s="11">
        <v>-2.0</v>
      </c>
      <c r="Q187" s="11">
        <v>149.0</v>
      </c>
      <c r="R187" s="11">
        <v>151.0</v>
      </c>
      <c r="S187" s="11">
        <v>121.0</v>
      </c>
      <c r="T187" s="11">
        <v>143.0</v>
      </c>
      <c r="U187" s="11">
        <v>227.0</v>
      </c>
      <c r="V187" s="11">
        <v>152.0</v>
      </c>
      <c r="W187" s="11">
        <v>13.0</v>
      </c>
      <c r="X187" s="29" t="s">
        <v>1049</v>
      </c>
    </row>
    <row r="188" ht="14.25" customHeight="1">
      <c r="A188" s="11"/>
      <c r="B188" s="11">
        <v>16.0</v>
      </c>
      <c r="C188" s="11" t="s">
        <v>106</v>
      </c>
      <c r="D188" s="11"/>
      <c r="E188" s="11"/>
      <c r="F188" s="11" t="s">
        <v>866</v>
      </c>
      <c r="G188" s="11">
        <v>0.0</v>
      </c>
      <c r="H188" s="11" t="s">
        <v>1088</v>
      </c>
      <c r="I188" s="11" t="s">
        <v>116</v>
      </c>
      <c r="J188" s="11" t="s">
        <v>775</v>
      </c>
      <c r="K188" s="11" t="s">
        <v>857</v>
      </c>
      <c r="L188" s="11">
        <v>53.0</v>
      </c>
      <c r="M188" s="11">
        <v>17.0</v>
      </c>
      <c r="N188" s="11">
        <v>192.0</v>
      </c>
      <c r="O188" s="11">
        <v>153.0</v>
      </c>
      <c r="P188" s="11">
        <v>39.0</v>
      </c>
      <c r="Q188" s="11" t="s">
        <v>36</v>
      </c>
      <c r="R188" s="11" t="s">
        <v>36</v>
      </c>
      <c r="S188" s="11">
        <v>179.0</v>
      </c>
      <c r="T188" s="11">
        <v>166.0</v>
      </c>
      <c r="U188" s="11">
        <v>226.0</v>
      </c>
      <c r="V188" s="11">
        <v>183.0</v>
      </c>
      <c r="W188" s="11">
        <v>16.0</v>
      </c>
      <c r="X188" s="29" t="s">
        <v>1089</v>
      </c>
    </row>
    <row r="189" ht="14.25" customHeight="1">
      <c r="A189" s="11"/>
      <c r="B189" s="11">
        <v>16.0</v>
      </c>
      <c r="C189" s="11" t="s">
        <v>106</v>
      </c>
      <c r="D189" s="11"/>
      <c r="E189" s="11"/>
      <c r="F189" s="11" t="s">
        <v>866</v>
      </c>
      <c r="G189" s="11">
        <v>0.0</v>
      </c>
      <c r="H189" s="11" t="s">
        <v>538</v>
      </c>
      <c r="I189" s="11" t="s">
        <v>35</v>
      </c>
      <c r="J189" s="11" t="s">
        <v>1081</v>
      </c>
      <c r="K189" s="11">
        <v>0.0</v>
      </c>
      <c r="L189" s="11">
        <v>0.0</v>
      </c>
      <c r="M189" s="11">
        <v>16.0</v>
      </c>
      <c r="N189" s="11">
        <v>186.0</v>
      </c>
      <c r="O189" s="11" t="s">
        <v>36</v>
      </c>
      <c r="P189" s="11" t="e">
        <v>#VALUE!</v>
      </c>
      <c r="Q189" s="11">
        <v>178.0</v>
      </c>
      <c r="R189" s="11">
        <v>136.0</v>
      </c>
      <c r="S189" s="11">
        <v>254.0</v>
      </c>
      <c r="T189" s="11">
        <v>187.0</v>
      </c>
      <c r="U189" s="11">
        <v>152.0</v>
      </c>
      <c r="V189" s="11">
        <v>182.0</v>
      </c>
      <c r="W189" s="11">
        <v>16.0</v>
      </c>
      <c r="X189" s="29" t="s">
        <v>866</v>
      </c>
    </row>
    <row r="190" ht="14.25" customHeight="1">
      <c r="A190" s="11"/>
      <c r="B190" s="11">
        <v>19.0</v>
      </c>
      <c r="C190" s="11" t="s">
        <v>106</v>
      </c>
      <c r="D190" s="11"/>
      <c r="E190" s="11"/>
      <c r="F190" s="11" t="s">
        <v>866</v>
      </c>
      <c r="G190" s="11">
        <v>0.0</v>
      </c>
      <c r="H190" s="11" t="s">
        <v>532</v>
      </c>
      <c r="I190" s="11" t="s">
        <v>105</v>
      </c>
      <c r="J190" s="11" t="s">
        <v>1081</v>
      </c>
      <c r="K190" s="11">
        <v>0.0</v>
      </c>
      <c r="L190" s="11">
        <v>0.0</v>
      </c>
      <c r="M190" s="11">
        <v>16.0</v>
      </c>
      <c r="N190" s="11">
        <v>187.0</v>
      </c>
      <c r="O190" s="11" t="s">
        <v>36</v>
      </c>
      <c r="P190" s="11" t="e">
        <v>#VALUE!</v>
      </c>
      <c r="Q190" s="11">
        <v>174.0</v>
      </c>
      <c r="R190" s="11">
        <v>244.0</v>
      </c>
      <c r="S190" s="11">
        <v>273.0</v>
      </c>
      <c r="T190" s="11">
        <v>246.0</v>
      </c>
      <c r="U190" s="11">
        <v>158.0</v>
      </c>
      <c r="V190" s="11">
        <v>213.0</v>
      </c>
      <c r="W190" s="11">
        <v>18.0</v>
      </c>
      <c r="X190" s="29" t="s">
        <v>866</v>
      </c>
    </row>
    <row r="191" ht="14.25" customHeight="1">
      <c r="A191" s="11"/>
      <c r="B191" s="11">
        <v>14.0</v>
      </c>
      <c r="C191" s="11" t="s">
        <v>106</v>
      </c>
      <c r="D191" s="11"/>
      <c r="E191" s="11"/>
      <c r="F191" s="11" t="s">
        <v>866</v>
      </c>
      <c r="G191" s="11">
        <v>0.0</v>
      </c>
      <c r="H191" s="11" t="s">
        <v>475</v>
      </c>
      <c r="I191" s="11" t="s">
        <v>119</v>
      </c>
      <c r="J191" s="11" t="s">
        <v>1081</v>
      </c>
      <c r="K191" s="11">
        <v>0.0</v>
      </c>
      <c r="L191" s="11">
        <v>0.0</v>
      </c>
      <c r="M191" s="11">
        <v>16.0</v>
      </c>
      <c r="N191" s="11">
        <v>188.0</v>
      </c>
      <c r="O191" s="11" t="s">
        <v>36</v>
      </c>
      <c r="P191" s="11" t="e">
        <v>#VALUE!</v>
      </c>
      <c r="Q191" s="11">
        <v>145.0</v>
      </c>
      <c r="R191" s="11">
        <v>100.0</v>
      </c>
      <c r="S191" s="11">
        <v>216.0</v>
      </c>
      <c r="T191" s="11">
        <v>188.0</v>
      </c>
      <c r="U191" s="11">
        <v>145.0</v>
      </c>
      <c r="V191" s="11">
        <v>163.0</v>
      </c>
      <c r="W191" s="11">
        <v>14.0</v>
      </c>
      <c r="X191" s="29" t="s">
        <v>866</v>
      </c>
    </row>
    <row r="192" ht="14.25" customHeight="1">
      <c r="A192" s="11"/>
      <c r="B192" s="11">
        <v>20.0</v>
      </c>
      <c r="C192" s="11" t="s">
        <v>106</v>
      </c>
      <c r="D192" s="11"/>
      <c r="E192" s="11"/>
      <c r="F192" s="11" t="s">
        <v>866</v>
      </c>
      <c r="G192" s="11">
        <v>0.0</v>
      </c>
      <c r="H192" s="11" t="s">
        <v>451</v>
      </c>
      <c r="I192" s="11" t="s">
        <v>162</v>
      </c>
      <c r="J192" s="11" t="s">
        <v>775</v>
      </c>
      <c r="K192" s="11">
        <v>0.0</v>
      </c>
      <c r="L192" s="11">
        <v>0.0</v>
      </c>
      <c r="M192" s="11">
        <v>16.0</v>
      </c>
      <c r="N192" s="11" t="s">
        <v>36</v>
      </c>
      <c r="O192" s="11">
        <v>234.0</v>
      </c>
      <c r="P192" s="11" t="e">
        <v>#VALUE!</v>
      </c>
      <c r="Q192" s="11" t="s">
        <v>36</v>
      </c>
      <c r="R192" s="11" t="s">
        <v>36</v>
      </c>
      <c r="S192" s="11">
        <v>277.0</v>
      </c>
      <c r="T192" s="11">
        <v>177.0</v>
      </c>
      <c r="U192" s="11">
        <v>231.0</v>
      </c>
      <c r="V192" s="11">
        <v>229.0</v>
      </c>
      <c r="W192" s="11">
        <v>20.0</v>
      </c>
      <c r="X192" s="29" t="s">
        <v>1049</v>
      </c>
    </row>
    <row r="193" ht="14.25" customHeight="1">
      <c r="A193" s="11"/>
      <c r="B193" s="11">
        <v>14.0</v>
      </c>
      <c r="C193" s="11" t="s">
        <v>106</v>
      </c>
      <c r="D193" s="11"/>
      <c r="E193" s="11"/>
      <c r="F193" s="11" t="s">
        <v>866</v>
      </c>
      <c r="G193" s="11">
        <v>0.0</v>
      </c>
      <c r="H193" s="11" t="s">
        <v>626</v>
      </c>
      <c r="I193" s="11" t="s">
        <v>67</v>
      </c>
      <c r="J193" s="11" t="s">
        <v>1081</v>
      </c>
      <c r="K193" s="11">
        <v>0.0</v>
      </c>
      <c r="L193" s="11">
        <v>0.0</v>
      </c>
      <c r="M193" s="11">
        <v>16.0</v>
      </c>
      <c r="N193" s="11">
        <v>190.0</v>
      </c>
      <c r="O193" s="11" t="s">
        <v>36</v>
      </c>
      <c r="P193" s="11" t="e">
        <v>#VALUE!</v>
      </c>
      <c r="Q193" s="11">
        <v>128.0</v>
      </c>
      <c r="R193" s="11">
        <v>153.0</v>
      </c>
      <c r="S193" s="11">
        <v>224.0</v>
      </c>
      <c r="T193" s="11">
        <v>231.0</v>
      </c>
      <c r="U193" s="11">
        <v>92.0</v>
      </c>
      <c r="V193" s="11">
        <v>169.0</v>
      </c>
      <c r="W193" s="11">
        <v>15.0</v>
      </c>
      <c r="X193" s="29" t="s">
        <v>866</v>
      </c>
    </row>
    <row r="194" ht="14.25" customHeight="1">
      <c r="A194" s="11"/>
      <c r="B194" s="11">
        <v>16.0</v>
      </c>
      <c r="C194" s="11" t="s">
        <v>106</v>
      </c>
      <c r="D194" s="11"/>
      <c r="E194" s="11">
        <v>2.0</v>
      </c>
      <c r="F194" s="11" t="s">
        <v>866</v>
      </c>
      <c r="G194" s="11" t="s">
        <v>106</v>
      </c>
      <c r="H194" s="11" t="s">
        <v>448</v>
      </c>
      <c r="I194" s="11" t="s">
        <v>195</v>
      </c>
      <c r="J194" s="11" t="s">
        <v>772</v>
      </c>
      <c r="K194" s="11" t="s">
        <v>872</v>
      </c>
      <c r="L194" s="11">
        <v>45.0</v>
      </c>
      <c r="M194" s="11">
        <v>10.0</v>
      </c>
      <c r="N194" s="11">
        <v>119.0</v>
      </c>
      <c r="O194" s="11">
        <v>138.0</v>
      </c>
      <c r="P194" s="11">
        <v>-19.0</v>
      </c>
      <c r="Q194" s="11">
        <v>159.0</v>
      </c>
      <c r="R194" s="11">
        <v>191.0</v>
      </c>
      <c r="S194" s="11">
        <v>130.0</v>
      </c>
      <c r="T194" s="11">
        <v>173.0</v>
      </c>
      <c r="U194" s="11">
        <v>255.0</v>
      </c>
      <c r="V194" s="11">
        <v>166.0</v>
      </c>
      <c r="W194" s="11">
        <v>14.0</v>
      </c>
      <c r="X194" s="29" t="s">
        <v>1090</v>
      </c>
    </row>
    <row r="195" ht="14.25" customHeight="1">
      <c r="A195" s="11"/>
      <c r="B195" s="11">
        <v>14.0</v>
      </c>
      <c r="C195" s="11" t="s">
        <v>106</v>
      </c>
      <c r="D195" s="11"/>
      <c r="E195" s="11">
        <v>1.0</v>
      </c>
      <c r="F195" s="11" t="s">
        <v>866</v>
      </c>
      <c r="G195" s="11">
        <v>0.0</v>
      </c>
      <c r="H195" s="11" t="s">
        <v>380</v>
      </c>
      <c r="I195" s="11" t="s">
        <v>40</v>
      </c>
      <c r="J195" s="11" t="s">
        <v>772</v>
      </c>
      <c r="K195" s="11" t="s">
        <v>872</v>
      </c>
      <c r="L195" s="11">
        <v>46.0</v>
      </c>
      <c r="M195" s="11">
        <v>13.0</v>
      </c>
      <c r="N195" s="11">
        <v>146.0</v>
      </c>
      <c r="O195" s="11">
        <v>156.0</v>
      </c>
      <c r="P195" s="11">
        <v>-10.0</v>
      </c>
      <c r="Q195" s="11">
        <v>172.0</v>
      </c>
      <c r="R195" s="11">
        <v>161.0</v>
      </c>
      <c r="S195" s="11">
        <v>151.0</v>
      </c>
      <c r="T195" s="11">
        <v>167.0</v>
      </c>
      <c r="U195" s="11">
        <v>184.0</v>
      </c>
      <c r="V195" s="11">
        <v>162.0</v>
      </c>
      <c r="W195" s="11">
        <v>14.0</v>
      </c>
      <c r="X195" s="29" t="s">
        <v>866</v>
      </c>
    </row>
    <row r="196" ht="14.25" customHeight="1">
      <c r="A196" s="11"/>
      <c r="B196" s="11">
        <v>12.0</v>
      </c>
      <c r="C196" s="11" t="s">
        <v>106</v>
      </c>
      <c r="D196" s="11"/>
      <c r="E196" s="11">
        <v>2.0</v>
      </c>
      <c r="F196" s="11" t="s">
        <v>866</v>
      </c>
      <c r="G196" s="11">
        <v>0.0</v>
      </c>
      <c r="H196" s="11" t="s">
        <v>874</v>
      </c>
      <c r="I196" s="11" t="s">
        <v>119</v>
      </c>
      <c r="J196" s="11" t="s">
        <v>772</v>
      </c>
      <c r="K196" s="11" t="s">
        <v>863</v>
      </c>
      <c r="L196" s="11">
        <v>47.0</v>
      </c>
      <c r="M196" s="11">
        <v>12.0</v>
      </c>
      <c r="N196" s="11">
        <v>139.0</v>
      </c>
      <c r="O196" s="11">
        <v>154.0</v>
      </c>
      <c r="P196" s="11">
        <v>-15.0</v>
      </c>
      <c r="Q196" s="11">
        <v>111.0</v>
      </c>
      <c r="R196" s="11">
        <v>133.0</v>
      </c>
      <c r="S196" s="11">
        <v>128.0</v>
      </c>
      <c r="T196" s="11">
        <v>141.0</v>
      </c>
      <c r="U196" s="11">
        <v>175.0</v>
      </c>
      <c r="V196" s="11">
        <v>140.0</v>
      </c>
      <c r="W196" s="11">
        <v>12.0</v>
      </c>
      <c r="X196" s="29" t="s">
        <v>866</v>
      </c>
    </row>
    <row r="197" ht="14.25" customHeight="1">
      <c r="A197" s="11"/>
      <c r="B197" s="11">
        <v>20.0</v>
      </c>
      <c r="C197" s="11" t="s">
        <v>106</v>
      </c>
      <c r="D197" s="11"/>
      <c r="E197" s="11"/>
      <c r="F197" s="11" t="s">
        <v>866</v>
      </c>
      <c r="G197" s="11">
        <v>0.0</v>
      </c>
      <c r="H197" s="11" t="s">
        <v>280</v>
      </c>
      <c r="I197" s="11" t="s">
        <v>105</v>
      </c>
      <c r="J197" s="11" t="s">
        <v>775</v>
      </c>
      <c r="K197" s="11">
        <v>0.0</v>
      </c>
      <c r="L197" s="11">
        <v>0.0</v>
      </c>
      <c r="M197" s="11">
        <v>20.0</v>
      </c>
      <c r="N197" s="11">
        <v>236.0</v>
      </c>
      <c r="O197" s="11">
        <v>191.0</v>
      </c>
      <c r="P197" s="11">
        <v>45.0</v>
      </c>
      <c r="Q197" s="11">
        <v>197.0</v>
      </c>
      <c r="R197" s="11" t="s">
        <v>36</v>
      </c>
      <c r="S197" s="11">
        <v>226.0</v>
      </c>
      <c r="T197" s="11">
        <v>212.0</v>
      </c>
      <c r="U197" s="11">
        <v>278.0</v>
      </c>
      <c r="V197" s="11">
        <v>223.0</v>
      </c>
      <c r="W197" s="11">
        <v>19.0</v>
      </c>
      <c r="X197" s="29" t="s">
        <v>866</v>
      </c>
    </row>
    <row r="198" ht="14.25" customHeight="1">
      <c r="A198" s="11"/>
      <c r="B198" s="11">
        <v>15.0</v>
      </c>
      <c r="C198" s="11" t="s">
        <v>106</v>
      </c>
      <c r="D198" s="11"/>
      <c r="E198" s="11"/>
      <c r="F198" s="11" t="s">
        <v>866</v>
      </c>
      <c r="G198" s="11">
        <v>0.0</v>
      </c>
      <c r="H198" s="11" t="s">
        <v>470</v>
      </c>
      <c r="I198" s="11" t="s">
        <v>231</v>
      </c>
      <c r="J198" s="11" t="s">
        <v>770</v>
      </c>
      <c r="K198" s="11" t="s">
        <v>868</v>
      </c>
      <c r="L198" s="11">
        <v>22.0</v>
      </c>
      <c r="M198" s="11">
        <v>15.0</v>
      </c>
      <c r="N198" s="11">
        <v>177.0</v>
      </c>
      <c r="O198" s="11">
        <v>151.0</v>
      </c>
      <c r="P198" s="11">
        <v>26.0</v>
      </c>
      <c r="Q198" s="11">
        <v>184.0</v>
      </c>
      <c r="R198" s="11">
        <v>173.0</v>
      </c>
      <c r="S198" s="11">
        <v>175.0</v>
      </c>
      <c r="T198" s="11">
        <v>170.0</v>
      </c>
      <c r="U198" s="11">
        <v>166.0</v>
      </c>
      <c r="V198" s="11">
        <v>170.0</v>
      </c>
      <c r="W198" s="11">
        <v>15.0</v>
      </c>
      <c r="X198" s="29" t="s">
        <v>866</v>
      </c>
    </row>
    <row r="199" ht="14.25" customHeight="1">
      <c r="A199" s="11"/>
      <c r="B199" s="11">
        <v>12.0</v>
      </c>
      <c r="C199" s="11" t="s">
        <v>106</v>
      </c>
      <c r="D199" s="11"/>
      <c r="E199" s="11"/>
      <c r="F199" s="11" t="s">
        <v>866</v>
      </c>
      <c r="G199" s="11">
        <v>0.0</v>
      </c>
      <c r="H199" s="11" t="s">
        <v>586</v>
      </c>
      <c r="I199" s="11" t="s">
        <v>105</v>
      </c>
      <c r="J199" s="11" t="s">
        <v>1085</v>
      </c>
      <c r="K199" s="11">
        <v>0.0</v>
      </c>
      <c r="L199" s="11">
        <v>0.0</v>
      </c>
      <c r="M199" s="11">
        <v>17.0</v>
      </c>
      <c r="N199" s="11">
        <v>193.0</v>
      </c>
      <c r="O199" s="11" t="s">
        <v>36</v>
      </c>
      <c r="P199" s="11" t="e">
        <v>#VALUE!</v>
      </c>
      <c r="Q199" s="11">
        <v>157.0</v>
      </c>
      <c r="R199" s="11">
        <v>117.0</v>
      </c>
      <c r="S199" s="11">
        <v>217.0</v>
      </c>
      <c r="T199" s="11">
        <v>132.0</v>
      </c>
      <c r="U199" s="11">
        <v>79.0</v>
      </c>
      <c r="V199" s="11">
        <v>149.0</v>
      </c>
      <c r="W199" s="11">
        <v>13.0</v>
      </c>
      <c r="X199" s="29" t="s">
        <v>866</v>
      </c>
    </row>
    <row r="200" ht="14.25" customHeight="1">
      <c r="A200" s="11"/>
      <c r="B200" s="11" t="e">
        <v>#N/A</v>
      </c>
      <c r="C200" s="11" t="s">
        <v>106</v>
      </c>
      <c r="D200" s="11"/>
      <c r="E200" s="11"/>
      <c r="F200" s="11" t="s">
        <v>866</v>
      </c>
      <c r="G200" s="11">
        <v>0.0</v>
      </c>
      <c r="H200" s="11" t="s">
        <v>890</v>
      </c>
      <c r="I200" s="11" t="e">
        <v>#N/A</v>
      </c>
      <c r="J200" s="11" t="e">
        <v>#N/A</v>
      </c>
      <c r="K200" s="11">
        <v>0.0</v>
      </c>
      <c r="L200" s="11">
        <v>0.0</v>
      </c>
      <c r="M200" s="11">
        <v>16.0</v>
      </c>
      <c r="N200" s="11" t="e">
        <v>#N/A</v>
      </c>
      <c r="O200" s="11" t="e">
        <v>#N/A</v>
      </c>
      <c r="P200" s="11" t="e">
        <v>#N/A</v>
      </c>
      <c r="Q200" s="11" t="e">
        <v>#N/A</v>
      </c>
      <c r="R200" s="11" t="e">
        <v>#N/A</v>
      </c>
      <c r="S200" s="11" t="e">
        <v>#N/A</v>
      </c>
      <c r="T200" s="11" t="e">
        <v>#N/A</v>
      </c>
      <c r="U200" s="11" t="e">
        <v>#N/A</v>
      </c>
      <c r="V200" s="11" t="e">
        <v>#N/A</v>
      </c>
      <c r="W200" s="11">
        <v>16.0</v>
      </c>
      <c r="X200" s="29" t="s">
        <v>866</v>
      </c>
    </row>
    <row r="201" ht="14.25" customHeight="1">
      <c r="A201" s="11"/>
      <c r="B201" s="11">
        <v>12.0</v>
      </c>
      <c r="C201" s="11" t="s">
        <v>106</v>
      </c>
      <c r="D201" s="11"/>
      <c r="E201" s="11">
        <v>1.0</v>
      </c>
      <c r="F201" s="11" t="s">
        <v>866</v>
      </c>
      <c r="G201" s="11">
        <v>0.0</v>
      </c>
      <c r="H201" s="11" t="s">
        <v>332</v>
      </c>
      <c r="I201" s="11" t="s">
        <v>162</v>
      </c>
      <c r="J201" s="11" t="s">
        <v>772</v>
      </c>
      <c r="K201" s="11" t="s">
        <v>863</v>
      </c>
      <c r="L201" s="11">
        <v>48.0</v>
      </c>
      <c r="M201" s="11">
        <v>11.0</v>
      </c>
      <c r="N201" s="11">
        <v>124.0</v>
      </c>
      <c r="O201" s="11">
        <v>167.0</v>
      </c>
      <c r="P201" s="11">
        <v>-43.0</v>
      </c>
      <c r="Q201" s="11">
        <v>133.0</v>
      </c>
      <c r="R201" s="11">
        <v>150.0</v>
      </c>
      <c r="S201" s="11">
        <v>149.0</v>
      </c>
      <c r="T201" s="11">
        <v>129.0</v>
      </c>
      <c r="U201" s="11">
        <v>149.0</v>
      </c>
      <c r="V201" s="11">
        <v>143.0</v>
      </c>
      <c r="W201" s="11">
        <v>12.0</v>
      </c>
      <c r="X201" s="29" t="s">
        <v>866</v>
      </c>
    </row>
    <row r="202" ht="14.25" customHeight="1">
      <c r="A202" s="11"/>
      <c r="B202" s="11">
        <v>19.0</v>
      </c>
      <c r="C202" s="11" t="s">
        <v>106</v>
      </c>
      <c r="D202" s="11"/>
      <c r="E202" s="11"/>
      <c r="F202" s="11" t="s">
        <v>866</v>
      </c>
      <c r="G202" s="11">
        <v>0.0</v>
      </c>
      <c r="H202" s="11" t="s">
        <v>886</v>
      </c>
      <c r="I202" s="11" t="s">
        <v>148</v>
      </c>
      <c r="J202" s="11" t="s">
        <v>1081</v>
      </c>
      <c r="K202" s="11">
        <v>0.0</v>
      </c>
      <c r="L202" s="11">
        <v>0.0</v>
      </c>
      <c r="M202" s="11">
        <v>17.0</v>
      </c>
      <c r="N202" s="11">
        <v>194.0</v>
      </c>
      <c r="O202" s="11" t="s">
        <v>36</v>
      </c>
      <c r="P202" s="11" t="e">
        <v>#VALUE!</v>
      </c>
      <c r="Q202" s="11">
        <v>192.0</v>
      </c>
      <c r="R202" s="11">
        <v>206.0</v>
      </c>
      <c r="S202" s="11">
        <v>272.0</v>
      </c>
      <c r="T202" s="11">
        <v>236.0</v>
      </c>
      <c r="U202" s="11">
        <v>213.0</v>
      </c>
      <c r="V202" s="11">
        <v>218.0</v>
      </c>
      <c r="W202" s="11">
        <v>19.0</v>
      </c>
      <c r="X202" s="29" t="s">
        <v>866</v>
      </c>
    </row>
    <row r="203" ht="14.25" customHeight="1">
      <c r="A203" s="11"/>
      <c r="B203" s="11">
        <v>13.0</v>
      </c>
      <c r="C203" s="11" t="s">
        <v>106</v>
      </c>
      <c r="D203" s="11"/>
      <c r="E203" s="11"/>
      <c r="F203" s="11" t="s">
        <v>866</v>
      </c>
      <c r="G203" s="11">
        <v>0.0</v>
      </c>
      <c r="H203" s="11" t="s">
        <v>598</v>
      </c>
      <c r="I203" s="11" t="s">
        <v>35</v>
      </c>
      <c r="J203" s="11" t="s">
        <v>1085</v>
      </c>
      <c r="K203" s="11">
        <v>0.0</v>
      </c>
      <c r="L203" s="11">
        <v>0.0</v>
      </c>
      <c r="M203" s="11">
        <v>17.0</v>
      </c>
      <c r="N203" s="11">
        <v>196.0</v>
      </c>
      <c r="O203" s="11" t="s">
        <v>36</v>
      </c>
      <c r="P203" s="11" t="e">
        <v>#VALUE!</v>
      </c>
      <c r="Q203" s="11">
        <v>170.0</v>
      </c>
      <c r="R203" s="11">
        <v>101.0</v>
      </c>
      <c r="S203" s="11">
        <v>225.0</v>
      </c>
      <c r="T203" s="11">
        <v>133.0</v>
      </c>
      <c r="U203" s="11">
        <v>104.0</v>
      </c>
      <c r="V203" s="11">
        <v>154.0</v>
      </c>
      <c r="W203" s="11">
        <v>13.0</v>
      </c>
      <c r="X203" s="29" t="s">
        <v>866</v>
      </c>
    </row>
    <row r="204" ht="14.25" customHeight="1">
      <c r="A204" s="11"/>
      <c r="B204" s="11">
        <v>18.0</v>
      </c>
      <c r="C204" s="11" t="s">
        <v>106</v>
      </c>
      <c r="D204" s="11"/>
      <c r="E204" s="11"/>
      <c r="F204" s="11" t="s">
        <v>866</v>
      </c>
      <c r="G204" s="11">
        <v>0.0</v>
      </c>
      <c r="H204" s="11" t="s">
        <v>550</v>
      </c>
      <c r="I204" s="11" t="s">
        <v>237</v>
      </c>
      <c r="J204" s="11" t="s">
        <v>770</v>
      </c>
      <c r="K204" s="11" t="s">
        <v>878</v>
      </c>
      <c r="L204" s="11">
        <v>0.0</v>
      </c>
      <c r="M204" s="11">
        <v>17.0</v>
      </c>
      <c r="N204" s="11">
        <v>198.0</v>
      </c>
      <c r="O204" s="11">
        <v>198.0</v>
      </c>
      <c r="P204" s="11">
        <v>0.0</v>
      </c>
      <c r="Q204" s="11" t="s">
        <v>36</v>
      </c>
      <c r="R204" s="11">
        <v>192.0</v>
      </c>
      <c r="S204" s="11">
        <v>222.0</v>
      </c>
      <c r="T204" s="11">
        <v>229.0</v>
      </c>
      <c r="U204" s="11">
        <v>192.0</v>
      </c>
      <c r="V204" s="11">
        <v>205.0</v>
      </c>
      <c r="W204" s="11">
        <v>18.0</v>
      </c>
      <c r="X204" s="29" t="s">
        <v>866</v>
      </c>
    </row>
    <row r="205" ht="14.25" customHeight="1">
      <c r="A205" s="11"/>
      <c r="B205" s="11">
        <v>17.0</v>
      </c>
      <c r="C205" s="11" t="s">
        <v>106</v>
      </c>
      <c r="D205" s="11"/>
      <c r="E205" s="11"/>
      <c r="F205" s="11" t="s">
        <v>866</v>
      </c>
      <c r="G205" s="11">
        <v>0.0</v>
      </c>
      <c r="H205" s="11" t="s">
        <v>491</v>
      </c>
      <c r="I205" s="11" t="s">
        <v>52</v>
      </c>
      <c r="J205" s="11" t="s">
        <v>1081</v>
      </c>
      <c r="K205" s="11">
        <v>0.0</v>
      </c>
      <c r="L205" s="11">
        <v>0.0</v>
      </c>
      <c r="M205" s="11">
        <v>17.0</v>
      </c>
      <c r="N205" s="11">
        <v>197.0</v>
      </c>
      <c r="O205" s="11" t="s">
        <v>36</v>
      </c>
      <c r="P205" s="11" t="e">
        <v>#VALUE!</v>
      </c>
      <c r="Q205" s="11">
        <v>196.0</v>
      </c>
      <c r="R205" s="11">
        <v>142.0</v>
      </c>
      <c r="S205" s="11">
        <v>268.0</v>
      </c>
      <c r="T205" s="11">
        <v>183.0</v>
      </c>
      <c r="U205" s="11">
        <v>179.0</v>
      </c>
      <c r="V205" s="11">
        <v>194.0</v>
      </c>
      <c r="W205" s="11">
        <v>17.0</v>
      </c>
      <c r="X205" s="29" t="s">
        <v>866</v>
      </c>
    </row>
    <row r="206" ht="14.25" customHeight="1">
      <c r="A206" s="11"/>
      <c r="B206" s="11">
        <v>15.0</v>
      </c>
      <c r="C206" s="11" t="s">
        <v>106</v>
      </c>
      <c r="D206" s="11"/>
      <c r="E206" s="11"/>
      <c r="F206" s="11" t="s">
        <v>866</v>
      </c>
      <c r="G206" s="11">
        <v>0.0</v>
      </c>
      <c r="H206" s="11" t="s">
        <v>580</v>
      </c>
      <c r="I206" s="11" t="s">
        <v>119</v>
      </c>
      <c r="J206" s="11" t="s">
        <v>1085</v>
      </c>
      <c r="K206" s="11">
        <v>0.0</v>
      </c>
      <c r="L206" s="11">
        <v>0.0</v>
      </c>
      <c r="M206" s="11">
        <v>17.0</v>
      </c>
      <c r="N206" s="11">
        <v>201.0</v>
      </c>
      <c r="O206" s="11" t="s">
        <v>36</v>
      </c>
      <c r="P206" s="11" t="e">
        <v>#VALUE!</v>
      </c>
      <c r="Q206" s="11">
        <v>198.0</v>
      </c>
      <c r="R206" s="11">
        <v>184.0</v>
      </c>
      <c r="S206" s="11">
        <v>234.0</v>
      </c>
      <c r="T206" s="11">
        <v>162.0</v>
      </c>
      <c r="U206" s="11">
        <v>86.0</v>
      </c>
      <c r="V206" s="11">
        <v>177.0</v>
      </c>
      <c r="W206" s="11">
        <v>15.0</v>
      </c>
      <c r="X206" s="29" t="s">
        <v>866</v>
      </c>
    </row>
    <row r="207" ht="14.25" customHeight="1">
      <c r="A207" s="11"/>
      <c r="B207" s="11">
        <v>14.0</v>
      </c>
      <c r="C207" s="11" t="s">
        <v>106</v>
      </c>
      <c r="D207" s="11"/>
      <c r="E207" s="11"/>
      <c r="F207" s="11" t="s">
        <v>866</v>
      </c>
      <c r="G207" s="11">
        <v>0.0</v>
      </c>
      <c r="H207" s="11" t="s">
        <v>668</v>
      </c>
      <c r="I207" s="11" t="s">
        <v>237</v>
      </c>
      <c r="J207" s="11" t="s">
        <v>1085</v>
      </c>
      <c r="K207" s="11">
        <v>0.0</v>
      </c>
      <c r="L207" s="11">
        <v>0.0</v>
      </c>
      <c r="M207" s="11">
        <v>17.0</v>
      </c>
      <c r="N207" s="11">
        <v>203.0</v>
      </c>
      <c r="O207" s="11" t="s">
        <v>36</v>
      </c>
      <c r="P207" s="11" t="e">
        <v>#VALUE!</v>
      </c>
      <c r="Q207" s="11">
        <v>201.0</v>
      </c>
      <c r="R207" s="11">
        <v>145.0</v>
      </c>
      <c r="S207" s="11">
        <v>247.0</v>
      </c>
      <c r="T207" s="11">
        <v>134.0</v>
      </c>
      <c r="U207" s="11">
        <v>69.0</v>
      </c>
      <c r="V207" s="11">
        <v>166.0</v>
      </c>
      <c r="W207" s="11">
        <v>14.0</v>
      </c>
      <c r="X207" s="29" t="s">
        <v>866</v>
      </c>
    </row>
    <row r="208" ht="14.25" customHeight="1">
      <c r="A208" s="11"/>
      <c r="B208" s="11">
        <v>22.0</v>
      </c>
      <c r="C208" s="11" t="s">
        <v>106</v>
      </c>
      <c r="D208" s="11"/>
      <c r="E208" s="11"/>
      <c r="F208" s="11" t="s">
        <v>866</v>
      </c>
      <c r="G208" s="11">
        <v>0.0</v>
      </c>
      <c r="H208" s="11" t="s">
        <v>827</v>
      </c>
      <c r="I208" s="11" t="s">
        <v>128</v>
      </c>
      <c r="J208" s="11" t="s">
        <v>781</v>
      </c>
      <c r="K208" s="11">
        <v>0.0</v>
      </c>
      <c r="L208" s="11">
        <v>0.0</v>
      </c>
      <c r="M208" s="11">
        <v>17.0</v>
      </c>
      <c r="N208" s="11">
        <v>200.0</v>
      </c>
      <c r="O208" s="11">
        <v>203.0</v>
      </c>
      <c r="P208" s="11">
        <v>-3.0</v>
      </c>
      <c r="Q208" s="11" t="s">
        <v>36</v>
      </c>
      <c r="R208" s="11" t="s">
        <v>36</v>
      </c>
      <c r="S208" s="11">
        <v>201.0</v>
      </c>
      <c r="T208" s="11">
        <v>267.0</v>
      </c>
      <c r="U208" s="11">
        <v>294.0</v>
      </c>
      <c r="V208" s="11">
        <v>233.0</v>
      </c>
      <c r="W208" s="11">
        <v>20.0</v>
      </c>
      <c r="X208" s="29" t="s">
        <v>866</v>
      </c>
    </row>
    <row r="209" ht="14.25" customHeight="1">
      <c r="A209" s="11"/>
      <c r="B209" s="11">
        <v>10.0</v>
      </c>
      <c r="C209" s="11" t="s">
        <v>106</v>
      </c>
      <c r="D209" s="11"/>
      <c r="E209" s="11">
        <v>2.0</v>
      </c>
      <c r="F209" s="11" t="s">
        <v>866</v>
      </c>
      <c r="G209" s="11">
        <v>0.0</v>
      </c>
      <c r="H209" s="11" t="s">
        <v>848</v>
      </c>
      <c r="I209" s="11" t="s">
        <v>192</v>
      </c>
      <c r="J209" s="11" t="s">
        <v>772</v>
      </c>
      <c r="K209" s="11" t="s">
        <v>863</v>
      </c>
      <c r="L209" s="11">
        <v>49.0</v>
      </c>
      <c r="M209" s="11">
        <v>9.0</v>
      </c>
      <c r="N209" s="11">
        <v>104.0</v>
      </c>
      <c r="O209" s="11">
        <v>135.0</v>
      </c>
      <c r="P209" s="11">
        <v>-31.0</v>
      </c>
      <c r="Q209" s="11">
        <v>86.0</v>
      </c>
      <c r="R209" s="11">
        <v>96.0</v>
      </c>
      <c r="S209" s="11">
        <v>109.0</v>
      </c>
      <c r="T209" s="11">
        <v>130.0</v>
      </c>
      <c r="U209" s="11">
        <v>143.0</v>
      </c>
      <c r="V209" s="11">
        <v>114.0</v>
      </c>
      <c r="W209" s="11">
        <v>10.0</v>
      </c>
      <c r="X209" s="29" t="s">
        <v>866</v>
      </c>
    </row>
    <row r="210" ht="14.25" customHeight="1">
      <c r="A210" s="11"/>
      <c r="B210" s="11">
        <v>13.0</v>
      </c>
      <c r="C210" s="11" t="s">
        <v>106</v>
      </c>
      <c r="D210" s="11"/>
      <c r="E210" s="11">
        <v>0.0</v>
      </c>
      <c r="F210" s="11" t="s">
        <v>866</v>
      </c>
      <c r="G210" s="11">
        <v>0.0</v>
      </c>
      <c r="H210" s="11" t="s">
        <v>460</v>
      </c>
      <c r="I210" s="11" t="s">
        <v>148</v>
      </c>
      <c r="J210" s="11" t="s">
        <v>772</v>
      </c>
      <c r="K210" s="11" t="s">
        <v>863</v>
      </c>
      <c r="L210" s="11">
        <v>50.0</v>
      </c>
      <c r="M210" s="11">
        <v>8.0</v>
      </c>
      <c r="N210" s="11">
        <v>89.0</v>
      </c>
      <c r="O210" s="11">
        <v>129.0</v>
      </c>
      <c r="P210" s="11">
        <v>-40.0</v>
      </c>
      <c r="Q210" s="11">
        <v>127.0</v>
      </c>
      <c r="R210" s="11">
        <v>156.0</v>
      </c>
      <c r="S210" s="11">
        <v>108.0</v>
      </c>
      <c r="T210" s="11">
        <v>153.0</v>
      </c>
      <c r="U210" s="11">
        <v>197.0</v>
      </c>
      <c r="V210" s="11">
        <v>137.0</v>
      </c>
      <c r="W210" s="11">
        <v>12.0</v>
      </c>
      <c r="X210" s="29" t="s">
        <v>1043</v>
      </c>
    </row>
    <row r="211" ht="14.25" customHeight="1">
      <c r="A211" s="11"/>
      <c r="B211" s="11">
        <v>16.0</v>
      </c>
      <c r="C211" s="11" t="s">
        <v>106</v>
      </c>
      <c r="D211" s="11"/>
      <c r="E211" s="11"/>
      <c r="F211" s="11" t="s">
        <v>866</v>
      </c>
      <c r="G211" s="11">
        <v>0.0</v>
      </c>
      <c r="H211" s="11" t="s">
        <v>899</v>
      </c>
      <c r="I211" s="11" t="s">
        <v>165</v>
      </c>
      <c r="J211" s="11" t="s">
        <v>775</v>
      </c>
      <c r="K211" s="11" t="s">
        <v>857</v>
      </c>
      <c r="L211" s="11">
        <v>54.0</v>
      </c>
      <c r="M211" s="11">
        <v>15.0</v>
      </c>
      <c r="N211" s="11">
        <v>170.0</v>
      </c>
      <c r="O211" s="11">
        <v>161.0</v>
      </c>
      <c r="P211" s="11">
        <v>9.0</v>
      </c>
      <c r="Q211" s="11">
        <v>203.0</v>
      </c>
      <c r="R211" s="11">
        <v>148.0</v>
      </c>
      <c r="S211" s="11">
        <v>171.0</v>
      </c>
      <c r="T211" s="11">
        <v>196.0</v>
      </c>
      <c r="U211" s="11">
        <v>208.0</v>
      </c>
      <c r="V211" s="11">
        <v>179.0</v>
      </c>
      <c r="W211" s="11">
        <v>15.0</v>
      </c>
      <c r="X211" s="29" t="s">
        <v>1047</v>
      </c>
    </row>
    <row r="212" ht="14.25" customHeight="1">
      <c r="A212" s="11"/>
      <c r="B212" s="11">
        <v>20.0</v>
      </c>
      <c r="C212" s="11" t="s">
        <v>106</v>
      </c>
      <c r="D212" s="11"/>
      <c r="E212" s="11"/>
      <c r="F212" s="11" t="s">
        <v>866</v>
      </c>
      <c r="G212" s="11">
        <v>0.0</v>
      </c>
      <c r="H212" s="11" t="s">
        <v>798</v>
      </c>
      <c r="I212" s="11" t="s">
        <v>62</v>
      </c>
      <c r="J212" s="11" t="s">
        <v>770</v>
      </c>
      <c r="K212" s="11" t="s">
        <v>868</v>
      </c>
      <c r="L212" s="11">
        <v>0.0</v>
      </c>
      <c r="M212" s="11">
        <v>16.0</v>
      </c>
      <c r="N212" s="11" t="s">
        <v>36</v>
      </c>
      <c r="O212" s="11">
        <v>231.0</v>
      </c>
      <c r="P212" s="11" t="e">
        <v>#VALUE!</v>
      </c>
      <c r="Q212" s="11" t="s">
        <v>36</v>
      </c>
      <c r="R212" s="11">
        <v>241.0</v>
      </c>
      <c r="S212" s="11">
        <v>248.0</v>
      </c>
      <c r="T212" s="11">
        <v>224.0</v>
      </c>
      <c r="U212" s="11">
        <v>228.0</v>
      </c>
      <c r="V212" s="11">
        <v>234.0</v>
      </c>
      <c r="W212" s="11">
        <v>20.0</v>
      </c>
      <c r="X212" s="29" t="s">
        <v>866</v>
      </c>
    </row>
    <row r="213" ht="14.25" customHeight="1">
      <c r="A213" s="11"/>
      <c r="B213" s="11">
        <v>10.0</v>
      </c>
      <c r="C213" s="11" t="s">
        <v>106</v>
      </c>
      <c r="D213" s="11"/>
      <c r="E213" s="11">
        <v>3.0</v>
      </c>
      <c r="F213" s="11" t="s">
        <v>866</v>
      </c>
      <c r="G213" s="11" t="s">
        <v>106</v>
      </c>
      <c r="H213" s="11" t="s">
        <v>306</v>
      </c>
      <c r="I213" s="11" t="s">
        <v>192</v>
      </c>
      <c r="J213" s="11" t="s">
        <v>772</v>
      </c>
      <c r="K213" s="11" t="s">
        <v>1091</v>
      </c>
      <c r="L213" s="11">
        <v>51.0</v>
      </c>
      <c r="M213" s="11">
        <v>9.0</v>
      </c>
      <c r="N213" s="11">
        <v>100.0</v>
      </c>
      <c r="O213" s="11">
        <v>99.0</v>
      </c>
      <c r="P213" s="11">
        <v>1.0</v>
      </c>
      <c r="Q213" s="11">
        <v>76.0</v>
      </c>
      <c r="R213" s="11">
        <v>87.0</v>
      </c>
      <c r="S213" s="11">
        <v>90.0</v>
      </c>
      <c r="T213" s="11">
        <v>179.0</v>
      </c>
      <c r="U213" s="11">
        <v>148.0</v>
      </c>
      <c r="V213" s="11">
        <v>111.0</v>
      </c>
      <c r="W213" s="11">
        <v>10.0</v>
      </c>
      <c r="X213" s="29" t="s">
        <v>1092</v>
      </c>
    </row>
    <row r="214" ht="14.25" customHeight="1">
      <c r="A214" s="11"/>
      <c r="B214" s="11">
        <v>21.0</v>
      </c>
      <c r="C214" s="11" t="s">
        <v>106</v>
      </c>
      <c r="D214" s="11"/>
      <c r="E214" s="11"/>
      <c r="F214" s="11" t="s">
        <v>866</v>
      </c>
      <c r="G214" s="11">
        <v>0.0</v>
      </c>
      <c r="H214" s="11" t="s">
        <v>477</v>
      </c>
      <c r="I214" s="48" t="s">
        <v>62</v>
      </c>
      <c r="J214" s="11" t="s">
        <v>775</v>
      </c>
      <c r="K214" s="11">
        <v>0.0</v>
      </c>
      <c r="L214" s="11">
        <v>0.0</v>
      </c>
      <c r="M214" s="11">
        <v>21.0</v>
      </c>
      <c r="N214" s="11">
        <v>247.0</v>
      </c>
      <c r="O214" s="11">
        <v>215.0</v>
      </c>
      <c r="P214" s="11">
        <v>32.0</v>
      </c>
      <c r="Q214" s="11" t="s">
        <v>36</v>
      </c>
      <c r="R214" s="11" t="s">
        <v>36</v>
      </c>
      <c r="S214" s="11">
        <v>252.0</v>
      </c>
      <c r="T214" s="11">
        <v>251.0</v>
      </c>
      <c r="U214" s="11" t="s">
        <v>36</v>
      </c>
      <c r="V214" s="11">
        <v>241.0</v>
      </c>
      <c r="W214" s="11">
        <v>21.0</v>
      </c>
      <c r="X214" s="29" t="s">
        <v>1052</v>
      </c>
    </row>
    <row r="215" ht="14.25" customHeight="1">
      <c r="A215" s="11"/>
      <c r="B215" s="11">
        <v>22.0</v>
      </c>
      <c r="C215" s="11" t="s">
        <v>106</v>
      </c>
      <c r="D215" s="11"/>
      <c r="E215" s="11"/>
      <c r="F215" s="11" t="s">
        <v>866</v>
      </c>
      <c r="G215" s="11">
        <v>0.0</v>
      </c>
      <c r="H215" s="11" t="s">
        <v>926</v>
      </c>
      <c r="I215" s="11" t="s">
        <v>237</v>
      </c>
      <c r="J215" s="11" t="s">
        <v>775</v>
      </c>
      <c r="K215" s="11">
        <v>0.0</v>
      </c>
      <c r="L215" s="11">
        <v>0.0</v>
      </c>
      <c r="M215" s="11">
        <v>20.0</v>
      </c>
      <c r="N215" s="11">
        <v>237.0</v>
      </c>
      <c r="O215" s="11">
        <v>220.0</v>
      </c>
      <c r="P215" s="11">
        <v>17.0</v>
      </c>
      <c r="Q215" s="11" t="s">
        <v>36</v>
      </c>
      <c r="R215" s="11" t="s">
        <v>36</v>
      </c>
      <c r="S215" s="11">
        <v>242.0</v>
      </c>
      <c r="T215" s="11">
        <v>269.0</v>
      </c>
      <c r="U215" s="11" t="s">
        <v>36</v>
      </c>
      <c r="V215" s="11">
        <v>242.0</v>
      </c>
      <c r="W215" s="11">
        <v>21.0</v>
      </c>
      <c r="X215" s="29" t="s">
        <v>866</v>
      </c>
    </row>
    <row r="216" ht="14.25" customHeight="1">
      <c r="A216" s="11"/>
      <c r="B216" s="11">
        <v>20.0</v>
      </c>
      <c r="C216" s="11" t="s">
        <v>106</v>
      </c>
      <c r="D216" s="11"/>
      <c r="E216" s="11"/>
      <c r="F216" s="11" t="s">
        <v>866</v>
      </c>
      <c r="G216" s="11">
        <v>0.0</v>
      </c>
      <c r="H216" s="11" t="s">
        <v>487</v>
      </c>
      <c r="I216" s="11" t="s">
        <v>49</v>
      </c>
      <c r="J216" s="11" t="s">
        <v>1081</v>
      </c>
      <c r="K216" s="11">
        <v>0.0</v>
      </c>
      <c r="L216" s="11">
        <v>0.0</v>
      </c>
      <c r="M216" s="11">
        <v>18.0</v>
      </c>
      <c r="N216" s="11">
        <v>212.0</v>
      </c>
      <c r="O216" s="11" t="s">
        <v>36</v>
      </c>
      <c r="P216" s="11" t="e">
        <v>#VALUE!</v>
      </c>
      <c r="Q216" s="11">
        <v>216.0</v>
      </c>
      <c r="R216" s="11">
        <v>238.0</v>
      </c>
      <c r="S216" s="11">
        <v>253.0</v>
      </c>
      <c r="T216" s="11">
        <v>248.0</v>
      </c>
      <c r="U216" s="11">
        <v>195.0</v>
      </c>
      <c r="V216" s="11">
        <v>227.0</v>
      </c>
      <c r="W216" s="11">
        <v>19.0</v>
      </c>
      <c r="X216" s="29" t="s">
        <v>866</v>
      </c>
    </row>
    <row r="217" ht="14.25" customHeight="1">
      <c r="A217" s="11"/>
      <c r="B217" s="11">
        <v>18.0</v>
      </c>
      <c r="C217" s="11" t="s">
        <v>106</v>
      </c>
      <c r="D217" s="11"/>
      <c r="E217" s="11"/>
      <c r="F217" s="11" t="s">
        <v>866</v>
      </c>
      <c r="G217" s="11">
        <v>0.0</v>
      </c>
      <c r="H217" s="11" t="s">
        <v>869</v>
      </c>
      <c r="I217" s="11" t="s">
        <v>109</v>
      </c>
      <c r="J217" s="11" t="s">
        <v>775</v>
      </c>
      <c r="K217" s="11">
        <v>0.0</v>
      </c>
      <c r="L217" s="11">
        <v>0.0</v>
      </c>
      <c r="M217" s="11">
        <v>21.0</v>
      </c>
      <c r="N217" s="11">
        <v>243.0</v>
      </c>
      <c r="O217" s="11">
        <v>206.0</v>
      </c>
      <c r="P217" s="11">
        <v>37.0</v>
      </c>
      <c r="Q217" s="11" t="s">
        <v>36</v>
      </c>
      <c r="R217" s="11" t="s">
        <v>36</v>
      </c>
      <c r="S217" s="11">
        <v>229.0</v>
      </c>
      <c r="T217" s="11">
        <v>205.0</v>
      </c>
      <c r="U217" s="11">
        <v>191.0</v>
      </c>
      <c r="V217" s="11">
        <v>214.0</v>
      </c>
      <c r="W217" s="11">
        <v>18.0</v>
      </c>
      <c r="X217" s="29" t="s">
        <v>866</v>
      </c>
    </row>
    <row r="218" ht="14.25" customHeight="1">
      <c r="A218" s="11"/>
      <c r="B218" s="11">
        <v>19.0</v>
      </c>
      <c r="C218" s="11" t="s">
        <v>106</v>
      </c>
      <c r="D218" s="11"/>
      <c r="E218" s="11"/>
      <c r="F218" s="11" t="s">
        <v>866</v>
      </c>
      <c r="G218" s="11">
        <v>0.0</v>
      </c>
      <c r="H218" s="11" t="s">
        <v>645</v>
      </c>
      <c r="I218" s="11" t="s">
        <v>45</v>
      </c>
      <c r="J218" s="11" t="s">
        <v>781</v>
      </c>
      <c r="K218" s="11">
        <v>0.0</v>
      </c>
      <c r="L218" s="11">
        <v>0.0</v>
      </c>
      <c r="M218" s="11">
        <v>20.0</v>
      </c>
      <c r="N218" s="11">
        <v>233.0</v>
      </c>
      <c r="O218" s="11">
        <v>194.0</v>
      </c>
      <c r="P218" s="11">
        <v>39.0</v>
      </c>
      <c r="Q218" s="11" t="s">
        <v>36</v>
      </c>
      <c r="R218" s="11" t="s">
        <v>36</v>
      </c>
      <c r="S218" s="11">
        <v>180.0</v>
      </c>
      <c r="T218" s="11">
        <v>209.0</v>
      </c>
      <c r="U218" s="11">
        <v>265.0</v>
      </c>
      <c r="V218" s="11">
        <v>216.0</v>
      </c>
      <c r="W218" s="11">
        <v>19.0</v>
      </c>
      <c r="X218" s="29" t="s">
        <v>866</v>
      </c>
    </row>
    <row r="219" ht="14.25" customHeight="1">
      <c r="A219" s="11"/>
      <c r="B219" s="11">
        <v>22.0</v>
      </c>
      <c r="C219" s="11" t="s">
        <v>106</v>
      </c>
      <c r="D219" s="11"/>
      <c r="E219" s="11"/>
      <c r="F219" s="11" t="s">
        <v>866</v>
      </c>
      <c r="G219" s="11">
        <v>0.0</v>
      </c>
      <c r="H219" s="11" t="s">
        <v>1093</v>
      </c>
      <c r="I219" s="11" t="s">
        <v>102</v>
      </c>
      <c r="J219" s="11" t="s">
        <v>775</v>
      </c>
      <c r="K219" s="11">
        <v>0.0</v>
      </c>
      <c r="L219" s="11">
        <v>0.0</v>
      </c>
      <c r="M219" s="11">
        <v>18.0</v>
      </c>
      <c r="N219" s="11">
        <v>213.0</v>
      </c>
      <c r="O219" s="11">
        <v>239.0</v>
      </c>
      <c r="P219" s="11">
        <v>-26.0</v>
      </c>
      <c r="Q219" s="11" t="s">
        <v>36</v>
      </c>
      <c r="R219" s="11" t="s">
        <v>36</v>
      </c>
      <c r="S219" s="11">
        <v>279.0</v>
      </c>
      <c r="T219" s="11">
        <v>244.0</v>
      </c>
      <c r="U219" s="11" t="s">
        <v>36</v>
      </c>
      <c r="V219" s="11">
        <v>243.0</v>
      </c>
      <c r="W219" s="11">
        <v>21.0</v>
      </c>
      <c r="X219" s="29" t="s">
        <v>866</v>
      </c>
    </row>
    <row r="220" ht="14.25" customHeight="1">
      <c r="A220" s="11"/>
      <c r="B220" s="11">
        <v>17.0</v>
      </c>
      <c r="C220" s="11" t="s">
        <v>106</v>
      </c>
      <c r="D220" s="11"/>
      <c r="E220" s="11"/>
      <c r="F220" s="11" t="s">
        <v>866</v>
      </c>
      <c r="G220" s="11">
        <v>0.0</v>
      </c>
      <c r="H220" s="11" t="s">
        <v>705</v>
      </c>
      <c r="I220" s="11" t="s">
        <v>176</v>
      </c>
      <c r="J220" s="11" t="s">
        <v>1085</v>
      </c>
      <c r="K220" s="11">
        <v>0.0</v>
      </c>
      <c r="L220" s="11">
        <v>0.0</v>
      </c>
      <c r="M220" s="11">
        <v>18.0</v>
      </c>
      <c r="N220" s="11">
        <v>214.0</v>
      </c>
      <c r="O220" s="11" t="s">
        <v>36</v>
      </c>
      <c r="P220" s="11" t="e">
        <v>#VALUE!</v>
      </c>
      <c r="Q220" s="11">
        <v>209.0</v>
      </c>
      <c r="R220" s="11">
        <v>218.0</v>
      </c>
      <c r="S220" s="11">
        <v>235.0</v>
      </c>
      <c r="T220" s="11">
        <v>180.0</v>
      </c>
      <c r="U220" s="11">
        <v>133.0</v>
      </c>
      <c r="V220" s="11">
        <v>198.0</v>
      </c>
      <c r="W220" s="11">
        <v>17.0</v>
      </c>
      <c r="X220" s="29" t="s">
        <v>866</v>
      </c>
    </row>
    <row r="221" ht="14.25" customHeight="1">
      <c r="A221" s="11"/>
      <c r="B221" s="11">
        <v>19.0</v>
      </c>
      <c r="C221" s="11" t="s">
        <v>106</v>
      </c>
      <c r="D221" s="11"/>
      <c r="E221" s="11"/>
      <c r="F221" s="11" t="s">
        <v>866</v>
      </c>
      <c r="G221" s="11">
        <v>0.0</v>
      </c>
      <c r="H221" s="11" t="s">
        <v>664</v>
      </c>
      <c r="I221" s="11" t="s">
        <v>195</v>
      </c>
      <c r="J221" s="11" t="s">
        <v>1081</v>
      </c>
      <c r="K221" s="11">
        <v>0.0</v>
      </c>
      <c r="L221" s="11">
        <v>0.0</v>
      </c>
      <c r="M221" s="11">
        <v>19.0</v>
      </c>
      <c r="N221" s="11">
        <v>217.0</v>
      </c>
      <c r="O221" s="11" t="s">
        <v>36</v>
      </c>
      <c r="P221" s="11" t="e">
        <v>#VALUE!</v>
      </c>
      <c r="Q221" s="11" t="s">
        <v>36</v>
      </c>
      <c r="R221" s="11">
        <v>215.0</v>
      </c>
      <c r="S221" s="11">
        <v>318.0</v>
      </c>
      <c r="T221" s="11" t="s">
        <v>36</v>
      </c>
      <c r="U221" s="11">
        <v>125.0</v>
      </c>
      <c r="V221" s="11">
        <v>218.0</v>
      </c>
      <c r="W221" s="11">
        <v>19.0</v>
      </c>
      <c r="X221" s="29" t="s">
        <v>866</v>
      </c>
    </row>
    <row r="222" ht="14.25" customHeight="1">
      <c r="A222" s="11"/>
      <c r="B222" s="11">
        <v>18.0</v>
      </c>
      <c r="C222" s="11" t="s">
        <v>106</v>
      </c>
      <c r="D222" s="11"/>
      <c r="E222" s="11"/>
      <c r="F222" s="11" t="s">
        <v>866</v>
      </c>
      <c r="G222" s="11">
        <v>0.0</v>
      </c>
      <c r="H222" s="11" t="s">
        <v>692</v>
      </c>
      <c r="I222" s="11" t="s">
        <v>148</v>
      </c>
      <c r="J222" s="11" t="s">
        <v>781</v>
      </c>
      <c r="K222" s="11">
        <v>0.0</v>
      </c>
      <c r="L222" s="11">
        <v>0.0</v>
      </c>
      <c r="M222" s="11">
        <v>19.0</v>
      </c>
      <c r="N222" s="11">
        <v>219.0</v>
      </c>
      <c r="O222" s="11">
        <v>184.0</v>
      </c>
      <c r="P222" s="11">
        <v>35.0</v>
      </c>
      <c r="Q222" s="11" t="s">
        <v>36</v>
      </c>
      <c r="R222" s="11" t="s">
        <v>36</v>
      </c>
      <c r="S222" s="11">
        <v>160.0</v>
      </c>
      <c r="T222" s="11">
        <v>197.0</v>
      </c>
      <c r="U222" s="11">
        <v>271.0</v>
      </c>
      <c r="V222" s="11">
        <v>206.0</v>
      </c>
      <c r="W222" s="11">
        <v>18.0</v>
      </c>
      <c r="X222" s="29" t="s">
        <v>1094</v>
      </c>
    </row>
    <row r="223" ht="14.25" customHeight="1">
      <c r="A223" s="11"/>
      <c r="B223" s="11">
        <v>17.0</v>
      </c>
      <c r="C223" s="11" t="s">
        <v>106</v>
      </c>
      <c r="D223" s="11"/>
      <c r="E223" s="11"/>
      <c r="F223" s="11" t="s">
        <v>866</v>
      </c>
      <c r="G223" s="11">
        <v>0.0</v>
      </c>
      <c r="H223" s="11" t="s">
        <v>620</v>
      </c>
      <c r="I223" s="11" t="s">
        <v>45</v>
      </c>
      <c r="J223" s="11" t="s">
        <v>1085</v>
      </c>
      <c r="K223" s="11">
        <v>0.0</v>
      </c>
      <c r="L223" s="11">
        <v>0.0</v>
      </c>
      <c r="M223" s="11">
        <v>19.0</v>
      </c>
      <c r="N223" s="11">
        <v>218.0</v>
      </c>
      <c r="O223" s="11" t="s">
        <v>36</v>
      </c>
      <c r="P223" s="11" t="e">
        <v>#VALUE!</v>
      </c>
      <c r="Q223" s="11">
        <v>189.0</v>
      </c>
      <c r="R223" s="11">
        <v>197.0</v>
      </c>
      <c r="S223" s="11">
        <v>261.0</v>
      </c>
      <c r="T223" s="11">
        <v>163.0</v>
      </c>
      <c r="U223" s="11">
        <v>188.0</v>
      </c>
      <c r="V223" s="11">
        <v>202.0</v>
      </c>
      <c r="W223" s="11">
        <v>17.0</v>
      </c>
      <c r="X223" s="29" t="s">
        <v>866</v>
      </c>
    </row>
    <row r="224" ht="14.25" customHeight="1">
      <c r="A224" s="11"/>
      <c r="B224" s="11">
        <v>17.0</v>
      </c>
      <c r="C224" s="11" t="s">
        <v>106</v>
      </c>
      <c r="D224" s="11"/>
      <c r="E224" s="11"/>
      <c r="F224" s="11" t="s">
        <v>866</v>
      </c>
      <c r="G224" s="11">
        <v>0.0</v>
      </c>
      <c r="H224" s="11" t="s">
        <v>564</v>
      </c>
      <c r="I224" s="11" t="s">
        <v>154</v>
      </c>
      <c r="J224" s="11" t="s">
        <v>1081</v>
      </c>
      <c r="K224" s="11">
        <v>0.0</v>
      </c>
      <c r="L224" s="11">
        <v>0.0</v>
      </c>
      <c r="M224" s="11">
        <v>19.0</v>
      </c>
      <c r="N224" s="11">
        <v>220.0</v>
      </c>
      <c r="O224" s="11" t="s">
        <v>36</v>
      </c>
      <c r="P224" s="11" t="e">
        <v>#VALUE!</v>
      </c>
      <c r="Q224" s="11">
        <v>136.0</v>
      </c>
      <c r="R224" s="11">
        <v>171.0</v>
      </c>
      <c r="S224" s="11">
        <v>258.0</v>
      </c>
      <c r="T224" s="11">
        <v>243.0</v>
      </c>
      <c r="U224" s="11">
        <v>170.0</v>
      </c>
      <c r="V224" s="11">
        <v>199.0</v>
      </c>
      <c r="W224" s="11">
        <v>17.0</v>
      </c>
      <c r="X224" s="29" t="s">
        <v>866</v>
      </c>
    </row>
    <row r="225" ht="14.25" customHeight="1">
      <c r="A225" s="11"/>
      <c r="B225" s="11">
        <v>13.0</v>
      </c>
      <c r="C225" s="11" t="s">
        <v>106</v>
      </c>
      <c r="D225" s="11"/>
      <c r="E225" s="11"/>
      <c r="F225" s="11" t="s">
        <v>866</v>
      </c>
      <c r="G225" s="11">
        <v>0.0</v>
      </c>
      <c r="H225" s="11" t="s">
        <v>724</v>
      </c>
      <c r="I225" s="11" t="s">
        <v>162</v>
      </c>
      <c r="J225" s="11" t="s">
        <v>1085</v>
      </c>
      <c r="K225" s="11">
        <v>0.0</v>
      </c>
      <c r="L225" s="11">
        <v>0.0</v>
      </c>
      <c r="M225" s="11">
        <v>19.0</v>
      </c>
      <c r="N225" s="11">
        <v>221.0</v>
      </c>
      <c r="O225" s="11" t="s">
        <v>36</v>
      </c>
      <c r="P225" s="11" t="e">
        <v>#VALUE!</v>
      </c>
      <c r="Q225" s="11">
        <v>160.0</v>
      </c>
      <c r="R225" s="11">
        <v>114.0</v>
      </c>
      <c r="S225" s="11">
        <v>228.0</v>
      </c>
      <c r="T225" s="11">
        <v>135.0</v>
      </c>
      <c r="U225" s="11">
        <v>112.0</v>
      </c>
      <c r="V225" s="11">
        <v>161.0</v>
      </c>
      <c r="W225" s="11">
        <v>14.0</v>
      </c>
      <c r="X225" s="29" t="s">
        <v>866</v>
      </c>
    </row>
    <row r="226" ht="14.25" customHeight="1">
      <c r="A226" s="11"/>
      <c r="B226" s="11">
        <v>18.0</v>
      </c>
      <c r="C226" s="11" t="s">
        <v>106</v>
      </c>
      <c r="D226" s="11"/>
      <c r="E226" s="11"/>
      <c r="F226" s="11" t="s">
        <v>866</v>
      </c>
      <c r="G226" s="11">
        <v>0.0</v>
      </c>
      <c r="H226" s="11" t="s">
        <v>536</v>
      </c>
      <c r="I226" s="11" t="s">
        <v>176</v>
      </c>
      <c r="J226" s="11" t="s">
        <v>775</v>
      </c>
      <c r="K226" s="11">
        <v>0.0</v>
      </c>
      <c r="L226" s="11">
        <v>0.0</v>
      </c>
      <c r="M226" s="11">
        <v>18.0</v>
      </c>
      <c r="N226" s="11">
        <v>208.0</v>
      </c>
      <c r="O226" s="11">
        <v>178.0</v>
      </c>
      <c r="P226" s="11">
        <v>30.0</v>
      </c>
      <c r="Q226" s="11" t="s">
        <v>36</v>
      </c>
      <c r="R226" s="11" t="s">
        <v>36</v>
      </c>
      <c r="S226" s="11">
        <v>192.0</v>
      </c>
      <c r="T226" s="11">
        <v>230.0</v>
      </c>
      <c r="U226" s="11" t="s">
        <v>36</v>
      </c>
      <c r="V226" s="11">
        <v>202.0</v>
      </c>
      <c r="W226" s="11">
        <v>17.0</v>
      </c>
      <c r="X226" s="29" t="s">
        <v>1095</v>
      </c>
    </row>
    <row r="227" ht="14.25" customHeight="1">
      <c r="A227" s="11"/>
      <c r="B227" s="11">
        <v>18.0</v>
      </c>
      <c r="C227" s="11" t="s">
        <v>106</v>
      </c>
      <c r="D227" s="11"/>
      <c r="E227" s="11"/>
      <c r="F227" s="11" t="s">
        <v>866</v>
      </c>
      <c r="G227" s="11">
        <v>0.0</v>
      </c>
      <c r="H227" s="11" t="s">
        <v>442</v>
      </c>
      <c r="I227" s="11" t="s">
        <v>52</v>
      </c>
      <c r="J227" s="11" t="s">
        <v>770</v>
      </c>
      <c r="K227" s="11" t="s">
        <v>878</v>
      </c>
      <c r="L227" s="11">
        <v>0.0</v>
      </c>
      <c r="M227" s="11">
        <v>19.0</v>
      </c>
      <c r="N227" s="11">
        <v>222.0</v>
      </c>
      <c r="O227" s="11">
        <v>181.0</v>
      </c>
      <c r="P227" s="11">
        <v>41.0</v>
      </c>
      <c r="Q227" s="11" t="s">
        <v>36</v>
      </c>
      <c r="R227" s="11">
        <v>204.0</v>
      </c>
      <c r="S227" s="11">
        <v>213.0</v>
      </c>
      <c r="T227" s="11">
        <v>226.0</v>
      </c>
      <c r="U227" s="11">
        <v>201.0</v>
      </c>
      <c r="V227" s="11">
        <v>207.0</v>
      </c>
      <c r="W227" s="11">
        <v>18.0</v>
      </c>
      <c r="X227" s="29" t="s">
        <v>866</v>
      </c>
    </row>
    <row r="228" ht="14.25" customHeight="1">
      <c r="A228" s="11"/>
      <c r="B228" s="11">
        <v>19.0</v>
      </c>
      <c r="C228" s="11" t="s">
        <v>106</v>
      </c>
      <c r="D228" s="11"/>
      <c r="E228" s="11"/>
      <c r="F228" s="11" t="s">
        <v>866</v>
      </c>
      <c r="G228" s="11">
        <v>0.0</v>
      </c>
      <c r="H228" s="11" t="s">
        <v>720</v>
      </c>
      <c r="I228" s="11" t="s">
        <v>52</v>
      </c>
      <c r="J228" s="11" t="s">
        <v>781</v>
      </c>
      <c r="K228" s="11">
        <v>0.0</v>
      </c>
      <c r="L228" s="11">
        <v>0.0</v>
      </c>
      <c r="M228" s="11">
        <v>20.0</v>
      </c>
      <c r="N228" s="11">
        <v>235.0</v>
      </c>
      <c r="O228" s="11">
        <v>213.0</v>
      </c>
      <c r="P228" s="11">
        <v>22.0</v>
      </c>
      <c r="Q228" s="11" t="s">
        <v>36</v>
      </c>
      <c r="R228" s="11" t="s">
        <v>36</v>
      </c>
      <c r="S228" s="11">
        <v>187.0</v>
      </c>
      <c r="T228" s="11">
        <v>219.0</v>
      </c>
      <c r="U228" s="11">
        <v>272.0</v>
      </c>
      <c r="V228" s="11">
        <v>225.0</v>
      </c>
      <c r="W228" s="11">
        <v>19.0</v>
      </c>
      <c r="X228" s="29" t="s">
        <v>1096</v>
      </c>
    </row>
    <row r="229" ht="14.25" customHeight="1">
      <c r="A229" s="11"/>
      <c r="B229" s="11">
        <v>17.0</v>
      </c>
      <c r="C229" s="11" t="s">
        <v>106</v>
      </c>
      <c r="D229" s="11"/>
      <c r="E229" s="11"/>
      <c r="F229" s="11" t="s">
        <v>866</v>
      </c>
      <c r="G229" s="11">
        <v>0.0</v>
      </c>
      <c r="H229" s="11" t="s">
        <v>923</v>
      </c>
      <c r="I229" s="11" t="s">
        <v>94</v>
      </c>
      <c r="J229" s="11" t="s">
        <v>1085</v>
      </c>
      <c r="K229" s="11">
        <v>0.0</v>
      </c>
      <c r="L229" s="11">
        <v>0.0</v>
      </c>
      <c r="M229" s="11">
        <v>19.0</v>
      </c>
      <c r="N229" s="11">
        <v>224.0</v>
      </c>
      <c r="O229" s="11" t="s">
        <v>36</v>
      </c>
      <c r="P229" s="11" t="e">
        <v>#VALUE!</v>
      </c>
      <c r="Q229" s="11">
        <v>188.0</v>
      </c>
      <c r="R229" s="11">
        <v>175.0</v>
      </c>
      <c r="S229" s="11">
        <v>316.0</v>
      </c>
      <c r="T229" s="11" t="s">
        <v>36</v>
      </c>
      <c r="U229" s="11">
        <v>108.0</v>
      </c>
      <c r="V229" s="11">
        <v>202.0</v>
      </c>
      <c r="W229" s="11">
        <v>17.0</v>
      </c>
      <c r="X229" s="29" t="s">
        <v>866</v>
      </c>
    </row>
    <row r="230" ht="14.25" customHeight="1">
      <c r="A230" s="11"/>
      <c r="B230" s="11">
        <v>15.0</v>
      </c>
      <c r="C230" s="11" t="s">
        <v>106</v>
      </c>
      <c r="D230" s="11"/>
      <c r="E230" s="11"/>
      <c r="F230" s="11" t="s">
        <v>866</v>
      </c>
      <c r="G230" s="11">
        <v>0.0</v>
      </c>
      <c r="H230" s="11" t="s">
        <v>659</v>
      </c>
      <c r="I230" s="11" t="s">
        <v>102</v>
      </c>
      <c r="J230" s="11" t="s">
        <v>1085</v>
      </c>
      <c r="K230" s="11">
        <v>0.0</v>
      </c>
      <c r="L230" s="11">
        <v>0.0</v>
      </c>
      <c r="M230" s="11">
        <v>19.0</v>
      </c>
      <c r="N230" s="11">
        <v>226.0</v>
      </c>
      <c r="O230" s="11" t="s">
        <v>36</v>
      </c>
      <c r="P230" s="11" t="e">
        <v>#VALUE!</v>
      </c>
      <c r="Q230" s="11">
        <v>185.0</v>
      </c>
      <c r="R230" s="11">
        <v>149.0</v>
      </c>
      <c r="S230" s="11">
        <v>232.0</v>
      </c>
      <c r="T230" s="11">
        <v>161.0</v>
      </c>
      <c r="U230" s="11">
        <v>146.0</v>
      </c>
      <c r="V230" s="11">
        <v>183.0</v>
      </c>
      <c r="W230" s="11">
        <v>16.0</v>
      </c>
      <c r="X230" s="29" t="s">
        <v>866</v>
      </c>
    </row>
    <row r="231" ht="14.25" customHeight="1">
      <c r="A231" s="11"/>
      <c r="B231" s="11">
        <v>10.0</v>
      </c>
      <c r="C231" s="11" t="s">
        <v>106</v>
      </c>
      <c r="D231" s="11"/>
      <c r="E231" s="11">
        <v>0.0</v>
      </c>
      <c r="F231" s="11" t="s">
        <v>866</v>
      </c>
      <c r="G231" s="11" t="s">
        <v>95</v>
      </c>
      <c r="H231" s="11" t="s">
        <v>144</v>
      </c>
      <c r="I231" s="11" t="s">
        <v>71</v>
      </c>
      <c r="J231" s="11" t="s">
        <v>772</v>
      </c>
      <c r="K231" s="11" t="s">
        <v>863</v>
      </c>
      <c r="L231" s="11">
        <v>52.0</v>
      </c>
      <c r="M231" s="11">
        <v>10.0</v>
      </c>
      <c r="N231" s="11">
        <v>112.0</v>
      </c>
      <c r="O231" s="11">
        <v>128.0</v>
      </c>
      <c r="P231" s="11">
        <v>-16.0</v>
      </c>
      <c r="Q231" s="11">
        <v>108.0</v>
      </c>
      <c r="R231" s="11">
        <v>103.0</v>
      </c>
      <c r="S231" s="11">
        <v>106.0</v>
      </c>
      <c r="T231" s="11">
        <v>100.0</v>
      </c>
      <c r="U231" s="11">
        <v>150.0</v>
      </c>
      <c r="V231" s="11">
        <v>115.0</v>
      </c>
      <c r="W231" s="11">
        <v>10.0</v>
      </c>
      <c r="X231" s="29" t="s">
        <v>866</v>
      </c>
    </row>
    <row r="232" ht="14.25" customHeight="1">
      <c r="A232" s="11"/>
      <c r="B232" s="11">
        <v>17.0</v>
      </c>
      <c r="C232" s="11" t="s">
        <v>106</v>
      </c>
      <c r="D232" s="11"/>
      <c r="E232" s="11"/>
      <c r="F232" s="11" t="s">
        <v>866</v>
      </c>
      <c r="G232" s="11">
        <v>0.0</v>
      </c>
      <c r="H232" s="11" t="s">
        <v>552</v>
      </c>
      <c r="I232" s="11" t="s">
        <v>237</v>
      </c>
      <c r="J232" s="11" t="s">
        <v>781</v>
      </c>
      <c r="K232" s="11">
        <v>0.0</v>
      </c>
      <c r="L232" s="11">
        <v>0.0</v>
      </c>
      <c r="M232" s="11">
        <v>20.0</v>
      </c>
      <c r="N232" s="11">
        <v>228.0</v>
      </c>
      <c r="O232" s="11">
        <v>226.0</v>
      </c>
      <c r="P232" s="11">
        <v>2.0</v>
      </c>
      <c r="Q232" s="11" t="s">
        <v>36</v>
      </c>
      <c r="R232" s="11">
        <v>198.0</v>
      </c>
      <c r="S232" s="11">
        <v>196.0</v>
      </c>
      <c r="T232" s="11">
        <v>202.0</v>
      </c>
      <c r="U232" s="11">
        <v>176.0</v>
      </c>
      <c r="V232" s="11">
        <v>204.0</v>
      </c>
      <c r="W232" s="11">
        <v>18.0</v>
      </c>
      <c r="X232" s="29" t="s">
        <v>866</v>
      </c>
    </row>
    <row r="233" ht="14.25" customHeight="1">
      <c r="A233" s="11"/>
      <c r="B233" s="11">
        <v>19.0</v>
      </c>
      <c r="C233" s="11" t="s">
        <v>106</v>
      </c>
      <c r="D233" s="11"/>
      <c r="E233" s="11">
        <v>1.0</v>
      </c>
      <c r="F233" s="11" t="s">
        <v>866</v>
      </c>
      <c r="G233" s="11" t="s">
        <v>106</v>
      </c>
      <c r="H233" s="11" t="s">
        <v>387</v>
      </c>
      <c r="I233" s="11" t="s">
        <v>109</v>
      </c>
      <c r="J233" s="11" t="s">
        <v>772</v>
      </c>
      <c r="K233" s="11" t="s">
        <v>885</v>
      </c>
      <c r="L233" s="11">
        <v>52.0</v>
      </c>
      <c r="M233" s="11">
        <v>18.0</v>
      </c>
      <c r="N233" s="11">
        <v>205.0</v>
      </c>
      <c r="O233" s="11">
        <v>183.0</v>
      </c>
      <c r="P233" s="11">
        <v>22.0</v>
      </c>
      <c r="Q233" s="11" t="s">
        <v>36</v>
      </c>
      <c r="R233" s="11" t="s">
        <v>36</v>
      </c>
      <c r="S233" s="11">
        <v>166.0</v>
      </c>
      <c r="T233" s="11">
        <v>223.0</v>
      </c>
      <c r="U233" s="11">
        <v>283.0</v>
      </c>
      <c r="V233" s="11">
        <v>212.0</v>
      </c>
      <c r="W233" s="11">
        <v>18.0</v>
      </c>
      <c r="X233" s="29" t="s">
        <v>1097</v>
      </c>
    </row>
    <row r="234" ht="14.25" customHeight="1">
      <c r="A234" s="11"/>
      <c r="B234" s="11">
        <v>23.0</v>
      </c>
      <c r="C234" s="11" t="s">
        <v>106</v>
      </c>
      <c r="D234" s="11"/>
      <c r="E234" s="11"/>
      <c r="F234" s="11" t="s">
        <v>866</v>
      </c>
      <c r="G234" s="11">
        <v>0.0</v>
      </c>
      <c r="H234" s="11" t="s">
        <v>966</v>
      </c>
      <c r="I234" s="11" t="s">
        <v>165</v>
      </c>
      <c r="J234" s="11" t="s">
        <v>781</v>
      </c>
      <c r="K234" s="11">
        <v>0.0</v>
      </c>
      <c r="L234" s="11">
        <v>0.0</v>
      </c>
      <c r="M234" s="11">
        <v>20.0</v>
      </c>
      <c r="N234" s="11">
        <v>231.0</v>
      </c>
      <c r="O234" s="11">
        <v>193.0</v>
      </c>
      <c r="P234" s="11">
        <v>38.0</v>
      </c>
      <c r="Q234" s="11" t="s">
        <v>36</v>
      </c>
      <c r="R234" s="11">
        <v>347.0</v>
      </c>
      <c r="S234" s="11">
        <v>204.0</v>
      </c>
      <c r="T234" s="11">
        <v>254.0</v>
      </c>
      <c r="U234" s="11" t="s">
        <v>36</v>
      </c>
      <c r="V234" s="11">
        <v>245.0</v>
      </c>
      <c r="W234" s="11">
        <v>21.0</v>
      </c>
      <c r="X234" s="29" t="s">
        <v>866</v>
      </c>
    </row>
    <row r="235" ht="14.25" customHeight="1">
      <c r="A235" s="11"/>
      <c r="B235" s="11">
        <v>16.0</v>
      </c>
      <c r="C235" s="11" t="s">
        <v>106</v>
      </c>
      <c r="D235" s="11"/>
      <c r="E235" s="11"/>
      <c r="F235" s="11" t="s">
        <v>866</v>
      </c>
      <c r="G235" s="11">
        <v>0.0</v>
      </c>
      <c r="H235" s="11" t="s">
        <v>922</v>
      </c>
      <c r="I235" s="11" t="s">
        <v>85</v>
      </c>
      <c r="J235" s="11" t="s">
        <v>1085</v>
      </c>
      <c r="K235" s="11">
        <v>0.0</v>
      </c>
      <c r="L235" s="11">
        <v>0.0</v>
      </c>
      <c r="M235" s="11">
        <v>20.0</v>
      </c>
      <c r="N235" s="11">
        <v>234.0</v>
      </c>
      <c r="O235" s="11" t="s">
        <v>36</v>
      </c>
      <c r="P235" s="11" t="e">
        <v>#VALUE!</v>
      </c>
      <c r="Q235" s="11">
        <v>182.0</v>
      </c>
      <c r="R235" s="11">
        <v>143.0</v>
      </c>
      <c r="S235" s="11">
        <v>244.0</v>
      </c>
      <c r="T235" s="11">
        <v>214.0</v>
      </c>
      <c r="U235" s="11">
        <v>135.0</v>
      </c>
      <c r="V235" s="11">
        <v>192.0</v>
      </c>
      <c r="W235" s="11">
        <v>17.0</v>
      </c>
      <c r="X235" s="29" t="s">
        <v>866</v>
      </c>
    </row>
    <row r="236" ht="14.25" customHeight="1">
      <c r="A236" s="11"/>
      <c r="B236" s="11">
        <v>17.0</v>
      </c>
      <c r="C236" s="11" t="s">
        <v>106</v>
      </c>
      <c r="D236" s="11"/>
      <c r="E236" s="11"/>
      <c r="F236" s="11" t="s">
        <v>866</v>
      </c>
      <c r="G236" s="11">
        <v>0.0</v>
      </c>
      <c r="H236" s="11" t="s">
        <v>701</v>
      </c>
      <c r="I236" s="11" t="s">
        <v>94</v>
      </c>
      <c r="J236" s="11" t="s">
        <v>781</v>
      </c>
      <c r="K236" s="11">
        <v>0.0</v>
      </c>
      <c r="L236" s="11">
        <v>0.0</v>
      </c>
      <c r="M236" s="11">
        <v>19.0</v>
      </c>
      <c r="N236" s="11">
        <v>225.0</v>
      </c>
      <c r="O236" s="11">
        <v>217.0</v>
      </c>
      <c r="P236" s="11">
        <v>8.0</v>
      </c>
      <c r="Q236" s="11">
        <v>194.0</v>
      </c>
      <c r="R236" s="11">
        <v>185.0</v>
      </c>
      <c r="S236" s="11">
        <v>188.0</v>
      </c>
      <c r="T236" s="11">
        <v>217.0</v>
      </c>
      <c r="U236" s="11">
        <v>186.0</v>
      </c>
      <c r="V236" s="11">
        <v>201.0</v>
      </c>
      <c r="W236" s="11">
        <v>17.0</v>
      </c>
      <c r="X236" s="29" t="s">
        <v>866</v>
      </c>
    </row>
    <row r="237" ht="14.25" customHeight="1">
      <c r="A237" s="11"/>
      <c r="B237" s="11">
        <v>15.0</v>
      </c>
      <c r="C237" s="11" t="s">
        <v>106</v>
      </c>
      <c r="D237" s="11"/>
      <c r="E237" s="11"/>
      <c r="F237" s="11" t="s">
        <v>866</v>
      </c>
      <c r="G237" s="11">
        <v>0.0</v>
      </c>
      <c r="H237" s="11" t="s">
        <v>337</v>
      </c>
      <c r="I237" s="11" t="s">
        <v>109</v>
      </c>
      <c r="J237" s="11" t="s">
        <v>781</v>
      </c>
      <c r="K237" s="11">
        <v>0.0</v>
      </c>
      <c r="L237" s="11">
        <v>0.0</v>
      </c>
      <c r="M237" s="11">
        <v>21.0</v>
      </c>
      <c r="N237" s="11">
        <v>242.0</v>
      </c>
      <c r="O237" s="11">
        <v>176.0</v>
      </c>
      <c r="P237" s="11">
        <v>66.0</v>
      </c>
      <c r="Q237" s="11">
        <v>187.0</v>
      </c>
      <c r="R237" s="11">
        <v>203.0</v>
      </c>
      <c r="S237" s="11">
        <v>157.0</v>
      </c>
      <c r="T237" s="11">
        <v>175.0</v>
      </c>
      <c r="U237" s="11">
        <v>160.0</v>
      </c>
      <c r="V237" s="11">
        <v>185.0</v>
      </c>
      <c r="W237" s="11">
        <v>16.0</v>
      </c>
      <c r="X237" s="29" t="s">
        <v>866</v>
      </c>
    </row>
    <row r="238" ht="14.25" customHeight="1">
      <c r="A238" s="11"/>
      <c r="B238" s="11">
        <v>22.0</v>
      </c>
      <c r="C238" s="11" t="s">
        <v>106</v>
      </c>
      <c r="D238" s="11"/>
      <c r="E238" s="11"/>
      <c r="F238" s="11" t="s">
        <v>866</v>
      </c>
      <c r="G238" s="11">
        <v>0.0</v>
      </c>
      <c r="H238" s="11" t="s">
        <v>290</v>
      </c>
      <c r="I238" s="11" t="s">
        <v>62</v>
      </c>
      <c r="J238" s="11" t="s">
        <v>775</v>
      </c>
      <c r="K238" s="11">
        <v>0.0</v>
      </c>
      <c r="L238" s="11">
        <v>0.0</v>
      </c>
      <c r="M238" s="11">
        <v>18.0</v>
      </c>
      <c r="N238" s="11">
        <v>210.0</v>
      </c>
      <c r="O238" s="11">
        <v>204.0</v>
      </c>
      <c r="P238" s="11">
        <v>6.0</v>
      </c>
      <c r="Q238" s="11" t="s">
        <v>36</v>
      </c>
      <c r="R238" s="11" t="s">
        <v>36</v>
      </c>
      <c r="S238" s="11">
        <v>260.0</v>
      </c>
      <c r="T238" s="11">
        <v>242.0</v>
      </c>
      <c r="U238" s="11">
        <v>256.0</v>
      </c>
      <c r="V238" s="11">
        <v>234.0</v>
      </c>
      <c r="W238" s="11">
        <v>20.0</v>
      </c>
      <c r="X238" s="29" t="s">
        <v>866</v>
      </c>
    </row>
    <row r="239" ht="14.25" customHeight="1">
      <c r="A239" s="11"/>
      <c r="B239" s="11">
        <v>23.0</v>
      </c>
      <c r="C239" s="11" t="s">
        <v>106</v>
      </c>
      <c r="D239" s="11"/>
      <c r="E239" s="11">
        <v>0.0</v>
      </c>
      <c r="F239" s="11" t="s">
        <v>866</v>
      </c>
      <c r="G239" s="11">
        <v>0.0</v>
      </c>
      <c r="H239" s="11" t="s">
        <v>439</v>
      </c>
      <c r="I239" s="11" t="s">
        <v>154</v>
      </c>
      <c r="J239" s="11" t="s">
        <v>772</v>
      </c>
      <c r="K239" s="11" t="s">
        <v>885</v>
      </c>
      <c r="L239" s="11">
        <v>53.0</v>
      </c>
      <c r="M239" s="11">
        <v>18.0</v>
      </c>
      <c r="N239" s="11">
        <v>207.0</v>
      </c>
      <c r="O239" s="11">
        <v>304.0</v>
      </c>
      <c r="P239" s="11">
        <v>-97.0</v>
      </c>
      <c r="Q239" s="11" t="s">
        <v>36</v>
      </c>
      <c r="R239" s="11" t="s">
        <v>36</v>
      </c>
      <c r="S239" s="11">
        <v>255.0</v>
      </c>
      <c r="T239" s="11">
        <v>247.0</v>
      </c>
      <c r="U239" s="11">
        <v>315.0</v>
      </c>
      <c r="V239" s="11">
        <v>265.0</v>
      </c>
      <c r="W239" s="11">
        <v>23.0</v>
      </c>
      <c r="X239" s="29" t="s">
        <v>1049</v>
      </c>
    </row>
    <row r="240" ht="14.25" customHeight="1">
      <c r="A240" s="11"/>
      <c r="B240" s="11">
        <v>22.0</v>
      </c>
      <c r="C240" s="11" t="s">
        <v>106</v>
      </c>
      <c r="D240" s="11"/>
      <c r="E240" s="11"/>
      <c r="F240" s="11" t="s">
        <v>866</v>
      </c>
      <c r="G240" s="11">
        <v>0.0</v>
      </c>
      <c r="H240" s="11" t="s">
        <v>1098</v>
      </c>
      <c r="I240" s="11" t="s">
        <v>206</v>
      </c>
      <c r="J240" s="11" t="s">
        <v>775</v>
      </c>
      <c r="K240" s="11">
        <v>0.0</v>
      </c>
      <c r="L240" s="11">
        <v>0.0</v>
      </c>
      <c r="M240" s="11">
        <v>16.0</v>
      </c>
      <c r="N240" s="11" t="s">
        <v>36</v>
      </c>
      <c r="O240" s="11">
        <v>197.0</v>
      </c>
      <c r="P240" s="11" t="e">
        <v>#VALUE!</v>
      </c>
      <c r="Q240" s="11" t="s">
        <v>36</v>
      </c>
      <c r="R240" s="11" t="s">
        <v>36</v>
      </c>
      <c r="S240" s="11">
        <v>250.0</v>
      </c>
      <c r="T240" s="11">
        <v>261.0</v>
      </c>
      <c r="U240" s="11" t="s">
        <v>36</v>
      </c>
      <c r="V240" s="11">
        <v>236.0</v>
      </c>
      <c r="W240" s="11">
        <v>20.0</v>
      </c>
      <c r="X240" s="29" t="s">
        <v>866</v>
      </c>
    </row>
    <row r="241" ht="14.25" customHeight="1">
      <c r="A241" s="11"/>
      <c r="B241" s="11">
        <v>16.0</v>
      </c>
      <c r="C241" s="11" t="s">
        <v>106</v>
      </c>
      <c r="D241" s="11"/>
      <c r="E241" s="11"/>
      <c r="F241" s="11" t="s">
        <v>866</v>
      </c>
      <c r="G241" s="11">
        <v>0.0</v>
      </c>
      <c r="H241" s="11" t="s">
        <v>952</v>
      </c>
      <c r="I241" s="11" t="s">
        <v>67</v>
      </c>
      <c r="J241" s="11" t="s">
        <v>1085</v>
      </c>
      <c r="K241" s="11">
        <v>0.0</v>
      </c>
      <c r="L241" s="11">
        <v>0.0</v>
      </c>
      <c r="M241" s="11">
        <v>20.0</v>
      </c>
      <c r="N241" s="11">
        <v>239.0</v>
      </c>
      <c r="O241" s="11" t="s">
        <v>36</v>
      </c>
      <c r="P241" s="11" t="e">
        <v>#VALUE!</v>
      </c>
      <c r="Q241" s="11">
        <v>158.0</v>
      </c>
      <c r="R241" s="11">
        <v>140.0</v>
      </c>
      <c r="S241" s="11">
        <v>271.0</v>
      </c>
      <c r="T241" s="11">
        <v>185.0</v>
      </c>
      <c r="U241" s="11">
        <v>147.0</v>
      </c>
      <c r="V241" s="11">
        <v>190.0</v>
      </c>
      <c r="W241" s="11">
        <v>16.0</v>
      </c>
      <c r="X241" s="29" t="s">
        <v>866</v>
      </c>
    </row>
    <row r="242" ht="14.25" customHeight="1">
      <c r="A242" s="11"/>
      <c r="B242" s="11">
        <v>23.0</v>
      </c>
      <c r="C242" s="11" t="s">
        <v>106</v>
      </c>
      <c r="D242" s="11"/>
      <c r="E242" s="11"/>
      <c r="F242" s="11" t="s">
        <v>866</v>
      </c>
      <c r="G242" s="11">
        <v>0.0</v>
      </c>
      <c r="H242" s="11" t="s">
        <v>273</v>
      </c>
      <c r="I242" s="11" t="s">
        <v>125</v>
      </c>
      <c r="J242" s="11" t="s">
        <v>775</v>
      </c>
      <c r="K242" s="11">
        <v>0.0</v>
      </c>
      <c r="L242" s="11">
        <v>0.0</v>
      </c>
      <c r="M242" s="11">
        <v>21.0</v>
      </c>
      <c r="N242" s="11">
        <v>241.0</v>
      </c>
      <c r="O242" s="11">
        <v>195.0</v>
      </c>
      <c r="P242" s="11">
        <v>46.0</v>
      </c>
      <c r="Q242" s="11" t="s">
        <v>36</v>
      </c>
      <c r="R242" s="11" t="s">
        <v>36</v>
      </c>
      <c r="S242" s="11">
        <v>218.0</v>
      </c>
      <c r="T242" s="11">
        <v>252.0</v>
      </c>
      <c r="U242" s="11">
        <v>335.0</v>
      </c>
      <c r="V242" s="11">
        <v>248.0</v>
      </c>
      <c r="W242" s="11">
        <v>21.0</v>
      </c>
      <c r="X242" s="29" t="s">
        <v>866</v>
      </c>
    </row>
    <row r="243" ht="14.25" customHeight="1">
      <c r="A243" s="11"/>
      <c r="B243" s="11">
        <v>19.0</v>
      </c>
      <c r="C243" s="11" t="s">
        <v>106</v>
      </c>
      <c r="D243" s="11"/>
      <c r="E243" s="11"/>
      <c r="F243" s="11" t="s">
        <v>866</v>
      </c>
      <c r="G243" s="11">
        <v>0.0</v>
      </c>
      <c r="H243" s="11" t="s">
        <v>588</v>
      </c>
      <c r="I243" s="11" t="s">
        <v>71</v>
      </c>
      <c r="J243" s="11" t="s">
        <v>1081</v>
      </c>
      <c r="K243" s="11">
        <v>0.0</v>
      </c>
      <c r="L243" s="11">
        <v>0.0</v>
      </c>
      <c r="M243" s="11">
        <v>21.0</v>
      </c>
      <c r="N243" s="11">
        <v>240.0</v>
      </c>
      <c r="O243" s="11" t="s">
        <v>36</v>
      </c>
      <c r="P243" s="11" t="e">
        <v>#VALUE!</v>
      </c>
      <c r="Q243" s="11">
        <v>173.0</v>
      </c>
      <c r="R243" s="11">
        <v>201.0</v>
      </c>
      <c r="S243" s="11">
        <v>278.0</v>
      </c>
      <c r="T243" s="11">
        <v>285.0</v>
      </c>
      <c r="U243" s="11">
        <v>165.0</v>
      </c>
      <c r="V243" s="11">
        <v>223.0</v>
      </c>
      <c r="W243" s="11">
        <v>19.0</v>
      </c>
      <c r="X243" s="29" t="s">
        <v>866</v>
      </c>
    </row>
    <row r="244" ht="14.25" customHeight="1">
      <c r="A244" s="11"/>
      <c r="B244" s="11">
        <v>18.0</v>
      </c>
      <c r="C244" s="11" t="s">
        <v>106</v>
      </c>
      <c r="D244" s="11"/>
      <c r="E244" s="11"/>
      <c r="F244" s="11" t="s">
        <v>866</v>
      </c>
      <c r="G244" s="11" t="s">
        <v>106</v>
      </c>
      <c r="H244" s="11" t="s">
        <v>1099</v>
      </c>
      <c r="I244" s="11" t="s">
        <v>98</v>
      </c>
      <c r="J244" s="11" t="s">
        <v>775</v>
      </c>
      <c r="K244" s="11" t="s">
        <v>1100</v>
      </c>
      <c r="L244" s="11">
        <v>0.0</v>
      </c>
      <c r="M244" s="11">
        <v>18.0</v>
      </c>
      <c r="N244" s="11">
        <v>211.0</v>
      </c>
      <c r="O244" s="11">
        <v>157.0</v>
      </c>
      <c r="P244" s="11">
        <v>54.0</v>
      </c>
      <c r="Q244" s="11" t="s">
        <v>36</v>
      </c>
      <c r="R244" s="11" t="s">
        <v>36</v>
      </c>
      <c r="S244" s="11">
        <v>174.0</v>
      </c>
      <c r="T244" s="11">
        <v>186.0</v>
      </c>
      <c r="U244" s="11">
        <v>264.0</v>
      </c>
      <c r="V244" s="11">
        <v>198.0</v>
      </c>
      <c r="W244" s="11">
        <v>17.0</v>
      </c>
      <c r="X244" s="29" t="s">
        <v>1101</v>
      </c>
    </row>
    <row r="245" ht="14.25" customHeight="1">
      <c r="A245" s="11"/>
      <c r="B245" s="11">
        <v>18.0</v>
      </c>
      <c r="C245" s="11" t="s">
        <v>106</v>
      </c>
      <c r="D245" s="11"/>
      <c r="E245" s="11"/>
      <c r="F245" s="11" t="s">
        <v>866</v>
      </c>
      <c r="G245" s="11">
        <v>0.0</v>
      </c>
      <c r="H245" s="11" t="s">
        <v>504</v>
      </c>
      <c r="I245" s="11" t="s">
        <v>116</v>
      </c>
      <c r="J245" s="11" t="s">
        <v>1081</v>
      </c>
      <c r="K245" s="11">
        <v>0.0</v>
      </c>
      <c r="L245" s="11">
        <v>0.0</v>
      </c>
      <c r="M245" s="11">
        <v>21.0</v>
      </c>
      <c r="N245" s="11">
        <v>244.0</v>
      </c>
      <c r="O245" s="11" t="s">
        <v>36</v>
      </c>
      <c r="P245" s="11" t="e">
        <v>#VALUE!</v>
      </c>
      <c r="Q245" s="11" t="s">
        <v>36</v>
      </c>
      <c r="R245" s="11">
        <v>152.0</v>
      </c>
      <c r="S245" s="11">
        <v>265.0</v>
      </c>
      <c r="T245" s="11">
        <v>240.0</v>
      </c>
      <c r="U245" s="11">
        <v>190.0</v>
      </c>
      <c r="V245" s="11">
        <v>218.0</v>
      </c>
      <c r="W245" s="11">
        <v>19.0</v>
      </c>
      <c r="X245" s="29" t="s">
        <v>866</v>
      </c>
    </row>
    <row r="246" ht="14.25" customHeight="1">
      <c r="A246" s="11"/>
      <c r="B246" s="11">
        <v>23.0</v>
      </c>
      <c r="C246" s="11" t="s">
        <v>106</v>
      </c>
      <c r="D246" s="11"/>
      <c r="E246" s="11"/>
      <c r="F246" s="11" t="s">
        <v>866</v>
      </c>
      <c r="G246" s="11">
        <v>0.0</v>
      </c>
      <c r="H246" s="11" t="s">
        <v>830</v>
      </c>
      <c r="I246" s="11" t="s">
        <v>128</v>
      </c>
      <c r="J246" s="11" t="s">
        <v>775</v>
      </c>
      <c r="K246" s="11">
        <v>0.0</v>
      </c>
      <c r="L246" s="11">
        <v>0.0</v>
      </c>
      <c r="M246" s="11">
        <v>16.0</v>
      </c>
      <c r="N246" s="11" t="s">
        <v>36</v>
      </c>
      <c r="O246" s="11">
        <v>188.0</v>
      </c>
      <c r="P246" s="11" t="e">
        <v>#VALUE!</v>
      </c>
      <c r="Q246" s="11" t="s">
        <v>36</v>
      </c>
      <c r="R246" s="11" t="s">
        <v>36</v>
      </c>
      <c r="S246" s="11">
        <v>237.0</v>
      </c>
      <c r="T246" s="11">
        <v>268.0</v>
      </c>
      <c r="U246" s="11">
        <v>311.0</v>
      </c>
      <c r="V246" s="11">
        <v>251.0</v>
      </c>
      <c r="W246" s="11">
        <v>21.0</v>
      </c>
      <c r="X246" s="29" t="s">
        <v>866</v>
      </c>
    </row>
    <row r="247" ht="14.25" customHeight="1">
      <c r="A247" s="11"/>
      <c r="B247" s="11">
        <v>17.0</v>
      </c>
      <c r="C247" s="11" t="s">
        <v>106</v>
      </c>
      <c r="D247" s="11"/>
      <c r="E247" s="11"/>
      <c r="F247" s="11" t="s">
        <v>866</v>
      </c>
      <c r="G247" s="11">
        <v>0.0</v>
      </c>
      <c r="H247" s="11" t="s">
        <v>954</v>
      </c>
      <c r="I247" s="11" t="s">
        <v>40</v>
      </c>
      <c r="J247" s="11" t="s">
        <v>1085</v>
      </c>
      <c r="K247" s="11">
        <v>0.0</v>
      </c>
      <c r="L247" s="11">
        <v>0.0</v>
      </c>
      <c r="M247" s="11">
        <v>21.0</v>
      </c>
      <c r="N247" s="11">
        <v>246.0</v>
      </c>
      <c r="O247" s="11" t="s">
        <v>36</v>
      </c>
      <c r="P247" s="11" t="e">
        <v>#VALUE!</v>
      </c>
      <c r="Q247" s="11">
        <v>193.0</v>
      </c>
      <c r="R247" s="11">
        <v>196.0</v>
      </c>
      <c r="S247" s="11">
        <v>269.0</v>
      </c>
      <c r="T247" s="11">
        <v>159.0</v>
      </c>
      <c r="U247" s="11">
        <v>171.0</v>
      </c>
      <c r="V247" s="11">
        <v>205.0</v>
      </c>
      <c r="W247" s="11">
        <v>18.0</v>
      </c>
      <c r="X247" s="29" t="s">
        <v>866</v>
      </c>
    </row>
    <row r="248" ht="14.25" customHeight="1">
      <c r="A248" s="11"/>
      <c r="B248" s="11">
        <v>22.0</v>
      </c>
      <c r="C248" s="11" t="s">
        <v>106</v>
      </c>
      <c r="D248" s="11"/>
      <c r="E248" s="11"/>
      <c r="F248" s="11" t="s">
        <v>866</v>
      </c>
      <c r="G248" s="11">
        <v>0.0</v>
      </c>
      <c r="H248" s="11" t="s">
        <v>820</v>
      </c>
      <c r="I248" s="11" t="s">
        <v>231</v>
      </c>
      <c r="J248" s="11" t="s">
        <v>775</v>
      </c>
      <c r="K248" s="11">
        <v>0.0</v>
      </c>
      <c r="L248" s="11">
        <v>0.0</v>
      </c>
      <c r="M248" s="11">
        <v>18.0</v>
      </c>
      <c r="N248" s="11">
        <v>209.0</v>
      </c>
      <c r="O248" s="11">
        <v>180.0</v>
      </c>
      <c r="P248" s="11">
        <v>29.0</v>
      </c>
      <c r="Q248" s="11" t="s">
        <v>36</v>
      </c>
      <c r="R248" s="11" t="s">
        <v>36</v>
      </c>
      <c r="S248" s="11">
        <v>211.0</v>
      </c>
      <c r="T248" s="11">
        <v>221.0</v>
      </c>
      <c r="U248" s="11">
        <v>330.0</v>
      </c>
      <c r="V248" s="11">
        <v>230.0</v>
      </c>
      <c r="W248" s="11">
        <v>20.0</v>
      </c>
      <c r="X248" s="29" t="s">
        <v>866</v>
      </c>
    </row>
    <row r="249" ht="14.25" customHeight="1">
      <c r="A249" s="11"/>
      <c r="B249" s="11" t="e">
        <v>#N/A</v>
      </c>
      <c r="C249" s="11" t="s">
        <v>106</v>
      </c>
      <c r="D249" s="11"/>
      <c r="E249" s="11"/>
      <c r="F249" s="11" t="s">
        <v>866</v>
      </c>
      <c r="G249" s="11">
        <v>0.0</v>
      </c>
      <c r="H249" s="11" t="s">
        <v>657</v>
      </c>
      <c r="I249" s="11" t="e">
        <v>#N/A</v>
      </c>
      <c r="J249" s="11" t="e">
        <v>#N/A</v>
      </c>
      <c r="K249" s="11">
        <v>0.0</v>
      </c>
      <c r="L249" s="11">
        <v>0.0</v>
      </c>
      <c r="M249" s="11">
        <v>16.0</v>
      </c>
      <c r="N249" s="11" t="e">
        <v>#N/A</v>
      </c>
      <c r="O249" s="11" t="e">
        <v>#N/A</v>
      </c>
      <c r="P249" s="11" t="e">
        <v>#N/A</v>
      </c>
      <c r="Q249" s="11" t="e">
        <v>#N/A</v>
      </c>
      <c r="R249" s="11" t="e">
        <v>#N/A</v>
      </c>
      <c r="S249" s="11" t="e">
        <v>#N/A</v>
      </c>
      <c r="T249" s="11" t="e">
        <v>#N/A</v>
      </c>
      <c r="U249" s="11" t="e">
        <v>#N/A</v>
      </c>
      <c r="V249" s="11" t="e">
        <v>#N/A</v>
      </c>
      <c r="W249" s="11">
        <v>16.0</v>
      </c>
      <c r="X249" s="29" t="s">
        <v>866</v>
      </c>
    </row>
    <row r="250" ht="14.25" customHeight="1">
      <c r="A250" s="11"/>
      <c r="B250" s="11">
        <v>17.0</v>
      </c>
      <c r="C250" s="11" t="s">
        <v>106</v>
      </c>
      <c r="D250" s="11"/>
      <c r="E250" s="11">
        <v>0.0</v>
      </c>
      <c r="F250" s="11" t="s">
        <v>866</v>
      </c>
      <c r="G250" s="11" t="s">
        <v>106</v>
      </c>
      <c r="H250" s="11" t="s">
        <v>634</v>
      </c>
      <c r="I250" s="60" t="s">
        <v>94</v>
      </c>
      <c r="J250" s="11" t="s">
        <v>772</v>
      </c>
      <c r="K250" s="11" t="s">
        <v>885</v>
      </c>
      <c r="L250" s="11">
        <v>54.0</v>
      </c>
      <c r="M250" s="11">
        <v>16.0</v>
      </c>
      <c r="N250" s="11">
        <v>189.0</v>
      </c>
      <c r="O250" s="11">
        <v>237.0</v>
      </c>
      <c r="P250" s="11">
        <v>-48.0</v>
      </c>
      <c r="Q250" s="11" t="s">
        <v>36</v>
      </c>
      <c r="R250" s="11">
        <v>194.0</v>
      </c>
      <c r="S250" s="11">
        <v>185.0</v>
      </c>
      <c r="T250" s="11">
        <v>172.0</v>
      </c>
      <c r="U250" s="11">
        <v>241.0</v>
      </c>
      <c r="V250" s="11">
        <v>203.0</v>
      </c>
      <c r="W250" s="11">
        <v>17.0</v>
      </c>
      <c r="X250" s="29" t="s">
        <v>1043</v>
      </c>
    </row>
    <row r="251" ht="14.25" customHeight="1">
      <c r="A251" s="11"/>
      <c r="B251" s="11">
        <v>23.0</v>
      </c>
      <c r="C251" s="11" t="s">
        <v>106</v>
      </c>
      <c r="D251" s="11"/>
      <c r="E251" s="11"/>
      <c r="F251" s="11" t="s">
        <v>866</v>
      </c>
      <c r="G251" s="11">
        <v>0.0</v>
      </c>
      <c r="H251" s="11" t="s">
        <v>993</v>
      </c>
      <c r="I251" s="11" t="s">
        <v>49</v>
      </c>
      <c r="J251" s="11" t="s">
        <v>781</v>
      </c>
      <c r="K251" s="11">
        <v>0.0</v>
      </c>
      <c r="L251" s="11">
        <v>0.0</v>
      </c>
      <c r="M251" s="11">
        <v>16.0</v>
      </c>
      <c r="N251" s="11" t="s">
        <v>36</v>
      </c>
      <c r="O251" s="11">
        <v>242.0</v>
      </c>
      <c r="P251" s="11" t="e">
        <v>#VALUE!</v>
      </c>
      <c r="Q251" s="11" t="s">
        <v>36</v>
      </c>
      <c r="R251" s="11" t="s">
        <v>36</v>
      </c>
      <c r="S251" s="11">
        <v>241.0</v>
      </c>
      <c r="T251" s="11">
        <v>270.0</v>
      </c>
      <c r="U251" s="11">
        <v>282.0</v>
      </c>
      <c r="V251" s="11">
        <v>258.0</v>
      </c>
      <c r="W251" s="11">
        <v>22.0</v>
      </c>
      <c r="X251" s="29" t="s">
        <v>866</v>
      </c>
    </row>
    <row r="252" ht="14.25" customHeight="1">
      <c r="A252" s="11"/>
      <c r="B252" s="11" t="e">
        <v>#N/A</v>
      </c>
      <c r="C252" s="11" t="s">
        <v>106</v>
      </c>
      <c r="D252" s="11"/>
      <c r="E252" s="11"/>
      <c r="F252" s="11" t="s">
        <v>866</v>
      </c>
      <c r="G252" s="11">
        <v>0.0</v>
      </c>
      <c r="H252" s="11" t="s">
        <v>831</v>
      </c>
      <c r="I252" s="48" t="e">
        <v>#N/A</v>
      </c>
      <c r="J252" s="11" t="e">
        <v>#N/A</v>
      </c>
      <c r="K252" s="11">
        <v>0.0</v>
      </c>
      <c r="L252" s="11">
        <v>0.0</v>
      </c>
      <c r="M252" s="11">
        <v>16.0</v>
      </c>
      <c r="N252" s="11" t="e">
        <v>#N/A</v>
      </c>
      <c r="O252" s="11" t="e">
        <v>#N/A</v>
      </c>
      <c r="P252" s="11" t="e">
        <v>#N/A</v>
      </c>
      <c r="Q252" s="11" t="e">
        <v>#N/A</v>
      </c>
      <c r="R252" s="11" t="e">
        <v>#N/A</v>
      </c>
      <c r="S252" s="11" t="e">
        <v>#N/A</v>
      </c>
      <c r="T252" s="11" t="e">
        <v>#N/A</v>
      </c>
      <c r="U252" s="11" t="e">
        <v>#N/A</v>
      </c>
      <c r="V252" s="11" t="e">
        <v>#N/A</v>
      </c>
      <c r="W252" s="11">
        <v>16.0</v>
      </c>
      <c r="X252" s="29" t="s">
        <v>866</v>
      </c>
    </row>
    <row r="253" ht="14.25" customHeight="1">
      <c r="A253" s="11"/>
      <c r="B253" s="11">
        <v>14.0</v>
      </c>
      <c r="C253" s="11" t="s">
        <v>106</v>
      </c>
      <c r="D253" s="11"/>
      <c r="E253" s="11"/>
      <c r="F253" s="11" t="s">
        <v>866</v>
      </c>
      <c r="G253" s="11">
        <v>0.0</v>
      </c>
      <c r="H253" s="11" t="s">
        <v>676</v>
      </c>
      <c r="I253" s="11" t="s">
        <v>58</v>
      </c>
      <c r="J253" s="11" t="s">
        <v>1081</v>
      </c>
      <c r="K253" s="11">
        <v>0.0</v>
      </c>
      <c r="L253" s="11">
        <v>0.0</v>
      </c>
      <c r="M253" s="11">
        <v>16.0</v>
      </c>
      <c r="N253" s="11" t="s">
        <v>36</v>
      </c>
      <c r="O253" s="11" t="s">
        <v>36</v>
      </c>
      <c r="P253" s="11" t="e">
        <v>#VALUE!</v>
      </c>
      <c r="Q253" s="11">
        <v>181.0</v>
      </c>
      <c r="R253" s="11">
        <v>188.0</v>
      </c>
      <c r="S253" s="11">
        <v>230.0</v>
      </c>
      <c r="T253" s="11">
        <v>156.0</v>
      </c>
      <c r="U253" s="11">
        <v>76.0</v>
      </c>
      <c r="V253" s="11">
        <v>166.0</v>
      </c>
      <c r="W253" s="11">
        <v>14.0</v>
      </c>
      <c r="X253" s="29" t="s">
        <v>866</v>
      </c>
    </row>
    <row r="254" ht="14.25" customHeight="1">
      <c r="A254" s="11"/>
      <c r="B254" s="11">
        <v>18.0</v>
      </c>
      <c r="C254" s="11" t="s">
        <v>106</v>
      </c>
      <c r="D254" s="11"/>
      <c r="E254" s="11"/>
      <c r="F254" s="11" t="s">
        <v>866</v>
      </c>
      <c r="G254" s="11" t="s">
        <v>106</v>
      </c>
      <c r="H254" s="11" t="s">
        <v>545</v>
      </c>
      <c r="I254" s="11" t="s">
        <v>35</v>
      </c>
      <c r="J254" s="11" t="s">
        <v>775</v>
      </c>
      <c r="K254" s="11" t="s">
        <v>884</v>
      </c>
      <c r="L254" s="11">
        <v>63.0</v>
      </c>
      <c r="M254" s="11">
        <v>19.0</v>
      </c>
      <c r="N254" s="11">
        <v>216.0</v>
      </c>
      <c r="O254" s="11">
        <v>163.0</v>
      </c>
      <c r="P254" s="11">
        <v>53.0</v>
      </c>
      <c r="Q254" s="11" t="s">
        <v>36</v>
      </c>
      <c r="R254" s="11">
        <v>214.0</v>
      </c>
      <c r="S254" s="11">
        <v>190.0</v>
      </c>
      <c r="T254" s="11">
        <v>216.0</v>
      </c>
      <c r="U254" s="11">
        <v>221.0</v>
      </c>
      <c r="V254" s="11">
        <v>203.0</v>
      </c>
      <c r="W254" s="11">
        <v>17.0</v>
      </c>
      <c r="X254" s="29" t="s">
        <v>1102</v>
      </c>
    </row>
    <row r="255" ht="14.25" customHeight="1">
      <c r="A255" s="11"/>
      <c r="B255" s="11">
        <v>19.0</v>
      </c>
      <c r="C255" s="11" t="s">
        <v>106</v>
      </c>
      <c r="D255" s="11"/>
      <c r="E255" s="11"/>
      <c r="F255" s="11" t="s">
        <v>866</v>
      </c>
      <c r="G255" s="11">
        <v>0.0</v>
      </c>
      <c r="H255" s="11" t="s">
        <v>649</v>
      </c>
      <c r="I255" s="11" t="s">
        <v>98</v>
      </c>
      <c r="J255" s="11" t="s">
        <v>775</v>
      </c>
      <c r="K255" s="11">
        <v>0.0</v>
      </c>
      <c r="L255" s="11">
        <v>0.0</v>
      </c>
      <c r="M255" s="11">
        <v>16.0</v>
      </c>
      <c r="N255" s="11" t="s">
        <v>36</v>
      </c>
      <c r="O255" s="11">
        <v>235.0</v>
      </c>
      <c r="P255" s="11" t="e">
        <v>#VALUE!</v>
      </c>
      <c r="Q255" s="11" t="s">
        <v>36</v>
      </c>
      <c r="R255" s="11" t="s">
        <v>36</v>
      </c>
      <c r="S255" s="11">
        <v>238.0</v>
      </c>
      <c r="T255" s="11">
        <v>176.0</v>
      </c>
      <c r="U255" s="11">
        <v>239.0</v>
      </c>
      <c r="V255" s="11">
        <v>222.0</v>
      </c>
      <c r="W255" s="11">
        <v>19.0</v>
      </c>
      <c r="X255" s="29" t="s">
        <v>1103</v>
      </c>
    </row>
    <row r="256" ht="14.25" customHeight="1">
      <c r="A256" s="11"/>
      <c r="B256" s="11">
        <v>17.0</v>
      </c>
      <c r="C256" s="11" t="s">
        <v>106</v>
      </c>
      <c r="D256" s="11"/>
      <c r="E256" s="11"/>
      <c r="F256" s="11" t="s">
        <v>866</v>
      </c>
      <c r="G256" s="11">
        <v>0.0</v>
      </c>
      <c r="H256" s="11" t="s">
        <v>556</v>
      </c>
      <c r="I256" s="11" t="s">
        <v>162</v>
      </c>
      <c r="J256" s="11" t="s">
        <v>781</v>
      </c>
      <c r="K256" s="11">
        <v>0.0</v>
      </c>
      <c r="L256" s="11">
        <v>0.0</v>
      </c>
      <c r="M256" s="11">
        <v>16.0</v>
      </c>
      <c r="N256" s="11" t="s">
        <v>36</v>
      </c>
      <c r="O256" s="11">
        <v>182.0</v>
      </c>
      <c r="P256" s="11" t="e">
        <v>#VALUE!</v>
      </c>
      <c r="Q256" s="11" t="s">
        <v>36</v>
      </c>
      <c r="R256" s="11">
        <v>200.0</v>
      </c>
      <c r="S256" s="11">
        <v>167.0</v>
      </c>
      <c r="T256" s="11">
        <v>227.0</v>
      </c>
      <c r="U256" s="11">
        <v>211.0</v>
      </c>
      <c r="V256" s="11">
        <v>197.0</v>
      </c>
      <c r="W256" s="11">
        <v>17.0</v>
      </c>
      <c r="X256" s="29" t="s">
        <v>866</v>
      </c>
    </row>
    <row r="257" ht="14.25" customHeight="1">
      <c r="A257" s="11"/>
      <c r="B257" s="11">
        <v>17.0</v>
      </c>
      <c r="C257" s="11" t="s">
        <v>106</v>
      </c>
      <c r="D257" s="11"/>
      <c r="E257" s="11"/>
      <c r="F257" s="11" t="s">
        <v>866</v>
      </c>
      <c r="G257" s="11">
        <v>0.0</v>
      </c>
      <c r="H257" s="11" t="s">
        <v>630</v>
      </c>
      <c r="I257" s="11" t="s">
        <v>171</v>
      </c>
      <c r="J257" s="11" t="s">
        <v>1081</v>
      </c>
      <c r="K257" s="11">
        <v>0.0</v>
      </c>
      <c r="L257" s="11">
        <v>0.0</v>
      </c>
      <c r="M257" s="11">
        <v>16.0</v>
      </c>
      <c r="N257" s="11" t="s">
        <v>36</v>
      </c>
      <c r="O257" s="11" t="s">
        <v>36</v>
      </c>
      <c r="P257" s="11" t="e">
        <v>#VALUE!</v>
      </c>
      <c r="Q257" s="11">
        <v>212.0</v>
      </c>
      <c r="R257" s="11">
        <v>220.0</v>
      </c>
      <c r="S257" s="11">
        <v>296.0</v>
      </c>
      <c r="T257" s="11" t="s">
        <v>36</v>
      </c>
      <c r="U257" s="11">
        <v>83.0</v>
      </c>
      <c r="V257" s="11">
        <v>202.0</v>
      </c>
      <c r="W257" s="11">
        <v>17.0</v>
      </c>
      <c r="X257" s="29" t="s">
        <v>866</v>
      </c>
    </row>
    <row r="258" ht="14.25" customHeight="1">
      <c r="A258" s="11"/>
      <c r="B258" s="11">
        <v>16.0</v>
      </c>
      <c r="C258" s="11" t="s">
        <v>106</v>
      </c>
      <c r="D258" s="11"/>
      <c r="E258" s="11">
        <v>0.0</v>
      </c>
      <c r="F258" s="11" t="s">
        <v>866</v>
      </c>
      <c r="G258" s="11">
        <v>0.0</v>
      </c>
      <c r="H258" s="11" t="s">
        <v>263</v>
      </c>
      <c r="I258" s="11" t="s">
        <v>165</v>
      </c>
      <c r="J258" s="11" t="s">
        <v>772</v>
      </c>
      <c r="K258" s="11" t="s">
        <v>885</v>
      </c>
      <c r="L258" s="11">
        <v>55.0</v>
      </c>
      <c r="M258" s="11">
        <v>14.0</v>
      </c>
      <c r="N258" s="11">
        <v>157.0</v>
      </c>
      <c r="O258" s="11">
        <v>179.0</v>
      </c>
      <c r="P258" s="11">
        <v>-22.0</v>
      </c>
      <c r="Q258" s="11">
        <v>210.0</v>
      </c>
      <c r="R258" s="11" t="s">
        <v>36</v>
      </c>
      <c r="S258" s="11">
        <v>165.0</v>
      </c>
      <c r="T258" s="11">
        <v>158.0</v>
      </c>
      <c r="U258" s="11">
        <v>220.0</v>
      </c>
      <c r="V258" s="11">
        <v>181.0</v>
      </c>
      <c r="W258" s="11">
        <v>16.0</v>
      </c>
      <c r="X258" s="29" t="s">
        <v>866</v>
      </c>
    </row>
    <row r="259" ht="14.25" customHeight="1">
      <c r="A259" s="11"/>
      <c r="B259" s="11">
        <v>17.0</v>
      </c>
      <c r="C259" s="11" t="s">
        <v>106</v>
      </c>
      <c r="D259" s="11"/>
      <c r="E259" s="11"/>
      <c r="F259" s="11" t="s">
        <v>866</v>
      </c>
      <c r="G259" s="11">
        <v>0.0</v>
      </c>
      <c r="H259" s="11" t="s">
        <v>1104</v>
      </c>
      <c r="I259" s="11" t="s">
        <v>192</v>
      </c>
      <c r="J259" s="11" t="s">
        <v>1081</v>
      </c>
      <c r="K259" s="11">
        <v>0.0</v>
      </c>
      <c r="L259" s="11">
        <v>0.0</v>
      </c>
      <c r="M259" s="11">
        <v>16.0</v>
      </c>
      <c r="N259" s="11" t="s">
        <v>36</v>
      </c>
      <c r="O259" s="11" t="s">
        <v>36</v>
      </c>
      <c r="P259" s="11" t="e">
        <v>#VALUE!</v>
      </c>
      <c r="Q259" s="11">
        <v>206.0</v>
      </c>
      <c r="R259" s="11">
        <v>211.0</v>
      </c>
      <c r="S259" s="11">
        <v>275.0</v>
      </c>
      <c r="T259" s="11">
        <v>150.0</v>
      </c>
      <c r="U259" s="11">
        <v>168.0</v>
      </c>
      <c r="V259" s="11">
        <v>202.0</v>
      </c>
      <c r="W259" s="11">
        <v>17.0</v>
      </c>
      <c r="X259" s="29" t="s">
        <v>866</v>
      </c>
    </row>
    <row r="260" ht="14.25" customHeight="1">
      <c r="A260" s="11"/>
      <c r="B260" s="11">
        <v>15.0</v>
      </c>
      <c r="C260" s="11" t="s">
        <v>106</v>
      </c>
      <c r="D260" s="11"/>
      <c r="E260" s="11">
        <v>0.0</v>
      </c>
      <c r="F260" s="11" t="s">
        <v>866</v>
      </c>
      <c r="G260" s="11">
        <v>0.0</v>
      </c>
      <c r="H260" s="11" t="s">
        <v>876</v>
      </c>
      <c r="I260" s="11" t="s">
        <v>195</v>
      </c>
      <c r="J260" s="11" t="s">
        <v>772</v>
      </c>
      <c r="K260" s="11" t="s">
        <v>879</v>
      </c>
      <c r="L260" s="11">
        <v>56.0</v>
      </c>
      <c r="M260" s="11">
        <v>11.0</v>
      </c>
      <c r="N260" s="11">
        <v>123.0</v>
      </c>
      <c r="O260" s="11">
        <v>171.0</v>
      </c>
      <c r="P260" s="11">
        <v>-48.0</v>
      </c>
      <c r="Q260" s="11">
        <v>147.0</v>
      </c>
      <c r="R260" s="11">
        <v>147.0</v>
      </c>
      <c r="S260" s="11">
        <v>146.0</v>
      </c>
      <c r="T260" s="11">
        <v>157.0</v>
      </c>
      <c r="U260" s="11">
        <v>244.0</v>
      </c>
      <c r="V260" s="11">
        <v>162.0</v>
      </c>
      <c r="W260" s="11">
        <v>14.0</v>
      </c>
      <c r="X260" s="29" t="s">
        <v>866</v>
      </c>
    </row>
    <row r="261" ht="14.25" customHeight="1">
      <c r="A261" s="11"/>
      <c r="B261" s="11">
        <v>17.0</v>
      </c>
      <c r="C261" s="11" t="s">
        <v>106</v>
      </c>
      <c r="D261" s="11"/>
      <c r="E261" s="11"/>
      <c r="F261" s="11" t="s">
        <v>866</v>
      </c>
      <c r="G261" s="11">
        <v>0.0</v>
      </c>
      <c r="H261" s="11" t="s">
        <v>1105</v>
      </c>
      <c r="I261" s="11" t="s">
        <v>125</v>
      </c>
      <c r="J261" s="11" t="s">
        <v>1081</v>
      </c>
      <c r="K261" s="11">
        <v>0.0</v>
      </c>
      <c r="L261" s="11">
        <v>0.0</v>
      </c>
      <c r="M261" s="11">
        <v>16.0</v>
      </c>
      <c r="N261" s="11" t="s">
        <v>36</v>
      </c>
      <c r="O261" s="11" t="s">
        <v>36</v>
      </c>
      <c r="P261" s="11" t="e">
        <v>#VALUE!</v>
      </c>
      <c r="Q261" s="11">
        <v>217.0</v>
      </c>
      <c r="R261" s="11">
        <v>208.0</v>
      </c>
      <c r="S261" s="11">
        <v>233.0</v>
      </c>
      <c r="T261" s="11" t="s">
        <v>36</v>
      </c>
      <c r="U261" s="11">
        <v>157.0</v>
      </c>
      <c r="V261" s="11">
        <v>203.0</v>
      </c>
      <c r="W261" s="11">
        <v>17.0</v>
      </c>
      <c r="X261" s="29" t="s">
        <v>866</v>
      </c>
    </row>
    <row r="262" ht="14.25" customHeight="1">
      <c r="A262" s="11"/>
      <c r="B262" s="11">
        <v>20.0</v>
      </c>
      <c r="C262" s="11" t="s">
        <v>106</v>
      </c>
      <c r="D262" s="11"/>
      <c r="E262" s="11"/>
      <c r="F262" s="11" t="s">
        <v>866</v>
      </c>
      <c r="G262" s="11">
        <v>0.0</v>
      </c>
      <c r="H262" s="11" t="s">
        <v>420</v>
      </c>
      <c r="I262" s="11" t="s">
        <v>119</v>
      </c>
      <c r="J262" s="11" t="s">
        <v>781</v>
      </c>
      <c r="K262" s="11">
        <v>0.0</v>
      </c>
      <c r="L262" s="11">
        <v>0.0</v>
      </c>
      <c r="M262" s="11">
        <v>20.0</v>
      </c>
      <c r="N262" s="11">
        <v>230.0</v>
      </c>
      <c r="O262" s="11">
        <v>223.0</v>
      </c>
      <c r="P262" s="11">
        <v>7.0</v>
      </c>
      <c r="Q262" s="11" t="s">
        <v>36</v>
      </c>
      <c r="R262" s="11">
        <v>267.0</v>
      </c>
      <c r="S262" s="11">
        <v>210.0</v>
      </c>
      <c r="T262" s="11">
        <v>241.0</v>
      </c>
      <c r="U262" s="11">
        <v>216.0</v>
      </c>
      <c r="V262" s="11">
        <v>231.0</v>
      </c>
      <c r="W262" s="11">
        <v>20.0</v>
      </c>
      <c r="X262" s="29" t="s">
        <v>866</v>
      </c>
    </row>
    <row r="263" ht="14.25" customHeight="1">
      <c r="A263" s="11"/>
      <c r="B263" s="11">
        <v>22.0</v>
      </c>
      <c r="C263" s="11" t="s">
        <v>106</v>
      </c>
      <c r="D263" s="11"/>
      <c r="E263" s="11"/>
      <c r="F263" s="11" t="s">
        <v>866</v>
      </c>
      <c r="G263" s="11" t="s">
        <v>106</v>
      </c>
      <c r="H263" s="11" t="s">
        <v>613</v>
      </c>
      <c r="I263" s="11" t="s">
        <v>119</v>
      </c>
      <c r="J263" s="11" t="s">
        <v>775</v>
      </c>
      <c r="K263" s="11" t="s">
        <v>884</v>
      </c>
      <c r="L263" s="11">
        <v>64.0</v>
      </c>
      <c r="M263" s="11">
        <v>21.0</v>
      </c>
      <c r="N263" s="11">
        <v>248.0</v>
      </c>
      <c r="O263" s="11">
        <v>208.0</v>
      </c>
      <c r="P263" s="11">
        <v>40.0</v>
      </c>
      <c r="Q263" s="11" t="s">
        <v>36</v>
      </c>
      <c r="R263" s="11" t="s">
        <v>36</v>
      </c>
      <c r="S263" s="11">
        <v>270.0</v>
      </c>
      <c r="T263" s="11">
        <v>253.0</v>
      </c>
      <c r="U263" s="11" t="s">
        <v>36</v>
      </c>
      <c r="V263" s="11">
        <v>244.0</v>
      </c>
      <c r="W263" s="11">
        <v>21.0</v>
      </c>
      <c r="X263" s="29" t="s">
        <v>1106</v>
      </c>
    </row>
    <row r="264" ht="14.25" customHeight="1">
      <c r="A264" s="11"/>
      <c r="B264" s="11">
        <v>18.0</v>
      </c>
      <c r="C264" s="11" t="s">
        <v>106</v>
      </c>
      <c r="D264" s="11"/>
      <c r="E264" s="11"/>
      <c r="F264" s="11" t="s">
        <v>866</v>
      </c>
      <c r="G264" s="11">
        <v>0.0</v>
      </c>
      <c r="H264" s="11" t="s">
        <v>688</v>
      </c>
      <c r="I264" s="11" t="s">
        <v>128</v>
      </c>
      <c r="J264" s="11" t="s">
        <v>1081</v>
      </c>
      <c r="K264" s="11">
        <v>0.0</v>
      </c>
      <c r="L264" s="11">
        <v>0.0</v>
      </c>
      <c r="M264" s="11">
        <v>16.0</v>
      </c>
      <c r="N264" s="11" t="s">
        <v>36</v>
      </c>
      <c r="O264" s="11" t="s">
        <v>36</v>
      </c>
      <c r="P264" s="11" t="e">
        <v>#VALUE!</v>
      </c>
      <c r="Q264" s="11">
        <v>169.0</v>
      </c>
      <c r="R264" s="11">
        <v>199.0</v>
      </c>
      <c r="S264" s="11">
        <v>281.0</v>
      </c>
      <c r="T264" s="11">
        <v>239.0</v>
      </c>
      <c r="U264" s="11">
        <v>187.0</v>
      </c>
      <c r="V264" s="11">
        <v>215.0</v>
      </c>
      <c r="W264" s="11">
        <v>18.0</v>
      </c>
      <c r="X264" s="29" t="s">
        <v>866</v>
      </c>
    </row>
    <row r="265" ht="14.25" customHeight="1">
      <c r="A265" s="11"/>
      <c r="B265" s="11">
        <v>19.0</v>
      </c>
      <c r="C265" s="11" t="s">
        <v>106</v>
      </c>
      <c r="D265" s="11"/>
      <c r="E265" s="11"/>
      <c r="F265" s="11" t="s">
        <v>866</v>
      </c>
      <c r="G265" s="11">
        <v>0.0</v>
      </c>
      <c r="H265" s="11" t="s">
        <v>880</v>
      </c>
      <c r="I265" s="11" t="s">
        <v>231</v>
      </c>
      <c r="J265" s="11" t="s">
        <v>775</v>
      </c>
      <c r="K265" s="11">
        <v>0.0</v>
      </c>
      <c r="L265" s="11">
        <v>0.0</v>
      </c>
      <c r="M265" s="11">
        <v>16.0</v>
      </c>
      <c r="N265" s="11" t="s">
        <v>36</v>
      </c>
      <c r="O265" s="11">
        <v>227.0</v>
      </c>
      <c r="P265" s="11" t="e">
        <v>#VALUE!</v>
      </c>
      <c r="Q265" s="11" t="s">
        <v>36</v>
      </c>
      <c r="R265" s="11" t="s">
        <v>36</v>
      </c>
      <c r="S265" s="11">
        <v>202.0</v>
      </c>
      <c r="T265" s="11">
        <v>235.0</v>
      </c>
      <c r="U265" s="11">
        <v>238.0</v>
      </c>
      <c r="V265" s="11">
        <v>225.0</v>
      </c>
      <c r="W265" s="11">
        <v>19.0</v>
      </c>
      <c r="X265" s="29" t="s">
        <v>866</v>
      </c>
    </row>
    <row r="266" ht="14.25" customHeight="1">
      <c r="A266" s="11"/>
      <c r="B266" s="11">
        <v>19.0</v>
      </c>
      <c r="C266" s="11" t="s">
        <v>106</v>
      </c>
      <c r="D266" s="11"/>
      <c r="E266" s="11"/>
      <c r="F266" s="11" t="s">
        <v>866</v>
      </c>
      <c r="G266" s="11">
        <v>0.0</v>
      </c>
      <c r="H266" s="11" t="s">
        <v>296</v>
      </c>
      <c r="I266" s="11" t="s">
        <v>128</v>
      </c>
      <c r="J266" s="11" t="s">
        <v>770</v>
      </c>
      <c r="K266" s="11">
        <v>0.0</v>
      </c>
      <c r="L266" s="11">
        <v>0.0</v>
      </c>
      <c r="M266" s="11">
        <v>16.0</v>
      </c>
      <c r="N266" s="11" t="s">
        <v>36</v>
      </c>
      <c r="O266" s="11">
        <v>202.0</v>
      </c>
      <c r="P266" s="11" t="e">
        <v>#VALUE!</v>
      </c>
      <c r="Q266" s="11" t="s">
        <v>36</v>
      </c>
      <c r="R266" s="11">
        <v>209.0</v>
      </c>
      <c r="S266" s="11">
        <v>219.0</v>
      </c>
      <c r="T266" s="11">
        <v>238.0</v>
      </c>
      <c r="U266" s="11">
        <v>237.0</v>
      </c>
      <c r="V266" s="11">
        <v>221.0</v>
      </c>
      <c r="W266" s="11">
        <v>19.0</v>
      </c>
      <c r="X266" s="29" t="s">
        <v>866</v>
      </c>
    </row>
    <row r="267" ht="14.25" customHeight="1">
      <c r="A267" s="11"/>
      <c r="B267" s="11">
        <v>21.0</v>
      </c>
      <c r="C267" s="11" t="s">
        <v>106</v>
      </c>
      <c r="D267" s="11"/>
      <c r="E267" s="11"/>
      <c r="F267" s="11" t="s">
        <v>866</v>
      </c>
      <c r="G267" s="11">
        <v>0.0</v>
      </c>
      <c r="H267" s="11" t="s">
        <v>921</v>
      </c>
      <c r="I267" s="11" t="s">
        <v>128</v>
      </c>
      <c r="J267" s="11" t="s">
        <v>770</v>
      </c>
      <c r="K267" s="11">
        <v>0.0</v>
      </c>
      <c r="L267" s="11">
        <v>0.0</v>
      </c>
      <c r="M267" s="11">
        <v>16.0</v>
      </c>
      <c r="N267" s="11" t="s">
        <v>36</v>
      </c>
      <c r="O267" s="11">
        <v>232.0</v>
      </c>
      <c r="P267" s="11" t="e">
        <v>#VALUE!</v>
      </c>
      <c r="Q267" s="11" t="s">
        <v>36</v>
      </c>
      <c r="R267" s="11">
        <v>239.0</v>
      </c>
      <c r="S267" s="11">
        <v>243.0</v>
      </c>
      <c r="T267" s="11">
        <v>265.0</v>
      </c>
      <c r="U267" s="11">
        <v>225.0</v>
      </c>
      <c r="V267" s="11">
        <v>240.0</v>
      </c>
      <c r="W267" s="11">
        <v>21.0</v>
      </c>
      <c r="X267" s="29" t="s">
        <v>866</v>
      </c>
    </row>
    <row r="268" ht="14.25" customHeight="1">
      <c r="A268" s="11"/>
      <c r="B268" s="11">
        <v>20.0</v>
      </c>
      <c r="C268" s="11" t="s">
        <v>106</v>
      </c>
      <c r="D268" s="11"/>
      <c r="E268" s="11"/>
      <c r="F268" s="11" t="s">
        <v>866</v>
      </c>
      <c r="G268" s="11">
        <v>0.0</v>
      </c>
      <c r="H268" s="11" t="s">
        <v>595</v>
      </c>
      <c r="I268" s="11" t="s">
        <v>195</v>
      </c>
      <c r="J268" s="11" t="s">
        <v>770</v>
      </c>
      <c r="K268" s="11">
        <v>0.0</v>
      </c>
      <c r="L268" s="11">
        <v>0.0</v>
      </c>
      <c r="M268" s="11">
        <v>16.0</v>
      </c>
      <c r="N268" s="11" t="s">
        <v>36</v>
      </c>
      <c r="O268" s="11">
        <v>276.0</v>
      </c>
      <c r="P268" s="11" t="e">
        <v>#VALUE!</v>
      </c>
      <c r="Q268" s="11" t="s">
        <v>36</v>
      </c>
      <c r="R268" s="11">
        <v>210.0</v>
      </c>
      <c r="S268" s="11">
        <v>292.0</v>
      </c>
      <c r="T268" s="11">
        <v>220.0</v>
      </c>
      <c r="U268" s="11">
        <v>214.0</v>
      </c>
      <c r="V268" s="11">
        <v>242.0</v>
      </c>
      <c r="W268" s="11">
        <v>21.0</v>
      </c>
      <c r="X268" s="29" t="s">
        <v>866</v>
      </c>
    </row>
    <row r="269" ht="14.25" customHeight="1">
      <c r="A269" s="11"/>
      <c r="B269" s="11">
        <v>20.0</v>
      </c>
      <c r="C269" s="11" t="s">
        <v>106</v>
      </c>
      <c r="D269" s="11"/>
      <c r="E269" s="11">
        <v>0.0</v>
      </c>
      <c r="F269" s="11" t="s">
        <v>866</v>
      </c>
      <c r="G269" s="11" t="s">
        <v>106</v>
      </c>
      <c r="H269" s="11" t="s">
        <v>323</v>
      </c>
      <c r="I269" s="11" t="s">
        <v>171</v>
      </c>
      <c r="J269" s="11" t="s">
        <v>772</v>
      </c>
      <c r="K269" s="11" t="s">
        <v>1041</v>
      </c>
      <c r="L269" s="11">
        <v>56.0</v>
      </c>
      <c r="M269" s="11">
        <v>16.0</v>
      </c>
      <c r="N269" s="11">
        <v>184.0</v>
      </c>
      <c r="O269" s="11">
        <v>200.0</v>
      </c>
      <c r="P269" s="11">
        <v>-16.0</v>
      </c>
      <c r="Q269" s="11" t="s">
        <v>36</v>
      </c>
      <c r="R269" s="11" t="s">
        <v>36</v>
      </c>
      <c r="S269" s="11">
        <v>184.0</v>
      </c>
      <c r="T269" s="11">
        <v>211.0</v>
      </c>
      <c r="U269" s="11">
        <v>324.0</v>
      </c>
      <c r="V269" s="11">
        <v>220.0</v>
      </c>
      <c r="W269" s="11">
        <v>19.0</v>
      </c>
      <c r="X269" s="29" t="s">
        <v>1107</v>
      </c>
    </row>
    <row r="270" ht="14.25" customHeight="1">
      <c r="A270" s="11"/>
      <c r="B270" s="11">
        <v>23.0</v>
      </c>
      <c r="C270" s="11" t="s">
        <v>106</v>
      </c>
      <c r="D270" s="11"/>
      <c r="E270" s="11"/>
      <c r="F270" s="11" t="s">
        <v>866</v>
      </c>
      <c r="G270" s="11">
        <v>0.0</v>
      </c>
      <c r="H270" s="11" t="s">
        <v>989</v>
      </c>
      <c r="I270" s="11" t="s">
        <v>237</v>
      </c>
      <c r="J270" s="11" t="s">
        <v>775</v>
      </c>
      <c r="K270" s="11">
        <v>0.0</v>
      </c>
      <c r="L270" s="11">
        <v>0.0</v>
      </c>
      <c r="M270" s="11">
        <v>16.0</v>
      </c>
      <c r="N270" s="11" t="s">
        <v>36</v>
      </c>
      <c r="O270" s="11">
        <v>238.0</v>
      </c>
      <c r="P270" s="11" t="e">
        <v>#VALUE!</v>
      </c>
      <c r="Q270" s="11" t="s">
        <v>36</v>
      </c>
      <c r="R270" s="11" t="s">
        <v>36</v>
      </c>
      <c r="S270" s="11">
        <v>262.0</v>
      </c>
      <c r="T270" s="11">
        <v>274.0</v>
      </c>
      <c r="U270" s="11">
        <v>277.0</v>
      </c>
      <c r="V270" s="11">
        <v>262.0</v>
      </c>
      <c r="W270" s="11">
        <v>22.0</v>
      </c>
      <c r="X270" s="29" t="s">
        <v>866</v>
      </c>
    </row>
    <row r="271" ht="14.25" customHeight="1">
      <c r="A271" s="11"/>
      <c r="B271" s="11">
        <v>21.0</v>
      </c>
      <c r="C271" s="11" t="s">
        <v>106</v>
      </c>
      <c r="D271" s="11"/>
      <c r="E271" s="11"/>
      <c r="F271" s="11" t="s">
        <v>866</v>
      </c>
      <c r="G271" s="11">
        <v>0.0</v>
      </c>
      <c r="H271" s="11" t="s">
        <v>811</v>
      </c>
      <c r="I271" s="11" t="s">
        <v>171</v>
      </c>
      <c r="J271" s="11" t="s">
        <v>781</v>
      </c>
      <c r="K271" s="11">
        <v>0.0</v>
      </c>
      <c r="L271" s="11">
        <v>0.0</v>
      </c>
      <c r="M271" s="11">
        <v>16.0</v>
      </c>
      <c r="N271" s="11" t="s">
        <v>36</v>
      </c>
      <c r="O271" s="11">
        <v>249.0</v>
      </c>
      <c r="P271" s="11" t="e">
        <v>#VALUE!</v>
      </c>
      <c r="Q271" s="11" t="s">
        <v>36</v>
      </c>
      <c r="R271" s="11">
        <v>225.0</v>
      </c>
      <c r="S271" s="11">
        <v>259.0</v>
      </c>
      <c r="T271" s="11">
        <v>271.0</v>
      </c>
      <c r="U271" s="11">
        <v>229.0</v>
      </c>
      <c r="V271" s="11">
        <v>246.0</v>
      </c>
      <c r="W271" s="11">
        <v>21.0</v>
      </c>
      <c r="X271" s="29" t="s">
        <v>866</v>
      </c>
    </row>
    <row r="272" ht="14.25" customHeight="1">
      <c r="A272" s="11"/>
      <c r="B272" s="11">
        <v>22.0</v>
      </c>
      <c r="C272" s="11" t="s">
        <v>106</v>
      </c>
      <c r="D272" s="11"/>
      <c r="E272" s="11"/>
      <c r="F272" s="11" t="s">
        <v>866</v>
      </c>
      <c r="G272" s="11">
        <v>0.0</v>
      </c>
      <c r="H272" s="11" t="s">
        <v>389</v>
      </c>
      <c r="I272" s="11" t="s">
        <v>131</v>
      </c>
      <c r="J272" s="11" t="s">
        <v>781</v>
      </c>
      <c r="K272" s="11">
        <v>0.0</v>
      </c>
      <c r="L272" s="11">
        <v>0.0</v>
      </c>
      <c r="M272" s="11">
        <v>16.0</v>
      </c>
      <c r="N272" s="11" t="s">
        <v>36</v>
      </c>
      <c r="O272" s="11">
        <v>216.0</v>
      </c>
      <c r="P272" s="11" t="e">
        <v>#VALUE!</v>
      </c>
      <c r="Q272" s="11" t="s">
        <v>36</v>
      </c>
      <c r="R272" s="11" t="s">
        <v>36</v>
      </c>
      <c r="S272" s="11">
        <v>223.0</v>
      </c>
      <c r="T272" s="11">
        <v>273.0</v>
      </c>
      <c r="U272" s="11">
        <v>279.0</v>
      </c>
      <c r="V272" s="11">
        <v>247.0</v>
      </c>
      <c r="W272" s="11">
        <v>21.0</v>
      </c>
      <c r="X272" s="29" t="s">
        <v>866</v>
      </c>
    </row>
    <row r="273" ht="14.25" customHeight="1">
      <c r="A273" s="11"/>
      <c r="B273" s="11">
        <v>21.0</v>
      </c>
      <c r="C273" s="11" t="s">
        <v>106</v>
      </c>
      <c r="D273" s="11"/>
      <c r="E273" s="11"/>
      <c r="F273" s="11" t="s">
        <v>866</v>
      </c>
      <c r="G273" s="11">
        <v>0.0</v>
      </c>
      <c r="H273" s="11" t="s">
        <v>974</v>
      </c>
      <c r="I273" s="11" t="s">
        <v>102</v>
      </c>
      <c r="J273" s="11" t="s">
        <v>781</v>
      </c>
      <c r="K273" s="11">
        <v>0.0</v>
      </c>
      <c r="L273" s="11">
        <v>0.0</v>
      </c>
      <c r="M273" s="11">
        <v>16.0</v>
      </c>
      <c r="N273" s="11" t="s">
        <v>36</v>
      </c>
      <c r="O273" s="11">
        <v>246.0</v>
      </c>
      <c r="P273" s="11" t="e">
        <v>#VALUE!</v>
      </c>
      <c r="Q273" s="11" t="s">
        <v>36</v>
      </c>
      <c r="R273" s="11">
        <v>233.0</v>
      </c>
      <c r="S273" s="11">
        <v>249.0</v>
      </c>
      <c r="T273" s="11">
        <v>276.0</v>
      </c>
      <c r="U273" s="11">
        <v>240.0</v>
      </c>
      <c r="V273" s="11">
        <v>248.0</v>
      </c>
      <c r="W273" s="11">
        <v>21.0</v>
      </c>
      <c r="X273" s="29" t="s">
        <v>866</v>
      </c>
    </row>
    <row r="274" ht="14.25" customHeight="1">
      <c r="A274" s="11"/>
      <c r="B274" s="11">
        <v>21.0</v>
      </c>
      <c r="C274" s="11" t="s">
        <v>106</v>
      </c>
      <c r="D274" s="11"/>
      <c r="E274" s="11"/>
      <c r="F274" s="11" t="s">
        <v>866</v>
      </c>
      <c r="G274" s="11">
        <v>0.0</v>
      </c>
      <c r="H274" s="11" t="s">
        <v>257</v>
      </c>
      <c r="I274" s="11" t="s">
        <v>195</v>
      </c>
      <c r="J274" s="11" t="s">
        <v>781</v>
      </c>
      <c r="K274" s="11">
        <v>0.0</v>
      </c>
      <c r="L274" s="11">
        <v>0.0</v>
      </c>
      <c r="M274" s="11">
        <v>16.0</v>
      </c>
      <c r="N274" s="11" t="s">
        <v>36</v>
      </c>
      <c r="O274" s="11">
        <v>190.0</v>
      </c>
      <c r="P274" s="11" t="e">
        <v>#VALUE!</v>
      </c>
      <c r="Q274" s="11" t="s">
        <v>36</v>
      </c>
      <c r="R274" s="11">
        <v>269.0</v>
      </c>
      <c r="S274" s="11">
        <v>199.0</v>
      </c>
      <c r="T274" s="11">
        <v>272.0</v>
      </c>
      <c r="U274" s="11" t="s">
        <v>36</v>
      </c>
      <c r="V274" s="11">
        <v>232.0</v>
      </c>
      <c r="W274" s="11">
        <v>20.0</v>
      </c>
      <c r="X274" s="29" t="s">
        <v>1108</v>
      </c>
    </row>
    <row r="275" ht="14.25" customHeight="1">
      <c r="A275" s="11"/>
      <c r="B275" s="11">
        <v>22.0</v>
      </c>
      <c r="C275" s="11" t="s">
        <v>106</v>
      </c>
      <c r="D275" s="11"/>
      <c r="E275" s="11"/>
      <c r="F275" s="11" t="s">
        <v>866</v>
      </c>
      <c r="G275" s="11">
        <v>0.0</v>
      </c>
      <c r="H275" s="11" t="s">
        <v>832</v>
      </c>
      <c r="I275" s="11" t="s">
        <v>45</v>
      </c>
      <c r="J275" s="11" t="s">
        <v>775</v>
      </c>
      <c r="K275" s="11">
        <v>0.0</v>
      </c>
      <c r="L275" s="11">
        <v>0.0</v>
      </c>
      <c r="M275" s="11">
        <v>16.0</v>
      </c>
      <c r="N275" s="11" t="s">
        <v>36</v>
      </c>
      <c r="O275" s="11">
        <v>207.0</v>
      </c>
      <c r="P275" s="11" t="e">
        <v>#VALUE!</v>
      </c>
      <c r="Q275" s="11" t="s">
        <v>36</v>
      </c>
      <c r="R275" s="11" t="s">
        <v>36</v>
      </c>
      <c r="S275" s="11">
        <v>245.0</v>
      </c>
      <c r="T275" s="11">
        <v>262.0</v>
      </c>
      <c r="U275" s="11">
        <v>267.0</v>
      </c>
      <c r="V275" s="11">
        <v>245.0</v>
      </c>
      <c r="W275" s="11">
        <v>21.0</v>
      </c>
      <c r="X275" s="29" t="s">
        <v>866</v>
      </c>
    </row>
    <row r="276" ht="14.25" customHeight="1">
      <c r="A276" s="11"/>
      <c r="B276" s="11">
        <v>15.0</v>
      </c>
      <c r="C276" s="11" t="s">
        <v>106</v>
      </c>
      <c r="D276" s="11"/>
      <c r="E276" s="11">
        <v>0.0</v>
      </c>
      <c r="F276" s="11" t="s">
        <v>866</v>
      </c>
      <c r="G276" s="11">
        <v>0.0</v>
      </c>
      <c r="H276" s="11" t="s">
        <v>521</v>
      </c>
      <c r="I276" s="80" t="s">
        <v>67</v>
      </c>
      <c r="J276" s="11" t="s">
        <v>772</v>
      </c>
      <c r="K276" s="11" t="s">
        <v>903</v>
      </c>
      <c r="L276" s="11">
        <v>57.0</v>
      </c>
      <c r="M276" s="11">
        <v>12.0</v>
      </c>
      <c r="N276" s="11">
        <v>138.0</v>
      </c>
      <c r="O276" s="11">
        <v>142.0</v>
      </c>
      <c r="P276" s="11">
        <v>-4.0</v>
      </c>
      <c r="Q276" s="11">
        <v>164.0</v>
      </c>
      <c r="R276" s="11">
        <v>190.0</v>
      </c>
      <c r="S276" s="11">
        <v>143.0</v>
      </c>
      <c r="T276" s="11">
        <v>149.0</v>
      </c>
      <c r="U276" s="11">
        <v>215.0</v>
      </c>
      <c r="V276" s="11">
        <v>163.0</v>
      </c>
      <c r="W276" s="11">
        <v>14.0</v>
      </c>
      <c r="X276" s="29" t="s">
        <v>1043</v>
      </c>
    </row>
    <row r="277" ht="14.25" customHeight="1">
      <c r="A277" s="11"/>
      <c r="B277" s="11">
        <v>20.0</v>
      </c>
      <c r="C277" s="11" t="s">
        <v>106</v>
      </c>
      <c r="D277" s="11"/>
      <c r="E277" s="11">
        <v>0.0</v>
      </c>
      <c r="F277" s="11" t="s">
        <v>866</v>
      </c>
      <c r="G277" s="11" t="s">
        <v>106</v>
      </c>
      <c r="H277" s="11" t="s">
        <v>378</v>
      </c>
      <c r="I277" s="11" t="s">
        <v>119</v>
      </c>
      <c r="J277" s="11" t="s">
        <v>772</v>
      </c>
      <c r="K277" s="11" t="s">
        <v>1041</v>
      </c>
      <c r="L277" s="11">
        <v>57.0</v>
      </c>
      <c r="M277" s="11">
        <v>16.0</v>
      </c>
      <c r="N277" s="11">
        <v>182.0</v>
      </c>
      <c r="O277" s="11">
        <v>175.0</v>
      </c>
      <c r="P277" s="11">
        <v>7.0</v>
      </c>
      <c r="Q277" s="11" t="s">
        <v>36</v>
      </c>
      <c r="R277" s="11" t="s">
        <v>36</v>
      </c>
      <c r="S277" s="11">
        <v>156.0</v>
      </c>
      <c r="T277" s="11">
        <v>194.0</v>
      </c>
      <c r="U277" s="11">
        <v>336.0</v>
      </c>
      <c r="V277" s="11">
        <v>208.0</v>
      </c>
      <c r="W277" s="11">
        <v>18.0</v>
      </c>
      <c r="X277" s="29" t="s">
        <v>1109</v>
      </c>
    </row>
    <row r="278" ht="14.25" customHeight="1">
      <c r="A278" s="11"/>
      <c r="B278" s="11" t="e">
        <v>#N/A</v>
      </c>
      <c r="C278" s="11" t="s">
        <v>106</v>
      </c>
      <c r="D278" s="11"/>
      <c r="E278" s="11"/>
      <c r="F278" s="11" t="s">
        <v>866</v>
      </c>
      <c r="G278" s="11">
        <v>0.0</v>
      </c>
      <c r="H278" s="11" t="s">
        <v>1110</v>
      </c>
      <c r="I278" s="11" t="e">
        <v>#N/A</v>
      </c>
      <c r="J278" s="11" t="e">
        <v>#N/A</v>
      </c>
      <c r="K278" s="11">
        <v>0.0</v>
      </c>
      <c r="L278" s="11">
        <v>0.0</v>
      </c>
      <c r="M278" s="11">
        <v>16.0</v>
      </c>
      <c r="N278" s="11" t="e">
        <v>#N/A</v>
      </c>
      <c r="O278" s="11" t="e">
        <v>#N/A</v>
      </c>
      <c r="P278" s="11" t="e">
        <v>#N/A</v>
      </c>
      <c r="Q278" s="11" t="e">
        <v>#N/A</v>
      </c>
      <c r="R278" s="11" t="e">
        <v>#N/A</v>
      </c>
      <c r="S278" s="11" t="e">
        <v>#N/A</v>
      </c>
      <c r="T278" s="11" t="e">
        <v>#N/A</v>
      </c>
      <c r="U278" s="11" t="e">
        <v>#N/A</v>
      </c>
      <c r="V278" s="11" t="e">
        <v>#N/A</v>
      </c>
      <c r="W278" s="11">
        <v>16.0</v>
      </c>
      <c r="X278" s="29" t="s">
        <v>1111</v>
      </c>
    </row>
    <row r="279" ht="14.25" customHeight="1">
      <c r="A279" s="11"/>
      <c r="B279" s="11">
        <v>22.0</v>
      </c>
      <c r="C279" s="11" t="s">
        <v>106</v>
      </c>
      <c r="D279" s="11"/>
      <c r="E279" s="11"/>
      <c r="F279" s="11" t="s">
        <v>866</v>
      </c>
      <c r="G279" s="11">
        <v>0.0</v>
      </c>
      <c r="H279" s="11" t="s">
        <v>836</v>
      </c>
      <c r="I279" s="11" t="s">
        <v>195</v>
      </c>
      <c r="J279" s="11" t="s">
        <v>770</v>
      </c>
      <c r="K279" s="11">
        <v>0.0</v>
      </c>
      <c r="L279" s="11">
        <v>0.0</v>
      </c>
      <c r="M279" s="11">
        <v>16.0</v>
      </c>
      <c r="N279" s="11" t="s">
        <v>36</v>
      </c>
      <c r="O279" s="11">
        <v>224.0</v>
      </c>
      <c r="P279" s="11" t="e">
        <v>#VALUE!</v>
      </c>
      <c r="Q279" s="11" t="s">
        <v>36</v>
      </c>
      <c r="R279" s="11">
        <v>249.0</v>
      </c>
      <c r="S279" s="11">
        <v>251.0</v>
      </c>
      <c r="T279" s="11">
        <v>283.0</v>
      </c>
      <c r="U279" s="11">
        <v>261.0</v>
      </c>
      <c r="V279" s="11">
        <v>253.0</v>
      </c>
      <c r="W279" s="11">
        <v>22.0</v>
      </c>
      <c r="X279" s="29" t="s">
        <v>866</v>
      </c>
    </row>
    <row r="280" ht="14.25" customHeight="1">
      <c r="A280" s="11"/>
      <c r="B280" s="11" t="e">
        <v>#N/A</v>
      </c>
      <c r="C280" s="11" t="s">
        <v>106</v>
      </c>
      <c r="D280" s="11"/>
      <c r="E280" s="11"/>
      <c r="F280" s="11" t="s">
        <v>866</v>
      </c>
      <c r="G280" s="11">
        <v>0.0</v>
      </c>
      <c r="H280" s="11" t="s">
        <v>905</v>
      </c>
      <c r="I280" s="11" t="e">
        <v>#N/A</v>
      </c>
      <c r="J280" s="11" t="e">
        <v>#N/A</v>
      </c>
      <c r="K280" s="11">
        <v>0.0</v>
      </c>
      <c r="L280" s="11">
        <v>0.0</v>
      </c>
      <c r="M280" s="11">
        <v>16.0</v>
      </c>
      <c r="N280" s="11" t="e">
        <v>#N/A</v>
      </c>
      <c r="O280" s="11" t="e">
        <v>#N/A</v>
      </c>
      <c r="P280" s="11" t="e">
        <v>#N/A</v>
      </c>
      <c r="Q280" s="11" t="e">
        <v>#N/A</v>
      </c>
      <c r="R280" s="11" t="e">
        <v>#N/A</v>
      </c>
      <c r="S280" s="11" t="e">
        <v>#N/A</v>
      </c>
      <c r="T280" s="11" t="e">
        <v>#N/A</v>
      </c>
      <c r="U280" s="11" t="e">
        <v>#N/A</v>
      </c>
      <c r="V280" s="11" t="e">
        <v>#N/A</v>
      </c>
      <c r="W280" s="11">
        <v>16.0</v>
      </c>
      <c r="X280" s="29" t="s">
        <v>866</v>
      </c>
    </row>
    <row r="281" ht="14.25" customHeight="1">
      <c r="A281" s="11"/>
      <c r="B281" s="11">
        <v>23.0</v>
      </c>
      <c r="C281" s="11" t="s">
        <v>106</v>
      </c>
      <c r="D281" s="11"/>
      <c r="E281" s="11"/>
      <c r="F281" s="11" t="s">
        <v>866</v>
      </c>
      <c r="G281" s="11">
        <v>0.0</v>
      </c>
      <c r="H281" s="11" t="s">
        <v>371</v>
      </c>
      <c r="I281" s="11" t="s">
        <v>165</v>
      </c>
      <c r="J281" s="11" t="s">
        <v>775</v>
      </c>
      <c r="K281" s="11">
        <v>0.0</v>
      </c>
      <c r="L281" s="11">
        <v>0.0</v>
      </c>
      <c r="M281" s="11">
        <v>16.0</v>
      </c>
      <c r="N281" s="11">
        <v>183.0</v>
      </c>
      <c r="O281" s="11">
        <v>168.0</v>
      </c>
      <c r="P281" s="11">
        <v>15.0</v>
      </c>
      <c r="Q281" s="11" t="s">
        <v>36</v>
      </c>
      <c r="R281" s="11" t="s">
        <v>36</v>
      </c>
      <c r="S281" s="11">
        <v>207.0</v>
      </c>
      <c r="T281" s="11">
        <v>264.0</v>
      </c>
      <c r="U281" s="11">
        <v>329.0</v>
      </c>
      <c r="V281" s="11">
        <v>230.0</v>
      </c>
      <c r="W281" s="11">
        <v>20.0</v>
      </c>
      <c r="X281" s="29" t="s">
        <v>866</v>
      </c>
    </row>
    <row r="282" ht="14.25" customHeight="1">
      <c r="A282" s="11"/>
      <c r="B282" s="11">
        <v>21.0</v>
      </c>
      <c r="C282" s="11" t="s">
        <v>106</v>
      </c>
      <c r="D282" s="11"/>
      <c r="E282" s="11"/>
      <c r="F282" s="11" t="s">
        <v>866</v>
      </c>
      <c r="G282" s="11" t="s">
        <v>106</v>
      </c>
      <c r="H282" s="11" t="s">
        <v>411</v>
      </c>
      <c r="I282" s="11" t="s">
        <v>62</v>
      </c>
      <c r="J282" s="11" t="s">
        <v>770</v>
      </c>
      <c r="K282" s="11" t="s">
        <v>914</v>
      </c>
      <c r="L282" s="11">
        <v>25.0</v>
      </c>
      <c r="M282" s="11">
        <v>21.0</v>
      </c>
      <c r="N282" s="11">
        <v>245.0</v>
      </c>
      <c r="O282" s="11">
        <v>201.0</v>
      </c>
      <c r="P282" s="11">
        <v>44.0</v>
      </c>
      <c r="Q282" s="11">
        <v>156.0</v>
      </c>
      <c r="R282" s="11" t="s">
        <v>36</v>
      </c>
      <c r="S282" s="11">
        <v>231.0</v>
      </c>
      <c r="T282" s="11">
        <v>277.0</v>
      </c>
      <c r="U282" s="11">
        <v>310.0</v>
      </c>
      <c r="V282" s="11">
        <v>236.0</v>
      </c>
      <c r="W282" s="11">
        <v>20.0</v>
      </c>
      <c r="X282" s="29" t="s">
        <v>1112</v>
      </c>
    </row>
    <row r="283" ht="14.25" customHeight="1">
      <c r="A283" s="11"/>
      <c r="B283" s="11">
        <v>19.0</v>
      </c>
      <c r="C283" s="11" t="s">
        <v>106</v>
      </c>
      <c r="D283" s="11"/>
      <c r="E283" s="11"/>
      <c r="F283" s="11" t="s">
        <v>866</v>
      </c>
      <c r="G283" s="11">
        <v>0.0</v>
      </c>
      <c r="H283" s="11" t="s">
        <v>796</v>
      </c>
      <c r="I283" s="11" t="s">
        <v>98</v>
      </c>
      <c r="J283" s="11" t="s">
        <v>775</v>
      </c>
      <c r="K283" s="11">
        <v>0.0</v>
      </c>
      <c r="L283" s="11">
        <v>0.0</v>
      </c>
      <c r="M283" s="11">
        <v>21.0</v>
      </c>
      <c r="N283" s="11">
        <v>250.0</v>
      </c>
      <c r="O283" s="11">
        <v>192.0</v>
      </c>
      <c r="P283" s="11">
        <v>58.0</v>
      </c>
      <c r="Q283" s="11">
        <v>143.0</v>
      </c>
      <c r="R283" s="11">
        <v>189.0</v>
      </c>
      <c r="S283" s="11">
        <v>227.0</v>
      </c>
      <c r="T283" s="11">
        <v>250.0</v>
      </c>
      <c r="U283" s="11">
        <v>290.0</v>
      </c>
      <c r="V283" s="11">
        <v>220.0</v>
      </c>
      <c r="W283" s="11">
        <v>19.0</v>
      </c>
      <c r="X283" s="29" t="s">
        <v>866</v>
      </c>
    </row>
    <row r="284" ht="14.25" customHeight="1">
      <c r="A284" s="11"/>
      <c r="B284" s="11">
        <v>23.0</v>
      </c>
      <c r="C284" s="11" t="s">
        <v>106</v>
      </c>
      <c r="D284" s="11"/>
      <c r="E284" s="11">
        <v>0.0</v>
      </c>
      <c r="F284" s="11" t="s">
        <v>866</v>
      </c>
      <c r="G284" s="11" t="s">
        <v>106</v>
      </c>
      <c r="H284" s="11" t="s">
        <v>835</v>
      </c>
      <c r="I284" s="11" t="s">
        <v>131</v>
      </c>
      <c r="J284" s="11" t="s">
        <v>772</v>
      </c>
      <c r="K284" s="11" t="s">
        <v>1041</v>
      </c>
      <c r="L284" s="11">
        <v>58.0</v>
      </c>
      <c r="M284" s="11">
        <v>16.0</v>
      </c>
      <c r="N284" s="11" t="s">
        <v>36</v>
      </c>
      <c r="O284" s="11">
        <v>282.0</v>
      </c>
      <c r="P284" s="11" t="e">
        <v>#VALUE!</v>
      </c>
      <c r="Q284" s="11" t="s">
        <v>36</v>
      </c>
      <c r="R284" s="11" t="s">
        <v>36</v>
      </c>
      <c r="S284" s="11">
        <v>299.0</v>
      </c>
      <c r="T284" s="11">
        <v>249.0</v>
      </c>
      <c r="U284" s="11" t="s">
        <v>36</v>
      </c>
      <c r="V284" s="11">
        <v>276.0</v>
      </c>
      <c r="W284" s="11">
        <v>24.0</v>
      </c>
      <c r="X284" s="29" t="s">
        <v>1113</v>
      </c>
    </row>
    <row r="285" ht="14.25" customHeight="1">
      <c r="A285" s="11"/>
      <c r="B285" s="11">
        <v>23.0</v>
      </c>
      <c r="C285" s="11" t="s">
        <v>106</v>
      </c>
      <c r="D285" s="11"/>
      <c r="E285" s="11"/>
      <c r="F285" s="11" t="s">
        <v>866</v>
      </c>
      <c r="G285" s="11">
        <v>0.0</v>
      </c>
      <c r="H285" s="11" t="s">
        <v>382</v>
      </c>
      <c r="I285" s="11" t="s">
        <v>131</v>
      </c>
      <c r="J285" s="11" t="s">
        <v>770</v>
      </c>
      <c r="K285" s="11">
        <v>0.0</v>
      </c>
      <c r="L285" s="11">
        <v>0.0</v>
      </c>
      <c r="M285" s="11">
        <v>16.0</v>
      </c>
      <c r="N285" s="11" t="s">
        <v>36</v>
      </c>
      <c r="O285" s="11">
        <v>264.0</v>
      </c>
      <c r="P285" s="11" t="e">
        <v>#VALUE!</v>
      </c>
      <c r="Q285" s="11" t="s">
        <v>36</v>
      </c>
      <c r="R285" s="11" t="s">
        <v>36</v>
      </c>
      <c r="S285" s="11">
        <v>274.0</v>
      </c>
      <c r="T285" s="11">
        <v>275.0</v>
      </c>
      <c r="U285" s="11" t="s">
        <v>36</v>
      </c>
      <c r="V285" s="11">
        <v>271.0</v>
      </c>
      <c r="W285" s="11">
        <v>23.0</v>
      </c>
      <c r="X285" s="29" t="s">
        <v>866</v>
      </c>
    </row>
    <row r="286" ht="14.25" customHeight="1">
      <c r="A286" s="11"/>
      <c r="B286" s="11">
        <v>26.0</v>
      </c>
      <c r="C286" s="11" t="s">
        <v>106</v>
      </c>
      <c r="D286" s="11"/>
      <c r="E286" s="11"/>
      <c r="F286" s="11" t="s">
        <v>866</v>
      </c>
      <c r="G286" s="11">
        <v>0.0</v>
      </c>
      <c r="H286" s="11" t="s">
        <v>1114</v>
      </c>
      <c r="I286" s="11" t="s">
        <v>40</v>
      </c>
      <c r="J286" s="11" t="s">
        <v>775</v>
      </c>
      <c r="K286" s="11">
        <v>0.0</v>
      </c>
      <c r="L286" s="11">
        <v>0.0</v>
      </c>
      <c r="M286" s="11">
        <v>16.0</v>
      </c>
      <c r="N286" s="11" t="s">
        <v>36</v>
      </c>
      <c r="O286" s="11">
        <v>229.0</v>
      </c>
      <c r="P286" s="11" t="e">
        <v>#VALUE!</v>
      </c>
      <c r="Q286" s="11" t="s">
        <v>36</v>
      </c>
      <c r="R286" s="11" t="s">
        <v>36</v>
      </c>
      <c r="S286" s="11">
        <v>263.0</v>
      </c>
      <c r="T286" s="11" t="s">
        <v>36</v>
      </c>
      <c r="U286" s="11">
        <v>345.0</v>
      </c>
      <c r="V286" s="11">
        <v>279.0</v>
      </c>
      <c r="W286" s="11">
        <v>24.0</v>
      </c>
      <c r="X286" s="29" t="s">
        <v>866</v>
      </c>
    </row>
    <row r="287" ht="14.25" customHeight="1">
      <c r="A287" s="11"/>
      <c r="B287" s="11">
        <v>25.0</v>
      </c>
      <c r="C287" s="11" t="s">
        <v>106</v>
      </c>
      <c r="D287" s="11"/>
      <c r="E287" s="11"/>
      <c r="F287" s="11" t="s">
        <v>866</v>
      </c>
      <c r="G287" s="11">
        <v>0.0</v>
      </c>
      <c r="H287" s="11" t="s">
        <v>1115</v>
      </c>
      <c r="I287" s="11" t="s">
        <v>52</v>
      </c>
      <c r="J287" s="11" t="s">
        <v>770</v>
      </c>
      <c r="K287" s="11">
        <v>0.0</v>
      </c>
      <c r="L287" s="11">
        <v>0.0</v>
      </c>
      <c r="M287" s="11">
        <v>16.0</v>
      </c>
      <c r="N287" s="11" t="s">
        <v>36</v>
      </c>
      <c r="O287" s="11">
        <v>257.0</v>
      </c>
      <c r="P287" s="11" t="e">
        <v>#VALUE!</v>
      </c>
      <c r="Q287" s="11" t="s">
        <v>36</v>
      </c>
      <c r="R287" s="11">
        <v>279.0</v>
      </c>
      <c r="S287" s="11">
        <v>295.0</v>
      </c>
      <c r="T287" s="11">
        <v>278.0</v>
      </c>
      <c r="U287" s="11">
        <v>305.0</v>
      </c>
      <c r="V287" s="11">
        <v>282.0</v>
      </c>
      <c r="W287" s="11">
        <v>24.0</v>
      </c>
      <c r="X287" s="29" t="s">
        <v>866</v>
      </c>
    </row>
    <row r="288" ht="14.25" customHeight="1">
      <c r="A288" s="11"/>
      <c r="B288" s="11" t="e">
        <v>#N/A</v>
      </c>
      <c r="C288" s="11" t="s">
        <v>106</v>
      </c>
      <c r="D288" s="11"/>
      <c r="E288" s="11"/>
      <c r="F288" s="11" t="s">
        <v>866</v>
      </c>
      <c r="G288" s="11">
        <v>0.0</v>
      </c>
      <c r="H288" s="11" t="s">
        <v>454</v>
      </c>
      <c r="I288" s="11" t="e">
        <v>#N/A</v>
      </c>
      <c r="J288" s="11" t="e">
        <v>#N/A</v>
      </c>
      <c r="K288" s="11">
        <v>0.0</v>
      </c>
      <c r="L288" s="11">
        <v>0.0</v>
      </c>
      <c r="M288" s="11">
        <v>16.0</v>
      </c>
      <c r="N288" s="11" t="e">
        <v>#N/A</v>
      </c>
      <c r="O288" s="11" t="e">
        <v>#N/A</v>
      </c>
      <c r="P288" s="11" t="e">
        <v>#N/A</v>
      </c>
      <c r="Q288" s="11" t="e">
        <v>#N/A</v>
      </c>
      <c r="R288" s="11" t="e">
        <v>#N/A</v>
      </c>
      <c r="S288" s="11" t="e">
        <v>#N/A</v>
      </c>
      <c r="T288" s="11" t="e">
        <v>#N/A</v>
      </c>
      <c r="U288" s="11" t="e">
        <v>#N/A</v>
      </c>
      <c r="V288" s="11" t="e">
        <v>#N/A</v>
      </c>
      <c r="W288" s="11">
        <v>16.0</v>
      </c>
      <c r="X288" s="29" t="s">
        <v>866</v>
      </c>
    </row>
    <row r="289" ht="14.25" customHeight="1">
      <c r="A289" s="11"/>
      <c r="B289" s="11">
        <v>25.0</v>
      </c>
      <c r="C289" s="11" t="s">
        <v>106</v>
      </c>
      <c r="D289" s="11"/>
      <c r="E289" s="11"/>
      <c r="F289" s="11" t="s">
        <v>866</v>
      </c>
      <c r="G289" s="11">
        <v>0.0</v>
      </c>
      <c r="H289" s="11" t="s">
        <v>895</v>
      </c>
      <c r="I289" s="11" t="s">
        <v>105</v>
      </c>
      <c r="J289" s="11" t="s">
        <v>781</v>
      </c>
      <c r="K289" s="11">
        <v>0.0</v>
      </c>
      <c r="L289" s="11">
        <v>0.0</v>
      </c>
      <c r="M289" s="11">
        <v>16.0</v>
      </c>
      <c r="N289" s="11" t="s">
        <v>36</v>
      </c>
      <c r="O289" s="11">
        <v>284.0</v>
      </c>
      <c r="P289" s="11" t="e">
        <v>#VALUE!</v>
      </c>
      <c r="Q289" s="11" t="s">
        <v>36</v>
      </c>
      <c r="R289" s="11">
        <v>326.0</v>
      </c>
      <c r="S289" s="11">
        <v>291.0</v>
      </c>
      <c r="T289" s="11">
        <v>311.0</v>
      </c>
      <c r="U289" s="11">
        <v>262.0</v>
      </c>
      <c r="V289" s="11">
        <v>294.0</v>
      </c>
      <c r="W289" s="11">
        <v>25.0</v>
      </c>
      <c r="X289" s="29" t="s">
        <v>866</v>
      </c>
    </row>
    <row r="290" ht="14.25" customHeight="1">
      <c r="A290" s="11"/>
      <c r="B290" s="11">
        <v>21.0</v>
      </c>
      <c r="C290" s="11" t="s">
        <v>106</v>
      </c>
      <c r="D290" s="11"/>
      <c r="E290" s="11"/>
      <c r="F290" s="11" t="s">
        <v>866</v>
      </c>
      <c r="G290" s="11">
        <v>0.0</v>
      </c>
      <c r="H290" s="11" t="s">
        <v>643</v>
      </c>
      <c r="I290" s="11" t="s">
        <v>176</v>
      </c>
      <c r="J290" s="11" t="s">
        <v>775</v>
      </c>
      <c r="K290" s="11">
        <v>0.0</v>
      </c>
      <c r="L290" s="11">
        <v>0.0</v>
      </c>
      <c r="M290" s="11">
        <v>20.0</v>
      </c>
      <c r="N290" s="11">
        <v>238.0</v>
      </c>
      <c r="O290" s="11">
        <v>185.0</v>
      </c>
      <c r="P290" s="11">
        <v>53.0</v>
      </c>
      <c r="Q290" s="11" t="s">
        <v>36</v>
      </c>
      <c r="R290" s="11" t="s">
        <v>36</v>
      </c>
      <c r="S290" s="11">
        <v>206.0</v>
      </c>
      <c r="T290" s="11">
        <v>259.0</v>
      </c>
      <c r="U290" s="11">
        <v>289.0</v>
      </c>
      <c r="V290" s="11">
        <v>235.0</v>
      </c>
      <c r="W290" s="11">
        <v>20.0</v>
      </c>
      <c r="X290" s="29" t="s">
        <v>866</v>
      </c>
    </row>
    <row r="291" ht="14.25" customHeight="1">
      <c r="A291" s="11"/>
      <c r="B291" s="11">
        <v>26.0</v>
      </c>
      <c r="C291" s="11" t="s">
        <v>106</v>
      </c>
      <c r="D291" s="11"/>
      <c r="E291" s="11"/>
      <c r="F291" s="11" t="s">
        <v>866</v>
      </c>
      <c r="G291" s="11">
        <v>0.0</v>
      </c>
      <c r="H291" s="11" t="s">
        <v>508</v>
      </c>
      <c r="I291" s="11" t="s">
        <v>154</v>
      </c>
      <c r="J291" s="11" t="s">
        <v>775</v>
      </c>
      <c r="K291" s="11">
        <v>0.0</v>
      </c>
      <c r="L291" s="11">
        <v>0.0</v>
      </c>
      <c r="M291" s="11">
        <v>16.0</v>
      </c>
      <c r="N291" s="11" t="s">
        <v>36</v>
      </c>
      <c r="O291" s="11">
        <v>228.0</v>
      </c>
      <c r="P291" s="11" t="e">
        <v>#VALUE!</v>
      </c>
      <c r="Q291" s="11" t="s">
        <v>36</v>
      </c>
      <c r="R291" s="11" t="s">
        <v>36</v>
      </c>
      <c r="S291" s="11">
        <v>322.0</v>
      </c>
      <c r="T291" s="11">
        <v>284.0</v>
      </c>
      <c r="U291" s="11">
        <v>326.0</v>
      </c>
      <c r="V291" s="11">
        <v>290.0</v>
      </c>
      <c r="W291" s="11">
        <v>25.0</v>
      </c>
      <c r="X291" s="29" t="s">
        <v>866</v>
      </c>
    </row>
    <row r="292" ht="14.25" customHeight="1">
      <c r="A292" s="11"/>
      <c r="B292" s="11">
        <v>27.0</v>
      </c>
      <c r="C292" s="11" t="s">
        <v>106</v>
      </c>
      <c r="D292" s="11"/>
      <c r="E292" s="11"/>
      <c r="F292" s="11" t="s">
        <v>866</v>
      </c>
      <c r="G292" s="11">
        <v>0.0</v>
      </c>
      <c r="H292" s="11" t="s">
        <v>1116</v>
      </c>
      <c r="I292" s="11" t="s">
        <v>49</v>
      </c>
      <c r="J292" s="11" t="s">
        <v>775</v>
      </c>
      <c r="K292" s="11">
        <v>0.0</v>
      </c>
      <c r="L292" s="11">
        <v>0.0</v>
      </c>
      <c r="M292" s="11">
        <v>16.0</v>
      </c>
      <c r="N292" s="11" t="s">
        <v>36</v>
      </c>
      <c r="O292" s="11">
        <v>243.0</v>
      </c>
      <c r="P292" s="11" t="e">
        <v>#VALUE!</v>
      </c>
      <c r="Q292" s="11" t="s">
        <v>36</v>
      </c>
      <c r="R292" s="11" t="s">
        <v>36</v>
      </c>
      <c r="S292" s="11">
        <v>288.0</v>
      </c>
      <c r="T292" s="11" t="s">
        <v>36</v>
      </c>
      <c r="U292" s="11">
        <v>337.0</v>
      </c>
      <c r="V292" s="11">
        <v>289.0</v>
      </c>
      <c r="W292" s="11">
        <v>25.0</v>
      </c>
      <c r="X292" s="29" t="s">
        <v>866</v>
      </c>
    </row>
    <row r="293" ht="14.25" customHeight="1">
      <c r="A293" s="11"/>
      <c r="B293" s="11" t="e">
        <v>#N/A</v>
      </c>
      <c r="C293" s="11" t="s">
        <v>106</v>
      </c>
      <c r="D293" s="11"/>
      <c r="E293" s="11"/>
      <c r="F293" s="11" t="s">
        <v>866</v>
      </c>
      <c r="G293" s="11">
        <v>0.0</v>
      </c>
      <c r="H293" s="11" t="s">
        <v>970</v>
      </c>
      <c r="I293" s="11" t="e">
        <v>#N/A</v>
      </c>
      <c r="J293" s="11" t="e">
        <v>#N/A</v>
      </c>
      <c r="K293" s="11">
        <v>0.0</v>
      </c>
      <c r="L293" s="11">
        <v>0.0</v>
      </c>
      <c r="M293" s="11">
        <v>16.0</v>
      </c>
      <c r="N293" s="11" t="e">
        <v>#N/A</v>
      </c>
      <c r="O293" s="11" t="e">
        <v>#N/A</v>
      </c>
      <c r="P293" s="11" t="e">
        <v>#N/A</v>
      </c>
      <c r="Q293" s="11" t="e">
        <v>#N/A</v>
      </c>
      <c r="R293" s="11" t="e">
        <v>#N/A</v>
      </c>
      <c r="S293" s="11" t="e">
        <v>#N/A</v>
      </c>
      <c r="T293" s="11" t="e">
        <v>#N/A</v>
      </c>
      <c r="U293" s="11" t="e">
        <v>#N/A</v>
      </c>
      <c r="V293" s="11" t="e">
        <v>#N/A</v>
      </c>
      <c r="W293" s="11">
        <v>16.0</v>
      </c>
      <c r="X293" s="29" t="s">
        <v>866</v>
      </c>
    </row>
    <row r="294" ht="14.25" customHeight="1">
      <c r="A294" s="11"/>
      <c r="B294" s="11">
        <v>27.0</v>
      </c>
      <c r="C294" s="11" t="s">
        <v>106</v>
      </c>
      <c r="D294" s="11"/>
      <c r="E294" s="11"/>
      <c r="F294" s="11" t="s">
        <v>866</v>
      </c>
      <c r="G294" s="11">
        <v>0.0</v>
      </c>
      <c r="H294" s="11" t="s">
        <v>913</v>
      </c>
      <c r="I294" s="11" t="s">
        <v>71</v>
      </c>
      <c r="J294" s="11" t="s">
        <v>775</v>
      </c>
      <c r="K294" s="11">
        <v>0.0</v>
      </c>
      <c r="L294" s="11">
        <v>0.0</v>
      </c>
      <c r="M294" s="11">
        <v>16.0</v>
      </c>
      <c r="N294" s="11" t="s">
        <v>36</v>
      </c>
      <c r="O294" s="11">
        <v>260.0</v>
      </c>
      <c r="P294" s="11" t="e">
        <v>#VALUE!</v>
      </c>
      <c r="Q294" s="11" t="s">
        <v>36</v>
      </c>
      <c r="R294" s="11" t="s">
        <v>36</v>
      </c>
      <c r="S294" s="11">
        <v>340.0</v>
      </c>
      <c r="T294" s="11">
        <v>319.0</v>
      </c>
      <c r="U294" s="11">
        <v>284.0</v>
      </c>
      <c r="V294" s="11">
        <v>300.0</v>
      </c>
      <c r="W294" s="11">
        <v>26.0</v>
      </c>
      <c r="X294" s="29" t="s">
        <v>866</v>
      </c>
    </row>
    <row r="295" ht="14.25" customHeight="1">
      <c r="A295" s="11"/>
      <c r="B295" s="11" t="e">
        <v>#N/A</v>
      </c>
      <c r="C295" s="11" t="s">
        <v>106</v>
      </c>
      <c r="D295" s="11"/>
      <c r="E295" s="11"/>
      <c r="F295" s="11" t="s">
        <v>866</v>
      </c>
      <c r="G295" s="11" t="e">
        <v>#N/A</v>
      </c>
      <c r="H295" s="11" t="s">
        <v>948</v>
      </c>
      <c r="I295" s="11" t="e">
        <v>#N/A</v>
      </c>
      <c r="J295" s="11" t="e">
        <v>#N/A</v>
      </c>
      <c r="K295" s="11" t="e">
        <v>#N/A</v>
      </c>
      <c r="L295" s="11" t="e">
        <v>#N/A</v>
      </c>
      <c r="M295" s="11">
        <v>16.0</v>
      </c>
      <c r="N295" s="11" t="e">
        <v>#N/A</v>
      </c>
      <c r="O295" s="11" t="e">
        <v>#N/A</v>
      </c>
      <c r="P295" s="11" t="e">
        <v>#N/A</v>
      </c>
      <c r="Q295" s="11" t="e">
        <v>#N/A</v>
      </c>
      <c r="R295" s="11" t="e">
        <v>#N/A</v>
      </c>
      <c r="S295" s="11" t="e">
        <v>#N/A</v>
      </c>
      <c r="T295" s="11" t="e">
        <v>#N/A</v>
      </c>
      <c r="U295" s="11" t="e">
        <v>#N/A</v>
      </c>
      <c r="V295" s="11" t="e">
        <v>#N/A</v>
      </c>
      <c r="W295" s="11">
        <v>16.0</v>
      </c>
      <c r="X295" s="29" t="e">
        <v>#N/A</v>
      </c>
    </row>
    <row r="296" ht="14.25" customHeight="1">
      <c r="A296" s="11"/>
      <c r="B296" s="11">
        <v>17.0</v>
      </c>
      <c r="C296" s="11" t="s">
        <v>106</v>
      </c>
      <c r="D296" s="11"/>
      <c r="E296" s="11"/>
      <c r="F296" s="11" t="s">
        <v>866</v>
      </c>
      <c r="G296" s="11" t="e">
        <v>#N/A</v>
      </c>
      <c r="H296" s="11" t="s">
        <v>984</v>
      </c>
      <c r="I296" s="11" t="s">
        <v>192</v>
      </c>
      <c r="J296" s="11" t="s">
        <v>1085</v>
      </c>
      <c r="K296" s="11" t="e">
        <v>#N/A</v>
      </c>
      <c r="L296" s="11" t="e">
        <v>#N/A</v>
      </c>
      <c r="M296" s="11">
        <v>16.0</v>
      </c>
      <c r="N296" s="11" t="s">
        <v>36</v>
      </c>
      <c r="O296" s="11" t="s">
        <v>36</v>
      </c>
      <c r="P296" s="11" t="e">
        <v>#VALUE!</v>
      </c>
      <c r="Q296" s="11">
        <v>153.0</v>
      </c>
      <c r="R296" s="11">
        <v>183.0</v>
      </c>
      <c r="S296" s="11">
        <v>236.0</v>
      </c>
      <c r="T296" s="11">
        <v>257.0</v>
      </c>
      <c r="U296" s="11">
        <v>181.0</v>
      </c>
      <c r="V296" s="11">
        <v>202.0</v>
      </c>
      <c r="W296" s="11">
        <v>17.0</v>
      </c>
      <c r="X296" s="29" t="e">
        <v>#N/A</v>
      </c>
    </row>
    <row r="297" ht="14.25" customHeight="1">
      <c r="A297" s="11"/>
      <c r="B297" s="11" t="e">
        <v>#N/A</v>
      </c>
      <c r="C297" s="11" t="s">
        <v>106</v>
      </c>
      <c r="D297" s="11"/>
      <c r="E297" s="11"/>
      <c r="F297" s="11" t="s">
        <v>866</v>
      </c>
      <c r="G297" s="11" t="e">
        <v>#N/A</v>
      </c>
      <c r="H297" s="11" t="s">
        <v>859</v>
      </c>
      <c r="I297" s="11" t="e">
        <v>#N/A</v>
      </c>
      <c r="J297" s="11" t="e">
        <v>#N/A</v>
      </c>
      <c r="K297" s="11" t="e">
        <v>#N/A</v>
      </c>
      <c r="L297" s="11" t="e">
        <v>#N/A</v>
      </c>
      <c r="M297" s="11">
        <v>16.0</v>
      </c>
      <c r="N297" s="11" t="e">
        <v>#N/A</v>
      </c>
      <c r="O297" s="11" t="e">
        <v>#N/A</v>
      </c>
      <c r="P297" s="11" t="e">
        <v>#N/A</v>
      </c>
      <c r="Q297" s="11" t="e">
        <v>#N/A</v>
      </c>
      <c r="R297" s="11" t="e">
        <v>#N/A</v>
      </c>
      <c r="S297" s="11" t="e">
        <v>#N/A</v>
      </c>
      <c r="T297" s="11" t="e">
        <v>#N/A</v>
      </c>
      <c r="U297" s="11" t="e">
        <v>#N/A</v>
      </c>
      <c r="V297" s="11" t="e">
        <v>#N/A</v>
      </c>
      <c r="W297" s="11">
        <v>16.0</v>
      </c>
      <c r="X297" s="29" t="e">
        <v>#N/A</v>
      </c>
    </row>
    <row r="298" ht="14.25" customHeight="1">
      <c r="A298" s="11"/>
      <c r="B298" s="11" t="e">
        <v>#N/A</v>
      </c>
      <c r="C298" s="11" t="s">
        <v>106</v>
      </c>
      <c r="D298" s="11"/>
      <c r="E298" s="11"/>
      <c r="F298" s="11" t="s">
        <v>866</v>
      </c>
      <c r="G298" s="11" t="e">
        <v>#N/A</v>
      </c>
      <c r="H298" s="11" t="s">
        <v>1117</v>
      </c>
      <c r="I298" s="11" t="e">
        <v>#N/A</v>
      </c>
      <c r="J298" s="11" t="e">
        <v>#N/A</v>
      </c>
      <c r="K298" s="11" t="e">
        <v>#N/A</v>
      </c>
      <c r="L298" s="11" t="e">
        <v>#N/A</v>
      </c>
      <c r="M298" s="11">
        <v>16.0</v>
      </c>
      <c r="N298" s="11" t="e">
        <v>#N/A</v>
      </c>
      <c r="O298" s="11" t="e">
        <v>#N/A</v>
      </c>
      <c r="P298" s="11" t="e">
        <v>#N/A</v>
      </c>
      <c r="Q298" s="11" t="e">
        <v>#N/A</v>
      </c>
      <c r="R298" s="11" t="e">
        <v>#N/A</v>
      </c>
      <c r="S298" s="11" t="e">
        <v>#N/A</v>
      </c>
      <c r="T298" s="11" t="e">
        <v>#N/A</v>
      </c>
      <c r="U298" s="11" t="e">
        <v>#N/A</v>
      </c>
      <c r="V298" s="11" t="e">
        <v>#N/A</v>
      </c>
      <c r="W298" s="11">
        <v>16.0</v>
      </c>
      <c r="X298" s="29" t="e">
        <v>#N/A</v>
      </c>
    </row>
    <row r="299" ht="14.25" customHeight="1">
      <c r="A299" s="11"/>
      <c r="B299" s="11" t="e">
        <v>#N/A</v>
      </c>
      <c r="C299" s="11" t="s">
        <v>106</v>
      </c>
      <c r="D299" s="11"/>
      <c r="E299" s="11"/>
      <c r="F299" s="11" t="s">
        <v>866</v>
      </c>
      <c r="G299" s="11" t="e">
        <v>#N/A</v>
      </c>
      <c r="H299" s="11" t="s">
        <v>500</v>
      </c>
      <c r="I299" s="11" t="e">
        <v>#N/A</v>
      </c>
      <c r="J299" s="11" t="e">
        <v>#N/A</v>
      </c>
      <c r="K299" s="11" t="e">
        <v>#N/A</v>
      </c>
      <c r="L299" s="11" t="e">
        <v>#N/A</v>
      </c>
      <c r="M299" s="11">
        <v>16.0</v>
      </c>
      <c r="N299" s="11" t="e">
        <v>#N/A</v>
      </c>
      <c r="O299" s="11" t="e">
        <v>#N/A</v>
      </c>
      <c r="P299" s="11" t="e">
        <v>#N/A</v>
      </c>
      <c r="Q299" s="11" t="e">
        <v>#N/A</v>
      </c>
      <c r="R299" s="11" t="e">
        <v>#N/A</v>
      </c>
      <c r="S299" s="11" t="e">
        <v>#N/A</v>
      </c>
      <c r="T299" s="11" t="e">
        <v>#N/A</v>
      </c>
      <c r="U299" s="11" t="e">
        <v>#N/A</v>
      </c>
      <c r="V299" s="11" t="e">
        <v>#N/A</v>
      </c>
      <c r="W299" s="11">
        <v>16.0</v>
      </c>
      <c r="X299" s="29" t="e">
        <v>#N/A</v>
      </c>
    </row>
    <row r="300" ht="14.25" customHeight="1">
      <c r="A300" s="11"/>
      <c r="B300" s="11">
        <v>25.0</v>
      </c>
      <c r="C300" s="11" t="s">
        <v>106</v>
      </c>
      <c r="D300" s="11"/>
      <c r="E300" s="11">
        <v>0.0</v>
      </c>
      <c r="F300" s="11" t="s">
        <v>866</v>
      </c>
      <c r="G300" s="11" t="e">
        <v>#N/A</v>
      </c>
      <c r="H300" s="11" t="s">
        <v>823</v>
      </c>
      <c r="I300" s="11" t="s">
        <v>67</v>
      </c>
      <c r="J300" s="11" t="s">
        <v>772</v>
      </c>
      <c r="K300" s="11" t="e">
        <v>#N/A</v>
      </c>
      <c r="L300" s="11" t="e">
        <v>#N/A</v>
      </c>
      <c r="M300" s="11">
        <v>16.0</v>
      </c>
      <c r="N300" s="11" t="s">
        <v>36</v>
      </c>
      <c r="O300" s="11">
        <v>269.0</v>
      </c>
      <c r="P300" s="11" t="e">
        <v>#VALUE!</v>
      </c>
      <c r="Q300" s="11" t="s">
        <v>36</v>
      </c>
      <c r="R300" s="11" t="s">
        <v>36</v>
      </c>
      <c r="S300" s="11">
        <v>276.0</v>
      </c>
      <c r="T300" s="11" t="s">
        <v>36</v>
      </c>
      <c r="U300" s="11">
        <v>317.0</v>
      </c>
      <c r="V300" s="11">
        <v>287.0</v>
      </c>
      <c r="W300" s="11">
        <v>24.0</v>
      </c>
      <c r="X300" s="29" t="e">
        <v>#N/A</v>
      </c>
    </row>
    <row r="301" ht="14.25" customHeight="1">
      <c r="A301" s="11"/>
      <c r="B301" s="11" t="e">
        <v>#N/A</v>
      </c>
      <c r="C301" s="11" t="s">
        <v>106</v>
      </c>
      <c r="D301" s="11"/>
      <c r="E301" s="11"/>
      <c r="F301" s="11" t="s">
        <v>866</v>
      </c>
      <c r="G301" s="11" t="e">
        <v>#N/A</v>
      </c>
      <c r="H301" s="11" t="s">
        <v>433</v>
      </c>
      <c r="I301" s="11" t="e">
        <v>#N/A</v>
      </c>
      <c r="J301" s="11" t="e">
        <v>#N/A</v>
      </c>
      <c r="K301" s="11" t="e">
        <v>#N/A</v>
      </c>
      <c r="L301" s="11" t="e">
        <v>#N/A</v>
      </c>
      <c r="M301" s="11">
        <v>16.0</v>
      </c>
      <c r="N301" s="11" t="e">
        <v>#N/A</v>
      </c>
      <c r="O301" s="11" t="e">
        <v>#N/A</v>
      </c>
      <c r="P301" s="11" t="e">
        <v>#N/A</v>
      </c>
      <c r="Q301" s="11" t="e">
        <v>#N/A</v>
      </c>
      <c r="R301" s="11" t="e">
        <v>#N/A</v>
      </c>
      <c r="S301" s="11" t="e">
        <v>#N/A</v>
      </c>
      <c r="T301" s="11" t="e">
        <v>#N/A</v>
      </c>
      <c r="U301" s="11" t="e">
        <v>#N/A</v>
      </c>
      <c r="V301" s="11" t="e">
        <v>#N/A</v>
      </c>
      <c r="W301" s="11">
        <v>16.0</v>
      </c>
      <c r="X301" s="29" t="e">
        <v>#N/A</v>
      </c>
    </row>
    <row r="302" ht="14.25" customHeight="1">
      <c r="A302" s="11"/>
      <c r="B302" s="11">
        <v>24.0</v>
      </c>
      <c r="C302" s="11" t="s">
        <v>106</v>
      </c>
      <c r="D302" s="11"/>
      <c r="E302" s="11"/>
      <c r="F302" s="11" t="s">
        <v>866</v>
      </c>
      <c r="G302" s="11" t="e">
        <v>#N/A</v>
      </c>
      <c r="H302" s="11" t="s">
        <v>1118</v>
      </c>
      <c r="I302" s="11" t="s">
        <v>105</v>
      </c>
      <c r="J302" s="11" t="s">
        <v>775</v>
      </c>
      <c r="K302" s="11" t="e">
        <v>#N/A</v>
      </c>
      <c r="L302" s="11" t="e">
        <v>#N/A</v>
      </c>
      <c r="M302" s="11">
        <v>16.0</v>
      </c>
      <c r="N302" s="11" t="s">
        <v>36</v>
      </c>
      <c r="O302" s="11">
        <v>225.0</v>
      </c>
      <c r="P302" s="11" t="e">
        <v>#VALUE!</v>
      </c>
      <c r="Q302" s="11" t="s">
        <v>36</v>
      </c>
      <c r="R302" s="11">
        <v>271.0</v>
      </c>
      <c r="S302" s="11">
        <v>284.0</v>
      </c>
      <c r="T302" s="11" t="s">
        <v>36</v>
      </c>
      <c r="U302" s="11" t="s">
        <v>36</v>
      </c>
      <c r="V302" s="11">
        <v>260.0</v>
      </c>
      <c r="W302" s="11">
        <v>22.0</v>
      </c>
      <c r="X302" s="29" t="e">
        <v>#N/A</v>
      </c>
    </row>
    <row r="303" ht="14.25" customHeight="1">
      <c r="B303" s="11" t="e">
        <v>#N/A</v>
      </c>
      <c r="C303" s="11" t="s">
        <v>106</v>
      </c>
      <c r="D303" s="11"/>
      <c r="E303" s="11"/>
      <c r="F303" s="11" t="s">
        <v>866</v>
      </c>
      <c r="G303" s="11" t="e">
        <v>#N/A</v>
      </c>
      <c r="H303" s="11" t="s">
        <v>1119</v>
      </c>
      <c r="I303" s="11" t="e">
        <v>#N/A</v>
      </c>
      <c r="J303" s="11" t="e">
        <v>#N/A</v>
      </c>
      <c r="K303" s="11" t="e">
        <v>#N/A</v>
      </c>
      <c r="L303" s="11" t="e">
        <v>#N/A</v>
      </c>
      <c r="M303" s="11">
        <v>16.0</v>
      </c>
      <c r="N303" s="11" t="e">
        <v>#N/A</v>
      </c>
      <c r="O303" s="11" t="e">
        <v>#N/A</v>
      </c>
      <c r="P303" s="11" t="e">
        <v>#N/A</v>
      </c>
      <c r="Q303" s="11" t="e">
        <v>#N/A</v>
      </c>
      <c r="R303" s="11" t="e">
        <v>#N/A</v>
      </c>
      <c r="S303" s="11" t="e">
        <v>#N/A</v>
      </c>
      <c r="T303" s="11" t="e">
        <v>#N/A</v>
      </c>
      <c r="U303" s="11" t="e">
        <v>#N/A</v>
      </c>
      <c r="V303" s="11" t="e">
        <v>#N/A</v>
      </c>
      <c r="W303" s="11">
        <v>16.0</v>
      </c>
      <c r="X303" s="29" t="e">
        <v>#N/A</v>
      </c>
    </row>
    <row r="304" ht="14.25" customHeight="1">
      <c r="B304" s="11" t="e">
        <v>#N/A</v>
      </c>
      <c r="C304" s="11" t="s">
        <v>106</v>
      </c>
      <c r="D304" s="11"/>
      <c r="E304" s="11"/>
      <c r="F304" s="11" t="s">
        <v>866</v>
      </c>
      <c r="G304" s="11" t="e">
        <v>#N/A</v>
      </c>
      <c r="H304" s="11" t="s">
        <v>1120</v>
      </c>
      <c r="I304" s="11" t="e">
        <v>#N/A</v>
      </c>
      <c r="J304" s="11" t="e">
        <v>#N/A</v>
      </c>
      <c r="K304" s="11" t="e">
        <v>#N/A</v>
      </c>
      <c r="L304" s="11" t="e">
        <v>#N/A</v>
      </c>
      <c r="M304" s="11">
        <v>16.0</v>
      </c>
      <c r="N304" s="11" t="e">
        <v>#N/A</v>
      </c>
      <c r="O304" s="11" t="e">
        <v>#N/A</v>
      </c>
      <c r="P304" s="11" t="e">
        <v>#N/A</v>
      </c>
      <c r="Q304" s="11" t="e">
        <v>#N/A</v>
      </c>
      <c r="R304" s="11" t="e">
        <v>#N/A</v>
      </c>
      <c r="S304" s="11" t="e">
        <v>#N/A</v>
      </c>
      <c r="T304" s="11" t="e">
        <v>#N/A</v>
      </c>
      <c r="U304" s="11" t="e">
        <v>#N/A</v>
      </c>
      <c r="V304" s="11" t="e">
        <v>#N/A</v>
      </c>
      <c r="W304" s="11">
        <v>16.0</v>
      </c>
      <c r="X304" s="29" t="e">
        <v>#N/A</v>
      </c>
    </row>
    <row r="305" ht="14.25" customHeight="1">
      <c r="B305" s="11">
        <v>22.0</v>
      </c>
      <c r="C305" s="11" t="s">
        <v>106</v>
      </c>
      <c r="D305" s="11"/>
      <c r="E305" s="11"/>
      <c r="F305" s="11" t="s">
        <v>866</v>
      </c>
      <c r="G305" s="11">
        <v>0.0</v>
      </c>
      <c r="H305" s="11" t="s">
        <v>446</v>
      </c>
      <c r="I305" s="11" t="s">
        <v>49</v>
      </c>
      <c r="J305" s="11" t="s">
        <v>781</v>
      </c>
      <c r="K305" s="11">
        <v>0.0</v>
      </c>
      <c r="L305" s="11">
        <v>0.0</v>
      </c>
      <c r="M305" s="11">
        <v>16.0</v>
      </c>
      <c r="N305" s="11" t="s">
        <v>36</v>
      </c>
      <c r="O305" s="11">
        <v>247.0</v>
      </c>
      <c r="P305" s="11" t="e">
        <v>#VALUE!</v>
      </c>
      <c r="Q305" s="11" t="s">
        <v>36</v>
      </c>
      <c r="R305" s="11">
        <v>259.0</v>
      </c>
      <c r="S305" s="11">
        <v>264.0</v>
      </c>
      <c r="T305" s="11">
        <v>256.0</v>
      </c>
      <c r="U305" s="11" t="s">
        <v>36</v>
      </c>
      <c r="V305" s="11">
        <v>256.0</v>
      </c>
      <c r="W305" s="11">
        <v>22.0</v>
      </c>
      <c r="X305" s="29" t="s">
        <v>866</v>
      </c>
    </row>
    <row r="306" ht="14.25" customHeight="1">
      <c r="H306" s="11" t="s">
        <v>651</v>
      </c>
      <c r="J306" s="81"/>
    </row>
    <row r="307" ht="14.25" customHeight="1">
      <c r="J307" s="81"/>
    </row>
    <row r="308" ht="14.25" customHeight="1">
      <c r="J308" s="81"/>
    </row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6:$X$306">
    <sortState ref="A6:X306">
      <sortCondition ref="L6:L306"/>
    </sortState>
  </autoFilter>
  <mergeCells count="4">
    <mergeCell ref="A1:C1"/>
    <mergeCell ref="L1:M1"/>
    <mergeCell ref="M2:M3"/>
    <mergeCell ref="M4:M5"/>
  </mergeCells>
  <conditionalFormatting sqref="B7:G305">
    <cfRule type="expression" dxfId="0" priority="1">
      <formula>$C7="No"</formula>
    </cfRule>
  </conditionalFormatting>
  <conditionalFormatting sqref="H7:H296">
    <cfRule type="expression" dxfId="0" priority="2">
      <formula>$C7="No"</formula>
    </cfRule>
  </conditionalFormatting>
  <conditionalFormatting sqref="K7:K305">
    <cfRule type="expression" dxfId="0" priority="3">
      <formula>$C7="No"</formula>
    </cfRule>
  </conditionalFormatting>
  <conditionalFormatting sqref="M7:M305">
    <cfRule type="cellIs" dxfId="1" priority="4" operator="lessThan">
      <formula>C7</formula>
    </cfRule>
  </conditionalFormatting>
  <conditionalFormatting sqref="M7:M305">
    <cfRule type="cellIs" dxfId="2" priority="5" operator="greaterThan">
      <formula>C7</formula>
    </cfRule>
  </conditionalFormatting>
  <conditionalFormatting sqref="O2:AE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:AE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7:P305">
    <cfRule type="colorScale" priority="8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X7:X305">
    <cfRule type="expression" dxfId="0" priority="9">
      <formula>$C7="No"</formula>
    </cfRule>
  </conditionalFormatting>
  <printOptions/>
  <pageMargins bottom="0.75" footer="0.0" header="0.0" left="0.7" right="0.7" top="0.75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2" width="8.71"/>
    <col customWidth="1" min="3" max="6" width="9.71"/>
    <col customWidth="1" min="7" max="7" width="8.0"/>
    <col customWidth="1" min="8" max="8" width="17.86"/>
    <col customWidth="1" min="9" max="10" width="8.71"/>
    <col customWidth="1" min="11" max="11" width="20.0"/>
    <col customWidth="1" min="12" max="40" width="8.71"/>
  </cols>
  <sheetData>
    <row r="1" ht="14.25" customHeight="1">
      <c r="A1" s="68" t="s">
        <v>1121</v>
      </c>
      <c r="D1" s="68"/>
      <c r="E1" s="3"/>
      <c r="F1" s="3"/>
      <c r="G1" s="3"/>
      <c r="H1" s="3"/>
      <c r="I1" s="4"/>
      <c r="J1" s="4" t="s">
        <v>996</v>
      </c>
      <c r="K1" s="69">
        <v>8.0</v>
      </c>
      <c r="L1" s="70" t="s">
        <v>997</v>
      </c>
      <c r="M1" s="71"/>
      <c r="N1" s="6" t="s">
        <v>998</v>
      </c>
      <c r="O1" s="6" t="s">
        <v>999</v>
      </c>
      <c r="P1" s="6" t="s">
        <v>1000</v>
      </c>
      <c r="Q1" s="6" t="s">
        <v>1001</v>
      </c>
      <c r="R1" s="6" t="s">
        <v>1002</v>
      </c>
      <c r="S1" s="6" t="s">
        <v>1003</v>
      </c>
      <c r="T1" s="6" t="s">
        <v>440</v>
      </c>
      <c r="U1" s="6" t="s">
        <v>607</v>
      </c>
      <c r="V1" s="6" t="s">
        <v>1004</v>
      </c>
      <c r="W1" s="6" t="s">
        <v>1005</v>
      </c>
      <c r="X1" s="6" t="s">
        <v>1006</v>
      </c>
      <c r="Y1" s="6" t="s">
        <v>1007</v>
      </c>
      <c r="Z1" s="72" t="s">
        <v>1008</v>
      </c>
      <c r="AA1" s="72" t="s">
        <v>1009</v>
      </c>
      <c r="AB1" s="6" t="s">
        <v>1010</v>
      </c>
      <c r="AC1" s="6" t="s">
        <v>1011</v>
      </c>
      <c r="AD1" s="72" t="s">
        <v>1012</v>
      </c>
      <c r="AE1" s="6" t="s">
        <v>1013</v>
      </c>
      <c r="AF1" s="73" t="s">
        <v>1014</v>
      </c>
      <c r="AG1" s="73" t="s">
        <v>770</v>
      </c>
      <c r="AH1" s="73">
        <v>25.0</v>
      </c>
      <c r="AI1" s="73" t="s">
        <v>1015</v>
      </c>
      <c r="AJ1" s="73" t="s">
        <v>781</v>
      </c>
      <c r="AK1" s="73">
        <v>14.0</v>
      </c>
      <c r="AL1" s="1" t="s">
        <v>962</v>
      </c>
      <c r="AM1" s="1">
        <f>SUM(AH1:AH6, AK1:AK6, AN3:AN6)</f>
        <v>197</v>
      </c>
    </row>
    <row r="2" ht="14.25" customHeight="1">
      <c r="B2" s="3"/>
      <c r="C2" s="3"/>
      <c r="D2" s="3"/>
      <c r="E2" s="3"/>
      <c r="F2" s="3"/>
      <c r="G2" s="3"/>
      <c r="H2" s="3"/>
      <c r="I2" s="4"/>
      <c r="J2" s="4" t="s">
        <v>1016</v>
      </c>
      <c r="K2" s="69">
        <v>3.0</v>
      </c>
      <c r="M2" s="74" t="s">
        <v>1017</v>
      </c>
      <c r="N2" s="75" t="s">
        <v>1018</v>
      </c>
      <c r="O2" s="45">
        <v>70.0</v>
      </c>
      <c r="P2" s="45">
        <v>64.0</v>
      </c>
      <c r="Q2" s="45">
        <v>71.0</v>
      </c>
      <c r="R2" s="45">
        <v>37.0</v>
      </c>
      <c r="S2" s="45">
        <v>27.0</v>
      </c>
      <c r="T2" s="45">
        <v>15.0</v>
      </c>
      <c r="U2" s="45">
        <v>3.0</v>
      </c>
      <c r="V2" s="45">
        <v>74.0</v>
      </c>
      <c r="W2" s="45">
        <v>28.0</v>
      </c>
      <c r="X2" s="45">
        <v>6.0</v>
      </c>
      <c r="Y2" s="45">
        <v>4.0</v>
      </c>
      <c r="Z2" s="45">
        <v>39.0</v>
      </c>
      <c r="AA2" s="45">
        <v>23.0</v>
      </c>
      <c r="AB2" s="45">
        <v>16.0</v>
      </c>
      <c r="AC2" s="45">
        <v>52.0</v>
      </c>
      <c r="AD2" s="45">
        <v>18.0</v>
      </c>
      <c r="AE2" s="45">
        <v>3.0</v>
      </c>
      <c r="AF2" s="73" t="s">
        <v>1019</v>
      </c>
      <c r="AG2" s="73" t="s">
        <v>772</v>
      </c>
      <c r="AH2" s="73">
        <v>17.0</v>
      </c>
      <c r="AI2" s="73" t="s">
        <v>1020</v>
      </c>
      <c r="AJ2" s="73" t="s">
        <v>1021</v>
      </c>
      <c r="AK2" s="73">
        <v>8.0</v>
      </c>
    </row>
    <row r="3" ht="14.25" customHeight="1">
      <c r="B3" s="3"/>
      <c r="C3" s="3"/>
      <c r="D3" s="3"/>
      <c r="E3" s="3"/>
      <c r="F3" s="3"/>
      <c r="G3" s="3"/>
      <c r="H3" s="3"/>
      <c r="I3" s="4"/>
      <c r="J3" s="4" t="s">
        <v>1022</v>
      </c>
      <c r="K3" s="76">
        <f>((K1)/K2)</f>
        <v>2.666666667</v>
      </c>
      <c r="L3" s="3"/>
      <c r="M3" s="77"/>
      <c r="N3" s="75" t="s">
        <v>1023</v>
      </c>
      <c r="O3" s="45">
        <v>67.0</v>
      </c>
      <c r="P3" s="45">
        <v>45.0</v>
      </c>
      <c r="Q3" s="45">
        <v>13.0</v>
      </c>
      <c r="R3" s="45">
        <v>15.0</v>
      </c>
      <c r="S3" s="45">
        <v>13.0</v>
      </c>
      <c r="T3" s="45">
        <v>1.0</v>
      </c>
      <c r="U3" s="45">
        <v>1.0</v>
      </c>
      <c r="V3" s="45">
        <v>36.0</v>
      </c>
      <c r="W3" s="45">
        <v>10.0</v>
      </c>
      <c r="X3" s="45">
        <v>2.0</v>
      </c>
      <c r="Y3" s="45">
        <v>0.0</v>
      </c>
      <c r="Z3" s="45">
        <v>30.0</v>
      </c>
      <c r="AA3" s="45">
        <v>18.0</v>
      </c>
      <c r="AB3" s="45">
        <v>3.0</v>
      </c>
      <c r="AC3" s="45">
        <v>31.0</v>
      </c>
      <c r="AD3" s="45">
        <v>8.0</v>
      </c>
      <c r="AE3" s="45">
        <v>1.0</v>
      </c>
      <c r="AF3" s="73" t="s">
        <v>1024</v>
      </c>
      <c r="AG3" s="73" t="s">
        <v>772</v>
      </c>
      <c r="AH3" s="73">
        <v>15.0</v>
      </c>
      <c r="AI3" s="73" t="s">
        <v>1025</v>
      </c>
      <c r="AJ3" s="73" t="s">
        <v>1026</v>
      </c>
      <c r="AK3" s="73">
        <v>6.0</v>
      </c>
      <c r="AM3" s="1" t="s">
        <v>784</v>
      </c>
      <c r="AN3" s="1">
        <v>2.0</v>
      </c>
    </row>
    <row r="4" ht="14.25" customHeight="1">
      <c r="C4" s="3"/>
      <c r="D4" s="3"/>
      <c r="E4" s="3"/>
      <c r="F4" s="3"/>
      <c r="G4" s="3"/>
      <c r="H4" s="3"/>
      <c r="I4" s="4"/>
      <c r="J4" s="3"/>
      <c r="K4" s="3"/>
      <c r="L4" s="3"/>
      <c r="M4" s="78" t="s">
        <v>1027</v>
      </c>
      <c r="N4" s="20" t="s">
        <v>1018</v>
      </c>
      <c r="O4" s="45">
        <v>70.0</v>
      </c>
      <c r="P4" s="45">
        <v>68.0</v>
      </c>
      <c r="Q4" s="45">
        <v>56.0</v>
      </c>
      <c r="R4" s="45">
        <v>47.0</v>
      </c>
      <c r="S4" s="45">
        <v>35.0</v>
      </c>
      <c r="T4" s="45">
        <v>24.0</v>
      </c>
      <c r="U4" s="45">
        <v>25.0</v>
      </c>
      <c r="V4" s="45">
        <v>66.0</v>
      </c>
      <c r="W4" s="45">
        <v>32.0</v>
      </c>
      <c r="X4" s="45">
        <v>15.0</v>
      </c>
      <c r="Y4" s="45">
        <v>6.0</v>
      </c>
      <c r="Z4" s="45">
        <v>23.0</v>
      </c>
      <c r="AA4" s="45">
        <v>11.0</v>
      </c>
      <c r="AB4" s="45">
        <v>7.0</v>
      </c>
      <c r="AC4" s="45">
        <v>39.0</v>
      </c>
      <c r="AD4" s="45">
        <v>16.0</v>
      </c>
      <c r="AE4" s="45">
        <v>3.0</v>
      </c>
      <c r="AF4" s="73" t="s">
        <v>1028</v>
      </c>
      <c r="AG4" s="73" t="s">
        <v>775</v>
      </c>
      <c r="AH4" s="73">
        <v>53.0</v>
      </c>
      <c r="AI4" s="73" t="s">
        <v>1029</v>
      </c>
      <c r="AJ4" s="73" t="s">
        <v>1026</v>
      </c>
      <c r="AK4" s="73">
        <v>2.0</v>
      </c>
      <c r="AM4" s="1" t="s">
        <v>785</v>
      </c>
      <c r="AN4" s="1">
        <v>2.0</v>
      </c>
    </row>
    <row r="5" ht="14.25" customHeight="1">
      <c r="C5" s="3"/>
      <c r="D5" s="3"/>
      <c r="E5" s="3"/>
      <c r="F5" s="3"/>
      <c r="G5" s="3"/>
      <c r="H5" s="3"/>
      <c r="I5" s="4"/>
      <c r="J5" s="3"/>
      <c r="K5" s="3"/>
      <c r="L5" s="3"/>
      <c r="M5" s="77"/>
      <c r="N5" s="20" t="s">
        <v>1023</v>
      </c>
      <c r="O5" s="45">
        <v>67.0</v>
      </c>
      <c r="P5" s="45">
        <v>58.0</v>
      </c>
      <c r="Q5" s="45">
        <v>37.0</v>
      </c>
      <c r="R5" s="45">
        <v>29.0</v>
      </c>
      <c r="S5" s="45">
        <v>9.0</v>
      </c>
      <c r="T5" s="45">
        <v>3.0</v>
      </c>
      <c r="U5" s="45">
        <v>1.0</v>
      </c>
      <c r="V5" s="45">
        <v>25.0</v>
      </c>
      <c r="W5" s="45">
        <v>13.0</v>
      </c>
      <c r="X5" s="45">
        <v>5.0</v>
      </c>
      <c r="Y5" s="45">
        <v>1.0</v>
      </c>
      <c r="Z5" s="45">
        <v>13.0</v>
      </c>
      <c r="AA5" s="45">
        <v>9.0</v>
      </c>
      <c r="AB5" s="45">
        <v>2.0</v>
      </c>
      <c r="AC5" s="45">
        <v>23.0</v>
      </c>
      <c r="AD5" s="45">
        <v>3.0</v>
      </c>
      <c r="AE5" s="45">
        <v>2.0</v>
      </c>
      <c r="AF5" s="73" t="s">
        <v>1030</v>
      </c>
      <c r="AG5" s="73" t="s">
        <v>775</v>
      </c>
      <c r="AH5" s="73">
        <v>28.0</v>
      </c>
      <c r="AI5" s="73" t="s">
        <v>1031</v>
      </c>
      <c r="AJ5" s="73" t="s">
        <v>1026</v>
      </c>
      <c r="AK5" s="73">
        <v>1.0</v>
      </c>
      <c r="AL5" s="73" t="s">
        <v>1032</v>
      </c>
      <c r="AM5" s="73" t="s">
        <v>1033</v>
      </c>
      <c r="AN5" s="73">
        <v>1.0</v>
      </c>
    </row>
    <row r="6" ht="14.25" customHeight="1">
      <c r="A6" s="20" t="s">
        <v>72</v>
      </c>
      <c r="B6" s="21" t="s">
        <v>76</v>
      </c>
      <c r="C6" s="22" t="s">
        <v>77</v>
      </c>
      <c r="D6" s="22" t="s">
        <v>1034</v>
      </c>
      <c r="E6" s="22" t="s">
        <v>1035</v>
      </c>
      <c r="F6" s="22" t="s">
        <v>1036</v>
      </c>
      <c r="G6" s="22" t="s">
        <v>10</v>
      </c>
      <c r="H6" s="6" t="s">
        <v>5</v>
      </c>
      <c r="I6" s="6" t="s">
        <v>7</v>
      </c>
      <c r="J6" s="6" t="s">
        <v>8</v>
      </c>
      <c r="K6" s="6" t="s">
        <v>11</v>
      </c>
      <c r="L6" s="6" t="s">
        <v>12</v>
      </c>
      <c r="M6" s="23" t="s">
        <v>81</v>
      </c>
      <c r="N6" s="23" t="s">
        <v>17</v>
      </c>
      <c r="O6" s="20" t="s">
        <v>16</v>
      </c>
      <c r="P6" s="24" t="s">
        <v>86</v>
      </c>
      <c r="Q6" s="20" t="s">
        <v>13</v>
      </c>
      <c r="R6" s="20" t="s">
        <v>15</v>
      </c>
      <c r="S6" s="20" t="s">
        <v>20</v>
      </c>
      <c r="T6" s="20" t="s">
        <v>27</v>
      </c>
      <c r="U6" s="20" t="s">
        <v>23</v>
      </c>
      <c r="V6" s="21" t="s">
        <v>87</v>
      </c>
      <c r="W6" s="21" t="s">
        <v>1037</v>
      </c>
      <c r="X6" s="6" t="s">
        <v>14</v>
      </c>
      <c r="AF6" s="73" t="s">
        <v>1038</v>
      </c>
      <c r="AG6" s="73" t="s">
        <v>950</v>
      </c>
      <c r="AH6" s="73">
        <v>19.0</v>
      </c>
      <c r="AI6" s="73" t="s">
        <v>1039</v>
      </c>
      <c r="AJ6" s="73" t="s">
        <v>1033</v>
      </c>
      <c r="AK6" s="73">
        <v>3.0</v>
      </c>
      <c r="AL6" s="73" t="s">
        <v>1040</v>
      </c>
      <c r="AM6" s="73" t="s">
        <v>1026</v>
      </c>
      <c r="AN6" s="73">
        <v>1.0</v>
      </c>
    </row>
    <row r="7" ht="14.25" customHeight="1">
      <c r="A7" s="11"/>
      <c r="B7" s="11">
        <v>1.0</v>
      </c>
      <c r="C7" s="11" t="s">
        <v>95</v>
      </c>
      <c r="D7" s="11">
        <v>69.0</v>
      </c>
      <c r="E7" s="11">
        <v>60.0</v>
      </c>
      <c r="F7" s="11">
        <v>9.0</v>
      </c>
      <c r="G7" s="11"/>
      <c r="H7" s="11" t="s">
        <v>57</v>
      </c>
      <c r="I7" s="11" t="s">
        <v>58</v>
      </c>
      <c r="J7" s="11" t="s">
        <v>772</v>
      </c>
      <c r="K7" s="11"/>
      <c r="L7" s="11"/>
      <c r="M7" s="11">
        <v>1.0</v>
      </c>
      <c r="N7" s="11">
        <v>10.0</v>
      </c>
      <c r="O7" s="11">
        <v>8.0</v>
      </c>
      <c r="P7" s="11">
        <v>2.0</v>
      </c>
      <c r="Q7" s="11">
        <v>7.0</v>
      </c>
      <c r="R7" s="11">
        <v>7.0</v>
      </c>
      <c r="S7" s="11">
        <v>8.0</v>
      </c>
      <c r="T7" s="11">
        <v>7.0</v>
      </c>
      <c r="U7" s="11">
        <v>11.0</v>
      </c>
      <c r="V7" s="11">
        <v>8.0</v>
      </c>
      <c r="W7" s="11">
        <v>-1.0</v>
      </c>
      <c r="X7" s="11">
        <v>4.0</v>
      </c>
    </row>
    <row r="8" ht="14.25" customHeight="1">
      <c r="A8" s="11"/>
      <c r="B8" s="11">
        <v>1.0</v>
      </c>
      <c r="C8" s="11" t="s">
        <v>95</v>
      </c>
      <c r="D8" s="11">
        <v>66.0</v>
      </c>
      <c r="E8" s="11">
        <v>45.0</v>
      </c>
      <c r="F8" s="11">
        <v>21.0</v>
      </c>
      <c r="G8" s="11" t="s">
        <v>1122</v>
      </c>
      <c r="H8" s="11" t="s">
        <v>70</v>
      </c>
      <c r="I8" s="11" t="s">
        <v>71</v>
      </c>
      <c r="J8" s="11" t="s">
        <v>775</v>
      </c>
      <c r="K8" s="11"/>
      <c r="L8" s="11"/>
      <c r="M8" s="11">
        <v>1.0</v>
      </c>
      <c r="N8" s="11">
        <v>6.0</v>
      </c>
      <c r="O8" s="11">
        <v>5.0</v>
      </c>
      <c r="P8" s="11">
        <v>1.0</v>
      </c>
      <c r="Q8" s="11">
        <v>6.0</v>
      </c>
      <c r="R8" s="11">
        <v>5.0</v>
      </c>
      <c r="S8" s="11">
        <v>4.0</v>
      </c>
      <c r="T8" s="11">
        <v>4.0</v>
      </c>
      <c r="U8" s="11">
        <v>3.0</v>
      </c>
      <c r="V8" s="11">
        <v>4.0</v>
      </c>
      <c r="W8" s="11">
        <v>1.0</v>
      </c>
      <c r="X8" s="11">
        <v>3.0</v>
      </c>
    </row>
    <row r="9" ht="14.25" customHeight="1">
      <c r="A9" s="11"/>
      <c r="B9" s="11">
        <v>3.0</v>
      </c>
      <c r="C9" s="11" t="s">
        <v>95</v>
      </c>
      <c r="D9" s="11">
        <v>65.0</v>
      </c>
      <c r="E9" s="11">
        <v>45.0</v>
      </c>
      <c r="F9" s="11">
        <v>20.0</v>
      </c>
      <c r="G9" s="11" t="s">
        <v>1123</v>
      </c>
      <c r="H9" s="11" t="s">
        <v>132</v>
      </c>
      <c r="I9" s="11" t="s">
        <v>94</v>
      </c>
      <c r="J9" s="11" t="s">
        <v>775</v>
      </c>
      <c r="K9" s="11"/>
      <c r="L9" s="11"/>
      <c r="M9" s="11">
        <v>3.0</v>
      </c>
      <c r="N9" s="11">
        <v>27.0</v>
      </c>
      <c r="O9" s="11">
        <v>39.0</v>
      </c>
      <c r="P9" s="11">
        <v>-12.0</v>
      </c>
      <c r="Q9" s="11">
        <v>31.0</v>
      </c>
      <c r="R9" s="11">
        <v>36.0</v>
      </c>
      <c r="S9" s="11">
        <v>36.0</v>
      </c>
      <c r="T9" s="11">
        <v>33.0</v>
      </c>
      <c r="U9" s="11">
        <v>36.0</v>
      </c>
      <c r="V9" s="11">
        <v>34.0</v>
      </c>
      <c r="W9" s="11">
        <v>2.0</v>
      </c>
      <c r="X9" s="11">
        <v>16.0</v>
      </c>
    </row>
    <row r="10" ht="14.25" customHeight="1">
      <c r="A10" s="11"/>
      <c r="B10" s="11">
        <v>4.0</v>
      </c>
      <c r="C10" s="11" t="s">
        <v>95</v>
      </c>
      <c r="D10" s="11">
        <v>64.0</v>
      </c>
      <c r="E10" s="11">
        <v>55.0</v>
      </c>
      <c r="F10" s="11">
        <v>9.0</v>
      </c>
      <c r="G10" s="11"/>
      <c r="H10" s="11" t="s">
        <v>147</v>
      </c>
      <c r="I10" s="11" t="s">
        <v>148</v>
      </c>
      <c r="J10" s="11" t="s">
        <v>772</v>
      </c>
      <c r="K10" s="11"/>
      <c r="L10" s="11"/>
      <c r="M10" s="11">
        <v>3.0</v>
      </c>
      <c r="N10" s="11">
        <v>32.0</v>
      </c>
      <c r="O10" s="11">
        <v>41.0</v>
      </c>
      <c r="P10" s="11">
        <v>-9.0</v>
      </c>
      <c r="Q10" s="11">
        <v>51.0</v>
      </c>
      <c r="R10" s="11">
        <v>41.0</v>
      </c>
      <c r="S10" s="11">
        <v>42.0</v>
      </c>
      <c r="T10" s="11">
        <v>39.0</v>
      </c>
      <c r="U10" s="11">
        <v>31.0</v>
      </c>
      <c r="V10" s="11">
        <v>39.0</v>
      </c>
      <c r="W10" s="11">
        <v>2.0</v>
      </c>
      <c r="X10" s="11">
        <v>16.0</v>
      </c>
    </row>
    <row r="11" ht="14.25" customHeight="1">
      <c r="A11" s="11"/>
      <c r="B11" s="11">
        <v>1.0</v>
      </c>
      <c r="C11" s="11" t="s">
        <v>95</v>
      </c>
      <c r="D11" s="11">
        <v>64.0</v>
      </c>
      <c r="E11" s="11">
        <v>55.0</v>
      </c>
      <c r="F11" s="11">
        <v>9.0</v>
      </c>
      <c r="G11" s="11"/>
      <c r="H11" s="11" t="s">
        <v>39</v>
      </c>
      <c r="I11" s="11" t="s">
        <v>40</v>
      </c>
      <c r="J11" s="11" t="s">
        <v>772</v>
      </c>
      <c r="K11" s="11"/>
      <c r="L11" s="11"/>
      <c r="M11" s="11">
        <v>1.0</v>
      </c>
      <c r="N11" s="11">
        <v>3.0</v>
      </c>
      <c r="O11" s="11">
        <v>2.0</v>
      </c>
      <c r="P11" s="11">
        <v>1.0</v>
      </c>
      <c r="Q11" s="11">
        <v>2.0</v>
      </c>
      <c r="R11" s="11">
        <v>2.0</v>
      </c>
      <c r="S11" s="11">
        <v>2.0</v>
      </c>
      <c r="T11" s="11">
        <v>2.0</v>
      </c>
      <c r="U11" s="11">
        <v>2.0</v>
      </c>
      <c r="V11" s="11">
        <v>2.0</v>
      </c>
      <c r="W11" s="11">
        <v>0.0</v>
      </c>
      <c r="X11" s="11">
        <v>1.0</v>
      </c>
    </row>
    <row r="12" ht="14.25" customHeight="1">
      <c r="A12" s="11"/>
      <c r="B12" s="11">
        <v>1.0</v>
      </c>
      <c r="C12" s="11" t="s">
        <v>95</v>
      </c>
      <c r="D12" s="11">
        <v>67.0</v>
      </c>
      <c r="E12" s="11">
        <v>45.0</v>
      </c>
      <c r="F12" s="11">
        <v>22.0</v>
      </c>
      <c r="G12" s="11" t="s">
        <v>106</v>
      </c>
      <c r="H12" s="11" t="s">
        <v>64</v>
      </c>
      <c r="I12" s="11" t="s">
        <v>35</v>
      </c>
      <c r="J12" s="11" t="s">
        <v>775</v>
      </c>
      <c r="K12" s="11"/>
      <c r="L12" s="11"/>
      <c r="M12" s="11">
        <v>1.0</v>
      </c>
      <c r="N12" s="11">
        <v>8.0</v>
      </c>
      <c r="O12" s="11">
        <v>12.0</v>
      </c>
      <c r="P12" s="11">
        <v>-4.0</v>
      </c>
      <c r="Q12" s="11">
        <v>8.0</v>
      </c>
      <c r="R12" s="11">
        <v>11.0</v>
      </c>
      <c r="S12" s="11">
        <v>11.0</v>
      </c>
      <c r="T12" s="11">
        <v>9.0</v>
      </c>
      <c r="U12" s="11">
        <v>8.0</v>
      </c>
      <c r="V12" s="11">
        <v>9.0</v>
      </c>
      <c r="W12" s="11">
        <v>2.0</v>
      </c>
      <c r="X12" s="11">
        <v>6.0</v>
      </c>
    </row>
    <row r="13" ht="14.25" customHeight="1">
      <c r="A13" s="11" t="s">
        <v>106</v>
      </c>
      <c r="B13" s="11">
        <v>1.0</v>
      </c>
      <c r="C13" s="11" t="s">
        <v>95</v>
      </c>
      <c r="D13" s="11">
        <v>53.0</v>
      </c>
      <c r="E13" s="11">
        <v>45.0</v>
      </c>
      <c r="F13" s="11">
        <v>8.0</v>
      </c>
      <c r="G13" s="11" t="s">
        <v>106</v>
      </c>
      <c r="H13" s="11" t="s">
        <v>74</v>
      </c>
      <c r="I13" s="11" t="s">
        <v>75</v>
      </c>
      <c r="J13" s="11" t="s">
        <v>775</v>
      </c>
      <c r="K13" s="11"/>
      <c r="L13" s="11"/>
      <c r="M13" s="11">
        <v>1.0</v>
      </c>
      <c r="N13" s="11">
        <v>5.0</v>
      </c>
      <c r="O13" s="11">
        <v>6.0</v>
      </c>
      <c r="P13" s="11">
        <v>-1.0</v>
      </c>
      <c r="Q13" s="11">
        <v>4.0</v>
      </c>
      <c r="R13" s="11">
        <v>3.0</v>
      </c>
      <c r="S13" s="11">
        <v>6.0</v>
      </c>
      <c r="T13" s="11">
        <v>6.0</v>
      </c>
      <c r="U13" s="11">
        <v>5.0</v>
      </c>
      <c r="V13" s="11">
        <v>5.0</v>
      </c>
      <c r="W13" s="11">
        <v>-2.0</v>
      </c>
      <c r="X13" s="11">
        <v>2.0</v>
      </c>
    </row>
    <row r="14" ht="14.25" customHeight="1">
      <c r="A14" s="11"/>
      <c r="B14" s="11">
        <v>2.0</v>
      </c>
      <c r="C14" s="11" t="s">
        <v>95</v>
      </c>
      <c r="D14" s="11">
        <v>58.0</v>
      </c>
      <c r="E14" s="11">
        <v>45.0</v>
      </c>
      <c r="F14" s="11">
        <v>13.0</v>
      </c>
      <c r="G14" s="11" t="s">
        <v>106</v>
      </c>
      <c r="H14" s="11" t="s">
        <v>113</v>
      </c>
      <c r="I14" s="11" t="s">
        <v>85</v>
      </c>
      <c r="J14" s="11" t="s">
        <v>775</v>
      </c>
      <c r="K14" s="11"/>
      <c r="L14" s="11"/>
      <c r="M14" s="11">
        <v>2.0</v>
      </c>
      <c r="N14" s="11">
        <v>18.0</v>
      </c>
      <c r="O14" s="11">
        <v>27.0</v>
      </c>
      <c r="P14" s="11">
        <v>-9.0</v>
      </c>
      <c r="Q14" s="11">
        <v>18.0</v>
      </c>
      <c r="R14" s="11">
        <v>22.0</v>
      </c>
      <c r="S14" s="11">
        <v>23.0</v>
      </c>
      <c r="T14" s="11">
        <v>21.0</v>
      </c>
      <c r="U14" s="11">
        <v>15.0</v>
      </c>
      <c r="V14" s="11">
        <v>20.0</v>
      </c>
      <c r="W14" s="11">
        <v>2.0</v>
      </c>
      <c r="X14" s="11">
        <v>11.0</v>
      </c>
    </row>
    <row r="15" ht="14.25" customHeight="1">
      <c r="A15" s="11"/>
      <c r="B15" s="11">
        <v>1.0</v>
      </c>
      <c r="C15" s="11" t="s">
        <v>95</v>
      </c>
      <c r="D15" s="11">
        <v>59.0</v>
      </c>
      <c r="E15" s="11">
        <v>40.0</v>
      </c>
      <c r="F15" s="11">
        <v>19.0</v>
      </c>
      <c r="G15" s="11"/>
      <c r="H15" s="11" t="s">
        <v>44</v>
      </c>
      <c r="I15" s="11" t="s">
        <v>45</v>
      </c>
      <c r="J15" s="11" t="s">
        <v>775</v>
      </c>
      <c r="K15" s="11"/>
      <c r="L15" s="11"/>
      <c r="M15" s="11">
        <v>1.0</v>
      </c>
      <c r="N15" s="11">
        <v>1.0</v>
      </c>
      <c r="O15" s="11">
        <v>1.0</v>
      </c>
      <c r="P15" s="11">
        <v>0.0</v>
      </c>
      <c r="Q15" s="11">
        <v>1.0</v>
      </c>
      <c r="R15" s="11">
        <v>1.0</v>
      </c>
      <c r="S15" s="11">
        <v>1.0</v>
      </c>
      <c r="T15" s="11">
        <v>1.0</v>
      </c>
      <c r="U15" s="11">
        <v>1.0</v>
      </c>
      <c r="V15" s="11">
        <v>1.0</v>
      </c>
      <c r="W15" s="11">
        <v>0.0</v>
      </c>
      <c r="X15" s="11">
        <v>1.0</v>
      </c>
    </row>
    <row r="16" ht="14.25" customHeight="1">
      <c r="A16" s="11"/>
      <c r="B16" s="11">
        <v>2.0</v>
      </c>
      <c r="C16" s="11" t="s">
        <v>95</v>
      </c>
      <c r="D16" s="11">
        <v>60.0</v>
      </c>
      <c r="E16" s="11">
        <v>50.0</v>
      </c>
      <c r="F16" s="11">
        <v>10.0</v>
      </c>
      <c r="G16" s="11"/>
      <c r="H16" s="11" t="s">
        <v>61</v>
      </c>
      <c r="I16" s="11" t="s">
        <v>62</v>
      </c>
      <c r="J16" s="11" t="s">
        <v>772</v>
      </c>
      <c r="K16" s="11"/>
      <c r="L16" s="11"/>
      <c r="M16" s="11">
        <v>2.0</v>
      </c>
      <c r="N16" s="11">
        <v>20.0</v>
      </c>
      <c r="O16" s="11">
        <v>21.0</v>
      </c>
      <c r="P16" s="11">
        <v>-1.0</v>
      </c>
      <c r="Q16" s="11">
        <v>15.0</v>
      </c>
      <c r="R16" s="11">
        <v>20.0</v>
      </c>
      <c r="S16" s="11">
        <v>21.0</v>
      </c>
      <c r="T16" s="11">
        <v>20.0</v>
      </c>
      <c r="U16" s="11">
        <v>22.0</v>
      </c>
      <c r="V16" s="11">
        <v>19.0</v>
      </c>
      <c r="W16" s="11">
        <v>1.0</v>
      </c>
      <c r="X16" s="11">
        <v>12.0</v>
      </c>
    </row>
    <row r="17" ht="14.25" customHeight="1">
      <c r="A17" s="11"/>
      <c r="B17" s="11">
        <v>4.0</v>
      </c>
      <c r="C17" s="11" t="s">
        <v>95</v>
      </c>
      <c r="D17" s="11">
        <v>48.0</v>
      </c>
      <c r="E17" s="11">
        <v>35.0</v>
      </c>
      <c r="F17" s="11">
        <v>13.0</v>
      </c>
      <c r="G17" s="11"/>
      <c r="H17" s="11" t="s">
        <v>156</v>
      </c>
      <c r="I17" s="11" t="s">
        <v>148</v>
      </c>
      <c r="J17" s="11" t="s">
        <v>775</v>
      </c>
      <c r="K17" s="11"/>
      <c r="L17" s="11"/>
      <c r="M17" s="11">
        <v>3.0</v>
      </c>
      <c r="N17" s="11">
        <v>34.0</v>
      </c>
      <c r="O17" s="11">
        <v>51.0</v>
      </c>
      <c r="P17" s="11">
        <v>-17.0</v>
      </c>
      <c r="Q17" s="11">
        <v>41.0</v>
      </c>
      <c r="R17" s="11">
        <v>37.0</v>
      </c>
      <c r="S17" s="11">
        <v>39.0</v>
      </c>
      <c r="T17" s="11">
        <v>30.0</v>
      </c>
      <c r="U17" s="11">
        <v>37.0</v>
      </c>
      <c r="V17" s="11">
        <v>38.0</v>
      </c>
      <c r="W17" s="11">
        <v>-1.0</v>
      </c>
      <c r="X17" s="11">
        <v>17.0</v>
      </c>
    </row>
    <row r="18" ht="14.25" customHeight="1">
      <c r="A18" s="11"/>
      <c r="B18" s="11">
        <v>1.0</v>
      </c>
      <c r="C18" s="11" t="s">
        <v>95</v>
      </c>
      <c r="D18" s="11">
        <v>44.0</v>
      </c>
      <c r="E18" s="11">
        <v>48.0</v>
      </c>
      <c r="F18" s="11">
        <v>-4.0</v>
      </c>
      <c r="G18" s="11"/>
      <c r="H18" s="11" t="s">
        <v>25</v>
      </c>
      <c r="I18" s="11" t="s">
        <v>35</v>
      </c>
      <c r="J18" s="11" t="s">
        <v>772</v>
      </c>
      <c r="K18" s="11"/>
      <c r="L18" s="11"/>
      <c r="M18" s="11">
        <v>1.0</v>
      </c>
      <c r="N18" s="11">
        <v>4.0</v>
      </c>
      <c r="O18" s="11">
        <v>4.0</v>
      </c>
      <c r="P18" s="11">
        <v>0.0</v>
      </c>
      <c r="Q18" s="11">
        <v>5.0</v>
      </c>
      <c r="R18" s="11">
        <v>4.0</v>
      </c>
      <c r="S18" s="11">
        <v>3.0</v>
      </c>
      <c r="T18" s="11">
        <v>3.0</v>
      </c>
      <c r="U18" s="11">
        <v>6.0</v>
      </c>
      <c r="V18" s="11">
        <v>4.0</v>
      </c>
      <c r="W18" s="11">
        <v>0.0</v>
      </c>
      <c r="X18" s="11">
        <v>3.0</v>
      </c>
    </row>
    <row r="19" ht="14.25" customHeight="1">
      <c r="A19" s="11"/>
      <c r="B19" s="11">
        <v>1.0</v>
      </c>
      <c r="C19" s="11" t="s">
        <v>95</v>
      </c>
      <c r="D19" s="11">
        <v>49.0</v>
      </c>
      <c r="E19" s="11">
        <v>35.0</v>
      </c>
      <c r="F19" s="11">
        <v>14.0</v>
      </c>
      <c r="G19" s="11"/>
      <c r="H19" s="11" t="s">
        <v>48</v>
      </c>
      <c r="I19" s="11" t="s">
        <v>49</v>
      </c>
      <c r="J19" s="11" t="s">
        <v>775</v>
      </c>
      <c r="K19" s="11"/>
      <c r="L19" s="11"/>
      <c r="M19" s="11">
        <v>1.0</v>
      </c>
      <c r="N19" s="11">
        <v>11.0</v>
      </c>
      <c r="O19" s="11">
        <v>14.0</v>
      </c>
      <c r="P19" s="11">
        <v>-3.0</v>
      </c>
      <c r="Q19" s="11">
        <v>9.0</v>
      </c>
      <c r="R19" s="11">
        <v>8.0</v>
      </c>
      <c r="S19" s="11">
        <v>15.0</v>
      </c>
      <c r="T19" s="11">
        <v>14.0</v>
      </c>
      <c r="U19" s="11">
        <v>7.0</v>
      </c>
      <c r="V19" s="11">
        <v>11.0</v>
      </c>
      <c r="W19" s="11">
        <v>-3.0</v>
      </c>
      <c r="X19" s="11">
        <v>9.0</v>
      </c>
    </row>
    <row r="20" ht="14.25" customHeight="1">
      <c r="A20" s="11"/>
      <c r="B20" s="11">
        <v>2.0</v>
      </c>
      <c r="C20" s="11" t="s">
        <v>95</v>
      </c>
      <c r="D20" s="11">
        <v>47.0</v>
      </c>
      <c r="E20" s="11">
        <v>48.0</v>
      </c>
      <c r="F20" s="11">
        <v>-1.0</v>
      </c>
      <c r="G20" s="11"/>
      <c r="H20" s="11" t="s">
        <v>108</v>
      </c>
      <c r="I20" s="11" t="s">
        <v>109</v>
      </c>
      <c r="J20" s="11" t="s">
        <v>772</v>
      </c>
      <c r="K20" s="11"/>
      <c r="L20" s="11"/>
      <c r="M20" s="11">
        <v>1.0</v>
      </c>
      <c r="N20" s="11">
        <v>7.0</v>
      </c>
      <c r="O20" s="11">
        <v>7.0</v>
      </c>
      <c r="P20" s="11">
        <v>0.0</v>
      </c>
      <c r="Q20" s="11">
        <v>12.0</v>
      </c>
      <c r="R20" s="11">
        <v>13.0</v>
      </c>
      <c r="S20" s="11">
        <v>14.0</v>
      </c>
      <c r="T20" s="11">
        <v>13.0</v>
      </c>
      <c r="U20" s="11">
        <v>10.0</v>
      </c>
      <c r="V20" s="11">
        <v>10.0</v>
      </c>
      <c r="W20" s="11">
        <v>3.0</v>
      </c>
      <c r="X20" s="11">
        <v>8.0</v>
      </c>
    </row>
    <row r="21" ht="14.25" customHeight="1">
      <c r="A21" s="11"/>
      <c r="B21" s="11">
        <v>4.0</v>
      </c>
      <c r="C21" s="11" t="s">
        <v>95</v>
      </c>
      <c r="D21" s="11">
        <v>33.0</v>
      </c>
      <c r="E21" s="11">
        <v>30.0</v>
      </c>
      <c r="F21" s="11">
        <v>3.0</v>
      </c>
      <c r="G21" s="11"/>
      <c r="H21" s="11" t="s">
        <v>228</v>
      </c>
      <c r="I21" s="11" t="s">
        <v>125</v>
      </c>
      <c r="J21" s="11" t="s">
        <v>775</v>
      </c>
      <c r="K21" s="11"/>
      <c r="L21" s="11"/>
      <c r="M21" s="11">
        <v>4.0</v>
      </c>
      <c r="N21" s="11">
        <v>36.0</v>
      </c>
      <c r="O21" s="11">
        <v>46.0</v>
      </c>
      <c r="P21" s="11">
        <v>-10.0</v>
      </c>
      <c r="Q21" s="11">
        <v>44.0</v>
      </c>
      <c r="R21" s="11">
        <v>39.0</v>
      </c>
      <c r="S21" s="11">
        <v>41.0</v>
      </c>
      <c r="T21" s="11">
        <v>34.0</v>
      </c>
      <c r="U21" s="11">
        <v>41.0</v>
      </c>
      <c r="V21" s="11">
        <v>40.0</v>
      </c>
      <c r="W21" s="11">
        <v>-1.0</v>
      </c>
      <c r="X21" s="11">
        <v>14.0</v>
      </c>
    </row>
    <row r="22" ht="14.25" customHeight="1">
      <c r="A22" s="11"/>
      <c r="B22" s="11">
        <v>6.0</v>
      </c>
      <c r="C22" s="11" t="s">
        <v>95</v>
      </c>
      <c r="D22" s="11">
        <v>42.0</v>
      </c>
      <c r="E22" s="11">
        <v>48.0</v>
      </c>
      <c r="F22" s="11">
        <v>-6.0</v>
      </c>
      <c r="G22" s="11"/>
      <c r="H22" s="11" t="s">
        <v>418</v>
      </c>
      <c r="I22" s="11" t="s">
        <v>102</v>
      </c>
      <c r="J22" s="11" t="s">
        <v>772</v>
      </c>
      <c r="K22" s="11"/>
      <c r="L22" s="11"/>
      <c r="M22" s="11">
        <v>6.0</v>
      </c>
      <c r="N22" s="11">
        <v>61.0</v>
      </c>
      <c r="O22" s="11">
        <v>66.0</v>
      </c>
      <c r="P22" s="11">
        <v>-5.0</v>
      </c>
      <c r="Q22" s="11">
        <v>63.0</v>
      </c>
      <c r="R22" s="11">
        <v>77.0</v>
      </c>
      <c r="S22" s="11">
        <v>62.0</v>
      </c>
      <c r="T22" s="11">
        <v>67.0</v>
      </c>
      <c r="U22" s="11">
        <v>59.0</v>
      </c>
      <c r="V22" s="11">
        <v>65.0</v>
      </c>
      <c r="W22" s="11">
        <v>12.0</v>
      </c>
      <c r="X22" s="11">
        <v>23.0</v>
      </c>
    </row>
    <row r="23" ht="14.25" customHeight="1">
      <c r="A23" s="11"/>
      <c r="B23" s="11">
        <v>1.0</v>
      </c>
      <c r="C23" s="11" t="s">
        <v>95</v>
      </c>
      <c r="D23" s="11">
        <v>54.0</v>
      </c>
      <c r="E23" s="11">
        <v>47.0</v>
      </c>
      <c r="F23" s="11">
        <v>7.0</v>
      </c>
      <c r="G23" s="11"/>
      <c r="H23" s="11" t="s">
        <v>84</v>
      </c>
      <c r="I23" s="11" t="s">
        <v>85</v>
      </c>
      <c r="J23" s="11" t="s">
        <v>772</v>
      </c>
      <c r="K23" s="11"/>
      <c r="L23" s="11"/>
      <c r="M23" s="11">
        <v>1.0</v>
      </c>
      <c r="N23" s="11">
        <v>2.0</v>
      </c>
      <c r="O23" s="11">
        <v>3.0</v>
      </c>
      <c r="P23" s="11">
        <v>-1.0</v>
      </c>
      <c r="Q23" s="11">
        <v>3.0</v>
      </c>
      <c r="R23" s="11">
        <v>6.0</v>
      </c>
      <c r="S23" s="11">
        <v>5.0</v>
      </c>
      <c r="T23" s="11">
        <v>5.0</v>
      </c>
      <c r="U23" s="11">
        <v>4.0</v>
      </c>
      <c r="V23" s="11">
        <v>4.0</v>
      </c>
      <c r="W23" s="11">
        <v>2.0</v>
      </c>
      <c r="X23" s="11">
        <v>2.0</v>
      </c>
    </row>
    <row r="24" ht="14.25" customHeight="1">
      <c r="A24" s="11"/>
      <c r="B24" s="11">
        <v>4.0</v>
      </c>
      <c r="C24" s="11" t="s">
        <v>95</v>
      </c>
      <c r="D24" s="11">
        <v>30.0</v>
      </c>
      <c r="E24" s="11">
        <v>30.0</v>
      </c>
      <c r="F24" s="11">
        <v>0.0</v>
      </c>
      <c r="G24" s="11"/>
      <c r="H24" s="11" t="s">
        <v>197</v>
      </c>
      <c r="I24" s="11" t="s">
        <v>49</v>
      </c>
      <c r="J24" s="11" t="s">
        <v>775</v>
      </c>
      <c r="K24" s="11"/>
      <c r="L24" s="11"/>
      <c r="M24" s="11">
        <v>4.0</v>
      </c>
      <c r="N24" s="11">
        <v>44.0</v>
      </c>
      <c r="O24" s="11">
        <v>34.0</v>
      </c>
      <c r="P24" s="11">
        <v>10.0</v>
      </c>
      <c r="Q24" s="11">
        <v>34.0</v>
      </c>
      <c r="R24" s="11">
        <v>47.0</v>
      </c>
      <c r="S24" s="11">
        <v>43.0</v>
      </c>
      <c r="T24" s="11">
        <v>37.0</v>
      </c>
      <c r="U24" s="11">
        <v>48.0</v>
      </c>
      <c r="V24" s="11">
        <v>41.0</v>
      </c>
      <c r="W24" s="11">
        <v>6.0</v>
      </c>
      <c r="X24" s="11">
        <v>19.0</v>
      </c>
    </row>
    <row r="25" ht="14.25" customHeight="1">
      <c r="A25" s="11"/>
      <c r="B25" s="11">
        <v>3.0</v>
      </c>
      <c r="C25" s="11" t="s">
        <v>95</v>
      </c>
      <c r="D25" s="11">
        <v>52.0</v>
      </c>
      <c r="E25" s="11">
        <v>45.0</v>
      </c>
      <c r="F25" s="11">
        <v>7.0</v>
      </c>
      <c r="G25" s="11" t="s">
        <v>1123</v>
      </c>
      <c r="H25" s="11" t="s">
        <v>138</v>
      </c>
      <c r="I25" s="11" t="s">
        <v>49</v>
      </c>
      <c r="J25" s="11" t="s">
        <v>772</v>
      </c>
      <c r="K25" s="11"/>
      <c r="L25" s="11"/>
      <c r="M25" s="11">
        <v>3.0</v>
      </c>
      <c r="N25" s="11">
        <v>25.0</v>
      </c>
      <c r="O25" s="11">
        <v>18.0</v>
      </c>
      <c r="P25" s="11">
        <v>7.0</v>
      </c>
      <c r="Q25" s="11">
        <v>29.0</v>
      </c>
      <c r="R25" s="11">
        <v>30.0</v>
      </c>
      <c r="S25" s="11">
        <v>26.0</v>
      </c>
      <c r="T25" s="11">
        <v>27.0</v>
      </c>
      <c r="U25" s="11">
        <v>25.0</v>
      </c>
      <c r="V25" s="11">
        <v>25.0</v>
      </c>
      <c r="W25" s="11">
        <v>5.0</v>
      </c>
      <c r="X25" s="11">
        <v>11.0</v>
      </c>
    </row>
    <row r="26" ht="14.25" customHeight="1">
      <c r="A26" s="11"/>
      <c r="B26" s="11">
        <v>9.0</v>
      </c>
      <c r="C26" s="11" t="s">
        <v>95</v>
      </c>
      <c r="D26" s="11">
        <v>41.0</v>
      </c>
      <c r="E26" s="11">
        <v>35.0</v>
      </c>
      <c r="F26" s="11">
        <v>6.0</v>
      </c>
      <c r="G26" s="11"/>
      <c r="H26" s="11" t="s">
        <v>168</v>
      </c>
      <c r="I26" s="11" t="s">
        <v>206</v>
      </c>
      <c r="J26" s="11" t="s">
        <v>772</v>
      </c>
      <c r="K26" s="11"/>
      <c r="L26" s="11"/>
      <c r="M26" s="11">
        <v>8.0</v>
      </c>
      <c r="N26" s="11">
        <v>85.0</v>
      </c>
      <c r="O26" s="11">
        <v>90.0</v>
      </c>
      <c r="P26" s="11">
        <v>-5.0</v>
      </c>
      <c r="Q26" s="11">
        <v>116.0</v>
      </c>
      <c r="R26" s="11">
        <v>102.0</v>
      </c>
      <c r="S26" s="11">
        <v>94.0</v>
      </c>
      <c r="T26" s="11">
        <v>90.0</v>
      </c>
      <c r="U26" s="11">
        <v>121.0</v>
      </c>
      <c r="V26" s="11">
        <v>99.0</v>
      </c>
      <c r="W26" s="11">
        <v>3.0</v>
      </c>
      <c r="X26" s="11">
        <v>33.0</v>
      </c>
    </row>
    <row r="27" ht="14.25" customHeight="1">
      <c r="A27" s="11"/>
      <c r="B27" s="48">
        <v>2.0</v>
      </c>
      <c r="C27" s="11" t="s">
        <v>95</v>
      </c>
      <c r="D27" s="11">
        <v>32.0</v>
      </c>
      <c r="E27" s="11">
        <v>30.0</v>
      </c>
      <c r="F27" s="11">
        <v>2.0</v>
      </c>
      <c r="G27" s="48" t="s">
        <v>1123</v>
      </c>
      <c r="H27" s="11" t="s">
        <v>114</v>
      </c>
      <c r="I27" s="11" t="s">
        <v>40</v>
      </c>
      <c r="J27" s="11" t="s">
        <v>775</v>
      </c>
      <c r="K27" s="11"/>
      <c r="L27" s="11"/>
      <c r="M27" s="11">
        <v>2.0</v>
      </c>
      <c r="N27" s="11">
        <v>17.0</v>
      </c>
      <c r="O27" s="11">
        <v>23.0</v>
      </c>
      <c r="P27" s="11">
        <v>-6.0</v>
      </c>
      <c r="Q27" s="11">
        <v>21.0</v>
      </c>
      <c r="R27" s="11">
        <v>16.0</v>
      </c>
      <c r="S27" s="11">
        <v>19.0</v>
      </c>
      <c r="T27" s="11">
        <v>15.0</v>
      </c>
      <c r="U27" s="11">
        <v>20.0</v>
      </c>
      <c r="V27" s="11">
        <v>18.0</v>
      </c>
      <c r="W27" s="11">
        <v>-2.0</v>
      </c>
      <c r="X27" s="11">
        <v>7.0</v>
      </c>
    </row>
    <row r="28" ht="14.25" customHeight="1">
      <c r="A28" s="11"/>
      <c r="B28" s="11">
        <v>7.0</v>
      </c>
      <c r="C28" s="11" t="s">
        <v>95</v>
      </c>
      <c r="D28" s="11">
        <v>39.0</v>
      </c>
      <c r="E28" s="11">
        <v>30.0</v>
      </c>
      <c r="F28" s="11">
        <v>9.0</v>
      </c>
      <c r="G28" s="11"/>
      <c r="H28" s="11" t="s">
        <v>130</v>
      </c>
      <c r="I28" s="11" t="s">
        <v>131</v>
      </c>
      <c r="J28" s="11" t="s">
        <v>775</v>
      </c>
      <c r="K28" s="11"/>
      <c r="L28" s="11"/>
      <c r="M28" s="11">
        <v>7.0</v>
      </c>
      <c r="N28" s="11">
        <v>73.0</v>
      </c>
      <c r="O28" s="11">
        <v>101.0</v>
      </c>
      <c r="P28" s="11">
        <v>-28.0</v>
      </c>
      <c r="Q28" s="11">
        <v>84.0</v>
      </c>
      <c r="R28" s="11">
        <v>78.0</v>
      </c>
      <c r="S28" s="11">
        <v>82.0</v>
      </c>
      <c r="T28" s="11">
        <v>72.0</v>
      </c>
      <c r="U28" s="11">
        <v>87.0</v>
      </c>
      <c r="V28" s="11">
        <v>82.0</v>
      </c>
      <c r="W28" s="11">
        <v>-4.0</v>
      </c>
      <c r="X28" s="11">
        <v>32.0</v>
      </c>
    </row>
    <row r="29" ht="14.25" customHeight="1">
      <c r="A29" s="11"/>
      <c r="B29" s="11">
        <v>2.0</v>
      </c>
      <c r="C29" s="11" t="s">
        <v>95</v>
      </c>
      <c r="D29" s="11">
        <v>36.0</v>
      </c>
      <c r="E29" s="11">
        <v>30.0</v>
      </c>
      <c r="F29" s="11">
        <v>6.0</v>
      </c>
      <c r="G29" s="11" t="s">
        <v>106</v>
      </c>
      <c r="H29" s="11" t="s">
        <v>92</v>
      </c>
      <c r="I29" s="11" t="s">
        <v>94</v>
      </c>
      <c r="J29" s="11" t="s">
        <v>772</v>
      </c>
      <c r="K29" s="11"/>
      <c r="L29" s="11"/>
      <c r="M29" s="11">
        <v>2.0</v>
      </c>
      <c r="N29" s="11">
        <v>14.0</v>
      </c>
      <c r="O29" s="11">
        <v>16.0</v>
      </c>
      <c r="P29" s="11">
        <v>-2.0</v>
      </c>
      <c r="Q29" s="11">
        <v>14.0</v>
      </c>
      <c r="R29" s="11">
        <v>15.0</v>
      </c>
      <c r="S29" s="11">
        <v>18.0</v>
      </c>
      <c r="T29" s="11">
        <v>16.0</v>
      </c>
      <c r="U29" s="11">
        <v>14.0</v>
      </c>
      <c r="V29" s="11">
        <v>15.0</v>
      </c>
      <c r="W29" s="11">
        <v>0.0</v>
      </c>
      <c r="X29" s="11">
        <v>6.0</v>
      </c>
    </row>
    <row r="30" ht="14.25" customHeight="1">
      <c r="A30" s="11"/>
      <c r="B30" s="11">
        <v>8.0</v>
      </c>
      <c r="C30" s="11" t="s">
        <v>95</v>
      </c>
      <c r="D30" s="11">
        <v>39.0</v>
      </c>
      <c r="E30" s="11">
        <v>30.0</v>
      </c>
      <c r="F30" s="11">
        <v>9.0</v>
      </c>
      <c r="G30" s="11"/>
      <c r="H30" s="11" t="s">
        <v>364</v>
      </c>
      <c r="I30" s="11" t="s">
        <v>192</v>
      </c>
      <c r="J30" s="11" t="s">
        <v>775</v>
      </c>
      <c r="K30" s="11"/>
      <c r="L30" s="11"/>
      <c r="M30" s="11">
        <v>8.0</v>
      </c>
      <c r="N30" s="11">
        <v>84.0</v>
      </c>
      <c r="O30" s="11">
        <v>75.0</v>
      </c>
      <c r="P30" s="11">
        <v>9.0</v>
      </c>
      <c r="Q30" s="11">
        <v>95.0</v>
      </c>
      <c r="R30" s="11">
        <v>83.0</v>
      </c>
      <c r="S30" s="11">
        <v>83.0</v>
      </c>
      <c r="T30" s="11">
        <v>75.0</v>
      </c>
      <c r="U30" s="11">
        <v>96.0</v>
      </c>
      <c r="V30" s="11">
        <v>84.0</v>
      </c>
      <c r="W30" s="11">
        <v>-1.0</v>
      </c>
      <c r="X30" s="11">
        <v>41.0</v>
      </c>
    </row>
    <row r="31" ht="14.25" customHeight="1">
      <c r="A31" s="11"/>
      <c r="B31" s="11">
        <v>6.0</v>
      </c>
      <c r="C31" s="11" t="s">
        <v>95</v>
      </c>
      <c r="D31" s="11">
        <v>24.0</v>
      </c>
      <c r="E31" s="11">
        <v>20.0</v>
      </c>
      <c r="F31" s="11">
        <v>4.0</v>
      </c>
      <c r="G31" s="11" t="s">
        <v>1123</v>
      </c>
      <c r="H31" s="11" t="s">
        <v>321</v>
      </c>
      <c r="I31" s="11" t="s">
        <v>102</v>
      </c>
      <c r="J31" s="11" t="s">
        <v>781</v>
      </c>
      <c r="K31" s="11"/>
      <c r="L31" s="11"/>
      <c r="M31" s="11">
        <v>6.0</v>
      </c>
      <c r="N31" s="11">
        <v>67.0</v>
      </c>
      <c r="O31" s="11">
        <v>61.0</v>
      </c>
      <c r="P31" s="11">
        <v>6.0</v>
      </c>
      <c r="Q31" s="11">
        <v>57.0</v>
      </c>
      <c r="R31" s="11">
        <v>88.0</v>
      </c>
      <c r="S31" s="11">
        <v>63.0</v>
      </c>
      <c r="T31" s="11">
        <v>82.0</v>
      </c>
      <c r="U31" s="11">
        <v>58.0</v>
      </c>
      <c r="V31" s="11">
        <v>68.0</v>
      </c>
      <c r="W31" s="11">
        <v>20.0</v>
      </c>
      <c r="X31" s="11">
        <v>9.0</v>
      </c>
    </row>
    <row r="32" ht="14.25" customHeight="1">
      <c r="A32" s="11" t="s">
        <v>106</v>
      </c>
      <c r="B32" s="11">
        <v>9.0</v>
      </c>
      <c r="C32" s="11" t="s">
        <v>95</v>
      </c>
      <c r="D32" s="11">
        <v>28.0</v>
      </c>
      <c r="E32" s="11">
        <v>30.0</v>
      </c>
      <c r="F32" s="11">
        <v>-2.0</v>
      </c>
      <c r="G32" s="11" t="s">
        <v>106</v>
      </c>
      <c r="H32" s="11" t="s">
        <v>458</v>
      </c>
      <c r="I32" s="11" t="s">
        <v>52</v>
      </c>
      <c r="J32" s="11" t="s">
        <v>775</v>
      </c>
      <c r="K32" s="11"/>
      <c r="L32" s="11"/>
      <c r="M32" s="11">
        <v>8.0</v>
      </c>
      <c r="N32" s="11">
        <v>88.0</v>
      </c>
      <c r="O32" s="11">
        <v>95.0</v>
      </c>
      <c r="P32" s="11">
        <v>-7.0</v>
      </c>
      <c r="Q32" s="11">
        <v>86.0</v>
      </c>
      <c r="R32" s="11">
        <v>97.0</v>
      </c>
      <c r="S32" s="11">
        <v>101.0</v>
      </c>
      <c r="T32" s="11">
        <v>91.0</v>
      </c>
      <c r="U32" s="11">
        <v>109.0</v>
      </c>
      <c r="V32" s="11">
        <v>95.0</v>
      </c>
      <c r="W32" s="11">
        <v>2.0</v>
      </c>
      <c r="X32" s="11">
        <v>55.0</v>
      </c>
    </row>
    <row r="33" ht="14.25" customHeight="1">
      <c r="A33" s="11"/>
      <c r="B33" s="11">
        <v>2.0</v>
      </c>
      <c r="C33" s="11" t="s">
        <v>95</v>
      </c>
      <c r="D33" s="11">
        <v>29.0</v>
      </c>
      <c r="E33" s="11">
        <v>25.0</v>
      </c>
      <c r="F33" s="11">
        <v>4.0</v>
      </c>
      <c r="G33" s="11"/>
      <c r="H33" s="11" t="s">
        <v>136</v>
      </c>
      <c r="I33" s="11" t="s">
        <v>67</v>
      </c>
      <c r="J33" s="11" t="s">
        <v>770</v>
      </c>
      <c r="K33" s="11"/>
      <c r="L33" s="11"/>
      <c r="M33" s="11">
        <v>2.0</v>
      </c>
      <c r="N33" s="11">
        <v>21.0</v>
      </c>
      <c r="O33" s="11">
        <v>15.0</v>
      </c>
      <c r="P33" s="11">
        <v>6.0</v>
      </c>
      <c r="Q33" s="11">
        <v>19.0</v>
      </c>
      <c r="R33" s="11">
        <v>27.0</v>
      </c>
      <c r="S33" s="11">
        <v>27.0</v>
      </c>
      <c r="T33" s="11">
        <v>25.0</v>
      </c>
      <c r="U33" s="11">
        <v>21.0</v>
      </c>
      <c r="V33" s="11">
        <v>22.0</v>
      </c>
      <c r="W33" s="11">
        <v>5.0</v>
      </c>
      <c r="X33" s="11">
        <v>2.0</v>
      </c>
    </row>
    <row r="34" ht="14.25" customHeight="1">
      <c r="A34" s="11"/>
      <c r="B34" s="11">
        <v>5.0</v>
      </c>
      <c r="C34" s="11" t="s">
        <v>95</v>
      </c>
      <c r="D34" s="11">
        <v>35.0</v>
      </c>
      <c r="E34" s="11">
        <v>25.0</v>
      </c>
      <c r="F34" s="11">
        <v>10.0</v>
      </c>
      <c r="G34" s="11"/>
      <c r="H34" s="11" t="s">
        <v>250</v>
      </c>
      <c r="I34" s="11" t="s">
        <v>237</v>
      </c>
      <c r="J34" s="11" t="s">
        <v>775</v>
      </c>
      <c r="K34" s="11"/>
      <c r="L34" s="11"/>
      <c r="M34" s="11">
        <v>4.0</v>
      </c>
      <c r="N34" s="11">
        <v>46.0</v>
      </c>
      <c r="O34" s="11">
        <v>48.0</v>
      </c>
      <c r="P34" s="11">
        <v>-2.0</v>
      </c>
      <c r="Q34" s="11">
        <v>45.0</v>
      </c>
      <c r="R34" s="11">
        <v>63.0</v>
      </c>
      <c r="S34" s="11">
        <v>52.0</v>
      </c>
      <c r="T34" s="11">
        <v>50.0</v>
      </c>
      <c r="U34" s="11">
        <v>52.0</v>
      </c>
      <c r="V34" s="11">
        <v>50.0</v>
      </c>
      <c r="W34" s="11">
        <v>13.0</v>
      </c>
      <c r="X34" s="11">
        <v>20.0</v>
      </c>
    </row>
    <row r="35" ht="14.25" customHeight="1">
      <c r="A35" s="11" t="s">
        <v>106</v>
      </c>
      <c r="B35" s="11">
        <v>10.0</v>
      </c>
      <c r="C35" s="11" t="s">
        <v>95</v>
      </c>
      <c r="D35" s="11">
        <v>19.0</v>
      </c>
      <c r="E35" s="11">
        <v>25.0</v>
      </c>
      <c r="F35" s="11">
        <v>-6.0</v>
      </c>
      <c r="G35" s="11"/>
      <c r="H35" s="11" t="s">
        <v>286</v>
      </c>
      <c r="I35" s="11" t="s">
        <v>62</v>
      </c>
      <c r="J35" s="11" t="s">
        <v>775</v>
      </c>
      <c r="K35" s="48"/>
      <c r="L35" s="11"/>
      <c r="M35" s="11">
        <v>10.0</v>
      </c>
      <c r="N35" s="11">
        <v>114.0</v>
      </c>
      <c r="O35" s="11">
        <v>94.0</v>
      </c>
      <c r="P35" s="11">
        <v>20.0</v>
      </c>
      <c r="Q35" s="11">
        <v>92.0</v>
      </c>
      <c r="R35" s="11">
        <v>113.0</v>
      </c>
      <c r="S35" s="11">
        <v>99.0</v>
      </c>
      <c r="T35" s="11">
        <v>97.0</v>
      </c>
      <c r="U35" s="11">
        <v>164.0</v>
      </c>
      <c r="V35" s="11">
        <v>110.0</v>
      </c>
      <c r="W35" s="11">
        <v>3.0</v>
      </c>
      <c r="X35" s="11">
        <v>47.0</v>
      </c>
    </row>
    <row r="36" ht="14.25" customHeight="1">
      <c r="A36" s="11"/>
      <c r="B36" s="11">
        <v>5.0</v>
      </c>
      <c r="C36" s="11" t="s">
        <v>95</v>
      </c>
      <c r="D36" s="11">
        <v>26.0</v>
      </c>
      <c r="E36" s="11">
        <v>20.0</v>
      </c>
      <c r="F36" s="11">
        <v>6.0</v>
      </c>
      <c r="G36" s="11"/>
      <c r="H36" s="11" t="s">
        <v>246</v>
      </c>
      <c r="I36" s="11" t="s">
        <v>35</v>
      </c>
      <c r="J36" s="11" t="s">
        <v>781</v>
      </c>
      <c r="K36" s="11"/>
      <c r="L36" s="11"/>
      <c r="M36" s="11">
        <v>5.0</v>
      </c>
      <c r="N36" s="11">
        <v>51.0</v>
      </c>
      <c r="O36" s="11">
        <v>58.0</v>
      </c>
      <c r="P36" s="11">
        <v>-7.0</v>
      </c>
      <c r="Q36" s="11">
        <v>49.0</v>
      </c>
      <c r="R36" s="11">
        <v>67.0</v>
      </c>
      <c r="S36" s="11">
        <v>53.0</v>
      </c>
      <c r="T36" s="11">
        <v>71.0</v>
      </c>
      <c r="U36" s="11">
        <v>43.0</v>
      </c>
      <c r="V36" s="11">
        <v>56.0</v>
      </c>
      <c r="W36" s="11">
        <v>11.0</v>
      </c>
      <c r="X36" s="11">
        <v>4.0</v>
      </c>
    </row>
    <row r="37" ht="14.25" customHeight="1">
      <c r="A37" s="11"/>
      <c r="B37" s="11">
        <v>4.0</v>
      </c>
      <c r="C37" s="11" t="s">
        <v>95</v>
      </c>
      <c r="D37" s="11">
        <v>22.0</v>
      </c>
      <c r="E37" s="11">
        <v>20.0</v>
      </c>
      <c r="F37" s="11">
        <v>2.0</v>
      </c>
      <c r="G37" s="11" t="s">
        <v>1123</v>
      </c>
      <c r="H37" s="11" t="s">
        <v>234</v>
      </c>
      <c r="I37" s="11" t="s">
        <v>85</v>
      </c>
      <c r="J37" s="11" t="s">
        <v>770</v>
      </c>
      <c r="K37" s="11"/>
      <c r="L37" s="11"/>
      <c r="M37" s="11">
        <v>4.0</v>
      </c>
      <c r="N37" s="11">
        <v>37.0</v>
      </c>
      <c r="O37" s="11">
        <v>31.0</v>
      </c>
      <c r="P37" s="11">
        <v>6.0</v>
      </c>
      <c r="Q37" s="11">
        <v>28.0</v>
      </c>
      <c r="R37" s="11">
        <v>51.0</v>
      </c>
      <c r="S37" s="11">
        <v>40.0</v>
      </c>
      <c r="T37" s="11">
        <v>43.0</v>
      </c>
      <c r="U37" s="11">
        <v>34.0</v>
      </c>
      <c r="V37" s="11">
        <v>37.0</v>
      </c>
      <c r="W37" s="11">
        <v>14.0</v>
      </c>
      <c r="X37" s="11">
        <v>3.0</v>
      </c>
    </row>
    <row r="38" ht="14.25" customHeight="1">
      <c r="A38" s="11"/>
      <c r="B38" s="48">
        <v>5.0</v>
      </c>
      <c r="C38" s="11" t="s">
        <v>95</v>
      </c>
      <c r="D38" s="11">
        <v>23.0</v>
      </c>
      <c r="E38" s="11">
        <v>25.0</v>
      </c>
      <c r="F38" s="11">
        <v>-2.0</v>
      </c>
      <c r="G38" s="11" t="s">
        <v>106</v>
      </c>
      <c r="H38" s="11" t="s">
        <v>319</v>
      </c>
      <c r="I38" s="11" t="s">
        <v>102</v>
      </c>
      <c r="J38" s="11" t="s">
        <v>770</v>
      </c>
      <c r="K38" s="11"/>
      <c r="L38" s="11"/>
      <c r="M38" s="11">
        <v>5.0</v>
      </c>
      <c r="N38" s="11">
        <v>57.0</v>
      </c>
      <c r="O38" s="11">
        <v>47.0</v>
      </c>
      <c r="P38" s="11">
        <v>10.0</v>
      </c>
      <c r="Q38" s="11">
        <v>42.0</v>
      </c>
      <c r="R38" s="11">
        <v>69.0</v>
      </c>
      <c r="S38" s="11">
        <v>73.0</v>
      </c>
      <c r="T38" s="11">
        <v>66.0</v>
      </c>
      <c r="U38" s="11">
        <v>42.0</v>
      </c>
      <c r="V38" s="11">
        <v>56.0</v>
      </c>
      <c r="W38" s="11">
        <v>13.0</v>
      </c>
      <c r="X38" s="11">
        <v>9.0</v>
      </c>
    </row>
    <row r="39" ht="14.25" customHeight="1">
      <c r="A39" s="11"/>
      <c r="B39" s="11">
        <v>13.0</v>
      </c>
      <c r="C39" s="11" t="s">
        <v>95</v>
      </c>
      <c r="D39" s="11">
        <v>33.0</v>
      </c>
      <c r="E39" s="11">
        <v>20.0</v>
      </c>
      <c r="F39" s="11">
        <v>13.0</v>
      </c>
      <c r="G39" s="11"/>
      <c r="H39" s="11" t="s">
        <v>624</v>
      </c>
      <c r="I39" s="11" t="s">
        <v>58</v>
      </c>
      <c r="J39" s="11" t="s">
        <v>775</v>
      </c>
      <c r="K39" s="11"/>
      <c r="L39" s="11"/>
      <c r="M39" s="11">
        <v>10.0</v>
      </c>
      <c r="N39" s="11">
        <v>115.0</v>
      </c>
      <c r="O39" s="11">
        <v>162.0</v>
      </c>
      <c r="P39" s="11">
        <v>-47.0</v>
      </c>
      <c r="Q39" s="11">
        <v>169.0</v>
      </c>
      <c r="R39" s="11">
        <v>165.0</v>
      </c>
      <c r="S39" s="11">
        <v>154.0</v>
      </c>
      <c r="T39" s="11">
        <v>148.0</v>
      </c>
      <c r="U39" s="11">
        <v>127.0</v>
      </c>
      <c r="V39" s="11">
        <v>148.0</v>
      </c>
      <c r="W39" s="11">
        <v>17.0</v>
      </c>
      <c r="X39" s="11">
        <v>48.0</v>
      </c>
    </row>
    <row r="40" ht="14.25" customHeight="1">
      <c r="A40" s="11"/>
      <c r="B40" s="11">
        <v>4.0</v>
      </c>
      <c r="C40" s="11" t="s">
        <v>95</v>
      </c>
      <c r="D40" s="11">
        <v>35.0</v>
      </c>
      <c r="E40" s="11">
        <v>20.0</v>
      </c>
      <c r="F40" s="11">
        <v>15.0</v>
      </c>
      <c r="G40" s="11"/>
      <c r="H40" s="11" t="s">
        <v>220</v>
      </c>
      <c r="I40" s="11" t="s">
        <v>162</v>
      </c>
      <c r="J40" s="11" t="s">
        <v>775</v>
      </c>
      <c r="K40" s="11"/>
      <c r="L40" s="11"/>
      <c r="M40" s="11">
        <v>4.0</v>
      </c>
      <c r="N40" s="11">
        <v>39.0</v>
      </c>
      <c r="O40" s="11">
        <v>36.0</v>
      </c>
      <c r="P40" s="11">
        <v>3.0</v>
      </c>
      <c r="Q40" s="11">
        <v>43.0</v>
      </c>
      <c r="R40" s="11">
        <v>44.0</v>
      </c>
      <c r="S40" s="11">
        <v>38.0</v>
      </c>
      <c r="T40" s="11">
        <v>38.0</v>
      </c>
      <c r="U40" s="11">
        <v>32.0</v>
      </c>
      <c r="V40" s="11">
        <v>38.0</v>
      </c>
      <c r="W40" s="11">
        <v>6.0</v>
      </c>
      <c r="X40" s="11">
        <v>15.0</v>
      </c>
    </row>
    <row r="41" ht="14.25" customHeight="1">
      <c r="A41" s="11"/>
      <c r="B41" s="48">
        <v>2.0</v>
      </c>
      <c r="C41" s="11" t="s">
        <v>95</v>
      </c>
      <c r="D41" s="11">
        <v>34.0</v>
      </c>
      <c r="E41" s="11">
        <v>20.0</v>
      </c>
      <c r="F41" s="11">
        <v>14.0</v>
      </c>
      <c r="G41" s="11" t="s">
        <v>106</v>
      </c>
      <c r="H41" s="11" t="s">
        <v>153</v>
      </c>
      <c r="I41" s="11" t="s">
        <v>154</v>
      </c>
      <c r="J41" s="11" t="s">
        <v>772</v>
      </c>
      <c r="K41" s="11"/>
      <c r="L41" s="11"/>
      <c r="M41" s="11">
        <v>2.0</v>
      </c>
      <c r="N41" s="11">
        <v>15.0</v>
      </c>
      <c r="O41" s="11">
        <v>10.0</v>
      </c>
      <c r="P41" s="11">
        <v>5.0</v>
      </c>
      <c r="Q41" s="11">
        <v>17.0</v>
      </c>
      <c r="R41" s="11">
        <v>23.0</v>
      </c>
      <c r="S41" s="11">
        <v>22.0</v>
      </c>
      <c r="T41" s="11">
        <v>22.0</v>
      </c>
      <c r="U41" s="11">
        <v>19.0</v>
      </c>
      <c r="V41" s="11">
        <v>18.0</v>
      </c>
      <c r="W41" s="11">
        <v>5.0</v>
      </c>
      <c r="X41" s="11">
        <v>7.0</v>
      </c>
    </row>
    <row r="42" ht="14.25" customHeight="1">
      <c r="A42" s="11"/>
      <c r="B42" s="48">
        <v>6.0</v>
      </c>
      <c r="C42" s="11" t="s">
        <v>95</v>
      </c>
      <c r="D42" s="11">
        <v>23.0</v>
      </c>
      <c r="E42" s="11">
        <v>20.0</v>
      </c>
      <c r="F42" s="11">
        <v>3.0</v>
      </c>
      <c r="G42" s="48" t="s">
        <v>1122</v>
      </c>
      <c r="H42" s="48" t="s">
        <v>175</v>
      </c>
      <c r="I42" s="48" t="s">
        <v>94</v>
      </c>
      <c r="J42" s="11" t="s">
        <v>775</v>
      </c>
      <c r="K42" s="48"/>
      <c r="L42" s="11"/>
      <c r="M42" s="11">
        <v>6.0</v>
      </c>
      <c r="N42" s="11">
        <v>70.0</v>
      </c>
      <c r="O42" s="11">
        <v>79.0</v>
      </c>
      <c r="P42" s="11">
        <v>-9.0</v>
      </c>
      <c r="Q42" s="11">
        <v>64.0</v>
      </c>
      <c r="R42" s="11">
        <v>70.0</v>
      </c>
      <c r="S42" s="11">
        <v>66.0</v>
      </c>
      <c r="T42" s="11">
        <v>58.0</v>
      </c>
      <c r="U42" s="11">
        <v>84.0</v>
      </c>
      <c r="V42" s="11">
        <v>70.0</v>
      </c>
      <c r="W42" s="11">
        <v>0.0</v>
      </c>
      <c r="X42" s="11">
        <v>31.0</v>
      </c>
    </row>
    <row r="43" ht="14.25" customHeight="1">
      <c r="A43" s="11"/>
      <c r="B43" s="48">
        <v>3.0</v>
      </c>
      <c r="C43" s="11" t="s">
        <v>95</v>
      </c>
      <c r="D43" s="11">
        <v>28.0</v>
      </c>
      <c r="E43" s="11">
        <v>20.0</v>
      </c>
      <c r="F43" s="11">
        <v>8.0</v>
      </c>
      <c r="G43" s="11" t="s">
        <v>106</v>
      </c>
      <c r="H43" s="11" t="s">
        <v>66</v>
      </c>
      <c r="I43" s="11" t="s">
        <v>67</v>
      </c>
      <c r="J43" s="11" t="s">
        <v>772</v>
      </c>
      <c r="K43" s="11"/>
      <c r="L43" s="11"/>
      <c r="M43" s="11">
        <v>3.0</v>
      </c>
      <c r="N43" s="11">
        <v>30.0</v>
      </c>
      <c r="O43" s="11">
        <v>26.0</v>
      </c>
      <c r="P43" s="11">
        <v>4.0</v>
      </c>
      <c r="Q43" s="11">
        <v>32.0</v>
      </c>
      <c r="R43" s="11">
        <v>40.0</v>
      </c>
      <c r="S43" s="11">
        <v>33.0</v>
      </c>
      <c r="T43" s="11">
        <v>36.0</v>
      </c>
      <c r="U43" s="11">
        <v>30.0</v>
      </c>
      <c r="V43" s="11">
        <v>32.0</v>
      </c>
      <c r="W43" s="11">
        <v>8.0</v>
      </c>
      <c r="X43" s="11">
        <v>15.0</v>
      </c>
    </row>
    <row r="44" ht="14.25" customHeight="1">
      <c r="A44" s="11"/>
      <c r="B44" s="48">
        <v>2.0</v>
      </c>
      <c r="C44" s="11" t="s">
        <v>95</v>
      </c>
      <c r="D44" s="11">
        <v>38.0</v>
      </c>
      <c r="E44" s="11">
        <v>20.0</v>
      </c>
      <c r="F44" s="11">
        <v>18.0</v>
      </c>
      <c r="G44" s="11"/>
      <c r="H44" s="11" t="s">
        <v>118</v>
      </c>
      <c r="I44" s="11" t="s">
        <v>119</v>
      </c>
      <c r="J44" s="11" t="s">
        <v>775</v>
      </c>
      <c r="K44" s="11"/>
      <c r="L44" s="11"/>
      <c r="M44" s="11">
        <v>2.0</v>
      </c>
      <c r="N44" s="11">
        <v>13.0</v>
      </c>
      <c r="O44" s="11">
        <v>13.0</v>
      </c>
      <c r="P44" s="11">
        <v>0.0</v>
      </c>
      <c r="Q44" s="11">
        <v>13.0</v>
      </c>
      <c r="R44" s="11">
        <v>12.0</v>
      </c>
      <c r="S44" s="11">
        <v>12.0</v>
      </c>
      <c r="T44" s="11">
        <v>12.0</v>
      </c>
      <c r="U44" s="11">
        <v>16.0</v>
      </c>
      <c r="V44" s="11">
        <v>13.0</v>
      </c>
      <c r="W44" s="11">
        <v>-1.0</v>
      </c>
      <c r="X44" s="11">
        <v>4.0</v>
      </c>
    </row>
    <row r="45" ht="14.25" customHeight="1">
      <c r="A45" s="11"/>
      <c r="B45" s="11">
        <v>1.0</v>
      </c>
      <c r="C45" s="11" t="s">
        <v>95</v>
      </c>
      <c r="D45" s="11">
        <v>20.0</v>
      </c>
      <c r="E45" s="11">
        <v>20.0</v>
      </c>
      <c r="F45" s="11">
        <v>0.0</v>
      </c>
      <c r="G45" s="11" t="s">
        <v>106</v>
      </c>
      <c r="H45" s="11" t="s">
        <v>127</v>
      </c>
      <c r="I45" s="11" t="s">
        <v>128</v>
      </c>
      <c r="J45" s="11" t="s">
        <v>775</v>
      </c>
      <c r="K45" s="11"/>
      <c r="L45" s="11"/>
      <c r="M45" s="11">
        <v>2.0</v>
      </c>
      <c r="N45" s="11">
        <v>12.0</v>
      </c>
      <c r="O45" s="11">
        <v>11.0</v>
      </c>
      <c r="P45" s="11">
        <v>1.0</v>
      </c>
      <c r="Q45" s="11">
        <v>10.0</v>
      </c>
      <c r="R45" s="11">
        <v>9.0</v>
      </c>
      <c r="S45" s="11">
        <v>10.0</v>
      </c>
      <c r="T45" s="11">
        <v>8.0</v>
      </c>
      <c r="U45" s="11">
        <v>9.0</v>
      </c>
      <c r="V45" s="11">
        <v>9.0</v>
      </c>
      <c r="W45" s="11">
        <v>0.0</v>
      </c>
      <c r="X45" s="11">
        <v>5.0</v>
      </c>
    </row>
    <row r="46" ht="14.25" customHeight="1">
      <c r="A46" s="11"/>
      <c r="B46" s="11">
        <v>4.0</v>
      </c>
      <c r="C46" s="11" t="s">
        <v>95</v>
      </c>
      <c r="D46" s="11">
        <v>40.0</v>
      </c>
      <c r="E46" s="11">
        <v>20.0</v>
      </c>
      <c r="F46" s="11">
        <v>20.0</v>
      </c>
      <c r="G46" s="11" t="s">
        <v>1122</v>
      </c>
      <c r="H46" s="11" t="s">
        <v>101</v>
      </c>
      <c r="I46" s="11" t="s">
        <v>52</v>
      </c>
      <c r="J46" s="11" t="s">
        <v>772</v>
      </c>
      <c r="K46" s="11"/>
      <c r="L46" s="11"/>
      <c r="M46" s="11">
        <v>4.0</v>
      </c>
      <c r="N46" s="11">
        <v>43.0</v>
      </c>
      <c r="O46" s="11">
        <v>33.0</v>
      </c>
      <c r="P46" s="11">
        <v>10.0</v>
      </c>
      <c r="Q46" s="11">
        <v>47.0</v>
      </c>
      <c r="R46" s="11">
        <v>55.0</v>
      </c>
      <c r="S46" s="11">
        <v>34.0</v>
      </c>
      <c r="T46" s="11">
        <v>41.0</v>
      </c>
      <c r="U46" s="11">
        <v>40.0</v>
      </c>
      <c r="V46" s="11">
        <v>41.0</v>
      </c>
      <c r="W46" s="11">
        <v>14.0</v>
      </c>
      <c r="X46" s="11">
        <v>13.0</v>
      </c>
    </row>
    <row r="47" ht="14.25" customHeight="1">
      <c r="A47" s="11"/>
      <c r="B47" s="11">
        <v>8.0</v>
      </c>
      <c r="C47" s="11" t="s">
        <v>95</v>
      </c>
      <c r="D47" s="11">
        <v>10.0</v>
      </c>
      <c r="E47" s="11">
        <v>18.0</v>
      </c>
      <c r="F47" s="11">
        <v>-8.0</v>
      </c>
      <c r="G47" s="11" t="s">
        <v>1123</v>
      </c>
      <c r="H47" s="48" t="s">
        <v>299</v>
      </c>
      <c r="I47" s="48" t="s">
        <v>116</v>
      </c>
      <c r="J47" s="11" t="s">
        <v>775</v>
      </c>
      <c r="K47" s="48"/>
      <c r="L47" s="11"/>
      <c r="M47" s="11">
        <v>8.0</v>
      </c>
      <c r="N47" s="11">
        <v>89.0</v>
      </c>
      <c r="O47" s="11">
        <v>91.0</v>
      </c>
      <c r="P47" s="11">
        <v>-2.0</v>
      </c>
      <c r="Q47" s="11">
        <v>88.0</v>
      </c>
      <c r="R47" s="11">
        <v>89.0</v>
      </c>
      <c r="S47" s="11">
        <v>85.0</v>
      </c>
      <c r="T47" s="11">
        <v>77.0</v>
      </c>
      <c r="U47" s="11">
        <v>95.0</v>
      </c>
      <c r="V47" s="11">
        <v>87.0</v>
      </c>
      <c r="W47" s="11">
        <v>2.0</v>
      </c>
      <c r="X47" s="11">
        <v>38.0</v>
      </c>
    </row>
    <row r="48" ht="14.25" customHeight="1">
      <c r="A48" s="11" t="s">
        <v>106</v>
      </c>
      <c r="B48" s="11">
        <v>3.0</v>
      </c>
      <c r="C48" s="11" t="s">
        <v>95</v>
      </c>
      <c r="D48" s="11">
        <v>25.0</v>
      </c>
      <c r="E48" s="11">
        <v>25.0</v>
      </c>
      <c r="F48" s="11">
        <v>0.0</v>
      </c>
      <c r="G48" s="11"/>
      <c r="H48" s="11" t="s">
        <v>183</v>
      </c>
      <c r="I48" s="11" t="s">
        <v>109</v>
      </c>
      <c r="J48" s="11" t="s">
        <v>770</v>
      </c>
      <c r="K48" s="11"/>
      <c r="L48" s="11"/>
      <c r="M48" s="11">
        <v>2.0</v>
      </c>
      <c r="N48" s="11">
        <v>23.0</v>
      </c>
      <c r="O48" s="11">
        <v>17.0</v>
      </c>
      <c r="P48" s="11">
        <v>6.0</v>
      </c>
      <c r="Q48" s="11">
        <v>23.0</v>
      </c>
      <c r="R48" s="11">
        <v>31.0</v>
      </c>
      <c r="S48" s="11">
        <v>29.0</v>
      </c>
      <c r="T48" s="11">
        <v>24.0</v>
      </c>
      <c r="U48" s="11">
        <v>18.0</v>
      </c>
      <c r="V48" s="11">
        <v>23.0</v>
      </c>
      <c r="W48" s="11">
        <v>8.0</v>
      </c>
      <c r="X48" s="11">
        <v>1.0</v>
      </c>
    </row>
    <row r="49" ht="14.25" customHeight="1">
      <c r="A49" s="11"/>
      <c r="B49" s="11">
        <v>2.0</v>
      </c>
      <c r="C49" s="11" t="s">
        <v>95</v>
      </c>
      <c r="D49" s="11">
        <v>11.0</v>
      </c>
      <c r="E49" s="11">
        <v>20.0</v>
      </c>
      <c r="F49" s="11">
        <v>-9.0</v>
      </c>
      <c r="G49" s="11"/>
      <c r="H49" s="11" t="s">
        <v>124</v>
      </c>
      <c r="I49" s="11" t="s">
        <v>125</v>
      </c>
      <c r="J49" s="11" t="s">
        <v>781</v>
      </c>
      <c r="K49" s="11"/>
      <c r="L49" s="11"/>
      <c r="M49" s="11">
        <v>3.0</v>
      </c>
      <c r="N49" s="11">
        <v>26.0</v>
      </c>
      <c r="O49" s="11">
        <v>35.0</v>
      </c>
      <c r="P49" s="11">
        <v>-9.0</v>
      </c>
      <c r="Q49" s="11">
        <v>25.0</v>
      </c>
      <c r="R49" s="11">
        <v>28.0</v>
      </c>
      <c r="S49" s="11">
        <v>13.0</v>
      </c>
      <c r="T49" s="11">
        <v>26.0</v>
      </c>
      <c r="U49" s="11">
        <v>27.0</v>
      </c>
      <c r="V49" s="11">
        <v>25.0</v>
      </c>
      <c r="W49" s="11">
        <v>3.0</v>
      </c>
      <c r="X49" s="11">
        <v>2.0</v>
      </c>
    </row>
    <row r="50" ht="14.25" customHeight="1">
      <c r="A50" s="11"/>
      <c r="B50" s="11">
        <v>6.0</v>
      </c>
      <c r="C50" s="11" t="s">
        <v>95</v>
      </c>
      <c r="D50" s="11">
        <v>19.0</v>
      </c>
      <c r="E50" s="11">
        <v>18.0</v>
      </c>
      <c r="F50" s="11">
        <v>1.0</v>
      </c>
      <c r="G50" s="11" t="s">
        <v>106</v>
      </c>
      <c r="H50" s="48" t="s">
        <v>134</v>
      </c>
      <c r="I50" s="48" t="s">
        <v>102</v>
      </c>
      <c r="J50" s="11" t="s">
        <v>775</v>
      </c>
      <c r="K50" s="48"/>
      <c r="L50" s="11"/>
      <c r="M50" s="11">
        <v>5.0</v>
      </c>
      <c r="N50" s="11">
        <v>49.0</v>
      </c>
      <c r="O50" s="11">
        <v>84.0</v>
      </c>
      <c r="P50" s="11">
        <v>-35.0</v>
      </c>
      <c r="Q50" s="11">
        <v>71.0</v>
      </c>
      <c r="R50" s="11">
        <v>98.0</v>
      </c>
      <c r="S50" s="11">
        <v>72.0</v>
      </c>
      <c r="T50" s="11">
        <v>60.0</v>
      </c>
      <c r="U50" s="11">
        <v>47.0</v>
      </c>
      <c r="V50" s="11">
        <v>68.0</v>
      </c>
      <c r="W50" s="11">
        <v>30.0</v>
      </c>
      <c r="X50" s="11">
        <v>29.0</v>
      </c>
    </row>
    <row r="51" ht="14.25" customHeight="1">
      <c r="A51" s="11"/>
      <c r="B51" s="11">
        <v>7.0</v>
      </c>
      <c r="C51" s="11" t="s">
        <v>95</v>
      </c>
      <c r="D51" s="11">
        <v>19.0</v>
      </c>
      <c r="E51" s="11">
        <v>20.0</v>
      </c>
      <c r="F51" s="11">
        <v>-1.0</v>
      </c>
      <c r="G51" s="11" t="s">
        <v>1122</v>
      </c>
      <c r="H51" s="11" t="s">
        <v>357</v>
      </c>
      <c r="I51" s="11" t="s">
        <v>109</v>
      </c>
      <c r="J51" s="11" t="s">
        <v>781</v>
      </c>
      <c r="K51" s="11"/>
      <c r="L51" s="11"/>
      <c r="M51" s="11">
        <v>7.0</v>
      </c>
      <c r="N51" s="11">
        <v>77.0</v>
      </c>
      <c r="O51" s="11">
        <v>73.0</v>
      </c>
      <c r="P51" s="11">
        <v>4.0</v>
      </c>
      <c r="Q51" s="11">
        <v>73.0</v>
      </c>
      <c r="R51" s="11">
        <v>95.0</v>
      </c>
      <c r="S51" s="11">
        <v>79.0</v>
      </c>
      <c r="T51" s="11">
        <v>93.0</v>
      </c>
      <c r="U51" s="11">
        <v>53.0</v>
      </c>
      <c r="V51" s="11">
        <v>77.0</v>
      </c>
      <c r="W51" s="11">
        <v>18.0</v>
      </c>
      <c r="X51" s="11">
        <v>7.0</v>
      </c>
    </row>
    <row r="52" ht="14.25" customHeight="1">
      <c r="A52" s="11"/>
      <c r="B52" s="11">
        <v>4.0</v>
      </c>
      <c r="C52" s="11" t="s">
        <v>95</v>
      </c>
      <c r="D52" s="11">
        <v>21.0</v>
      </c>
      <c r="E52" s="11">
        <v>20.0</v>
      </c>
      <c r="F52" s="11">
        <v>1.0</v>
      </c>
      <c r="G52" s="11"/>
      <c r="H52" s="11" t="s">
        <v>416</v>
      </c>
      <c r="I52" s="11" t="s">
        <v>131</v>
      </c>
      <c r="J52" s="11" t="s">
        <v>772</v>
      </c>
      <c r="K52" s="11"/>
      <c r="L52" s="11"/>
      <c r="M52" s="11">
        <v>4.0</v>
      </c>
      <c r="N52" s="11">
        <v>40.0</v>
      </c>
      <c r="O52" s="11">
        <v>28.0</v>
      </c>
      <c r="P52" s="11">
        <v>12.0</v>
      </c>
      <c r="Q52" s="11">
        <v>38.0</v>
      </c>
      <c r="R52" s="11">
        <v>53.0</v>
      </c>
      <c r="S52" s="11">
        <v>37.0</v>
      </c>
      <c r="T52" s="11">
        <v>49.0</v>
      </c>
      <c r="U52" s="11">
        <v>44.0</v>
      </c>
      <c r="V52" s="11">
        <v>41.0</v>
      </c>
      <c r="W52" s="11">
        <v>12.0</v>
      </c>
      <c r="X52" s="11">
        <v>18.0</v>
      </c>
    </row>
    <row r="53" ht="14.25" customHeight="1">
      <c r="A53" s="11" t="s">
        <v>106</v>
      </c>
      <c r="B53" s="11">
        <v>5.0</v>
      </c>
      <c r="C53" s="11" t="s">
        <v>95</v>
      </c>
      <c r="D53" s="11">
        <v>17.0</v>
      </c>
      <c r="E53" s="11">
        <v>20.0</v>
      </c>
      <c r="F53" s="11">
        <v>-3.0</v>
      </c>
      <c r="G53" s="11" t="s">
        <v>106</v>
      </c>
      <c r="H53" s="11" t="s">
        <v>498</v>
      </c>
      <c r="I53" s="11" t="s">
        <v>125</v>
      </c>
      <c r="J53" s="11" t="s">
        <v>772</v>
      </c>
      <c r="K53" s="11"/>
      <c r="L53" s="11"/>
      <c r="M53" s="11">
        <v>4.0</v>
      </c>
      <c r="N53" s="11">
        <v>47.0</v>
      </c>
      <c r="O53" s="11">
        <v>42.0</v>
      </c>
      <c r="P53" s="11">
        <v>5.0</v>
      </c>
      <c r="Q53" s="11">
        <v>46.0</v>
      </c>
      <c r="R53" s="11">
        <v>65.0</v>
      </c>
      <c r="S53" s="11">
        <v>49.0</v>
      </c>
      <c r="T53" s="11">
        <v>55.0</v>
      </c>
      <c r="U53" s="11">
        <v>49.0</v>
      </c>
      <c r="V53" s="11">
        <v>50.0</v>
      </c>
      <c r="W53" s="11">
        <v>15.0</v>
      </c>
      <c r="X53" s="11">
        <v>19.0</v>
      </c>
    </row>
    <row r="54" ht="14.25" customHeight="1">
      <c r="A54" s="11"/>
      <c r="B54" s="11">
        <v>5.0</v>
      </c>
      <c r="C54" s="11" t="s">
        <v>95</v>
      </c>
      <c r="D54" s="11">
        <v>20.0</v>
      </c>
      <c r="E54" s="11">
        <v>15.0</v>
      </c>
      <c r="F54" s="11">
        <v>5.0</v>
      </c>
      <c r="G54" s="11" t="s">
        <v>1123</v>
      </c>
      <c r="H54" s="11" t="s">
        <v>142</v>
      </c>
      <c r="I54" s="11" t="s">
        <v>85</v>
      </c>
      <c r="J54" s="11" t="s">
        <v>775</v>
      </c>
      <c r="K54" s="11"/>
      <c r="L54" s="11"/>
      <c r="M54" s="11">
        <v>5.0</v>
      </c>
      <c r="N54" s="11">
        <v>53.0</v>
      </c>
      <c r="O54" s="11">
        <v>60.0</v>
      </c>
      <c r="P54" s="11">
        <v>-7.0</v>
      </c>
      <c r="Q54" s="11">
        <v>61.0</v>
      </c>
      <c r="R54" s="11">
        <v>62.0</v>
      </c>
      <c r="S54" s="11">
        <v>60.0</v>
      </c>
      <c r="T54" s="11">
        <v>56.0</v>
      </c>
      <c r="U54" s="11">
        <v>60.0</v>
      </c>
      <c r="V54" s="11">
        <v>58.0</v>
      </c>
      <c r="W54" s="11">
        <v>4.0</v>
      </c>
      <c r="X54" s="11">
        <v>18.0</v>
      </c>
    </row>
    <row r="55" ht="14.25" customHeight="1">
      <c r="A55" s="11"/>
      <c r="B55" s="11">
        <v>13.0</v>
      </c>
      <c r="C55" s="11" t="s">
        <v>95</v>
      </c>
      <c r="D55" s="11">
        <v>30.0</v>
      </c>
      <c r="E55" s="11">
        <v>18.0</v>
      </c>
      <c r="F55" s="11">
        <v>12.0</v>
      </c>
      <c r="G55" s="11"/>
      <c r="H55" s="11" t="s">
        <v>332</v>
      </c>
      <c r="I55" s="11" t="s">
        <v>162</v>
      </c>
      <c r="J55" s="11" t="s">
        <v>772</v>
      </c>
      <c r="K55" s="11"/>
      <c r="L55" s="11"/>
      <c r="M55" s="11">
        <v>11.0</v>
      </c>
      <c r="N55" s="11">
        <v>129.0</v>
      </c>
      <c r="O55" s="11">
        <v>133.0</v>
      </c>
      <c r="P55" s="11">
        <v>-4.0</v>
      </c>
      <c r="Q55" s="11">
        <v>150.0</v>
      </c>
      <c r="R55" s="11">
        <v>167.0</v>
      </c>
      <c r="S55" s="11">
        <v>149.0</v>
      </c>
      <c r="T55" s="11">
        <v>153.0</v>
      </c>
      <c r="U55" s="11">
        <v>149.0</v>
      </c>
      <c r="V55" s="11">
        <v>147.0</v>
      </c>
      <c r="W55" s="11">
        <v>20.0</v>
      </c>
      <c r="X55" s="11">
        <v>48.0</v>
      </c>
    </row>
    <row r="56" ht="14.25" customHeight="1">
      <c r="A56" s="11" t="s">
        <v>106</v>
      </c>
      <c r="B56" s="11">
        <v>11.0</v>
      </c>
      <c r="C56" s="11" t="s">
        <v>95</v>
      </c>
      <c r="D56" s="11">
        <v>14.0</v>
      </c>
      <c r="E56" s="11">
        <v>15.0</v>
      </c>
      <c r="F56" s="11">
        <v>-1.0</v>
      </c>
      <c r="G56" s="11" t="s">
        <v>1123</v>
      </c>
      <c r="H56" s="11" t="s">
        <v>334</v>
      </c>
      <c r="I56" s="11" t="s">
        <v>67</v>
      </c>
      <c r="J56" s="11" t="s">
        <v>781</v>
      </c>
      <c r="K56" s="11"/>
      <c r="L56" s="11"/>
      <c r="M56" s="11">
        <v>10.0</v>
      </c>
      <c r="N56" s="11">
        <v>119.0</v>
      </c>
      <c r="O56" s="11">
        <v>142.0</v>
      </c>
      <c r="P56" s="11">
        <v>-23.0</v>
      </c>
      <c r="Q56" s="11">
        <v>126.0</v>
      </c>
      <c r="R56" s="11">
        <v>142.0</v>
      </c>
      <c r="S56" s="11">
        <v>107.0</v>
      </c>
      <c r="T56" s="11">
        <v>133.0</v>
      </c>
      <c r="U56" s="11">
        <v>128.0</v>
      </c>
      <c r="V56" s="11">
        <v>128.0</v>
      </c>
      <c r="W56" s="11">
        <v>14.0</v>
      </c>
      <c r="X56" s="11" t="s">
        <v>866</v>
      </c>
    </row>
    <row r="57" ht="14.25" customHeight="1">
      <c r="A57" s="11"/>
      <c r="B57" s="11">
        <v>21.0</v>
      </c>
      <c r="C57" s="11" t="s">
        <v>95</v>
      </c>
      <c r="D57" s="11">
        <v>11.0</v>
      </c>
      <c r="E57" s="11">
        <v>15.0</v>
      </c>
      <c r="F57" s="11">
        <v>-4.0</v>
      </c>
      <c r="G57" s="11" t="s">
        <v>1123</v>
      </c>
      <c r="H57" s="48" t="s">
        <v>796</v>
      </c>
      <c r="I57" s="48" t="s">
        <v>98</v>
      </c>
      <c r="J57" s="11" t="s">
        <v>775</v>
      </c>
      <c r="K57" s="48"/>
      <c r="L57" s="11"/>
      <c r="M57" s="11">
        <v>21.0</v>
      </c>
      <c r="N57" s="11">
        <v>250.0</v>
      </c>
      <c r="O57" s="11">
        <v>143.0</v>
      </c>
      <c r="P57" s="11">
        <v>107.0</v>
      </c>
      <c r="Q57" s="11">
        <v>189.0</v>
      </c>
      <c r="R57" s="11">
        <v>308.0</v>
      </c>
      <c r="S57" s="11">
        <v>227.0</v>
      </c>
      <c r="T57" s="11">
        <v>229.0</v>
      </c>
      <c r="U57" s="11">
        <v>290.0</v>
      </c>
      <c r="V57" s="11">
        <v>233.0</v>
      </c>
      <c r="W57" s="11">
        <v>75.0</v>
      </c>
      <c r="X57" s="11" t="s">
        <v>866</v>
      </c>
    </row>
    <row r="58" ht="14.25" customHeight="1">
      <c r="A58" s="11"/>
      <c r="B58" s="11">
        <v>12.0</v>
      </c>
      <c r="C58" s="11" t="s">
        <v>95</v>
      </c>
      <c r="D58" s="11">
        <v>12.0</v>
      </c>
      <c r="E58" s="11">
        <v>15.0</v>
      </c>
      <c r="F58" s="11">
        <v>-3.0</v>
      </c>
      <c r="G58" s="11"/>
      <c r="H58" s="11" t="s">
        <v>424</v>
      </c>
      <c r="I58" s="11" t="s">
        <v>119</v>
      </c>
      <c r="J58" s="11" t="s">
        <v>770</v>
      </c>
      <c r="K58" s="11"/>
      <c r="L58" s="11"/>
      <c r="M58" s="11">
        <v>11.0</v>
      </c>
      <c r="N58" s="11">
        <v>125.0</v>
      </c>
      <c r="O58" s="11">
        <v>135.0</v>
      </c>
      <c r="P58" s="11">
        <v>-10.0</v>
      </c>
      <c r="Q58" s="11">
        <v>127.0</v>
      </c>
      <c r="R58" s="11">
        <v>141.0</v>
      </c>
      <c r="S58" s="11">
        <v>142.0</v>
      </c>
      <c r="T58" s="11">
        <v>131.0</v>
      </c>
      <c r="U58" s="11">
        <v>132.0</v>
      </c>
      <c r="V58" s="11">
        <v>133.0</v>
      </c>
      <c r="W58" s="11">
        <v>8.0</v>
      </c>
      <c r="X58" s="11">
        <v>18.0</v>
      </c>
    </row>
    <row r="59" ht="14.25" customHeight="1">
      <c r="A59" s="11"/>
      <c r="B59" s="11">
        <v>21.0</v>
      </c>
      <c r="C59" s="11" t="s">
        <v>95</v>
      </c>
      <c r="D59" s="11">
        <v>9.0</v>
      </c>
      <c r="E59" s="11">
        <v>15.0</v>
      </c>
      <c r="F59" s="11">
        <v>-6.0</v>
      </c>
      <c r="G59" s="11" t="s">
        <v>1122</v>
      </c>
      <c r="H59" s="11" t="s">
        <v>798</v>
      </c>
      <c r="I59" s="11" t="s">
        <v>62</v>
      </c>
      <c r="J59" s="11" t="s">
        <v>770</v>
      </c>
      <c r="K59" s="11"/>
      <c r="L59" s="11"/>
      <c r="M59" s="11">
        <v>19.0</v>
      </c>
      <c r="N59" s="11">
        <v>224.0</v>
      </c>
      <c r="O59" s="11" t="s">
        <v>36</v>
      </c>
      <c r="P59" s="11" t="e">
        <v>#VALUE!</v>
      </c>
      <c r="Q59" s="11">
        <v>241.0</v>
      </c>
      <c r="R59" s="11">
        <v>284.0</v>
      </c>
      <c r="S59" s="11">
        <v>248.0</v>
      </c>
      <c r="T59" s="11">
        <v>230.0</v>
      </c>
      <c r="U59" s="11">
        <v>228.0</v>
      </c>
      <c r="V59" s="11">
        <v>242.0</v>
      </c>
      <c r="W59" s="11">
        <v>42.0</v>
      </c>
      <c r="X59" s="11" t="s">
        <v>866</v>
      </c>
    </row>
    <row r="60" ht="14.25" customHeight="1">
      <c r="A60" s="11"/>
      <c r="B60" s="11" t="e">
        <v>#N/A</v>
      </c>
      <c r="C60" s="11" t="s">
        <v>95</v>
      </c>
      <c r="D60" s="11">
        <v>14.0</v>
      </c>
      <c r="E60" s="11">
        <v>18.0</v>
      </c>
      <c r="F60" s="11">
        <v>-4.0</v>
      </c>
      <c r="G60" s="11" t="s">
        <v>106</v>
      </c>
      <c r="H60" s="48" t="s">
        <v>472</v>
      </c>
      <c r="I60" s="48" t="e">
        <v>#N/A</v>
      </c>
      <c r="J60" s="11" t="e">
        <v>#N/A</v>
      </c>
      <c r="K60" s="48"/>
      <c r="L60" s="11"/>
      <c r="M60" s="11">
        <v>16.0</v>
      </c>
      <c r="N60" s="11" t="e">
        <v>#N/A</v>
      </c>
      <c r="O60" s="11" t="e">
        <v>#N/A</v>
      </c>
      <c r="P60" s="11" t="e">
        <v>#N/A</v>
      </c>
      <c r="Q60" s="11" t="e">
        <v>#N/A</v>
      </c>
      <c r="R60" s="11" t="e">
        <v>#N/A</v>
      </c>
      <c r="S60" s="11" t="e">
        <v>#N/A</v>
      </c>
      <c r="T60" s="11" t="e">
        <v>#N/A</v>
      </c>
      <c r="U60" s="11" t="e">
        <v>#N/A</v>
      </c>
      <c r="V60" s="11" t="e">
        <v>#N/A</v>
      </c>
      <c r="W60" s="11" t="e">
        <v>#N/A</v>
      </c>
      <c r="X60" s="11" t="e">
        <v>#N/A</v>
      </c>
    </row>
    <row r="61" ht="14.25" customHeight="1">
      <c r="A61" s="11"/>
      <c r="B61" s="11">
        <v>3.0</v>
      </c>
      <c r="C61" s="11" t="s">
        <v>95</v>
      </c>
      <c r="D61" s="11">
        <v>19.0</v>
      </c>
      <c r="E61" s="11">
        <v>15.0</v>
      </c>
      <c r="F61" s="11">
        <v>4.0</v>
      </c>
      <c r="G61" s="11"/>
      <c r="H61" s="11" t="s">
        <v>158</v>
      </c>
      <c r="I61" s="11" t="s">
        <v>45</v>
      </c>
      <c r="J61" s="11" t="s">
        <v>775</v>
      </c>
      <c r="K61" s="11"/>
      <c r="L61" s="11"/>
      <c r="M61" s="11">
        <v>3.0</v>
      </c>
      <c r="N61" s="11">
        <v>31.0</v>
      </c>
      <c r="O61" s="11">
        <v>32.0</v>
      </c>
      <c r="P61" s="11">
        <v>-1.0</v>
      </c>
      <c r="Q61" s="11">
        <v>26.0</v>
      </c>
      <c r="R61" s="11">
        <v>33.0</v>
      </c>
      <c r="S61" s="11">
        <v>30.0</v>
      </c>
      <c r="T61" s="11">
        <v>29.0</v>
      </c>
      <c r="U61" s="11">
        <v>33.0</v>
      </c>
      <c r="V61" s="11">
        <v>30.0</v>
      </c>
      <c r="W61" s="11">
        <v>3.0</v>
      </c>
      <c r="X61" s="11">
        <v>12.0</v>
      </c>
    </row>
    <row r="62" ht="14.25" customHeight="1">
      <c r="A62" s="11"/>
      <c r="B62" s="11">
        <v>4.0</v>
      </c>
      <c r="C62" s="11" t="s">
        <v>95</v>
      </c>
      <c r="D62" s="11">
        <v>9.0</v>
      </c>
      <c r="E62" s="11">
        <v>15.0</v>
      </c>
      <c r="F62" s="11">
        <v>-6.0</v>
      </c>
      <c r="G62" s="11"/>
      <c r="H62" s="11" t="s">
        <v>284</v>
      </c>
      <c r="I62" s="11" t="s">
        <v>58</v>
      </c>
      <c r="J62" s="11" t="s">
        <v>781</v>
      </c>
      <c r="K62" s="11"/>
      <c r="L62" s="11"/>
      <c r="M62" s="11">
        <v>4.0</v>
      </c>
      <c r="N62" s="11">
        <v>38.0</v>
      </c>
      <c r="O62" s="11">
        <v>38.0</v>
      </c>
      <c r="P62" s="11">
        <v>0.0</v>
      </c>
      <c r="Q62" s="11">
        <v>35.0</v>
      </c>
      <c r="R62" s="11">
        <v>49.0</v>
      </c>
      <c r="S62" s="11">
        <v>24.0</v>
      </c>
      <c r="T62" s="11">
        <v>40.0</v>
      </c>
      <c r="U62" s="11">
        <v>38.0</v>
      </c>
      <c r="V62" s="11">
        <v>37.0</v>
      </c>
      <c r="W62" s="11">
        <v>12.0</v>
      </c>
      <c r="X62" s="11">
        <v>3.0</v>
      </c>
    </row>
    <row r="63" ht="14.25" customHeight="1">
      <c r="A63" s="11"/>
      <c r="B63" s="11">
        <v>4.0</v>
      </c>
      <c r="C63" s="11" t="s">
        <v>95</v>
      </c>
      <c r="D63" s="11">
        <v>13.0</v>
      </c>
      <c r="E63" s="11">
        <v>15.0</v>
      </c>
      <c r="F63" s="11">
        <v>-2.0</v>
      </c>
      <c r="G63" s="11" t="s">
        <v>1122</v>
      </c>
      <c r="H63" s="48" t="s">
        <v>191</v>
      </c>
      <c r="I63" s="48" t="s">
        <v>192</v>
      </c>
      <c r="J63" s="11" t="s">
        <v>775</v>
      </c>
      <c r="K63" s="48"/>
      <c r="L63" s="11"/>
      <c r="M63" s="11">
        <v>4.0</v>
      </c>
      <c r="N63" s="11">
        <v>42.0</v>
      </c>
      <c r="O63" s="11">
        <v>45.0</v>
      </c>
      <c r="P63" s="11">
        <v>-3.0</v>
      </c>
      <c r="Q63" s="11">
        <v>36.0</v>
      </c>
      <c r="R63" s="11">
        <v>56.0</v>
      </c>
      <c r="S63" s="11">
        <v>46.0</v>
      </c>
      <c r="T63" s="11">
        <v>44.0</v>
      </c>
      <c r="U63" s="11">
        <v>28.0</v>
      </c>
      <c r="V63" s="11">
        <v>42.0</v>
      </c>
      <c r="W63" s="11">
        <v>14.0</v>
      </c>
      <c r="X63" s="11">
        <v>17.0</v>
      </c>
    </row>
    <row r="64" ht="14.25" customHeight="1">
      <c r="A64" s="11"/>
      <c r="B64" s="11">
        <v>6.0</v>
      </c>
      <c r="C64" s="11" t="s">
        <v>95</v>
      </c>
      <c r="D64" s="11">
        <v>20.0</v>
      </c>
      <c r="E64" s="11">
        <v>15.0</v>
      </c>
      <c r="F64" s="11">
        <v>5.0</v>
      </c>
      <c r="G64" s="11" t="s">
        <v>106</v>
      </c>
      <c r="H64" s="11" t="s">
        <v>444</v>
      </c>
      <c r="I64" s="11" t="s">
        <v>231</v>
      </c>
      <c r="J64" s="11" t="s">
        <v>775</v>
      </c>
      <c r="K64" s="11"/>
      <c r="L64" s="11"/>
      <c r="M64" s="11">
        <v>7.0</v>
      </c>
      <c r="N64" s="11">
        <v>72.0</v>
      </c>
      <c r="O64" s="11">
        <v>67.0</v>
      </c>
      <c r="P64" s="11">
        <v>5.0</v>
      </c>
      <c r="Q64" s="11">
        <v>60.0</v>
      </c>
      <c r="R64" s="11">
        <v>72.0</v>
      </c>
      <c r="S64" s="11">
        <v>59.0</v>
      </c>
      <c r="T64" s="11">
        <v>54.0</v>
      </c>
      <c r="U64" s="11">
        <v>66.0</v>
      </c>
      <c r="V64" s="11">
        <v>64.0</v>
      </c>
      <c r="W64" s="11">
        <v>8.0</v>
      </c>
      <c r="X64" s="11">
        <v>25.0</v>
      </c>
    </row>
    <row r="65" ht="14.25" customHeight="1">
      <c r="A65" s="11"/>
      <c r="B65" s="11">
        <v>6.0</v>
      </c>
      <c r="C65" s="11" t="s">
        <v>95</v>
      </c>
      <c r="D65" s="11">
        <v>18.0</v>
      </c>
      <c r="E65" s="11">
        <v>13.0</v>
      </c>
      <c r="F65" s="11">
        <v>5.0</v>
      </c>
      <c r="G65" s="11"/>
      <c r="H65" s="11" t="s">
        <v>150</v>
      </c>
      <c r="I65" s="11" t="s">
        <v>109</v>
      </c>
      <c r="J65" s="11" t="s">
        <v>775</v>
      </c>
      <c r="K65" s="11"/>
      <c r="L65" s="11"/>
      <c r="M65" s="11">
        <v>5.0</v>
      </c>
      <c r="N65" s="11">
        <v>55.0</v>
      </c>
      <c r="O65" s="11">
        <v>63.0</v>
      </c>
      <c r="P65" s="11">
        <v>-8.0</v>
      </c>
      <c r="Q65" s="11">
        <v>55.0</v>
      </c>
      <c r="R65" s="11">
        <v>66.0</v>
      </c>
      <c r="S65" s="11">
        <v>65.0</v>
      </c>
      <c r="T65" s="11">
        <v>57.0</v>
      </c>
      <c r="U65" s="11">
        <v>73.0</v>
      </c>
      <c r="V65" s="11">
        <v>62.0</v>
      </c>
      <c r="W65" s="11">
        <v>4.0</v>
      </c>
      <c r="X65" s="11">
        <v>27.0</v>
      </c>
    </row>
    <row r="66" ht="14.25" customHeight="1">
      <c r="A66" s="11"/>
      <c r="B66" s="11">
        <v>12.0</v>
      </c>
      <c r="C66" s="11" t="s">
        <v>95</v>
      </c>
      <c r="D66" s="11">
        <v>5.0</v>
      </c>
      <c r="E66" s="11">
        <v>15.0</v>
      </c>
      <c r="F66" s="11">
        <v>-10.0</v>
      </c>
      <c r="G66" s="11"/>
      <c r="H66" s="11" t="s">
        <v>248</v>
      </c>
      <c r="I66" s="11" t="s">
        <v>40</v>
      </c>
      <c r="J66" s="11" t="s">
        <v>781</v>
      </c>
      <c r="K66" s="11"/>
      <c r="L66" s="11"/>
      <c r="M66" s="11">
        <v>11.0</v>
      </c>
      <c r="N66" s="11">
        <v>121.0</v>
      </c>
      <c r="O66" s="11">
        <v>148.0</v>
      </c>
      <c r="P66" s="11">
        <v>-27.0</v>
      </c>
      <c r="Q66" s="11">
        <v>141.0</v>
      </c>
      <c r="R66" s="11">
        <v>166.0</v>
      </c>
      <c r="S66" s="11">
        <v>114.0</v>
      </c>
      <c r="T66" s="11">
        <v>136.0</v>
      </c>
      <c r="U66" s="11">
        <v>129.0</v>
      </c>
      <c r="V66" s="11">
        <v>136.0</v>
      </c>
      <c r="W66" s="11">
        <v>30.0</v>
      </c>
      <c r="X66" s="11">
        <v>15.0</v>
      </c>
    </row>
    <row r="67" ht="14.25" customHeight="1">
      <c r="A67" s="11"/>
      <c r="B67" s="11">
        <v>12.0</v>
      </c>
      <c r="C67" s="11" t="s">
        <v>95</v>
      </c>
      <c r="D67" s="11">
        <v>24.0</v>
      </c>
      <c r="E67" s="11">
        <v>18.0</v>
      </c>
      <c r="F67" s="11">
        <v>6.0</v>
      </c>
      <c r="G67" s="11"/>
      <c r="H67" s="11" t="s">
        <v>789</v>
      </c>
      <c r="I67" s="11" t="s">
        <v>119</v>
      </c>
      <c r="J67" s="11" t="s">
        <v>772</v>
      </c>
      <c r="K67" s="11"/>
      <c r="L67" s="11"/>
      <c r="M67" s="11">
        <v>6.0</v>
      </c>
      <c r="N67" s="11">
        <v>63.0</v>
      </c>
      <c r="O67" s="11">
        <v>81.0</v>
      </c>
      <c r="P67" s="11">
        <v>-18.0</v>
      </c>
      <c r="Q67" s="11">
        <v>121.0</v>
      </c>
      <c r="R67" s="11">
        <v>262.0</v>
      </c>
      <c r="S67" s="11">
        <v>115.0</v>
      </c>
      <c r="T67" s="11">
        <v>110.0</v>
      </c>
      <c r="U67" s="11">
        <v>65.0</v>
      </c>
      <c r="V67" s="11">
        <v>116.0</v>
      </c>
      <c r="W67" s="11">
        <v>146.0</v>
      </c>
      <c r="X67" s="11">
        <v>22.0</v>
      </c>
    </row>
    <row r="68" ht="14.25" customHeight="1">
      <c r="A68" s="11"/>
      <c r="B68" s="11">
        <v>6.0</v>
      </c>
      <c r="C68" s="11" t="s">
        <v>95</v>
      </c>
      <c r="D68" s="11">
        <v>13.0</v>
      </c>
      <c r="E68" s="11">
        <v>18.0</v>
      </c>
      <c r="F68" s="11">
        <v>-5.0</v>
      </c>
      <c r="G68" s="11"/>
      <c r="H68" s="11" t="s">
        <v>185</v>
      </c>
      <c r="I68" s="11" t="s">
        <v>35</v>
      </c>
      <c r="J68" s="11" t="s">
        <v>772</v>
      </c>
      <c r="K68" s="11"/>
      <c r="L68" s="11"/>
      <c r="M68" s="11">
        <v>5.0</v>
      </c>
      <c r="N68" s="11">
        <v>52.0</v>
      </c>
      <c r="O68" s="11">
        <v>57.0</v>
      </c>
      <c r="P68" s="11">
        <v>-5.0</v>
      </c>
      <c r="Q68" s="11">
        <v>59.0</v>
      </c>
      <c r="R68" s="11">
        <v>74.0</v>
      </c>
      <c r="S68" s="11">
        <v>68.0</v>
      </c>
      <c r="T68" s="11">
        <v>70.0</v>
      </c>
      <c r="U68" s="11">
        <v>67.0</v>
      </c>
      <c r="V68" s="11">
        <v>63.0</v>
      </c>
      <c r="W68" s="11">
        <v>11.0</v>
      </c>
      <c r="X68" s="11">
        <v>21.0</v>
      </c>
    </row>
    <row r="69" ht="14.25" customHeight="1">
      <c r="A69" s="11"/>
      <c r="B69" s="11">
        <v>8.0</v>
      </c>
      <c r="C69" s="11" t="s">
        <v>95</v>
      </c>
      <c r="D69" s="11">
        <v>2.0</v>
      </c>
      <c r="E69" s="11">
        <v>8.0</v>
      </c>
      <c r="F69" s="11">
        <v>-6.0</v>
      </c>
      <c r="G69" s="11"/>
      <c r="H69" s="11" t="s">
        <v>666</v>
      </c>
      <c r="I69" s="11" t="s">
        <v>176</v>
      </c>
      <c r="J69" s="11" t="s">
        <v>781</v>
      </c>
      <c r="K69" s="11"/>
      <c r="L69" s="11"/>
      <c r="M69" s="11">
        <v>8.0</v>
      </c>
      <c r="N69" s="11">
        <v>87.0</v>
      </c>
      <c r="O69" s="11">
        <v>97.0</v>
      </c>
      <c r="P69" s="11">
        <v>-10.0</v>
      </c>
      <c r="Q69" s="11">
        <v>78.0</v>
      </c>
      <c r="R69" s="11">
        <v>103.0</v>
      </c>
      <c r="S69" s="11">
        <v>75.0</v>
      </c>
      <c r="T69" s="11">
        <v>95.0</v>
      </c>
      <c r="U69" s="11">
        <v>74.0</v>
      </c>
      <c r="V69" s="11">
        <v>87.0</v>
      </c>
      <c r="W69" s="11">
        <v>16.0</v>
      </c>
      <c r="X69" s="11">
        <v>8.0</v>
      </c>
      <c r="AJ69" s="79" t="s">
        <v>1059</v>
      </c>
    </row>
    <row r="70" ht="14.25" customHeight="1">
      <c r="A70" s="11"/>
      <c r="B70" s="11">
        <v>6.0</v>
      </c>
      <c r="C70" s="11" t="s">
        <v>95</v>
      </c>
      <c r="D70" s="11">
        <v>5.0</v>
      </c>
      <c r="E70" s="11">
        <v>13.0</v>
      </c>
      <c r="F70" s="11">
        <v>-8.0</v>
      </c>
      <c r="G70" s="11"/>
      <c r="H70" s="48" t="s">
        <v>121</v>
      </c>
      <c r="I70" s="48" t="s">
        <v>71</v>
      </c>
      <c r="J70" s="11" t="s">
        <v>775</v>
      </c>
      <c r="K70" s="48"/>
      <c r="L70" s="11"/>
      <c r="M70" s="11">
        <v>6.0</v>
      </c>
      <c r="N70" s="11">
        <v>62.0</v>
      </c>
      <c r="O70" s="11">
        <v>62.0</v>
      </c>
      <c r="P70" s="11">
        <v>0.0</v>
      </c>
      <c r="Q70" s="11">
        <v>67.0</v>
      </c>
      <c r="R70" s="11">
        <v>73.0</v>
      </c>
      <c r="S70" s="11">
        <v>54.0</v>
      </c>
      <c r="T70" s="11">
        <v>52.0</v>
      </c>
      <c r="U70" s="11">
        <v>75.0</v>
      </c>
      <c r="V70" s="11">
        <v>63.0</v>
      </c>
      <c r="W70" s="11">
        <v>10.0</v>
      </c>
      <c r="X70" s="11">
        <v>21.0</v>
      </c>
    </row>
    <row r="71" ht="14.25" customHeight="1">
      <c r="A71" s="11"/>
      <c r="B71" s="11">
        <v>7.0</v>
      </c>
      <c r="C71" s="11" t="s">
        <v>95</v>
      </c>
      <c r="D71" s="11">
        <v>10.0</v>
      </c>
      <c r="E71" s="11">
        <v>16.0</v>
      </c>
      <c r="F71" s="11">
        <v>-6.0</v>
      </c>
      <c r="G71" s="11"/>
      <c r="H71" s="11" t="s">
        <v>350</v>
      </c>
      <c r="I71" s="11" t="s">
        <v>75</v>
      </c>
      <c r="J71" s="11" t="s">
        <v>772</v>
      </c>
      <c r="K71" s="11"/>
      <c r="L71" s="11"/>
      <c r="M71" s="11">
        <v>6.0</v>
      </c>
      <c r="N71" s="11">
        <v>65.0</v>
      </c>
      <c r="O71" s="11">
        <v>56.0</v>
      </c>
      <c r="P71" s="11">
        <v>9.0</v>
      </c>
      <c r="Q71" s="11">
        <v>70.0</v>
      </c>
      <c r="R71" s="11">
        <v>76.0</v>
      </c>
      <c r="S71" s="11">
        <v>70.0</v>
      </c>
      <c r="T71" s="11">
        <v>74.0</v>
      </c>
      <c r="U71" s="11">
        <v>77.0</v>
      </c>
      <c r="V71" s="11">
        <v>69.0</v>
      </c>
      <c r="W71" s="11">
        <v>7.0</v>
      </c>
      <c r="X71" s="11">
        <v>25.0</v>
      </c>
    </row>
    <row r="72" ht="14.25" customHeight="1">
      <c r="A72" s="11"/>
      <c r="B72" s="11">
        <v>8.0</v>
      </c>
      <c r="C72" s="11" t="s">
        <v>95</v>
      </c>
      <c r="D72" s="11">
        <v>8.0</v>
      </c>
      <c r="E72" s="11">
        <v>18.0</v>
      </c>
      <c r="F72" s="11">
        <v>-10.0</v>
      </c>
      <c r="G72" s="11"/>
      <c r="H72" s="11" t="s">
        <v>361</v>
      </c>
      <c r="I72" s="11" t="s">
        <v>125</v>
      </c>
      <c r="J72" s="11" t="s">
        <v>770</v>
      </c>
      <c r="K72" s="11"/>
      <c r="L72" s="11"/>
      <c r="M72" s="11">
        <v>8.0</v>
      </c>
      <c r="N72" s="11">
        <v>91.0</v>
      </c>
      <c r="O72" s="11">
        <v>82.0</v>
      </c>
      <c r="P72" s="11">
        <v>9.0</v>
      </c>
      <c r="Q72" s="11">
        <v>77.0</v>
      </c>
      <c r="R72" s="11">
        <v>101.0</v>
      </c>
      <c r="S72" s="11">
        <v>105.0</v>
      </c>
      <c r="T72" s="11">
        <v>104.0</v>
      </c>
      <c r="U72" s="11">
        <v>81.0</v>
      </c>
      <c r="V72" s="11">
        <v>91.0</v>
      </c>
      <c r="W72" s="11">
        <v>10.0</v>
      </c>
      <c r="X72" s="11">
        <v>8.0</v>
      </c>
    </row>
    <row r="73" ht="14.25" customHeight="1">
      <c r="A73" s="11"/>
      <c r="B73" s="11">
        <v>4.0</v>
      </c>
      <c r="C73" s="11" t="s">
        <v>95</v>
      </c>
      <c r="D73" s="11">
        <v>7.0</v>
      </c>
      <c r="E73" s="11">
        <v>15.0</v>
      </c>
      <c r="F73" s="11">
        <v>-8.0</v>
      </c>
      <c r="G73" s="11"/>
      <c r="H73" s="11" t="s">
        <v>212</v>
      </c>
      <c r="I73" s="11" t="s">
        <v>45</v>
      </c>
      <c r="J73" s="11" t="s">
        <v>770</v>
      </c>
      <c r="K73" s="11"/>
      <c r="L73" s="11"/>
      <c r="M73" s="11">
        <v>4.0</v>
      </c>
      <c r="N73" s="11">
        <v>41.0</v>
      </c>
      <c r="O73" s="11">
        <v>25.0</v>
      </c>
      <c r="P73" s="11">
        <v>16.0</v>
      </c>
      <c r="Q73" s="11">
        <v>33.0</v>
      </c>
      <c r="R73" s="11">
        <v>45.0</v>
      </c>
      <c r="S73" s="11">
        <v>45.0</v>
      </c>
      <c r="T73" s="11">
        <v>32.0</v>
      </c>
      <c r="U73" s="11">
        <v>35.0</v>
      </c>
      <c r="V73" s="11">
        <v>36.0</v>
      </c>
      <c r="W73" s="11">
        <v>9.0</v>
      </c>
      <c r="X73" s="11">
        <v>5.0</v>
      </c>
    </row>
    <row r="74" ht="14.25" customHeight="1">
      <c r="A74" s="11"/>
      <c r="B74" s="11">
        <v>5.0</v>
      </c>
      <c r="C74" s="11" t="s">
        <v>95</v>
      </c>
      <c r="D74" s="11">
        <v>29.0</v>
      </c>
      <c r="E74" s="11">
        <v>10.0</v>
      </c>
      <c r="F74" s="11">
        <v>19.0</v>
      </c>
      <c r="G74" s="11"/>
      <c r="H74" s="11" t="s">
        <v>187</v>
      </c>
      <c r="I74" s="11" t="s">
        <v>171</v>
      </c>
      <c r="J74" s="11" t="s">
        <v>775</v>
      </c>
      <c r="K74" s="11"/>
      <c r="L74" s="11"/>
      <c r="M74" s="11">
        <v>5.0</v>
      </c>
      <c r="N74" s="11">
        <v>48.0</v>
      </c>
      <c r="O74" s="11">
        <v>52.0</v>
      </c>
      <c r="P74" s="11">
        <v>-4.0</v>
      </c>
      <c r="Q74" s="11">
        <v>54.0</v>
      </c>
      <c r="R74" s="11">
        <v>54.0</v>
      </c>
      <c r="S74" s="11">
        <v>55.0</v>
      </c>
      <c r="T74" s="11">
        <v>48.0</v>
      </c>
      <c r="U74" s="11">
        <v>46.0</v>
      </c>
      <c r="V74" s="11">
        <v>51.0</v>
      </c>
      <c r="W74" s="11">
        <v>3.0</v>
      </c>
      <c r="X74" s="11">
        <v>28.0</v>
      </c>
    </row>
    <row r="75" ht="14.25" customHeight="1">
      <c r="A75" s="11" t="s">
        <v>106</v>
      </c>
      <c r="B75" s="11">
        <v>6.0</v>
      </c>
      <c r="C75" s="11" t="s">
        <v>95</v>
      </c>
      <c r="D75" s="11">
        <v>15.0</v>
      </c>
      <c r="E75" s="11">
        <v>14.0</v>
      </c>
      <c r="F75" s="11">
        <v>1.0</v>
      </c>
      <c r="G75" s="11"/>
      <c r="H75" s="11" t="s">
        <v>181</v>
      </c>
      <c r="I75" s="11" t="s">
        <v>171</v>
      </c>
      <c r="J75" s="11" t="s">
        <v>772</v>
      </c>
      <c r="K75" s="11"/>
      <c r="L75" s="11"/>
      <c r="M75" s="11">
        <v>6.0</v>
      </c>
      <c r="N75" s="11">
        <v>68.0</v>
      </c>
      <c r="O75" s="11">
        <v>49.0</v>
      </c>
      <c r="P75" s="11">
        <v>19.0</v>
      </c>
      <c r="Q75" s="11">
        <v>53.0</v>
      </c>
      <c r="R75" s="11">
        <v>80.0</v>
      </c>
      <c r="S75" s="11">
        <v>56.0</v>
      </c>
      <c r="T75" s="11">
        <v>59.0</v>
      </c>
      <c r="U75" s="11">
        <v>57.0</v>
      </c>
      <c r="V75" s="11">
        <v>60.0</v>
      </c>
      <c r="W75" s="11">
        <v>20.0</v>
      </c>
      <c r="X75" s="11">
        <v>26.0</v>
      </c>
    </row>
    <row r="76" ht="14.25" customHeight="1">
      <c r="A76" s="11"/>
      <c r="B76" s="11">
        <v>9.0</v>
      </c>
      <c r="C76" s="11" t="s">
        <v>95</v>
      </c>
      <c r="D76" s="11">
        <v>4.0</v>
      </c>
      <c r="E76" s="11">
        <v>10.0</v>
      </c>
      <c r="F76" s="11">
        <v>-6.0</v>
      </c>
      <c r="G76" s="11"/>
      <c r="H76" s="11" t="s">
        <v>259</v>
      </c>
      <c r="I76" s="11" t="s">
        <v>71</v>
      </c>
      <c r="J76" s="11" t="s">
        <v>770</v>
      </c>
      <c r="K76" s="11"/>
      <c r="L76" s="11"/>
      <c r="M76" s="11">
        <v>10.0</v>
      </c>
      <c r="N76" s="11">
        <v>117.0</v>
      </c>
      <c r="O76" s="11">
        <v>77.0</v>
      </c>
      <c r="P76" s="11">
        <v>40.0</v>
      </c>
      <c r="Q76" s="11">
        <v>99.0</v>
      </c>
      <c r="R76" s="11">
        <v>120.0</v>
      </c>
      <c r="S76" s="11">
        <v>97.0</v>
      </c>
      <c r="T76" s="11">
        <v>87.0</v>
      </c>
      <c r="U76" s="11">
        <v>117.0</v>
      </c>
      <c r="V76" s="11">
        <v>102.0</v>
      </c>
      <c r="W76" s="11">
        <v>18.0</v>
      </c>
      <c r="X76" s="11">
        <v>11.0</v>
      </c>
    </row>
    <row r="77" ht="14.25" customHeight="1">
      <c r="A77" s="11"/>
      <c r="B77" s="11">
        <v>21.0</v>
      </c>
      <c r="C77" s="11" t="s">
        <v>95</v>
      </c>
      <c r="D77" s="11">
        <v>9.0</v>
      </c>
      <c r="E77" s="11">
        <v>14.0</v>
      </c>
      <c r="F77" s="11">
        <v>-5.0</v>
      </c>
      <c r="G77" s="11" t="s">
        <v>106</v>
      </c>
      <c r="H77" s="11" t="s">
        <v>819</v>
      </c>
      <c r="I77" s="11" t="s">
        <v>98</v>
      </c>
      <c r="J77" s="11" t="s">
        <v>772</v>
      </c>
      <c r="K77" s="11"/>
      <c r="L77" s="11"/>
      <c r="M77" s="11">
        <v>22.0</v>
      </c>
      <c r="N77" s="11">
        <v>260.0</v>
      </c>
      <c r="O77" s="11">
        <v>191.0</v>
      </c>
      <c r="P77" s="11">
        <v>69.0</v>
      </c>
      <c r="Q77" s="11" t="s">
        <v>36</v>
      </c>
      <c r="R77" s="11">
        <v>288.0</v>
      </c>
      <c r="S77" s="11">
        <v>221.0</v>
      </c>
      <c r="T77" s="11">
        <v>242.0</v>
      </c>
      <c r="U77" s="11">
        <v>247.0</v>
      </c>
      <c r="V77" s="11">
        <v>241.0</v>
      </c>
      <c r="W77" s="11">
        <v>47.0</v>
      </c>
      <c r="X77" s="11" t="s">
        <v>866</v>
      </c>
    </row>
    <row r="78" ht="14.25" customHeight="1">
      <c r="A78" s="11"/>
      <c r="B78" s="11">
        <v>11.0</v>
      </c>
      <c r="C78" s="11" t="s">
        <v>95</v>
      </c>
      <c r="D78" s="11">
        <v>10.0</v>
      </c>
      <c r="E78" s="11">
        <v>12.0</v>
      </c>
      <c r="F78" s="11">
        <v>-2.0</v>
      </c>
      <c r="G78" s="11"/>
      <c r="H78" s="11" t="s">
        <v>226</v>
      </c>
      <c r="I78" s="11" t="s">
        <v>116</v>
      </c>
      <c r="J78" s="11" t="s">
        <v>772</v>
      </c>
      <c r="K78" s="11"/>
      <c r="L78" s="11"/>
      <c r="M78" s="11">
        <v>10.0</v>
      </c>
      <c r="N78" s="11">
        <v>111.0</v>
      </c>
      <c r="O78" s="11">
        <v>109.0</v>
      </c>
      <c r="P78" s="11">
        <v>2.0</v>
      </c>
      <c r="Q78" s="11">
        <v>107.0</v>
      </c>
      <c r="R78" s="11">
        <v>118.0</v>
      </c>
      <c r="S78" s="11">
        <v>126.0</v>
      </c>
      <c r="T78" s="11">
        <v>121.0</v>
      </c>
      <c r="U78" s="11">
        <v>130.0</v>
      </c>
      <c r="V78" s="11">
        <v>117.0</v>
      </c>
      <c r="W78" s="11">
        <v>1.0</v>
      </c>
      <c r="X78" s="11">
        <v>37.0</v>
      </c>
    </row>
    <row r="79" ht="14.25" customHeight="1">
      <c r="A79" s="11"/>
      <c r="B79" s="11">
        <v>12.0</v>
      </c>
      <c r="C79" s="11" t="s">
        <v>95</v>
      </c>
      <c r="D79" s="11">
        <v>5.0</v>
      </c>
      <c r="E79" s="11">
        <v>5.0</v>
      </c>
      <c r="F79" s="11">
        <v>0.0</v>
      </c>
      <c r="G79" s="11"/>
      <c r="H79" s="48" t="s">
        <v>653</v>
      </c>
      <c r="I79" s="48" t="s">
        <v>119</v>
      </c>
      <c r="J79" s="11" t="s">
        <v>775</v>
      </c>
      <c r="K79" s="48"/>
      <c r="L79" s="11"/>
      <c r="M79" s="11">
        <v>13.0</v>
      </c>
      <c r="N79" s="11">
        <v>148.0</v>
      </c>
      <c r="O79" s="11">
        <v>137.0</v>
      </c>
      <c r="P79" s="11">
        <v>11.0</v>
      </c>
      <c r="Q79" s="11">
        <v>178.0</v>
      </c>
      <c r="R79" s="11">
        <v>124.0</v>
      </c>
      <c r="S79" s="11">
        <v>131.0</v>
      </c>
      <c r="T79" s="11">
        <v>108.0</v>
      </c>
      <c r="U79" s="11">
        <v>172.0</v>
      </c>
      <c r="V79" s="11">
        <v>142.0</v>
      </c>
      <c r="W79" s="11">
        <v>-18.0</v>
      </c>
      <c r="X79" s="11">
        <v>57.0</v>
      </c>
    </row>
    <row r="80" ht="14.25" customHeight="1">
      <c r="A80" s="11"/>
      <c r="B80" s="11" t="e">
        <v>#N/A</v>
      </c>
      <c r="C80" s="11" t="s">
        <v>95</v>
      </c>
      <c r="D80" s="11">
        <v>9.0</v>
      </c>
      <c r="E80" s="11">
        <v>14.0</v>
      </c>
      <c r="F80" s="11">
        <v>-5.0</v>
      </c>
      <c r="G80" s="11" t="s">
        <v>106</v>
      </c>
      <c r="H80" s="11" t="s">
        <v>816</v>
      </c>
      <c r="I80" s="11" t="e">
        <v>#N/A</v>
      </c>
      <c r="J80" s="11" t="e">
        <v>#N/A</v>
      </c>
      <c r="K80" s="11"/>
      <c r="L80" s="11"/>
      <c r="M80" s="11">
        <v>16.0</v>
      </c>
      <c r="N80" s="11" t="e">
        <v>#N/A</v>
      </c>
      <c r="O80" s="11" t="e">
        <v>#N/A</v>
      </c>
      <c r="P80" s="11" t="e">
        <v>#N/A</v>
      </c>
      <c r="Q80" s="11" t="e">
        <v>#N/A</v>
      </c>
      <c r="R80" s="11" t="e">
        <v>#N/A</v>
      </c>
      <c r="S80" s="11" t="e">
        <v>#N/A</v>
      </c>
      <c r="T80" s="11" t="e">
        <v>#N/A</v>
      </c>
      <c r="U80" s="11" t="e">
        <v>#N/A</v>
      </c>
      <c r="V80" s="11" t="e">
        <v>#N/A</v>
      </c>
      <c r="W80" s="11" t="e">
        <v>#N/A</v>
      </c>
      <c r="X80" s="11" t="e">
        <v>#N/A</v>
      </c>
    </row>
    <row r="81" ht="14.25" customHeight="1">
      <c r="A81" s="11"/>
      <c r="B81" s="11">
        <v>9.0</v>
      </c>
      <c r="C81" s="11" t="s">
        <v>95</v>
      </c>
      <c r="D81" s="11">
        <v>8.0</v>
      </c>
      <c r="E81" s="11">
        <v>5.0</v>
      </c>
      <c r="F81" s="11">
        <v>3.0</v>
      </c>
      <c r="G81" s="11"/>
      <c r="H81" s="11" t="s">
        <v>270</v>
      </c>
      <c r="I81" s="11" t="s">
        <v>162</v>
      </c>
      <c r="J81" s="11" t="s">
        <v>775</v>
      </c>
      <c r="K81" s="11"/>
      <c r="L81" s="11"/>
      <c r="M81" s="11">
        <v>8.0</v>
      </c>
      <c r="N81" s="11">
        <v>90.0</v>
      </c>
      <c r="O81" s="11">
        <v>107.0</v>
      </c>
      <c r="P81" s="11">
        <v>-17.0</v>
      </c>
      <c r="Q81" s="11">
        <v>102.0</v>
      </c>
      <c r="R81" s="11">
        <v>127.0</v>
      </c>
      <c r="S81" s="11">
        <v>118.0</v>
      </c>
      <c r="T81" s="11">
        <v>100.0</v>
      </c>
      <c r="U81" s="11">
        <v>90.0</v>
      </c>
      <c r="V81" s="11">
        <v>104.0</v>
      </c>
      <c r="W81" s="11">
        <v>23.0</v>
      </c>
      <c r="X81" s="11">
        <v>42.0</v>
      </c>
    </row>
    <row r="82" ht="14.25" customHeight="1">
      <c r="A82" s="11" t="s">
        <v>106</v>
      </c>
      <c r="B82" s="11">
        <v>12.0</v>
      </c>
      <c r="C82" s="11" t="s">
        <v>95</v>
      </c>
      <c r="D82" s="11">
        <v>8.0</v>
      </c>
      <c r="E82" s="11">
        <v>10.0</v>
      </c>
      <c r="F82" s="11">
        <v>-2.0</v>
      </c>
      <c r="G82" s="11"/>
      <c r="H82" s="11" t="s">
        <v>376</v>
      </c>
      <c r="I82" s="11" t="s">
        <v>154</v>
      </c>
      <c r="J82" s="11" t="s">
        <v>770</v>
      </c>
      <c r="K82" s="11"/>
      <c r="L82" s="11"/>
      <c r="M82" s="11">
        <v>12.0</v>
      </c>
      <c r="N82" s="11">
        <v>142.0</v>
      </c>
      <c r="O82" s="11">
        <v>123.0</v>
      </c>
      <c r="P82" s="11">
        <v>19.0</v>
      </c>
      <c r="Q82" s="11">
        <v>125.0</v>
      </c>
      <c r="R82" s="11">
        <v>160.0</v>
      </c>
      <c r="S82" s="11">
        <v>147.0</v>
      </c>
      <c r="T82" s="11">
        <v>127.0</v>
      </c>
      <c r="U82" s="11">
        <v>140.0</v>
      </c>
      <c r="V82" s="11">
        <v>137.0</v>
      </c>
      <c r="W82" s="11">
        <v>23.0</v>
      </c>
      <c r="X82" s="11">
        <v>15.0</v>
      </c>
    </row>
    <row r="83" ht="14.25" customHeight="1">
      <c r="A83" s="11"/>
      <c r="B83" s="11">
        <v>12.0</v>
      </c>
      <c r="C83" s="11" t="s">
        <v>95</v>
      </c>
      <c r="D83" s="11">
        <v>9.0</v>
      </c>
      <c r="E83" s="11">
        <v>12.0</v>
      </c>
      <c r="F83" s="11">
        <v>-3.0</v>
      </c>
      <c r="G83" s="11"/>
      <c r="H83" s="11" t="s">
        <v>661</v>
      </c>
      <c r="I83" s="11" t="s">
        <v>105</v>
      </c>
      <c r="J83" s="11" t="s">
        <v>772</v>
      </c>
      <c r="K83" s="11"/>
      <c r="L83" s="11"/>
      <c r="M83" s="11">
        <v>10.0</v>
      </c>
      <c r="N83" s="11">
        <v>108.0</v>
      </c>
      <c r="O83" s="11">
        <v>138.0</v>
      </c>
      <c r="P83" s="11">
        <v>-30.0</v>
      </c>
      <c r="Q83" s="11">
        <v>162.0</v>
      </c>
      <c r="R83" s="11">
        <v>150.0</v>
      </c>
      <c r="S83" s="11">
        <v>148.0</v>
      </c>
      <c r="T83" s="11">
        <v>137.0</v>
      </c>
      <c r="U83" s="11">
        <v>118.0</v>
      </c>
      <c r="V83" s="11">
        <v>137.0</v>
      </c>
      <c r="W83" s="11">
        <v>13.0</v>
      </c>
      <c r="X83" s="11">
        <v>39.0</v>
      </c>
    </row>
    <row r="84" ht="14.25" customHeight="1">
      <c r="A84" s="11"/>
      <c r="B84" s="11">
        <v>11.0</v>
      </c>
      <c r="C84" s="11" t="s">
        <v>95</v>
      </c>
      <c r="D84" s="11">
        <v>4.0</v>
      </c>
      <c r="E84" s="11">
        <v>5.0</v>
      </c>
      <c r="F84" s="11">
        <v>-1.0</v>
      </c>
      <c r="G84" s="11" t="s">
        <v>1122</v>
      </c>
      <c r="H84" s="48" t="s">
        <v>301</v>
      </c>
      <c r="I84" s="48" t="s">
        <v>154</v>
      </c>
      <c r="J84" s="11" t="s">
        <v>775</v>
      </c>
      <c r="K84" s="48"/>
      <c r="L84" s="11"/>
      <c r="M84" s="11">
        <v>9.0</v>
      </c>
      <c r="N84" s="11">
        <v>99.0</v>
      </c>
      <c r="O84" s="11">
        <v>134.0</v>
      </c>
      <c r="P84" s="11">
        <v>-35.0</v>
      </c>
      <c r="Q84" s="11">
        <v>128.0</v>
      </c>
      <c r="R84" s="11">
        <v>145.0</v>
      </c>
      <c r="S84" s="11">
        <v>116.0</v>
      </c>
      <c r="T84" s="11">
        <v>105.0</v>
      </c>
      <c r="U84" s="11">
        <v>134.0</v>
      </c>
      <c r="V84" s="11">
        <v>123.0</v>
      </c>
      <c r="W84" s="11">
        <v>22.0</v>
      </c>
      <c r="X84" s="11">
        <v>43.0</v>
      </c>
    </row>
    <row r="85" ht="14.25" customHeight="1">
      <c r="A85" s="11"/>
      <c r="B85" s="11">
        <v>12.0</v>
      </c>
      <c r="C85" s="11" t="s">
        <v>95</v>
      </c>
      <c r="D85" s="11">
        <v>3.0</v>
      </c>
      <c r="E85" s="11">
        <v>3.0</v>
      </c>
      <c r="F85" s="11">
        <v>0.0</v>
      </c>
      <c r="G85" s="11" t="s">
        <v>106</v>
      </c>
      <c r="H85" s="11" t="s">
        <v>348</v>
      </c>
      <c r="I85" s="11" t="s">
        <v>71</v>
      </c>
      <c r="J85" s="11" t="s">
        <v>781</v>
      </c>
      <c r="K85" s="11"/>
      <c r="L85" s="11"/>
      <c r="M85" s="11">
        <v>12.0</v>
      </c>
      <c r="N85" s="11">
        <v>137.0</v>
      </c>
      <c r="O85" s="11">
        <v>139.0</v>
      </c>
      <c r="P85" s="11">
        <v>-2.0</v>
      </c>
      <c r="Q85" s="11">
        <v>137.0</v>
      </c>
      <c r="R85" s="11">
        <v>163.0</v>
      </c>
      <c r="S85" s="11">
        <v>100.0</v>
      </c>
      <c r="T85" s="11">
        <v>130.0</v>
      </c>
      <c r="U85" s="11">
        <v>159.0</v>
      </c>
      <c r="V85" s="11">
        <v>137.0</v>
      </c>
      <c r="W85" s="11">
        <v>26.0</v>
      </c>
      <c r="X85" s="11">
        <v>14.0</v>
      </c>
    </row>
    <row r="86" ht="14.25" customHeight="1">
      <c r="A86" s="11"/>
      <c r="B86" s="11">
        <v>5.0</v>
      </c>
      <c r="C86" s="11" t="s">
        <v>95</v>
      </c>
      <c r="D86" s="11">
        <v>5.0</v>
      </c>
      <c r="E86" s="11">
        <v>4.0</v>
      </c>
      <c r="F86" s="11">
        <v>1.0</v>
      </c>
      <c r="G86" s="11" t="s">
        <v>106</v>
      </c>
      <c r="H86" s="48" t="s">
        <v>353</v>
      </c>
      <c r="I86" s="48" t="s">
        <v>102</v>
      </c>
      <c r="J86" s="11" t="s">
        <v>775</v>
      </c>
      <c r="K86" s="48"/>
      <c r="L86" s="11"/>
      <c r="M86" s="11">
        <v>5.0</v>
      </c>
      <c r="N86" s="11">
        <v>58.0</v>
      </c>
      <c r="O86" s="11">
        <v>50.0</v>
      </c>
      <c r="P86" s="11">
        <v>8.0</v>
      </c>
      <c r="Q86" s="11">
        <v>50.0</v>
      </c>
      <c r="R86" s="11">
        <v>57.0</v>
      </c>
      <c r="S86" s="11">
        <v>48.0</v>
      </c>
      <c r="T86" s="11">
        <v>45.0</v>
      </c>
      <c r="U86" s="11">
        <v>68.0</v>
      </c>
      <c r="V86" s="11">
        <v>53.0</v>
      </c>
      <c r="W86" s="11">
        <v>4.0</v>
      </c>
      <c r="X86" s="11">
        <v>22.0</v>
      </c>
    </row>
    <row r="87" ht="14.25" customHeight="1">
      <c r="A87" s="11"/>
      <c r="B87" s="11">
        <v>13.0</v>
      </c>
      <c r="C87" s="11" t="s">
        <v>95</v>
      </c>
      <c r="D87" s="11">
        <v>4.0</v>
      </c>
      <c r="E87" s="11">
        <v>3.0</v>
      </c>
      <c r="F87" s="11">
        <v>1.0</v>
      </c>
      <c r="G87" s="11"/>
      <c r="H87" s="11" t="s">
        <v>428</v>
      </c>
      <c r="I87" s="11" t="s">
        <v>105</v>
      </c>
      <c r="J87" s="11" t="s">
        <v>775</v>
      </c>
      <c r="K87" s="11"/>
      <c r="L87" s="11"/>
      <c r="M87" s="11">
        <v>14.0</v>
      </c>
      <c r="N87" s="11">
        <v>164.0</v>
      </c>
      <c r="O87" s="11">
        <v>150.0</v>
      </c>
      <c r="P87" s="11">
        <v>14.0</v>
      </c>
      <c r="Q87" s="11">
        <v>118.0</v>
      </c>
      <c r="R87" s="11">
        <v>136.0</v>
      </c>
      <c r="S87" s="11">
        <v>134.0</v>
      </c>
      <c r="T87" s="11">
        <v>122.0</v>
      </c>
      <c r="U87" s="11">
        <v>222.0</v>
      </c>
      <c r="V87" s="11">
        <v>149.0</v>
      </c>
      <c r="W87" s="11">
        <v>-13.0</v>
      </c>
      <c r="X87" s="11">
        <v>58.0</v>
      </c>
    </row>
    <row r="88" ht="14.25" customHeight="1">
      <c r="A88" s="11" t="s">
        <v>106</v>
      </c>
      <c r="B88" s="11" t="e">
        <v>#N/A</v>
      </c>
      <c r="C88" s="11" t="s">
        <v>95</v>
      </c>
      <c r="D88" s="11">
        <v>6.0</v>
      </c>
      <c r="E88" s="11">
        <v>3.0</v>
      </c>
      <c r="F88" s="11">
        <v>3.0</v>
      </c>
      <c r="G88" s="11" t="s">
        <v>1123</v>
      </c>
      <c r="H88" s="11" t="s">
        <v>831</v>
      </c>
      <c r="I88" s="11" t="e">
        <v>#N/A</v>
      </c>
      <c r="J88" s="11" t="e">
        <v>#N/A</v>
      </c>
      <c r="K88" s="48"/>
      <c r="L88" s="11"/>
      <c r="M88" s="11">
        <v>16.0</v>
      </c>
      <c r="N88" s="11" t="e">
        <v>#N/A</v>
      </c>
      <c r="O88" s="11" t="e">
        <v>#N/A</v>
      </c>
      <c r="P88" s="11" t="e">
        <v>#N/A</v>
      </c>
      <c r="Q88" s="11" t="e">
        <v>#N/A</v>
      </c>
      <c r="R88" s="11" t="e">
        <v>#N/A</v>
      </c>
      <c r="S88" s="11" t="e">
        <v>#N/A</v>
      </c>
      <c r="T88" s="11" t="e">
        <v>#N/A</v>
      </c>
      <c r="U88" s="11" t="e">
        <v>#N/A</v>
      </c>
      <c r="V88" s="11" t="e">
        <v>#N/A</v>
      </c>
      <c r="W88" s="11" t="e">
        <v>#N/A</v>
      </c>
      <c r="X88" s="11" t="s">
        <v>866</v>
      </c>
    </row>
    <row r="89" ht="14.25" customHeight="1">
      <c r="A89" s="11"/>
      <c r="B89" s="11">
        <v>6.0</v>
      </c>
      <c r="C89" s="11" t="s">
        <v>95</v>
      </c>
      <c r="D89" s="11">
        <v>7.0</v>
      </c>
      <c r="E89" s="11">
        <v>5.0</v>
      </c>
      <c r="F89" s="11">
        <v>2.0</v>
      </c>
      <c r="G89" s="11"/>
      <c r="H89" s="11" t="s">
        <v>255</v>
      </c>
      <c r="I89" s="11" t="s">
        <v>231</v>
      </c>
      <c r="J89" s="11" t="s">
        <v>772</v>
      </c>
      <c r="K89" s="11"/>
      <c r="L89" s="11"/>
      <c r="M89" s="11">
        <v>6.0</v>
      </c>
      <c r="N89" s="11">
        <v>69.0</v>
      </c>
      <c r="O89" s="11">
        <v>59.0</v>
      </c>
      <c r="P89" s="11">
        <v>10.0</v>
      </c>
      <c r="Q89" s="11">
        <v>69.0</v>
      </c>
      <c r="R89" s="11">
        <v>79.0</v>
      </c>
      <c r="S89" s="11">
        <v>58.0</v>
      </c>
      <c r="T89" s="11">
        <v>69.0</v>
      </c>
      <c r="U89" s="11">
        <v>78.0</v>
      </c>
      <c r="V89" s="11">
        <v>68.0</v>
      </c>
      <c r="W89" s="11">
        <v>11.0</v>
      </c>
      <c r="X89" s="11">
        <v>24.0</v>
      </c>
    </row>
    <row r="90" ht="14.25" customHeight="1">
      <c r="A90" s="11"/>
      <c r="B90" s="11">
        <v>8.0</v>
      </c>
      <c r="C90" s="11" t="s">
        <v>95</v>
      </c>
      <c r="D90" s="11">
        <v>5.0</v>
      </c>
      <c r="E90" s="11">
        <v>5.0</v>
      </c>
      <c r="F90" s="11">
        <v>0.0</v>
      </c>
      <c r="G90" s="57" t="s">
        <v>1125</v>
      </c>
      <c r="H90" s="11" t="s">
        <v>236</v>
      </c>
      <c r="I90" s="11" t="s">
        <v>237</v>
      </c>
      <c r="J90" s="11" t="s">
        <v>772</v>
      </c>
      <c r="K90" s="11"/>
      <c r="L90" s="11"/>
      <c r="M90" s="11">
        <v>8.0</v>
      </c>
      <c r="N90" s="11">
        <v>86.0</v>
      </c>
      <c r="O90" s="11">
        <v>88.0</v>
      </c>
      <c r="P90" s="11">
        <v>-2.0</v>
      </c>
      <c r="Q90" s="11">
        <v>85.0</v>
      </c>
      <c r="R90" s="11">
        <v>96.0</v>
      </c>
      <c r="S90" s="11">
        <v>84.0</v>
      </c>
      <c r="T90" s="11">
        <v>86.0</v>
      </c>
      <c r="U90" s="11">
        <v>107.0</v>
      </c>
      <c r="V90" s="11">
        <v>90.0</v>
      </c>
      <c r="W90" s="11">
        <v>6.0</v>
      </c>
      <c r="X90" s="11">
        <v>35.0</v>
      </c>
    </row>
    <row r="91" ht="14.25" customHeight="1">
      <c r="A91" s="11"/>
      <c r="B91" s="11">
        <v>8.0</v>
      </c>
      <c r="C91" s="11" t="s">
        <v>95</v>
      </c>
      <c r="D91" s="11">
        <v>6.0</v>
      </c>
      <c r="E91" s="11">
        <v>1.0</v>
      </c>
      <c r="F91" s="11">
        <v>5.0</v>
      </c>
      <c r="G91" s="11"/>
      <c r="H91" s="11" t="s">
        <v>578</v>
      </c>
      <c r="I91" s="11" t="s">
        <v>195</v>
      </c>
      <c r="J91" s="11" t="s">
        <v>781</v>
      </c>
      <c r="K91" s="11"/>
      <c r="L91" s="11"/>
      <c r="M91" s="11">
        <v>8.0</v>
      </c>
      <c r="N91" s="11">
        <v>92.0</v>
      </c>
      <c r="O91" s="11">
        <v>74.0</v>
      </c>
      <c r="P91" s="11">
        <v>18.0</v>
      </c>
      <c r="Q91" s="11">
        <v>72.0</v>
      </c>
      <c r="R91" s="11">
        <v>108.0</v>
      </c>
      <c r="S91" s="11">
        <v>76.0</v>
      </c>
      <c r="T91" s="11">
        <v>101.0</v>
      </c>
      <c r="U91" s="11">
        <v>85.0</v>
      </c>
      <c r="V91" s="11">
        <v>86.0</v>
      </c>
      <c r="W91" s="11">
        <v>22.0</v>
      </c>
      <c r="X91" s="11">
        <v>10.0</v>
      </c>
    </row>
    <row r="92" ht="14.25" customHeight="1">
      <c r="A92" s="11"/>
      <c r="B92" s="11">
        <v>3.0</v>
      </c>
      <c r="C92" s="11" t="s">
        <v>95</v>
      </c>
      <c r="D92" s="11">
        <v>6.0</v>
      </c>
      <c r="E92" s="11">
        <v>3.0</v>
      </c>
      <c r="F92" s="11">
        <v>3.0</v>
      </c>
      <c r="G92" s="11"/>
      <c r="H92" s="11" t="s">
        <v>51</v>
      </c>
      <c r="I92" s="11" t="s">
        <v>52</v>
      </c>
      <c r="J92" s="11" t="s">
        <v>775</v>
      </c>
      <c r="K92" s="11"/>
      <c r="L92" s="11"/>
      <c r="M92" s="11">
        <v>3.0</v>
      </c>
      <c r="N92" s="11">
        <v>29.0</v>
      </c>
      <c r="O92" s="11">
        <v>40.0</v>
      </c>
      <c r="P92" s="11">
        <v>-11.0</v>
      </c>
      <c r="Q92" s="11">
        <v>37.0</v>
      </c>
      <c r="R92" s="11">
        <v>32.0</v>
      </c>
      <c r="S92" s="11">
        <v>31.0</v>
      </c>
      <c r="T92" s="11">
        <v>28.0</v>
      </c>
      <c r="U92" s="11">
        <v>39.0</v>
      </c>
      <c r="V92" s="11">
        <v>33.0</v>
      </c>
      <c r="W92" s="11">
        <v>-1.0</v>
      </c>
      <c r="X92" s="11">
        <v>13.0</v>
      </c>
    </row>
    <row r="93" ht="14.25" customHeight="1">
      <c r="A93" s="11"/>
      <c r="B93" s="11">
        <v>12.0</v>
      </c>
      <c r="C93" s="11" t="s">
        <v>95</v>
      </c>
      <c r="D93" s="11">
        <v>7.0</v>
      </c>
      <c r="E93" s="11">
        <v>5.0</v>
      </c>
      <c r="F93" s="11">
        <v>2.0</v>
      </c>
      <c r="G93" s="11" t="s">
        <v>106</v>
      </c>
      <c r="H93" s="60" t="s">
        <v>422</v>
      </c>
      <c r="I93" s="60" t="s">
        <v>58</v>
      </c>
      <c r="J93" s="11" t="s">
        <v>772</v>
      </c>
      <c r="K93" s="60"/>
      <c r="L93" s="11"/>
      <c r="M93" s="11">
        <v>7.0</v>
      </c>
      <c r="N93" s="11">
        <v>78.0</v>
      </c>
      <c r="O93" s="11">
        <v>125.0</v>
      </c>
      <c r="P93" s="11">
        <v>-47.0</v>
      </c>
      <c r="Q93" s="11">
        <v>168.0</v>
      </c>
      <c r="R93" s="11">
        <v>177.0</v>
      </c>
      <c r="S93" s="11">
        <v>125.0</v>
      </c>
      <c r="T93" s="11">
        <v>102.0</v>
      </c>
      <c r="U93" s="11">
        <v>103.0</v>
      </c>
      <c r="V93" s="11">
        <v>125.0</v>
      </c>
      <c r="W93" s="11">
        <v>52.0</v>
      </c>
      <c r="X93" s="11">
        <v>36.0</v>
      </c>
    </row>
    <row r="94" ht="14.25" customHeight="1">
      <c r="A94" s="11"/>
      <c r="B94" s="11">
        <v>3.0</v>
      </c>
      <c r="C94" s="11" t="s">
        <v>95</v>
      </c>
      <c r="D94" s="11">
        <v>2.0</v>
      </c>
      <c r="E94" s="11">
        <v>3.0</v>
      </c>
      <c r="F94" s="11">
        <v>-1.0</v>
      </c>
      <c r="G94" s="11" t="s">
        <v>106</v>
      </c>
      <c r="H94" s="48" t="s">
        <v>173</v>
      </c>
      <c r="I94" s="48" t="s">
        <v>105</v>
      </c>
      <c r="J94" s="11" t="s">
        <v>775</v>
      </c>
      <c r="K94" s="48"/>
      <c r="L94" s="11"/>
      <c r="M94" s="11">
        <v>3.0</v>
      </c>
      <c r="N94" s="11">
        <v>24.0</v>
      </c>
      <c r="O94" s="11">
        <v>29.0</v>
      </c>
      <c r="P94" s="11">
        <v>-5.0</v>
      </c>
      <c r="Q94" s="11">
        <v>30.0</v>
      </c>
      <c r="R94" s="11">
        <v>24.0</v>
      </c>
      <c r="S94" s="11">
        <v>25.0</v>
      </c>
      <c r="T94" s="11">
        <v>23.0</v>
      </c>
      <c r="U94" s="11">
        <v>23.0</v>
      </c>
      <c r="V94" s="11">
        <v>25.0</v>
      </c>
      <c r="W94" s="11">
        <v>-1.0</v>
      </c>
      <c r="X94" s="11">
        <v>10.0</v>
      </c>
    </row>
    <row r="95" ht="14.25" customHeight="1">
      <c r="A95" s="11"/>
      <c r="B95" s="11">
        <v>9.0</v>
      </c>
      <c r="C95" s="11" t="s">
        <v>95</v>
      </c>
      <c r="D95" s="11">
        <v>2.0</v>
      </c>
      <c r="E95" s="11">
        <v>5.0</v>
      </c>
      <c r="F95" s="11">
        <v>-3.0</v>
      </c>
      <c r="G95" s="11" t="s">
        <v>106</v>
      </c>
      <c r="H95" s="11" t="s">
        <v>315</v>
      </c>
      <c r="I95" s="11" t="s">
        <v>58</v>
      </c>
      <c r="J95" s="11" t="s">
        <v>770</v>
      </c>
      <c r="K95" s="11"/>
      <c r="L95" s="11"/>
      <c r="M95" s="11">
        <v>10.0</v>
      </c>
      <c r="N95" s="11">
        <v>112.0</v>
      </c>
      <c r="O95" s="11">
        <v>89.0</v>
      </c>
      <c r="P95" s="11">
        <v>23.0</v>
      </c>
      <c r="Q95" s="11">
        <v>79.0</v>
      </c>
      <c r="R95" s="11">
        <v>111.0</v>
      </c>
      <c r="S95" s="11">
        <v>110.0</v>
      </c>
      <c r="T95" s="11">
        <v>107.0</v>
      </c>
      <c r="U95" s="11">
        <v>106.0</v>
      </c>
      <c r="V95" s="11">
        <v>102.0</v>
      </c>
      <c r="W95" s="11">
        <v>9.0</v>
      </c>
      <c r="X95" s="11">
        <v>12.0</v>
      </c>
    </row>
    <row r="96" ht="14.25" customHeight="1">
      <c r="A96" s="11"/>
      <c r="B96" s="11" t="e">
        <v>#N/A</v>
      </c>
      <c r="C96" s="11" t="s">
        <v>95</v>
      </c>
      <c r="D96" s="11">
        <v>6.0</v>
      </c>
      <c r="E96" s="11">
        <v>3.0</v>
      </c>
      <c r="F96" s="11">
        <v>3.0</v>
      </c>
      <c r="G96" s="11"/>
      <c r="H96" s="48" t="s">
        <v>218</v>
      </c>
      <c r="I96" s="48" t="e">
        <v>#N/A</v>
      </c>
      <c r="J96" s="11" t="e">
        <v>#N/A</v>
      </c>
      <c r="K96" s="48"/>
      <c r="L96" s="11"/>
      <c r="M96" s="11">
        <v>16.0</v>
      </c>
      <c r="N96" s="11" t="e">
        <v>#N/A</v>
      </c>
      <c r="O96" s="11" t="e">
        <v>#N/A</v>
      </c>
      <c r="P96" s="11" t="e">
        <v>#N/A</v>
      </c>
      <c r="Q96" s="11" t="e">
        <v>#N/A</v>
      </c>
      <c r="R96" s="11" t="e">
        <v>#N/A</v>
      </c>
      <c r="S96" s="11" t="e">
        <v>#N/A</v>
      </c>
      <c r="T96" s="11" t="e">
        <v>#N/A</v>
      </c>
      <c r="U96" s="11" t="e">
        <v>#N/A</v>
      </c>
      <c r="V96" s="11" t="e">
        <v>#N/A</v>
      </c>
      <c r="W96" s="11" t="e">
        <v>#N/A</v>
      </c>
      <c r="X96" s="11" t="e">
        <v>#N/A</v>
      </c>
    </row>
    <row r="97" ht="14.25" customHeight="1">
      <c r="A97" s="11"/>
      <c r="B97" s="11">
        <v>2.0</v>
      </c>
      <c r="C97" s="11" t="s">
        <v>95</v>
      </c>
      <c r="D97" s="11">
        <v>5.0</v>
      </c>
      <c r="E97" s="11">
        <v>5.0</v>
      </c>
      <c r="F97" s="11">
        <v>0.0</v>
      </c>
      <c r="G97" s="11" t="s">
        <v>106</v>
      </c>
      <c r="H97" s="80" t="s">
        <v>80</v>
      </c>
      <c r="I97" s="80" t="s">
        <v>45</v>
      </c>
      <c r="J97" s="11" t="s">
        <v>772</v>
      </c>
      <c r="K97" s="80"/>
      <c r="L97" s="11"/>
      <c r="M97" s="11">
        <v>3.0</v>
      </c>
      <c r="N97" s="11">
        <v>28.0</v>
      </c>
      <c r="O97" s="11">
        <v>19.0</v>
      </c>
      <c r="P97" s="11">
        <v>9.0</v>
      </c>
      <c r="Q97" s="11">
        <v>24.0</v>
      </c>
      <c r="R97" s="11">
        <v>18.0</v>
      </c>
      <c r="S97" s="11">
        <v>17.0</v>
      </c>
      <c r="T97" s="11">
        <v>17.0</v>
      </c>
      <c r="U97" s="11">
        <v>26.0</v>
      </c>
      <c r="V97" s="11">
        <v>21.0</v>
      </c>
      <c r="W97" s="11">
        <v>-3.0</v>
      </c>
      <c r="X97" s="11">
        <v>10.0</v>
      </c>
    </row>
    <row r="98" ht="14.25" customHeight="1">
      <c r="A98" s="11"/>
      <c r="B98" s="11">
        <v>3.0</v>
      </c>
      <c r="C98" s="11" t="s">
        <v>95</v>
      </c>
      <c r="D98" s="11">
        <v>3.0</v>
      </c>
      <c r="E98" s="11">
        <v>10.0</v>
      </c>
      <c r="F98" s="11">
        <v>-7.0</v>
      </c>
      <c r="G98" s="11" t="s">
        <v>1122</v>
      </c>
      <c r="H98" s="11" t="s">
        <v>224</v>
      </c>
      <c r="I98" s="11" t="s">
        <v>192</v>
      </c>
      <c r="J98" s="11" t="s">
        <v>770</v>
      </c>
      <c r="K98" s="11"/>
      <c r="L98" s="11"/>
      <c r="M98" s="11">
        <v>3.0</v>
      </c>
      <c r="N98" s="11">
        <v>33.0</v>
      </c>
      <c r="O98" s="11">
        <v>30.0</v>
      </c>
      <c r="P98" s="11">
        <v>3.0</v>
      </c>
      <c r="Q98" s="11">
        <v>27.0</v>
      </c>
      <c r="R98" s="11">
        <v>42.0</v>
      </c>
      <c r="S98" s="11">
        <v>35.0</v>
      </c>
      <c r="T98" s="11">
        <v>35.0</v>
      </c>
      <c r="U98" s="11">
        <v>29.0</v>
      </c>
      <c r="V98" s="11">
        <v>33.0</v>
      </c>
      <c r="W98" s="11">
        <v>9.0</v>
      </c>
      <c r="X98" s="11">
        <v>4.0</v>
      </c>
    </row>
    <row r="99" ht="14.25" customHeight="1">
      <c r="A99" s="11"/>
      <c r="B99" s="11">
        <v>16.0</v>
      </c>
      <c r="C99" s="11" t="s">
        <v>95</v>
      </c>
      <c r="D99" s="11">
        <v>4.0</v>
      </c>
      <c r="E99" s="11">
        <v>4.0</v>
      </c>
      <c r="F99" s="11">
        <v>0.0</v>
      </c>
      <c r="G99" s="11" t="s">
        <v>1122</v>
      </c>
      <c r="H99" s="11" t="s">
        <v>393</v>
      </c>
      <c r="I99" s="11" t="s">
        <v>231</v>
      </c>
      <c r="J99" s="11" t="s">
        <v>772</v>
      </c>
      <c r="K99" s="11"/>
      <c r="L99" s="11"/>
      <c r="M99" s="11">
        <v>11.0</v>
      </c>
      <c r="N99" s="11">
        <v>123.0</v>
      </c>
      <c r="O99" s="11">
        <v>163.0</v>
      </c>
      <c r="P99" s="11">
        <v>-40.0</v>
      </c>
      <c r="Q99" s="11">
        <v>165.0</v>
      </c>
      <c r="R99" s="11">
        <v>253.0</v>
      </c>
      <c r="S99" s="11">
        <v>152.0</v>
      </c>
      <c r="T99" s="11">
        <v>149.0</v>
      </c>
      <c r="U99" s="11">
        <v>198.0</v>
      </c>
      <c r="V99" s="11">
        <v>171.0</v>
      </c>
      <c r="W99" s="11">
        <v>82.0</v>
      </c>
      <c r="X99" s="11">
        <v>40.0</v>
      </c>
    </row>
    <row r="100" ht="14.25" customHeight="1">
      <c r="A100" s="11"/>
      <c r="B100" s="11" t="e">
        <v>#N/A</v>
      </c>
      <c r="C100" s="11" t="s">
        <v>95</v>
      </c>
      <c r="D100" s="11">
        <v>4.0</v>
      </c>
      <c r="E100" s="11">
        <v>2.0</v>
      </c>
      <c r="F100" s="11">
        <v>2.0</v>
      </c>
      <c r="G100" s="11" t="s">
        <v>106</v>
      </c>
      <c r="H100" s="11" t="s">
        <v>850</v>
      </c>
      <c r="I100" s="11" t="e">
        <v>#N/A</v>
      </c>
      <c r="J100" s="11" t="e">
        <v>#N/A</v>
      </c>
      <c r="K100" s="11"/>
      <c r="L100" s="11"/>
      <c r="M100" s="11">
        <v>16.0</v>
      </c>
      <c r="N100" s="11" t="e">
        <v>#N/A</v>
      </c>
      <c r="O100" s="11" t="e">
        <v>#N/A</v>
      </c>
      <c r="P100" s="11" t="e">
        <v>#N/A</v>
      </c>
      <c r="Q100" s="11" t="e">
        <v>#N/A</v>
      </c>
      <c r="R100" s="11" t="e">
        <v>#N/A</v>
      </c>
      <c r="S100" s="11" t="e">
        <v>#N/A</v>
      </c>
      <c r="T100" s="11" t="e">
        <v>#N/A</v>
      </c>
      <c r="U100" s="11" t="e">
        <v>#N/A</v>
      </c>
      <c r="V100" s="11" t="e">
        <v>#N/A</v>
      </c>
      <c r="W100" s="11" t="e">
        <v>#N/A</v>
      </c>
      <c r="X100" s="11" t="e">
        <v>#N/A</v>
      </c>
    </row>
    <row r="101" ht="14.25" customHeight="1">
      <c r="A101" s="11"/>
      <c r="B101" s="11">
        <v>12.0</v>
      </c>
      <c r="C101" s="11" t="s">
        <v>95</v>
      </c>
      <c r="D101" s="11">
        <v>4.0</v>
      </c>
      <c r="E101" s="11">
        <v>2.0</v>
      </c>
      <c r="F101" s="11">
        <v>2.0</v>
      </c>
      <c r="G101" s="11"/>
      <c r="H101" s="11" t="s">
        <v>848</v>
      </c>
      <c r="I101" s="11" t="s">
        <v>192</v>
      </c>
      <c r="J101" s="11" t="s">
        <v>772</v>
      </c>
      <c r="K101" s="11"/>
      <c r="L101" s="11"/>
      <c r="M101" s="11">
        <v>11.0</v>
      </c>
      <c r="N101" s="11">
        <v>130.0</v>
      </c>
      <c r="O101" s="11">
        <v>86.0</v>
      </c>
      <c r="P101" s="11">
        <v>44.0</v>
      </c>
      <c r="Q101" s="11">
        <v>96.0</v>
      </c>
      <c r="R101" s="11">
        <v>172.0</v>
      </c>
      <c r="S101" s="11">
        <v>109.0</v>
      </c>
      <c r="T101" s="11">
        <v>142.0</v>
      </c>
      <c r="U101" s="11">
        <v>143.0</v>
      </c>
      <c r="V101" s="11">
        <v>125.0</v>
      </c>
      <c r="W101" s="11">
        <v>47.0</v>
      </c>
      <c r="X101" s="11">
        <v>49.0</v>
      </c>
    </row>
    <row r="102" ht="14.25" customHeight="1">
      <c r="A102" s="11" t="s">
        <v>106</v>
      </c>
      <c r="B102" s="11">
        <v>2.0</v>
      </c>
      <c r="C102" s="11" t="s">
        <v>95</v>
      </c>
      <c r="D102" s="11">
        <v>1.0</v>
      </c>
      <c r="E102" s="11">
        <v>3.0</v>
      </c>
      <c r="F102" s="11">
        <v>-2.0</v>
      </c>
      <c r="G102" s="11" t="s">
        <v>106</v>
      </c>
      <c r="H102" s="11" t="s">
        <v>242</v>
      </c>
      <c r="I102" s="11" t="s">
        <v>206</v>
      </c>
      <c r="J102" s="11" t="s">
        <v>775</v>
      </c>
      <c r="K102" s="48"/>
      <c r="L102" s="11"/>
      <c r="M102" s="11">
        <v>2.0</v>
      </c>
      <c r="N102" s="11">
        <v>16.0</v>
      </c>
      <c r="O102" s="11">
        <v>20.0</v>
      </c>
      <c r="P102" s="11">
        <v>-4.0</v>
      </c>
      <c r="Q102" s="11">
        <v>16.0</v>
      </c>
      <c r="R102" s="11">
        <v>14.0</v>
      </c>
      <c r="S102" s="11">
        <v>16.0</v>
      </c>
      <c r="T102" s="11">
        <v>11.0</v>
      </c>
      <c r="U102" s="11">
        <v>13.0</v>
      </c>
      <c r="V102" s="11">
        <v>15.0</v>
      </c>
      <c r="W102" s="11">
        <v>-1.0</v>
      </c>
      <c r="X102" s="11">
        <v>8.0</v>
      </c>
    </row>
    <row r="103" ht="14.25" customHeight="1">
      <c r="A103" s="11"/>
      <c r="B103" s="11" t="e">
        <v>#N/A</v>
      </c>
      <c r="C103" s="11" t="s">
        <v>95</v>
      </c>
      <c r="D103" s="11">
        <v>6.0</v>
      </c>
      <c r="E103" s="11">
        <v>2.0</v>
      </c>
      <c r="F103" s="11">
        <v>4.0</v>
      </c>
      <c r="G103" s="11"/>
      <c r="H103" s="80" t="s">
        <v>859</v>
      </c>
      <c r="I103" s="80" t="e">
        <v>#N/A</v>
      </c>
      <c r="J103" s="11" t="e">
        <v>#N/A</v>
      </c>
      <c r="K103" s="80"/>
      <c r="L103" s="11"/>
      <c r="M103" s="11">
        <v>16.0</v>
      </c>
      <c r="N103" s="11" t="e">
        <v>#N/A</v>
      </c>
      <c r="O103" s="11" t="e">
        <v>#N/A</v>
      </c>
      <c r="P103" s="11" t="e">
        <v>#N/A</v>
      </c>
      <c r="Q103" s="11" t="e">
        <v>#N/A</v>
      </c>
      <c r="R103" s="11" t="e">
        <v>#N/A</v>
      </c>
      <c r="S103" s="11" t="e">
        <v>#N/A</v>
      </c>
      <c r="T103" s="11" t="e">
        <v>#N/A</v>
      </c>
      <c r="U103" s="11" t="e">
        <v>#N/A</v>
      </c>
      <c r="V103" s="11" t="e">
        <v>#N/A</v>
      </c>
      <c r="W103" s="11" t="e">
        <v>#N/A</v>
      </c>
      <c r="X103" s="11" t="e">
        <v>#N/A</v>
      </c>
    </row>
    <row r="104" ht="14.25" customHeight="1">
      <c r="A104" s="11" t="s">
        <v>106</v>
      </c>
      <c r="B104" s="11" t="e">
        <v>#N/A</v>
      </c>
      <c r="C104" s="11" t="s">
        <v>95</v>
      </c>
      <c r="D104" s="11">
        <v>3.0</v>
      </c>
      <c r="E104" s="11">
        <v>3.0</v>
      </c>
      <c r="F104" s="11">
        <v>0.0</v>
      </c>
      <c r="G104" s="11" t="s">
        <v>1123</v>
      </c>
      <c r="H104" s="11" t="s">
        <v>253</v>
      </c>
      <c r="I104" s="11" t="e">
        <v>#N/A</v>
      </c>
      <c r="J104" s="11" t="e">
        <v>#N/A</v>
      </c>
      <c r="K104" s="60"/>
      <c r="L104" s="11"/>
      <c r="M104" s="11">
        <v>16.0</v>
      </c>
      <c r="N104" s="11" t="e">
        <v>#N/A</v>
      </c>
      <c r="O104" s="11" t="e">
        <v>#N/A</v>
      </c>
      <c r="P104" s="11" t="e">
        <v>#N/A</v>
      </c>
      <c r="Q104" s="11" t="e">
        <v>#N/A</v>
      </c>
      <c r="R104" s="11" t="e">
        <v>#N/A</v>
      </c>
      <c r="S104" s="11" t="e">
        <v>#N/A</v>
      </c>
      <c r="T104" s="11" t="e">
        <v>#N/A</v>
      </c>
      <c r="U104" s="11" t="e">
        <v>#N/A</v>
      </c>
      <c r="V104" s="11" t="e">
        <v>#N/A</v>
      </c>
      <c r="W104" s="11" t="e">
        <v>#N/A</v>
      </c>
      <c r="X104" s="11" t="e">
        <v>#N/A</v>
      </c>
    </row>
    <row r="105" ht="14.25" customHeight="1">
      <c r="A105" s="11"/>
      <c r="B105" s="11">
        <v>2.0</v>
      </c>
      <c r="C105" s="11" t="s">
        <v>95</v>
      </c>
      <c r="D105" s="11">
        <v>1.0</v>
      </c>
      <c r="E105" s="11">
        <v>3.0</v>
      </c>
      <c r="F105" s="11">
        <v>-2.0</v>
      </c>
      <c r="G105" s="11" t="s">
        <v>106</v>
      </c>
      <c r="H105" s="11" t="s">
        <v>111</v>
      </c>
      <c r="I105" s="11" t="s">
        <v>98</v>
      </c>
      <c r="J105" s="11" t="s">
        <v>781</v>
      </c>
      <c r="K105" s="11"/>
      <c r="L105" s="11"/>
      <c r="M105" s="11">
        <v>2.0</v>
      </c>
      <c r="N105" s="11">
        <v>19.0</v>
      </c>
      <c r="O105" s="11">
        <v>24.0</v>
      </c>
      <c r="P105" s="11">
        <v>-5.0</v>
      </c>
      <c r="Q105" s="11">
        <v>20.0</v>
      </c>
      <c r="R105" s="11">
        <v>19.0</v>
      </c>
      <c r="S105" s="11">
        <v>7.0</v>
      </c>
      <c r="T105" s="11">
        <v>18.0</v>
      </c>
      <c r="U105" s="11">
        <v>17.0</v>
      </c>
      <c r="V105" s="11">
        <v>17.0</v>
      </c>
      <c r="W105" s="11">
        <v>2.0</v>
      </c>
      <c r="X105" s="11">
        <v>1.0</v>
      </c>
    </row>
    <row r="106" ht="14.25" customHeight="1">
      <c r="A106" s="11"/>
      <c r="B106" s="11">
        <v>7.0</v>
      </c>
      <c r="C106" s="11" t="s">
        <v>95</v>
      </c>
      <c r="D106" s="11">
        <v>6.0</v>
      </c>
      <c r="E106" s="11">
        <v>2.0</v>
      </c>
      <c r="F106" s="11">
        <v>4.0</v>
      </c>
      <c r="G106" s="11"/>
      <c r="H106" s="11" t="s">
        <v>208</v>
      </c>
      <c r="I106" s="11" t="s">
        <v>171</v>
      </c>
      <c r="J106" s="11" t="s">
        <v>775</v>
      </c>
      <c r="K106" s="11"/>
      <c r="L106" s="11"/>
      <c r="M106" s="11">
        <v>7.0</v>
      </c>
      <c r="N106" s="11">
        <v>80.0</v>
      </c>
      <c r="O106" s="11">
        <v>99.0</v>
      </c>
      <c r="P106" s="11">
        <v>-19.0</v>
      </c>
      <c r="Q106" s="11">
        <v>76.0</v>
      </c>
      <c r="R106" s="11">
        <v>75.0</v>
      </c>
      <c r="S106" s="11">
        <v>77.0</v>
      </c>
      <c r="T106" s="11">
        <v>64.0</v>
      </c>
      <c r="U106" s="11">
        <v>89.0</v>
      </c>
      <c r="V106" s="11">
        <v>80.0</v>
      </c>
      <c r="W106" s="11">
        <v>-5.0</v>
      </c>
      <c r="X106" s="11">
        <v>33.0</v>
      </c>
    </row>
    <row r="107" ht="14.25" customHeight="1">
      <c r="A107" s="11"/>
      <c r="B107" s="11">
        <v>14.0</v>
      </c>
      <c r="C107" s="11" t="s">
        <v>106</v>
      </c>
      <c r="D107" s="11"/>
      <c r="E107" s="11">
        <v>2.0</v>
      </c>
      <c r="F107" s="11" t="s">
        <v>866</v>
      </c>
      <c r="G107" s="11"/>
      <c r="H107" s="11" t="s">
        <v>826</v>
      </c>
      <c r="I107" s="11" t="s">
        <v>102</v>
      </c>
      <c r="J107" s="11" t="s">
        <v>775</v>
      </c>
      <c r="K107" s="11"/>
      <c r="L107" s="11"/>
      <c r="M107" s="11">
        <v>16.0</v>
      </c>
      <c r="N107" s="11">
        <v>190.0</v>
      </c>
      <c r="O107" s="11">
        <v>214.0</v>
      </c>
      <c r="P107" s="11">
        <v>-24.0</v>
      </c>
      <c r="Q107" s="11">
        <v>170.0</v>
      </c>
      <c r="R107" s="11">
        <v>211.0</v>
      </c>
      <c r="S107" s="11">
        <v>162.0</v>
      </c>
      <c r="T107" s="11">
        <v>150.0</v>
      </c>
      <c r="U107" s="11">
        <v>126.0</v>
      </c>
      <c r="V107" s="11">
        <v>174.0</v>
      </c>
      <c r="W107" s="11">
        <v>37.0</v>
      </c>
      <c r="X107" s="11" t="s">
        <v>866</v>
      </c>
    </row>
    <row r="108" ht="14.25" customHeight="1">
      <c r="A108" s="11" t="s">
        <v>106</v>
      </c>
      <c r="B108" s="11">
        <v>5.0</v>
      </c>
      <c r="C108" s="11" t="s">
        <v>95</v>
      </c>
      <c r="D108" s="11">
        <v>2.0</v>
      </c>
      <c r="E108" s="11">
        <v>2.0</v>
      </c>
      <c r="F108" s="11">
        <v>0.0</v>
      </c>
      <c r="G108" s="11"/>
      <c r="H108" s="11" t="s">
        <v>261</v>
      </c>
      <c r="I108" s="11" t="s">
        <v>176</v>
      </c>
      <c r="J108" s="11" t="s">
        <v>775</v>
      </c>
      <c r="K108" s="11"/>
      <c r="L108" s="11"/>
      <c r="M108" s="11">
        <v>5.0</v>
      </c>
      <c r="N108" s="11">
        <v>50.0</v>
      </c>
      <c r="O108" s="11">
        <v>53.0</v>
      </c>
      <c r="P108" s="11">
        <v>-3.0</v>
      </c>
      <c r="Q108" s="11">
        <v>58.0</v>
      </c>
      <c r="R108" s="11">
        <v>59.0</v>
      </c>
      <c r="S108" s="11">
        <v>50.0</v>
      </c>
      <c r="T108" s="11">
        <v>47.0</v>
      </c>
      <c r="U108" s="11">
        <v>56.0</v>
      </c>
      <c r="V108" s="11">
        <v>53.0</v>
      </c>
      <c r="W108" s="11">
        <v>6.0</v>
      </c>
      <c r="X108" s="11">
        <v>26.0</v>
      </c>
    </row>
    <row r="109" ht="14.25" customHeight="1">
      <c r="A109" s="11"/>
      <c r="B109" s="11">
        <v>12.0</v>
      </c>
      <c r="C109" s="11" t="s">
        <v>95</v>
      </c>
      <c r="D109" s="11">
        <v>3.0</v>
      </c>
      <c r="E109" s="11">
        <v>2.0</v>
      </c>
      <c r="F109" s="11">
        <v>1.0</v>
      </c>
      <c r="G109" s="11" t="s">
        <v>106</v>
      </c>
      <c r="H109" s="48" t="s">
        <v>869</v>
      </c>
      <c r="I109" s="48" t="s">
        <v>109</v>
      </c>
      <c r="J109" s="11" t="s">
        <v>775</v>
      </c>
      <c r="K109" s="48"/>
      <c r="L109" s="11"/>
      <c r="M109" s="11">
        <v>18.0</v>
      </c>
      <c r="N109" s="11">
        <v>205.0</v>
      </c>
      <c r="O109" s="11" t="s">
        <v>36</v>
      </c>
      <c r="P109" s="11" t="e">
        <v>#VALUE!</v>
      </c>
      <c r="Q109" s="11" t="s">
        <v>36</v>
      </c>
      <c r="R109" s="11">
        <v>319.0</v>
      </c>
      <c r="S109" s="11">
        <v>229.0</v>
      </c>
      <c r="T109" s="11">
        <v>218.0</v>
      </c>
      <c r="U109" s="11">
        <v>191.0</v>
      </c>
      <c r="V109" s="11">
        <v>232.0</v>
      </c>
      <c r="W109" s="11">
        <v>87.0</v>
      </c>
      <c r="X109" s="11" t="s">
        <v>866</v>
      </c>
    </row>
    <row r="110" ht="14.25" customHeight="1">
      <c r="A110" s="11"/>
      <c r="B110" s="11">
        <v>8.0</v>
      </c>
      <c r="C110" s="11" t="s">
        <v>95</v>
      </c>
      <c r="D110" s="11">
        <v>3.0</v>
      </c>
      <c r="E110" s="11">
        <v>2.0</v>
      </c>
      <c r="F110" s="11">
        <v>1.0</v>
      </c>
      <c r="G110" s="11" t="s">
        <v>106</v>
      </c>
      <c r="H110" s="11" t="s">
        <v>303</v>
      </c>
      <c r="I110" s="11" t="s">
        <v>75</v>
      </c>
      <c r="J110" s="11" t="s">
        <v>775</v>
      </c>
      <c r="K110" s="11"/>
      <c r="L110" s="11"/>
      <c r="M110" s="11">
        <v>7.0</v>
      </c>
      <c r="N110" s="11">
        <v>81.0</v>
      </c>
      <c r="O110" s="11">
        <v>103.0</v>
      </c>
      <c r="P110" s="11">
        <v>-22.0</v>
      </c>
      <c r="Q110" s="11">
        <v>110.0</v>
      </c>
      <c r="R110" s="11">
        <v>93.0</v>
      </c>
      <c r="S110" s="11">
        <v>95.0</v>
      </c>
      <c r="T110" s="11">
        <v>84.0</v>
      </c>
      <c r="U110" s="11">
        <v>94.0</v>
      </c>
      <c r="V110" s="11">
        <v>94.0</v>
      </c>
      <c r="W110" s="11">
        <v>-1.0</v>
      </c>
      <c r="X110" s="11">
        <v>36.0</v>
      </c>
    </row>
    <row r="111" ht="14.25" customHeight="1">
      <c r="A111" s="11"/>
      <c r="B111" s="11">
        <v>11.0</v>
      </c>
      <c r="C111" s="11" t="s">
        <v>95</v>
      </c>
      <c r="D111" s="11">
        <v>5.0</v>
      </c>
      <c r="E111" s="11">
        <v>3.0</v>
      </c>
      <c r="F111" s="11">
        <v>2.0</v>
      </c>
      <c r="G111" s="11"/>
      <c r="H111" s="11" t="s">
        <v>244</v>
      </c>
      <c r="I111" s="11" t="s">
        <v>171</v>
      </c>
      <c r="J111" s="11" t="s">
        <v>770</v>
      </c>
      <c r="K111" s="11"/>
      <c r="L111" s="11"/>
      <c r="M111" s="11">
        <v>11.0</v>
      </c>
      <c r="N111" s="11">
        <v>126.0</v>
      </c>
      <c r="O111" s="11">
        <v>120.0</v>
      </c>
      <c r="P111" s="11">
        <v>6.0</v>
      </c>
      <c r="Q111" s="11">
        <v>112.0</v>
      </c>
      <c r="R111" s="11">
        <v>155.0</v>
      </c>
      <c r="S111" s="11">
        <v>124.0</v>
      </c>
      <c r="T111" s="11">
        <v>109.0</v>
      </c>
      <c r="U111" s="11">
        <v>114.0</v>
      </c>
      <c r="V111" s="11">
        <v>122.0</v>
      </c>
      <c r="W111" s="11">
        <v>33.0</v>
      </c>
      <c r="X111" s="11">
        <v>13.0</v>
      </c>
    </row>
    <row r="112" ht="14.25" customHeight="1">
      <c r="A112" s="11"/>
      <c r="B112" s="11">
        <v>10.0</v>
      </c>
      <c r="C112" s="11" t="s">
        <v>106</v>
      </c>
      <c r="D112" s="11"/>
      <c r="E112" s="11">
        <v>2.0</v>
      </c>
      <c r="F112" s="11" t="s">
        <v>866</v>
      </c>
      <c r="G112" s="11"/>
      <c r="H112" s="11" t="s">
        <v>391</v>
      </c>
      <c r="I112" s="11" t="s">
        <v>52</v>
      </c>
      <c r="J112" s="11" t="s">
        <v>772</v>
      </c>
      <c r="K112" s="11"/>
      <c r="L112" s="11"/>
      <c r="M112" s="11">
        <v>9.0</v>
      </c>
      <c r="N112" s="11">
        <v>104.0</v>
      </c>
      <c r="O112" s="11">
        <v>92.0</v>
      </c>
      <c r="P112" s="11">
        <v>12.0</v>
      </c>
      <c r="Q112" s="11">
        <v>129.0</v>
      </c>
      <c r="R112" s="11">
        <v>114.0</v>
      </c>
      <c r="S112" s="11">
        <v>86.0</v>
      </c>
      <c r="T112" s="11">
        <v>92.0</v>
      </c>
      <c r="U112" s="11">
        <v>153.0</v>
      </c>
      <c r="V112" s="11">
        <v>110.0</v>
      </c>
      <c r="W112" s="11">
        <v>4.0</v>
      </c>
      <c r="X112" s="11">
        <v>31.0</v>
      </c>
    </row>
    <row r="113" ht="14.25" customHeight="1">
      <c r="A113" s="11"/>
      <c r="B113" s="11">
        <v>5.0</v>
      </c>
      <c r="C113" s="11" t="s">
        <v>95</v>
      </c>
      <c r="D113" s="11">
        <v>1.0</v>
      </c>
      <c r="E113" s="11">
        <v>2.0</v>
      </c>
      <c r="F113" s="11">
        <v>-1.0</v>
      </c>
      <c r="G113" s="11" t="s">
        <v>106</v>
      </c>
      <c r="H113" s="48" t="s">
        <v>203</v>
      </c>
      <c r="I113" s="48" t="s">
        <v>35</v>
      </c>
      <c r="J113" s="11" t="s">
        <v>775</v>
      </c>
      <c r="K113" s="48"/>
      <c r="L113" s="11"/>
      <c r="M113" s="11">
        <v>6.0</v>
      </c>
      <c r="N113" s="11">
        <v>60.0</v>
      </c>
      <c r="O113" s="11">
        <v>64.0</v>
      </c>
      <c r="P113" s="11">
        <v>-4.0</v>
      </c>
      <c r="Q113" s="11">
        <v>65.0</v>
      </c>
      <c r="R113" s="11">
        <v>64.0</v>
      </c>
      <c r="S113" s="11">
        <v>57.0</v>
      </c>
      <c r="T113" s="11">
        <v>53.0</v>
      </c>
      <c r="U113" s="11">
        <v>51.0</v>
      </c>
      <c r="V113" s="11">
        <v>59.0</v>
      </c>
      <c r="W113" s="11">
        <v>5.0</v>
      </c>
      <c r="X113" s="11">
        <v>23.0</v>
      </c>
    </row>
    <row r="114" ht="14.25" customHeight="1">
      <c r="A114" s="11"/>
      <c r="B114" s="11">
        <v>12.0</v>
      </c>
      <c r="C114" s="11" t="s">
        <v>95</v>
      </c>
      <c r="D114" s="11">
        <v>3.0</v>
      </c>
      <c r="E114" s="11">
        <v>1.0</v>
      </c>
      <c r="F114" s="11">
        <v>2.0</v>
      </c>
      <c r="G114" s="11"/>
      <c r="H114" s="11" t="s">
        <v>328</v>
      </c>
      <c r="I114" s="11" t="s">
        <v>85</v>
      </c>
      <c r="J114" s="11" t="s">
        <v>781</v>
      </c>
      <c r="K114" s="11"/>
      <c r="L114" s="11"/>
      <c r="M114" s="11">
        <v>12.0</v>
      </c>
      <c r="N114" s="11">
        <v>138.0</v>
      </c>
      <c r="O114" s="11">
        <v>124.0</v>
      </c>
      <c r="P114" s="11">
        <v>14.0</v>
      </c>
      <c r="Q114" s="11">
        <v>131.0</v>
      </c>
      <c r="R114" s="11">
        <v>170.0</v>
      </c>
      <c r="S114" s="11">
        <v>123.0</v>
      </c>
      <c r="T114" s="11">
        <v>152.0</v>
      </c>
      <c r="U114" s="11">
        <v>142.0</v>
      </c>
      <c r="V114" s="11">
        <v>140.0</v>
      </c>
      <c r="W114" s="11">
        <v>30.0</v>
      </c>
      <c r="X114" s="11" t="s">
        <v>866</v>
      </c>
    </row>
    <row r="115" ht="14.25" customHeight="1">
      <c r="A115" s="11"/>
      <c r="B115" s="11">
        <v>10.0</v>
      </c>
      <c r="C115" s="11" t="s">
        <v>95</v>
      </c>
      <c r="D115" s="11">
        <v>2.0</v>
      </c>
      <c r="E115" s="11">
        <v>1.0</v>
      </c>
      <c r="F115" s="11">
        <v>1.0</v>
      </c>
      <c r="G115" s="11"/>
      <c r="H115" s="11" t="s">
        <v>672</v>
      </c>
      <c r="I115" s="11" t="s">
        <v>67</v>
      </c>
      <c r="J115" s="11" t="s">
        <v>775</v>
      </c>
      <c r="K115" s="11"/>
      <c r="L115" s="11"/>
      <c r="M115" s="11">
        <v>10.0</v>
      </c>
      <c r="N115" s="11">
        <v>118.0</v>
      </c>
      <c r="O115" s="11">
        <v>113.0</v>
      </c>
      <c r="P115" s="11">
        <v>5.0</v>
      </c>
      <c r="Q115" s="11">
        <v>111.0</v>
      </c>
      <c r="R115" s="11">
        <v>126.0</v>
      </c>
      <c r="S115" s="11">
        <v>102.0</v>
      </c>
      <c r="T115" s="11">
        <v>99.0</v>
      </c>
      <c r="U115" s="11">
        <v>139.0</v>
      </c>
      <c r="V115" s="11">
        <v>115.0</v>
      </c>
      <c r="W115" s="11">
        <v>11.0</v>
      </c>
      <c r="X115" s="11">
        <v>51.0</v>
      </c>
    </row>
    <row r="116" ht="14.25" customHeight="1">
      <c r="A116" s="11" t="s">
        <v>106</v>
      </c>
      <c r="B116" s="11">
        <v>15.0</v>
      </c>
      <c r="C116" s="11" t="s">
        <v>95</v>
      </c>
      <c r="D116" s="11">
        <v>1.0</v>
      </c>
      <c r="E116" s="11">
        <v>1.0</v>
      </c>
      <c r="F116" s="11">
        <v>0.0</v>
      </c>
      <c r="G116" s="11" t="s">
        <v>1123</v>
      </c>
      <c r="H116" s="11" t="s">
        <v>876</v>
      </c>
      <c r="I116" s="11" t="s">
        <v>195</v>
      </c>
      <c r="J116" s="11" t="s">
        <v>772</v>
      </c>
      <c r="K116" s="80"/>
      <c r="L116" s="11"/>
      <c r="M116" s="11">
        <v>14.0</v>
      </c>
      <c r="N116" s="11">
        <v>157.0</v>
      </c>
      <c r="O116" s="11">
        <v>147.0</v>
      </c>
      <c r="P116" s="11">
        <v>10.0</v>
      </c>
      <c r="Q116" s="11">
        <v>147.0</v>
      </c>
      <c r="R116" s="11">
        <v>181.0</v>
      </c>
      <c r="S116" s="11">
        <v>146.0</v>
      </c>
      <c r="T116" s="11">
        <v>151.0</v>
      </c>
      <c r="U116" s="11">
        <v>244.0</v>
      </c>
      <c r="V116" s="11">
        <v>167.0</v>
      </c>
      <c r="W116" s="11">
        <v>14.0</v>
      </c>
      <c r="X116" s="11">
        <v>56.0</v>
      </c>
    </row>
    <row r="117" ht="14.25" customHeight="1">
      <c r="A117" s="11"/>
      <c r="B117" s="11">
        <v>16.0</v>
      </c>
      <c r="C117" s="11" t="s">
        <v>106</v>
      </c>
      <c r="D117" s="11"/>
      <c r="E117" s="11">
        <v>5.0</v>
      </c>
      <c r="F117" s="11" t="s">
        <v>866</v>
      </c>
      <c r="G117" s="11" t="s">
        <v>106</v>
      </c>
      <c r="H117" s="11" t="s">
        <v>639</v>
      </c>
      <c r="I117" s="11" t="s">
        <v>94</v>
      </c>
      <c r="J117" s="11" t="s">
        <v>770</v>
      </c>
      <c r="K117" s="11"/>
      <c r="L117" s="11"/>
      <c r="M117" s="11">
        <v>17.0</v>
      </c>
      <c r="N117" s="11">
        <v>198.0</v>
      </c>
      <c r="O117" s="11">
        <v>154.0</v>
      </c>
      <c r="P117" s="11">
        <v>44.0</v>
      </c>
      <c r="Q117" s="11">
        <v>166.0</v>
      </c>
      <c r="R117" s="11">
        <v>217.0</v>
      </c>
      <c r="S117" s="11">
        <v>183.0</v>
      </c>
      <c r="T117" s="11">
        <v>174.0</v>
      </c>
      <c r="U117" s="11">
        <v>193.0</v>
      </c>
      <c r="V117" s="11">
        <v>183.0</v>
      </c>
      <c r="W117" s="11">
        <v>34.0</v>
      </c>
      <c r="X117" s="11">
        <v>20.0</v>
      </c>
    </row>
    <row r="118" ht="14.25" customHeight="1">
      <c r="A118" s="11"/>
      <c r="B118" s="11">
        <v>10.0</v>
      </c>
      <c r="C118" s="11" t="s">
        <v>95</v>
      </c>
      <c r="D118" s="11">
        <v>1.0</v>
      </c>
      <c r="E118" s="11">
        <v>5.0</v>
      </c>
      <c r="F118" s="11">
        <v>-4.0</v>
      </c>
      <c r="G118" s="11" t="s">
        <v>106</v>
      </c>
      <c r="H118" s="11" t="s">
        <v>346</v>
      </c>
      <c r="I118" s="11" t="s">
        <v>35</v>
      </c>
      <c r="J118" s="11" t="s">
        <v>770</v>
      </c>
      <c r="K118" s="11"/>
      <c r="L118" s="11"/>
      <c r="M118" s="11">
        <v>9.0</v>
      </c>
      <c r="N118" s="11">
        <v>97.0</v>
      </c>
      <c r="O118" s="11">
        <v>93.0</v>
      </c>
      <c r="P118" s="11">
        <v>4.0</v>
      </c>
      <c r="Q118" s="11">
        <v>123.0</v>
      </c>
      <c r="R118" s="11">
        <v>115.0</v>
      </c>
      <c r="S118" s="11">
        <v>132.0</v>
      </c>
      <c r="T118" s="11">
        <v>103.0</v>
      </c>
      <c r="U118" s="11">
        <v>105.0</v>
      </c>
      <c r="V118" s="11">
        <v>109.0</v>
      </c>
      <c r="W118" s="11">
        <v>6.0</v>
      </c>
      <c r="X118" s="11">
        <v>16.0</v>
      </c>
    </row>
    <row r="119" ht="14.25" customHeight="1">
      <c r="A119" s="11"/>
      <c r="B119" s="11">
        <v>10.0</v>
      </c>
      <c r="C119" s="11" t="s">
        <v>95</v>
      </c>
      <c r="D119" s="11">
        <v>2.0</v>
      </c>
      <c r="E119" s="11">
        <v>1.0</v>
      </c>
      <c r="F119" s="11">
        <v>1.0</v>
      </c>
      <c r="G119" s="11" t="s">
        <v>1123</v>
      </c>
      <c r="H119" s="11" t="s">
        <v>278</v>
      </c>
      <c r="I119" s="11" t="s">
        <v>176</v>
      </c>
      <c r="J119" s="11" t="s">
        <v>772</v>
      </c>
      <c r="K119" s="11"/>
      <c r="L119" s="11"/>
      <c r="M119" s="11">
        <v>9.0</v>
      </c>
      <c r="N119" s="11">
        <v>107.0</v>
      </c>
      <c r="O119" s="11">
        <v>102.0</v>
      </c>
      <c r="P119" s="11">
        <v>5.0</v>
      </c>
      <c r="Q119" s="11">
        <v>98.0</v>
      </c>
      <c r="R119" s="11">
        <v>119.0</v>
      </c>
      <c r="S119" s="11">
        <v>93.0</v>
      </c>
      <c r="T119" s="11">
        <v>98.0</v>
      </c>
      <c r="U119" s="11">
        <v>136.0</v>
      </c>
      <c r="V119" s="11">
        <v>107.0</v>
      </c>
      <c r="W119" s="11">
        <v>12.0</v>
      </c>
      <c r="X119" s="11">
        <v>29.0</v>
      </c>
    </row>
    <row r="120" ht="14.25" customHeight="1">
      <c r="A120" s="11"/>
      <c r="B120" s="11" t="e">
        <v>#N/A</v>
      </c>
      <c r="C120" s="11" t="s">
        <v>95</v>
      </c>
      <c r="D120" s="11">
        <v>2.0</v>
      </c>
      <c r="E120" s="11">
        <v>1.0</v>
      </c>
      <c r="F120" s="11">
        <v>1.0</v>
      </c>
      <c r="G120" s="11" t="s">
        <v>1123</v>
      </c>
      <c r="H120" s="11" t="s">
        <v>875</v>
      </c>
      <c r="I120" s="11" t="e">
        <v>#N/A</v>
      </c>
      <c r="J120" s="11" t="e">
        <v>#N/A</v>
      </c>
      <c r="K120" s="11"/>
      <c r="L120" s="11"/>
      <c r="M120" s="11">
        <v>16.0</v>
      </c>
      <c r="N120" s="11" t="e">
        <v>#N/A</v>
      </c>
      <c r="O120" s="11" t="e">
        <v>#N/A</v>
      </c>
      <c r="P120" s="11" t="e">
        <v>#N/A</v>
      </c>
      <c r="Q120" s="11" t="e">
        <v>#N/A</v>
      </c>
      <c r="R120" s="11" t="e">
        <v>#N/A</v>
      </c>
      <c r="S120" s="11" t="e">
        <v>#N/A</v>
      </c>
      <c r="T120" s="11" t="e">
        <v>#N/A</v>
      </c>
      <c r="U120" s="11" t="e">
        <v>#N/A</v>
      </c>
      <c r="V120" s="11" t="e">
        <v>#N/A</v>
      </c>
      <c r="W120" s="11" t="e">
        <v>#N/A</v>
      </c>
      <c r="X120" s="11" t="e">
        <v>#N/A</v>
      </c>
    </row>
    <row r="121" ht="14.25" customHeight="1">
      <c r="A121" s="11"/>
      <c r="B121" s="11" t="e">
        <v>#N/A</v>
      </c>
      <c r="C121" s="11" t="s">
        <v>95</v>
      </c>
      <c r="D121" s="11">
        <v>3.0</v>
      </c>
      <c r="E121" s="11">
        <v>1.0</v>
      </c>
      <c r="F121" s="11">
        <v>2.0</v>
      </c>
      <c r="G121" s="11"/>
      <c r="H121" s="11" t="s">
        <v>877</v>
      </c>
      <c r="I121" s="11" t="e">
        <v>#N/A</v>
      </c>
      <c r="J121" s="11" t="e">
        <v>#N/A</v>
      </c>
      <c r="K121" s="11"/>
      <c r="L121" s="11"/>
      <c r="M121" s="11">
        <v>16.0</v>
      </c>
      <c r="N121" s="11" t="e">
        <v>#N/A</v>
      </c>
      <c r="O121" s="11" t="e">
        <v>#N/A</v>
      </c>
      <c r="P121" s="11" t="e">
        <v>#N/A</v>
      </c>
      <c r="Q121" s="11" t="e">
        <v>#N/A</v>
      </c>
      <c r="R121" s="11" t="e">
        <v>#N/A</v>
      </c>
      <c r="S121" s="11" t="e">
        <v>#N/A</v>
      </c>
      <c r="T121" s="11" t="e">
        <v>#N/A</v>
      </c>
      <c r="U121" s="11" t="e">
        <v>#N/A</v>
      </c>
      <c r="V121" s="11" t="e">
        <v>#N/A</v>
      </c>
      <c r="W121" s="11" t="e">
        <v>#N/A</v>
      </c>
      <c r="X121" s="11" t="e">
        <v>#N/A</v>
      </c>
    </row>
    <row r="122" ht="14.25" customHeight="1">
      <c r="A122" s="11"/>
      <c r="B122" s="11">
        <v>14.0</v>
      </c>
      <c r="C122" s="11" t="s">
        <v>106</v>
      </c>
      <c r="D122" s="11"/>
      <c r="E122" s="11">
        <v>3.0</v>
      </c>
      <c r="F122" s="11" t="s">
        <v>866</v>
      </c>
      <c r="G122" s="11"/>
      <c r="H122" s="11" t="s">
        <v>268</v>
      </c>
      <c r="I122" s="11" t="s">
        <v>206</v>
      </c>
      <c r="J122" s="11" t="s">
        <v>770</v>
      </c>
      <c r="K122" s="11"/>
      <c r="L122" s="11"/>
      <c r="M122" s="11">
        <v>15.0</v>
      </c>
      <c r="N122" s="11">
        <v>168.0</v>
      </c>
      <c r="O122" s="11">
        <v>151.0</v>
      </c>
      <c r="P122" s="11">
        <v>17.0</v>
      </c>
      <c r="Q122" s="11">
        <v>172.0</v>
      </c>
      <c r="R122" s="11">
        <v>162.0</v>
      </c>
      <c r="S122" s="11">
        <v>144.0</v>
      </c>
      <c r="T122" s="11">
        <v>138.0</v>
      </c>
      <c r="U122" s="11">
        <v>178.0</v>
      </c>
      <c r="V122" s="11">
        <v>159.0</v>
      </c>
      <c r="W122" s="11">
        <v>3.0</v>
      </c>
      <c r="X122" s="11">
        <v>19.0</v>
      </c>
    </row>
    <row r="123" ht="14.25" customHeight="1">
      <c r="A123" s="11"/>
      <c r="B123" s="11">
        <v>9.0</v>
      </c>
      <c r="C123" s="11" t="s">
        <v>95</v>
      </c>
      <c r="D123" s="11">
        <v>1.0</v>
      </c>
      <c r="E123" s="11">
        <v>1.0</v>
      </c>
      <c r="F123" s="11">
        <v>0.0</v>
      </c>
      <c r="G123" s="11" t="s">
        <v>106</v>
      </c>
      <c r="H123" s="11" t="s">
        <v>374</v>
      </c>
      <c r="I123" s="11" t="s">
        <v>67</v>
      </c>
      <c r="J123" s="11" t="s">
        <v>775</v>
      </c>
      <c r="K123" s="11"/>
      <c r="L123" s="11"/>
      <c r="M123" s="11">
        <v>8.0</v>
      </c>
      <c r="N123" s="11">
        <v>93.0</v>
      </c>
      <c r="O123" s="11">
        <v>118.0</v>
      </c>
      <c r="P123" s="11">
        <v>-25.0</v>
      </c>
      <c r="Q123" s="11">
        <v>108.0</v>
      </c>
      <c r="R123" s="11">
        <v>116.0</v>
      </c>
      <c r="S123" s="11">
        <v>103.0</v>
      </c>
      <c r="T123" s="11">
        <v>88.0</v>
      </c>
      <c r="U123" s="11">
        <v>102.0</v>
      </c>
      <c r="V123" s="11">
        <v>104.0</v>
      </c>
      <c r="W123" s="11">
        <v>12.0</v>
      </c>
      <c r="X123" s="11">
        <v>45.0</v>
      </c>
    </row>
    <row r="124" ht="14.25" customHeight="1">
      <c r="A124" s="11"/>
      <c r="B124" s="11">
        <v>21.0</v>
      </c>
      <c r="C124" s="11" t="s">
        <v>106</v>
      </c>
      <c r="D124" s="11"/>
      <c r="E124" s="11"/>
      <c r="F124" s="11" t="s">
        <v>866</v>
      </c>
      <c r="G124" s="11"/>
      <c r="H124" s="11" t="s">
        <v>420</v>
      </c>
      <c r="I124" s="11" t="s">
        <v>119</v>
      </c>
      <c r="J124" s="11" t="s">
        <v>781</v>
      </c>
      <c r="K124" s="11"/>
      <c r="L124" s="11"/>
      <c r="M124" s="11">
        <v>21.0</v>
      </c>
      <c r="N124" s="11">
        <v>241.0</v>
      </c>
      <c r="O124" s="11" t="s">
        <v>36</v>
      </c>
      <c r="P124" s="11" t="e">
        <v>#VALUE!</v>
      </c>
      <c r="Q124" s="11">
        <v>267.0</v>
      </c>
      <c r="R124" s="11">
        <v>287.0</v>
      </c>
      <c r="S124" s="11">
        <v>210.0</v>
      </c>
      <c r="T124" s="11">
        <v>248.0</v>
      </c>
      <c r="U124" s="11">
        <v>216.0</v>
      </c>
      <c r="V124" s="11">
        <v>244.0</v>
      </c>
      <c r="W124" s="11">
        <v>43.0</v>
      </c>
      <c r="X124" s="11" t="s">
        <v>866</v>
      </c>
    </row>
    <row r="125" ht="14.25" customHeight="1">
      <c r="A125" s="11"/>
      <c r="B125" s="11">
        <v>15.0</v>
      </c>
      <c r="C125" s="11" t="s">
        <v>95</v>
      </c>
      <c r="D125" s="11">
        <v>1.0</v>
      </c>
      <c r="E125" s="11">
        <v>1.0</v>
      </c>
      <c r="F125" s="11">
        <v>0.0</v>
      </c>
      <c r="G125" s="11" t="s">
        <v>106</v>
      </c>
      <c r="H125" s="11" t="s">
        <v>380</v>
      </c>
      <c r="I125" s="11" t="s">
        <v>40</v>
      </c>
      <c r="J125" s="11" t="s">
        <v>772</v>
      </c>
      <c r="K125" s="11"/>
      <c r="L125" s="11"/>
      <c r="M125" s="11">
        <v>14.0</v>
      </c>
      <c r="N125" s="11">
        <v>167.0</v>
      </c>
      <c r="O125" s="11">
        <v>172.0</v>
      </c>
      <c r="P125" s="11">
        <v>-5.0</v>
      </c>
      <c r="Q125" s="11">
        <v>161.0</v>
      </c>
      <c r="R125" s="11">
        <v>199.0</v>
      </c>
      <c r="S125" s="11">
        <v>151.0</v>
      </c>
      <c r="T125" s="11">
        <v>154.0</v>
      </c>
      <c r="U125" s="11">
        <v>184.0</v>
      </c>
      <c r="V125" s="11">
        <v>169.0</v>
      </c>
      <c r="W125" s="11">
        <v>30.0</v>
      </c>
      <c r="X125" s="11">
        <v>46.0</v>
      </c>
    </row>
    <row r="126" ht="14.25" customHeight="1">
      <c r="A126" s="11"/>
      <c r="B126" s="11">
        <v>17.0</v>
      </c>
      <c r="C126" s="11" t="s">
        <v>106</v>
      </c>
      <c r="D126" s="11"/>
      <c r="E126" s="11">
        <v>1.0</v>
      </c>
      <c r="F126" s="11" t="s">
        <v>866</v>
      </c>
      <c r="G126" s="11"/>
      <c r="H126" s="11" t="s">
        <v>359</v>
      </c>
      <c r="I126" s="11" t="s">
        <v>154</v>
      </c>
      <c r="J126" s="11" t="s">
        <v>775</v>
      </c>
      <c r="K126" s="11"/>
      <c r="L126" s="11"/>
      <c r="M126" s="11">
        <v>18.0</v>
      </c>
      <c r="N126" s="11">
        <v>210.0</v>
      </c>
      <c r="O126" s="11">
        <v>205.0</v>
      </c>
      <c r="P126" s="11">
        <v>5.0</v>
      </c>
      <c r="Q126" s="11" t="s">
        <v>36</v>
      </c>
      <c r="R126" s="11">
        <v>219.0</v>
      </c>
      <c r="S126" s="11">
        <v>172.0</v>
      </c>
      <c r="T126" s="11">
        <v>163.0</v>
      </c>
      <c r="U126" s="11">
        <v>223.0</v>
      </c>
      <c r="V126" s="11">
        <v>198.0</v>
      </c>
      <c r="W126" s="11">
        <v>21.0</v>
      </c>
      <c r="X126" s="11" t="s">
        <v>866</v>
      </c>
    </row>
    <row r="127" ht="14.25" customHeight="1">
      <c r="A127" s="11"/>
      <c r="B127" s="11">
        <v>18.0</v>
      </c>
      <c r="C127" s="11" t="s">
        <v>95</v>
      </c>
      <c r="D127" s="11">
        <v>1.0</v>
      </c>
      <c r="E127" s="11">
        <v>1.0</v>
      </c>
      <c r="F127" s="11">
        <v>0.0</v>
      </c>
      <c r="G127" s="11"/>
      <c r="H127" s="11" t="s">
        <v>552</v>
      </c>
      <c r="I127" s="11" t="s">
        <v>237</v>
      </c>
      <c r="J127" s="11" t="s">
        <v>781</v>
      </c>
      <c r="K127" s="11"/>
      <c r="L127" s="11"/>
      <c r="M127" s="11">
        <v>17.0</v>
      </c>
      <c r="N127" s="11">
        <v>202.0</v>
      </c>
      <c r="O127" s="11" t="s">
        <v>36</v>
      </c>
      <c r="P127" s="11" t="e">
        <v>#VALUE!</v>
      </c>
      <c r="Q127" s="11">
        <v>198.0</v>
      </c>
      <c r="R127" s="11">
        <v>239.0</v>
      </c>
      <c r="S127" s="11">
        <v>196.0</v>
      </c>
      <c r="T127" s="11">
        <v>221.0</v>
      </c>
      <c r="U127" s="11">
        <v>176.0</v>
      </c>
      <c r="V127" s="11">
        <v>205.0</v>
      </c>
      <c r="W127" s="11">
        <v>34.0</v>
      </c>
      <c r="X127" s="11" t="s">
        <v>866</v>
      </c>
    </row>
    <row r="128" ht="14.25" customHeight="1">
      <c r="A128" s="11"/>
      <c r="B128" s="11">
        <v>8.0</v>
      </c>
      <c r="C128" s="11" t="s">
        <v>106</v>
      </c>
      <c r="D128" s="11"/>
      <c r="E128" s="11">
        <v>1.0</v>
      </c>
      <c r="F128" s="11" t="s">
        <v>866</v>
      </c>
      <c r="G128" s="11"/>
      <c r="H128" s="11" t="s">
        <v>342</v>
      </c>
      <c r="I128" s="11" t="s">
        <v>98</v>
      </c>
      <c r="J128" s="11" t="s">
        <v>775</v>
      </c>
      <c r="K128" s="11"/>
      <c r="L128" s="11"/>
      <c r="M128" s="11">
        <v>7.0</v>
      </c>
      <c r="N128" s="11">
        <v>83.0</v>
      </c>
      <c r="O128" s="11">
        <v>85.0</v>
      </c>
      <c r="P128" s="11">
        <v>-2.0</v>
      </c>
      <c r="Q128" s="11">
        <v>82.0</v>
      </c>
      <c r="R128" s="11">
        <v>86.0</v>
      </c>
      <c r="S128" s="11">
        <v>87.0</v>
      </c>
      <c r="T128" s="11">
        <v>73.0</v>
      </c>
      <c r="U128" s="11">
        <v>119.0</v>
      </c>
      <c r="V128" s="11">
        <v>87.0</v>
      </c>
      <c r="W128" s="11">
        <v>-1.0</v>
      </c>
      <c r="X128" s="11">
        <v>35.0</v>
      </c>
    </row>
    <row r="129" ht="14.25" customHeight="1">
      <c r="A129" s="11"/>
      <c r="B129" s="11">
        <v>10.0</v>
      </c>
      <c r="C129" s="11" t="s">
        <v>95</v>
      </c>
      <c r="D129" s="11">
        <v>2.0</v>
      </c>
      <c r="E129" s="11"/>
      <c r="F129" s="11">
        <v>2.0</v>
      </c>
      <c r="G129" s="11"/>
      <c r="H129" s="11" t="s">
        <v>266</v>
      </c>
      <c r="I129" s="11" t="s">
        <v>105</v>
      </c>
      <c r="J129" s="11" t="s">
        <v>770</v>
      </c>
      <c r="K129" s="11"/>
      <c r="L129" s="11"/>
      <c r="M129" s="11">
        <v>10.0</v>
      </c>
      <c r="N129" s="11">
        <v>109.0</v>
      </c>
      <c r="O129" s="11">
        <v>122.0</v>
      </c>
      <c r="P129" s="11">
        <v>-13.0</v>
      </c>
      <c r="Q129" s="11">
        <v>91.0</v>
      </c>
      <c r="R129" s="11">
        <v>122.0</v>
      </c>
      <c r="S129" s="11">
        <v>135.0</v>
      </c>
      <c r="T129" s="11">
        <v>120.0</v>
      </c>
      <c r="U129" s="11">
        <v>124.0</v>
      </c>
      <c r="V129" s="11">
        <v>117.0</v>
      </c>
      <c r="W129" s="11">
        <v>5.0</v>
      </c>
      <c r="X129" s="11">
        <v>17.0</v>
      </c>
    </row>
    <row r="130" ht="14.25" customHeight="1">
      <c r="A130" s="11"/>
      <c r="B130" s="11">
        <v>18.0</v>
      </c>
      <c r="C130" s="11" t="s">
        <v>95</v>
      </c>
      <c r="D130" s="11">
        <v>1.0</v>
      </c>
      <c r="E130" s="11">
        <v>1.0</v>
      </c>
      <c r="F130" s="11">
        <v>0.0</v>
      </c>
      <c r="G130" s="11"/>
      <c r="H130" s="80" t="s">
        <v>634</v>
      </c>
      <c r="I130" s="80" t="s">
        <v>94</v>
      </c>
      <c r="J130" s="11" t="s">
        <v>772</v>
      </c>
      <c r="K130" s="80"/>
      <c r="L130" s="11"/>
      <c r="M130" s="11">
        <v>15.0</v>
      </c>
      <c r="N130" s="11">
        <v>172.0</v>
      </c>
      <c r="O130" s="11" t="s">
        <v>36</v>
      </c>
      <c r="P130" s="11" t="e">
        <v>#VALUE!</v>
      </c>
      <c r="Q130" s="11">
        <v>194.0</v>
      </c>
      <c r="R130" s="11">
        <v>226.0</v>
      </c>
      <c r="S130" s="11">
        <v>185.0</v>
      </c>
      <c r="T130" s="11">
        <v>175.0</v>
      </c>
      <c r="U130" s="11">
        <v>241.0</v>
      </c>
      <c r="V130" s="11">
        <v>198.0</v>
      </c>
      <c r="W130" s="11">
        <v>28.0</v>
      </c>
      <c r="X130" s="11">
        <v>54.0</v>
      </c>
    </row>
    <row r="131" ht="14.25" customHeight="1">
      <c r="A131" s="11"/>
      <c r="B131" s="11">
        <v>12.0</v>
      </c>
      <c r="C131" s="11" t="s">
        <v>106</v>
      </c>
      <c r="D131" s="11"/>
      <c r="E131" s="11">
        <v>1.0</v>
      </c>
      <c r="F131" s="11" t="s">
        <v>866</v>
      </c>
      <c r="G131" s="11" t="s">
        <v>106</v>
      </c>
      <c r="H131" s="11" t="s">
        <v>385</v>
      </c>
      <c r="I131" s="11" t="s">
        <v>131</v>
      </c>
      <c r="J131" s="11" t="s">
        <v>775</v>
      </c>
      <c r="K131" s="11"/>
      <c r="L131" s="11"/>
      <c r="M131" s="11">
        <v>11.0</v>
      </c>
      <c r="N131" s="11">
        <v>124.0</v>
      </c>
      <c r="O131" s="11">
        <v>161.0</v>
      </c>
      <c r="P131" s="11">
        <v>-37.0</v>
      </c>
      <c r="Q131" s="11">
        <v>134.0</v>
      </c>
      <c r="R131" s="11">
        <v>133.0</v>
      </c>
      <c r="S131" s="11">
        <v>127.0</v>
      </c>
      <c r="T131" s="11">
        <v>117.0</v>
      </c>
      <c r="U131" s="11">
        <v>177.0</v>
      </c>
      <c r="V131" s="11">
        <v>139.0</v>
      </c>
      <c r="W131" s="11">
        <v>-6.0</v>
      </c>
      <c r="X131" s="11">
        <v>44.0</v>
      </c>
    </row>
    <row r="132" ht="14.25" customHeight="1">
      <c r="A132" s="11"/>
      <c r="B132" s="11">
        <v>6.0</v>
      </c>
      <c r="C132" s="11" t="s">
        <v>106</v>
      </c>
      <c r="D132" s="11"/>
      <c r="E132" s="11"/>
      <c r="F132" s="11" t="s">
        <v>866</v>
      </c>
      <c r="G132" s="11"/>
      <c r="H132" s="11" t="s">
        <v>426</v>
      </c>
      <c r="I132" s="11" t="s">
        <v>75</v>
      </c>
      <c r="J132" s="11" t="s">
        <v>781</v>
      </c>
      <c r="K132" s="11"/>
      <c r="L132" s="11"/>
      <c r="M132" s="11">
        <v>6.0</v>
      </c>
      <c r="N132" s="11">
        <v>64.0</v>
      </c>
      <c r="O132" s="11">
        <v>71.0</v>
      </c>
      <c r="P132" s="11">
        <v>-7.0</v>
      </c>
      <c r="Q132" s="11">
        <v>56.0</v>
      </c>
      <c r="R132" s="11">
        <v>82.0</v>
      </c>
      <c r="S132" s="11">
        <v>64.0</v>
      </c>
      <c r="T132" s="11">
        <v>80.0</v>
      </c>
      <c r="U132" s="11">
        <v>50.0</v>
      </c>
      <c r="V132" s="11">
        <v>66.0</v>
      </c>
      <c r="W132" s="11">
        <v>16.0</v>
      </c>
      <c r="X132" s="11">
        <v>5.0</v>
      </c>
    </row>
    <row r="133" ht="14.25" customHeight="1">
      <c r="A133" s="11"/>
      <c r="B133" s="11" t="e">
        <v>#N/A</v>
      </c>
      <c r="C133" s="11" t="s">
        <v>106</v>
      </c>
      <c r="D133" s="11"/>
      <c r="E133" s="11">
        <v>1.0</v>
      </c>
      <c r="F133" s="11" t="s">
        <v>866</v>
      </c>
      <c r="G133" s="11" t="s">
        <v>106</v>
      </c>
      <c r="H133" s="11" t="s">
        <v>881</v>
      </c>
      <c r="I133" s="11" t="e">
        <v>#N/A</v>
      </c>
      <c r="J133" s="11" t="e">
        <v>#N/A</v>
      </c>
      <c r="K133" s="11"/>
      <c r="L133" s="11"/>
      <c r="M133" s="11">
        <v>16.0</v>
      </c>
      <c r="N133" s="11" t="e">
        <v>#N/A</v>
      </c>
      <c r="O133" s="11" t="e">
        <v>#N/A</v>
      </c>
      <c r="P133" s="11" t="e">
        <v>#N/A</v>
      </c>
      <c r="Q133" s="11" t="e">
        <v>#N/A</v>
      </c>
      <c r="R133" s="11" t="e">
        <v>#N/A</v>
      </c>
      <c r="S133" s="11" t="e">
        <v>#N/A</v>
      </c>
      <c r="T133" s="11" t="e">
        <v>#N/A</v>
      </c>
      <c r="U133" s="11" t="e">
        <v>#N/A</v>
      </c>
      <c r="V133" s="11" t="e">
        <v>#N/A</v>
      </c>
      <c r="W133" s="11" t="e">
        <v>#N/A</v>
      </c>
      <c r="X133" s="11" t="e">
        <v>#N/A</v>
      </c>
    </row>
    <row r="134" ht="14.25" customHeight="1">
      <c r="A134" s="11"/>
      <c r="B134" s="11">
        <v>23.0</v>
      </c>
      <c r="C134" s="11" t="s">
        <v>95</v>
      </c>
      <c r="D134" s="11">
        <v>1.0</v>
      </c>
      <c r="E134" s="11">
        <v>4.0</v>
      </c>
      <c r="F134" s="11">
        <v>-3.0</v>
      </c>
      <c r="G134" s="11"/>
      <c r="H134" s="11" t="s">
        <v>651</v>
      </c>
      <c r="I134" s="11" t="s">
        <v>40</v>
      </c>
      <c r="J134" s="11" t="s">
        <v>770</v>
      </c>
      <c r="K134" s="11"/>
      <c r="L134" s="11"/>
      <c r="M134" s="11">
        <v>16.0</v>
      </c>
      <c r="N134" s="11" t="s">
        <v>36</v>
      </c>
      <c r="O134" s="11" t="s">
        <v>36</v>
      </c>
      <c r="P134" s="11" t="e">
        <v>#VALUE!</v>
      </c>
      <c r="Q134" s="11">
        <v>231.0</v>
      </c>
      <c r="R134" s="11" t="s">
        <v>36</v>
      </c>
      <c r="S134" s="11">
        <v>312.0</v>
      </c>
      <c r="T134" s="11" t="s">
        <v>36</v>
      </c>
      <c r="U134" s="11">
        <v>281.0</v>
      </c>
      <c r="V134" s="11">
        <v>274.0</v>
      </c>
      <c r="W134" s="11" t="e">
        <v>#VALUE!</v>
      </c>
      <c r="X134" s="11" t="s">
        <v>866</v>
      </c>
    </row>
    <row r="135" ht="14.25" customHeight="1">
      <c r="A135" s="11"/>
      <c r="B135" s="11">
        <v>23.0</v>
      </c>
      <c r="C135" s="11" t="s">
        <v>95</v>
      </c>
      <c r="D135" s="11">
        <v>1.0</v>
      </c>
      <c r="E135" s="11">
        <v>1.0</v>
      </c>
      <c r="F135" s="11">
        <v>0.0</v>
      </c>
      <c r="G135" s="11" t="s">
        <v>1122</v>
      </c>
      <c r="H135" s="11" t="s">
        <v>439</v>
      </c>
      <c r="I135" s="11" t="s">
        <v>154</v>
      </c>
      <c r="J135" s="11" t="s">
        <v>772</v>
      </c>
      <c r="K135" s="11"/>
      <c r="L135" s="11"/>
      <c r="M135" s="11">
        <v>21.0</v>
      </c>
      <c r="N135" s="11">
        <v>247.0</v>
      </c>
      <c r="O135" s="11" t="s">
        <v>36</v>
      </c>
      <c r="P135" s="11" t="e">
        <v>#VALUE!</v>
      </c>
      <c r="Q135" s="11" t="s">
        <v>36</v>
      </c>
      <c r="R135" s="11">
        <v>296.0</v>
      </c>
      <c r="S135" s="11">
        <v>255.0</v>
      </c>
      <c r="T135" s="11">
        <v>235.0</v>
      </c>
      <c r="U135" s="11">
        <v>315.0</v>
      </c>
      <c r="V135" s="11">
        <v>269.0</v>
      </c>
      <c r="W135" s="11">
        <v>27.0</v>
      </c>
      <c r="X135" s="11">
        <v>53.0</v>
      </c>
    </row>
    <row r="136" ht="14.25" customHeight="1">
      <c r="A136" s="11"/>
      <c r="B136" s="11">
        <v>12.0</v>
      </c>
      <c r="C136" s="11" t="s">
        <v>95</v>
      </c>
      <c r="D136" s="11">
        <v>1.0</v>
      </c>
      <c r="E136" s="11">
        <v>1.0</v>
      </c>
      <c r="F136" s="11">
        <v>0.0</v>
      </c>
      <c r="G136" s="11" t="s">
        <v>1122</v>
      </c>
      <c r="H136" s="11" t="s">
        <v>590</v>
      </c>
      <c r="I136" s="11" t="s">
        <v>40</v>
      </c>
      <c r="J136" s="11" t="s">
        <v>775</v>
      </c>
      <c r="K136" s="11"/>
      <c r="L136" s="11"/>
      <c r="M136" s="11">
        <v>11.0</v>
      </c>
      <c r="N136" s="11">
        <v>120.0</v>
      </c>
      <c r="O136" s="11">
        <v>121.0</v>
      </c>
      <c r="P136" s="11">
        <v>-1.0</v>
      </c>
      <c r="Q136" s="11">
        <v>139.0</v>
      </c>
      <c r="R136" s="11">
        <v>132.0</v>
      </c>
      <c r="S136" s="11">
        <v>137.0</v>
      </c>
      <c r="T136" s="11">
        <v>119.0</v>
      </c>
      <c r="U136" s="11">
        <v>183.0</v>
      </c>
      <c r="V136" s="11">
        <v>135.0</v>
      </c>
      <c r="W136" s="11">
        <v>-3.0</v>
      </c>
      <c r="X136" s="11">
        <v>56.0</v>
      </c>
    </row>
    <row r="137" ht="14.25" customHeight="1">
      <c r="A137" s="11"/>
      <c r="B137" s="11">
        <v>18.0</v>
      </c>
      <c r="C137" s="11" t="s">
        <v>95</v>
      </c>
      <c r="D137" s="11">
        <v>2.0</v>
      </c>
      <c r="E137" s="11"/>
      <c r="F137" s="11">
        <v>2.0</v>
      </c>
      <c r="G137" s="11"/>
      <c r="H137" s="11" t="s">
        <v>550</v>
      </c>
      <c r="I137" s="11" t="s">
        <v>237</v>
      </c>
      <c r="J137" s="11" t="s">
        <v>770</v>
      </c>
      <c r="K137" s="11"/>
      <c r="L137" s="11"/>
      <c r="M137" s="11">
        <v>20.0</v>
      </c>
      <c r="N137" s="11">
        <v>229.0</v>
      </c>
      <c r="O137" s="11" t="s">
        <v>36</v>
      </c>
      <c r="P137" s="11" t="e">
        <v>#VALUE!</v>
      </c>
      <c r="Q137" s="11">
        <v>192.0</v>
      </c>
      <c r="R137" s="11">
        <v>240.0</v>
      </c>
      <c r="S137" s="11">
        <v>222.0</v>
      </c>
      <c r="T137" s="11">
        <v>222.0</v>
      </c>
      <c r="U137" s="11">
        <v>192.0</v>
      </c>
      <c r="V137" s="11">
        <v>216.0</v>
      </c>
      <c r="W137" s="11">
        <v>24.0</v>
      </c>
      <c r="X137" s="11" t="s">
        <v>866</v>
      </c>
    </row>
    <row r="138" ht="14.25" customHeight="1">
      <c r="A138" s="11"/>
      <c r="B138" s="11">
        <v>2.0</v>
      </c>
      <c r="C138" s="11" t="s">
        <v>106</v>
      </c>
      <c r="D138" s="11"/>
      <c r="E138" s="11">
        <v>1.0</v>
      </c>
      <c r="F138" s="11" t="s">
        <v>866</v>
      </c>
      <c r="G138" s="11" t="s">
        <v>1122</v>
      </c>
      <c r="H138" s="60" t="s">
        <v>199</v>
      </c>
      <c r="I138" s="60" t="s">
        <v>162</v>
      </c>
      <c r="J138" s="11" t="s">
        <v>772</v>
      </c>
      <c r="K138" s="60"/>
      <c r="L138" s="11"/>
      <c r="M138" s="11">
        <v>2.0</v>
      </c>
      <c r="N138" s="11">
        <v>22.0</v>
      </c>
      <c r="O138" s="11">
        <v>22.0</v>
      </c>
      <c r="P138" s="11">
        <v>0.0</v>
      </c>
      <c r="Q138" s="11">
        <v>22.0</v>
      </c>
      <c r="R138" s="11">
        <v>25.0</v>
      </c>
      <c r="S138" s="11">
        <v>20.0</v>
      </c>
      <c r="T138" s="11">
        <v>19.0</v>
      </c>
      <c r="U138" s="11">
        <v>24.0</v>
      </c>
      <c r="V138" s="11">
        <v>22.0</v>
      </c>
      <c r="W138" s="11">
        <v>3.0</v>
      </c>
      <c r="X138" s="11">
        <v>9.0</v>
      </c>
    </row>
    <row r="139" ht="14.25" customHeight="1">
      <c r="A139" s="11"/>
      <c r="B139" s="11">
        <v>15.0</v>
      </c>
      <c r="C139" s="11" t="s">
        <v>106</v>
      </c>
      <c r="D139" s="11"/>
      <c r="E139" s="11">
        <v>1.0</v>
      </c>
      <c r="F139" s="11" t="s">
        <v>866</v>
      </c>
      <c r="G139" s="11"/>
      <c r="H139" s="11" t="s">
        <v>521</v>
      </c>
      <c r="I139" s="11" t="s">
        <v>67</v>
      </c>
      <c r="J139" s="11" t="s">
        <v>772</v>
      </c>
      <c r="K139" s="11"/>
      <c r="L139" s="11"/>
      <c r="M139" s="11">
        <v>13.0</v>
      </c>
      <c r="N139" s="11">
        <v>149.0</v>
      </c>
      <c r="O139" s="11">
        <v>164.0</v>
      </c>
      <c r="P139" s="11">
        <v>-15.0</v>
      </c>
      <c r="Q139" s="11">
        <v>190.0</v>
      </c>
      <c r="R139" s="11">
        <v>171.0</v>
      </c>
      <c r="S139" s="11">
        <v>143.0</v>
      </c>
      <c r="T139" s="11">
        <v>141.0</v>
      </c>
      <c r="U139" s="11">
        <v>215.0</v>
      </c>
      <c r="V139" s="11">
        <v>167.0</v>
      </c>
      <c r="W139" s="11">
        <v>4.0</v>
      </c>
      <c r="X139" s="11">
        <v>57.0</v>
      </c>
    </row>
    <row r="140" ht="14.25" customHeight="1">
      <c r="A140" s="11"/>
      <c r="B140" s="11">
        <v>16.0</v>
      </c>
      <c r="C140" s="11" t="s">
        <v>106</v>
      </c>
      <c r="D140" s="11"/>
      <c r="E140" s="11">
        <v>3.0</v>
      </c>
      <c r="F140" s="11" t="s">
        <v>866</v>
      </c>
      <c r="G140" s="11"/>
      <c r="H140" s="11" t="s">
        <v>310</v>
      </c>
      <c r="I140" s="11" t="s">
        <v>49</v>
      </c>
      <c r="J140" s="11" t="s">
        <v>770</v>
      </c>
      <c r="K140" s="11"/>
      <c r="L140" s="11"/>
      <c r="M140" s="11">
        <v>18.0</v>
      </c>
      <c r="N140" s="11">
        <v>207.0</v>
      </c>
      <c r="O140" s="11">
        <v>168.0</v>
      </c>
      <c r="P140" s="11">
        <v>39.0</v>
      </c>
      <c r="Q140" s="11">
        <v>160.0</v>
      </c>
      <c r="R140" s="11">
        <v>232.0</v>
      </c>
      <c r="S140" s="11">
        <v>197.0</v>
      </c>
      <c r="T140" s="11">
        <v>195.0</v>
      </c>
      <c r="U140" s="11">
        <v>167.0</v>
      </c>
      <c r="V140" s="11">
        <v>189.0</v>
      </c>
      <c r="W140" s="11">
        <v>43.0</v>
      </c>
      <c r="X140" s="11" t="s">
        <v>866</v>
      </c>
    </row>
    <row r="141" ht="14.25" customHeight="1">
      <c r="A141" s="11"/>
      <c r="B141" s="11" t="e">
        <v>#N/A</v>
      </c>
      <c r="C141" s="11" t="s">
        <v>106</v>
      </c>
      <c r="D141" s="11"/>
      <c r="E141" s="11"/>
      <c r="F141" s="11" t="s">
        <v>866</v>
      </c>
      <c r="G141" s="11"/>
      <c r="H141" s="11" t="s">
        <v>887</v>
      </c>
      <c r="I141" s="11" t="e">
        <v>#N/A</v>
      </c>
      <c r="J141" s="11" t="e">
        <v>#N/A</v>
      </c>
      <c r="K141" s="11"/>
      <c r="L141" s="11"/>
      <c r="M141" s="11">
        <v>16.0</v>
      </c>
      <c r="N141" s="11" t="e">
        <v>#N/A</v>
      </c>
      <c r="O141" s="11" t="e">
        <v>#N/A</v>
      </c>
      <c r="P141" s="11" t="e">
        <v>#N/A</v>
      </c>
      <c r="Q141" s="11" t="e">
        <v>#N/A</v>
      </c>
      <c r="R141" s="11" t="e">
        <v>#N/A</v>
      </c>
      <c r="S141" s="11" t="e">
        <v>#N/A</v>
      </c>
      <c r="T141" s="11" t="e">
        <v>#N/A</v>
      </c>
      <c r="U141" s="11" t="e">
        <v>#N/A</v>
      </c>
      <c r="V141" s="11" t="e">
        <v>#N/A</v>
      </c>
      <c r="W141" s="11" t="e">
        <v>#N/A</v>
      </c>
      <c r="X141" s="11" t="e">
        <v>#N/A</v>
      </c>
    </row>
    <row r="142" ht="14.25" customHeight="1">
      <c r="A142" s="11"/>
      <c r="B142" s="11">
        <v>19.0</v>
      </c>
      <c r="C142" s="11" t="s">
        <v>106</v>
      </c>
      <c r="D142" s="11"/>
      <c r="E142" s="11">
        <v>1.0</v>
      </c>
      <c r="F142" s="11" t="s">
        <v>866</v>
      </c>
      <c r="G142" s="11"/>
      <c r="H142" s="11" t="s">
        <v>606</v>
      </c>
      <c r="I142" s="11" t="s">
        <v>109</v>
      </c>
      <c r="J142" s="11" t="s">
        <v>772</v>
      </c>
      <c r="K142" s="11"/>
      <c r="L142" s="11"/>
      <c r="M142" s="11">
        <v>18.0</v>
      </c>
      <c r="N142" s="11">
        <v>213.0</v>
      </c>
      <c r="O142" s="11" t="s">
        <v>36</v>
      </c>
      <c r="P142" s="11" t="e">
        <v>#VALUE!</v>
      </c>
      <c r="Q142" s="11" t="s">
        <v>36</v>
      </c>
      <c r="R142" s="11">
        <v>278.0</v>
      </c>
      <c r="S142" s="11">
        <v>193.0</v>
      </c>
      <c r="T142" s="11">
        <v>190.0</v>
      </c>
      <c r="U142" s="11">
        <v>232.0</v>
      </c>
      <c r="V142" s="11">
        <v>221.0</v>
      </c>
      <c r="W142" s="11">
        <v>57.0</v>
      </c>
      <c r="X142" s="11" t="s">
        <v>866</v>
      </c>
    </row>
    <row r="143" ht="14.25" customHeight="1">
      <c r="A143" s="11"/>
      <c r="B143" s="11">
        <v>22.0</v>
      </c>
      <c r="C143" s="11" t="s">
        <v>106</v>
      </c>
      <c r="D143" s="11"/>
      <c r="E143" s="11"/>
      <c r="F143" s="11" t="s">
        <v>866</v>
      </c>
      <c r="G143" s="11"/>
      <c r="H143" s="11" t="s">
        <v>811</v>
      </c>
      <c r="I143" s="11" t="s">
        <v>171</v>
      </c>
      <c r="J143" s="11" t="s">
        <v>781</v>
      </c>
      <c r="K143" s="11"/>
      <c r="L143" s="11"/>
      <c r="M143" s="11">
        <v>23.0</v>
      </c>
      <c r="N143" s="11">
        <v>271.0</v>
      </c>
      <c r="O143" s="11" t="s">
        <v>36</v>
      </c>
      <c r="P143" s="11" t="e">
        <v>#VALUE!</v>
      </c>
      <c r="Q143" s="11">
        <v>225.0</v>
      </c>
      <c r="R143" s="11">
        <v>290.0</v>
      </c>
      <c r="S143" s="11">
        <v>259.0</v>
      </c>
      <c r="T143" s="11">
        <v>266.0</v>
      </c>
      <c r="U143" s="11">
        <v>229.0</v>
      </c>
      <c r="V143" s="11">
        <v>256.0</v>
      </c>
      <c r="W143" s="11">
        <v>34.0</v>
      </c>
      <c r="X143" s="11" t="s">
        <v>866</v>
      </c>
    </row>
    <row r="144" ht="14.25" customHeight="1">
      <c r="A144" s="11" t="s">
        <v>106</v>
      </c>
      <c r="B144" s="11">
        <v>15.0</v>
      </c>
      <c r="C144" s="11" t="s">
        <v>95</v>
      </c>
      <c r="D144" s="11"/>
      <c r="E144" s="11">
        <v>1.0</v>
      </c>
      <c r="F144" s="11" t="s">
        <v>866</v>
      </c>
      <c r="G144" s="11" t="s">
        <v>106</v>
      </c>
      <c r="H144" s="11" t="s">
        <v>584</v>
      </c>
      <c r="I144" s="11" t="s">
        <v>109</v>
      </c>
      <c r="J144" s="11" t="s">
        <v>775</v>
      </c>
      <c r="K144" s="48"/>
      <c r="L144" s="11"/>
      <c r="M144" s="11">
        <v>13.0</v>
      </c>
      <c r="N144" s="11">
        <v>152.0</v>
      </c>
      <c r="O144" s="11">
        <v>144.0</v>
      </c>
      <c r="P144" s="11">
        <v>8.0</v>
      </c>
      <c r="Q144" s="11">
        <v>176.0</v>
      </c>
      <c r="R144" s="11">
        <v>198.0</v>
      </c>
      <c r="S144" s="11">
        <v>153.0</v>
      </c>
      <c r="T144" s="11">
        <v>128.0</v>
      </c>
      <c r="U144" s="11">
        <v>185.0</v>
      </c>
      <c r="V144" s="11">
        <v>162.0</v>
      </c>
      <c r="W144" s="11">
        <v>36.0</v>
      </c>
      <c r="X144" s="11">
        <v>52.0</v>
      </c>
    </row>
    <row r="145" ht="14.25" customHeight="1">
      <c r="A145" s="11"/>
      <c r="B145" s="11" t="e">
        <v>#N/A</v>
      </c>
      <c r="C145" s="11" t="s">
        <v>106</v>
      </c>
      <c r="D145" s="11"/>
      <c r="E145" s="11">
        <v>1.0</v>
      </c>
      <c r="F145" s="11" t="s">
        <v>866</v>
      </c>
      <c r="G145" s="11" t="s">
        <v>106</v>
      </c>
      <c r="H145" s="11" t="s">
        <v>888</v>
      </c>
      <c r="I145" s="11" t="e">
        <v>#N/A</v>
      </c>
      <c r="J145" s="11" t="e">
        <v>#N/A</v>
      </c>
      <c r="K145" s="11"/>
      <c r="L145" s="11"/>
      <c r="M145" s="11">
        <v>16.0</v>
      </c>
      <c r="N145" s="11" t="e">
        <v>#N/A</v>
      </c>
      <c r="O145" s="11" t="e">
        <v>#N/A</v>
      </c>
      <c r="P145" s="11" t="e">
        <v>#N/A</v>
      </c>
      <c r="Q145" s="11" t="e">
        <v>#N/A</v>
      </c>
      <c r="R145" s="11" t="e">
        <v>#N/A</v>
      </c>
      <c r="S145" s="11" t="e">
        <v>#N/A</v>
      </c>
      <c r="T145" s="11" t="e">
        <v>#N/A</v>
      </c>
      <c r="U145" s="11" t="e">
        <v>#N/A</v>
      </c>
      <c r="V145" s="11" t="e">
        <v>#N/A</v>
      </c>
      <c r="W145" s="11" t="e">
        <v>#N/A</v>
      </c>
      <c r="X145" s="11" t="e">
        <v>#N/A</v>
      </c>
    </row>
    <row r="146" ht="14.25" customHeight="1">
      <c r="A146" s="11"/>
      <c r="B146" s="11" t="e">
        <v>#N/A</v>
      </c>
      <c r="C146" s="11" t="s">
        <v>106</v>
      </c>
      <c r="D146" s="11"/>
      <c r="E146" s="11"/>
      <c r="F146" s="11" t="s">
        <v>866</v>
      </c>
      <c r="G146" s="11"/>
      <c r="H146" s="11" t="s">
        <v>686</v>
      </c>
      <c r="I146" s="11" t="e">
        <v>#N/A</v>
      </c>
      <c r="J146" s="11" t="e">
        <v>#N/A</v>
      </c>
      <c r="K146" s="11"/>
      <c r="L146" s="11"/>
      <c r="M146" s="11">
        <v>16.0</v>
      </c>
      <c r="N146" s="11" t="e">
        <v>#N/A</v>
      </c>
      <c r="O146" s="11" t="e">
        <v>#N/A</v>
      </c>
      <c r="P146" s="11" t="e">
        <v>#N/A</v>
      </c>
      <c r="Q146" s="11" t="e">
        <v>#N/A</v>
      </c>
      <c r="R146" s="11" t="e">
        <v>#N/A</v>
      </c>
      <c r="S146" s="11" t="e">
        <v>#N/A</v>
      </c>
      <c r="T146" s="11" t="e">
        <v>#N/A</v>
      </c>
      <c r="U146" s="11" t="e">
        <v>#N/A</v>
      </c>
      <c r="V146" s="11" t="e">
        <v>#N/A</v>
      </c>
      <c r="W146" s="11" t="e">
        <v>#N/A</v>
      </c>
      <c r="X146" s="11" t="e">
        <v>#N/A</v>
      </c>
    </row>
    <row r="147" ht="14.25" customHeight="1">
      <c r="A147" s="11"/>
      <c r="B147" s="11">
        <v>10.0</v>
      </c>
      <c r="C147" s="11" t="s">
        <v>95</v>
      </c>
      <c r="D147" s="11">
        <v>5.0</v>
      </c>
      <c r="E147" s="11">
        <v>0.0</v>
      </c>
      <c r="F147" s="11">
        <v>5.0</v>
      </c>
      <c r="G147" s="11"/>
      <c r="H147" s="11" t="s">
        <v>144</v>
      </c>
      <c r="I147" s="11" t="s">
        <v>71</v>
      </c>
      <c r="J147" s="11" t="s">
        <v>772</v>
      </c>
      <c r="K147" s="11"/>
      <c r="L147" s="11"/>
      <c r="M147" s="11">
        <v>9.0</v>
      </c>
      <c r="N147" s="11">
        <v>100.0</v>
      </c>
      <c r="O147" s="11">
        <v>108.0</v>
      </c>
      <c r="P147" s="11">
        <v>-8.0</v>
      </c>
      <c r="Q147" s="11">
        <v>103.0</v>
      </c>
      <c r="R147" s="11">
        <v>117.0</v>
      </c>
      <c r="S147" s="11">
        <v>106.0</v>
      </c>
      <c r="T147" s="11">
        <v>106.0</v>
      </c>
      <c r="U147" s="11">
        <v>150.0</v>
      </c>
      <c r="V147" s="11">
        <v>112.0</v>
      </c>
      <c r="W147" s="11">
        <v>5.0</v>
      </c>
      <c r="X147" s="11">
        <v>52.0</v>
      </c>
    </row>
    <row r="148" ht="14.25" customHeight="1">
      <c r="A148" s="11"/>
      <c r="B148" s="11" t="e">
        <v>#N/A</v>
      </c>
      <c r="C148" s="11" t="s">
        <v>95</v>
      </c>
      <c r="D148" s="11">
        <v>1.0</v>
      </c>
      <c r="E148" s="11">
        <v>0.0</v>
      </c>
      <c r="F148" s="11">
        <v>1.0</v>
      </c>
      <c r="G148" s="11"/>
      <c r="H148" s="11" t="s">
        <v>889</v>
      </c>
      <c r="I148" s="11" t="e">
        <v>#N/A</v>
      </c>
      <c r="J148" s="11" t="e">
        <v>#N/A</v>
      </c>
      <c r="K148" s="11"/>
      <c r="L148" s="11"/>
      <c r="M148" s="11">
        <v>16.0</v>
      </c>
      <c r="N148" s="11" t="e">
        <v>#N/A</v>
      </c>
      <c r="O148" s="11" t="e">
        <v>#N/A</v>
      </c>
      <c r="P148" s="11" t="e">
        <v>#N/A</v>
      </c>
      <c r="Q148" s="11" t="e">
        <v>#N/A</v>
      </c>
      <c r="R148" s="11" t="e">
        <v>#N/A</v>
      </c>
      <c r="S148" s="11" t="e">
        <v>#N/A</v>
      </c>
      <c r="T148" s="11" t="e">
        <v>#N/A</v>
      </c>
      <c r="U148" s="11" t="e">
        <v>#N/A</v>
      </c>
      <c r="V148" s="11" t="e">
        <v>#N/A</v>
      </c>
      <c r="W148" s="11" t="e">
        <v>#N/A</v>
      </c>
      <c r="X148" s="11" t="e">
        <v>#N/A</v>
      </c>
    </row>
    <row r="149" ht="14.25" customHeight="1">
      <c r="A149" s="11"/>
      <c r="B149" s="11">
        <v>21.0</v>
      </c>
      <c r="C149" s="11" t="s">
        <v>106</v>
      </c>
      <c r="D149" s="11"/>
      <c r="E149" s="11">
        <v>0.0</v>
      </c>
      <c r="F149" s="11" t="s">
        <v>866</v>
      </c>
      <c r="G149" s="11"/>
      <c r="H149" s="11" t="s">
        <v>880</v>
      </c>
      <c r="I149" s="11" t="s">
        <v>231</v>
      </c>
      <c r="J149" s="11" t="s">
        <v>775</v>
      </c>
      <c r="K149" s="11"/>
      <c r="L149" s="11"/>
      <c r="M149" s="11">
        <v>20.0</v>
      </c>
      <c r="N149" s="11">
        <v>235.0</v>
      </c>
      <c r="O149" s="11" t="s">
        <v>36</v>
      </c>
      <c r="P149" s="11" t="e">
        <v>#VALUE!</v>
      </c>
      <c r="Q149" s="11" t="s">
        <v>36</v>
      </c>
      <c r="R149" s="11">
        <v>316.0</v>
      </c>
      <c r="S149" s="11">
        <v>202.0</v>
      </c>
      <c r="T149" s="11">
        <v>228.0</v>
      </c>
      <c r="U149" s="11">
        <v>238.0</v>
      </c>
      <c r="V149" s="11">
        <v>243.0</v>
      </c>
      <c r="W149" s="11">
        <v>73.0</v>
      </c>
      <c r="X149" s="11" t="s">
        <v>866</v>
      </c>
    </row>
    <row r="150" ht="14.25" customHeight="1">
      <c r="A150" s="11"/>
      <c r="B150" s="11" t="e">
        <v>#N/A</v>
      </c>
      <c r="C150" s="11" t="s">
        <v>106</v>
      </c>
      <c r="D150" s="11"/>
      <c r="E150" s="11">
        <v>1.0</v>
      </c>
      <c r="F150" s="11" t="s">
        <v>866</v>
      </c>
      <c r="G150" s="11"/>
      <c r="H150" s="11" t="s">
        <v>890</v>
      </c>
      <c r="I150" s="11" t="e">
        <v>#N/A</v>
      </c>
      <c r="J150" s="11" t="e">
        <v>#N/A</v>
      </c>
      <c r="K150" s="11"/>
      <c r="L150" s="11"/>
      <c r="M150" s="11">
        <v>16.0</v>
      </c>
      <c r="N150" s="11" t="e">
        <v>#N/A</v>
      </c>
      <c r="O150" s="11" t="e">
        <v>#N/A</v>
      </c>
      <c r="P150" s="11" t="e">
        <v>#N/A</v>
      </c>
      <c r="Q150" s="11" t="e">
        <v>#N/A</v>
      </c>
      <c r="R150" s="11" t="e">
        <v>#N/A</v>
      </c>
      <c r="S150" s="11" t="e">
        <v>#N/A</v>
      </c>
      <c r="T150" s="11" t="e">
        <v>#N/A</v>
      </c>
      <c r="U150" s="11" t="e">
        <v>#N/A</v>
      </c>
      <c r="V150" s="11" t="e">
        <v>#N/A</v>
      </c>
      <c r="W150" s="11" t="e">
        <v>#N/A</v>
      </c>
      <c r="X150" s="11" t="s">
        <v>866</v>
      </c>
    </row>
    <row r="151" ht="14.25" customHeight="1">
      <c r="A151" s="11"/>
      <c r="B151" s="11">
        <v>26.0</v>
      </c>
      <c r="C151" s="11" t="s">
        <v>106</v>
      </c>
      <c r="D151" s="11"/>
      <c r="E151" s="11">
        <v>0.0</v>
      </c>
      <c r="F151" s="11" t="s">
        <v>866</v>
      </c>
      <c r="G151" s="11" t="s">
        <v>106</v>
      </c>
      <c r="H151" s="11" t="s">
        <v>508</v>
      </c>
      <c r="I151" s="11" t="s">
        <v>154</v>
      </c>
      <c r="J151" s="11" t="s">
        <v>775</v>
      </c>
      <c r="K151" s="11"/>
      <c r="L151" s="11"/>
      <c r="M151" s="11">
        <v>24.0</v>
      </c>
      <c r="N151" s="11">
        <v>284.0</v>
      </c>
      <c r="O151" s="11" t="s">
        <v>36</v>
      </c>
      <c r="P151" s="11" t="e">
        <v>#VALUE!</v>
      </c>
      <c r="Q151" s="11" t="s">
        <v>36</v>
      </c>
      <c r="R151" s="11">
        <v>291.0</v>
      </c>
      <c r="S151" s="11">
        <v>322.0</v>
      </c>
      <c r="T151" s="11">
        <v>277.0</v>
      </c>
      <c r="U151" s="11">
        <v>326.0</v>
      </c>
      <c r="V151" s="11">
        <v>300.0</v>
      </c>
      <c r="W151" s="11">
        <v>-9.0</v>
      </c>
      <c r="X151" s="11" t="s">
        <v>866</v>
      </c>
    </row>
    <row r="152" ht="14.25" customHeight="1">
      <c r="A152" s="11"/>
      <c r="B152" s="11" t="e">
        <v>#N/A</v>
      </c>
      <c r="C152" s="11" t="s">
        <v>106</v>
      </c>
      <c r="D152" s="11"/>
      <c r="E152" s="11"/>
      <c r="F152" s="11" t="s">
        <v>866</v>
      </c>
      <c r="G152" s="11"/>
      <c r="H152" s="11" t="s">
        <v>891</v>
      </c>
      <c r="I152" s="11" t="e">
        <v>#N/A</v>
      </c>
      <c r="J152" s="11" t="e">
        <v>#N/A</v>
      </c>
      <c r="K152" s="11"/>
      <c r="L152" s="11"/>
      <c r="M152" s="11">
        <v>16.0</v>
      </c>
      <c r="N152" s="11" t="e">
        <v>#N/A</v>
      </c>
      <c r="O152" s="11" t="e">
        <v>#N/A</v>
      </c>
      <c r="P152" s="11" t="e">
        <v>#N/A</v>
      </c>
      <c r="Q152" s="11" t="e">
        <v>#N/A</v>
      </c>
      <c r="R152" s="11" t="e">
        <v>#N/A</v>
      </c>
      <c r="S152" s="11" t="e">
        <v>#N/A</v>
      </c>
      <c r="T152" s="11" t="e">
        <v>#N/A</v>
      </c>
      <c r="U152" s="11" t="e">
        <v>#N/A</v>
      </c>
      <c r="V152" s="11" t="e">
        <v>#N/A</v>
      </c>
      <c r="W152" s="11" t="e">
        <v>#N/A</v>
      </c>
      <c r="X152" s="11" t="e">
        <v>#N/A</v>
      </c>
    </row>
    <row r="153" ht="14.25" customHeight="1">
      <c r="A153" s="11"/>
      <c r="B153" s="11">
        <v>7.0</v>
      </c>
      <c r="C153" s="11" t="s">
        <v>106</v>
      </c>
      <c r="D153" s="11"/>
      <c r="E153" s="11"/>
      <c r="F153" s="11" t="s">
        <v>866</v>
      </c>
      <c r="G153" s="11"/>
      <c r="H153" s="11" t="s">
        <v>369</v>
      </c>
      <c r="I153" s="11" t="s">
        <v>162</v>
      </c>
      <c r="J153" s="11" t="s">
        <v>770</v>
      </c>
      <c r="K153" s="11"/>
      <c r="L153" s="11"/>
      <c r="M153" s="11">
        <v>6.0</v>
      </c>
      <c r="N153" s="11">
        <v>71.0</v>
      </c>
      <c r="O153" s="11">
        <v>54.0</v>
      </c>
      <c r="P153" s="11">
        <v>17.0</v>
      </c>
      <c r="Q153" s="11">
        <v>52.0</v>
      </c>
      <c r="R153" s="11">
        <v>85.0</v>
      </c>
      <c r="S153" s="11">
        <v>92.0</v>
      </c>
      <c r="T153" s="11">
        <v>78.0</v>
      </c>
      <c r="U153" s="11">
        <v>61.0</v>
      </c>
      <c r="V153" s="11">
        <v>70.0</v>
      </c>
      <c r="W153" s="11">
        <v>15.0</v>
      </c>
      <c r="X153" s="11">
        <v>6.0</v>
      </c>
    </row>
    <row r="154" ht="14.25" customHeight="1">
      <c r="A154" s="11"/>
      <c r="B154" s="11">
        <v>22.0</v>
      </c>
      <c r="C154" s="11" t="s">
        <v>106</v>
      </c>
      <c r="D154" s="11"/>
      <c r="E154" s="11">
        <v>0.0</v>
      </c>
      <c r="F154" s="11" t="s">
        <v>866</v>
      </c>
      <c r="G154" s="11" t="s">
        <v>106</v>
      </c>
      <c r="H154" s="48" t="s">
        <v>832</v>
      </c>
      <c r="I154" s="48" t="s">
        <v>45</v>
      </c>
      <c r="J154" s="11" t="s">
        <v>775</v>
      </c>
      <c r="K154" s="48"/>
      <c r="L154" s="11"/>
      <c r="M154" s="11">
        <v>22.0</v>
      </c>
      <c r="N154" s="11">
        <v>262.0</v>
      </c>
      <c r="O154" s="11" t="s">
        <v>36</v>
      </c>
      <c r="P154" s="11" t="e">
        <v>#VALUE!</v>
      </c>
      <c r="Q154" s="11" t="s">
        <v>36</v>
      </c>
      <c r="R154" s="11">
        <v>324.0</v>
      </c>
      <c r="S154" s="11">
        <v>245.0</v>
      </c>
      <c r="T154" s="11">
        <v>217.0</v>
      </c>
      <c r="U154" s="11">
        <v>267.0</v>
      </c>
      <c r="V154" s="11">
        <v>263.0</v>
      </c>
      <c r="W154" s="11">
        <v>61.0</v>
      </c>
      <c r="X154" s="11" t="s">
        <v>866</v>
      </c>
    </row>
    <row r="155" ht="14.25" customHeight="1">
      <c r="A155" s="11"/>
      <c r="B155" s="11">
        <v>17.0</v>
      </c>
      <c r="C155" s="11" t="s">
        <v>106</v>
      </c>
      <c r="D155" s="11"/>
      <c r="E155" s="11"/>
      <c r="F155" s="11" t="s">
        <v>866</v>
      </c>
      <c r="G155" s="11"/>
      <c r="H155" s="11" t="s">
        <v>883</v>
      </c>
      <c r="I155" s="11" t="s">
        <v>67</v>
      </c>
      <c r="J155" s="11" t="s">
        <v>775</v>
      </c>
      <c r="K155" s="11"/>
      <c r="L155" s="11"/>
      <c r="M155" s="11">
        <v>15.0</v>
      </c>
      <c r="N155" s="11">
        <v>174.0</v>
      </c>
      <c r="O155" s="11" t="s">
        <v>36</v>
      </c>
      <c r="P155" s="11" t="e">
        <v>#VALUE!</v>
      </c>
      <c r="Q155" s="11" t="s">
        <v>36</v>
      </c>
      <c r="R155" s="11">
        <v>221.0</v>
      </c>
      <c r="S155" s="11">
        <v>158.0</v>
      </c>
      <c r="T155" s="11">
        <v>155.0</v>
      </c>
      <c r="U155" s="11">
        <v>235.0</v>
      </c>
      <c r="V155" s="11">
        <v>188.0</v>
      </c>
      <c r="W155" s="11">
        <v>33.0</v>
      </c>
      <c r="X155" s="11">
        <v>61.0</v>
      </c>
    </row>
    <row r="156" ht="14.25" customHeight="1">
      <c r="A156" s="11"/>
      <c r="B156" s="11" t="e">
        <v>#N/A</v>
      </c>
      <c r="C156" s="11" t="s">
        <v>106</v>
      </c>
      <c r="D156" s="11"/>
      <c r="E156" s="11"/>
      <c r="F156" s="11" t="s">
        <v>866</v>
      </c>
      <c r="G156" s="11"/>
      <c r="H156" s="11" t="s">
        <v>893</v>
      </c>
      <c r="I156" s="11" t="e">
        <v>#N/A</v>
      </c>
      <c r="J156" s="11" t="e">
        <v>#N/A</v>
      </c>
      <c r="K156" s="11"/>
      <c r="L156" s="11"/>
      <c r="M156" s="11">
        <v>16.0</v>
      </c>
      <c r="N156" s="11" t="e">
        <v>#N/A</v>
      </c>
      <c r="O156" s="11" t="e">
        <v>#N/A</v>
      </c>
      <c r="P156" s="11" t="e">
        <v>#N/A</v>
      </c>
      <c r="Q156" s="11" t="e">
        <v>#N/A</v>
      </c>
      <c r="R156" s="11" t="e">
        <v>#N/A</v>
      </c>
      <c r="S156" s="11" t="e">
        <v>#N/A</v>
      </c>
      <c r="T156" s="11" t="e">
        <v>#N/A</v>
      </c>
      <c r="U156" s="11" t="e">
        <v>#N/A</v>
      </c>
      <c r="V156" s="11" t="e">
        <v>#N/A</v>
      </c>
      <c r="W156" s="11" t="e">
        <v>#N/A</v>
      </c>
      <c r="X156" s="11" t="e">
        <v>#N/A</v>
      </c>
    </row>
    <row r="157" ht="14.25" customHeight="1">
      <c r="A157" s="11"/>
      <c r="B157" s="11">
        <v>13.0</v>
      </c>
      <c r="C157" s="11" t="s">
        <v>95</v>
      </c>
      <c r="D157" s="11">
        <v>2.0</v>
      </c>
      <c r="E157" s="11">
        <v>0.0</v>
      </c>
      <c r="F157" s="11">
        <v>2.0</v>
      </c>
      <c r="G157" s="11"/>
      <c r="H157" s="11" t="s">
        <v>874</v>
      </c>
      <c r="I157" s="11" t="s">
        <v>119</v>
      </c>
      <c r="J157" s="11" t="s">
        <v>772</v>
      </c>
      <c r="K157" s="11"/>
      <c r="L157" s="11"/>
      <c r="M157" s="11">
        <v>12.0</v>
      </c>
      <c r="N157" s="11">
        <v>141.0</v>
      </c>
      <c r="O157" s="11">
        <v>111.0</v>
      </c>
      <c r="P157" s="11">
        <v>30.0</v>
      </c>
      <c r="Q157" s="11">
        <v>133.0</v>
      </c>
      <c r="R157" s="11">
        <v>194.0</v>
      </c>
      <c r="S157" s="11">
        <v>128.0</v>
      </c>
      <c r="T157" s="11">
        <v>147.0</v>
      </c>
      <c r="U157" s="11">
        <v>175.0</v>
      </c>
      <c r="V157" s="11">
        <v>147.0</v>
      </c>
      <c r="W157" s="11">
        <v>47.0</v>
      </c>
      <c r="X157" s="11">
        <v>47.0</v>
      </c>
    </row>
    <row r="158" ht="14.25" customHeight="1">
      <c r="A158" s="11"/>
      <c r="B158" s="11">
        <v>7.0</v>
      </c>
      <c r="C158" s="11" t="s">
        <v>106</v>
      </c>
      <c r="D158" s="11"/>
      <c r="E158" s="11"/>
      <c r="F158" s="11" t="s">
        <v>866</v>
      </c>
      <c r="G158" s="11"/>
      <c r="H158" s="11" t="s">
        <v>437</v>
      </c>
      <c r="I158" s="11" t="s">
        <v>195</v>
      </c>
      <c r="J158" s="11" t="s">
        <v>775</v>
      </c>
      <c r="K158" s="11"/>
      <c r="L158" s="11"/>
      <c r="M158" s="11">
        <v>7.0</v>
      </c>
      <c r="N158" s="11">
        <v>75.0</v>
      </c>
      <c r="O158" s="11">
        <v>69.0</v>
      </c>
      <c r="P158" s="11">
        <v>6.0</v>
      </c>
      <c r="Q158" s="11">
        <v>68.0</v>
      </c>
      <c r="R158" s="11">
        <v>81.0</v>
      </c>
      <c r="S158" s="11">
        <v>74.0</v>
      </c>
      <c r="T158" s="11">
        <v>62.0</v>
      </c>
      <c r="U158" s="11">
        <v>98.0</v>
      </c>
      <c r="V158" s="11">
        <v>75.0</v>
      </c>
      <c r="W158" s="11">
        <v>6.0</v>
      </c>
      <c r="X158" s="11">
        <v>37.0</v>
      </c>
    </row>
    <row r="159" ht="14.25" customHeight="1">
      <c r="A159" s="11"/>
      <c r="B159" s="11" t="e">
        <v>#N/A</v>
      </c>
      <c r="C159" s="11" t="s">
        <v>106</v>
      </c>
      <c r="D159" s="11"/>
      <c r="E159" s="11"/>
      <c r="F159" s="11" t="s">
        <v>866</v>
      </c>
      <c r="G159" s="11"/>
      <c r="H159" s="11" t="s">
        <v>894</v>
      </c>
      <c r="I159" s="11" t="e">
        <v>#N/A</v>
      </c>
      <c r="J159" s="11" t="e">
        <v>#N/A</v>
      </c>
      <c r="K159" s="11"/>
      <c r="L159" s="11"/>
      <c r="M159" s="11">
        <v>16.0</v>
      </c>
      <c r="N159" s="11" t="e">
        <v>#N/A</v>
      </c>
      <c r="O159" s="11" t="e">
        <v>#N/A</v>
      </c>
      <c r="P159" s="11" t="e">
        <v>#N/A</v>
      </c>
      <c r="Q159" s="11" t="e">
        <v>#N/A</v>
      </c>
      <c r="R159" s="11" t="e">
        <v>#N/A</v>
      </c>
      <c r="S159" s="11" t="e">
        <v>#N/A</v>
      </c>
      <c r="T159" s="11" t="e">
        <v>#N/A</v>
      </c>
      <c r="U159" s="11" t="e">
        <v>#N/A</v>
      </c>
      <c r="V159" s="11" t="e">
        <v>#N/A</v>
      </c>
      <c r="W159" s="11" t="e">
        <v>#N/A</v>
      </c>
      <c r="X159" s="11" t="e">
        <v>#N/A</v>
      </c>
    </row>
    <row r="160" ht="14.25" customHeight="1">
      <c r="A160" s="11"/>
      <c r="B160" s="11">
        <v>25.0</v>
      </c>
      <c r="C160" s="11" t="s">
        <v>106</v>
      </c>
      <c r="D160" s="11"/>
      <c r="E160" s="11"/>
      <c r="F160" s="11" t="s">
        <v>866</v>
      </c>
      <c r="G160" s="11"/>
      <c r="H160" s="11" t="s">
        <v>895</v>
      </c>
      <c r="I160" s="11" t="s">
        <v>105</v>
      </c>
      <c r="J160" s="11" t="s">
        <v>781</v>
      </c>
      <c r="K160" s="11"/>
      <c r="L160" s="11"/>
      <c r="M160" s="11">
        <v>26.0</v>
      </c>
      <c r="N160" s="11">
        <v>311.0</v>
      </c>
      <c r="O160" s="11" t="s">
        <v>36</v>
      </c>
      <c r="P160" s="11" t="e">
        <v>#VALUE!</v>
      </c>
      <c r="Q160" s="11">
        <v>326.0</v>
      </c>
      <c r="R160" s="11" t="s">
        <v>36</v>
      </c>
      <c r="S160" s="11">
        <v>291.0</v>
      </c>
      <c r="T160" s="11" t="s">
        <v>36</v>
      </c>
      <c r="U160" s="11">
        <v>262.0</v>
      </c>
      <c r="V160" s="11">
        <v>297.0</v>
      </c>
      <c r="W160" s="11" t="e">
        <v>#VALUE!</v>
      </c>
      <c r="X160" s="11" t="s">
        <v>866</v>
      </c>
    </row>
    <row r="161" ht="14.25" customHeight="1">
      <c r="A161" s="11"/>
      <c r="B161" s="11">
        <v>18.0</v>
      </c>
      <c r="C161" s="11" t="s">
        <v>106</v>
      </c>
      <c r="D161" s="11"/>
      <c r="E161" s="11"/>
      <c r="F161" s="11" t="s">
        <v>866</v>
      </c>
      <c r="G161" s="11"/>
      <c r="H161" s="11" t="s">
        <v>623</v>
      </c>
      <c r="I161" s="11" t="s">
        <v>98</v>
      </c>
      <c r="J161" s="11" t="s">
        <v>770</v>
      </c>
      <c r="K161" s="11"/>
      <c r="L161" s="11"/>
      <c r="M161" s="11">
        <v>20.0</v>
      </c>
      <c r="N161" s="11">
        <v>228.0</v>
      </c>
      <c r="O161" s="11">
        <v>176.0</v>
      </c>
      <c r="P161" s="11">
        <v>52.0</v>
      </c>
      <c r="Q161" s="11">
        <v>207.0</v>
      </c>
      <c r="R161" s="11">
        <v>238.0</v>
      </c>
      <c r="S161" s="11">
        <v>198.0</v>
      </c>
      <c r="T161" s="11">
        <v>191.0</v>
      </c>
      <c r="U161" s="11">
        <v>205.0</v>
      </c>
      <c r="V161" s="11">
        <v>206.0</v>
      </c>
      <c r="W161" s="11">
        <v>32.0</v>
      </c>
      <c r="X161" s="11" t="s">
        <v>866</v>
      </c>
    </row>
    <row r="162" ht="14.25" customHeight="1">
      <c r="A162" s="11"/>
      <c r="B162" s="11" t="e">
        <v>#N/A</v>
      </c>
      <c r="C162" s="11" t="s">
        <v>106</v>
      </c>
      <c r="D162" s="11"/>
      <c r="E162" s="11"/>
      <c r="F162" s="11" t="s">
        <v>866</v>
      </c>
      <c r="G162" s="11"/>
      <c r="H162" s="11" t="s">
        <v>896</v>
      </c>
      <c r="I162" s="11" t="e">
        <v>#N/A</v>
      </c>
      <c r="J162" s="11" t="e">
        <v>#N/A</v>
      </c>
      <c r="K162" s="11"/>
      <c r="L162" s="11"/>
      <c r="M162" s="11">
        <v>16.0</v>
      </c>
      <c r="N162" s="11" t="e">
        <v>#N/A</v>
      </c>
      <c r="O162" s="11" t="e">
        <v>#N/A</v>
      </c>
      <c r="P162" s="11" t="e">
        <v>#N/A</v>
      </c>
      <c r="Q162" s="11" t="e">
        <v>#N/A</v>
      </c>
      <c r="R162" s="11" t="e">
        <v>#N/A</v>
      </c>
      <c r="S162" s="11" t="e">
        <v>#N/A</v>
      </c>
      <c r="T162" s="11" t="e">
        <v>#N/A</v>
      </c>
      <c r="U162" s="11" t="e">
        <v>#N/A</v>
      </c>
      <c r="V162" s="11" t="e">
        <v>#N/A</v>
      </c>
      <c r="W162" s="11" t="e">
        <v>#N/A</v>
      </c>
      <c r="X162" s="11" t="e">
        <v>#N/A</v>
      </c>
    </row>
    <row r="163" ht="14.25" customHeight="1">
      <c r="A163" s="11"/>
      <c r="B163" s="11">
        <v>17.0</v>
      </c>
      <c r="C163" s="11" t="s">
        <v>106</v>
      </c>
      <c r="D163" s="11"/>
      <c r="E163" s="11"/>
      <c r="F163" s="11" t="s">
        <v>866</v>
      </c>
      <c r="G163" s="11"/>
      <c r="H163" s="11" t="s">
        <v>337</v>
      </c>
      <c r="I163" s="11" t="s">
        <v>109</v>
      </c>
      <c r="J163" s="11" t="s">
        <v>781</v>
      </c>
      <c r="K163" s="11"/>
      <c r="L163" s="11"/>
      <c r="M163" s="11">
        <v>15.0</v>
      </c>
      <c r="N163" s="11">
        <v>175.0</v>
      </c>
      <c r="O163" s="11">
        <v>187.0</v>
      </c>
      <c r="P163" s="11">
        <v>-12.0</v>
      </c>
      <c r="Q163" s="11">
        <v>203.0</v>
      </c>
      <c r="R163" s="11">
        <v>261.0</v>
      </c>
      <c r="S163" s="11">
        <v>157.0</v>
      </c>
      <c r="T163" s="11">
        <v>182.0</v>
      </c>
      <c r="U163" s="11">
        <v>160.0</v>
      </c>
      <c r="V163" s="11">
        <v>189.0</v>
      </c>
      <c r="W163" s="11">
        <v>72.0</v>
      </c>
      <c r="X163" s="11" t="s">
        <v>866</v>
      </c>
    </row>
    <row r="164" ht="14.25" customHeight="1">
      <c r="A164" s="11"/>
      <c r="B164" s="11" t="e">
        <v>#N/A</v>
      </c>
      <c r="C164" s="11" t="s">
        <v>106</v>
      </c>
      <c r="D164" s="11"/>
      <c r="E164" s="11"/>
      <c r="F164" s="11" t="s">
        <v>866</v>
      </c>
      <c r="G164" s="11"/>
      <c r="H164" s="11" t="s">
        <v>898</v>
      </c>
      <c r="I164" s="11" t="e">
        <v>#N/A</v>
      </c>
      <c r="J164" s="11" t="e">
        <v>#N/A</v>
      </c>
      <c r="K164" s="11"/>
      <c r="L164" s="11"/>
      <c r="M164" s="11">
        <v>16.0</v>
      </c>
      <c r="N164" s="11" t="e">
        <v>#N/A</v>
      </c>
      <c r="O164" s="11" t="e">
        <v>#N/A</v>
      </c>
      <c r="P164" s="11" t="e">
        <v>#N/A</v>
      </c>
      <c r="Q164" s="11" t="e">
        <v>#N/A</v>
      </c>
      <c r="R164" s="11" t="e">
        <v>#N/A</v>
      </c>
      <c r="S164" s="11" t="e">
        <v>#N/A</v>
      </c>
      <c r="T164" s="11" t="e">
        <v>#N/A</v>
      </c>
      <c r="U164" s="11" t="e">
        <v>#N/A</v>
      </c>
      <c r="V164" s="11" t="e">
        <v>#N/A</v>
      </c>
      <c r="W164" s="11" t="e">
        <v>#N/A</v>
      </c>
      <c r="X164" s="11" t="e">
        <v>#N/A</v>
      </c>
    </row>
    <row r="165" ht="14.25" customHeight="1">
      <c r="A165" s="11"/>
      <c r="B165" s="11">
        <v>18.0</v>
      </c>
      <c r="C165" s="11" t="s">
        <v>106</v>
      </c>
      <c r="D165" s="11"/>
      <c r="E165" s="11">
        <v>0.0</v>
      </c>
      <c r="F165" s="11" t="s">
        <v>866</v>
      </c>
      <c r="G165" s="11"/>
      <c r="H165" s="11" t="s">
        <v>282</v>
      </c>
      <c r="I165" s="11" t="s">
        <v>49</v>
      </c>
      <c r="J165" s="11" t="s">
        <v>772</v>
      </c>
      <c r="K165" s="11"/>
      <c r="L165" s="11"/>
      <c r="M165" s="11">
        <v>17.0</v>
      </c>
      <c r="N165" s="11">
        <v>200.0</v>
      </c>
      <c r="O165" s="11" t="s">
        <v>36</v>
      </c>
      <c r="P165" s="11" t="e">
        <v>#VALUE!</v>
      </c>
      <c r="Q165" s="11" t="s">
        <v>36</v>
      </c>
      <c r="R165" s="11">
        <v>248.0</v>
      </c>
      <c r="S165" s="11">
        <v>176.0</v>
      </c>
      <c r="T165" s="11">
        <v>181.0</v>
      </c>
      <c r="U165" s="11">
        <v>245.0</v>
      </c>
      <c r="V165" s="11">
        <v>210.0</v>
      </c>
      <c r="W165" s="11">
        <v>38.0</v>
      </c>
      <c r="X165" s="11" t="s">
        <v>866</v>
      </c>
    </row>
    <row r="166" ht="14.25" customHeight="1">
      <c r="A166" s="11"/>
      <c r="B166" s="11">
        <v>16.0</v>
      </c>
      <c r="C166" s="11" t="s">
        <v>106</v>
      </c>
      <c r="D166" s="11"/>
      <c r="E166" s="11"/>
      <c r="F166" s="11" t="s">
        <v>866</v>
      </c>
      <c r="G166" s="11"/>
      <c r="H166" s="11" t="s">
        <v>676</v>
      </c>
      <c r="I166" s="11" t="s">
        <v>58</v>
      </c>
      <c r="J166" s="11" t="s">
        <v>1081</v>
      </c>
      <c r="K166" s="11"/>
      <c r="L166" s="11"/>
      <c r="M166" s="11">
        <v>14.0</v>
      </c>
      <c r="N166" s="11">
        <v>156.0</v>
      </c>
      <c r="O166" s="11">
        <v>181.0</v>
      </c>
      <c r="P166" s="11">
        <v>-25.0</v>
      </c>
      <c r="Q166" s="11">
        <v>188.0</v>
      </c>
      <c r="R166" s="11">
        <v>229.0</v>
      </c>
      <c r="S166" s="11">
        <v>230.0</v>
      </c>
      <c r="T166" s="11">
        <v>185.0</v>
      </c>
      <c r="U166" s="11">
        <v>76.0</v>
      </c>
      <c r="V166" s="11">
        <v>177.0</v>
      </c>
      <c r="W166" s="11">
        <v>52.0</v>
      </c>
      <c r="X166" s="11" t="s">
        <v>866</v>
      </c>
    </row>
    <row r="167" ht="14.25" customHeight="1">
      <c r="A167" s="11"/>
      <c r="B167" s="11">
        <v>14.0</v>
      </c>
      <c r="C167" s="11" t="s">
        <v>106</v>
      </c>
      <c r="D167" s="11"/>
      <c r="E167" s="11">
        <v>0.0</v>
      </c>
      <c r="F167" s="11" t="s">
        <v>866</v>
      </c>
      <c r="G167" s="11"/>
      <c r="H167" s="11" t="s">
        <v>829</v>
      </c>
      <c r="I167" s="11" t="s">
        <v>125</v>
      </c>
      <c r="J167" s="11" t="s">
        <v>772</v>
      </c>
      <c r="K167" s="11"/>
      <c r="L167" s="11"/>
      <c r="M167" s="11">
        <v>12.0</v>
      </c>
      <c r="N167" s="11">
        <v>143.0</v>
      </c>
      <c r="O167" s="11">
        <v>149.0</v>
      </c>
      <c r="P167" s="11">
        <v>-6.0</v>
      </c>
      <c r="Q167" s="11">
        <v>151.0</v>
      </c>
      <c r="R167" s="11">
        <v>159.0</v>
      </c>
      <c r="S167" s="11">
        <v>121.0</v>
      </c>
      <c r="T167" s="11">
        <v>123.0</v>
      </c>
      <c r="U167" s="11">
        <v>227.0</v>
      </c>
      <c r="V167" s="11">
        <v>153.0</v>
      </c>
      <c r="W167" s="11">
        <v>6.0</v>
      </c>
      <c r="X167" s="11">
        <v>44.0</v>
      </c>
    </row>
    <row r="168" ht="14.25" customHeight="1">
      <c r="A168" s="11"/>
      <c r="B168" s="11" t="e">
        <v>#N/A</v>
      </c>
      <c r="C168" s="11" t="s">
        <v>106</v>
      </c>
      <c r="D168" s="11"/>
      <c r="E168" s="11"/>
      <c r="F168" s="11" t="s">
        <v>866</v>
      </c>
      <c r="G168" s="11"/>
      <c r="H168" s="11" t="s">
        <v>900</v>
      </c>
      <c r="I168" s="11" t="e">
        <v>#N/A</v>
      </c>
      <c r="J168" s="11" t="e">
        <v>#N/A</v>
      </c>
      <c r="K168" s="11"/>
      <c r="L168" s="11"/>
      <c r="M168" s="11">
        <v>16.0</v>
      </c>
      <c r="N168" s="11" t="e">
        <v>#N/A</v>
      </c>
      <c r="O168" s="11" t="e">
        <v>#N/A</v>
      </c>
      <c r="P168" s="11" t="e">
        <v>#N/A</v>
      </c>
      <c r="Q168" s="11" t="e">
        <v>#N/A</v>
      </c>
      <c r="R168" s="11" t="e">
        <v>#N/A</v>
      </c>
      <c r="S168" s="11" t="e">
        <v>#N/A</v>
      </c>
      <c r="T168" s="11" t="e">
        <v>#N/A</v>
      </c>
      <c r="U168" s="11" t="e">
        <v>#N/A</v>
      </c>
      <c r="V168" s="11" t="e">
        <v>#N/A</v>
      </c>
      <c r="W168" s="11" t="e">
        <v>#N/A</v>
      </c>
      <c r="X168" s="11" t="e">
        <v>#N/A</v>
      </c>
    </row>
    <row r="169" ht="14.25" customHeight="1">
      <c r="A169" s="11"/>
      <c r="B169" s="11">
        <v>15.0</v>
      </c>
      <c r="C169" s="11" t="s">
        <v>106</v>
      </c>
      <c r="D169" s="11"/>
      <c r="E169" s="11"/>
      <c r="F169" s="11" t="s">
        <v>866</v>
      </c>
      <c r="G169" s="11"/>
      <c r="H169" s="11" t="s">
        <v>892</v>
      </c>
      <c r="I169" s="11" t="s">
        <v>75</v>
      </c>
      <c r="J169" s="11" t="s">
        <v>775</v>
      </c>
      <c r="K169" s="11"/>
      <c r="L169" s="11"/>
      <c r="M169" s="11">
        <v>15.0</v>
      </c>
      <c r="N169" s="11">
        <v>171.0</v>
      </c>
      <c r="O169" s="11">
        <v>167.0</v>
      </c>
      <c r="P169" s="11">
        <v>4.0</v>
      </c>
      <c r="Q169" s="11">
        <v>159.0</v>
      </c>
      <c r="R169" s="11">
        <v>175.0</v>
      </c>
      <c r="S169" s="11">
        <v>168.0</v>
      </c>
      <c r="T169" s="11">
        <v>156.0</v>
      </c>
      <c r="U169" s="11">
        <v>203.0</v>
      </c>
      <c r="V169" s="11">
        <v>171.0</v>
      </c>
      <c r="W169" s="11">
        <v>4.0</v>
      </c>
      <c r="X169" s="11">
        <v>65.0</v>
      </c>
    </row>
    <row r="170" ht="14.25" customHeight="1">
      <c r="A170" s="11"/>
      <c r="B170" s="11">
        <v>7.0</v>
      </c>
      <c r="C170" s="11" t="s">
        <v>106</v>
      </c>
      <c r="D170" s="11"/>
      <c r="E170" s="11"/>
      <c r="F170" s="11" t="s">
        <v>866</v>
      </c>
      <c r="G170" s="11"/>
      <c r="H170" s="11" t="s">
        <v>326</v>
      </c>
      <c r="I170" s="11" t="s">
        <v>176</v>
      </c>
      <c r="J170" s="11" t="s">
        <v>770</v>
      </c>
      <c r="K170" s="11"/>
      <c r="L170" s="11"/>
      <c r="M170" s="11">
        <v>7.0</v>
      </c>
      <c r="N170" s="11">
        <v>79.0</v>
      </c>
      <c r="O170" s="11">
        <v>68.0</v>
      </c>
      <c r="P170" s="11">
        <v>11.0</v>
      </c>
      <c r="Q170" s="11">
        <v>66.0</v>
      </c>
      <c r="R170" s="11">
        <v>87.0</v>
      </c>
      <c r="S170" s="11">
        <v>89.0</v>
      </c>
      <c r="T170" s="11">
        <v>83.0</v>
      </c>
      <c r="U170" s="11">
        <v>64.0</v>
      </c>
      <c r="V170" s="11">
        <v>76.0</v>
      </c>
      <c r="W170" s="11">
        <v>11.0</v>
      </c>
      <c r="X170" s="11">
        <v>7.0</v>
      </c>
    </row>
    <row r="171" ht="14.25" customHeight="1">
      <c r="A171" s="11"/>
      <c r="B171" s="11">
        <v>23.0</v>
      </c>
      <c r="C171" s="11" t="s">
        <v>106</v>
      </c>
      <c r="D171" s="11"/>
      <c r="E171" s="11"/>
      <c r="F171" s="11" t="s">
        <v>866</v>
      </c>
      <c r="G171" s="11"/>
      <c r="H171" s="11" t="s">
        <v>477</v>
      </c>
      <c r="I171" s="11" t="s">
        <v>62</v>
      </c>
      <c r="J171" s="11" t="s">
        <v>775</v>
      </c>
      <c r="K171" s="11"/>
      <c r="L171" s="11"/>
      <c r="M171" s="11">
        <v>21.0</v>
      </c>
      <c r="N171" s="11">
        <v>251.0</v>
      </c>
      <c r="O171" s="11" t="s">
        <v>36</v>
      </c>
      <c r="P171" s="11" t="e">
        <v>#VALUE!</v>
      </c>
      <c r="Q171" s="11" t="s">
        <v>36</v>
      </c>
      <c r="R171" s="11">
        <v>307.0</v>
      </c>
      <c r="S171" s="11">
        <v>252.0</v>
      </c>
      <c r="T171" s="11">
        <v>252.0</v>
      </c>
      <c r="U171" s="11" t="s">
        <v>36</v>
      </c>
      <c r="V171" s="11">
        <v>265.0</v>
      </c>
      <c r="W171" s="11">
        <v>42.0</v>
      </c>
      <c r="X171" s="11" t="s">
        <v>866</v>
      </c>
    </row>
    <row r="172" ht="14.25" customHeight="1">
      <c r="A172" s="11"/>
      <c r="B172" s="11">
        <v>13.0</v>
      </c>
      <c r="C172" s="11" t="s">
        <v>106</v>
      </c>
      <c r="D172" s="11"/>
      <c r="E172" s="11"/>
      <c r="F172" s="11" t="s">
        <v>866</v>
      </c>
      <c r="G172" s="11"/>
      <c r="H172" s="11" t="s">
        <v>513</v>
      </c>
      <c r="I172" s="11" t="s">
        <v>109</v>
      </c>
      <c r="J172" s="11" t="s">
        <v>1081</v>
      </c>
      <c r="K172" s="11"/>
      <c r="L172" s="11"/>
      <c r="M172" s="11">
        <v>16.0</v>
      </c>
      <c r="N172" s="11">
        <v>181.0</v>
      </c>
      <c r="O172" s="11">
        <v>112.0</v>
      </c>
      <c r="P172" s="11">
        <v>69.0</v>
      </c>
      <c r="Q172" s="11">
        <v>109.0</v>
      </c>
      <c r="R172" s="11">
        <v>129.0</v>
      </c>
      <c r="S172" s="11">
        <v>212.0</v>
      </c>
      <c r="T172" s="11">
        <v>166.0</v>
      </c>
      <c r="U172" s="11">
        <v>123.0</v>
      </c>
      <c r="V172" s="11">
        <v>147.0</v>
      </c>
      <c r="W172" s="11">
        <v>-18.0</v>
      </c>
      <c r="X172" s="11" t="s">
        <v>866</v>
      </c>
    </row>
    <row r="173" ht="14.25" customHeight="1">
      <c r="A173" s="11"/>
      <c r="B173" s="11">
        <v>16.0</v>
      </c>
      <c r="C173" s="11" t="s">
        <v>95</v>
      </c>
      <c r="D173" s="11">
        <v>1.0</v>
      </c>
      <c r="E173" s="11">
        <v>0.0</v>
      </c>
      <c r="F173" s="11">
        <v>1.0</v>
      </c>
      <c r="G173" s="57" t="s">
        <v>1125</v>
      </c>
      <c r="H173" s="80" t="s">
        <v>263</v>
      </c>
      <c r="I173" s="80" t="s">
        <v>165</v>
      </c>
      <c r="J173" s="11" t="s">
        <v>772</v>
      </c>
      <c r="K173" s="80"/>
      <c r="L173" s="11"/>
      <c r="M173" s="11">
        <v>14.0</v>
      </c>
      <c r="N173" s="11">
        <v>158.0</v>
      </c>
      <c r="O173" s="11">
        <v>210.0</v>
      </c>
      <c r="P173" s="11">
        <v>-52.0</v>
      </c>
      <c r="Q173" s="11" t="s">
        <v>36</v>
      </c>
      <c r="R173" s="11">
        <v>201.0</v>
      </c>
      <c r="S173" s="11">
        <v>165.0</v>
      </c>
      <c r="T173" s="11">
        <v>164.0</v>
      </c>
      <c r="U173" s="11">
        <v>220.0</v>
      </c>
      <c r="V173" s="11">
        <v>186.0</v>
      </c>
      <c r="W173" s="11">
        <v>15.0</v>
      </c>
      <c r="X173" s="11">
        <v>55.0</v>
      </c>
    </row>
    <row r="174" ht="14.25" customHeight="1">
      <c r="A174" s="11"/>
      <c r="B174" s="11">
        <v>21.0</v>
      </c>
      <c r="C174" s="11" t="s">
        <v>106</v>
      </c>
      <c r="D174" s="11"/>
      <c r="E174" s="11"/>
      <c r="F174" s="11" t="s">
        <v>866</v>
      </c>
      <c r="G174" s="11"/>
      <c r="H174" s="11" t="s">
        <v>588</v>
      </c>
      <c r="I174" s="11" t="s">
        <v>71</v>
      </c>
      <c r="J174" s="11" t="s">
        <v>1081</v>
      </c>
      <c r="K174" s="11"/>
      <c r="L174" s="11"/>
      <c r="M174" s="11">
        <v>24.0</v>
      </c>
      <c r="N174" s="11">
        <v>285.0</v>
      </c>
      <c r="O174" s="11">
        <v>173.0</v>
      </c>
      <c r="P174" s="11">
        <v>112.0</v>
      </c>
      <c r="Q174" s="11">
        <v>201.0</v>
      </c>
      <c r="R174" s="11">
        <v>344.0</v>
      </c>
      <c r="S174" s="11">
        <v>278.0</v>
      </c>
      <c r="T174" s="11">
        <v>239.0</v>
      </c>
      <c r="U174" s="11">
        <v>165.0</v>
      </c>
      <c r="V174" s="11">
        <v>240.0</v>
      </c>
      <c r="W174" s="11">
        <v>104.0</v>
      </c>
      <c r="X174" s="11" t="s">
        <v>866</v>
      </c>
    </row>
    <row r="175" ht="14.25" customHeight="1">
      <c r="A175" s="11"/>
      <c r="B175" s="11">
        <v>21.0</v>
      </c>
      <c r="C175" s="11" t="s">
        <v>106</v>
      </c>
      <c r="D175" s="11"/>
      <c r="E175" s="11"/>
      <c r="F175" s="11" t="s">
        <v>866</v>
      </c>
      <c r="G175" s="11"/>
      <c r="H175" s="11" t="s">
        <v>886</v>
      </c>
      <c r="I175" s="11" t="s">
        <v>148</v>
      </c>
      <c r="J175" s="11" t="s">
        <v>1081</v>
      </c>
      <c r="K175" s="11"/>
      <c r="L175" s="11"/>
      <c r="M175" s="11">
        <v>20.0</v>
      </c>
      <c r="N175" s="11">
        <v>236.0</v>
      </c>
      <c r="O175" s="11">
        <v>192.0</v>
      </c>
      <c r="P175" s="11">
        <v>44.0</v>
      </c>
      <c r="Q175" s="11">
        <v>206.0</v>
      </c>
      <c r="R175" s="11">
        <v>329.0</v>
      </c>
      <c r="S175" s="11">
        <v>272.0</v>
      </c>
      <c r="T175" s="11">
        <v>234.0</v>
      </c>
      <c r="U175" s="11">
        <v>213.0</v>
      </c>
      <c r="V175" s="11">
        <v>240.0</v>
      </c>
      <c r="W175" s="11">
        <v>89.0</v>
      </c>
      <c r="X175" s="11" t="s">
        <v>866</v>
      </c>
    </row>
    <row r="176" ht="14.25" customHeight="1">
      <c r="A176" s="11"/>
      <c r="B176" s="11">
        <v>20.0</v>
      </c>
      <c r="C176" s="11" t="s">
        <v>106</v>
      </c>
      <c r="D176" s="11"/>
      <c r="E176" s="11"/>
      <c r="F176" s="11" t="s">
        <v>866</v>
      </c>
      <c r="G176" s="11"/>
      <c r="H176" s="11" t="s">
        <v>664</v>
      </c>
      <c r="I176" s="11" t="s">
        <v>195</v>
      </c>
      <c r="J176" s="11" t="s">
        <v>1081</v>
      </c>
      <c r="K176" s="11"/>
      <c r="L176" s="11"/>
      <c r="M176" s="11">
        <v>16.0</v>
      </c>
      <c r="N176" s="11" t="s">
        <v>36</v>
      </c>
      <c r="O176" s="11" t="s">
        <v>36</v>
      </c>
      <c r="P176" s="11" t="e">
        <v>#VALUE!</v>
      </c>
      <c r="Q176" s="11">
        <v>215.0</v>
      </c>
      <c r="R176" s="11" t="s">
        <v>36</v>
      </c>
      <c r="S176" s="11">
        <v>318.0</v>
      </c>
      <c r="T176" s="11">
        <v>261.0</v>
      </c>
      <c r="U176" s="11">
        <v>125.0</v>
      </c>
      <c r="V176" s="11">
        <v>229.0</v>
      </c>
      <c r="W176" s="11" t="e">
        <v>#VALUE!</v>
      </c>
      <c r="X176" s="11" t="s">
        <v>866</v>
      </c>
    </row>
    <row r="177" ht="14.25" customHeight="1">
      <c r="A177" s="11"/>
      <c r="B177" s="11" t="e">
        <v>#N/A</v>
      </c>
      <c r="C177" s="11" t="s">
        <v>106</v>
      </c>
      <c r="D177" s="11"/>
      <c r="E177" s="11"/>
      <c r="F177" s="11" t="s">
        <v>866</v>
      </c>
      <c r="G177" s="11"/>
      <c r="H177" s="11" t="s">
        <v>909</v>
      </c>
      <c r="I177" s="11" t="e">
        <v>#N/A</v>
      </c>
      <c r="J177" s="11" t="e">
        <v>#N/A</v>
      </c>
      <c r="K177" s="11"/>
      <c r="L177" s="11"/>
      <c r="M177" s="11">
        <v>16.0</v>
      </c>
      <c r="N177" s="11" t="e">
        <v>#N/A</v>
      </c>
      <c r="O177" s="11" t="e">
        <v>#N/A</v>
      </c>
      <c r="P177" s="11" t="e">
        <v>#N/A</v>
      </c>
      <c r="Q177" s="11" t="e">
        <v>#N/A</v>
      </c>
      <c r="R177" s="11" t="e">
        <v>#N/A</v>
      </c>
      <c r="S177" s="11" t="e">
        <v>#N/A</v>
      </c>
      <c r="T177" s="11" t="e">
        <v>#N/A</v>
      </c>
      <c r="U177" s="11" t="e">
        <v>#N/A</v>
      </c>
      <c r="V177" s="11" t="e">
        <v>#N/A</v>
      </c>
      <c r="W177" s="11" t="e">
        <v>#N/A</v>
      </c>
      <c r="X177" s="11" t="e">
        <v>#N/A</v>
      </c>
    </row>
    <row r="178" ht="14.25" customHeight="1">
      <c r="A178" s="11"/>
      <c r="B178" s="11">
        <v>14.0</v>
      </c>
      <c r="C178" s="11" t="s">
        <v>106</v>
      </c>
      <c r="D178" s="11"/>
      <c r="E178" s="11"/>
      <c r="F178" s="11" t="s">
        <v>866</v>
      </c>
      <c r="G178" s="11"/>
      <c r="H178" s="11" t="s">
        <v>919</v>
      </c>
      <c r="I178" s="11" t="s">
        <v>192</v>
      </c>
      <c r="J178" s="11" t="s">
        <v>781</v>
      </c>
      <c r="K178" s="11"/>
      <c r="L178" s="11"/>
      <c r="M178" s="11">
        <v>14.0</v>
      </c>
      <c r="N178" s="11">
        <v>165.0</v>
      </c>
      <c r="O178" s="11">
        <v>115.0</v>
      </c>
      <c r="P178" s="11">
        <v>50.0</v>
      </c>
      <c r="Q178" s="11">
        <v>154.0</v>
      </c>
      <c r="R178" s="11">
        <v>207.0</v>
      </c>
      <c r="S178" s="11">
        <v>133.0</v>
      </c>
      <c r="T178" s="11">
        <v>165.0</v>
      </c>
      <c r="U178" s="11">
        <v>162.0</v>
      </c>
      <c r="V178" s="11">
        <v>157.0</v>
      </c>
      <c r="W178" s="11">
        <v>50.0</v>
      </c>
      <c r="X178" s="11" t="s">
        <v>866</v>
      </c>
    </row>
    <row r="179" ht="14.25" customHeight="1">
      <c r="A179" s="11"/>
      <c r="B179" s="11">
        <v>17.0</v>
      </c>
      <c r="C179" s="11" t="s">
        <v>106</v>
      </c>
      <c r="D179" s="11"/>
      <c r="E179" s="11"/>
      <c r="F179" s="11" t="s">
        <v>866</v>
      </c>
      <c r="G179" s="11"/>
      <c r="H179" s="11" t="s">
        <v>572</v>
      </c>
      <c r="I179" s="11" t="s">
        <v>102</v>
      </c>
      <c r="J179" s="11" t="s">
        <v>1081</v>
      </c>
      <c r="K179" s="11"/>
      <c r="L179" s="11"/>
      <c r="M179" s="11">
        <v>16.0</v>
      </c>
      <c r="N179" s="11">
        <v>191.0</v>
      </c>
      <c r="O179" s="11">
        <v>179.0</v>
      </c>
      <c r="P179" s="11">
        <v>12.0</v>
      </c>
      <c r="Q179" s="11">
        <v>187.0</v>
      </c>
      <c r="R179" s="11">
        <v>235.0</v>
      </c>
      <c r="S179" s="11">
        <v>239.0</v>
      </c>
      <c r="T179" s="11">
        <v>202.0</v>
      </c>
      <c r="U179" s="11">
        <v>137.0</v>
      </c>
      <c r="V179" s="11">
        <v>195.0</v>
      </c>
      <c r="W179" s="11">
        <v>40.0</v>
      </c>
      <c r="X179" s="11" t="s">
        <v>866</v>
      </c>
    </row>
    <row r="180" ht="14.25" customHeight="1">
      <c r="A180" s="11"/>
      <c r="B180" s="11">
        <v>14.0</v>
      </c>
      <c r="C180" s="11" t="s">
        <v>106</v>
      </c>
      <c r="D180" s="11"/>
      <c r="E180" s="11"/>
      <c r="F180" s="11" t="s">
        <v>866</v>
      </c>
      <c r="G180" s="11"/>
      <c r="H180" s="11" t="s">
        <v>502</v>
      </c>
      <c r="I180" s="11" t="s">
        <v>237</v>
      </c>
      <c r="J180" s="11" t="s">
        <v>1081</v>
      </c>
      <c r="K180" s="11"/>
      <c r="L180" s="11"/>
      <c r="M180" s="11">
        <v>13.0</v>
      </c>
      <c r="N180" s="11">
        <v>154.0</v>
      </c>
      <c r="O180" s="11">
        <v>132.0</v>
      </c>
      <c r="P180" s="11">
        <v>22.0</v>
      </c>
      <c r="Q180" s="11">
        <v>90.0</v>
      </c>
      <c r="R180" s="11">
        <v>213.0</v>
      </c>
      <c r="S180" s="11">
        <v>215.0</v>
      </c>
      <c r="T180" s="11">
        <v>167.0</v>
      </c>
      <c r="U180" s="11">
        <v>131.0</v>
      </c>
      <c r="V180" s="11">
        <v>157.0</v>
      </c>
      <c r="W180" s="11">
        <v>56.0</v>
      </c>
      <c r="X180" s="11" t="s">
        <v>866</v>
      </c>
    </row>
    <row r="181" ht="14.25" customHeight="1">
      <c r="A181" s="11"/>
      <c r="B181" s="11">
        <v>15.0</v>
      </c>
      <c r="C181" s="11" t="s">
        <v>106</v>
      </c>
      <c r="D181" s="11"/>
      <c r="E181" s="11"/>
      <c r="F181" s="11" t="s">
        <v>866</v>
      </c>
      <c r="G181" s="11"/>
      <c r="H181" s="11" t="s">
        <v>626</v>
      </c>
      <c r="I181" s="11" t="s">
        <v>67</v>
      </c>
      <c r="J181" s="11" t="s">
        <v>1081</v>
      </c>
      <c r="K181" s="11"/>
      <c r="L181" s="11"/>
      <c r="M181" s="11">
        <v>20.0</v>
      </c>
      <c r="N181" s="11">
        <v>231.0</v>
      </c>
      <c r="O181" s="11">
        <v>128.0</v>
      </c>
      <c r="P181" s="11">
        <v>103.0</v>
      </c>
      <c r="Q181" s="11">
        <v>153.0</v>
      </c>
      <c r="R181" s="11">
        <v>218.0</v>
      </c>
      <c r="S181" s="11">
        <v>224.0</v>
      </c>
      <c r="T181" s="11">
        <v>179.0</v>
      </c>
      <c r="U181" s="11">
        <v>92.0</v>
      </c>
      <c r="V181" s="11">
        <v>175.0</v>
      </c>
      <c r="W181" s="11">
        <v>43.0</v>
      </c>
      <c r="X181" s="11" t="s">
        <v>866</v>
      </c>
    </row>
    <row r="182" ht="14.25" customHeight="1">
      <c r="A182" s="11"/>
      <c r="B182" s="11">
        <v>15.0</v>
      </c>
      <c r="C182" s="11" t="s">
        <v>106</v>
      </c>
      <c r="D182" s="11"/>
      <c r="E182" s="11"/>
      <c r="F182" s="11" t="s">
        <v>866</v>
      </c>
      <c r="G182" s="11"/>
      <c r="H182" s="11" t="s">
        <v>405</v>
      </c>
      <c r="I182" s="11" t="s">
        <v>116</v>
      </c>
      <c r="J182" s="11" t="s">
        <v>781</v>
      </c>
      <c r="K182" s="11"/>
      <c r="L182" s="11"/>
      <c r="M182" s="11">
        <v>15.0</v>
      </c>
      <c r="N182" s="11">
        <v>169.0</v>
      </c>
      <c r="O182" s="11">
        <v>155.0</v>
      </c>
      <c r="P182" s="11">
        <v>14.0</v>
      </c>
      <c r="Q182" s="11">
        <v>155.0</v>
      </c>
      <c r="R182" s="11">
        <v>225.0</v>
      </c>
      <c r="S182" s="11">
        <v>140.0</v>
      </c>
      <c r="T182" s="11">
        <v>168.0</v>
      </c>
      <c r="U182" s="11">
        <v>173.0</v>
      </c>
      <c r="V182" s="11">
        <v>169.0</v>
      </c>
      <c r="W182" s="11">
        <v>56.0</v>
      </c>
      <c r="X182" s="11" t="s">
        <v>866</v>
      </c>
    </row>
    <row r="183" ht="14.25" customHeight="1">
      <c r="A183" s="11"/>
      <c r="B183" s="11">
        <v>18.0</v>
      </c>
      <c r="C183" s="11" t="s">
        <v>106</v>
      </c>
      <c r="D183" s="11"/>
      <c r="E183" s="11"/>
      <c r="F183" s="11" t="s">
        <v>866</v>
      </c>
      <c r="G183" s="11"/>
      <c r="H183" s="11" t="s">
        <v>630</v>
      </c>
      <c r="I183" s="11" t="s">
        <v>171</v>
      </c>
      <c r="J183" s="11" t="s">
        <v>1081</v>
      </c>
      <c r="K183" s="11"/>
      <c r="L183" s="11"/>
      <c r="M183" s="11">
        <v>16.0</v>
      </c>
      <c r="N183" s="11" t="s">
        <v>36</v>
      </c>
      <c r="O183" s="11">
        <v>212.0</v>
      </c>
      <c r="P183" s="11" t="e">
        <v>#VALUE!</v>
      </c>
      <c r="Q183" s="11">
        <v>220.0</v>
      </c>
      <c r="R183" s="11" t="s">
        <v>36</v>
      </c>
      <c r="S183" s="11">
        <v>296.0</v>
      </c>
      <c r="T183" s="11">
        <v>246.0</v>
      </c>
      <c r="U183" s="11">
        <v>83.0</v>
      </c>
      <c r="V183" s="11">
        <v>211.0</v>
      </c>
      <c r="W183" s="11" t="e">
        <v>#VALUE!</v>
      </c>
      <c r="X183" s="11" t="s">
        <v>866</v>
      </c>
    </row>
    <row r="184" ht="14.25" customHeight="1">
      <c r="A184" s="11"/>
      <c r="B184" s="11">
        <v>19.0</v>
      </c>
      <c r="C184" s="11" t="s">
        <v>106</v>
      </c>
      <c r="D184" s="11"/>
      <c r="E184" s="11">
        <v>0.0</v>
      </c>
      <c r="F184" s="11" t="s">
        <v>866</v>
      </c>
      <c r="G184" s="11"/>
      <c r="H184" s="11" t="s">
        <v>951</v>
      </c>
      <c r="I184" s="11" t="s">
        <v>85</v>
      </c>
      <c r="J184" s="11" t="s">
        <v>772</v>
      </c>
      <c r="K184" s="11"/>
      <c r="L184" s="11"/>
      <c r="M184" s="11">
        <v>18.0</v>
      </c>
      <c r="N184" s="11">
        <v>204.0</v>
      </c>
      <c r="O184" s="11">
        <v>211.0</v>
      </c>
      <c r="P184" s="11">
        <v>-7.0</v>
      </c>
      <c r="Q184" s="11">
        <v>213.0</v>
      </c>
      <c r="R184" s="11">
        <v>258.0</v>
      </c>
      <c r="S184" s="11">
        <v>163.0</v>
      </c>
      <c r="T184" s="11">
        <v>173.0</v>
      </c>
      <c r="U184" s="11">
        <v>302.0</v>
      </c>
      <c r="V184" s="11">
        <v>217.0</v>
      </c>
      <c r="W184" s="11">
        <v>41.0</v>
      </c>
      <c r="X184" s="11" t="s">
        <v>866</v>
      </c>
    </row>
    <row r="185" ht="14.25" customHeight="1">
      <c r="A185" s="11"/>
      <c r="B185" s="11">
        <v>24.0</v>
      </c>
      <c r="C185" s="11" t="s">
        <v>106</v>
      </c>
      <c r="D185" s="11"/>
      <c r="E185" s="11"/>
      <c r="F185" s="11" t="s">
        <v>866</v>
      </c>
      <c r="G185" s="11"/>
      <c r="H185" s="11" t="s">
        <v>902</v>
      </c>
      <c r="I185" s="11" t="s">
        <v>94</v>
      </c>
      <c r="J185" s="11" t="s">
        <v>1081</v>
      </c>
      <c r="K185" s="11"/>
      <c r="L185" s="11"/>
      <c r="M185" s="11">
        <v>21.0</v>
      </c>
      <c r="N185" s="11">
        <v>245.0</v>
      </c>
      <c r="O185" s="11" t="s">
        <v>36</v>
      </c>
      <c r="P185" s="11" t="e">
        <v>#VALUE!</v>
      </c>
      <c r="Q185" s="11">
        <v>248.0</v>
      </c>
      <c r="R185" s="11">
        <v>343.0</v>
      </c>
      <c r="S185" s="11">
        <v>333.0</v>
      </c>
      <c r="T185" s="11">
        <v>273.0</v>
      </c>
      <c r="U185" s="11">
        <v>217.0</v>
      </c>
      <c r="V185" s="11">
        <v>276.0</v>
      </c>
      <c r="W185" s="11">
        <v>67.0</v>
      </c>
      <c r="X185" s="11" t="e">
        <v>#N/A</v>
      </c>
    </row>
    <row r="186" ht="14.25" customHeight="1">
      <c r="A186" s="11"/>
      <c r="B186" s="11">
        <v>5.0</v>
      </c>
      <c r="C186" s="11" t="s">
        <v>95</v>
      </c>
      <c r="D186" s="11">
        <v>2.0</v>
      </c>
      <c r="E186" s="11"/>
      <c r="F186" s="11">
        <v>2.0</v>
      </c>
      <c r="G186" s="11"/>
      <c r="H186" s="11" t="s">
        <v>288</v>
      </c>
      <c r="I186" s="11" t="s">
        <v>165</v>
      </c>
      <c r="J186" s="11" t="s">
        <v>772</v>
      </c>
      <c r="K186" s="11"/>
      <c r="L186" s="11"/>
      <c r="M186" s="11">
        <v>4.0</v>
      </c>
      <c r="N186" s="11">
        <v>45.0</v>
      </c>
      <c r="O186" s="11">
        <v>44.0</v>
      </c>
      <c r="P186" s="11">
        <v>1.0</v>
      </c>
      <c r="Q186" s="11">
        <v>40.0</v>
      </c>
      <c r="R186" s="11">
        <v>60.0</v>
      </c>
      <c r="S186" s="11">
        <v>47.0</v>
      </c>
      <c r="T186" s="11">
        <v>51.0</v>
      </c>
      <c r="U186" s="11">
        <v>55.0</v>
      </c>
      <c r="V186" s="11">
        <v>48.0</v>
      </c>
      <c r="W186" s="11">
        <v>12.0</v>
      </c>
      <c r="X186" s="11">
        <v>17.0</v>
      </c>
    </row>
    <row r="187" ht="14.25" customHeight="1">
      <c r="A187" s="11"/>
      <c r="B187" s="11">
        <v>13.0</v>
      </c>
      <c r="C187" s="11" t="s">
        <v>106</v>
      </c>
      <c r="D187" s="11"/>
      <c r="E187" s="11"/>
      <c r="F187" s="11" t="s">
        <v>866</v>
      </c>
      <c r="G187" s="11"/>
      <c r="H187" s="11" t="s">
        <v>495</v>
      </c>
      <c r="I187" s="11" t="s">
        <v>85</v>
      </c>
      <c r="J187" s="11" t="s">
        <v>1081</v>
      </c>
      <c r="K187" s="11"/>
      <c r="L187" s="11"/>
      <c r="M187" s="11">
        <v>13.0</v>
      </c>
      <c r="N187" s="11">
        <v>144.0</v>
      </c>
      <c r="O187" s="11">
        <v>87.0</v>
      </c>
      <c r="P187" s="11">
        <v>57.0</v>
      </c>
      <c r="Q187" s="11">
        <v>130.0</v>
      </c>
      <c r="R187" s="11">
        <v>164.0</v>
      </c>
      <c r="S187" s="11">
        <v>214.0</v>
      </c>
      <c r="T187" s="11">
        <v>160.0</v>
      </c>
      <c r="U187" s="11">
        <v>93.0</v>
      </c>
      <c r="V187" s="11">
        <v>141.0</v>
      </c>
      <c r="W187" s="11">
        <v>23.0</v>
      </c>
      <c r="X187" s="11" t="s">
        <v>866</v>
      </c>
    </row>
    <row r="188" ht="14.25" customHeight="1">
      <c r="A188" s="11"/>
      <c r="B188" s="11">
        <v>14.0</v>
      </c>
      <c r="C188" s="11" t="s">
        <v>106</v>
      </c>
      <c r="D188" s="11"/>
      <c r="E188" s="11"/>
      <c r="F188" s="11" t="s">
        <v>866</v>
      </c>
      <c r="G188" s="11"/>
      <c r="H188" s="11" t="s">
        <v>475</v>
      </c>
      <c r="I188" s="11" t="s">
        <v>119</v>
      </c>
      <c r="J188" s="11" t="s">
        <v>1081</v>
      </c>
      <c r="K188" s="11"/>
      <c r="L188" s="11"/>
      <c r="M188" s="11">
        <v>16.0</v>
      </c>
      <c r="N188" s="11">
        <v>188.0</v>
      </c>
      <c r="O188" s="11">
        <v>145.0</v>
      </c>
      <c r="P188" s="11">
        <v>43.0</v>
      </c>
      <c r="Q188" s="11">
        <v>100.0</v>
      </c>
      <c r="R188" s="11">
        <v>190.0</v>
      </c>
      <c r="S188" s="11">
        <v>216.0</v>
      </c>
      <c r="T188" s="11">
        <v>176.0</v>
      </c>
      <c r="U188" s="11">
        <v>145.0</v>
      </c>
      <c r="V188" s="11">
        <v>165.0</v>
      </c>
      <c r="W188" s="11">
        <v>25.0</v>
      </c>
      <c r="X188" s="11" t="s">
        <v>866</v>
      </c>
    </row>
    <row r="189" ht="14.25" customHeight="1">
      <c r="A189" s="11" t="s">
        <v>106</v>
      </c>
      <c r="B189" s="11">
        <v>19.0</v>
      </c>
      <c r="C189" s="11" t="s">
        <v>95</v>
      </c>
      <c r="D189" s="11"/>
      <c r="E189" s="11"/>
      <c r="F189" s="11" t="s">
        <v>866</v>
      </c>
      <c r="G189" s="11"/>
      <c r="H189" s="11" t="s">
        <v>904</v>
      </c>
      <c r="I189" s="11" t="s">
        <v>45</v>
      </c>
      <c r="J189" s="11" t="s">
        <v>1081</v>
      </c>
      <c r="K189" s="11"/>
      <c r="L189" s="11"/>
      <c r="M189" s="11">
        <v>16.0</v>
      </c>
      <c r="N189" s="11" t="s">
        <v>36</v>
      </c>
      <c r="O189" s="11" t="s">
        <v>36</v>
      </c>
      <c r="P189" s="11" t="e">
        <v>#VALUE!</v>
      </c>
      <c r="Q189" s="11">
        <v>223.0</v>
      </c>
      <c r="R189" s="11" t="s">
        <v>36</v>
      </c>
      <c r="S189" s="11">
        <v>323.0</v>
      </c>
      <c r="T189" s="11">
        <v>267.0</v>
      </c>
      <c r="U189" s="11">
        <v>97.0</v>
      </c>
      <c r="V189" s="11">
        <v>227.0</v>
      </c>
      <c r="W189" s="11" t="e">
        <v>#VALUE!</v>
      </c>
      <c r="X189" s="11" t="e">
        <v>#N/A</v>
      </c>
    </row>
    <row r="190" ht="14.25" customHeight="1">
      <c r="A190" s="11"/>
      <c r="B190" s="11">
        <v>17.0</v>
      </c>
      <c r="C190" s="11" t="s">
        <v>106</v>
      </c>
      <c r="D190" s="11"/>
      <c r="E190" s="11"/>
      <c r="F190" s="11" t="s">
        <v>866</v>
      </c>
      <c r="G190" s="11"/>
      <c r="H190" s="11" t="s">
        <v>409</v>
      </c>
      <c r="I190" s="11" t="s">
        <v>231</v>
      </c>
      <c r="J190" s="11" t="s">
        <v>781</v>
      </c>
      <c r="K190" s="11"/>
      <c r="L190" s="11"/>
      <c r="M190" s="11">
        <v>18.0</v>
      </c>
      <c r="N190" s="11">
        <v>208.0</v>
      </c>
      <c r="O190" s="11" t="s">
        <v>36</v>
      </c>
      <c r="P190" s="11" t="e">
        <v>#VALUE!</v>
      </c>
      <c r="Q190" s="11" t="s">
        <v>36</v>
      </c>
      <c r="R190" s="11">
        <v>249.0</v>
      </c>
      <c r="S190" s="11">
        <v>150.0</v>
      </c>
      <c r="T190" s="11">
        <v>187.0</v>
      </c>
      <c r="U190" s="11">
        <v>218.0</v>
      </c>
      <c r="V190" s="11">
        <v>202.0</v>
      </c>
      <c r="W190" s="11">
        <v>47.0</v>
      </c>
      <c r="X190" s="11" t="s">
        <v>866</v>
      </c>
    </row>
    <row r="191" ht="14.25" customHeight="1">
      <c r="A191" s="11"/>
      <c r="B191" s="11" t="e">
        <v>#N/A</v>
      </c>
      <c r="C191" s="11" t="s">
        <v>106</v>
      </c>
      <c r="D191" s="11"/>
      <c r="E191" s="11"/>
      <c r="F191" s="11" t="s">
        <v>866</v>
      </c>
      <c r="G191" s="11"/>
      <c r="H191" s="11" t="s">
        <v>897</v>
      </c>
      <c r="I191" s="11" t="e">
        <v>#N/A</v>
      </c>
      <c r="J191" s="11" t="e">
        <v>#N/A</v>
      </c>
      <c r="K191" s="11"/>
      <c r="L191" s="11"/>
      <c r="M191" s="11">
        <v>16.0</v>
      </c>
      <c r="N191" s="11" t="e">
        <v>#N/A</v>
      </c>
      <c r="O191" s="11" t="e">
        <v>#N/A</v>
      </c>
      <c r="P191" s="11" t="e">
        <v>#N/A</v>
      </c>
      <c r="Q191" s="11" t="e">
        <v>#N/A</v>
      </c>
      <c r="R191" s="11" t="e">
        <v>#N/A</v>
      </c>
      <c r="S191" s="11" t="e">
        <v>#N/A</v>
      </c>
      <c r="T191" s="11" t="e">
        <v>#N/A</v>
      </c>
      <c r="U191" s="11" t="e">
        <v>#N/A</v>
      </c>
      <c r="V191" s="11" t="e">
        <v>#N/A</v>
      </c>
      <c r="W191" s="11" t="e">
        <v>#N/A</v>
      </c>
      <c r="X191" s="11" t="e">
        <v>#N/A</v>
      </c>
    </row>
    <row r="192" ht="14.25" customHeight="1">
      <c r="A192" s="11"/>
      <c r="B192" s="11">
        <v>16.0</v>
      </c>
      <c r="C192" s="11" t="s">
        <v>106</v>
      </c>
      <c r="D192" s="11"/>
      <c r="E192" s="11"/>
      <c r="F192" s="11" t="s">
        <v>866</v>
      </c>
      <c r="G192" s="11"/>
      <c r="H192" s="11" t="s">
        <v>481</v>
      </c>
      <c r="I192" s="11" t="s">
        <v>165</v>
      </c>
      <c r="J192" s="11" t="s">
        <v>770</v>
      </c>
      <c r="K192" s="11"/>
      <c r="L192" s="11"/>
      <c r="M192" s="11">
        <v>17.0</v>
      </c>
      <c r="N192" s="11">
        <v>201.0</v>
      </c>
      <c r="O192" s="11">
        <v>190.0</v>
      </c>
      <c r="P192" s="11">
        <v>11.0</v>
      </c>
      <c r="Q192" s="11">
        <v>193.0</v>
      </c>
      <c r="R192" s="11">
        <v>187.0</v>
      </c>
      <c r="S192" s="11">
        <v>170.0</v>
      </c>
      <c r="T192" s="11">
        <v>157.0</v>
      </c>
      <c r="U192" s="11">
        <v>194.0</v>
      </c>
      <c r="V192" s="11">
        <v>184.0</v>
      </c>
      <c r="W192" s="11">
        <v>3.0</v>
      </c>
      <c r="X192" s="11">
        <v>21.0</v>
      </c>
    </row>
    <row r="193" ht="14.25" customHeight="1">
      <c r="A193" s="11"/>
      <c r="B193" s="11" t="e">
        <v>#N/A</v>
      </c>
      <c r="C193" s="11" t="s">
        <v>106</v>
      </c>
      <c r="D193" s="11"/>
      <c r="E193" s="11"/>
      <c r="F193" s="11" t="s">
        <v>866</v>
      </c>
      <c r="G193" s="11"/>
      <c r="H193" s="11" t="s">
        <v>732</v>
      </c>
      <c r="I193" s="11" t="e">
        <v>#N/A</v>
      </c>
      <c r="J193" s="11" t="e">
        <v>#N/A</v>
      </c>
      <c r="K193" s="11"/>
      <c r="L193" s="11"/>
      <c r="M193" s="11">
        <v>16.0</v>
      </c>
      <c r="N193" s="11" t="e">
        <v>#N/A</v>
      </c>
      <c r="O193" s="11" t="e">
        <v>#N/A</v>
      </c>
      <c r="P193" s="11" t="e">
        <v>#N/A</v>
      </c>
      <c r="Q193" s="11" t="e">
        <v>#N/A</v>
      </c>
      <c r="R193" s="11" t="e">
        <v>#N/A</v>
      </c>
      <c r="S193" s="11" t="e">
        <v>#N/A</v>
      </c>
      <c r="T193" s="11" t="e">
        <v>#N/A</v>
      </c>
      <c r="U193" s="11" t="e">
        <v>#N/A</v>
      </c>
      <c r="V193" s="11" t="e">
        <v>#N/A</v>
      </c>
      <c r="W193" s="11" t="e">
        <v>#N/A</v>
      </c>
      <c r="X193" s="11" t="e">
        <v>#N/A</v>
      </c>
    </row>
    <row r="194" ht="14.25" customHeight="1">
      <c r="A194" s="11"/>
      <c r="B194" s="11">
        <v>14.0</v>
      </c>
      <c r="C194" s="11" t="s">
        <v>106</v>
      </c>
      <c r="D194" s="11"/>
      <c r="E194" s="11"/>
      <c r="F194" s="11" t="s">
        <v>866</v>
      </c>
      <c r="G194" s="11"/>
      <c r="H194" s="11" t="s">
        <v>910</v>
      </c>
      <c r="I194" s="11" t="s">
        <v>237</v>
      </c>
      <c r="J194" s="11" t="s">
        <v>781</v>
      </c>
      <c r="K194" s="11"/>
      <c r="L194" s="11"/>
      <c r="M194" s="11">
        <v>10.0</v>
      </c>
      <c r="N194" s="11">
        <v>110.0</v>
      </c>
      <c r="O194" s="11">
        <v>183.0</v>
      </c>
      <c r="P194" s="11">
        <v>-73.0</v>
      </c>
      <c r="Q194" s="11">
        <v>186.0</v>
      </c>
      <c r="R194" s="11">
        <v>203.0</v>
      </c>
      <c r="S194" s="11">
        <v>161.0</v>
      </c>
      <c r="T194" s="11">
        <v>169.0</v>
      </c>
      <c r="U194" s="11">
        <v>91.0</v>
      </c>
      <c r="V194" s="11">
        <v>157.0</v>
      </c>
      <c r="W194" s="11">
        <v>46.0</v>
      </c>
      <c r="X194" s="11" t="s">
        <v>866</v>
      </c>
    </row>
    <row r="195" ht="14.25" customHeight="1">
      <c r="A195" s="11"/>
      <c r="B195" s="11">
        <v>9.0</v>
      </c>
      <c r="C195" s="11" t="s">
        <v>106</v>
      </c>
      <c r="D195" s="11"/>
      <c r="E195" s="11"/>
      <c r="F195" s="11" t="s">
        <v>866</v>
      </c>
      <c r="G195" s="11"/>
      <c r="H195" s="11" t="s">
        <v>313</v>
      </c>
      <c r="I195" s="11" t="s">
        <v>75</v>
      </c>
      <c r="J195" s="11" t="s">
        <v>772</v>
      </c>
      <c r="K195" s="11"/>
      <c r="L195" s="11"/>
      <c r="M195" s="11">
        <v>9.0</v>
      </c>
      <c r="N195" s="11">
        <v>103.0</v>
      </c>
      <c r="O195" s="11">
        <v>98.0</v>
      </c>
      <c r="P195" s="11">
        <v>5.0</v>
      </c>
      <c r="Q195" s="11">
        <v>122.0</v>
      </c>
      <c r="R195" s="11">
        <v>107.0</v>
      </c>
      <c r="S195" s="11">
        <v>88.0</v>
      </c>
      <c r="T195" s="11">
        <v>89.0</v>
      </c>
      <c r="U195" s="11">
        <v>122.0</v>
      </c>
      <c r="V195" s="11">
        <v>104.0</v>
      </c>
      <c r="W195" s="11">
        <v>3.0</v>
      </c>
      <c r="X195" s="11">
        <v>28.0</v>
      </c>
    </row>
    <row r="196" ht="14.25" customHeight="1">
      <c r="A196" s="11"/>
      <c r="B196" s="11">
        <v>17.0</v>
      </c>
      <c r="C196" s="11" t="s">
        <v>106</v>
      </c>
      <c r="D196" s="11"/>
      <c r="E196" s="11"/>
      <c r="F196" s="11" t="s">
        <v>866</v>
      </c>
      <c r="G196" s="11"/>
      <c r="H196" s="11" t="s">
        <v>659</v>
      </c>
      <c r="I196" s="11" t="s">
        <v>102</v>
      </c>
      <c r="J196" s="11" t="s">
        <v>1085</v>
      </c>
      <c r="K196" s="11"/>
      <c r="L196" s="11"/>
      <c r="M196" s="11">
        <v>14.0</v>
      </c>
      <c r="N196" s="11">
        <v>161.0</v>
      </c>
      <c r="O196" s="11">
        <v>185.0</v>
      </c>
      <c r="P196" s="11">
        <v>-24.0</v>
      </c>
      <c r="Q196" s="11">
        <v>149.0</v>
      </c>
      <c r="R196" s="11">
        <v>266.0</v>
      </c>
      <c r="S196" s="11">
        <v>232.0</v>
      </c>
      <c r="T196" s="11" t="s">
        <v>36</v>
      </c>
      <c r="U196" s="11">
        <v>146.0</v>
      </c>
      <c r="V196" s="11">
        <v>189.0</v>
      </c>
      <c r="W196" s="11">
        <v>77.0</v>
      </c>
      <c r="X196" s="11" t="s">
        <v>866</v>
      </c>
    </row>
    <row r="197" ht="14.25" customHeight="1">
      <c r="A197" s="11"/>
      <c r="B197" s="11">
        <v>12.0</v>
      </c>
      <c r="C197" s="11" t="s">
        <v>106</v>
      </c>
      <c r="D197" s="11"/>
      <c r="E197" s="11"/>
      <c r="F197" s="11" t="s">
        <v>866</v>
      </c>
      <c r="G197" s="11"/>
      <c r="H197" s="11" t="s">
        <v>543</v>
      </c>
      <c r="I197" s="11" t="s">
        <v>71</v>
      </c>
      <c r="J197" s="11" t="s">
        <v>1085</v>
      </c>
      <c r="K197" s="11"/>
      <c r="L197" s="11"/>
      <c r="M197" s="11">
        <v>11.0</v>
      </c>
      <c r="N197" s="11">
        <v>131.0</v>
      </c>
      <c r="O197" s="11">
        <v>104.0</v>
      </c>
      <c r="P197" s="11">
        <v>27.0</v>
      </c>
      <c r="Q197" s="11">
        <v>104.0</v>
      </c>
      <c r="R197" s="11">
        <v>154.0</v>
      </c>
      <c r="S197" s="11">
        <v>205.0</v>
      </c>
      <c r="T197" s="11" t="s">
        <v>36</v>
      </c>
      <c r="U197" s="11">
        <v>71.0</v>
      </c>
      <c r="V197" s="11">
        <v>128.0</v>
      </c>
      <c r="W197" s="11">
        <v>26.0</v>
      </c>
      <c r="X197" s="11" t="s">
        <v>866</v>
      </c>
    </row>
    <row r="198" ht="14.25" customHeight="1">
      <c r="A198" s="11"/>
      <c r="B198" s="11">
        <v>18.0</v>
      </c>
      <c r="C198" s="11" t="s">
        <v>106</v>
      </c>
      <c r="D198" s="11"/>
      <c r="E198" s="11"/>
      <c r="F198" s="11" t="s">
        <v>866</v>
      </c>
      <c r="G198" s="11"/>
      <c r="H198" s="11" t="s">
        <v>442</v>
      </c>
      <c r="I198" s="11" t="s">
        <v>52</v>
      </c>
      <c r="J198" s="11" t="s">
        <v>770</v>
      </c>
      <c r="K198" s="11"/>
      <c r="L198" s="11"/>
      <c r="M198" s="11">
        <v>19.0</v>
      </c>
      <c r="N198" s="11">
        <v>226.0</v>
      </c>
      <c r="O198" s="11" t="s">
        <v>36</v>
      </c>
      <c r="P198" s="11" t="e">
        <v>#VALUE!</v>
      </c>
      <c r="Q198" s="11">
        <v>204.0</v>
      </c>
      <c r="R198" s="11">
        <v>222.0</v>
      </c>
      <c r="S198" s="11">
        <v>213.0</v>
      </c>
      <c r="T198" s="11">
        <v>196.0</v>
      </c>
      <c r="U198" s="11">
        <v>201.0</v>
      </c>
      <c r="V198" s="11">
        <v>210.0</v>
      </c>
      <c r="W198" s="11">
        <v>12.0</v>
      </c>
      <c r="X198" s="11" t="s">
        <v>866</v>
      </c>
    </row>
    <row r="199" ht="14.25" customHeight="1">
      <c r="A199" s="11"/>
      <c r="B199" s="11">
        <v>19.0</v>
      </c>
      <c r="C199" s="11" t="s">
        <v>106</v>
      </c>
      <c r="D199" s="11"/>
      <c r="E199" s="11"/>
      <c r="F199" s="11" t="s">
        <v>866</v>
      </c>
      <c r="G199" s="11"/>
      <c r="H199" s="11" t="s">
        <v>645</v>
      </c>
      <c r="I199" s="11" t="s">
        <v>45</v>
      </c>
      <c r="J199" s="11" t="s">
        <v>781</v>
      </c>
      <c r="K199" s="11"/>
      <c r="L199" s="11"/>
      <c r="M199" s="11">
        <v>18.0</v>
      </c>
      <c r="N199" s="11">
        <v>209.0</v>
      </c>
      <c r="O199" s="11" t="s">
        <v>36</v>
      </c>
      <c r="P199" s="11" t="e">
        <v>#VALUE!</v>
      </c>
      <c r="Q199" s="11" t="s">
        <v>36</v>
      </c>
      <c r="R199" s="11">
        <v>237.0</v>
      </c>
      <c r="S199" s="11">
        <v>180.0</v>
      </c>
      <c r="T199" s="11">
        <v>220.0</v>
      </c>
      <c r="U199" s="11">
        <v>265.0</v>
      </c>
      <c r="V199" s="11">
        <v>222.0</v>
      </c>
      <c r="W199" s="11">
        <v>15.0</v>
      </c>
      <c r="X199" s="11" t="s">
        <v>866</v>
      </c>
    </row>
    <row r="200" ht="14.25" customHeight="1">
      <c r="A200" s="11"/>
      <c r="B200" s="11">
        <v>12.0</v>
      </c>
      <c r="C200" s="11" t="s">
        <v>106</v>
      </c>
      <c r="D200" s="11"/>
      <c r="E200" s="11"/>
      <c r="F200" s="11" t="s">
        <v>866</v>
      </c>
      <c r="G200" s="11"/>
      <c r="H200" s="11" t="s">
        <v>460</v>
      </c>
      <c r="I200" s="11" t="s">
        <v>148</v>
      </c>
      <c r="J200" s="11" t="s">
        <v>772</v>
      </c>
      <c r="K200" s="11"/>
      <c r="L200" s="11"/>
      <c r="M200" s="11">
        <v>13.0</v>
      </c>
      <c r="N200" s="11">
        <v>153.0</v>
      </c>
      <c r="O200" s="11">
        <v>127.0</v>
      </c>
      <c r="P200" s="11">
        <v>26.0</v>
      </c>
      <c r="Q200" s="11">
        <v>156.0</v>
      </c>
      <c r="R200" s="11">
        <v>109.0</v>
      </c>
      <c r="S200" s="11">
        <v>108.0</v>
      </c>
      <c r="T200" s="11">
        <v>132.0</v>
      </c>
      <c r="U200" s="11">
        <v>197.0</v>
      </c>
      <c r="V200" s="11">
        <v>140.0</v>
      </c>
      <c r="W200" s="11">
        <v>-31.0</v>
      </c>
      <c r="X200" s="11">
        <v>50.0</v>
      </c>
    </row>
    <row r="201" ht="14.25" customHeight="1">
      <c r="A201" s="11"/>
      <c r="B201" s="11" t="e">
        <v>#N/A</v>
      </c>
      <c r="C201" s="11" t="s">
        <v>106</v>
      </c>
      <c r="D201" s="11"/>
      <c r="E201" s="11"/>
      <c r="F201" s="11" t="s">
        <v>866</v>
      </c>
      <c r="G201" s="11"/>
      <c r="H201" s="11" t="s">
        <v>294</v>
      </c>
      <c r="I201" s="11" t="e">
        <v>#N/A</v>
      </c>
      <c r="J201" s="11" t="e">
        <v>#N/A</v>
      </c>
      <c r="K201" s="11"/>
      <c r="L201" s="11"/>
      <c r="M201" s="11">
        <v>16.0</v>
      </c>
      <c r="N201" s="11" t="e">
        <v>#N/A</v>
      </c>
      <c r="O201" s="11" t="e">
        <v>#N/A</v>
      </c>
      <c r="P201" s="11" t="e">
        <v>#N/A</v>
      </c>
      <c r="Q201" s="11" t="e">
        <v>#N/A</v>
      </c>
      <c r="R201" s="11" t="e">
        <v>#N/A</v>
      </c>
      <c r="S201" s="11" t="e">
        <v>#N/A</v>
      </c>
      <c r="T201" s="11" t="e">
        <v>#N/A</v>
      </c>
      <c r="U201" s="11" t="e">
        <v>#N/A</v>
      </c>
      <c r="V201" s="11" t="e">
        <v>#N/A</v>
      </c>
      <c r="W201" s="11" t="e">
        <v>#N/A</v>
      </c>
      <c r="X201" s="11" t="e">
        <v>#N/A</v>
      </c>
    </row>
    <row r="202" ht="14.25" customHeight="1">
      <c r="A202" s="11"/>
      <c r="B202" s="11">
        <v>18.0</v>
      </c>
      <c r="C202" s="11" t="s">
        <v>106</v>
      </c>
      <c r="D202" s="11"/>
      <c r="E202" s="11"/>
      <c r="F202" s="11" t="s">
        <v>866</v>
      </c>
      <c r="G202" s="11"/>
      <c r="H202" s="11" t="s">
        <v>954</v>
      </c>
      <c r="I202" s="11" t="s">
        <v>40</v>
      </c>
      <c r="J202" s="11" t="s">
        <v>1085</v>
      </c>
      <c r="K202" s="11"/>
      <c r="L202" s="11"/>
      <c r="M202" s="11">
        <v>14.0</v>
      </c>
      <c r="N202" s="11">
        <v>159.0</v>
      </c>
      <c r="O202" s="11">
        <v>193.0</v>
      </c>
      <c r="P202" s="11">
        <v>-34.0</v>
      </c>
      <c r="Q202" s="11">
        <v>196.0</v>
      </c>
      <c r="R202" s="11" t="s">
        <v>36</v>
      </c>
      <c r="S202" s="11">
        <v>269.0</v>
      </c>
      <c r="T202" s="11" t="s">
        <v>36</v>
      </c>
      <c r="U202" s="11">
        <v>171.0</v>
      </c>
      <c r="V202" s="11">
        <v>197.0</v>
      </c>
      <c r="W202" s="11" t="e">
        <v>#VALUE!</v>
      </c>
      <c r="X202" s="11" t="s">
        <v>866</v>
      </c>
    </row>
    <row r="203" ht="14.25" customHeight="1">
      <c r="A203" s="11"/>
      <c r="B203" s="11">
        <v>15.0</v>
      </c>
      <c r="C203" s="11" t="s">
        <v>106</v>
      </c>
      <c r="D203" s="11"/>
      <c r="E203" s="11"/>
      <c r="F203" s="11" t="s">
        <v>866</v>
      </c>
      <c r="G203" s="11"/>
      <c r="H203" s="11" t="s">
        <v>899</v>
      </c>
      <c r="I203" s="11" t="s">
        <v>165</v>
      </c>
      <c r="J203" s="11" t="s">
        <v>775</v>
      </c>
      <c r="K203" s="11"/>
      <c r="L203" s="11"/>
      <c r="M203" s="11">
        <v>17.0</v>
      </c>
      <c r="N203" s="11">
        <v>196.0</v>
      </c>
      <c r="O203" s="11">
        <v>203.0</v>
      </c>
      <c r="P203" s="11">
        <v>-7.0</v>
      </c>
      <c r="Q203" s="11">
        <v>148.0</v>
      </c>
      <c r="R203" s="11">
        <v>197.0</v>
      </c>
      <c r="S203" s="11">
        <v>171.0</v>
      </c>
      <c r="T203" s="11">
        <v>161.0</v>
      </c>
      <c r="U203" s="11">
        <v>208.0</v>
      </c>
      <c r="V203" s="11">
        <v>183.0</v>
      </c>
      <c r="W203" s="11">
        <v>14.0</v>
      </c>
      <c r="X203" s="11">
        <v>54.0</v>
      </c>
    </row>
    <row r="204" ht="14.25" customHeight="1">
      <c r="A204" s="11"/>
      <c r="B204" s="11">
        <v>17.0</v>
      </c>
      <c r="C204" s="11" t="s">
        <v>106</v>
      </c>
      <c r="D204" s="11"/>
      <c r="E204" s="11"/>
      <c r="F204" s="11" t="s">
        <v>866</v>
      </c>
      <c r="G204" s="11"/>
      <c r="H204" s="11" t="s">
        <v>922</v>
      </c>
      <c r="I204" s="11" t="s">
        <v>85</v>
      </c>
      <c r="J204" s="11" t="s">
        <v>1085</v>
      </c>
      <c r="K204" s="11"/>
      <c r="L204" s="11"/>
      <c r="M204" s="11">
        <v>18.0</v>
      </c>
      <c r="N204" s="11">
        <v>214.0</v>
      </c>
      <c r="O204" s="11">
        <v>182.0</v>
      </c>
      <c r="P204" s="11">
        <v>32.0</v>
      </c>
      <c r="Q204" s="11">
        <v>143.0</v>
      </c>
      <c r="R204" s="11">
        <v>260.0</v>
      </c>
      <c r="S204" s="11">
        <v>244.0</v>
      </c>
      <c r="T204" s="11" t="s">
        <v>36</v>
      </c>
      <c r="U204" s="11">
        <v>135.0</v>
      </c>
      <c r="V204" s="11">
        <v>196.0</v>
      </c>
      <c r="W204" s="11">
        <v>64.0</v>
      </c>
      <c r="X204" s="11" t="s">
        <v>866</v>
      </c>
    </row>
    <row r="205" ht="14.25" customHeight="1">
      <c r="A205" s="11"/>
      <c r="B205" s="11" t="e">
        <v>#N/A</v>
      </c>
      <c r="C205" s="11" t="s">
        <v>106</v>
      </c>
      <c r="D205" s="11"/>
      <c r="E205" s="11"/>
      <c r="F205" s="11" t="s">
        <v>866</v>
      </c>
      <c r="G205" s="11"/>
      <c r="H205" s="11" t="s">
        <v>813</v>
      </c>
      <c r="I205" s="11" t="e">
        <v>#N/A</v>
      </c>
      <c r="J205" s="11" t="e">
        <v>#N/A</v>
      </c>
      <c r="K205" s="11"/>
      <c r="L205" s="11"/>
      <c r="M205" s="11">
        <v>16.0</v>
      </c>
      <c r="N205" s="11" t="e">
        <v>#N/A</v>
      </c>
      <c r="O205" s="11" t="e">
        <v>#N/A</v>
      </c>
      <c r="P205" s="11" t="e">
        <v>#N/A</v>
      </c>
      <c r="Q205" s="11" t="e">
        <v>#N/A</v>
      </c>
      <c r="R205" s="11" t="e">
        <v>#N/A</v>
      </c>
      <c r="S205" s="11" t="e">
        <v>#N/A</v>
      </c>
      <c r="T205" s="11" t="e">
        <v>#N/A</v>
      </c>
      <c r="U205" s="11" t="e">
        <v>#N/A</v>
      </c>
      <c r="V205" s="11" t="e">
        <v>#N/A</v>
      </c>
      <c r="W205" s="11" t="e">
        <v>#N/A</v>
      </c>
      <c r="X205" s="11" t="e">
        <v>#N/A</v>
      </c>
    </row>
    <row r="206" ht="14.25" customHeight="1">
      <c r="A206" s="11" t="s">
        <v>106</v>
      </c>
      <c r="B206" s="11">
        <v>20.0</v>
      </c>
      <c r="C206" s="11" t="s">
        <v>95</v>
      </c>
      <c r="D206" s="11"/>
      <c r="E206" s="11"/>
      <c r="F206" s="11" t="s">
        <v>866</v>
      </c>
      <c r="G206" s="11"/>
      <c r="H206" s="11" t="s">
        <v>620</v>
      </c>
      <c r="I206" s="11" t="s">
        <v>45</v>
      </c>
      <c r="J206" s="11" t="s">
        <v>1085</v>
      </c>
      <c r="K206" s="11"/>
      <c r="L206" s="11"/>
      <c r="M206" s="11">
        <v>14.0</v>
      </c>
      <c r="N206" s="11">
        <v>163.0</v>
      </c>
      <c r="O206" s="11">
        <v>189.0</v>
      </c>
      <c r="P206" s="11">
        <v>-26.0</v>
      </c>
      <c r="Q206" s="11">
        <v>197.0</v>
      </c>
      <c r="R206" s="11">
        <v>292.0</v>
      </c>
      <c r="S206" s="11">
        <v>261.0</v>
      </c>
      <c r="T206" s="11" t="s">
        <v>36</v>
      </c>
      <c r="U206" s="11">
        <v>188.0</v>
      </c>
      <c r="V206" s="11">
        <v>215.0</v>
      </c>
      <c r="W206" s="11">
        <v>77.0</v>
      </c>
      <c r="X206" s="11" t="s">
        <v>866</v>
      </c>
    </row>
    <row r="207" ht="14.25" customHeight="1">
      <c r="A207" s="11"/>
      <c r="B207" s="11">
        <v>18.0</v>
      </c>
      <c r="C207" s="11" t="s">
        <v>106</v>
      </c>
      <c r="D207" s="11"/>
      <c r="E207" s="11"/>
      <c r="F207" s="11" t="s">
        <v>866</v>
      </c>
      <c r="G207" s="11"/>
      <c r="H207" s="11" t="s">
        <v>556</v>
      </c>
      <c r="I207" s="11" t="s">
        <v>162</v>
      </c>
      <c r="J207" s="11" t="s">
        <v>781</v>
      </c>
      <c r="K207" s="11"/>
      <c r="L207" s="11"/>
      <c r="M207" s="11">
        <v>19.0</v>
      </c>
      <c r="N207" s="11">
        <v>227.0</v>
      </c>
      <c r="O207" s="11" t="s">
        <v>36</v>
      </c>
      <c r="P207" s="11" t="e">
        <v>#VALUE!</v>
      </c>
      <c r="Q207" s="11">
        <v>200.0</v>
      </c>
      <c r="R207" s="11">
        <v>242.0</v>
      </c>
      <c r="S207" s="11">
        <v>167.0</v>
      </c>
      <c r="T207" s="11">
        <v>215.0</v>
      </c>
      <c r="U207" s="11">
        <v>211.0</v>
      </c>
      <c r="V207" s="11">
        <v>210.0</v>
      </c>
      <c r="W207" s="11">
        <v>32.0</v>
      </c>
      <c r="X207" s="11" t="s">
        <v>866</v>
      </c>
    </row>
    <row r="208" ht="14.25" customHeight="1">
      <c r="A208" s="11"/>
      <c r="B208" s="11">
        <v>16.0</v>
      </c>
      <c r="C208" s="11" t="s">
        <v>106</v>
      </c>
      <c r="D208" s="11"/>
      <c r="E208" s="11"/>
      <c r="F208" s="11" t="s">
        <v>866</v>
      </c>
      <c r="G208" s="11"/>
      <c r="H208" s="11" t="s">
        <v>580</v>
      </c>
      <c r="I208" s="11" t="s">
        <v>119</v>
      </c>
      <c r="J208" s="11" t="s">
        <v>1085</v>
      </c>
      <c r="K208" s="11"/>
      <c r="L208" s="11"/>
      <c r="M208" s="11">
        <v>14.0</v>
      </c>
      <c r="N208" s="11">
        <v>162.0</v>
      </c>
      <c r="O208" s="11">
        <v>198.0</v>
      </c>
      <c r="P208" s="11">
        <v>-36.0</v>
      </c>
      <c r="Q208" s="11">
        <v>184.0</v>
      </c>
      <c r="R208" s="11">
        <v>250.0</v>
      </c>
      <c r="S208" s="11">
        <v>234.0</v>
      </c>
      <c r="T208" s="11" t="s">
        <v>36</v>
      </c>
      <c r="U208" s="11">
        <v>86.0</v>
      </c>
      <c r="V208" s="11">
        <v>185.0</v>
      </c>
      <c r="W208" s="11">
        <v>65.0</v>
      </c>
      <c r="X208" s="11" t="s">
        <v>866</v>
      </c>
    </row>
    <row r="209" ht="14.25" customHeight="1">
      <c r="A209" s="11"/>
      <c r="B209" s="11">
        <v>18.0</v>
      </c>
      <c r="C209" s="11" t="s">
        <v>106</v>
      </c>
      <c r="D209" s="11"/>
      <c r="E209" s="11"/>
      <c r="F209" s="11" t="s">
        <v>866</v>
      </c>
      <c r="G209" s="11"/>
      <c r="H209" s="11" t="s">
        <v>901</v>
      </c>
      <c r="I209" s="11" t="s">
        <v>116</v>
      </c>
      <c r="J209" s="11" t="s">
        <v>775</v>
      </c>
      <c r="K209" s="11"/>
      <c r="L209" s="11"/>
      <c r="M209" s="11">
        <v>17.0</v>
      </c>
      <c r="N209" s="11">
        <v>199.0</v>
      </c>
      <c r="O209" s="11">
        <v>199.0</v>
      </c>
      <c r="P209" s="11">
        <v>0.0</v>
      </c>
      <c r="Q209" s="11">
        <v>224.0</v>
      </c>
      <c r="R209" s="11">
        <v>231.0</v>
      </c>
      <c r="S209" s="11">
        <v>159.0</v>
      </c>
      <c r="T209" s="11">
        <v>145.0</v>
      </c>
      <c r="U209" s="11">
        <v>263.0</v>
      </c>
      <c r="V209" s="11">
        <v>202.0</v>
      </c>
      <c r="W209" s="11">
        <v>29.0</v>
      </c>
      <c r="X209" s="11">
        <v>59.0</v>
      </c>
    </row>
    <row r="210" ht="14.25" customHeight="1">
      <c r="A210" s="11"/>
      <c r="B210" s="11">
        <v>11.0</v>
      </c>
      <c r="C210" s="11" t="s">
        <v>106</v>
      </c>
      <c r="D210" s="11"/>
      <c r="E210" s="11"/>
      <c r="F210" s="11" t="s">
        <v>866</v>
      </c>
      <c r="G210" s="11"/>
      <c r="H210" s="11" t="s">
        <v>292</v>
      </c>
      <c r="I210" s="11" t="s">
        <v>62</v>
      </c>
      <c r="J210" s="11" t="s">
        <v>775</v>
      </c>
      <c r="K210" s="11"/>
      <c r="L210" s="11"/>
      <c r="M210" s="11">
        <v>9.0</v>
      </c>
      <c r="N210" s="11">
        <v>106.0</v>
      </c>
      <c r="O210" s="11">
        <v>129.0</v>
      </c>
      <c r="P210" s="11">
        <v>-23.0</v>
      </c>
      <c r="Q210" s="11">
        <v>135.0</v>
      </c>
      <c r="R210" s="11">
        <v>128.0</v>
      </c>
      <c r="S210" s="11">
        <v>112.0</v>
      </c>
      <c r="T210" s="11">
        <v>96.0</v>
      </c>
      <c r="U210" s="11">
        <v>141.0</v>
      </c>
      <c r="V210" s="11">
        <v>121.0</v>
      </c>
      <c r="W210" s="11">
        <v>7.0</v>
      </c>
      <c r="X210" s="11">
        <v>46.0</v>
      </c>
    </row>
    <row r="211" ht="14.25" customHeight="1">
      <c r="A211" s="11"/>
      <c r="B211" s="11" t="e">
        <v>#N/A</v>
      </c>
      <c r="C211" s="11" t="s">
        <v>106</v>
      </c>
      <c r="D211" s="11"/>
      <c r="E211" s="11"/>
      <c r="F211" s="11" t="s">
        <v>866</v>
      </c>
      <c r="G211" s="11"/>
      <c r="H211" s="11" t="s">
        <v>929</v>
      </c>
      <c r="I211" s="11" t="e">
        <v>#N/A</v>
      </c>
      <c r="J211" s="11" t="e">
        <v>#N/A</v>
      </c>
      <c r="K211" s="11"/>
      <c r="L211" s="11"/>
      <c r="M211" s="11">
        <v>16.0</v>
      </c>
      <c r="N211" s="11" t="e">
        <v>#N/A</v>
      </c>
      <c r="O211" s="11" t="e">
        <v>#N/A</v>
      </c>
      <c r="P211" s="11" t="e">
        <v>#N/A</v>
      </c>
      <c r="Q211" s="11" t="e">
        <v>#N/A</v>
      </c>
      <c r="R211" s="11" t="e">
        <v>#N/A</v>
      </c>
      <c r="S211" s="11" t="e">
        <v>#N/A</v>
      </c>
      <c r="T211" s="11" t="e">
        <v>#N/A</v>
      </c>
      <c r="U211" s="11" t="e">
        <v>#N/A</v>
      </c>
      <c r="V211" s="11" t="e">
        <v>#N/A</v>
      </c>
      <c r="W211" s="11" t="e">
        <v>#N/A</v>
      </c>
      <c r="X211" s="11" t="e">
        <v>#N/A</v>
      </c>
    </row>
    <row r="212" ht="14.25" customHeight="1">
      <c r="A212" s="11"/>
      <c r="B212" s="11" t="e">
        <v>#N/A</v>
      </c>
      <c r="C212" s="11" t="s">
        <v>106</v>
      </c>
      <c r="D212" s="11"/>
      <c r="E212" s="11"/>
      <c r="F212" s="11" t="s">
        <v>866</v>
      </c>
      <c r="G212" s="11"/>
      <c r="H212" s="11" t="s">
        <v>905</v>
      </c>
      <c r="I212" s="11" t="e">
        <v>#N/A</v>
      </c>
      <c r="J212" s="11" t="e">
        <v>#N/A</v>
      </c>
      <c r="K212" s="11"/>
      <c r="L212" s="11"/>
      <c r="M212" s="11">
        <v>16.0</v>
      </c>
      <c r="N212" s="11" t="e">
        <v>#N/A</v>
      </c>
      <c r="O212" s="11" t="e">
        <v>#N/A</v>
      </c>
      <c r="P212" s="11" t="e">
        <v>#N/A</v>
      </c>
      <c r="Q212" s="11" t="e">
        <v>#N/A</v>
      </c>
      <c r="R212" s="11" t="e">
        <v>#N/A</v>
      </c>
      <c r="S212" s="11" t="e">
        <v>#N/A</v>
      </c>
      <c r="T212" s="11" t="e">
        <v>#N/A</v>
      </c>
      <c r="U212" s="11" t="e">
        <v>#N/A</v>
      </c>
      <c r="V212" s="11" t="e">
        <v>#N/A</v>
      </c>
      <c r="W212" s="11" t="e">
        <v>#N/A</v>
      </c>
      <c r="X212" s="11" t="s">
        <v>866</v>
      </c>
    </row>
    <row r="213" ht="14.25" customHeight="1">
      <c r="A213" s="11"/>
      <c r="B213" s="11">
        <v>23.0</v>
      </c>
      <c r="C213" s="11" t="s">
        <v>106</v>
      </c>
      <c r="D213" s="11"/>
      <c r="E213" s="11"/>
      <c r="F213" s="11" t="s">
        <v>866</v>
      </c>
      <c r="G213" s="11"/>
      <c r="H213" s="11" t="s">
        <v>273</v>
      </c>
      <c r="I213" s="11" t="s">
        <v>125</v>
      </c>
      <c r="J213" s="11" t="s">
        <v>775</v>
      </c>
      <c r="K213" s="11"/>
      <c r="L213" s="11"/>
      <c r="M213" s="11">
        <v>22.0</v>
      </c>
      <c r="N213" s="11">
        <v>252.0</v>
      </c>
      <c r="O213" s="11" t="s">
        <v>36</v>
      </c>
      <c r="P213" s="11" t="e">
        <v>#VALUE!</v>
      </c>
      <c r="Q213" s="11" t="s">
        <v>36</v>
      </c>
      <c r="R213" s="11">
        <v>304.0</v>
      </c>
      <c r="S213" s="11">
        <v>218.0</v>
      </c>
      <c r="T213" s="11">
        <v>213.0</v>
      </c>
      <c r="U213" s="11">
        <v>335.0</v>
      </c>
      <c r="V213" s="11">
        <v>264.0</v>
      </c>
      <c r="W213" s="11">
        <v>40.0</v>
      </c>
      <c r="X213" s="11" t="s">
        <v>866</v>
      </c>
    </row>
    <row r="214" ht="14.25" customHeight="1">
      <c r="A214" s="11"/>
      <c r="B214" s="11" t="e">
        <v>#N/A</v>
      </c>
      <c r="C214" s="11" t="s">
        <v>106</v>
      </c>
      <c r="D214" s="11"/>
      <c r="E214" s="11">
        <v>1.0</v>
      </c>
      <c r="F214" s="11" t="s">
        <v>866</v>
      </c>
      <c r="G214" s="11"/>
      <c r="H214" s="48" t="s">
        <v>540</v>
      </c>
      <c r="I214" s="48" t="e">
        <v>#N/A</v>
      </c>
      <c r="J214" s="11" t="e">
        <v>#N/A</v>
      </c>
      <c r="K214" s="48"/>
      <c r="L214" s="11"/>
      <c r="M214" s="11">
        <v>16.0</v>
      </c>
      <c r="N214" s="11" t="e">
        <v>#N/A</v>
      </c>
      <c r="O214" s="11" t="e">
        <v>#N/A</v>
      </c>
      <c r="P214" s="11" t="e">
        <v>#N/A</v>
      </c>
      <c r="Q214" s="11" t="e">
        <v>#N/A</v>
      </c>
      <c r="R214" s="11" t="e">
        <v>#N/A</v>
      </c>
      <c r="S214" s="11" t="e">
        <v>#N/A</v>
      </c>
      <c r="T214" s="11" t="e">
        <v>#N/A</v>
      </c>
      <c r="U214" s="11" t="e">
        <v>#N/A</v>
      </c>
      <c r="V214" s="11" t="e">
        <v>#N/A</v>
      </c>
      <c r="W214" s="11" t="e">
        <v>#N/A</v>
      </c>
      <c r="X214" s="11" t="e">
        <v>#N/A</v>
      </c>
    </row>
    <row r="215" ht="14.25" customHeight="1">
      <c r="A215" s="11"/>
      <c r="B215" s="11">
        <v>8.0</v>
      </c>
      <c r="C215" s="11" t="s">
        <v>106</v>
      </c>
      <c r="D215" s="11"/>
      <c r="E215" s="11"/>
      <c r="F215" s="11" t="s">
        <v>866</v>
      </c>
      <c r="G215" s="11"/>
      <c r="H215" s="11" t="s">
        <v>621</v>
      </c>
      <c r="I215" s="11" t="s">
        <v>58</v>
      </c>
      <c r="J215" s="11" t="s">
        <v>775</v>
      </c>
      <c r="K215" s="11"/>
      <c r="L215" s="11"/>
      <c r="M215" s="11">
        <v>8.0</v>
      </c>
      <c r="N215" s="11">
        <v>94.0</v>
      </c>
      <c r="O215" s="11">
        <v>72.0</v>
      </c>
      <c r="P215" s="11">
        <v>22.0</v>
      </c>
      <c r="Q215" s="11">
        <v>93.0</v>
      </c>
      <c r="R215" s="11">
        <v>106.0</v>
      </c>
      <c r="S215" s="11">
        <v>67.0</v>
      </c>
      <c r="T215" s="11">
        <v>65.0</v>
      </c>
      <c r="U215" s="11">
        <v>110.0</v>
      </c>
      <c r="V215" s="11">
        <v>86.0</v>
      </c>
      <c r="W215" s="11">
        <v>20.0</v>
      </c>
      <c r="X215" s="11">
        <v>32.0</v>
      </c>
    </row>
    <row r="216" ht="14.25" customHeight="1">
      <c r="A216" s="11"/>
      <c r="B216" s="11" t="e">
        <v>#N/A</v>
      </c>
      <c r="C216" s="11" t="s">
        <v>106</v>
      </c>
      <c r="D216" s="11"/>
      <c r="E216" s="11"/>
      <c r="F216" s="11" t="s">
        <v>866</v>
      </c>
      <c r="G216" s="11"/>
      <c r="H216" s="11" t="s">
        <v>908</v>
      </c>
      <c r="I216" s="11" t="e">
        <v>#N/A</v>
      </c>
      <c r="J216" s="11" t="e">
        <v>#N/A</v>
      </c>
      <c r="K216" s="11"/>
      <c r="L216" s="11"/>
      <c r="M216" s="11">
        <v>16.0</v>
      </c>
      <c r="N216" s="11" t="e">
        <v>#N/A</v>
      </c>
      <c r="O216" s="11" t="e">
        <v>#N/A</v>
      </c>
      <c r="P216" s="11" t="e">
        <v>#N/A</v>
      </c>
      <c r="Q216" s="11" t="e">
        <v>#N/A</v>
      </c>
      <c r="R216" s="11" t="e">
        <v>#N/A</v>
      </c>
      <c r="S216" s="11" t="e">
        <v>#N/A</v>
      </c>
      <c r="T216" s="11" t="e">
        <v>#N/A</v>
      </c>
      <c r="U216" s="11" t="e">
        <v>#N/A</v>
      </c>
      <c r="V216" s="11" t="e">
        <v>#N/A</v>
      </c>
      <c r="W216" s="11" t="e">
        <v>#N/A</v>
      </c>
      <c r="X216" s="11" t="e">
        <v>#N/A</v>
      </c>
    </row>
    <row r="217" ht="14.25" customHeight="1">
      <c r="A217" s="11"/>
      <c r="B217" s="11" t="e">
        <v>#N/A</v>
      </c>
      <c r="C217" s="11" t="s">
        <v>106</v>
      </c>
      <c r="D217" s="11"/>
      <c r="E217" s="11"/>
      <c r="F217" s="11" t="s">
        <v>866</v>
      </c>
      <c r="G217" s="11"/>
      <c r="H217" s="11" t="s">
        <v>907</v>
      </c>
      <c r="I217" s="11" t="e">
        <v>#N/A</v>
      </c>
      <c r="J217" s="11" t="e">
        <v>#N/A</v>
      </c>
      <c r="K217" s="11"/>
      <c r="L217" s="11"/>
      <c r="M217" s="11">
        <v>16.0</v>
      </c>
      <c r="N217" s="11" t="e">
        <v>#N/A</v>
      </c>
      <c r="O217" s="11" t="e">
        <v>#N/A</v>
      </c>
      <c r="P217" s="11" t="e">
        <v>#N/A</v>
      </c>
      <c r="Q217" s="11" t="e">
        <v>#N/A</v>
      </c>
      <c r="R217" s="11" t="e">
        <v>#N/A</v>
      </c>
      <c r="S217" s="11" t="e">
        <v>#N/A</v>
      </c>
      <c r="T217" s="11" t="e">
        <v>#N/A</v>
      </c>
      <c r="U217" s="11" t="e">
        <v>#N/A</v>
      </c>
      <c r="V217" s="11" t="e">
        <v>#N/A</v>
      </c>
      <c r="W217" s="11" t="e">
        <v>#N/A</v>
      </c>
      <c r="X217" s="11" t="e">
        <v>#N/A</v>
      </c>
    </row>
    <row r="218" ht="14.25" customHeight="1">
      <c r="A218" s="11"/>
      <c r="B218" s="11">
        <v>13.0</v>
      </c>
      <c r="C218" s="11" t="s">
        <v>106</v>
      </c>
      <c r="D218" s="11"/>
      <c r="E218" s="11"/>
      <c r="F218" s="11" t="s">
        <v>866</v>
      </c>
      <c r="G218" s="11"/>
      <c r="H218" s="11" t="s">
        <v>906</v>
      </c>
      <c r="I218" s="11" t="s">
        <v>176</v>
      </c>
      <c r="J218" s="11" t="s">
        <v>775</v>
      </c>
      <c r="K218" s="11"/>
      <c r="L218" s="11"/>
      <c r="M218" s="11">
        <v>12.0</v>
      </c>
      <c r="N218" s="11">
        <v>140.0</v>
      </c>
      <c r="O218" s="11">
        <v>171.0</v>
      </c>
      <c r="P218" s="11">
        <v>-31.0</v>
      </c>
      <c r="Q218" s="11">
        <v>167.0</v>
      </c>
      <c r="R218" s="11">
        <v>131.0</v>
      </c>
      <c r="S218" s="11">
        <v>136.0</v>
      </c>
      <c r="T218" s="11">
        <v>113.0</v>
      </c>
      <c r="U218" s="11">
        <v>174.0</v>
      </c>
      <c r="V218" s="11">
        <v>147.0</v>
      </c>
      <c r="W218" s="11">
        <v>-16.0</v>
      </c>
      <c r="X218" s="11">
        <v>60.0</v>
      </c>
    </row>
    <row r="219" ht="14.25" customHeight="1">
      <c r="A219" s="11"/>
      <c r="B219" s="11">
        <v>16.0</v>
      </c>
      <c r="C219" s="11" t="s">
        <v>106</v>
      </c>
      <c r="D219" s="11"/>
      <c r="E219" s="11"/>
      <c r="F219" s="11" t="s">
        <v>866</v>
      </c>
      <c r="G219" s="11"/>
      <c r="H219" s="11" t="s">
        <v>308</v>
      </c>
      <c r="I219" s="11" t="s">
        <v>128</v>
      </c>
      <c r="J219" s="11" t="s">
        <v>775</v>
      </c>
      <c r="K219" s="11"/>
      <c r="L219" s="11"/>
      <c r="M219" s="11">
        <v>18.0</v>
      </c>
      <c r="N219" s="11">
        <v>206.0</v>
      </c>
      <c r="O219" s="11">
        <v>165.0</v>
      </c>
      <c r="P219" s="11">
        <v>41.0</v>
      </c>
      <c r="Q219" s="11">
        <v>174.0</v>
      </c>
      <c r="R219" s="11">
        <v>206.0</v>
      </c>
      <c r="S219" s="11">
        <v>169.0</v>
      </c>
      <c r="T219" s="11">
        <v>146.0</v>
      </c>
      <c r="U219" s="11">
        <v>249.0</v>
      </c>
      <c r="V219" s="11">
        <v>187.0</v>
      </c>
      <c r="W219" s="11">
        <v>19.0</v>
      </c>
      <c r="X219" s="11" t="s">
        <v>866</v>
      </c>
    </row>
    <row r="220" ht="14.25" customHeight="1">
      <c r="A220" s="11"/>
      <c r="B220" s="11">
        <v>17.0</v>
      </c>
      <c r="C220" s="11" t="s">
        <v>106</v>
      </c>
      <c r="D220" s="11"/>
      <c r="E220" s="11"/>
      <c r="F220" s="11" t="s">
        <v>866</v>
      </c>
      <c r="G220" s="11"/>
      <c r="H220" s="11" t="s">
        <v>538</v>
      </c>
      <c r="I220" s="11" t="s">
        <v>35</v>
      </c>
      <c r="J220" s="11" t="s">
        <v>1081</v>
      </c>
      <c r="K220" s="11"/>
      <c r="L220" s="11"/>
      <c r="M220" s="11">
        <v>16.0</v>
      </c>
      <c r="N220" s="11">
        <v>187.0</v>
      </c>
      <c r="O220" s="11">
        <v>178.0</v>
      </c>
      <c r="P220" s="11">
        <v>9.0</v>
      </c>
      <c r="Q220" s="11">
        <v>136.0</v>
      </c>
      <c r="R220" s="11">
        <v>257.0</v>
      </c>
      <c r="S220" s="11">
        <v>254.0</v>
      </c>
      <c r="T220" s="11">
        <v>201.0</v>
      </c>
      <c r="U220" s="11">
        <v>152.0</v>
      </c>
      <c r="V220" s="11">
        <v>195.0</v>
      </c>
      <c r="W220" s="11">
        <v>62.0</v>
      </c>
      <c r="X220" s="11" t="s">
        <v>866</v>
      </c>
    </row>
    <row r="221" ht="14.25" customHeight="1">
      <c r="A221" s="11"/>
      <c r="B221" s="11">
        <v>9.0</v>
      </c>
      <c r="C221" s="11" t="s">
        <v>106</v>
      </c>
      <c r="D221" s="11"/>
      <c r="E221" s="11"/>
      <c r="F221" s="11" t="s">
        <v>866</v>
      </c>
      <c r="G221" s="11"/>
      <c r="H221" s="11" t="s">
        <v>812</v>
      </c>
      <c r="I221" s="11" t="s">
        <v>148</v>
      </c>
      <c r="J221" s="11" t="s">
        <v>770</v>
      </c>
      <c r="K221" s="11"/>
      <c r="L221" s="11"/>
      <c r="M221" s="11">
        <v>12.0</v>
      </c>
      <c r="N221" s="11">
        <v>136.0</v>
      </c>
      <c r="O221" s="11">
        <v>116.0</v>
      </c>
      <c r="P221" s="11">
        <v>20.0</v>
      </c>
      <c r="Q221" s="11">
        <v>120.0</v>
      </c>
      <c r="R221" s="11">
        <v>121.0</v>
      </c>
      <c r="S221" s="11">
        <v>119.0</v>
      </c>
      <c r="T221" s="11">
        <v>112.0</v>
      </c>
      <c r="U221" s="11">
        <v>63.0</v>
      </c>
      <c r="V221" s="11">
        <v>112.0</v>
      </c>
      <c r="W221" s="11">
        <v>9.0</v>
      </c>
      <c r="X221" s="11">
        <v>10.0</v>
      </c>
    </row>
    <row r="222" ht="14.25" customHeight="1">
      <c r="A222" s="11"/>
      <c r="B222" s="11">
        <v>17.0</v>
      </c>
      <c r="C222" s="11" t="s">
        <v>106</v>
      </c>
      <c r="D222" s="11"/>
      <c r="E222" s="11"/>
      <c r="F222" s="11" t="s">
        <v>866</v>
      </c>
      <c r="G222" s="11"/>
      <c r="H222" s="11" t="s">
        <v>952</v>
      </c>
      <c r="I222" s="11" t="s">
        <v>67</v>
      </c>
      <c r="J222" s="11" t="s">
        <v>1085</v>
      </c>
      <c r="K222" s="11"/>
      <c r="L222" s="11"/>
      <c r="M222" s="11">
        <v>16.0</v>
      </c>
      <c r="N222" s="11">
        <v>185.0</v>
      </c>
      <c r="O222" s="11">
        <v>158.0</v>
      </c>
      <c r="P222" s="11">
        <v>27.0</v>
      </c>
      <c r="Q222" s="11">
        <v>140.0</v>
      </c>
      <c r="R222" s="11">
        <v>241.0</v>
      </c>
      <c r="S222" s="11">
        <v>271.0</v>
      </c>
      <c r="T222" s="11" t="s">
        <v>36</v>
      </c>
      <c r="U222" s="11">
        <v>147.0</v>
      </c>
      <c r="V222" s="11">
        <v>190.0</v>
      </c>
      <c r="W222" s="11">
        <v>51.0</v>
      </c>
      <c r="X222" s="11" t="s">
        <v>866</v>
      </c>
    </row>
    <row r="223" ht="14.25" customHeight="1">
      <c r="A223" s="11"/>
      <c r="B223" s="11">
        <v>8.0</v>
      </c>
      <c r="C223" s="11" t="s">
        <v>106</v>
      </c>
      <c r="D223" s="11"/>
      <c r="E223" s="11"/>
      <c r="F223" s="11" t="s">
        <v>866</v>
      </c>
      <c r="G223" s="11"/>
      <c r="H223" s="11" t="s">
        <v>435</v>
      </c>
      <c r="I223" s="11" t="s">
        <v>128</v>
      </c>
      <c r="J223" s="11" t="s">
        <v>772</v>
      </c>
      <c r="K223" s="11"/>
      <c r="L223" s="11"/>
      <c r="M223" s="11">
        <v>7.0</v>
      </c>
      <c r="N223" s="11">
        <v>82.0</v>
      </c>
      <c r="O223" s="11">
        <v>70.0</v>
      </c>
      <c r="P223" s="11">
        <v>12.0</v>
      </c>
      <c r="Q223" s="11">
        <v>81.0</v>
      </c>
      <c r="R223" s="11">
        <v>90.0</v>
      </c>
      <c r="S223" s="11">
        <v>80.0</v>
      </c>
      <c r="T223" s="11">
        <v>81.0</v>
      </c>
      <c r="U223" s="11">
        <v>101.0</v>
      </c>
      <c r="V223" s="11">
        <v>83.0</v>
      </c>
      <c r="W223" s="11">
        <v>7.0</v>
      </c>
      <c r="X223" s="11">
        <v>34.0</v>
      </c>
    </row>
    <row r="224" ht="14.25" customHeight="1">
      <c r="A224" s="11"/>
      <c r="B224" s="11" t="e">
        <v>#N/A</v>
      </c>
      <c r="C224" s="11" t="s">
        <v>106</v>
      </c>
      <c r="D224" s="11"/>
      <c r="E224" s="11"/>
      <c r="F224" s="11" t="s">
        <v>866</v>
      </c>
      <c r="G224" s="11"/>
      <c r="H224" s="11" t="s">
        <v>911</v>
      </c>
      <c r="I224" s="11" t="e">
        <v>#N/A</v>
      </c>
      <c r="J224" s="11" t="e">
        <v>#N/A</v>
      </c>
      <c r="K224" s="11"/>
      <c r="L224" s="11"/>
      <c r="M224" s="11">
        <v>16.0</v>
      </c>
      <c r="N224" s="11" t="e">
        <v>#N/A</v>
      </c>
      <c r="O224" s="11" t="e">
        <v>#N/A</v>
      </c>
      <c r="P224" s="11" t="e">
        <v>#N/A</v>
      </c>
      <c r="Q224" s="11" t="e">
        <v>#N/A</v>
      </c>
      <c r="R224" s="11" t="e">
        <v>#N/A</v>
      </c>
      <c r="S224" s="11" t="e">
        <v>#N/A</v>
      </c>
      <c r="T224" s="11" t="e">
        <v>#N/A</v>
      </c>
      <c r="U224" s="11" t="e">
        <v>#N/A</v>
      </c>
      <c r="V224" s="11" t="e">
        <v>#N/A</v>
      </c>
      <c r="W224" s="11" t="e">
        <v>#N/A</v>
      </c>
      <c r="X224" s="11" t="e">
        <v>#N/A</v>
      </c>
    </row>
    <row r="225" ht="14.25" customHeight="1">
      <c r="A225" s="11"/>
      <c r="B225" s="11">
        <v>19.0</v>
      </c>
      <c r="C225" s="11" t="s">
        <v>106</v>
      </c>
      <c r="D225" s="11"/>
      <c r="E225" s="11"/>
      <c r="F225" s="11" t="s">
        <v>866</v>
      </c>
      <c r="G225" s="11"/>
      <c r="H225" s="11" t="s">
        <v>280</v>
      </c>
      <c r="I225" s="11" t="s">
        <v>105</v>
      </c>
      <c r="J225" s="11" t="s">
        <v>775</v>
      </c>
      <c r="K225" s="11"/>
      <c r="L225" s="11"/>
      <c r="M225" s="11">
        <v>18.0</v>
      </c>
      <c r="N225" s="11">
        <v>212.0</v>
      </c>
      <c r="O225" s="11">
        <v>197.0</v>
      </c>
      <c r="P225" s="11">
        <v>15.0</v>
      </c>
      <c r="Q225" s="11" t="s">
        <v>36</v>
      </c>
      <c r="R225" s="11">
        <v>227.0</v>
      </c>
      <c r="S225" s="11">
        <v>226.0</v>
      </c>
      <c r="T225" s="11">
        <v>180.0</v>
      </c>
      <c r="U225" s="11">
        <v>278.0</v>
      </c>
      <c r="V225" s="11">
        <v>220.0</v>
      </c>
      <c r="W225" s="11">
        <v>7.0</v>
      </c>
      <c r="X225" s="11" t="s">
        <v>866</v>
      </c>
    </row>
    <row r="226" ht="14.25" customHeight="1">
      <c r="A226" s="11"/>
      <c r="B226" s="11">
        <v>23.0</v>
      </c>
      <c r="C226" s="11" t="s">
        <v>106</v>
      </c>
      <c r="D226" s="11"/>
      <c r="E226" s="11"/>
      <c r="F226" s="11" t="s">
        <v>866</v>
      </c>
      <c r="G226" s="11"/>
      <c r="H226" s="11" t="s">
        <v>411</v>
      </c>
      <c r="I226" s="11" t="s">
        <v>62</v>
      </c>
      <c r="J226" s="11" t="s">
        <v>770</v>
      </c>
      <c r="K226" s="11"/>
      <c r="L226" s="11"/>
      <c r="M226" s="11">
        <v>24.0</v>
      </c>
      <c r="N226" s="11">
        <v>277.0</v>
      </c>
      <c r="O226" s="11">
        <v>156.0</v>
      </c>
      <c r="P226" s="11">
        <v>121.0</v>
      </c>
      <c r="Q226" s="11" t="s">
        <v>36</v>
      </c>
      <c r="R226" s="11">
        <v>310.0</v>
      </c>
      <c r="S226" s="11">
        <v>231.0</v>
      </c>
      <c r="T226" s="11">
        <v>236.0</v>
      </c>
      <c r="U226" s="11">
        <v>310.0</v>
      </c>
      <c r="V226" s="11">
        <v>253.0</v>
      </c>
      <c r="W226" s="11">
        <v>57.0</v>
      </c>
      <c r="X226" s="11">
        <v>25.0</v>
      </c>
    </row>
    <row r="227" ht="14.25" customHeight="1">
      <c r="A227" s="11"/>
      <c r="B227" s="11">
        <v>19.0</v>
      </c>
      <c r="C227" s="11" t="s">
        <v>106</v>
      </c>
      <c r="D227" s="11"/>
      <c r="E227" s="11"/>
      <c r="F227" s="11" t="s">
        <v>866</v>
      </c>
      <c r="G227" s="11"/>
      <c r="H227" s="11" t="s">
        <v>915</v>
      </c>
      <c r="I227" s="11" t="s">
        <v>162</v>
      </c>
      <c r="J227" s="11" t="s">
        <v>1081</v>
      </c>
      <c r="K227" s="11"/>
      <c r="L227" s="11"/>
      <c r="M227" s="11">
        <v>16.0</v>
      </c>
      <c r="N227" s="11">
        <v>184.0</v>
      </c>
      <c r="O227" s="11" t="s">
        <v>36</v>
      </c>
      <c r="P227" s="11" t="e">
        <v>#VALUE!</v>
      </c>
      <c r="Q227" s="11">
        <v>202.0</v>
      </c>
      <c r="R227" s="11">
        <v>228.0</v>
      </c>
      <c r="S227" s="11">
        <v>317.0</v>
      </c>
      <c r="T227" s="11">
        <v>254.0</v>
      </c>
      <c r="U227" s="11">
        <v>138.0</v>
      </c>
      <c r="V227" s="11">
        <v>220.0</v>
      </c>
      <c r="W227" s="11">
        <v>8.0</v>
      </c>
      <c r="X227" s="11" t="s">
        <v>866</v>
      </c>
    </row>
    <row r="228" ht="14.25" customHeight="1">
      <c r="A228" s="11"/>
      <c r="B228" s="11" t="e">
        <v>#N/A</v>
      </c>
      <c r="C228" s="11" t="s">
        <v>106</v>
      </c>
      <c r="D228" s="11"/>
      <c r="E228" s="11">
        <v>0.0</v>
      </c>
      <c r="F228" s="11" t="s">
        <v>866</v>
      </c>
      <c r="G228" s="11" t="s">
        <v>106</v>
      </c>
      <c r="H228" s="11" t="s">
        <v>916</v>
      </c>
      <c r="I228" s="11" t="e">
        <v>#N/A</v>
      </c>
      <c r="J228" s="11" t="e">
        <v>#N/A</v>
      </c>
      <c r="K228" s="11"/>
      <c r="L228" s="11"/>
      <c r="M228" s="11">
        <v>16.0</v>
      </c>
      <c r="N228" s="11" t="e">
        <v>#N/A</v>
      </c>
      <c r="O228" s="11" t="e">
        <v>#N/A</v>
      </c>
      <c r="P228" s="11" t="e">
        <v>#N/A</v>
      </c>
      <c r="Q228" s="11" t="e">
        <v>#N/A</v>
      </c>
      <c r="R228" s="11" t="e">
        <v>#N/A</v>
      </c>
      <c r="S228" s="11" t="e">
        <v>#N/A</v>
      </c>
      <c r="T228" s="11" t="e">
        <v>#N/A</v>
      </c>
      <c r="U228" s="11" t="e">
        <v>#N/A</v>
      </c>
      <c r="V228" s="11" t="e">
        <v>#N/A</v>
      </c>
      <c r="W228" s="11" t="e">
        <v>#N/A</v>
      </c>
      <c r="X228" s="11" t="e">
        <v>#N/A</v>
      </c>
    </row>
    <row r="229" ht="14.25" customHeight="1">
      <c r="A229" s="11"/>
      <c r="B229" s="11">
        <v>18.0</v>
      </c>
      <c r="C229" s="11" t="s">
        <v>106</v>
      </c>
      <c r="D229" s="11"/>
      <c r="E229" s="11"/>
      <c r="F229" s="11" t="s">
        <v>866</v>
      </c>
      <c r="G229" s="11"/>
      <c r="H229" s="11" t="s">
        <v>925</v>
      </c>
      <c r="I229" s="11" t="s">
        <v>131</v>
      </c>
      <c r="J229" s="11" t="s">
        <v>772</v>
      </c>
      <c r="K229" s="11"/>
      <c r="L229" s="11"/>
      <c r="M229" s="11">
        <v>23.0</v>
      </c>
      <c r="N229" s="11">
        <v>266.0</v>
      </c>
      <c r="O229" s="11">
        <v>202.0</v>
      </c>
      <c r="P229" s="11">
        <v>64.0</v>
      </c>
      <c r="Q229" s="11" t="s">
        <v>36</v>
      </c>
      <c r="R229" s="11">
        <v>233.0</v>
      </c>
      <c r="S229" s="11">
        <v>189.0</v>
      </c>
      <c r="T229" s="11">
        <v>206.0</v>
      </c>
      <c r="U229" s="11" t="s">
        <v>36</v>
      </c>
      <c r="V229" s="11">
        <v>219.0</v>
      </c>
      <c r="W229" s="11">
        <v>14.0</v>
      </c>
      <c r="X229" s="11" t="s">
        <v>866</v>
      </c>
    </row>
    <row r="230" ht="14.25" customHeight="1">
      <c r="A230" s="11"/>
      <c r="B230" s="11">
        <v>22.0</v>
      </c>
      <c r="C230" s="11" t="s">
        <v>106</v>
      </c>
      <c r="D230" s="11"/>
      <c r="E230" s="11"/>
      <c r="F230" s="11" t="s">
        <v>866</v>
      </c>
      <c r="G230" s="11"/>
      <c r="H230" s="11" t="s">
        <v>918</v>
      </c>
      <c r="I230" s="11" t="s">
        <v>62</v>
      </c>
      <c r="J230" s="11" t="s">
        <v>1081</v>
      </c>
      <c r="K230" s="11"/>
      <c r="L230" s="11"/>
      <c r="M230" s="11">
        <v>25.0</v>
      </c>
      <c r="N230" s="11">
        <v>290.0</v>
      </c>
      <c r="O230" s="11" t="s">
        <v>36</v>
      </c>
      <c r="P230" s="11" t="e">
        <v>#VALUE!</v>
      </c>
      <c r="Q230" s="11">
        <v>180.0</v>
      </c>
      <c r="R230" s="11" t="s">
        <v>36</v>
      </c>
      <c r="S230" s="11">
        <v>331.0</v>
      </c>
      <c r="T230" s="11">
        <v>271.0</v>
      </c>
      <c r="U230" s="11">
        <v>234.0</v>
      </c>
      <c r="V230" s="11">
        <v>261.0</v>
      </c>
      <c r="W230" s="11" t="e">
        <v>#VALUE!</v>
      </c>
      <c r="X230" s="11" t="s">
        <v>866</v>
      </c>
    </row>
    <row r="231" ht="14.25" customHeight="1">
      <c r="A231" s="11"/>
      <c r="B231" s="11">
        <v>21.0</v>
      </c>
      <c r="C231" s="11" t="s">
        <v>106</v>
      </c>
      <c r="D231" s="11"/>
      <c r="E231" s="11"/>
      <c r="F231" s="11" t="s">
        <v>866</v>
      </c>
      <c r="G231" s="11"/>
      <c r="H231" s="11" t="s">
        <v>912</v>
      </c>
      <c r="I231" s="11" t="s">
        <v>119</v>
      </c>
      <c r="J231" s="11" t="s">
        <v>772</v>
      </c>
      <c r="K231" s="11"/>
      <c r="L231" s="11"/>
      <c r="M231" s="11">
        <v>16.0</v>
      </c>
      <c r="N231" s="11" t="s">
        <v>36</v>
      </c>
      <c r="O231" s="11" t="s">
        <v>36</v>
      </c>
      <c r="P231" s="11" t="e">
        <v>#VALUE!</v>
      </c>
      <c r="Q231" s="11" t="s">
        <v>36</v>
      </c>
      <c r="R231" s="11" t="s">
        <v>36</v>
      </c>
      <c r="S231" s="11">
        <v>209.0</v>
      </c>
      <c r="T231" s="11">
        <v>237.0</v>
      </c>
      <c r="U231" s="11">
        <v>295.0</v>
      </c>
      <c r="V231" s="11">
        <v>247.0</v>
      </c>
      <c r="W231" s="11" t="e">
        <v>#VALUE!</v>
      </c>
      <c r="X231" s="11" t="s">
        <v>866</v>
      </c>
    </row>
    <row r="232" ht="14.25" customHeight="1">
      <c r="A232" s="11"/>
      <c r="B232" s="11">
        <v>20.0</v>
      </c>
      <c r="C232" s="11" t="s">
        <v>106</v>
      </c>
      <c r="D232" s="11"/>
      <c r="E232" s="11"/>
      <c r="F232" s="11" t="s">
        <v>866</v>
      </c>
      <c r="G232" s="11"/>
      <c r="H232" s="11" t="s">
        <v>917</v>
      </c>
      <c r="I232" s="11" t="s">
        <v>171</v>
      </c>
      <c r="J232" s="11" t="s">
        <v>772</v>
      </c>
      <c r="K232" s="11"/>
      <c r="L232" s="11"/>
      <c r="M232" s="11">
        <v>17.0</v>
      </c>
      <c r="N232" s="11">
        <v>203.0</v>
      </c>
      <c r="O232" s="11">
        <v>213.0</v>
      </c>
      <c r="P232" s="11">
        <v>-10.0</v>
      </c>
      <c r="Q232" s="11" t="s">
        <v>36</v>
      </c>
      <c r="R232" s="11">
        <v>275.0</v>
      </c>
      <c r="S232" s="11">
        <v>186.0</v>
      </c>
      <c r="T232" s="11">
        <v>188.0</v>
      </c>
      <c r="U232" s="11">
        <v>304.0</v>
      </c>
      <c r="V232" s="11">
        <v>228.0</v>
      </c>
      <c r="W232" s="11">
        <v>47.0</v>
      </c>
      <c r="X232" s="11" t="s">
        <v>866</v>
      </c>
    </row>
    <row r="233" ht="14.25" customHeight="1">
      <c r="A233" s="11"/>
      <c r="B233" s="11">
        <v>21.0</v>
      </c>
      <c r="C233" s="11" t="s">
        <v>106</v>
      </c>
      <c r="D233" s="11"/>
      <c r="E233" s="11"/>
      <c r="F233" s="11" t="s">
        <v>866</v>
      </c>
      <c r="G233" s="11"/>
      <c r="H233" s="11" t="s">
        <v>921</v>
      </c>
      <c r="I233" s="11" t="s">
        <v>128</v>
      </c>
      <c r="J233" s="11" t="s">
        <v>770</v>
      </c>
      <c r="K233" s="11"/>
      <c r="L233" s="11"/>
      <c r="M233" s="11">
        <v>23.0</v>
      </c>
      <c r="N233" s="11">
        <v>265.0</v>
      </c>
      <c r="O233" s="11" t="s">
        <v>36</v>
      </c>
      <c r="P233" s="11" t="e">
        <v>#VALUE!</v>
      </c>
      <c r="Q233" s="11">
        <v>239.0</v>
      </c>
      <c r="R233" s="11">
        <v>264.0</v>
      </c>
      <c r="S233" s="11">
        <v>243.0</v>
      </c>
      <c r="T233" s="11">
        <v>238.0</v>
      </c>
      <c r="U233" s="11">
        <v>225.0</v>
      </c>
      <c r="V233" s="11">
        <v>245.0</v>
      </c>
      <c r="W233" s="11">
        <v>19.0</v>
      </c>
      <c r="X233" s="11" t="s">
        <v>866</v>
      </c>
    </row>
    <row r="234" ht="14.25" customHeight="1">
      <c r="A234" s="11"/>
      <c r="B234" s="11">
        <v>11.0</v>
      </c>
      <c r="C234" s="11" t="s">
        <v>106</v>
      </c>
      <c r="D234" s="11"/>
      <c r="E234" s="11"/>
      <c r="F234" s="11" t="s">
        <v>866</v>
      </c>
      <c r="G234" s="11"/>
      <c r="H234" s="11" t="s">
        <v>210</v>
      </c>
      <c r="I234" s="11" t="s">
        <v>116</v>
      </c>
      <c r="J234" s="11" t="s">
        <v>770</v>
      </c>
      <c r="K234" s="11"/>
      <c r="L234" s="11"/>
      <c r="M234" s="11">
        <v>11.0</v>
      </c>
      <c r="N234" s="11">
        <v>127.0</v>
      </c>
      <c r="O234" s="11">
        <v>130.0</v>
      </c>
      <c r="P234" s="11">
        <v>-3.0</v>
      </c>
      <c r="Q234" s="11">
        <v>124.0</v>
      </c>
      <c r="R234" s="11">
        <v>130.0</v>
      </c>
      <c r="S234" s="11">
        <v>117.0</v>
      </c>
      <c r="T234" s="11">
        <v>114.0</v>
      </c>
      <c r="U234" s="11">
        <v>144.0</v>
      </c>
      <c r="V234" s="11">
        <v>126.0</v>
      </c>
      <c r="W234" s="11">
        <v>4.0</v>
      </c>
      <c r="X234" s="11">
        <v>14.0</v>
      </c>
    </row>
    <row r="235" ht="14.25" customHeight="1">
      <c r="A235" s="11"/>
      <c r="B235" s="11">
        <v>23.0</v>
      </c>
      <c r="C235" s="11" t="s">
        <v>106</v>
      </c>
      <c r="D235" s="11"/>
      <c r="E235" s="11"/>
      <c r="F235" s="11" t="s">
        <v>866</v>
      </c>
      <c r="G235" s="11"/>
      <c r="H235" s="11" t="s">
        <v>389</v>
      </c>
      <c r="I235" s="11" t="s">
        <v>131</v>
      </c>
      <c r="J235" s="11" t="s">
        <v>781</v>
      </c>
      <c r="K235" s="11"/>
      <c r="L235" s="11"/>
      <c r="M235" s="11">
        <v>23.0</v>
      </c>
      <c r="N235" s="11">
        <v>273.0</v>
      </c>
      <c r="O235" s="11" t="s">
        <v>36</v>
      </c>
      <c r="P235" s="11" t="e">
        <v>#VALUE!</v>
      </c>
      <c r="Q235" s="11" t="s">
        <v>36</v>
      </c>
      <c r="R235" s="11">
        <v>311.0</v>
      </c>
      <c r="S235" s="11">
        <v>223.0</v>
      </c>
      <c r="T235" s="11">
        <v>256.0</v>
      </c>
      <c r="U235" s="11">
        <v>279.0</v>
      </c>
      <c r="V235" s="11">
        <v>268.0</v>
      </c>
      <c r="W235" s="11">
        <v>43.0</v>
      </c>
      <c r="X235" s="11" t="s">
        <v>866</v>
      </c>
    </row>
    <row r="236" ht="14.25" customHeight="1">
      <c r="A236" s="11"/>
      <c r="B236" s="11">
        <v>19.0</v>
      </c>
      <c r="C236" s="11" t="s">
        <v>106</v>
      </c>
      <c r="D236" s="11"/>
      <c r="E236" s="11"/>
      <c r="F236" s="11" t="s">
        <v>866</v>
      </c>
      <c r="G236" s="11"/>
      <c r="H236" s="11" t="s">
        <v>491</v>
      </c>
      <c r="I236" s="11" t="s">
        <v>52</v>
      </c>
      <c r="J236" s="11" t="s">
        <v>1081</v>
      </c>
      <c r="K236" s="11"/>
      <c r="L236" s="11"/>
      <c r="M236" s="11">
        <v>16.0</v>
      </c>
      <c r="N236" s="11">
        <v>183.0</v>
      </c>
      <c r="O236" s="11">
        <v>196.0</v>
      </c>
      <c r="P236" s="11">
        <v>-13.0</v>
      </c>
      <c r="Q236" s="11">
        <v>142.0</v>
      </c>
      <c r="R236" s="11">
        <v>273.0</v>
      </c>
      <c r="S236" s="11">
        <v>268.0</v>
      </c>
      <c r="T236" s="11">
        <v>225.0</v>
      </c>
      <c r="U236" s="11">
        <v>179.0</v>
      </c>
      <c r="V236" s="11">
        <v>209.0</v>
      </c>
      <c r="W236" s="11">
        <v>64.0</v>
      </c>
      <c r="X236" s="11" t="s">
        <v>866</v>
      </c>
    </row>
    <row r="237" ht="14.25" customHeight="1">
      <c r="A237" s="11"/>
      <c r="B237" s="11">
        <v>19.0</v>
      </c>
      <c r="C237" s="11" t="s">
        <v>106</v>
      </c>
      <c r="D237" s="11"/>
      <c r="E237" s="11"/>
      <c r="F237" s="11" t="s">
        <v>866</v>
      </c>
      <c r="G237" s="11"/>
      <c r="H237" s="11" t="s">
        <v>532</v>
      </c>
      <c r="I237" s="11" t="s">
        <v>105</v>
      </c>
      <c r="J237" s="11" t="s">
        <v>1081</v>
      </c>
      <c r="K237" s="11"/>
      <c r="L237" s="11"/>
      <c r="M237" s="11">
        <v>21.0</v>
      </c>
      <c r="N237" s="11">
        <v>246.0</v>
      </c>
      <c r="O237" s="11">
        <v>174.0</v>
      </c>
      <c r="P237" s="11">
        <v>72.0</v>
      </c>
      <c r="Q237" s="11">
        <v>244.0</v>
      </c>
      <c r="R237" s="11">
        <v>251.0</v>
      </c>
      <c r="S237" s="11">
        <v>273.0</v>
      </c>
      <c r="T237" s="11">
        <v>197.0</v>
      </c>
      <c r="U237" s="11">
        <v>158.0</v>
      </c>
      <c r="V237" s="11">
        <v>220.0</v>
      </c>
      <c r="W237" s="11">
        <v>31.0</v>
      </c>
      <c r="X237" s="11" t="s">
        <v>866</v>
      </c>
    </row>
    <row r="238" ht="14.25" customHeight="1">
      <c r="A238" s="11"/>
      <c r="B238" s="11">
        <v>25.0</v>
      </c>
      <c r="C238" s="11" t="s">
        <v>106</v>
      </c>
      <c r="D238" s="11"/>
      <c r="E238" s="11"/>
      <c r="F238" s="11" t="s">
        <v>866</v>
      </c>
      <c r="G238" s="11"/>
      <c r="H238" s="11" t="s">
        <v>913</v>
      </c>
      <c r="I238" s="11" t="s">
        <v>71</v>
      </c>
      <c r="J238" s="11" t="s">
        <v>775</v>
      </c>
      <c r="K238" s="11"/>
      <c r="L238" s="11"/>
      <c r="M238" s="11">
        <v>27.0</v>
      </c>
      <c r="N238" s="11">
        <v>319.0</v>
      </c>
      <c r="O238" s="11" t="s">
        <v>36</v>
      </c>
      <c r="P238" s="11" t="e">
        <v>#VALUE!</v>
      </c>
      <c r="Q238" s="11" t="s">
        <v>36</v>
      </c>
      <c r="R238" s="11" t="s">
        <v>36</v>
      </c>
      <c r="S238" s="11">
        <v>340.0</v>
      </c>
      <c r="T238" s="11">
        <v>270.0</v>
      </c>
      <c r="U238" s="11">
        <v>284.0</v>
      </c>
      <c r="V238" s="11">
        <v>303.0</v>
      </c>
      <c r="W238" s="11" t="e">
        <v>#VALUE!</v>
      </c>
      <c r="X238" s="11" t="s">
        <v>866</v>
      </c>
    </row>
    <row r="239" ht="14.25" customHeight="1">
      <c r="A239" s="11"/>
      <c r="B239" s="11" t="e">
        <v>#N/A</v>
      </c>
      <c r="C239" s="11" t="s">
        <v>106</v>
      </c>
      <c r="D239" s="11"/>
      <c r="E239" s="11"/>
      <c r="F239" s="11" t="s">
        <v>866</v>
      </c>
      <c r="G239" s="11"/>
      <c r="H239" s="11" t="s">
        <v>722</v>
      </c>
      <c r="I239" s="11" t="e">
        <v>#N/A</v>
      </c>
      <c r="J239" s="11" t="s">
        <v>1081</v>
      </c>
      <c r="K239" s="11"/>
      <c r="L239" s="11"/>
      <c r="M239" s="11">
        <v>16.0</v>
      </c>
      <c r="N239" s="11" t="e">
        <v>#N/A</v>
      </c>
      <c r="O239" s="11" t="e">
        <v>#N/A</v>
      </c>
      <c r="P239" s="11" t="e">
        <v>#N/A</v>
      </c>
      <c r="Q239" s="11" t="e">
        <v>#N/A</v>
      </c>
      <c r="R239" s="11" t="e">
        <v>#N/A</v>
      </c>
      <c r="S239" s="11" t="e">
        <v>#N/A</v>
      </c>
      <c r="T239" s="11" t="e">
        <v>#N/A</v>
      </c>
      <c r="U239" s="11" t="e">
        <v>#N/A</v>
      </c>
      <c r="V239" s="11" t="e">
        <v>#N/A</v>
      </c>
      <c r="W239" s="11" t="e">
        <v>#N/A</v>
      </c>
      <c r="X239" s="11" t="s">
        <v>866</v>
      </c>
    </row>
    <row r="240" ht="14.25" customHeight="1">
      <c r="A240" s="11"/>
      <c r="B240" s="11">
        <v>20.0</v>
      </c>
      <c r="C240" s="11" t="s">
        <v>106</v>
      </c>
      <c r="D240" s="11"/>
      <c r="E240" s="11"/>
      <c r="F240" s="11" t="s">
        <v>866</v>
      </c>
      <c r="G240" s="11"/>
      <c r="H240" s="11" t="s">
        <v>451</v>
      </c>
      <c r="I240" s="11" t="s">
        <v>162</v>
      </c>
      <c r="J240" s="11" t="s">
        <v>775</v>
      </c>
      <c r="K240" s="11"/>
      <c r="L240" s="11"/>
      <c r="M240" s="11">
        <v>15.0</v>
      </c>
      <c r="N240" s="11">
        <v>177.0</v>
      </c>
      <c r="O240" s="11" t="s">
        <v>36</v>
      </c>
      <c r="P240" s="11" t="e">
        <v>#VALUE!</v>
      </c>
      <c r="Q240" s="11" t="s">
        <v>36</v>
      </c>
      <c r="R240" s="11" t="s">
        <v>36</v>
      </c>
      <c r="S240" s="11">
        <v>277.0</v>
      </c>
      <c r="T240" s="11">
        <v>205.0</v>
      </c>
      <c r="U240" s="11">
        <v>231.0</v>
      </c>
      <c r="V240" s="11">
        <v>222.0</v>
      </c>
      <c r="W240" s="11" t="e">
        <v>#VALUE!</v>
      </c>
      <c r="X240" s="11" t="s">
        <v>866</v>
      </c>
    </row>
    <row r="241" ht="14.25" customHeight="1">
      <c r="A241" s="11"/>
      <c r="B241" s="11" t="e">
        <v>#N/A</v>
      </c>
      <c r="C241" s="11" t="s">
        <v>106</v>
      </c>
      <c r="D241" s="11"/>
      <c r="E241" s="11"/>
      <c r="F241" s="11" t="s">
        <v>866</v>
      </c>
      <c r="G241" s="11"/>
      <c r="H241" s="11" t="s">
        <v>927</v>
      </c>
      <c r="I241" s="11" t="e">
        <v>#N/A</v>
      </c>
      <c r="J241" s="11" t="e">
        <v>#N/A</v>
      </c>
      <c r="K241" s="11"/>
      <c r="L241" s="11"/>
      <c r="M241" s="11">
        <v>16.0</v>
      </c>
      <c r="N241" s="11" t="e">
        <v>#N/A</v>
      </c>
      <c r="O241" s="11" t="e">
        <v>#N/A</v>
      </c>
      <c r="P241" s="11" t="e">
        <v>#N/A</v>
      </c>
      <c r="Q241" s="11" t="e">
        <v>#N/A</v>
      </c>
      <c r="R241" s="11" t="e">
        <v>#N/A</v>
      </c>
      <c r="S241" s="11" t="e">
        <v>#N/A</v>
      </c>
      <c r="T241" s="11" t="e">
        <v>#N/A</v>
      </c>
      <c r="U241" s="11" t="e">
        <v>#N/A</v>
      </c>
      <c r="V241" s="11" t="e">
        <v>#N/A</v>
      </c>
      <c r="W241" s="11" t="e">
        <v>#N/A</v>
      </c>
      <c r="X241" s="11" t="e">
        <v>#N/A</v>
      </c>
    </row>
    <row r="242" ht="14.25" customHeight="1">
      <c r="A242" s="11"/>
      <c r="B242" s="11">
        <v>19.0</v>
      </c>
      <c r="C242" s="11" t="s">
        <v>106</v>
      </c>
      <c r="D242" s="11"/>
      <c r="E242" s="11"/>
      <c r="F242" s="11" t="s">
        <v>866</v>
      </c>
      <c r="G242" s="11"/>
      <c r="H242" s="11" t="s">
        <v>923</v>
      </c>
      <c r="I242" s="11" t="s">
        <v>94</v>
      </c>
      <c r="J242" s="11" t="s">
        <v>1085</v>
      </c>
      <c r="K242" s="11"/>
      <c r="L242" s="11"/>
      <c r="M242" s="11">
        <v>16.0</v>
      </c>
      <c r="N242" s="11" t="s">
        <v>36</v>
      </c>
      <c r="O242" s="11">
        <v>188.0</v>
      </c>
      <c r="P242" s="11" t="e">
        <v>#VALUE!</v>
      </c>
      <c r="Q242" s="11">
        <v>175.0</v>
      </c>
      <c r="R242" s="11">
        <v>270.0</v>
      </c>
      <c r="S242" s="11">
        <v>316.0</v>
      </c>
      <c r="T242" s="11" t="s">
        <v>36</v>
      </c>
      <c r="U242" s="11">
        <v>108.0</v>
      </c>
      <c r="V242" s="11">
        <v>211.0</v>
      </c>
      <c r="W242" s="11">
        <v>59.0</v>
      </c>
      <c r="X242" s="11" t="s">
        <v>866</v>
      </c>
    </row>
    <row r="243" ht="14.25" customHeight="1">
      <c r="A243" s="11"/>
      <c r="B243" s="11" t="e">
        <v>#N/A</v>
      </c>
      <c r="C243" s="11" t="s">
        <v>106</v>
      </c>
      <c r="D243" s="11"/>
      <c r="E243" s="11"/>
      <c r="F243" s="11" t="s">
        <v>866</v>
      </c>
      <c r="G243" s="11"/>
      <c r="H243" s="11" t="s">
        <v>628</v>
      </c>
      <c r="I243" s="11" t="e">
        <v>#N/A</v>
      </c>
      <c r="J243" s="11" t="e">
        <v>#N/A</v>
      </c>
      <c r="K243" s="11"/>
      <c r="L243" s="11"/>
      <c r="M243" s="11">
        <v>16.0</v>
      </c>
      <c r="N243" s="11" t="e">
        <v>#N/A</v>
      </c>
      <c r="O243" s="11" t="e">
        <v>#N/A</v>
      </c>
      <c r="P243" s="11" t="e">
        <v>#N/A</v>
      </c>
      <c r="Q243" s="11" t="e">
        <v>#N/A</v>
      </c>
      <c r="R243" s="11" t="e">
        <v>#N/A</v>
      </c>
      <c r="S243" s="11" t="e">
        <v>#N/A</v>
      </c>
      <c r="T243" s="11" t="e">
        <v>#N/A</v>
      </c>
      <c r="U243" s="11" t="e">
        <v>#N/A</v>
      </c>
      <c r="V243" s="11" t="e">
        <v>#N/A</v>
      </c>
      <c r="W243" s="11" t="e">
        <v>#N/A</v>
      </c>
      <c r="X243" s="11" t="e">
        <v>#N/A</v>
      </c>
    </row>
    <row r="244" ht="14.25" customHeight="1">
      <c r="A244" s="11"/>
      <c r="B244" s="11" t="e">
        <v>#N/A</v>
      </c>
      <c r="C244" s="11" t="s">
        <v>106</v>
      </c>
      <c r="D244" s="11"/>
      <c r="E244" s="11"/>
      <c r="F244" s="11" t="s">
        <v>866</v>
      </c>
      <c r="G244" s="11"/>
      <c r="H244" s="11" t="s">
        <v>828</v>
      </c>
      <c r="I244" s="11" t="e">
        <v>#N/A</v>
      </c>
      <c r="J244" s="11" t="e">
        <v>#N/A</v>
      </c>
      <c r="K244" s="11"/>
      <c r="L244" s="11"/>
      <c r="M244" s="11">
        <v>16.0</v>
      </c>
      <c r="N244" s="11" t="e">
        <v>#N/A</v>
      </c>
      <c r="O244" s="11" t="e">
        <v>#N/A</v>
      </c>
      <c r="P244" s="11" t="e">
        <v>#N/A</v>
      </c>
      <c r="Q244" s="11" t="e">
        <v>#N/A</v>
      </c>
      <c r="R244" s="11" t="e">
        <v>#N/A</v>
      </c>
      <c r="S244" s="11" t="e">
        <v>#N/A</v>
      </c>
      <c r="T244" s="11" t="e">
        <v>#N/A</v>
      </c>
      <c r="U244" s="11" t="e">
        <v>#N/A</v>
      </c>
      <c r="V244" s="11" t="e">
        <v>#N/A</v>
      </c>
      <c r="W244" s="11" t="e">
        <v>#N/A</v>
      </c>
      <c r="X244" s="11" t="e">
        <v>#N/A</v>
      </c>
    </row>
    <row r="245" ht="14.25" customHeight="1">
      <c r="A245" s="11"/>
      <c r="B245" s="11" t="e">
        <v>#N/A</v>
      </c>
      <c r="C245" s="11" t="s">
        <v>106</v>
      </c>
      <c r="D245" s="11"/>
      <c r="E245" s="11"/>
      <c r="F245" s="11" t="s">
        <v>866</v>
      </c>
      <c r="G245" s="11"/>
      <c r="H245" s="11" t="s">
        <v>718</v>
      </c>
      <c r="I245" s="11" t="e">
        <v>#N/A</v>
      </c>
      <c r="J245" s="11" t="e">
        <v>#N/A</v>
      </c>
      <c r="K245" s="11"/>
      <c r="L245" s="11"/>
      <c r="M245" s="11">
        <v>16.0</v>
      </c>
      <c r="N245" s="11" t="e">
        <v>#N/A</v>
      </c>
      <c r="O245" s="11" t="e">
        <v>#N/A</v>
      </c>
      <c r="P245" s="11" t="e">
        <v>#N/A</v>
      </c>
      <c r="Q245" s="11" t="e">
        <v>#N/A</v>
      </c>
      <c r="R245" s="11" t="e">
        <v>#N/A</v>
      </c>
      <c r="S245" s="11" t="e">
        <v>#N/A</v>
      </c>
      <c r="T245" s="11" t="e">
        <v>#N/A</v>
      </c>
      <c r="U245" s="11" t="e">
        <v>#N/A</v>
      </c>
      <c r="V245" s="11" t="e">
        <v>#N/A</v>
      </c>
      <c r="W245" s="11" t="e">
        <v>#N/A</v>
      </c>
      <c r="X245" s="11" t="e">
        <v>#N/A</v>
      </c>
    </row>
    <row r="246" ht="14.25" customHeight="1">
      <c r="A246" s="11"/>
      <c r="B246" s="11" t="e">
        <v>#N/A</v>
      </c>
      <c r="C246" s="11" t="s">
        <v>106</v>
      </c>
      <c r="D246" s="11"/>
      <c r="E246" s="11"/>
      <c r="F246" s="11" t="s">
        <v>866</v>
      </c>
      <c r="G246" s="11"/>
      <c r="H246" s="11" t="s">
        <v>1127</v>
      </c>
      <c r="I246" s="11" t="e">
        <v>#N/A</v>
      </c>
      <c r="J246" s="11" t="e">
        <v>#N/A</v>
      </c>
      <c r="K246" s="11"/>
      <c r="L246" s="11"/>
      <c r="M246" s="11">
        <v>16.0</v>
      </c>
      <c r="N246" s="11" t="e">
        <v>#N/A</v>
      </c>
      <c r="O246" s="11" t="e">
        <v>#N/A</v>
      </c>
      <c r="P246" s="11" t="e">
        <v>#N/A</v>
      </c>
      <c r="Q246" s="11" t="e">
        <v>#N/A</v>
      </c>
      <c r="R246" s="11" t="e">
        <v>#N/A</v>
      </c>
      <c r="S246" s="11" t="e">
        <v>#N/A</v>
      </c>
      <c r="T246" s="11" t="e">
        <v>#N/A</v>
      </c>
      <c r="U246" s="11" t="e">
        <v>#N/A</v>
      </c>
      <c r="V246" s="11" t="e">
        <v>#N/A</v>
      </c>
      <c r="W246" s="11" t="e">
        <v>#N/A</v>
      </c>
      <c r="X246" s="11" t="e">
        <v>#N/A</v>
      </c>
    </row>
    <row r="247" ht="14.25" customHeight="1">
      <c r="A247" s="11"/>
      <c r="B247" s="11" t="e">
        <v>#N/A</v>
      </c>
      <c r="C247" s="11" t="s">
        <v>106</v>
      </c>
      <c r="D247" s="11"/>
      <c r="E247" s="11"/>
      <c r="F247" s="11" t="s">
        <v>866</v>
      </c>
      <c r="G247" s="11"/>
      <c r="H247" s="11" t="s">
        <v>947</v>
      </c>
      <c r="I247" s="11" t="e">
        <v>#N/A</v>
      </c>
      <c r="J247" s="11" t="e">
        <v>#N/A</v>
      </c>
      <c r="K247" s="11"/>
      <c r="L247" s="11"/>
      <c r="M247" s="11">
        <v>16.0</v>
      </c>
      <c r="N247" s="11" t="e">
        <v>#N/A</v>
      </c>
      <c r="O247" s="11" t="e">
        <v>#N/A</v>
      </c>
      <c r="P247" s="11" t="e">
        <v>#N/A</v>
      </c>
      <c r="Q247" s="11" t="e">
        <v>#N/A</v>
      </c>
      <c r="R247" s="11" t="e">
        <v>#N/A</v>
      </c>
      <c r="S247" s="11" t="e">
        <v>#N/A</v>
      </c>
      <c r="T247" s="11" t="e">
        <v>#N/A</v>
      </c>
      <c r="U247" s="11" t="e">
        <v>#N/A</v>
      </c>
      <c r="V247" s="11" t="e">
        <v>#N/A</v>
      </c>
      <c r="W247" s="11" t="e">
        <v>#N/A</v>
      </c>
      <c r="X247" s="11" t="e">
        <v>#N/A</v>
      </c>
    </row>
    <row r="248" ht="14.25" customHeight="1">
      <c r="A248" s="11"/>
      <c r="B248" s="11">
        <v>15.0</v>
      </c>
      <c r="C248" s="11" t="s">
        <v>106</v>
      </c>
      <c r="D248" s="11"/>
      <c r="E248" s="11"/>
      <c r="F248" s="11" t="s">
        <v>866</v>
      </c>
      <c r="G248" s="11"/>
      <c r="H248" s="11" t="s">
        <v>515</v>
      </c>
      <c r="I248" s="11" t="s">
        <v>75</v>
      </c>
      <c r="J248" s="11" t="s">
        <v>1081</v>
      </c>
      <c r="K248" s="11"/>
      <c r="L248" s="11"/>
      <c r="M248" s="11">
        <v>14.0</v>
      </c>
      <c r="N248" s="11">
        <v>160.0</v>
      </c>
      <c r="O248" s="11">
        <v>141.0</v>
      </c>
      <c r="P248" s="11">
        <v>19.0</v>
      </c>
      <c r="Q248" s="11">
        <v>119.0</v>
      </c>
      <c r="R248" s="11">
        <v>193.0</v>
      </c>
      <c r="S248" s="11">
        <v>220.0</v>
      </c>
      <c r="T248" s="11">
        <v>172.0</v>
      </c>
      <c r="U248" s="11">
        <v>151.0</v>
      </c>
      <c r="V248" s="11">
        <v>165.0</v>
      </c>
      <c r="W248" s="11">
        <v>28.0</v>
      </c>
      <c r="X248" s="11" t="s">
        <v>866</v>
      </c>
    </row>
    <row r="249" ht="14.25" customHeight="1">
      <c r="A249" s="11"/>
      <c r="B249" s="11">
        <v>11.0</v>
      </c>
      <c r="C249" s="11" t="s">
        <v>106</v>
      </c>
      <c r="D249" s="11"/>
      <c r="E249" s="11"/>
      <c r="F249" s="11" t="s">
        <v>866</v>
      </c>
      <c r="G249" s="11"/>
      <c r="H249" s="11" t="s">
        <v>485</v>
      </c>
      <c r="I249" s="11" t="s">
        <v>176</v>
      </c>
      <c r="J249" s="11" t="s">
        <v>1081</v>
      </c>
      <c r="K249" s="11"/>
      <c r="L249" s="11"/>
      <c r="M249" s="11">
        <v>13.0</v>
      </c>
      <c r="N249" s="11">
        <v>147.0</v>
      </c>
      <c r="O249" s="11">
        <v>106.0</v>
      </c>
      <c r="P249" s="11">
        <v>41.0</v>
      </c>
      <c r="Q249" s="11">
        <v>94.0</v>
      </c>
      <c r="R249" s="11">
        <v>134.0</v>
      </c>
      <c r="S249" s="11">
        <v>203.0</v>
      </c>
      <c r="T249" s="11">
        <v>140.0</v>
      </c>
      <c r="U249" s="11">
        <v>82.0</v>
      </c>
      <c r="V249" s="11">
        <v>129.0</v>
      </c>
      <c r="W249" s="11">
        <v>5.0</v>
      </c>
      <c r="X249" s="11" t="s">
        <v>866</v>
      </c>
    </row>
    <row r="250" ht="14.25" customHeight="1">
      <c r="A250" s="11"/>
      <c r="B250" s="11" t="e">
        <v>#N/A</v>
      </c>
      <c r="C250" s="11" t="s">
        <v>106</v>
      </c>
      <c r="D250" s="11"/>
      <c r="E250" s="11"/>
      <c r="F250" s="11" t="s">
        <v>866</v>
      </c>
      <c r="G250" s="11"/>
      <c r="H250" s="11" t="s">
        <v>1128</v>
      </c>
      <c r="I250" s="11" t="e">
        <v>#N/A</v>
      </c>
      <c r="J250" s="11" t="e">
        <v>#N/A</v>
      </c>
      <c r="K250" s="11"/>
      <c r="L250" s="11"/>
      <c r="M250" s="11">
        <v>16.0</v>
      </c>
      <c r="N250" s="11" t="e">
        <v>#N/A</v>
      </c>
      <c r="O250" s="11" t="e">
        <v>#N/A</v>
      </c>
      <c r="P250" s="11" t="e">
        <v>#N/A</v>
      </c>
      <c r="Q250" s="11" t="e">
        <v>#N/A</v>
      </c>
      <c r="R250" s="11" t="e">
        <v>#N/A</v>
      </c>
      <c r="S250" s="11" t="e">
        <v>#N/A</v>
      </c>
      <c r="T250" s="11" t="e">
        <v>#N/A</v>
      </c>
      <c r="U250" s="11" t="e">
        <v>#N/A</v>
      </c>
      <c r="V250" s="11" t="e">
        <v>#N/A</v>
      </c>
      <c r="W250" s="11" t="e">
        <v>#N/A</v>
      </c>
      <c r="X250" s="11" t="e">
        <v>#N/A</v>
      </c>
    </row>
    <row r="251" ht="14.25" customHeight="1">
      <c r="A251" s="11"/>
      <c r="B251" s="11">
        <v>12.0</v>
      </c>
      <c r="C251" s="11" t="s">
        <v>106</v>
      </c>
      <c r="D251" s="11"/>
      <c r="E251" s="11"/>
      <c r="F251" s="11" t="s">
        <v>866</v>
      </c>
      <c r="G251" s="11"/>
      <c r="H251" s="11" t="s">
        <v>407</v>
      </c>
      <c r="I251" s="11" t="s">
        <v>206</v>
      </c>
      <c r="J251" s="11" t="s">
        <v>772</v>
      </c>
      <c r="K251" s="11"/>
      <c r="L251" s="11"/>
      <c r="M251" s="11">
        <v>11.0</v>
      </c>
      <c r="N251" s="11">
        <v>122.0</v>
      </c>
      <c r="O251" s="11">
        <v>105.0</v>
      </c>
      <c r="P251" s="11">
        <v>17.0</v>
      </c>
      <c r="Q251" s="11">
        <v>132.0</v>
      </c>
      <c r="R251" s="11">
        <v>139.0</v>
      </c>
      <c r="S251" s="11">
        <v>120.0</v>
      </c>
      <c r="T251" s="11">
        <v>118.0</v>
      </c>
      <c r="U251" s="11">
        <v>209.0</v>
      </c>
      <c r="V251" s="11">
        <v>135.0</v>
      </c>
      <c r="W251" s="11">
        <v>4.0</v>
      </c>
      <c r="X251" s="11">
        <v>38.0</v>
      </c>
    </row>
    <row r="252" ht="14.25" customHeight="1">
      <c r="A252" s="11"/>
      <c r="B252" s="11">
        <v>21.0</v>
      </c>
      <c r="C252" s="11" t="s">
        <v>106</v>
      </c>
      <c r="D252" s="11"/>
      <c r="E252" s="11"/>
      <c r="F252" s="11" t="s">
        <v>866</v>
      </c>
      <c r="G252" s="11"/>
      <c r="H252" s="11" t="s">
        <v>926</v>
      </c>
      <c r="I252" s="11" t="s">
        <v>237</v>
      </c>
      <c r="J252" s="11" t="s">
        <v>775</v>
      </c>
      <c r="K252" s="11"/>
      <c r="L252" s="11"/>
      <c r="M252" s="11">
        <v>23.0</v>
      </c>
      <c r="N252" s="11">
        <v>269.0</v>
      </c>
      <c r="O252" s="11" t="s">
        <v>36</v>
      </c>
      <c r="P252" s="11" t="e">
        <v>#VALUE!</v>
      </c>
      <c r="Q252" s="11" t="s">
        <v>36</v>
      </c>
      <c r="R252" s="11" t="s">
        <v>36</v>
      </c>
      <c r="S252" s="11">
        <v>242.0</v>
      </c>
      <c r="T252" s="11">
        <v>245.0</v>
      </c>
      <c r="U252" s="11" t="s">
        <v>36</v>
      </c>
      <c r="V252" s="11">
        <v>252.0</v>
      </c>
      <c r="W252" s="11" t="e">
        <v>#VALUE!</v>
      </c>
      <c r="X252" s="11" t="s">
        <v>866</v>
      </c>
    </row>
    <row r="253" ht="14.25" customHeight="1">
      <c r="A253" s="11"/>
      <c r="B253" s="11" t="e">
        <v>#N/A</v>
      </c>
      <c r="C253" s="11" t="s">
        <v>106</v>
      </c>
      <c r="D253" s="11"/>
      <c r="E253" s="11"/>
      <c r="F253" s="11" t="s">
        <v>866</v>
      </c>
      <c r="G253" s="11"/>
      <c r="H253" s="11" t="s">
        <v>958</v>
      </c>
      <c r="I253" s="11" t="e">
        <v>#N/A</v>
      </c>
      <c r="J253" s="11" t="e">
        <v>#N/A</v>
      </c>
      <c r="K253" s="11"/>
      <c r="L253" s="11"/>
      <c r="M253" s="11">
        <v>16.0</v>
      </c>
      <c r="N253" s="11" t="e">
        <v>#N/A</v>
      </c>
      <c r="O253" s="11" t="e">
        <v>#N/A</v>
      </c>
      <c r="P253" s="11" t="e">
        <v>#N/A</v>
      </c>
      <c r="Q253" s="11" t="e">
        <v>#N/A</v>
      </c>
      <c r="R253" s="11" t="e">
        <v>#N/A</v>
      </c>
      <c r="S253" s="11" t="e">
        <v>#N/A</v>
      </c>
      <c r="T253" s="11" t="e">
        <v>#N/A</v>
      </c>
      <c r="U253" s="11" t="e">
        <v>#N/A</v>
      </c>
      <c r="V253" s="11" t="e">
        <v>#N/A</v>
      </c>
      <c r="W253" s="11" t="e">
        <v>#N/A</v>
      </c>
      <c r="X253" s="11" t="e">
        <v>#N/A</v>
      </c>
    </row>
    <row r="254" ht="14.25" customHeight="1">
      <c r="A254" s="11"/>
      <c r="B254" s="11" t="e">
        <v>#N/A</v>
      </c>
      <c r="C254" s="11" t="s">
        <v>106</v>
      </c>
      <c r="D254" s="11"/>
      <c r="E254" s="11"/>
      <c r="F254" s="11" t="s">
        <v>866</v>
      </c>
      <c r="G254" s="11"/>
      <c r="H254" s="11" t="s">
        <v>1129</v>
      </c>
      <c r="I254" s="11" t="e">
        <v>#N/A</v>
      </c>
      <c r="J254" s="11" t="e">
        <v>#N/A</v>
      </c>
      <c r="K254" s="11"/>
      <c r="L254" s="11"/>
      <c r="M254" s="11">
        <v>16.0</v>
      </c>
      <c r="N254" s="11" t="e">
        <v>#N/A</v>
      </c>
      <c r="O254" s="11" t="e">
        <v>#N/A</v>
      </c>
      <c r="P254" s="11" t="e">
        <v>#N/A</v>
      </c>
      <c r="Q254" s="11" t="e">
        <v>#N/A</v>
      </c>
      <c r="R254" s="11" t="e">
        <v>#N/A</v>
      </c>
      <c r="S254" s="11" t="e">
        <v>#N/A</v>
      </c>
      <c r="T254" s="11" t="e">
        <v>#N/A</v>
      </c>
      <c r="U254" s="11" t="e">
        <v>#N/A</v>
      </c>
      <c r="V254" s="11" t="e">
        <v>#N/A</v>
      </c>
      <c r="W254" s="11" t="e">
        <v>#N/A</v>
      </c>
      <c r="X254" s="11" t="e">
        <v>#N/A</v>
      </c>
    </row>
    <row r="255" ht="14.25" customHeight="1">
      <c r="A255" s="11"/>
      <c r="B255" s="11">
        <v>23.0</v>
      </c>
      <c r="C255" s="11" t="s">
        <v>106</v>
      </c>
      <c r="D255" s="11"/>
      <c r="E255" s="11"/>
      <c r="F255" s="11" t="s">
        <v>866</v>
      </c>
      <c r="G255" s="11"/>
      <c r="H255" s="11" t="s">
        <v>830</v>
      </c>
      <c r="I255" s="11" t="s">
        <v>128</v>
      </c>
      <c r="J255" s="11" t="s">
        <v>775</v>
      </c>
      <c r="K255" s="11"/>
      <c r="L255" s="11"/>
      <c r="M255" s="11">
        <v>23.0</v>
      </c>
      <c r="N255" s="11">
        <v>268.0</v>
      </c>
      <c r="O255" s="11" t="s">
        <v>36</v>
      </c>
      <c r="P255" s="11" t="e">
        <v>#VALUE!</v>
      </c>
      <c r="Q255" s="11" t="s">
        <v>36</v>
      </c>
      <c r="R255" s="11">
        <v>309.0</v>
      </c>
      <c r="S255" s="11">
        <v>237.0</v>
      </c>
      <c r="T255" s="11">
        <v>231.0</v>
      </c>
      <c r="U255" s="11">
        <v>311.0</v>
      </c>
      <c r="V255" s="11">
        <v>271.0</v>
      </c>
      <c r="W255" s="11">
        <v>38.0</v>
      </c>
      <c r="X255" s="11" t="s">
        <v>866</v>
      </c>
    </row>
    <row r="256" ht="14.25" customHeight="1">
      <c r="A256" s="11"/>
      <c r="B256" s="11" t="e">
        <v>#N/A</v>
      </c>
      <c r="C256" s="11" t="s">
        <v>106</v>
      </c>
      <c r="D256" s="11"/>
      <c r="E256" s="11"/>
      <c r="F256" s="11" t="s">
        <v>866</v>
      </c>
      <c r="G256" s="11"/>
      <c r="H256" s="11" t="s">
        <v>707</v>
      </c>
      <c r="I256" s="11" t="e">
        <v>#N/A</v>
      </c>
      <c r="J256" s="11" t="e">
        <v>#N/A</v>
      </c>
      <c r="K256" s="11"/>
      <c r="L256" s="11"/>
      <c r="M256" s="11">
        <v>16.0</v>
      </c>
      <c r="N256" s="11" t="e">
        <v>#N/A</v>
      </c>
      <c r="O256" s="11" t="e">
        <v>#N/A</v>
      </c>
      <c r="P256" s="11" t="e">
        <v>#N/A</v>
      </c>
      <c r="Q256" s="11" t="e">
        <v>#N/A</v>
      </c>
      <c r="R256" s="11" t="e">
        <v>#N/A</v>
      </c>
      <c r="S256" s="11" t="e">
        <v>#N/A</v>
      </c>
      <c r="T256" s="11" t="e">
        <v>#N/A</v>
      </c>
      <c r="U256" s="11" t="e">
        <v>#N/A</v>
      </c>
      <c r="V256" s="11" t="e">
        <v>#N/A</v>
      </c>
      <c r="W256" s="11" t="e">
        <v>#N/A</v>
      </c>
      <c r="X256" s="11" t="e">
        <v>#N/A</v>
      </c>
    </row>
    <row r="257" ht="14.25" customHeight="1">
      <c r="A257" s="11"/>
      <c r="B257" s="11" t="e">
        <v>#N/A</v>
      </c>
      <c r="C257" s="11" t="s">
        <v>106</v>
      </c>
      <c r="D257" s="11"/>
      <c r="E257" s="11"/>
      <c r="F257" s="11" t="s">
        <v>866</v>
      </c>
      <c r="G257" s="11"/>
      <c r="H257" s="11" t="s">
        <v>965</v>
      </c>
      <c r="I257" s="11" t="e">
        <v>#N/A</v>
      </c>
      <c r="J257" s="11" t="e">
        <v>#N/A</v>
      </c>
      <c r="K257" s="11"/>
      <c r="L257" s="11"/>
      <c r="M257" s="11">
        <v>16.0</v>
      </c>
      <c r="N257" s="11" t="e">
        <v>#N/A</v>
      </c>
      <c r="O257" s="11" t="e">
        <v>#N/A</v>
      </c>
      <c r="P257" s="11" t="e">
        <v>#N/A</v>
      </c>
      <c r="Q257" s="11" t="e">
        <v>#N/A</v>
      </c>
      <c r="R257" s="11" t="e">
        <v>#N/A</v>
      </c>
      <c r="S257" s="11" t="e">
        <v>#N/A</v>
      </c>
      <c r="T257" s="11" t="e">
        <v>#N/A</v>
      </c>
      <c r="U257" s="11" t="e">
        <v>#N/A</v>
      </c>
      <c r="V257" s="11" t="e">
        <v>#N/A</v>
      </c>
      <c r="W257" s="11" t="e">
        <v>#N/A</v>
      </c>
      <c r="X257" s="11" t="e">
        <v>#N/A</v>
      </c>
    </row>
    <row r="258" ht="14.25" customHeight="1">
      <c r="A258" s="11"/>
      <c r="B258" s="11">
        <v>24.0</v>
      </c>
      <c r="C258" s="11" t="s">
        <v>106</v>
      </c>
      <c r="D258" s="11"/>
      <c r="E258" s="11"/>
      <c r="F258" s="11" t="s">
        <v>866</v>
      </c>
      <c r="G258" s="11"/>
      <c r="H258" s="11" t="s">
        <v>966</v>
      </c>
      <c r="I258" s="11" t="s">
        <v>165</v>
      </c>
      <c r="J258" s="11" t="s">
        <v>781</v>
      </c>
      <c r="K258" s="11"/>
      <c r="L258" s="11"/>
      <c r="M258" s="11">
        <v>22.0</v>
      </c>
      <c r="N258" s="11">
        <v>254.0</v>
      </c>
      <c r="O258" s="11" t="s">
        <v>36</v>
      </c>
      <c r="P258" s="11" t="e">
        <v>#VALUE!</v>
      </c>
      <c r="Q258" s="11">
        <v>347.0</v>
      </c>
      <c r="R258" s="11">
        <v>318.0</v>
      </c>
      <c r="S258" s="11">
        <v>204.0</v>
      </c>
      <c r="T258" s="11">
        <v>247.0</v>
      </c>
      <c r="U258" s="11" t="s">
        <v>36</v>
      </c>
      <c r="V258" s="11">
        <v>274.0</v>
      </c>
      <c r="W258" s="11">
        <v>44.0</v>
      </c>
      <c r="X258" s="11" t="s">
        <v>866</v>
      </c>
    </row>
    <row r="259" ht="14.25" customHeight="1">
      <c r="A259" s="11"/>
      <c r="B259" s="11" t="e">
        <v>#N/A</v>
      </c>
      <c r="C259" s="11" t="s">
        <v>106</v>
      </c>
      <c r="D259" s="11"/>
      <c r="E259" s="11"/>
      <c r="F259" s="11" t="s">
        <v>866</v>
      </c>
      <c r="G259" s="11"/>
      <c r="H259" s="11" t="s">
        <v>968</v>
      </c>
      <c r="I259" s="11" t="e">
        <v>#N/A</v>
      </c>
      <c r="J259" s="11" t="e">
        <v>#N/A</v>
      </c>
      <c r="K259" s="11"/>
      <c r="L259" s="11"/>
      <c r="M259" s="11">
        <v>16.0</v>
      </c>
      <c r="N259" s="11" t="e">
        <v>#N/A</v>
      </c>
      <c r="O259" s="11" t="e">
        <v>#N/A</v>
      </c>
      <c r="P259" s="11" t="e">
        <v>#N/A</v>
      </c>
      <c r="Q259" s="11" t="e">
        <v>#N/A</v>
      </c>
      <c r="R259" s="11" t="e">
        <v>#N/A</v>
      </c>
      <c r="S259" s="11" t="e">
        <v>#N/A</v>
      </c>
      <c r="T259" s="11" t="e">
        <v>#N/A</v>
      </c>
      <c r="U259" s="11" t="e">
        <v>#N/A</v>
      </c>
      <c r="V259" s="11" t="e">
        <v>#N/A</v>
      </c>
      <c r="W259" s="11" t="e">
        <v>#N/A</v>
      </c>
      <c r="X259" s="11" t="e">
        <v>#N/A</v>
      </c>
    </row>
    <row r="260" ht="14.25" customHeight="1">
      <c r="A260" s="11"/>
      <c r="B260" s="11" t="e">
        <v>#N/A</v>
      </c>
      <c r="C260" s="11" t="s">
        <v>106</v>
      </c>
      <c r="D260" s="11"/>
      <c r="E260" s="11"/>
      <c r="F260" s="11" t="s">
        <v>866</v>
      </c>
      <c r="G260" s="11"/>
      <c r="H260" s="11" t="s">
        <v>970</v>
      </c>
      <c r="I260" s="11" t="e">
        <v>#N/A</v>
      </c>
      <c r="J260" s="11" t="e">
        <v>#N/A</v>
      </c>
      <c r="K260" s="11"/>
      <c r="L260" s="11"/>
      <c r="M260" s="11">
        <v>16.0</v>
      </c>
      <c r="N260" s="11" t="e">
        <v>#N/A</v>
      </c>
      <c r="O260" s="11" t="e">
        <v>#N/A</v>
      </c>
      <c r="P260" s="11" t="e">
        <v>#N/A</v>
      </c>
      <c r="Q260" s="11" t="e">
        <v>#N/A</v>
      </c>
      <c r="R260" s="11" t="e">
        <v>#N/A</v>
      </c>
      <c r="S260" s="11" t="e">
        <v>#N/A</v>
      </c>
      <c r="T260" s="11" t="e">
        <v>#N/A</v>
      </c>
      <c r="U260" s="11" t="e">
        <v>#N/A</v>
      </c>
      <c r="V260" s="11" t="e">
        <v>#N/A</v>
      </c>
      <c r="W260" s="11" t="e">
        <v>#N/A</v>
      </c>
      <c r="X260" s="11" t="s">
        <v>866</v>
      </c>
    </row>
    <row r="261" ht="14.25" customHeight="1">
      <c r="A261" s="11"/>
      <c r="B261" s="11">
        <v>24.0</v>
      </c>
      <c r="C261" s="11" t="s">
        <v>106</v>
      </c>
      <c r="D261" s="11"/>
      <c r="E261" s="11"/>
      <c r="F261" s="11" t="s">
        <v>866</v>
      </c>
      <c r="G261" s="11"/>
      <c r="H261" s="11" t="s">
        <v>920</v>
      </c>
      <c r="I261" s="11" t="s">
        <v>102</v>
      </c>
      <c r="J261" s="11" t="s">
        <v>772</v>
      </c>
      <c r="K261" s="11"/>
      <c r="L261" s="11"/>
      <c r="M261" s="11">
        <v>24.0</v>
      </c>
      <c r="N261" s="11">
        <v>287.0</v>
      </c>
      <c r="O261" s="11" t="s">
        <v>36</v>
      </c>
      <c r="P261" s="11" t="e">
        <v>#VALUE!</v>
      </c>
      <c r="Q261" s="11" t="s">
        <v>36</v>
      </c>
      <c r="R261" s="11">
        <v>313.0</v>
      </c>
      <c r="S261" s="11">
        <v>293.0</v>
      </c>
      <c r="T261" s="11">
        <v>268.0</v>
      </c>
      <c r="U261" s="11">
        <v>252.0</v>
      </c>
      <c r="V261" s="11">
        <v>282.0</v>
      </c>
      <c r="W261" s="11">
        <v>31.0</v>
      </c>
      <c r="X261" s="11" t="s">
        <v>866</v>
      </c>
    </row>
    <row r="262" ht="14.25" customHeight="1">
      <c r="A262" s="11"/>
      <c r="B262" s="11" t="e">
        <v>#N/A</v>
      </c>
      <c r="C262" s="11" t="s">
        <v>106</v>
      </c>
      <c r="D262" s="11"/>
      <c r="E262" s="11"/>
      <c r="F262" s="11" t="s">
        <v>866</v>
      </c>
      <c r="G262" s="11"/>
      <c r="H262" s="11" t="s">
        <v>971</v>
      </c>
      <c r="I262" s="11" t="e">
        <v>#N/A</v>
      </c>
      <c r="J262" s="11" t="e">
        <v>#N/A</v>
      </c>
      <c r="K262" s="11"/>
      <c r="L262" s="11"/>
      <c r="M262" s="11">
        <v>16.0</v>
      </c>
      <c r="N262" s="11" t="e">
        <v>#N/A</v>
      </c>
      <c r="O262" s="11" t="e">
        <v>#N/A</v>
      </c>
      <c r="P262" s="11" t="e">
        <v>#N/A</v>
      </c>
      <c r="Q262" s="11" t="e">
        <v>#N/A</v>
      </c>
      <c r="R262" s="11" t="e">
        <v>#N/A</v>
      </c>
      <c r="S262" s="11" t="e">
        <v>#N/A</v>
      </c>
      <c r="T262" s="11" t="e">
        <v>#N/A</v>
      </c>
      <c r="U262" s="11" t="e">
        <v>#N/A</v>
      </c>
      <c r="V262" s="11" t="e">
        <v>#N/A</v>
      </c>
      <c r="W262" s="11" t="e">
        <v>#N/A</v>
      </c>
      <c r="X262" s="11" t="e">
        <v>#N/A</v>
      </c>
    </row>
    <row r="263" ht="14.25" customHeight="1">
      <c r="A263" s="11"/>
      <c r="B263" s="11" t="e">
        <v>#N/A</v>
      </c>
      <c r="C263" s="11" t="s">
        <v>106</v>
      </c>
      <c r="D263" s="11"/>
      <c r="E263" s="11"/>
      <c r="F263" s="11" t="s">
        <v>866</v>
      </c>
      <c r="G263" s="11"/>
      <c r="H263" s="11" t="s">
        <v>972</v>
      </c>
      <c r="I263" s="11" t="e">
        <v>#N/A</v>
      </c>
      <c r="J263" s="11" t="e">
        <v>#N/A</v>
      </c>
      <c r="K263" s="11"/>
      <c r="L263" s="11"/>
      <c r="M263" s="11">
        <v>16.0</v>
      </c>
      <c r="N263" s="11" t="e">
        <v>#N/A</v>
      </c>
      <c r="O263" s="11" t="e">
        <v>#N/A</v>
      </c>
      <c r="P263" s="11" t="e">
        <v>#N/A</v>
      </c>
      <c r="Q263" s="11" t="e">
        <v>#N/A</v>
      </c>
      <c r="R263" s="11" t="e">
        <v>#N/A</v>
      </c>
      <c r="S263" s="11" t="e">
        <v>#N/A</v>
      </c>
      <c r="T263" s="11" t="e">
        <v>#N/A</v>
      </c>
      <c r="U263" s="11" t="e">
        <v>#N/A</v>
      </c>
      <c r="V263" s="11" t="e">
        <v>#N/A</v>
      </c>
      <c r="W263" s="11" t="e">
        <v>#N/A</v>
      </c>
      <c r="X263" s="11" t="e">
        <v>#N/A</v>
      </c>
    </row>
    <row r="264" ht="14.25" customHeight="1">
      <c r="A264" s="11"/>
      <c r="B264" s="11" t="e">
        <v>#N/A</v>
      </c>
      <c r="C264" s="11" t="s">
        <v>106</v>
      </c>
      <c r="D264" s="11"/>
      <c r="E264" s="11"/>
      <c r="F264" s="11" t="s">
        <v>866</v>
      </c>
      <c r="G264" s="11"/>
      <c r="H264" s="11" t="s">
        <v>1130</v>
      </c>
      <c r="I264" s="11" t="e">
        <v>#N/A</v>
      </c>
      <c r="J264" s="11" t="e">
        <v>#N/A</v>
      </c>
      <c r="K264" s="11"/>
      <c r="L264" s="11"/>
      <c r="M264" s="11">
        <v>16.0</v>
      </c>
      <c r="N264" s="11" t="e">
        <v>#N/A</v>
      </c>
      <c r="O264" s="11" t="e">
        <v>#N/A</v>
      </c>
      <c r="P264" s="11" t="e">
        <v>#N/A</v>
      </c>
      <c r="Q264" s="11" t="e">
        <v>#N/A</v>
      </c>
      <c r="R264" s="11" t="e">
        <v>#N/A</v>
      </c>
      <c r="S264" s="11" t="e">
        <v>#N/A</v>
      </c>
      <c r="T264" s="11" t="e">
        <v>#N/A</v>
      </c>
      <c r="U264" s="11" t="e">
        <v>#N/A</v>
      </c>
      <c r="V264" s="11" t="e">
        <v>#N/A</v>
      </c>
      <c r="W264" s="11" t="e">
        <v>#N/A</v>
      </c>
      <c r="X264" s="11" t="e">
        <v>#N/A</v>
      </c>
    </row>
    <row r="265" ht="14.25" customHeight="1">
      <c r="A265" s="11"/>
      <c r="B265" s="11" t="e">
        <v>#N/A</v>
      </c>
      <c r="C265" s="11" t="s">
        <v>106</v>
      </c>
      <c r="D265" s="11"/>
      <c r="E265" s="11"/>
      <c r="F265" s="11" t="s">
        <v>866</v>
      </c>
      <c r="G265" s="11"/>
      <c r="H265" s="11" t="s">
        <v>975</v>
      </c>
      <c r="I265" s="11" t="e">
        <v>#N/A</v>
      </c>
      <c r="J265" s="11" t="e">
        <v>#N/A</v>
      </c>
      <c r="K265" s="11"/>
      <c r="L265" s="11"/>
      <c r="M265" s="11">
        <v>16.0</v>
      </c>
      <c r="N265" s="11" t="e">
        <v>#N/A</v>
      </c>
      <c r="O265" s="11" t="e">
        <v>#N/A</v>
      </c>
      <c r="P265" s="11" t="e">
        <v>#N/A</v>
      </c>
      <c r="Q265" s="11" t="e">
        <v>#N/A</v>
      </c>
      <c r="R265" s="11" t="e">
        <v>#N/A</v>
      </c>
      <c r="S265" s="11" t="e">
        <v>#N/A</v>
      </c>
      <c r="T265" s="11" t="e">
        <v>#N/A</v>
      </c>
      <c r="U265" s="11" t="e">
        <v>#N/A</v>
      </c>
      <c r="V265" s="11" t="e">
        <v>#N/A</v>
      </c>
      <c r="W265" s="11" t="e">
        <v>#N/A</v>
      </c>
      <c r="X265" s="11" t="e">
        <v>#N/A</v>
      </c>
    </row>
    <row r="266" ht="14.25" customHeight="1">
      <c r="A266" s="11"/>
      <c r="B266" s="11">
        <v>9.0</v>
      </c>
      <c r="C266" s="11" t="s">
        <v>106</v>
      </c>
      <c r="D266" s="11"/>
      <c r="E266" s="11"/>
      <c r="F266" s="11" t="s">
        <v>866</v>
      </c>
      <c r="G266" s="11"/>
      <c r="H266" s="11" t="s">
        <v>468</v>
      </c>
      <c r="I266" s="11" t="s">
        <v>58</v>
      </c>
      <c r="J266" s="11" t="s">
        <v>775</v>
      </c>
      <c r="K266" s="11"/>
      <c r="L266" s="11"/>
      <c r="M266" s="11">
        <v>9.0</v>
      </c>
      <c r="N266" s="11">
        <v>102.0</v>
      </c>
      <c r="O266" s="11">
        <v>119.0</v>
      </c>
      <c r="P266" s="11">
        <v>-17.0</v>
      </c>
      <c r="Q266" s="11">
        <v>115.0</v>
      </c>
      <c r="R266" s="11">
        <v>110.0</v>
      </c>
      <c r="S266" s="11">
        <v>98.0</v>
      </c>
      <c r="T266" s="11">
        <v>85.0</v>
      </c>
      <c r="U266" s="11">
        <v>111.0</v>
      </c>
      <c r="V266" s="11">
        <v>105.0</v>
      </c>
      <c r="W266" s="11">
        <v>5.0</v>
      </c>
      <c r="X266" s="11">
        <v>40.0</v>
      </c>
    </row>
    <row r="267" ht="14.25" customHeight="1">
      <c r="A267" s="11"/>
      <c r="B267" s="11">
        <v>22.0</v>
      </c>
      <c r="C267" s="11" t="s">
        <v>106</v>
      </c>
      <c r="D267" s="11"/>
      <c r="E267" s="11"/>
      <c r="F267" s="11" t="s">
        <v>866</v>
      </c>
      <c r="G267" s="11"/>
      <c r="H267" s="11" t="s">
        <v>517</v>
      </c>
      <c r="I267" s="11" t="s">
        <v>94</v>
      </c>
      <c r="J267" s="11" t="s">
        <v>775</v>
      </c>
      <c r="K267" s="11"/>
      <c r="L267" s="11"/>
      <c r="M267" s="11">
        <v>16.0</v>
      </c>
      <c r="N267" s="11" t="s">
        <v>36</v>
      </c>
      <c r="O267" s="11" t="s">
        <v>36</v>
      </c>
      <c r="P267" s="11" t="e">
        <v>#VALUE!</v>
      </c>
      <c r="Q267" s="11" t="s">
        <v>36</v>
      </c>
      <c r="R267" s="11" t="s">
        <v>36</v>
      </c>
      <c r="S267" s="11">
        <v>246.0</v>
      </c>
      <c r="T267" s="11">
        <v>259.0</v>
      </c>
      <c r="U267" s="11" t="s">
        <v>36</v>
      </c>
      <c r="V267" s="11">
        <v>252.0</v>
      </c>
      <c r="W267" s="11" t="e">
        <v>#VALUE!</v>
      </c>
      <c r="X267" s="11" t="e">
        <v>#N/A</v>
      </c>
    </row>
    <row r="268" ht="14.25" customHeight="1">
      <c r="A268" s="11"/>
      <c r="B268" s="11">
        <v>14.0</v>
      </c>
      <c r="C268" s="11" t="s">
        <v>106</v>
      </c>
      <c r="D268" s="11"/>
      <c r="E268" s="11"/>
      <c r="F268" s="11" t="s">
        <v>866</v>
      </c>
      <c r="G268" s="11"/>
      <c r="H268" s="11" t="s">
        <v>586</v>
      </c>
      <c r="I268" s="11" t="s">
        <v>105</v>
      </c>
      <c r="J268" s="11" t="s">
        <v>1085</v>
      </c>
      <c r="K268" s="11"/>
      <c r="L268" s="11"/>
      <c r="M268" s="11">
        <v>12.0</v>
      </c>
      <c r="N268" s="11">
        <v>132.0</v>
      </c>
      <c r="O268" s="11">
        <v>157.0</v>
      </c>
      <c r="P268" s="11">
        <v>-25.0</v>
      </c>
      <c r="Q268" s="11">
        <v>117.0</v>
      </c>
      <c r="R268" s="11">
        <v>214.0</v>
      </c>
      <c r="S268" s="11">
        <v>217.0</v>
      </c>
      <c r="T268" s="11" t="s">
        <v>36</v>
      </c>
      <c r="U268" s="11">
        <v>79.0</v>
      </c>
      <c r="V268" s="11">
        <v>152.0</v>
      </c>
      <c r="W268" s="11">
        <v>62.0</v>
      </c>
      <c r="X268" s="11" t="s">
        <v>866</v>
      </c>
    </row>
    <row r="269" ht="14.25" customHeight="1">
      <c r="A269" s="11"/>
      <c r="B269" s="11" t="e">
        <v>#N/A</v>
      </c>
      <c r="C269" s="11" t="s">
        <v>106</v>
      </c>
      <c r="D269" s="11"/>
      <c r="E269" s="11"/>
      <c r="F269" s="11" t="s">
        <v>866</v>
      </c>
      <c r="G269" s="11"/>
      <c r="H269" s="11" t="s">
        <v>983</v>
      </c>
      <c r="I269" s="11" t="e">
        <v>#N/A</v>
      </c>
      <c r="J269" s="11" t="e">
        <v>#N/A</v>
      </c>
      <c r="K269" s="11"/>
      <c r="L269" s="11"/>
      <c r="M269" s="11">
        <v>16.0</v>
      </c>
      <c r="N269" s="11" t="e">
        <v>#N/A</v>
      </c>
      <c r="O269" s="11" t="e">
        <v>#N/A</v>
      </c>
      <c r="P269" s="11" t="e">
        <v>#N/A</v>
      </c>
      <c r="Q269" s="11" t="e">
        <v>#N/A</v>
      </c>
      <c r="R269" s="11" t="e">
        <v>#N/A</v>
      </c>
      <c r="S269" s="11" t="e">
        <v>#N/A</v>
      </c>
      <c r="T269" s="11" t="e">
        <v>#N/A</v>
      </c>
      <c r="U269" s="11" t="e">
        <v>#N/A</v>
      </c>
      <c r="V269" s="11" t="e">
        <v>#N/A</v>
      </c>
      <c r="W269" s="11" t="e">
        <v>#N/A</v>
      </c>
      <c r="X269" s="11" t="e">
        <v>#N/A</v>
      </c>
    </row>
    <row r="270" ht="14.25" customHeight="1">
      <c r="A270" s="11"/>
      <c r="B270" s="11">
        <v>19.0</v>
      </c>
      <c r="C270" s="11" t="s">
        <v>106</v>
      </c>
      <c r="D270" s="11"/>
      <c r="E270" s="11"/>
      <c r="F270" s="11" t="s">
        <v>866</v>
      </c>
      <c r="G270" s="11"/>
      <c r="H270" s="11" t="s">
        <v>984</v>
      </c>
      <c r="I270" s="11" t="s">
        <v>192</v>
      </c>
      <c r="J270" s="11" t="s">
        <v>1085</v>
      </c>
      <c r="K270" s="11"/>
      <c r="L270" s="11"/>
      <c r="M270" s="11">
        <v>22.0</v>
      </c>
      <c r="N270" s="11">
        <v>257.0</v>
      </c>
      <c r="O270" s="11">
        <v>153.0</v>
      </c>
      <c r="P270" s="11">
        <v>104.0</v>
      </c>
      <c r="Q270" s="11">
        <v>183.0</v>
      </c>
      <c r="R270" s="11">
        <v>269.0</v>
      </c>
      <c r="S270" s="11">
        <v>236.0</v>
      </c>
      <c r="T270" s="11" t="s">
        <v>36</v>
      </c>
      <c r="U270" s="11">
        <v>181.0</v>
      </c>
      <c r="V270" s="11">
        <v>213.0</v>
      </c>
      <c r="W270" s="11">
        <v>56.0</v>
      </c>
      <c r="X270" s="11" t="e">
        <v>#N/A</v>
      </c>
    </row>
    <row r="271" ht="14.25" customHeight="1">
      <c r="A271" s="11"/>
      <c r="B271" s="11" t="e">
        <v>#N/A</v>
      </c>
      <c r="C271" s="11" t="s">
        <v>106</v>
      </c>
      <c r="D271" s="11"/>
      <c r="E271" s="11"/>
      <c r="F271" s="11" t="s">
        <v>866</v>
      </c>
      <c r="G271" s="11"/>
      <c r="H271" s="11" t="s">
        <v>582</v>
      </c>
      <c r="I271" s="11" t="e">
        <v>#N/A</v>
      </c>
      <c r="J271" s="11" t="e">
        <v>#N/A</v>
      </c>
      <c r="K271" s="11"/>
      <c r="L271" s="11"/>
      <c r="M271" s="11">
        <v>16.0</v>
      </c>
      <c r="N271" s="11" t="e">
        <v>#N/A</v>
      </c>
      <c r="O271" s="11" t="e">
        <v>#N/A</v>
      </c>
      <c r="P271" s="11" t="e">
        <v>#N/A</v>
      </c>
      <c r="Q271" s="11" t="e">
        <v>#N/A</v>
      </c>
      <c r="R271" s="11" t="e">
        <v>#N/A</v>
      </c>
      <c r="S271" s="11" t="e">
        <v>#N/A</v>
      </c>
      <c r="T271" s="11" t="e">
        <v>#N/A</v>
      </c>
      <c r="U271" s="11" t="e">
        <v>#N/A</v>
      </c>
      <c r="V271" s="11" t="e">
        <v>#N/A</v>
      </c>
      <c r="W271" s="11" t="e">
        <v>#N/A</v>
      </c>
      <c r="X271" s="11" t="e">
        <v>#N/A</v>
      </c>
    </row>
    <row r="272" ht="14.25" customHeight="1">
      <c r="A272" s="11"/>
      <c r="B272" s="11" t="e">
        <v>#N/A</v>
      </c>
      <c r="C272" s="11" t="s">
        <v>106</v>
      </c>
      <c r="D272" s="11"/>
      <c r="E272" s="11"/>
      <c r="F272" s="11" t="s">
        <v>866</v>
      </c>
      <c r="G272" s="11"/>
      <c r="H272" s="11" t="s">
        <v>632</v>
      </c>
      <c r="I272" s="11" t="e">
        <v>#N/A</v>
      </c>
      <c r="J272" s="11" t="e">
        <v>#N/A</v>
      </c>
      <c r="K272" s="11"/>
      <c r="L272" s="11"/>
      <c r="M272" s="11">
        <v>16.0</v>
      </c>
      <c r="N272" s="11" t="e">
        <v>#N/A</v>
      </c>
      <c r="O272" s="11" t="e">
        <v>#N/A</v>
      </c>
      <c r="P272" s="11" t="e">
        <v>#N/A</v>
      </c>
      <c r="Q272" s="11" t="e">
        <v>#N/A</v>
      </c>
      <c r="R272" s="11" t="e">
        <v>#N/A</v>
      </c>
      <c r="S272" s="11" t="e">
        <v>#N/A</v>
      </c>
      <c r="T272" s="11" t="e">
        <v>#N/A</v>
      </c>
      <c r="U272" s="11" t="e">
        <v>#N/A</v>
      </c>
      <c r="V272" s="11" t="e">
        <v>#N/A</v>
      </c>
      <c r="W272" s="11" t="e">
        <v>#N/A</v>
      </c>
      <c r="X272" s="11" t="e">
        <v>#N/A</v>
      </c>
    </row>
    <row r="273" ht="14.25" customHeight="1">
      <c r="A273" s="11"/>
      <c r="B273" s="11">
        <v>22.0</v>
      </c>
      <c r="C273" s="11" t="s">
        <v>106</v>
      </c>
      <c r="D273" s="11"/>
      <c r="E273" s="11"/>
      <c r="F273" s="11" t="s">
        <v>866</v>
      </c>
      <c r="G273" s="11"/>
      <c r="H273" s="11" t="s">
        <v>969</v>
      </c>
      <c r="I273" s="11" t="s">
        <v>71</v>
      </c>
      <c r="J273" s="11" t="s">
        <v>772</v>
      </c>
      <c r="K273" s="11"/>
      <c r="L273" s="11"/>
      <c r="M273" s="11">
        <v>19.0</v>
      </c>
      <c r="N273" s="11">
        <v>222.0</v>
      </c>
      <c r="O273" s="11" t="s">
        <v>36</v>
      </c>
      <c r="P273" s="11" t="e">
        <v>#VALUE!</v>
      </c>
      <c r="Q273" s="11" t="s">
        <v>36</v>
      </c>
      <c r="R273" s="11">
        <v>276.0</v>
      </c>
      <c r="S273" s="11">
        <v>256.0</v>
      </c>
      <c r="T273" s="11">
        <v>233.0</v>
      </c>
      <c r="U273" s="11">
        <v>276.0</v>
      </c>
      <c r="V273" s="11">
        <v>252.0</v>
      </c>
      <c r="W273" s="11">
        <v>24.0</v>
      </c>
      <c r="X273" s="11" t="s">
        <v>866</v>
      </c>
    </row>
    <row r="274" ht="14.25" customHeight="1">
      <c r="A274" s="11"/>
      <c r="B274" s="11" t="e">
        <v>#N/A</v>
      </c>
      <c r="C274" s="11" t="s">
        <v>106</v>
      </c>
      <c r="D274" s="11"/>
      <c r="E274" s="11"/>
      <c r="F274" s="11" t="s">
        <v>866</v>
      </c>
      <c r="G274" s="11"/>
      <c r="H274" s="11" t="s">
        <v>924</v>
      </c>
      <c r="I274" s="11" t="e">
        <v>#N/A</v>
      </c>
      <c r="J274" s="11" t="e">
        <v>#N/A</v>
      </c>
      <c r="K274" s="11"/>
      <c r="L274" s="11"/>
      <c r="M274" s="11">
        <v>16.0</v>
      </c>
      <c r="N274" s="11" t="e">
        <v>#N/A</v>
      </c>
      <c r="O274" s="11" t="e">
        <v>#N/A</v>
      </c>
      <c r="P274" s="11" t="e">
        <v>#N/A</v>
      </c>
      <c r="Q274" s="11" t="e">
        <v>#N/A</v>
      </c>
      <c r="R274" s="11" t="e">
        <v>#N/A</v>
      </c>
      <c r="S274" s="11" t="e">
        <v>#N/A</v>
      </c>
      <c r="T274" s="11" t="e">
        <v>#N/A</v>
      </c>
      <c r="U274" s="11" t="e">
        <v>#N/A</v>
      </c>
      <c r="V274" s="11" t="e">
        <v>#N/A</v>
      </c>
      <c r="W274" s="11" t="e">
        <v>#N/A</v>
      </c>
      <c r="X274" s="11" t="e">
        <v>#N/A</v>
      </c>
    </row>
    <row r="275" ht="14.25" customHeight="1">
      <c r="A275" s="11"/>
      <c r="B275" s="11">
        <v>18.0</v>
      </c>
      <c r="C275" s="11" t="s">
        <v>106</v>
      </c>
      <c r="D275" s="11"/>
      <c r="E275" s="11"/>
      <c r="F275" s="11" t="s">
        <v>866</v>
      </c>
      <c r="G275" s="11"/>
      <c r="H275" s="11" t="s">
        <v>564</v>
      </c>
      <c r="I275" s="11" t="s">
        <v>154</v>
      </c>
      <c r="J275" s="11" t="s">
        <v>1081</v>
      </c>
      <c r="K275" s="11"/>
      <c r="L275" s="11"/>
      <c r="M275" s="11">
        <v>21.0</v>
      </c>
      <c r="N275" s="11">
        <v>243.0</v>
      </c>
      <c r="O275" s="11">
        <v>136.0</v>
      </c>
      <c r="P275" s="11">
        <v>107.0</v>
      </c>
      <c r="Q275" s="11">
        <v>171.0</v>
      </c>
      <c r="R275" s="11">
        <v>247.0</v>
      </c>
      <c r="S275" s="11">
        <v>258.0</v>
      </c>
      <c r="T275" s="11">
        <v>199.0</v>
      </c>
      <c r="U275" s="11">
        <v>170.0</v>
      </c>
      <c r="V275" s="11">
        <v>203.0</v>
      </c>
      <c r="W275" s="11">
        <v>44.0</v>
      </c>
      <c r="X275" s="11" t="s">
        <v>866</v>
      </c>
    </row>
    <row r="276" ht="14.25" customHeight="1">
      <c r="A276" s="11"/>
      <c r="B276" s="11" t="e">
        <v>#N/A</v>
      </c>
      <c r="C276" s="11" t="s">
        <v>106</v>
      </c>
      <c r="D276" s="11"/>
      <c r="E276" s="11"/>
      <c r="F276" s="11" t="s">
        <v>866</v>
      </c>
      <c r="G276" s="11"/>
      <c r="H276" s="11" t="s">
        <v>928</v>
      </c>
      <c r="I276" s="11" t="e">
        <v>#N/A</v>
      </c>
      <c r="J276" s="11" t="e">
        <v>#N/A</v>
      </c>
      <c r="K276" s="11"/>
      <c r="L276" s="11"/>
      <c r="M276" s="11">
        <v>16.0</v>
      </c>
      <c r="N276" s="11" t="e">
        <v>#N/A</v>
      </c>
      <c r="O276" s="11" t="e">
        <v>#N/A</v>
      </c>
      <c r="P276" s="11" t="e">
        <v>#N/A</v>
      </c>
      <c r="Q276" s="11" t="e">
        <v>#N/A</v>
      </c>
      <c r="R276" s="11" t="e">
        <v>#N/A</v>
      </c>
      <c r="S276" s="11" t="e">
        <v>#N/A</v>
      </c>
      <c r="T276" s="11" t="e">
        <v>#N/A</v>
      </c>
      <c r="U276" s="11" t="e">
        <v>#N/A</v>
      </c>
      <c r="V276" s="11" t="e">
        <v>#N/A</v>
      </c>
      <c r="W276" s="11" t="e">
        <v>#N/A</v>
      </c>
      <c r="X276" s="11" t="e">
        <v>#N/A</v>
      </c>
    </row>
    <row r="277" ht="14.25" customHeight="1">
      <c r="A277" s="11"/>
      <c r="B277" s="11" t="e">
        <v>#N/A</v>
      </c>
      <c r="C277" s="11" t="s">
        <v>106</v>
      </c>
      <c r="D277" s="11"/>
      <c r="E277" s="11"/>
      <c r="F277" s="11" t="s">
        <v>866</v>
      </c>
      <c r="G277" s="11"/>
      <c r="H277" s="11" t="s">
        <v>931</v>
      </c>
      <c r="I277" s="11" t="e">
        <v>#N/A</v>
      </c>
      <c r="J277" s="11" t="e">
        <v>#N/A</v>
      </c>
      <c r="K277" s="11"/>
      <c r="L277" s="11"/>
      <c r="M277" s="11">
        <v>16.0</v>
      </c>
      <c r="N277" s="11" t="e">
        <v>#N/A</v>
      </c>
      <c r="O277" s="11" t="e">
        <v>#N/A</v>
      </c>
      <c r="P277" s="11" t="e">
        <v>#N/A</v>
      </c>
      <c r="Q277" s="11" t="e">
        <v>#N/A</v>
      </c>
      <c r="R277" s="11" t="e">
        <v>#N/A</v>
      </c>
      <c r="S277" s="11" t="e">
        <v>#N/A</v>
      </c>
      <c r="T277" s="11" t="e">
        <v>#N/A</v>
      </c>
      <c r="U277" s="11" t="e">
        <v>#N/A</v>
      </c>
      <c r="V277" s="11" t="e">
        <v>#N/A</v>
      </c>
      <c r="W277" s="11" t="e">
        <v>#N/A</v>
      </c>
      <c r="X277" s="11" t="e">
        <v>#N/A</v>
      </c>
    </row>
    <row r="278" ht="14.25" customHeight="1">
      <c r="A278" s="11"/>
      <c r="B278" s="11" t="e">
        <v>#N/A</v>
      </c>
      <c r="C278" s="11" t="s">
        <v>106</v>
      </c>
      <c r="D278" s="11"/>
      <c r="E278" s="11"/>
      <c r="F278" s="11" t="s">
        <v>866</v>
      </c>
      <c r="G278" s="11"/>
      <c r="H278" s="11" t="s">
        <v>489</v>
      </c>
      <c r="I278" s="11" t="e">
        <v>#N/A</v>
      </c>
      <c r="J278" s="11" t="e">
        <v>#N/A</v>
      </c>
      <c r="K278" s="11"/>
      <c r="L278" s="11"/>
      <c r="M278" s="11">
        <v>16.0</v>
      </c>
      <c r="N278" s="11" t="e">
        <v>#N/A</v>
      </c>
      <c r="O278" s="11" t="e">
        <v>#N/A</v>
      </c>
      <c r="P278" s="11" t="e">
        <v>#N/A</v>
      </c>
      <c r="Q278" s="11" t="e">
        <v>#N/A</v>
      </c>
      <c r="R278" s="11" t="e">
        <v>#N/A</v>
      </c>
      <c r="S278" s="11" t="e">
        <v>#N/A</v>
      </c>
      <c r="T278" s="11" t="e">
        <v>#N/A</v>
      </c>
      <c r="U278" s="11" t="e">
        <v>#N/A</v>
      </c>
      <c r="V278" s="11" t="e">
        <v>#N/A</v>
      </c>
      <c r="W278" s="11" t="e">
        <v>#N/A</v>
      </c>
      <c r="X278" s="11" t="e">
        <v>#N/A</v>
      </c>
    </row>
    <row r="279" ht="14.25" customHeight="1">
      <c r="A279" s="11"/>
      <c r="B279" s="11" t="e">
        <v>#N/A</v>
      </c>
      <c r="C279" s="11" t="s">
        <v>106</v>
      </c>
      <c r="D279" s="11"/>
      <c r="E279" s="11">
        <v>1.0</v>
      </c>
      <c r="F279" s="11" t="s">
        <v>866</v>
      </c>
      <c r="G279" s="11" t="s">
        <v>106</v>
      </c>
      <c r="H279" s="11" t="s">
        <v>948</v>
      </c>
      <c r="I279" s="11" t="e">
        <v>#N/A</v>
      </c>
      <c r="J279" s="11" t="e">
        <v>#N/A</v>
      </c>
      <c r="K279" s="11"/>
      <c r="L279" s="11"/>
      <c r="M279" s="11">
        <v>16.0</v>
      </c>
      <c r="N279" s="11" t="e">
        <v>#N/A</v>
      </c>
      <c r="O279" s="11" t="e">
        <v>#N/A</v>
      </c>
      <c r="P279" s="11" t="e">
        <v>#N/A</v>
      </c>
      <c r="Q279" s="11" t="e">
        <v>#N/A</v>
      </c>
      <c r="R279" s="11" t="e">
        <v>#N/A</v>
      </c>
      <c r="S279" s="11" t="e">
        <v>#N/A</v>
      </c>
      <c r="T279" s="11" t="e">
        <v>#N/A</v>
      </c>
      <c r="U279" s="11" t="e">
        <v>#N/A</v>
      </c>
      <c r="V279" s="11" t="e">
        <v>#N/A</v>
      </c>
      <c r="W279" s="11" t="e">
        <v>#N/A</v>
      </c>
      <c r="X279" s="11" t="e">
        <v>#N/A</v>
      </c>
    </row>
    <row r="280" ht="14.25" customHeight="1">
      <c r="A280" s="11"/>
      <c r="B280" s="11">
        <v>22.0</v>
      </c>
      <c r="C280" s="11" t="s">
        <v>106</v>
      </c>
      <c r="D280" s="11"/>
      <c r="E280" s="11"/>
      <c r="F280" s="11" t="s">
        <v>866</v>
      </c>
      <c r="G280" s="11"/>
      <c r="H280" s="11" t="s">
        <v>1098</v>
      </c>
      <c r="I280" s="11" t="s">
        <v>206</v>
      </c>
      <c r="J280" s="11" t="s">
        <v>775</v>
      </c>
      <c r="K280" s="11"/>
      <c r="L280" s="11"/>
      <c r="M280" s="11">
        <v>22.0</v>
      </c>
      <c r="N280" s="11">
        <v>261.0</v>
      </c>
      <c r="O280" s="11" t="s">
        <v>36</v>
      </c>
      <c r="P280" s="11" t="e">
        <v>#VALUE!</v>
      </c>
      <c r="Q280" s="11" t="s">
        <v>36</v>
      </c>
      <c r="R280" s="11">
        <v>305.0</v>
      </c>
      <c r="S280" s="11">
        <v>250.0</v>
      </c>
      <c r="T280" s="11">
        <v>232.0</v>
      </c>
      <c r="U280" s="11" t="s">
        <v>36</v>
      </c>
      <c r="V280" s="11">
        <v>262.0</v>
      </c>
      <c r="W280" s="11">
        <v>43.0</v>
      </c>
      <c r="X280" s="11" t="s">
        <v>866</v>
      </c>
    </row>
    <row r="281" ht="14.25" customHeight="1">
      <c r="A281" s="11"/>
      <c r="B281" s="11" t="e">
        <v>#N/A</v>
      </c>
      <c r="C281" s="11" t="s">
        <v>106</v>
      </c>
      <c r="D281" s="11"/>
      <c r="E281" s="11"/>
      <c r="F281" s="11" t="s">
        <v>866</v>
      </c>
      <c r="G281" s="11"/>
      <c r="H281" s="11" t="s">
        <v>956</v>
      </c>
      <c r="I281" s="11" t="e">
        <v>#N/A</v>
      </c>
      <c r="J281" s="11" t="e">
        <v>#N/A</v>
      </c>
      <c r="K281" s="11"/>
      <c r="L281" s="11"/>
      <c r="M281" s="11">
        <v>16.0</v>
      </c>
      <c r="N281" s="11" t="e">
        <v>#N/A</v>
      </c>
      <c r="O281" s="11" t="e">
        <v>#N/A</v>
      </c>
      <c r="P281" s="11" t="e">
        <v>#N/A</v>
      </c>
      <c r="Q281" s="11" t="e">
        <v>#N/A</v>
      </c>
      <c r="R281" s="11" t="e">
        <v>#N/A</v>
      </c>
      <c r="S281" s="11" t="e">
        <v>#N/A</v>
      </c>
      <c r="T281" s="11" t="e">
        <v>#N/A</v>
      </c>
      <c r="U281" s="11" t="e">
        <v>#N/A</v>
      </c>
      <c r="V281" s="11" t="e">
        <v>#N/A</v>
      </c>
      <c r="W281" s="11" t="e">
        <v>#N/A</v>
      </c>
      <c r="X281" s="11" t="e">
        <v>#N/A</v>
      </c>
    </row>
    <row r="282" ht="14.25" customHeight="1">
      <c r="A282" s="11"/>
      <c r="B282" s="11" t="e">
        <v>#N/A</v>
      </c>
      <c r="C282" s="11" t="s">
        <v>106</v>
      </c>
      <c r="D282" s="11"/>
      <c r="E282" s="11"/>
      <c r="F282" s="11" t="s">
        <v>866</v>
      </c>
      <c r="G282" s="11"/>
      <c r="H282" s="11" t="s">
        <v>529</v>
      </c>
      <c r="I282" s="11" t="e">
        <v>#N/A</v>
      </c>
      <c r="J282" s="11" t="e">
        <v>#N/A</v>
      </c>
      <c r="K282" s="11"/>
      <c r="L282" s="11"/>
      <c r="M282" s="11">
        <v>16.0</v>
      </c>
      <c r="N282" s="11" t="e">
        <v>#N/A</v>
      </c>
      <c r="O282" s="11" t="e">
        <v>#N/A</v>
      </c>
      <c r="P282" s="11" t="e">
        <v>#N/A</v>
      </c>
      <c r="Q282" s="11" t="e">
        <v>#N/A</v>
      </c>
      <c r="R282" s="11" t="e">
        <v>#N/A</v>
      </c>
      <c r="S282" s="11" t="e">
        <v>#N/A</v>
      </c>
      <c r="T282" s="11" t="e">
        <v>#N/A</v>
      </c>
      <c r="U282" s="11" t="e">
        <v>#N/A</v>
      </c>
      <c r="V282" s="11" t="e">
        <v>#N/A</v>
      </c>
      <c r="W282" s="11" t="e">
        <v>#N/A</v>
      </c>
      <c r="X282" s="11" t="e">
        <v>#N/A</v>
      </c>
    </row>
    <row r="283" ht="14.25" customHeight="1">
      <c r="A283" s="11"/>
      <c r="B283" s="11">
        <v>10.0</v>
      </c>
      <c r="C283" s="11" t="s">
        <v>106</v>
      </c>
      <c r="D283" s="11"/>
      <c r="E283" s="11"/>
      <c r="F283" s="11" t="s">
        <v>866</v>
      </c>
      <c r="G283" s="11"/>
      <c r="H283" s="11" t="s">
        <v>239</v>
      </c>
      <c r="I283" s="11" t="s">
        <v>154</v>
      </c>
      <c r="J283" s="11" t="s">
        <v>781</v>
      </c>
      <c r="K283" s="11"/>
      <c r="L283" s="11"/>
      <c r="M283" s="11">
        <v>9.0</v>
      </c>
      <c r="N283" s="11">
        <v>105.0</v>
      </c>
      <c r="O283" s="11">
        <v>114.0</v>
      </c>
      <c r="P283" s="11">
        <v>-9.0</v>
      </c>
      <c r="Q283" s="11">
        <v>106.0</v>
      </c>
      <c r="R283" s="11">
        <v>123.0</v>
      </c>
      <c r="S283" s="11">
        <v>91.0</v>
      </c>
      <c r="T283" s="11">
        <v>111.0</v>
      </c>
      <c r="U283" s="11">
        <v>116.0</v>
      </c>
      <c r="V283" s="11">
        <v>109.0</v>
      </c>
      <c r="W283" s="11">
        <v>14.0</v>
      </c>
      <c r="X283" s="11">
        <v>12.0</v>
      </c>
    </row>
    <row r="284" ht="14.25" customHeight="1">
      <c r="A284" s="11"/>
      <c r="B284" s="11" t="e">
        <v>#N/A</v>
      </c>
      <c r="C284" s="11" t="s">
        <v>106</v>
      </c>
      <c r="D284" s="11"/>
      <c r="E284" s="11"/>
      <c r="F284" s="11" t="s">
        <v>866</v>
      </c>
      <c r="G284" s="11"/>
      <c r="H284" s="11" t="s">
        <v>985</v>
      </c>
      <c r="I284" s="11" t="e">
        <v>#N/A</v>
      </c>
      <c r="J284" s="11" t="e">
        <v>#N/A</v>
      </c>
      <c r="K284" s="11"/>
      <c r="L284" s="11"/>
      <c r="M284" s="11">
        <v>16.0</v>
      </c>
      <c r="N284" s="11" t="e">
        <v>#N/A</v>
      </c>
      <c r="O284" s="11" t="e">
        <v>#N/A</v>
      </c>
      <c r="P284" s="11" t="e">
        <v>#N/A</v>
      </c>
      <c r="Q284" s="11" t="e">
        <v>#N/A</v>
      </c>
      <c r="R284" s="11" t="e">
        <v>#N/A</v>
      </c>
      <c r="S284" s="11" t="e">
        <v>#N/A</v>
      </c>
      <c r="T284" s="11" t="e">
        <v>#N/A</v>
      </c>
      <c r="U284" s="11" t="e">
        <v>#N/A</v>
      </c>
      <c r="V284" s="11" t="e">
        <v>#N/A</v>
      </c>
      <c r="W284" s="11" t="e">
        <v>#N/A</v>
      </c>
      <c r="X284" s="11" t="e">
        <v>#N/A</v>
      </c>
    </row>
    <row r="285" ht="14.25" customHeight="1">
      <c r="A285" s="11"/>
      <c r="B285" s="11" t="e">
        <v>#N/A</v>
      </c>
      <c r="C285" s="11" t="s">
        <v>106</v>
      </c>
      <c r="D285" s="11"/>
      <c r="E285" s="11"/>
      <c r="F285" s="11" t="s">
        <v>866</v>
      </c>
      <c r="G285" s="11"/>
      <c r="H285" s="11" t="s">
        <v>1131</v>
      </c>
      <c r="I285" s="11" t="e">
        <v>#N/A</v>
      </c>
      <c r="J285" s="11" t="e">
        <v>#N/A</v>
      </c>
      <c r="K285" s="11"/>
      <c r="L285" s="11"/>
      <c r="M285" s="11">
        <v>16.0</v>
      </c>
      <c r="N285" s="11" t="e">
        <v>#N/A</v>
      </c>
      <c r="O285" s="11" t="e">
        <v>#N/A</v>
      </c>
      <c r="P285" s="11" t="e">
        <v>#N/A</v>
      </c>
      <c r="Q285" s="11" t="e">
        <v>#N/A</v>
      </c>
      <c r="R285" s="11" t="e">
        <v>#N/A</v>
      </c>
      <c r="S285" s="11" t="e">
        <v>#N/A</v>
      </c>
      <c r="T285" s="11" t="e">
        <v>#N/A</v>
      </c>
      <c r="U285" s="11" t="e">
        <v>#N/A</v>
      </c>
      <c r="V285" s="11" t="e">
        <v>#N/A</v>
      </c>
      <c r="W285" s="11" t="e">
        <v>#N/A</v>
      </c>
      <c r="X285" s="11" t="e">
        <v>#N/A</v>
      </c>
    </row>
    <row r="286" ht="14.25" customHeight="1">
      <c r="A286" s="11"/>
      <c r="B286" s="11">
        <v>18.0</v>
      </c>
      <c r="C286" s="11" t="s">
        <v>106</v>
      </c>
      <c r="D286" s="11"/>
      <c r="E286" s="11"/>
      <c r="F286" s="11" t="s">
        <v>866</v>
      </c>
      <c r="G286" s="11"/>
      <c r="H286" s="11" t="s">
        <v>504</v>
      </c>
      <c r="I286" s="11" t="s">
        <v>116</v>
      </c>
      <c r="J286" s="11" t="s">
        <v>1081</v>
      </c>
      <c r="K286" s="11"/>
      <c r="L286" s="11"/>
      <c r="M286" s="11">
        <v>21.0</v>
      </c>
      <c r="N286" s="11">
        <v>240.0</v>
      </c>
      <c r="O286" s="11" t="s">
        <v>36</v>
      </c>
      <c r="P286" s="11" t="e">
        <v>#VALUE!</v>
      </c>
      <c r="Q286" s="11">
        <v>152.0</v>
      </c>
      <c r="R286" s="11" t="s">
        <v>36</v>
      </c>
      <c r="S286" s="11">
        <v>265.0</v>
      </c>
      <c r="T286" s="11">
        <v>226.0</v>
      </c>
      <c r="U286" s="11">
        <v>190.0</v>
      </c>
      <c r="V286" s="11">
        <v>214.0</v>
      </c>
      <c r="W286" s="11" t="e">
        <v>#VALUE!</v>
      </c>
      <c r="X286" s="11" t="s">
        <v>866</v>
      </c>
    </row>
    <row r="287" ht="14.25" customHeight="1">
      <c r="A287" s="11"/>
      <c r="B287" s="11">
        <v>21.0</v>
      </c>
      <c r="C287" s="11" t="s">
        <v>106</v>
      </c>
      <c r="D287" s="11"/>
      <c r="E287" s="11"/>
      <c r="F287" s="11" t="s">
        <v>866</v>
      </c>
      <c r="G287" s="11"/>
      <c r="H287" s="11" t="s">
        <v>643</v>
      </c>
      <c r="I287" s="11" t="s">
        <v>176</v>
      </c>
      <c r="J287" s="11" t="s">
        <v>775</v>
      </c>
      <c r="K287" s="11"/>
      <c r="L287" s="11"/>
      <c r="M287" s="11">
        <v>22.0</v>
      </c>
      <c r="N287" s="11">
        <v>259.0</v>
      </c>
      <c r="O287" s="11" t="s">
        <v>36</v>
      </c>
      <c r="P287" s="11" t="e">
        <v>#VALUE!</v>
      </c>
      <c r="Q287" s="11" t="s">
        <v>36</v>
      </c>
      <c r="R287" s="11" t="s">
        <v>36</v>
      </c>
      <c r="S287" s="11">
        <v>206.0</v>
      </c>
      <c r="T287" s="11">
        <v>227.0</v>
      </c>
      <c r="U287" s="11">
        <v>289.0</v>
      </c>
      <c r="V287" s="11">
        <v>245.0</v>
      </c>
      <c r="W287" s="11" t="e">
        <v>#VALUE!</v>
      </c>
      <c r="X287" s="11" t="s">
        <v>866</v>
      </c>
    </row>
    <row r="288" ht="14.25" customHeight="1">
      <c r="A288" s="11"/>
      <c r="B288" s="11" t="e">
        <v>#N/A</v>
      </c>
      <c r="C288" s="11" t="s">
        <v>106</v>
      </c>
      <c r="D288" s="11"/>
      <c r="E288" s="11"/>
      <c r="F288" s="11" t="s">
        <v>866</v>
      </c>
      <c r="G288" s="11"/>
      <c r="H288" s="11" t="s">
        <v>670</v>
      </c>
      <c r="I288" s="11" t="e">
        <v>#N/A</v>
      </c>
      <c r="J288" s="11" t="e">
        <v>#N/A</v>
      </c>
      <c r="K288" s="11"/>
      <c r="L288" s="11"/>
      <c r="M288" s="11">
        <v>16.0</v>
      </c>
      <c r="N288" s="11" t="e">
        <v>#N/A</v>
      </c>
      <c r="O288" s="11" t="e">
        <v>#N/A</v>
      </c>
      <c r="P288" s="11" t="e">
        <v>#N/A</v>
      </c>
      <c r="Q288" s="11" t="e">
        <v>#N/A</v>
      </c>
      <c r="R288" s="11" t="e">
        <v>#N/A</v>
      </c>
      <c r="S288" s="11" t="e">
        <v>#N/A</v>
      </c>
      <c r="T288" s="11" t="e">
        <v>#N/A</v>
      </c>
      <c r="U288" s="11" t="e">
        <v>#N/A</v>
      </c>
      <c r="V288" s="11" t="e">
        <v>#N/A</v>
      </c>
      <c r="W288" s="11" t="e">
        <v>#N/A</v>
      </c>
      <c r="X288" s="11" t="e">
        <v>#N/A</v>
      </c>
    </row>
    <row r="289" ht="14.25" customHeight="1">
      <c r="A289" s="11"/>
      <c r="B289" s="11" t="e">
        <v>#N/A</v>
      </c>
      <c r="C289" s="11" t="s">
        <v>106</v>
      </c>
      <c r="D289" s="11"/>
      <c r="E289" s="11"/>
      <c r="F289" s="11" t="s">
        <v>866</v>
      </c>
      <c r="G289" s="11"/>
      <c r="H289" s="11" t="s">
        <v>961</v>
      </c>
      <c r="I289" s="11" t="e">
        <v>#N/A</v>
      </c>
      <c r="J289" s="11" t="e">
        <v>#N/A</v>
      </c>
      <c r="K289" s="11"/>
      <c r="L289" s="11"/>
      <c r="M289" s="11">
        <v>16.0</v>
      </c>
      <c r="N289" s="11" t="e">
        <v>#N/A</v>
      </c>
      <c r="O289" s="11" t="e">
        <v>#N/A</v>
      </c>
      <c r="P289" s="11" t="e">
        <v>#N/A</v>
      </c>
      <c r="Q289" s="11" t="e">
        <v>#N/A</v>
      </c>
      <c r="R289" s="11" t="e">
        <v>#N/A</v>
      </c>
      <c r="S289" s="11" t="e">
        <v>#N/A</v>
      </c>
      <c r="T289" s="11" t="e">
        <v>#N/A</v>
      </c>
      <c r="U289" s="11" t="e">
        <v>#N/A</v>
      </c>
      <c r="V289" s="11" t="e">
        <v>#N/A</v>
      </c>
      <c r="W289" s="11" t="e">
        <v>#N/A</v>
      </c>
      <c r="X289" s="11" t="e">
        <v>#N/A</v>
      </c>
    </row>
    <row r="290" ht="14.25" customHeight="1">
      <c r="A290" s="11"/>
      <c r="B290" s="11">
        <v>20.0</v>
      </c>
      <c r="C290" s="11" t="s">
        <v>106</v>
      </c>
      <c r="D290" s="11"/>
      <c r="E290" s="11"/>
      <c r="F290" s="11" t="s">
        <v>866</v>
      </c>
      <c r="G290" s="11"/>
      <c r="H290" s="11" t="s">
        <v>387</v>
      </c>
      <c r="I290" s="11" t="s">
        <v>109</v>
      </c>
      <c r="J290" s="11" t="s">
        <v>772</v>
      </c>
      <c r="K290" s="11"/>
      <c r="L290" s="11"/>
      <c r="M290" s="11">
        <v>19.0</v>
      </c>
      <c r="N290" s="11">
        <v>223.0</v>
      </c>
      <c r="O290" s="11" t="s">
        <v>36</v>
      </c>
      <c r="P290" s="11" t="e">
        <v>#VALUE!</v>
      </c>
      <c r="Q290" s="11" t="s">
        <v>36</v>
      </c>
      <c r="R290" s="11">
        <v>312.0</v>
      </c>
      <c r="S290" s="11">
        <v>166.0</v>
      </c>
      <c r="T290" s="11">
        <v>184.0</v>
      </c>
      <c r="U290" s="11">
        <v>283.0</v>
      </c>
      <c r="V290" s="11">
        <v>233.0</v>
      </c>
      <c r="W290" s="11">
        <v>79.0</v>
      </c>
      <c r="X290" s="11">
        <v>52.0</v>
      </c>
    </row>
    <row r="291" ht="14.25" customHeight="1">
      <c r="A291" s="11"/>
      <c r="B291" s="11" t="e">
        <v>#N/A</v>
      </c>
      <c r="C291" s="11" t="s">
        <v>106</v>
      </c>
      <c r="D291" s="11"/>
      <c r="E291" s="11"/>
      <c r="F291" s="11" t="s">
        <v>866</v>
      </c>
      <c r="G291" s="11"/>
      <c r="H291" s="11" t="s">
        <v>967</v>
      </c>
      <c r="I291" s="11" t="e">
        <v>#N/A</v>
      </c>
      <c r="J291" s="11" t="e">
        <v>#N/A</v>
      </c>
      <c r="K291" s="11"/>
      <c r="L291" s="11"/>
      <c r="M291" s="11">
        <v>16.0</v>
      </c>
      <c r="N291" s="11" t="e">
        <v>#N/A</v>
      </c>
      <c r="O291" s="11" t="e">
        <v>#N/A</v>
      </c>
      <c r="P291" s="11" t="e">
        <v>#N/A</v>
      </c>
      <c r="Q291" s="11" t="e">
        <v>#N/A</v>
      </c>
      <c r="R291" s="11" t="e">
        <v>#N/A</v>
      </c>
      <c r="S291" s="11" t="e">
        <v>#N/A</v>
      </c>
      <c r="T291" s="11" t="e">
        <v>#N/A</v>
      </c>
      <c r="U291" s="11" t="e">
        <v>#N/A</v>
      </c>
      <c r="V291" s="11" t="e">
        <v>#N/A</v>
      </c>
      <c r="W291" s="11" t="e">
        <v>#N/A</v>
      </c>
      <c r="X291" s="11" t="e">
        <v>#N/A</v>
      </c>
    </row>
    <row r="292" ht="14.25" customHeight="1">
      <c r="A292" s="11"/>
      <c r="B292" s="11">
        <v>20.0</v>
      </c>
      <c r="C292" s="11" t="s">
        <v>106</v>
      </c>
      <c r="D292" s="11"/>
      <c r="E292" s="11"/>
      <c r="F292" s="11" t="s">
        <v>866</v>
      </c>
      <c r="G292" s="11"/>
      <c r="H292" s="11" t="s">
        <v>487</v>
      </c>
      <c r="I292" s="11" t="s">
        <v>49</v>
      </c>
      <c r="J292" s="11" t="s">
        <v>1081</v>
      </c>
      <c r="K292" s="11"/>
      <c r="L292" s="11"/>
      <c r="M292" s="11">
        <v>21.0</v>
      </c>
      <c r="N292" s="11">
        <v>248.0</v>
      </c>
      <c r="O292" s="11">
        <v>216.0</v>
      </c>
      <c r="P292" s="11">
        <v>32.0</v>
      </c>
      <c r="Q292" s="11">
        <v>238.0</v>
      </c>
      <c r="R292" s="11">
        <v>289.0</v>
      </c>
      <c r="S292" s="11">
        <v>253.0</v>
      </c>
      <c r="T292" s="11">
        <v>211.0</v>
      </c>
      <c r="U292" s="11">
        <v>195.0</v>
      </c>
      <c r="V292" s="11">
        <v>235.0</v>
      </c>
      <c r="W292" s="11">
        <v>54.0</v>
      </c>
      <c r="X292" s="11" t="s">
        <v>866</v>
      </c>
    </row>
    <row r="293" ht="14.25" customHeight="1">
      <c r="A293" s="11"/>
      <c r="B293" s="11" t="e">
        <v>#N/A</v>
      </c>
      <c r="C293" s="11" t="s">
        <v>106</v>
      </c>
      <c r="D293" s="11"/>
      <c r="E293" s="11"/>
      <c r="F293" s="11" t="s">
        <v>866</v>
      </c>
      <c r="G293" s="11"/>
      <c r="H293" s="11" t="s">
        <v>840</v>
      </c>
      <c r="I293" s="11" t="e">
        <v>#N/A</v>
      </c>
      <c r="J293" s="11" t="e">
        <v>#N/A</v>
      </c>
      <c r="K293" s="11"/>
      <c r="L293" s="11"/>
      <c r="M293" s="11">
        <v>16.0</v>
      </c>
      <c r="N293" s="11" t="e">
        <v>#N/A</v>
      </c>
      <c r="O293" s="11" t="e">
        <v>#N/A</v>
      </c>
      <c r="P293" s="11" t="e">
        <v>#N/A</v>
      </c>
      <c r="Q293" s="11" t="e">
        <v>#N/A</v>
      </c>
      <c r="R293" s="11" t="e">
        <v>#N/A</v>
      </c>
      <c r="S293" s="11" t="e">
        <v>#N/A</v>
      </c>
      <c r="T293" s="11" t="e">
        <v>#N/A</v>
      </c>
      <c r="U293" s="11" t="e">
        <v>#N/A</v>
      </c>
      <c r="V293" s="11" t="e">
        <v>#N/A</v>
      </c>
      <c r="W293" s="11" t="e">
        <v>#N/A</v>
      </c>
      <c r="X293" s="11" t="e">
        <v>#N/A</v>
      </c>
    </row>
    <row r="294" ht="14.25" customHeight="1">
      <c r="A294" s="11"/>
      <c r="B294" s="11" t="e">
        <v>#N/A</v>
      </c>
      <c r="C294" s="11" t="s">
        <v>106</v>
      </c>
      <c r="D294" s="11"/>
      <c r="E294" s="11"/>
      <c r="F294" s="11" t="s">
        <v>866</v>
      </c>
      <c r="G294" s="11"/>
      <c r="H294" s="11" t="s">
        <v>1132</v>
      </c>
      <c r="I294" s="11" t="e">
        <v>#N/A</v>
      </c>
      <c r="J294" s="11" t="e">
        <v>#N/A</v>
      </c>
      <c r="K294" s="11"/>
      <c r="L294" s="11"/>
      <c r="M294" s="11">
        <v>16.0</v>
      </c>
      <c r="N294" s="11" t="e">
        <v>#N/A</v>
      </c>
      <c r="O294" s="11" t="e">
        <v>#N/A</v>
      </c>
      <c r="P294" s="11" t="e">
        <v>#N/A</v>
      </c>
      <c r="Q294" s="11" t="e">
        <v>#N/A</v>
      </c>
      <c r="R294" s="11" t="e">
        <v>#N/A</v>
      </c>
      <c r="S294" s="11" t="e">
        <v>#N/A</v>
      </c>
      <c r="T294" s="11" t="e">
        <v>#N/A</v>
      </c>
      <c r="U294" s="11" t="e">
        <v>#N/A</v>
      </c>
      <c r="V294" s="11" t="e">
        <v>#N/A</v>
      </c>
      <c r="W294" s="11" t="e">
        <v>#N/A</v>
      </c>
      <c r="X294" s="11" t="e">
        <v>#N/A</v>
      </c>
    </row>
    <row r="295" ht="14.25" customHeight="1">
      <c r="A295" s="11"/>
      <c r="B295" s="11" t="e">
        <v>#N/A</v>
      </c>
      <c r="C295" s="11" t="s">
        <v>106</v>
      </c>
      <c r="D295" s="11"/>
      <c r="E295" s="11"/>
      <c r="F295" s="11" t="s">
        <v>866</v>
      </c>
      <c r="G295" s="11"/>
      <c r="H295" s="11" t="s">
        <v>413</v>
      </c>
      <c r="I295" s="11" t="e">
        <v>#N/A</v>
      </c>
      <c r="J295" s="11">
        <v>0.0</v>
      </c>
      <c r="K295" s="11"/>
      <c r="L295" s="11"/>
      <c r="M295" s="11">
        <v>16.0</v>
      </c>
      <c r="N295" s="11" t="e">
        <v>#N/A</v>
      </c>
      <c r="O295" s="11" t="e">
        <v>#N/A</v>
      </c>
      <c r="P295" s="11" t="e">
        <v>#N/A</v>
      </c>
      <c r="Q295" s="11" t="e">
        <v>#N/A</v>
      </c>
      <c r="R295" s="11" t="e">
        <v>#N/A</v>
      </c>
      <c r="S295" s="11" t="e">
        <v>#N/A</v>
      </c>
      <c r="T295" s="11" t="e">
        <v>#N/A</v>
      </c>
      <c r="U295" s="11" t="e">
        <v>#N/A</v>
      </c>
      <c r="V295" s="11" t="e">
        <v>#N/A</v>
      </c>
      <c r="W295" s="11" t="e">
        <v>#N/A</v>
      </c>
      <c r="X295" s="11" t="s">
        <v>866</v>
      </c>
    </row>
    <row r="296" ht="14.25" customHeight="1">
      <c r="A296" s="11"/>
      <c r="B296" s="11" t="e">
        <v>#N/A</v>
      </c>
      <c r="C296" s="11" t="s">
        <v>106</v>
      </c>
      <c r="D296" s="11"/>
      <c r="E296" s="11"/>
      <c r="F296" s="11" t="s">
        <v>866</v>
      </c>
      <c r="G296" s="11"/>
      <c r="H296" s="11" t="s">
        <v>973</v>
      </c>
      <c r="I296" s="11" t="e">
        <v>#N/A</v>
      </c>
      <c r="J296" s="11" t="e">
        <v>#N/A</v>
      </c>
      <c r="K296" s="11"/>
      <c r="L296" s="11"/>
      <c r="M296" s="11">
        <v>16.0</v>
      </c>
      <c r="N296" s="11" t="e">
        <v>#N/A</v>
      </c>
      <c r="O296" s="11" t="e">
        <v>#N/A</v>
      </c>
      <c r="P296" s="11" t="e">
        <v>#N/A</v>
      </c>
      <c r="Q296" s="11" t="e">
        <v>#N/A</v>
      </c>
      <c r="R296" s="11" t="e">
        <v>#N/A</v>
      </c>
      <c r="S296" s="11" t="e">
        <v>#N/A</v>
      </c>
      <c r="T296" s="11" t="e">
        <v>#N/A</v>
      </c>
      <c r="U296" s="11" t="e">
        <v>#N/A</v>
      </c>
      <c r="V296" s="11" t="e">
        <v>#N/A</v>
      </c>
      <c r="W296" s="11" t="e">
        <v>#N/A</v>
      </c>
      <c r="X296" s="11" t="e">
        <v>#N/A</v>
      </c>
    </row>
    <row r="297" ht="14.25" customHeight="1">
      <c r="A297" s="11"/>
      <c r="B297" s="11">
        <v>21.0</v>
      </c>
      <c r="C297" s="11" t="s">
        <v>106</v>
      </c>
      <c r="D297" s="11"/>
      <c r="E297" s="11"/>
      <c r="F297" s="11" t="s">
        <v>866</v>
      </c>
      <c r="G297" s="11"/>
      <c r="H297" s="11" t="s">
        <v>974</v>
      </c>
      <c r="I297" s="11" t="s">
        <v>102</v>
      </c>
      <c r="J297" s="11" t="s">
        <v>781</v>
      </c>
      <c r="K297" s="11"/>
      <c r="L297" s="11"/>
      <c r="M297" s="11">
        <v>24.0</v>
      </c>
      <c r="N297" s="11">
        <v>276.0</v>
      </c>
      <c r="O297" s="11" t="s">
        <v>36</v>
      </c>
      <c r="P297" s="11" t="e">
        <v>#VALUE!</v>
      </c>
      <c r="Q297" s="11">
        <v>233.0</v>
      </c>
      <c r="R297" s="11" t="s">
        <v>36</v>
      </c>
      <c r="S297" s="11">
        <v>249.0</v>
      </c>
      <c r="T297" s="11">
        <v>263.0</v>
      </c>
      <c r="U297" s="11">
        <v>240.0</v>
      </c>
      <c r="V297" s="11">
        <v>252.0</v>
      </c>
      <c r="W297" s="11" t="e">
        <v>#VALUE!</v>
      </c>
      <c r="X297" s="11" t="s">
        <v>866</v>
      </c>
    </row>
    <row r="298" ht="14.25" customHeight="1">
      <c r="A298" s="11"/>
      <c r="B298" s="11" t="e">
        <v>#N/A</v>
      </c>
      <c r="C298" s="11" t="s">
        <v>106</v>
      </c>
      <c r="D298" s="11"/>
      <c r="E298" s="11"/>
      <c r="F298" s="11" t="s">
        <v>866</v>
      </c>
      <c r="G298" s="11"/>
      <c r="H298" s="11" t="s">
        <v>1133</v>
      </c>
      <c r="I298" s="11" t="e">
        <v>#N/A</v>
      </c>
      <c r="J298" s="11" t="e">
        <v>#N/A</v>
      </c>
      <c r="K298" s="11"/>
      <c r="L298" s="11"/>
      <c r="M298" s="11">
        <v>16.0</v>
      </c>
      <c r="N298" s="11" t="e">
        <v>#N/A</v>
      </c>
      <c r="O298" s="11" t="e">
        <v>#N/A</v>
      </c>
      <c r="P298" s="11" t="e">
        <v>#N/A</v>
      </c>
      <c r="Q298" s="11" t="e">
        <v>#N/A</v>
      </c>
      <c r="R298" s="11" t="e">
        <v>#N/A</v>
      </c>
      <c r="S298" s="11" t="e">
        <v>#N/A</v>
      </c>
      <c r="T298" s="11" t="e">
        <v>#N/A</v>
      </c>
      <c r="U298" s="11" t="e">
        <v>#N/A</v>
      </c>
      <c r="V298" s="11" t="e">
        <v>#N/A</v>
      </c>
      <c r="W298" s="11" t="e">
        <v>#N/A</v>
      </c>
      <c r="X298" s="11" t="e">
        <v>#N/A</v>
      </c>
    </row>
    <row r="299" ht="14.25" customHeight="1">
      <c r="A299" s="11"/>
      <c r="B299" s="11" t="e">
        <v>#N/A</v>
      </c>
      <c r="C299" s="11" t="s">
        <v>106</v>
      </c>
      <c r="D299" s="11"/>
      <c r="E299" s="11"/>
      <c r="F299" s="11" t="s">
        <v>866</v>
      </c>
      <c r="G299" s="11"/>
      <c r="H299" s="11" t="s">
        <v>976</v>
      </c>
      <c r="I299" s="11" t="e">
        <v>#N/A</v>
      </c>
      <c r="J299" s="11" t="e">
        <v>#N/A</v>
      </c>
      <c r="K299" s="11"/>
      <c r="L299" s="11"/>
      <c r="M299" s="11">
        <v>16.0</v>
      </c>
      <c r="N299" s="11" t="e">
        <v>#N/A</v>
      </c>
      <c r="O299" s="11" t="e">
        <v>#N/A</v>
      </c>
      <c r="P299" s="11" t="e">
        <v>#N/A</v>
      </c>
      <c r="Q299" s="11" t="e">
        <v>#N/A</v>
      </c>
      <c r="R299" s="11" t="e">
        <v>#N/A</v>
      </c>
      <c r="S299" s="11" t="e">
        <v>#N/A</v>
      </c>
      <c r="T299" s="11" t="e">
        <v>#N/A</v>
      </c>
      <c r="U299" s="11" t="e">
        <v>#N/A</v>
      </c>
      <c r="V299" s="11" t="e">
        <v>#N/A</v>
      </c>
      <c r="W299" s="11" t="e">
        <v>#N/A</v>
      </c>
      <c r="X299" s="11" t="e">
        <v>#N/A</v>
      </c>
    </row>
    <row r="300" ht="14.25" customHeight="1">
      <c r="A300" s="11"/>
      <c r="B300" s="11">
        <v>16.0</v>
      </c>
      <c r="C300" s="11" t="s">
        <v>106</v>
      </c>
      <c r="D300" s="11"/>
      <c r="E300" s="11"/>
      <c r="F300" s="11" t="s">
        <v>866</v>
      </c>
      <c r="G300" s="11"/>
      <c r="H300" s="11" t="s">
        <v>682</v>
      </c>
      <c r="I300" s="11" t="s">
        <v>40</v>
      </c>
      <c r="J300" s="11" t="s">
        <v>770</v>
      </c>
      <c r="K300" s="11"/>
      <c r="L300" s="11"/>
      <c r="M300" s="11">
        <v>16.0</v>
      </c>
      <c r="N300" s="11">
        <v>189.0</v>
      </c>
      <c r="O300" s="11">
        <v>177.0</v>
      </c>
      <c r="P300" s="11">
        <v>12.0</v>
      </c>
      <c r="Q300" s="11">
        <v>181.0</v>
      </c>
      <c r="R300" s="11">
        <v>236.0</v>
      </c>
      <c r="S300" s="11">
        <v>164.0</v>
      </c>
      <c r="T300" s="11">
        <v>159.0</v>
      </c>
      <c r="U300" s="11">
        <v>189.0</v>
      </c>
      <c r="V300" s="11">
        <v>185.0</v>
      </c>
      <c r="W300" s="11">
        <v>51.0</v>
      </c>
      <c r="X300" s="11">
        <v>24.0</v>
      </c>
    </row>
    <row r="301" ht="14.25" customHeight="1">
      <c r="A301" s="11"/>
      <c r="B301" s="11" t="e">
        <v>#N/A</v>
      </c>
      <c r="C301" s="11" t="s">
        <v>106</v>
      </c>
      <c r="D301" s="11"/>
      <c r="E301" s="11"/>
      <c r="F301" s="11" t="s">
        <v>866</v>
      </c>
      <c r="G301" s="11"/>
      <c r="H301" s="11" t="s">
        <v>977</v>
      </c>
      <c r="I301" s="11" t="e">
        <v>#N/A</v>
      </c>
      <c r="J301" s="11" t="e">
        <v>#N/A</v>
      </c>
      <c r="K301" s="11"/>
      <c r="L301" s="11"/>
      <c r="M301" s="11">
        <v>16.0</v>
      </c>
      <c r="N301" s="11" t="e">
        <v>#N/A</v>
      </c>
      <c r="O301" s="11" t="e">
        <v>#N/A</v>
      </c>
      <c r="P301" s="11" t="e">
        <v>#N/A</v>
      </c>
      <c r="Q301" s="11" t="e">
        <v>#N/A</v>
      </c>
      <c r="R301" s="11" t="e">
        <v>#N/A</v>
      </c>
      <c r="S301" s="11" t="e">
        <v>#N/A</v>
      </c>
      <c r="T301" s="11" t="e">
        <v>#N/A</v>
      </c>
      <c r="U301" s="11" t="e">
        <v>#N/A</v>
      </c>
      <c r="V301" s="11" t="e">
        <v>#N/A</v>
      </c>
      <c r="W301" s="11" t="e">
        <v>#N/A</v>
      </c>
      <c r="X301" s="11" t="e">
        <v>#N/A</v>
      </c>
    </row>
    <row r="302" ht="14.25" customHeight="1">
      <c r="A302" s="11"/>
      <c r="B302" s="11" t="e">
        <v>#N/A</v>
      </c>
      <c r="C302" s="11" t="s">
        <v>106</v>
      </c>
      <c r="D302" s="11"/>
      <c r="E302" s="11"/>
      <c r="F302" s="11" t="s">
        <v>866</v>
      </c>
      <c r="G302" s="11"/>
      <c r="H302" s="11" t="s">
        <v>1134</v>
      </c>
      <c r="I302" s="11" t="e">
        <v>#N/A</v>
      </c>
      <c r="J302" s="11" t="e">
        <v>#N/A</v>
      </c>
      <c r="K302" s="11"/>
      <c r="L302" s="11"/>
      <c r="M302" s="11">
        <v>16.0</v>
      </c>
      <c r="N302" s="11" t="e">
        <v>#N/A</v>
      </c>
      <c r="O302" s="11" t="e">
        <v>#N/A</v>
      </c>
      <c r="P302" s="11" t="e">
        <v>#N/A</v>
      </c>
      <c r="Q302" s="11" t="e">
        <v>#N/A</v>
      </c>
      <c r="R302" s="11" t="e">
        <v>#N/A</v>
      </c>
      <c r="S302" s="11" t="e">
        <v>#N/A</v>
      </c>
      <c r="T302" s="11" t="e">
        <v>#N/A</v>
      </c>
      <c r="U302" s="11" t="e">
        <v>#N/A</v>
      </c>
      <c r="V302" s="11" t="e">
        <v>#N/A</v>
      </c>
      <c r="W302" s="11" t="e">
        <v>#N/A</v>
      </c>
      <c r="X302" s="11" t="e">
        <v>#N/A</v>
      </c>
    </row>
    <row r="303" ht="14.25" customHeight="1">
      <c r="B303" s="11" t="e">
        <v>#N/A</v>
      </c>
      <c r="C303" s="11" t="s">
        <v>106</v>
      </c>
      <c r="D303" s="11"/>
      <c r="E303" s="11"/>
      <c r="F303" s="11" t="s">
        <v>866</v>
      </c>
      <c r="G303" s="11"/>
      <c r="H303" s="11" t="s">
        <v>1135</v>
      </c>
      <c r="I303" s="11" t="e">
        <v>#N/A</v>
      </c>
      <c r="J303" s="11" t="e">
        <v>#N/A</v>
      </c>
      <c r="K303" s="11"/>
      <c r="L303" s="11"/>
      <c r="M303" s="11">
        <v>16.0</v>
      </c>
      <c r="N303" s="11" t="e">
        <v>#N/A</v>
      </c>
      <c r="O303" s="11" t="e">
        <v>#N/A</v>
      </c>
      <c r="P303" s="11" t="e">
        <v>#N/A</v>
      </c>
      <c r="Q303" s="11" t="e">
        <v>#N/A</v>
      </c>
      <c r="R303" s="11" t="e">
        <v>#N/A</v>
      </c>
      <c r="S303" s="11" t="e">
        <v>#N/A</v>
      </c>
      <c r="T303" s="11" t="e">
        <v>#N/A</v>
      </c>
      <c r="U303" s="11" t="e">
        <v>#N/A</v>
      </c>
      <c r="V303" s="11" t="e">
        <v>#N/A</v>
      </c>
      <c r="W303" s="11" t="e">
        <v>#N/A</v>
      </c>
      <c r="X303" s="11" t="e">
        <v>#N/A</v>
      </c>
    </row>
    <row r="304" ht="14.25" customHeight="1">
      <c r="B304" s="11" t="e">
        <v>#N/A</v>
      </c>
      <c r="C304" s="11" t="s">
        <v>106</v>
      </c>
      <c r="D304" s="11"/>
      <c r="E304" s="11"/>
      <c r="F304" s="11" t="s">
        <v>866</v>
      </c>
      <c r="G304" s="11"/>
      <c r="H304" s="11" t="s">
        <v>978</v>
      </c>
      <c r="I304" s="11" t="e">
        <v>#N/A</v>
      </c>
      <c r="J304" s="11" t="e">
        <v>#N/A</v>
      </c>
      <c r="K304" s="11"/>
      <c r="L304" s="11"/>
      <c r="M304" s="11">
        <v>16.0</v>
      </c>
      <c r="N304" s="11" t="e">
        <v>#N/A</v>
      </c>
      <c r="O304" s="11" t="e">
        <v>#N/A</v>
      </c>
      <c r="P304" s="11" t="e">
        <v>#N/A</v>
      </c>
      <c r="Q304" s="11" t="e">
        <v>#N/A</v>
      </c>
      <c r="R304" s="11" t="e">
        <v>#N/A</v>
      </c>
      <c r="S304" s="11" t="e">
        <v>#N/A</v>
      </c>
      <c r="T304" s="11" t="e">
        <v>#N/A</v>
      </c>
      <c r="U304" s="11" t="e">
        <v>#N/A</v>
      </c>
      <c r="V304" s="11" t="e">
        <v>#N/A</v>
      </c>
      <c r="W304" s="11" t="e">
        <v>#N/A</v>
      </c>
      <c r="X304" s="11" t="e">
        <v>#N/A</v>
      </c>
    </row>
    <row r="305" ht="14.25" customHeight="1">
      <c r="B305" s="11">
        <v>22.0</v>
      </c>
      <c r="C305" s="11" t="s">
        <v>106</v>
      </c>
      <c r="D305" s="11"/>
      <c r="E305" s="11"/>
      <c r="F305" s="11" t="s">
        <v>866</v>
      </c>
      <c r="G305" s="11"/>
      <c r="H305" s="11" t="s">
        <v>836</v>
      </c>
      <c r="I305" s="11" t="s">
        <v>195</v>
      </c>
      <c r="J305" s="11" t="s">
        <v>770</v>
      </c>
      <c r="K305" s="11"/>
      <c r="L305" s="11"/>
      <c r="M305" s="11">
        <v>24.0</v>
      </c>
      <c r="N305" s="11">
        <v>283.0</v>
      </c>
      <c r="O305" s="11" t="s">
        <v>36</v>
      </c>
      <c r="P305" s="11" t="e">
        <v>#VALUE!</v>
      </c>
      <c r="Q305" s="11">
        <v>249.0</v>
      </c>
      <c r="R305" s="11" t="s">
        <v>36</v>
      </c>
      <c r="S305" s="11">
        <v>251.0</v>
      </c>
      <c r="T305" s="11">
        <v>255.0</v>
      </c>
      <c r="U305" s="11">
        <v>261.0</v>
      </c>
      <c r="V305" s="11">
        <v>259.0</v>
      </c>
      <c r="W305" s="11" t="e">
        <v>#VALUE!</v>
      </c>
      <c r="X305" s="11" t="s">
        <v>866</v>
      </c>
    </row>
    <row r="306" ht="14.25" customHeight="1">
      <c r="J306" s="81"/>
    </row>
    <row r="307" ht="14.25" customHeight="1">
      <c r="J307" s="81"/>
    </row>
    <row r="308" ht="14.25" customHeight="1">
      <c r="J308" s="81"/>
    </row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6:$X$305">
    <sortState ref="A6:X305">
      <sortCondition descending="1" ref="E6:E305"/>
    </sortState>
  </autoFilter>
  <mergeCells count="4">
    <mergeCell ref="A1:C1"/>
    <mergeCell ref="L1:M1"/>
    <mergeCell ref="M2:M3"/>
    <mergeCell ref="M4:M5"/>
  </mergeCells>
  <conditionalFormatting sqref="B7:G305">
    <cfRule type="expression" dxfId="0" priority="1">
      <formula>$C7="No"</formula>
    </cfRule>
  </conditionalFormatting>
  <conditionalFormatting sqref="H7:H296">
    <cfRule type="expression" dxfId="0" priority="2">
      <formula>$D7="No"</formula>
    </cfRule>
  </conditionalFormatting>
  <conditionalFormatting sqref="K7:L305 X7:X305">
    <cfRule type="expression" dxfId="0" priority="3">
      <formula>$C7="No"</formula>
    </cfRule>
  </conditionalFormatting>
  <conditionalFormatting sqref="M7:M305">
    <cfRule type="cellIs" dxfId="1" priority="4" operator="lessThan">
      <formula>B7</formula>
    </cfRule>
  </conditionalFormatting>
  <conditionalFormatting sqref="M7:M305">
    <cfRule type="cellIs" dxfId="2" priority="5" operator="greaterThan">
      <formula>B7</formula>
    </cfRule>
  </conditionalFormatting>
  <conditionalFormatting sqref="O2:AE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:AE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7:P305">
    <cfRule type="colorScale" priority="8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W7:W305">
    <cfRule type="colorScale" priority="9">
      <colorScale>
        <cfvo type="formula" val="-15"/>
        <cfvo type="formula" val="0"/>
        <cfvo type="formula" val="15"/>
        <color rgb="FFF8696B"/>
        <color theme="0"/>
        <color rgb="FF63BE7B"/>
      </colorScale>
    </cfRule>
  </conditionalFormatting>
  <conditionalFormatting sqref="W7:W305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7:W305">
    <cfRule type="expression" dxfId="0" priority="11">
      <formula>$C7="No"</formula>
    </cfRule>
  </conditionalFormatting>
  <printOptions/>
  <pageMargins bottom="0.75" footer="0.0" header="0.0" left="0.7" right="0.7" top="0.75"/>
  <pageSetup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2" width="8.71"/>
    <col customWidth="1" min="3" max="5" width="9.71"/>
    <col customWidth="1" min="6" max="6" width="8.71"/>
    <col customWidth="1" min="7" max="7" width="21.14"/>
    <col customWidth="1" min="8" max="9" width="8.71"/>
    <col customWidth="1" min="10" max="10" width="27.43"/>
    <col customWidth="1" min="11" max="31" width="8.71"/>
  </cols>
  <sheetData>
    <row r="1" ht="14.25" customHeight="1">
      <c r="A1" s="2" t="s">
        <v>1124</v>
      </c>
      <c r="D1" s="3"/>
      <c r="E1" s="5"/>
      <c r="F1" s="3"/>
      <c r="G1" s="3"/>
      <c r="H1" s="4"/>
      <c r="I1" s="3"/>
      <c r="J1" s="3" t="s">
        <v>4</v>
      </c>
      <c r="K1" s="6">
        <v>1.0</v>
      </c>
      <c r="L1" s="6">
        <v>2.0</v>
      </c>
      <c r="M1" s="6">
        <v>3.0</v>
      </c>
      <c r="N1" s="6">
        <v>4.0</v>
      </c>
      <c r="O1" s="6">
        <v>5.0</v>
      </c>
      <c r="P1" s="6">
        <v>6.0</v>
      </c>
      <c r="Q1" s="6">
        <v>7.0</v>
      </c>
      <c r="R1" s="6">
        <v>8.0</v>
      </c>
      <c r="S1" s="6">
        <v>9.0</v>
      </c>
      <c r="T1" s="6">
        <v>10.0</v>
      </c>
      <c r="U1" s="6">
        <v>11.0</v>
      </c>
      <c r="V1" s="6">
        <v>12.0</v>
      </c>
      <c r="W1" s="6">
        <v>13.0</v>
      </c>
      <c r="X1" s="6">
        <v>14.0</v>
      </c>
      <c r="Y1" s="6">
        <v>15.0</v>
      </c>
      <c r="Z1" s="6">
        <v>16.0</v>
      </c>
      <c r="AA1" s="6"/>
      <c r="AB1" s="6"/>
      <c r="AC1" s="6"/>
      <c r="AE1" s="3"/>
    </row>
    <row r="2" ht="14.25" customHeight="1">
      <c r="A2" s="1" t="s">
        <v>26</v>
      </c>
      <c r="B2" s="3" t="s">
        <v>28</v>
      </c>
      <c r="C2" s="3"/>
      <c r="D2" s="3"/>
      <c r="E2" s="5"/>
      <c r="F2" s="3"/>
      <c r="G2" s="3"/>
      <c r="H2" s="4"/>
      <c r="I2" s="3"/>
      <c r="J2" s="3" t="s">
        <v>32</v>
      </c>
      <c r="K2" s="3">
        <f t="shared" ref="K2:Z2" si="1">COUNTIF($D$7:$D$301, K1)</f>
        <v>9</v>
      </c>
      <c r="L2" s="3">
        <f t="shared" si="1"/>
        <v>8</v>
      </c>
      <c r="M2" s="3">
        <f t="shared" si="1"/>
        <v>13</v>
      </c>
      <c r="N2" s="3">
        <f t="shared" si="1"/>
        <v>12</v>
      </c>
      <c r="O2" s="15">
        <f t="shared" si="1"/>
        <v>9</v>
      </c>
      <c r="P2" s="3">
        <f t="shared" si="1"/>
        <v>12</v>
      </c>
      <c r="Q2" s="3">
        <f t="shared" si="1"/>
        <v>12</v>
      </c>
      <c r="R2" s="3">
        <f t="shared" si="1"/>
        <v>10</v>
      </c>
      <c r="S2" s="3">
        <f t="shared" si="1"/>
        <v>6</v>
      </c>
      <c r="T2" s="15">
        <f t="shared" si="1"/>
        <v>1</v>
      </c>
      <c r="U2" s="3">
        <f t="shared" si="1"/>
        <v>1</v>
      </c>
      <c r="V2" s="3">
        <f t="shared" si="1"/>
        <v>0</v>
      </c>
      <c r="W2" s="3">
        <f t="shared" si="1"/>
        <v>0</v>
      </c>
      <c r="X2" s="3">
        <f t="shared" si="1"/>
        <v>1</v>
      </c>
      <c r="Y2" s="3">
        <f t="shared" si="1"/>
        <v>0</v>
      </c>
      <c r="Z2" s="3">
        <f t="shared" si="1"/>
        <v>0</v>
      </c>
      <c r="AA2" s="3"/>
      <c r="AB2" s="3"/>
      <c r="AC2" s="3"/>
      <c r="AE2" s="3"/>
    </row>
    <row r="3" ht="14.25" customHeight="1">
      <c r="B3" s="3" t="s">
        <v>55</v>
      </c>
      <c r="C3" s="3"/>
      <c r="D3" s="3"/>
      <c r="E3" s="5"/>
      <c r="F3" s="3"/>
      <c r="G3" s="3"/>
      <c r="H3" s="4"/>
      <c r="I3" s="3"/>
      <c r="J3" s="3" t="s">
        <v>46</v>
      </c>
      <c r="K3" s="3">
        <f>K2</f>
        <v>9</v>
      </c>
      <c r="L3" s="3">
        <f t="shared" ref="L3:Z3" si="2">K3+L2</f>
        <v>17</v>
      </c>
      <c r="M3" s="3">
        <f t="shared" si="2"/>
        <v>30</v>
      </c>
      <c r="N3" s="3">
        <f t="shared" si="2"/>
        <v>42</v>
      </c>
      <c r="O3" s="3">
        <f t="shared" si="2"/>
        <v>51</v>
      </c>
      <c r="P3" s="3">
        <f t="shared" si="2"/>
        <v>63</v>
      </c>
      <c r="Q3" s="3">
        <f t="shared" si="2"/>
        <v>75</v>
      </c>
      <c r="R3" s="3">
        <f t="shared" si="2"/>
        <v>85</v>
      </c>
      <c r="S3" s="3">
        <f t="shared" si="2"/>
        <v>91</v>
      </c>
      <c r="T3" s="3">
        <f t="shared" si="2"/>
        <v>92</v>
      </c>
      <c r="U3" s="3">
        <f t="shared" si="2"/>
        <v>93</v>
      </c>
      <c r="V3" s="3">
        <f t="shared" si="2"/>
        <v>93</v>
      </c>
      <c r="W3" s="3">
        <f t="shared" si="2"/>
        <v>93</v>
      </c>
      <c r="X3" s="3">
        <f t="shared" si="2"/>
        <v>94</v>
      </c>
      <c r="Y3" s="3">
        <f t="shared" si="2"/>
        <v>94</v>
      </c>
      <c r="Z3" s="3">
        <f t="shared" si="2"/>
        <v>94</v>
      </c>
      <c r="AA3" s="3"/>
      <c r="AB3" s="3"/>
      <c r="AC3" s="3"/>
      <c r="AE3" s="3"/>
    </row>
    <row r="4" ht="14.25" customHeight="1">
      <c r="B4" s="1" t="s">
        <v>53</v>
      </c>
      <c r="C4" s="3"/>
      <c r="D4" s="3"/>
      <c r="E4" s="5"/>
      <c r="G4" s="3"/>
      <c r="H4" s="4"/>
      <c r="I4" s="3"/>
      <c r="J4" s="3" t="s">
        <v>54</v>
      </c>
      <c r="K4" s="3">
        <v>7.0</v>
      </c>
      <c r="L4" s="3">
        <f>K4+10</f>
        <v>17</v>
      </c>
      <c r="M4" s="3">
        <f>L4+12</f>
        <v>29</v>
      </c>
      <c r="N4" s="3">
        <f>M4+10</f>
        <v>39</v>
      </c>
      <c r="O4" s="3">
        <f>N4+12</f>
        <v>51</v>
      </c>
      <c r="P4" s="3">
        <f>O4+10</f>
        <v>61</v>
      </c>
      <c r="Q4" s="3">
        <f>P4+12</f>
        <v>73</v>
      </c>
      <c r="R4" s="3">
        <f>Q4+10</f>
        <v>83</v>
      </c>
      <c r="S4" s="3">
        <f>R4+12</f>
        <v>95</v>
      </c>
      <c r="T4" s="3">
        <f>S4+10</f>
        <v>105</v>
      </c>
      <c r="U4" s="3">
        <f>T4+12</f>
        <v>117</v>
      </c>
      <c r="V4" s="3">
        <f>U4+10</f>
        <v>127</v>
      </c>
      <c r="W4" s="3">
        <f>V4+12</f>
        <v>139</v>
      </c>
      <c r="X4" s="3">
        <f>W4+10</f>
        <v>149</v>
      </c>
      <c r="Y4" s="3">
        <f>X4+12</f>
        <v>161</v>
      </c>
      <c r="Z4" s="3">
        <f>Y4+10</f>
        <v>171</v>
      </c>
      <c r="AA4" s="3"/>
      <c r="AB4" s="3"/>
      <c r="AC4" s="3"/>
      <c r="AE4" s="3"/>
    </row>
    <row r="5" ht="14.25" customHeight="1">
      <c r="C5" s="3"/>
      <c r="D5" s="3"/>
      <c r="E5" s="5"/>
      <c r="F5" s="3"/>
      <c r="G5" s="3"/>
      <c r="H5" s="4"/>
      <c r="I5" s="3"/>
      <c r="J5" s="3" t="s">
        <v>68</v>
      </c>
      <c r="K5" s="3">
        <f t="shared" ref="K5:Z5" si="3">K3-K4</f>
        <v>2</v>
      </c>
      <c r="L5" s="3">
        <f t="shared" si="3"/>
        <v>0</v>
      </c>
      <c r="M5" s="3">
        <f t="shared" si="3"/>
        <v>1</v>
      </c>
      <c r="N5" s="3">
        <f t="shared" si="3"/>
        <v>3</v>
      </c>
      <c r="O5" s="3">
        <f t="shared" si="3"/>
        <v>0</v>
      </c>
      <c r="P5" s="3">
        <f t="shared" si="3"/>
        <v>2</v>
      </c>
      <c r="Q5" s="3">
        <f t="shared" si="3"/>
        <v>2</v>
      </c>
      <c r="R5" s="3">
        <f t="shared" si="3"/>
        <v>2</v>
      </c>
      <c r="S5" s="3">
        <f t="shared" si="3"/>
        <v>-4</v>
      </c>
      <c r="T5" s="3">
        <f t="shared" si="3"/>
        <v>-13</v>
      </c>
      <c r="U5" s="3">
        <f t="shared" si="3"/>
        <v>-24</v>
      </c>
      <c r="V5" s="3">
        <f t="shared" si="3"/>
        <v>-34</v>
      </c>
      <c r="W5" s="3">
        <f t="shared" si="3"/>
        <v>-46</v>
      </c>
      <c r="X5" s="3">
        <f t="shared" si="3"/>
        <v>-55</v>
      </c>
      <c r="Y5" s="3">
        <f t="shared" si="3"/>
        <v>-67</v>
      </c>
      <c r="Z5" s="3">
        <f t="shared" si="3"/>
        <v>-77</v>
      </c>
      <c r="AA5" s="3"/>
      <c r="AB5" s="3"/>
      <c r="AC5" s="3"/>
      <c r="AE5" s="3"/>
    </row>
    <row r="6" ht="14.25" customHeight="1">
      <c r="A6" s="20" t="s">
        <v>72</v>
      </c>
      <c r="B6" s="21" t="s">
        <v>76</v>
      </c>
      <c r="C6" s="22" t="s">
        <v>77</v>
      </c>
      <c r="D6" s="22" t="s">
        <v>9</v>
      </c>
      <c r="E6" s="25" t="s">
        <v>78</v>
      </c>
      <c r="F6" s="22" t="s">
        <v>10</v>
      </c>
      <c r="G6" s="6" t="s">
        <v>5</v>
      </c>
      <c r="H6" s="6" t="s">
        <v>7</v>
      </c>
      <c r="I6" s="6" t="s">
        <v>8</v>
      </c>
      <c r="J6" s="6" t="s">
        <v>11</v>
      </c>
      <c r="K6" s="6" t="s">
        <v>12</v>
      </c>
      <c r="L6" s="23" t="s">
        <v>81</v>
      </c>
      <c r="M6" s="23" t="s">
        <v>17</v>
      </c>
      <c r="N6" s="20" t="s">
        <v>16</v>
      </c>
      <c r="O6" s="24" t="s">
        <v>86</v>
      </c>
      <c r="P6" s="20" t="s">
        <v>13</v>
      </c>
      <c r="Q6" s="20" t="s">
        <v>15</v>
      </c>
      <c r="R6" s="20" t="s">
        <v>20</v>
      </c>
      <c r="S6" s="20" t="s">
        <v>24</v>
      </c>
      <c r="T6" s="20" t="s">
        <v>23</v>
      </c>
      <c r="U6" s="21" t="s">
        <v>87</v>
      </c>
      <c r="V6" s="21" t="s">
        <v>88</v>
      </c>
      <c r="W6" s="21" t="s">
        <v>89</v>
      </c>
      <c r="X6" s="21" t="s">
        <v>90</v>
      </c>
      <c r="Y6" s="6" t="s">
        <v>14</v>
      </c>
    </row>
    <row r="7" ht="14.25" customHeight="1">
      <c r="A7" s="11"/>
      <c r="B7" s="11">
        <v>1.0</v>
      </c>
      <c r="C7" s="11" t="s">
        <v>106</v>
      </c>
      <c r="D7" s="11">
        <v>1.0</v>
      </c>
      <c r="E7" s="27">
        <v>1.01</v>
      </c>
      <c r="F7" s="29" t="s">
        <v>866</v>
      </c>
      <c r="G7" s="11" t="s">
        <v>44</v>
      </c>
      <c r="H7" s="11" t="s">
        <v>45</v>
      </c>
      <c r="I7" s="11" t="s">
        <v>775</v>
      </c>
      <c r="J7" s="26" t="s">
        <v>59</v>
      </c>
      <c r="K7" s="11">
        <v>1.0</v>
      </c>
      <c r="L7" s="11">
        <v>1.0</v>
      </c>
      <c r="M7" s="11">
        <v>1.0</v>
      </c>
      <c r="N7" s="11">
        <v>1.0</v>
      </c>
      <c r="O7" s="11">
        <v>0.0</v>
      </c>
      <c r="P7" s="11">
        <v>1.0</v>
      </c>
      <c r="Q7" s="11">
        <v>1.0</v>
      </c>
      <c r="R7" s="11">
        <v>1.0</v>
      </c>
      <c r="S7" s="11">
        <v>1.0</v>
      </c>
      <c r="T7" s="11">
        <v>1.0</v>
      </c>
      <c r="U7" s="11">
        <v>1.0</v>
      </c>
      <c r="V7" s="11">
        <v>1.0</v>
      </c>
      <c r="W7" s="11"/>
      <c r="X7" s="11">
        <v>0.0</v>
      </c>
      <c r="Y7" s="29" t="s">
        <v>866</v>
      </c>
    </row>
    <row r="8" ht="14.25" customHeight="1">
      <c r="A8" s="11"/>
      <c r="B8" s="11">
        <v>1.0</v>
      </c>
      <c r="C8" s="11" t="s">
        <v>106</v>
      </c>
      <c r="D8" s="11">
        <v>1.0</v>
      </c>
      <c r="E8" s="27">
        <v>1.02</v>
      </c>
      <c r="F8" s="29" t="s">
        <v>866</v>
      </c>
      <c r="G8" s="11" t="s">
        <v>39</v>
      </c>
      <c r="H8" s="11" t="s">
        <v>40</v>
      </c>
      <c r="I8" s="11" t="s">
        <v>772</v>
      </c>
      <c r="J8" s="82" t="s">
        <v>842</v>
      </c>
      <c r="K8" s="11">
        <v>1.0</v>
      </c>
      <c r="L8" s="11">
        <v>1.0</v>
      </c>
      <c r="M8" s="11">
        <v>2.0</v>
      </c>
      <c r="N8" s="11">
        <v>2.0</v>
      </c>
      <c r="O8" s="11">
        <v>0.0</v>
      </c>
      <c r="P8" s="11">
        <v>2.0</v>
      </c>
      <c r="Q8" s="11">
        <v>2.0</v>
      </c>
      <c r="R8" s="11">
        <v>2.0</v>
      </c>
      <c r="S8" s="11">
        <v>3.0</v>
      </c>
      <c r="T8" s="11">
        <v>2.0</v>
      </c>
      <c r="U8" s="11">
        <v>2.0</v>
      </c>
      <c r="V8" s="11">
        <v>1.0</v>
      </c>
      <c r="W8" s="11"/>
      <c r="X8" s="11">
        <v>0.0</v>
      </c>
      <c r="Y8" s="29" t="s">
        <v>866</v>
      </c>
    </row>
    <row r="9" ht="14.25" customHeight="1">
      <c r="A9" s="11"/>
      <c r="B9" s="11">
        <v>1.0</v>
      </c>
      <c r="C9" s="11" t="s">
        <v>106</v>
      </c>
      <c r="D9" s="11">
        <v>1.0</v>
      </c>
      <c r="E9" s="27">
        <v>1.03</v>
      </c>
      <c r="F9" s="29" t="s">
        <v>866</v>
      </c>
      <c r="G9" s="11" t="s">
        <v>84</v>
      </c>
      <c r="H9" s="11" t="s">
        <v>85</v>
      </c>
      <c r="I9" s="11" t="s">
        <v>772</v>
      </c>
      <c r="J9" s="82" t="s">
        <v>842</v>
      </c>
      <c r="K9" s="11">
        <v>2.0</v>
      </c>
      <c r="L9" s="11">
        <v>1.0</v>
      </c>
      <c r="M9" s="11">
        <v>3.0</v>
      </c>
      <c r="N9" s="11">
        <v>5.0</v>
      </c>
      <c r="O9" s="11">
        <v>-2.0</v>
      </c>
      <c r="P9" s="11">
        <v>3.0</v>
      </c>
      <c r="Q9" s="11">
        <v>3.0</v>
      </c>
      <c r="R9" s="11">
        <v>5.0</v>
      </c>
      <c r="S9" s="11">
        <v>2.0</v>
      </c>
      <c r="T9" s="11">
        <v>4.0</v>
      </c>
      <c r="U9" s="11">
        <v>3.0</v>
      </c>
      <c r="V9" s="11">
        <v>1.0</v>
      </c>
      <c r="W9" s="11"/>
      <c r="X9" s="11">
        <v>0.0</v>
      </c>
      <c r="Y9" s="29" t="s">
        <v>866</v>
      </c>
    </row>
    <row r="10" ht="14.25" customHeight="1">
      <c r="A10" s="11"/>
      <c r="B10" s="11">
        <v>1.0</v>
      </c>
      <c r="C10" s="11" t="s">
        <v>106</v>
      </c>
      <c r="D10" s="11">
        <v>1.0</v>
      </c>
      <c r="E10" s="27">
        <v>1.04</v>
      </c>
      <c r="F10" s="29" t="s">
        <v>866</v>
      </c>
      <c r="G10" s="11" t="s">
        <v>25</v>
      </c>
      <c r="H10" s="11" t="s">
        <v>35</v>
      </c>
      <c r="I10" s="11" t="s">
        <v>772</v>
      </c>
      <c r="J10" s="82" t="s">
        <v>842</v>
      </c>
      <c r="K10" s="11">
        <v>3.0</v>
      </c>
      <c r="L10" s="11">
        <v>1.0</v>
      </c>
      <c r="M10" s="11">
        <v>4.0</v>
      </c>
      <c r="N10" s="11">
        <v>4.0</v>
      </c>
      <c r="O10" s="11">
        <v>0.0</v>
      </c>
      <c r="P10" s="11">
        <v>4.0</v>
      </c>
      <c r="Q10" s="11">
        <v>5.0</v>
      </c>
      <c r="R10" s="11">
        <v>3.0</v>
      </c>
      <c r="S10" s="11">
        <v>4.0</v>
      </c>
      <c r="T10" s="11">
        <v>6.0</v>
      </c>
      <c r="U10" s="11">
        <v>4.0</v>
      </c>
      <c r="V10" s="11">
        <v>1.0</v>
      </c>
      <c r="W10" s="11"/>
      <c r="X10" s="11">
        <v>0.0</v>
      </c>
      <c r="Y10" s="29" t="s">
        <v>866</v>
      </c>
    </row>
    <row r="11" ht="14.25" customHeight="1">
      <c r="A11" s="11"/>
      <c r="B11" s="11">
        <v>1.0</v>
      </c>
      <c r="C11" s="11" t="s">
        <v>106</v>
      </c>
      <c r="D11" s="11">
        <v>1.0</v>
      </c>
      <c r="E11" s="27">
        <v>1.05</v>
      </c>
      <c r="F11" s="29" t="s">
        <v>866</v>
      </c>
      <c r="G11" s="11" t="s">
        <v>74</v>
      </c>
      <c r="H11" s="11" t="s">
        <v>75</v>
      </c>
      <c r="I11" s="11" t="s">
        <v>775</v>
      </c>
      <c r="J11" s="26" t="s">
        <v>59</v>
      </c>
      <c r="K11" s="11">
        <v>2.0</v>
      </c>
      <c r="L11" s="11">
        <v>1.0</v>
      </c>
      <c r="M11" s="11">
        <v>6.0</v>
      </c>
      <c r="N11" s="11">
        <v>6.0</v>
      </c>
      <c r="O11" s="11">
        <v>0.0</v>
      </c>
      <c r="P11" s="11">
        <v>6.0</v>
      </c>
      <c r="Q11" s="11">
        <v>4.0</v>
      </c>
      <c r="R11" s="11">
        <v>6.0</v>
      </c>
      <c r="S11" s="11">
        <v>5.0</v>
      </c>
      <c r="T11" s="11">
        <v>5.0</v>
      </c>
      <c r="U11" s="11">
        <v>5.0</v>
      </c>
      <c r="V11" s="11">
        <v>1.0</v>
      </c>
      <c r="W11" s="11"/>
      <c r="X11" s="11">
        <v>1.0</v>
      </c>
      <c r="Y11" s="29" t="s">
        <v>866</v>
      </c>
    </row>
    <row r="12" ht="14.25" customHeight="1">
      <c r="A12" s="11"/>
      <c r="B12" s="11">
        <v>1.0</v>
      </c>
      <c r="C12" s="11" t="s">
        <v>106</v>
      </c>
      <c r="D12" s="11">
        <v>1.0</v>
      </c>
      <c r="E12" s="27">
        <v>1.06</v>
      </c>
      <c r="F12" s="29" t="s">
        <v>866</v>
      </c>
      <c r="G12" s="11" t="s">
        <v>70</v>
      </c>
      <c r="H12" s="11" t="s">
        <v>71</v>
      </c>
      <c r="I12" s="11" t="s">
        <v>775</v>
      </c>
      <c r="J12" s="26" t="s">
        <v>59</v>
      </c>
      <c r="K12" s="11">
        <v>3.0</v>
      </c>
      <c r="L12" s="11">
        <v>1.0</v>
      </c>
      <c r="M12" s="11">
        <v>5.0</v>
      </c>
      <c r="N12" s="11">
        <v>3.0</v>
      </c>
      <c r="O12" s="11">
        <v>2.0</v>
      </c>
      <c r="P12" s="11">
        <v>5.0</v>
      </c>
      <c r="Q12" s="11">
        <v>6.0</v>
      </c>
      <c r="R12" s="11">
        <v>4.0</v>
      </c>
      <c r="S12" s="11">
        <v>6.0</v>
      </c>
      <c r="T12" s="11">
        <v>3.0</v>
      </c>
      <c r="U12" s="11">
        <v>4.0</v>
      </c>
      <c r="V12" s="11">
        <v>1.0</v>
      </c>
      <c r="W12" s="11"/>
      <c r="X12" s="11">
        <v>1.0</v>
      </c>
      <c r="Y12" s="29" t="s">
        <v>866</v>
      </c>
    </row>
    <row r="13" ht="14.25" customHeight="1">
      <c r="A13" s="11"/>
      <c r="B13" s="11">
        <v>2.0</v>
      </c>
      <c r="C13" s="11" t="s">
        <v>106</v>
      </c>
      <c r="D13" s="11"/>
      <c r="E13" s="27"/>
      <c r="F13" s="29" t="s">
        <v>866</v>
      </c>
      <c r="G13" s="11" t="s">
        <v>118</v>
      </c>
      <c r="H13" s="11" t="s">
        <v>119</v>
      </c>
      <c r="I13" s="11" t="s">
        <v>775</v>
      </c>
      <c r="J13" s="26" t="s">
        <v>846</v>
      </c>
      <c r="K13" s="11">
        <v>4.0</v>
      </c>
      <c r="L13" s="11">
        <v>1.0</v>
      </c>
      <c r="M13" s="11">
        <v>7.0</v>
      </c>
      <c r="N13" s="11">
        <v>8.0</v>
      </c>
      <c r="O13" s="11">
        <v>-1.0</v>
      </c>
      <c r="P13" s="11">
        <v>13.0</v>
      </c>
      <c r="Q13" s="11">
        <v>13.0</v>
      </c>
      <c r="R13" s="11">
        <v>12.0</v>
      </c>
      <c r="S13" s="11">
        <v>13.0</v>
      </c>
      <c r="T13" s="11">
        <v>16.0</v>
      </c>
      <c r="U13" s="11">
        <v>11.0</v>
      </c>
      <c r="V13" s="11">
        <v>1.0</v>
      </c>
      <c r="W13" s="11"/>
      <c r="X13" s="11">
        <v>-4.0</v>
      </c>
      <c r="Y13" s="29" t="s">
        <v>1046</v>
      </c>
    </row>
    <row r="14" ht="14.25" customHeight="1">
      <c r="A14" s="11"/>
      <c r="B14" s="11">
        <v>1.0</v>
      </c>
      <c r="C14" s="11" t="s">
        <v>106</v>
      </c>
      <c r="D14" s="11">
        <v>1.0</v>
      </c>
      <c r="E14" s="27">
        <v>1.08</v>
      </c>
      <c r="F14" s="29" t="s">
        <v>866</v>
      </c>
      <c r="G14" s="11" t="s">
        <v>57</v>
      </c>
      <c r="H14" s="11" t="s">
        <v>58</v>
      </c>
      <c r="I14" s="11" t="s">
        <v>772</v>
      </c>
      <c r="J14" s="83" t="s">
        <v>842</v>
      </c>
      <c r="K14" s="11">
        <v>4.0</v>
      </c>
      <c r="L14" s="11">
        <v>1.0</v>
      </c>
      <c r="M14" s="11">
        <v>9.0</v>
      </c>
      <c r="N14" s="11">
        <v>7.0</v>
      </c>
      <c r="O14" s="11">
        <v>2.0</v>
      </c>
      <c r="P14" s="11">
        <v>8.0</v>
      </c>
      <c r="Q14" s="11">
        <v>7.0</v>
      </c>
      <c r="R14" s="11">
        <v>8.0</v>
      </c>
      <c r="S14" s="11">
        <v>10.0</v>
      </c>
      <c r="T14" s="11">
        <v>11.0</v>
      </c>
      <c r="U14" s="11">
        <v>8.0</v>
      </c>
      <c r="V14" s="11">
        <v>1.0</v>
      </c>
      <c r="W14" s="11"/>
      <c r="X14" s="11">
        <v>1.0</v>
      </c>
      <c r="Y14" s="29" t="s">
        <v>866</v>
      </c>
    </row>
    <row r="15" ht="14.25" customHeight="1">
      <c r="A15" s="11"/>
      <c r="B15" s="11">
        <v>1.0</v>
      </c>
      <c r="C15" s="11" t="s">
        <v>106</v>
      </c>
      <c r="D15" s="11">
        <v>1.0</v>
      </c>
      <c r="E15" s="27">
        <v>1.09</v>
      </c>
      <c r="F15" s="29" t="s">
        <v>866</v>
      </c>
      <c r="G15" s="11" t="s">
        <v>64</v>
      </c>
      <c r="H15" s="11" t="s">
        <v>35</v>
      </c>
      <c r="I15" s="11" t="s">
        <v>775</v>
      </c>
      <c r="J15" s="84" t="s">
        <v>846</v>
      </c>
      <c r="K15" s="11">
        <v>6.0</v>
      </c>
      <c r="L15" s="11">
        <v>1.0</v>
      </c>
      <c r="M15" s="11">
        <v>8.0</v>
      </c>
      <c r="N15" s="11">
        <v>10.0</v>
      </c>
      <c r="O15" s="11">
        <v>-2.0</v>
      </c>
      <c r="P15" s="11">
        <v>12.0</v>
      </c>
      <c r="Q15" s="11">
        <v>8.0</v>
      </c>
      <c r="R15" s="11">
        <v>11.0</v>
      </c>
      <c r="S15" s="11">
        <v>8.0</v>
      </c>
      <c r="T15" s="11">
        <v>8.0</v>
      </c>
      <c r="U15" s="11">
        <v>9.0</v>
      </c>
      <c r="V15" s="11">
        <v>1.0</v>
      </c>
      <c r="W15" s="11"/>
      <c r="X15" s="11">
        <v>-1.0</v>
      </c>
      <c r="Y15" s="29" t="s">
        <v>866</v>
      </c>
    </row>
    <row r="16" ht="14.25" customHeight="1">
      <c r="A16" s="11"/>
      <c r="B16" s="11">
        <v>1.0</v>
      </c>
      <c r="C16" s="11" t="s">
        <v>106</v>
      </c>
      <c r="D16" s="11">
        <v>1.0</v>
      </c>
      <c r="E16" s="27">
        <v>1.07</v>
      </c>
      <c r="F16" s="29" t="s">
        <v>866</v>
      </c>
      <c r="G16" s="11" t="s">
        <v>127</v>
      </c>
      <c r="H16" s="11" t="s">
        <v>128</v>
      </c>
      <c r="I16" s="11" t="s">
        <v>775</v>
      </c>
      <c r="J16" s="84" t="s">
        <v>846</v>
      </c>
      <c r="K16" s="11">
        <v>5.0</v>
      </c>
      <c r="L16" s="11">
        <v>1.0</v>
      </c>
      <c r="M16" s="11">
        <v>10.0</v>
      </c>
      <c r="N16" s="11">
        <v>9.0</v>
      </c>
      <c r="O16" s="11">
        <v>1.0</v>
      </c>
      <c r="P16" s="11">
        <v>11.0</v>
      </c>
      <c r="Q16" s="11">
        <v>10.0</v>
      </c>
      <c r="R16" s="11">
        <v>10.0</v>
      </c>
      <c r="S16" s="11">
        <v>12.0</v>
      </c>
      <c r="T16" s="11">
        <v>9.0</v>
      </c>
      <c r="U16" s="11">
        <v>10.0</v>
      </c>
      <c r="V16" s="11">
        <v>1.0</v>
      </c>
      <c r="W16" s="11"/>
      <c r="X16" s="11">
        <v>0.0</v>
      </c>
      <c r="Y16" s="29" t="s">
        <v>1047</v>
      </c>
    </row>
    <row r="17" ht="14.25" customHeight="1">
      <c r="A17" s="11"/>
      <c r="B17" s="11">
        <v>1.0</v>
      </c>
      <c r="C17" s="11" t="s">
        <v>106</v>
      </c>
      <c r="D17" s="11">
        <v>2.0</v>
      </c>
      <c r="E17" s="27">
        <v>1.1</v>
      </c>
      <c r="F17" s="29" t="s">
        <v>866</v>
      </c>
      <c r="G17" s="11" t="s">
        <v>108</v>
      </c>
      <c r="H17" s="11" t="s">
        <v>109</v>
      </c>
      <c r="I17" s="11" t="s">
        <v>772</v>
      </c>
      <c r="J17" s="85" t="s">
        <v>847</v>
      </c>
      <c r="K17" s="11">
        <v>8.0</v>
      </c>
      <c r="L17" s="11">
        <v>1.0</v>
      </c>
      <c r="M17" s="11">
        <v>11.0</v>
      </c>
      <c r="N17" s="11">
        <v>14.0</v>
      </c>
      <c r="O17" s="11">
        <v>-3.0</v>
      </c>
      <c r="P17" s="11">
        <v>7.0</v>
      </c>
      <c r="Q17" s="11">
        <v>12.0</v>
      </c>
      <c r="R17" s="11">
        <v>14.0</v>
      </c>
      <c r="S17" s="11">
        <v>7.0</v>
      </c>
      <c r="T17" s="11">
        <v>10.0</v>
      </c>
      <c r="U17" s="11">
        <v>10.0</v>
      </c>
      <c r="V17" s="11">
        <v>1.0</v>
      </c>
      <c r="W17" s="11"/>
      <c r="X17" s="11">
        <v>1.0</v>
      </c>
      <c r="Y17" s="29" t="s">
        <v>866</v>
      </c>
    </row>
    <row r="18" ht="14.25" customHeight="1">
      <c r="A18" s="11"/>
      <c r="B18" s="11">
        <v>2.0</v>
      </c>
      <c r="C18" s="11" t="s">
        <v>106</v>
      </c>
      <c r="D18" s="11"/>
      <c r="E18" s="27"/>
      <c r="F18" s="29" t="s">
        <v>866</v>
      </c>
      <c r="G18" s="11" t="s">
        <v>242</v>
      </c>
      <c r="H18" s="11" t="s">
        <v>206</v>
      </c>
      <c r="I18" s="11" t="s">
        <v>775</v>
      </c>
      <c r="J18" s="26" t="s">
        <v>846</v>
      </c>
      <c r="K18" s="11">
        <v>8.0</v>
      </c>
      <c r="L18" s="11">
        <v>2.0</v>
      </c>
      <c r="M18" s="11">
        <v>13.0</v>
      </c>
      <c r="N18" s="11">
        <v>12.0</v>
      </c>
      <c r="O18" s="11">
        <v>1.0</v>
      </c>
      <c r="P18" s="11">
        <v>20.0</v>
      </c>
      <c r="Q18" s="11">
        <v>16.0</v>
      </c>
      <c r="R18" s="11">
        <v>16.0</v>
      </c>
      <c r="S18" s="11">
        <v>16.0</v>
      </c>
      <c r="T18" s="11">
        <v>13.0</v>
      </c>
      <c r="U18" s="11">
        <v>15.0</v>
      </c>
      <c r="V18" s="11">
        <v>2.0</v>
      </c>
      <c r="W18" s="11"/>
      <c r="X18" s="11">
        <v>-2.0</v>
      </c>
      <c r="Y18" s="29" t="s">
        <v>1047</v>
      </c>
    </row>
    <row r="19" ht="14.25" customHeight="1">
      <c r="A19" s="11"/>
      <c r="B19" s="11">
        <v>2.0</v>
      </c>
      <c r="C19" s="11" t="s">
        <v>106</v>
      </c>
      <c r="D19" s="11"/>
      <c r="E19" s="27"/>
      <c r="F19" s="29" t="s">
        <v>866</v>
      </c>
      <c r="G19" s="11" t="s">
        <v>114</v>
      </c>
      <c r="H19" s="11" t="s">
        <v>40</v>
      </c>
      <c r="I19" s="11" t="s">
        <v>775</v>
      </c>
      <c r="J19" s="26" t="s">
        <v>846</v>
      </c>
      <c r="K19" s="11">
        <v>7.0</v>
      </c>
      <c r="L19" s="11">
        <v>2.0</v>
      </c>
      <c r="M19" s="11">
        <v>12.0</v>
      </c>
      <c r="N19" s="11">
        <v>15.0</v>
      </c>
      <c r="O19" s="11">
        <v>-3.0</v>
      </c>
      <c r="P19" s="11">
        <v>23.0</v>
      </c>
      <c r="Q19" s="11">
        <v>21.0</v>
      </c>
      <c r="R19" s="11">
        <v>19.0</v>
      </c>
      <c r="S19" s="11">
        <v>17.0</v>
      </c>
      <c r="T19" s="11">
        <v>20.0</v>
      </c>
      <c r="U19" s="11">
        <v>18.0</v>
      </c>
      <c r="V19" s="11">
        <v>2.0</v>
      </c>
      <c r="W19" s="11"/>
      <c r="X19" s="11">
        <v>-6.0</v>
      </c>
      <c r="Y19" s="29" t="s">
        <v>866</v>
      </c>
    </row>
    <row r="20" ht="14.25" customHeight="1">
      <c r="A20" s="11"/>
      <c r="B20" s="11">
        <v>1.0</v>
      </c>
      <c r="C20" s="11" t="s">
        <v>106</v>
      </c>
      <c r="D20" s="11">
        <v>2.0</v>
      </c>
      <c r="E20" s="27">
        <v>1.11</v>
      </c>
      <c r="F20" s="29" t="s">
        <v>866</v>
      </c>
      <c r="G20" s="11" t="s">
        <v>97</v>
      </c>
      <c r="H20" s="11" t="s">
        <v>98</v>
      </c>
      <c r="I20" s="11" t="s">
        <v>772</v>
      </c>
      <c r="J20" s="83" t="s">
        <v>842</v>
      </c>
      <c r="K20" s="11">
        <v>5.0</v>
      </c>
      <c r="L20" s="11">
        <v>2.0</v>
      </c>
      <c r="M20" s="11">
        <v>14.0</v>
      </c>
      <c r="N20" s="11">
        <v>13.0</v>
      </c>
      <c r="O20" s="11">
        <v>1.0</v>
      </c>
      <c r="P20" s="11">
        <v>9.0</v>
      </c>
      <c r="Q20" s="11">
        <v>11.0</v>
      </c>
      <c r="R20" s="11">
        <v>9.0</v>
      </c>
      <c r="S20" s="11">
        <v>9.0</v>
      </c>
      <c r="T20" s="11">
        <v>12.0</v>
      </c>
      <c r="U20" s="11">
        <v>11.0</v>
      </c>
      <c r="V20" s="11">
        <v>1.0</v>
      </c>
      <c r="W20" s="11">
        <v>1.0</v>
      </c>
      <c r="X20" s="11">
        <v>3.0</v>
      </c>
      <c r="Y20" s="29" t="s">
        <v>1057</v>
      </c>
    </row>
    <row r="21" ht="14.25" customHeight="1">
      <c r="A21" s="11"/>
      <c r="B21" s="11">
        <v>2.0</v>
      </c>
      <c r="C21" s="11" t="s">
        <v>106</v>
      </c>
      <c r="D21" s="11">
        <v>2.0</v>
      </c>
      <c r="E21" s="27">
        <v>2.12</v>
      </c>
      <c r="F21" s="29" t="s">
        <v>866</v>
      </c>
      <c r="G21" s="11" t="s">
        <v>153</v>
      </c>
      <c r="H21" s="11" t="s">
        <v>154</v>
      </c>
      <c r="I21" s="11" t="s">
        <v>772</v>
      </c>
      <c r="J21" s="85" t="s">
        <v>847</v>
      </c>
      <c r="K21" s="11">
        <v>7.0</v>
      </c>
      <c r="L21" s="11">
        <v>2.0</v>
      </c>
      <c r="M21" s="11">
        <v>15.0</v>
      </c>
      <c r="N21" s="11">
        <v>23.0</v>
      </c>
      <c r="O21" s="11">
        <v>-8.0</v>
      </c>
      <c r="P21" s="11">
        <v>10.0</v>
      </c>
      <c r="Q21" s="11">
        <v>17.0</v>
      </c>
      <c r="R21" s="11">
        <v>22.0</v>
      </c>
      <c r="S21" s="11">
        <v>15.0</v>
      </c>
      <c r="T21" s="11">
        <v>19.0</v>
      </c>
      <c r="U21" s="11">
        <v>17.0</v>
      </c>
      <c r="V21" s="11">
        <v>2.0</v>
      </c>
      <c r="W21" s="11"/>
      <c r="X21" s="11">
        <v>-2.0</v>
      </c>
      <c r="Y21" s="29" t="s">
        <v>866</v>
      </c>
    </row>
    <row r="22" ht="14.25" customHeight="1">
      <c r="A22" s="11"/>
      <c r="B22" s="11">
        <v>1.0</v>
      </c>
      <c r="C22" s="11" t="s">
        <v>106</v>
      </c>
      <c r="D22" s="11">
        <v>2.0</v>
      </c>
      <c r="E22" s="27">
        <v>1.12</v>
      </c>
      <c r="F22" s="29" t="s">
        <v>866</v>
      </c>
      <c r="G22" s="11" t="s">
        <v>48</v>
      </c>
      <c r="H22" s="11" t="s">
        <v>49</v>
      </c>
      <c r="I22" s="11" t="s">
        <v>775</v>
      </c>
      <c r="J22" s="84" t="s">
        <v>846</v>
      </c>
      <c r="K22" s="11">
        <v>9.0</v>
      </c>
      <c r="L22" s="11">
        <v>2.0</v>
      </c>
      <c r="M22" s="11">
        <v>16.0</v>
      </c>
      <c r="N22" s="11">
        <v>11.0</v>
      </c>
      <c r="O22" s="11">
        <v>5.0</v>
      </c>
      <c r="P22" s="11">
        <v>14.0</v>
      </c>
      <c r="Q22" s="11">
        <v>9.0</v>
      </c>
      <c r="R22" s="11">
        <v>15.0</v>
      </c>
      <c r="S22" s="11">
        <v>11.0</v>
      </c>
      <c r="T22" s="11">
        <v>7.0</v>
      </c>
      <c r="U22" s="11">
        <v>11.0</v>
      </c>
      <c r="V22" s="11">
        <v>1.0</v>
      </c>
      <c r="W22" s="11"/>
      <c r="X22" s="11">
        <v>5.0</v>
      </c>
      <c r="Y22" s="29" t="s">
        <v>866</v>
      </c>
    </row>
    <row r="23" ht="14.25" customHeight="1">
      <c r="A23" s="11"/>
      <c r="B23" s="11">
        <v>2.0</v>
      </c>
      <c r="C23" s="11" t="s">
        <v>106</v>
      </c>
      <c r="D23" s="11"/>
      <c r="E23" s="27"/>
      <c r="F23" s="29" t="s">
        <v>866</v>
      </c>
      <c r="G23" s="11" t="s">
        <v>92</v>
      </c>
      <c r="H23" s="11" t="s">
        <v>94</v>
      </c>
      <c r="I23" s="11" t="s">
        <v>772</v>
      </c>
      <c r="J23" s="11" t="s">
        <v>847</v>
      </c>
      <c r="K23" s="11">
        <v>6.0</v>
      </c>
      <c r="L23" s="11">
        <v>2.0</v>
      </c>
      <c r="M23" s="11">
        <v>20.0</v>
      </c>
      <c r="N23" s="11">
        <v>16.0</v>
      </c>
      <c r="O23" s="11">
        <v>4.0</v>
      </c>
      <c r="P23" s="11">
        <v>16.0</v>
      </c>
      <c r="Q23" s="11">
        <v>14.0</v>
      </c>
      <c r="R23" s="11">
        <v>18.0</v>
      </c>
      <c r="S23" s="11">
        <v>14.0</v>
      </c>
      <c r="T23" s="11">
        <v>14.0</v>
      </c>
      <c r="U23" s="11">
        <v>16.0</v>
      </c>
      <c r="V23" s="11">
        <v>2.0</v>
      </c>
      <c r="W23" s="11"/>
      <c r="X23" s="11">
        <v>4.0</v>
      </c>
      <c r="Y23" s="29" t="s">
        <v>866</v>
      </c>
    </row>
    <row r="24" ht="14.25" customHeight="1">
      <c r="A24" s="11"/>
      <c r="B24" s="11">
        <v>2.0</v>
      </c>
      <c r="C24" s="11" t="s">
        <v>106</v>
      </c>
      <c r="D24" s="11">
        <v>3.0</v>
      </c>
      <c r="E24" s="27">
        <v>2.11</v>
      </c>
      <c r="F24" s="29" t="s">
        <v>95</v>
      </c>
      <c r="G24" s="11" t="s">
        <v>61</v>
      </c>
      <c r="H24" s="11" t="s">
        <v>62</v>
      </c>
      <c r="I24" s="11" t="s">
        <v>772</v>
      </c>
      <c r="J24" s="85" t="s">
        <v>847</v>
      </c>
      <c r="K24" s="11">
        <v>12.0</v>
      </c>
      <c r="L24" s="11">
        <v>2.0</v>
      </c>
      <c r="M24" s="11">
        <v>19.0</v>
      </c>
      <c r="N24" s="11">
        <v>22.0</v>
      </c>
      <c r="O24" s="11">
        <v>-3.0</v>
      </c>
      <c r="P24" s="11">
        <v>21.0</v>
      </c>
      <c r="Q24" s="11">
        <v>15.0</v>
      </c>
      <c r="R24" s="11">
        <v>21.0</v>
      </c>
      <c r="S24" s="11">
        <v>20.0</v>
      </c>
      <c r="T24" s="11">
        <v>22.0</v>
      </c>
      <c r="U24" s="11">
        <v>20.0</v>
      </c>
      <c r="V24" s="11">
        <v>2.0</v>
      </c>
      <c r="W24" s="11"/>
      <c r="X24" s="11">
        <v>-1.0</v>
      </c>
      <c r="Y24" s="29" t="s">
        <v>866</v>
      </c>
    </row>
    <row r="25" ht="14.25" customHeight="1">
      <c r="A25" s="11" t="s">
        <v>106</v>
      </c>
      <c r="B25" s="11">
        <v>2.0</v>
      </c>
      <c r="C25" s="11" t="s">
        <v>106</v>
      </c>
      <c r="D25" s="11"/>
      <c r="E25" s="27"/>
      <c r="F25" s="29" t="s">
        <v>866</v>
      </c>
      <c r="G25" s="11" t="s">
        <v>199</v>
      </c>
      <c r="H25" s="11" t="s">
        <v>162</v>
      </c>
      <c r="I25" s="11" t="s">
        <v>772</v>
      </c>
      <c r="J25" s="11" t="s">
        <v>847</v>
      </c>
      <c r="K25" s="11">
        <v>9.0</v>
      </c>
      <c r="L25" s="11">
        <v>2.0</v>
      </c>
      <c r="M25" s="11">
        <v>17.0</v>
      </c>
      <c r="N25" s="11">
        <v>20.0</v>
      </c>
      <c r="O25" s="11">
        <v>-3.0</v>
      </c>
      <c r="P25" s="11">
        <v>22.0</v>
      </c>
      <c r="Q25" s="11">
        <v>22.0</v>
      </c>
      <c r="R25" s="11">
        <v>20.0</v>
      </c>
      <c r="S25" s="11">
        <v>22.0</v>
      </c>
      <c r="T25" s="11">
        <v>24.0</v>
      </c>
      <c r="U25" s="11">
        <v>21.0</v>
      </c>
      <c r="V25" s="11">
        <v>2.0</v>
      </c>
      <c r="W25" s="11"/>
      <c r="X25" s="11">
        <v>-4.0</v>
      </c>
      <c r="Y25" s="29" t="s">
        <v>1043</v>
      </c>
    </row>
    <row r="26" ht="14.25" customHeight="1">
      <c r="A26" s="11"/>
      <c r="B26" s="11">
        <v>2.0</v>
      </c>
      <c r="C26" s="11" t="s">
        <v>106</v>
      </c>
      <c r="D26" s="11"/>
      <c r="E26" s="27"/>
      <c r="F26" s="29" t="s">
        <v>106</v>
      </c>
      <c r="G26" s="11" t="s">
        <v>80</v>
      </c>
      <c r="H26" s="11" t="s">
        <v>45</v>
      </c>
      <c r="I26" s="11" t="s">
        <v>772</v>
      </c>
      <c r="J26" s="11" t="s">
        <v>847</v>
      </c>
      <c r="K26" s="11">
        <v>10.0</v>
      </c>
      <c r="L26" s="11">
        <v>2.0</v>
      </c>
      <c r="M26" s="11">
        <v>21.0</v>
      </c>
      <c r="N26" s="11">
        <v>19.0</v>
      </c>
      <c r="O26" s="11">
        <v>2.0</v>
      </c>
      <c r="P26" s="11">
        <v>19.0</v>
      </c>
      <c r="Q26" s="11">
        <v>24.0</v>
      </c>
      <c r="R26" s="11">
        <v>17.0</v>
      </c>
      <c r="S26" s="11">
        <v>28.0</v>
      </c>
      <c r="T26" s="11">
        <v>26.0</v>
      </c>
      <c r="U26" s="11">
        <v>22.0</v>
      </c>
      <c r="V26" s="11">
        <v>2.0</v>
      </c>
      <c r="W26" s="11">
        <v>-2.0</v>
      </c>
      <c r="X26" s="11">
        <v>-1.0</v>
      </c>
      <c r="Y26" s="29" t="s">
        <v>1060</v>
      </c>
    </row>
    <row r="27" ht="14.25" customHeight="1">
      <c r="A27" s="11"/>
      <c r="B27" s="11">
        <v>2.0</v>
      </c>
      <c r="C27" s="11" t="s">
        <v>106</v>
      </c>
      <c r="D27" s="11">
        <v>2.0</v>
      </c>
      <c r="E27" s="27">
        <v>2.1</v>
      </c>
      <c r="F27" s="29" t="s">
        <v>866</v>
      </c>
      <c r="G27" s="11" t="s">
        <v>113</v>
      </c>
      <c r="H27" s="11" t="s">
        <v>85</v>
      </c>
      <c r="I27" s="11" t="s">
        <v>775</v>
      </c>
      <c r="J27" s="36" t="s">
        <v>845</v>
      </c>
      <c r="K27" s="11">
        <v>11.0</v>
      </c>
      <c r="L27" s="11">
        <v>2.0</v>
      </c>
      <c r="M27" s="11">
        <v>18.0</v>
      </c>
      <c r="N27" s="11">
        <v>17.0</v>
      </c>
      <c r="O27" s="11">
        <v>1.0</v>
      </c>
      <c r="P27" s="11">
        <v>27.0</v>
      </c>
      <c r="Q27" s="11">
        <v>18.0</v>
      </c>
      <c r="R27" s="11">
        <v>23.0</v>
      </c>
      <c r="S27" s="11">
        <v>18.0</v>
      </c>
      <c r="T27" s="11">
        <v>15.0</v>
      </c>
      <c r="U27" s="11">
        <v>19.0</v>
      </c>
      <c r="V27" s="11">
        <v>2.0</v>
      </c>
      <c r="W27" s="11"/>
      <c r="X27" s="11">
        <v>-1.0</v>
      </c>
      <c r="Y27" s="29" t="s">
        <v>866</v>
      </c>
    </row>
    <row r="28" ht="14.25" customHeight="1">
      <c r="A28" s="11"/>
      <c r="B28" s="11">
        <v>3.0</v>
      </c>
      <c r="C28" s="11" t="s">
        <v>106</v>
      </c>
      <c r="D28" s="11"/>
      <c r="E28" s="27"/>
      <c r="F28" s="29" t="s">
        <v>866</v>
      </c>
      <c r="G28" s="11" t="s">
        <v>173</v>
      </c>
      <c r="H28" s="11" t="s">
        <v>105</v>
      </c>
      <c r="I28" s="11" t="s">
        <v>775</v>
      </c>
      <c r="J28" s="36" t="s">
        <v>845</v>
      </c>
      <c r="K28" s="11">
        <v>10.0</v>
      </c>
      <c r="L28" s="11">
        <v>2.0</v>
      </c>
      <c r="M28" s="11">
        <v>22.0</v>
      </c>
      <c r="N28" s="11">
        <v>21.0</v>
      </c>
      <c r="O28" s="11">
        <v>1.0</v>
      </c>
      <c r="P28" s="11">
        <v>29.0</v>
      </c>
      <c r="Q28" s="11">
        <v>30.0</v>
      </c>
      <c r="R28" s="11">
        <v>25.0</v>
      </c>
      <c r="S28" s="11">
        <v>24.0</v>
      </c>
      <c r="T28" s="11">
        <v>23.0</v>
      </c>
      <c r="U28" s="11">
        <v>24.0</v>
      </c>
      <c r="V28" s="11">
        <v>3.0</v>
      </c>
      <c r="W28" s="11"/>
      <c r="X28" s="11">
        <v>-2.0</v>
      </c>
      <c r="Y28" s="29" t="s">
        <v>1052</v>
      </c>
    </row>
    <row r="29" ht="14.25" customHeight="1">
      <c r="A29" s="11"/>
      <c r="B29" s="11">
        <v>2.0</v>
      </c>
      <c r="C29" s="11" t="s">
        <v>106</v>
      </c>
      <c r="D29" s="11"/>
      <c r="E29" s="27"/>
      <c r="F29" s="29" t="s">
        <v>866</v>
      </c>
      <c r="G29" s="11" t="s">
        <v>111</v>
      </c>
      <c r="H29" s="11" t="s">
        <v>98</v>
      </c>
      <c r="I29" s="11" t="s">
        <v>781</v>
      </c>
      <c r="J29" s="11" t="s">
        <v>166</v>
      </c>
      <c r="K29" s="11">
        <v>1.0</v>
      </c>
      <c r="L29" s="11">
        <v>2.0</v>
      </c>
      <c r="M29" s="11">
        <v>23.0</v>
      </c>
      <c r="N29" s="11">
        <v>18.0</v>
      </c>
      <c r="O29" s="11">
        <v>5.0</v>
      </c>
      <c r="P29" s="11">
        <v>24.0</v>
      </c>
      <c r="Q29" s="11">
        <v>20.0</v>
      </c>
      <c r="R29" s="11">
        <v>7.0</v>
      </c>
      <c r="S29" s="11">
        <v>19.0</v>
      </c>
      <c r="T29" s="11">
        <v>17.0</v>
      </c>
      <c r="U29" s="11">
        <v>18.0</v>
      </c>
      <c r="V29" s="11">
        <v>2.0</v>
      </c>
      <c r="W29" s="11">
        <v>-2.0</v>
      </c>
      <c r="X29" s="11">
        <v>5.0</v>
      </c>
      <c r="Y29" s="29" t="s">
        <v>866</v>
      </c>
    </row>
    <row r="30" ht="14.25" customHeight="1">
      <c r="A30" s="11"/>
      <c r="B30" s="11">
        <v>3.0</v>
      </c>
      <c r="C30" s="11" t="s">
        <v>106</v>
      </c>
      <c r="D30" s="11">
        <v>2.0</v>
      </c>
      <c r="E30" s="27">
        <v>2.9</v>
      </c>
      <c r="F30" s="29" t="s">
        <v>866</v>
      </c>
      <c r="G30" s="11" t="s">
        <v>124</v>
      </c>
      <c r="H30" s="11" t="s">
        <v>125</v>
      </c>
      <c r="I30" s="11" t="s">
        <v>781</v>
      </c>
      <c r="J30" s="38" t="s">
        <v>166</v>
      </c>
      <c r="K30" s="11">
        <v>2.0</v>
      </c>
      <c r="L30" s="11">
        <v>3.0</v>
      </c>
      <c r="M30" s="11">
        <v>24.0</v>
      </c>
      <c r="N30" s="11">
        <v>25.0</v>
      </c>
      <c r="O30" s="11">
        <v>-1.0</v>
      </c>
      <c r="P30" s="11">
        <v>35.0</v>
      </c>
      <c r="Q30" s="11">
        <v>25.0</v>
      </c>
      <c r="R30" s="11">
        <v>13.0</v>
      </c>
      <c r="S30" s="11">
        <v>26.0</v>
      </c>
      <c r="T30" s="11">
        <v>27.0</v>
      </c>
      <c r="U30" s="11">
        <v>25.0</v>
      </c>
      <c r="V30" s="11">
        <v>3.0</v>
      </c>
      <c r="W30" s="11"/>
      <c r="X30" s="11">
        <v>-1.0</v>
      </c>
      <c r="Y30" s="29" t="s">
        <v>866</v>
      </c>
    </row>
    <row r="31" ht="14.25" customHeight="1">
      <c r="A31" s="11" t="s">
        <v>106</v>
      </c>
      <c r="B31" s="11">
        <v>3.0</v>
      </c>
      <c r="C31" s="11" t="s">
        <v>106</v>
      </c>
      <c r="D31" s="11">
        <v>2.0</v>
      </c>
      <c r="E31" s="27">
        <v>2.8</v>
      </c>
      <c r="F31" s="29" t="s">
        <v>866</v>
      </c>
      <c r="G31" s="11" t="s">
        <v>284</v>
      </c>
      <c r="H31" s="11" t="s">
        <v>58</v>
      </c>
      <c r="I31" s="11" t="s">
        <v>781</v>
      </c>
      <c r="J31" s="87" t="s">
        <v>166</v>
      </c>
      <c r="K31" s="11">
        <v>3.0</v>
      </c>
      <c r="L31" s="11">
        <v>3.0</v>
      </c>
      <c r="M31" s="11">
        <v>25.0</v>
      </c>
      <c r="N31" s="11">
        <v>34.0</v>
      </c>
      <c r="O31" s="11">
        <v>-9.0</v>
      </c>
      <c r="P31" s="11">
        <v>38.0</v>
      </c>
      <c r="Q31" s="11">
        <v>35.0</v>
      </c>
      <c r="R31" s="11">
        <v>24.0</v>
      </c>
      <c r="S31" s="11">
        <v>38.0</v>
      </c>
      <c r="T31" s="11">
        <v>38.0</v>
      </c>
      <c r="U31" s="11">
        <v>33.0</v>
      </c>
      <c r="V31" s="11">
        <v>3.0</v>
      </c>
      <c r="W31" s="11"/>
      <c r="X31" s="11">
        <v>-8.0</v>
      </c>
      <c r="Y31" s="29" t="s">
        <v>866</v>
      </c>
    </row>
    <row r="32" ht="14.25" customHeight="1">
      <c r="A32" s="11"/>
      <c r="B32" s="11">
        <v>2.0</v>
      </c>
      <c r="C32" s="11" t="s">
        <v>106</v>
      </c>
      <c r="D32" s="11">
        <v>3.0</v>
      </c>
      <c r="E32" s="27">
        <v>2.6</v>
      </c>
      <c r="F32" s="29" t="s">
        <v>866</v>
      </c>
      <c r="G32" s="11" t="s">
        <v>183</v>
      </c>
      <c r="H32" s="11" t="s">
        <v>109</v>
      </c>
      <c r="I32" s="11" t="s">
        <v>770</v>
      </c>
      <c r="J32" s="88" t="s">
        <v>233</v>
      </c>
      <c r="K32" s="11">
        <v>1.0</v>
      </c>
      <c r="L32" s="11">
        <v>3.0</v>
      </c>
      <c r="M32" s="11">
        <v>26.0</v>
      </c>
      <c r="N32" s="11">
        <v>29.0</v>
      </c>
      <c r="O32" s="11">
        <v>-3.0</v>
      </c>
      <c r="P32" s="11">
        <v>17.0</v>
      </c>
      <c r="Q32" s="11">
        <v>23.0</v>
      </c>
      <c r="R32" s="11">
        <v>29.0</v>
      </c>
      <c r="S32" s="11">
        <v>23.0</v>
      </c>
      <c r="T32" s="11">
        <v>18.0</v>
      </c>
      <c r="U32" s="11">
        <v>23.0</v>
      </c>
      <c r="V32" s="11">
        <v>2.0</v>
      </c>
      <c r="W32" s="11"/>
      <c r="X32" s="11">
        <v>3.0</v>
      </c>
      <c r="Y32" s="29" t="s">
        <v>866</v>
      </c>
    </row>
    <row r="33" ht="14.25" customHeight="1">
      <c r="A33" s="11"/>
      <c r="B33" s="11">
        <v>3.0</v>
      </c>
      <c r="C33" s="11" t="s">
        <v>106</v>
      </c>
      <c r="D33" s="11">
        <v>3.0</v>
      </c>
      <c r="E33" s="27">
        <v>2.5</v>
      </c>
      <c r="F33" s="29" t="s">
        <v>866</v>
      </c>
      <c r="G33" s="11" t="s">
        <v>138</v>
      </c>
      <c r="H33" s="11" t="s">
        <v>49</v>
      </c>
      <c r="I33" s="11" t="s">
        <v>772</v>
      </c>
      <c r="J33" s="85" t="s">
        <v>847</v>
      </c>
      <c r="K33" s="11">
        <v>11.0</v>
      </c>
      <c r="L33" s="11">
        <v>3.0</v>
      </c>
      <c r="M33" s="11">
        <v>27.0</v>
      </c>
      <c r="N33" s="11">
        <v>31.0</v>
      </c>
      <c r="O33" s="11">
        <v>-4.0</v>
      </c>
      <c r="P33" s="11">
        <v>18.0</v>
      </c>
      <c r="Q33" s="11">
        <v>29.0</v>
      </c>
      <c r="R33" s="11">
        <v>26.0</v>
      </c>
      <c r="S33" s="11">
        <v>25.0</v>
      </c>
      <c r="T33" s="11">
        <v>25.0</v>
      </c>
      <c r="U33" s="11">
        <v>25.0</v>
      </c>
      <c r="V33" s="11">
        <v>3.0</v>
      </c>
      <c r="W33" s="11"/>
      <c r="X33" s="11">
        <v>2.0</v>
      </c>
      <c r="Y33" s="29" t="s">
        <v>866</v>
      </c>
    </row>
    <row r="34" ht="14.25" customHeight="1">
      <c r="A34" s="11"/>
      <c r="B34" s="11">
        <v>2.0</v>
      </c>
      <c r="C34" s="11" t="s">
        <v>106</v>
      </c>
      <c r="D34" s="11">
        <v>3.0</v>
      </c>
      <c r="E34" s="27">
        <v>2.4</v>
      </c>
      <c r="F34" s="29" t="s">
        <v>866</v>
      </c>
      <c r="G34" s="11" t="s">
        <v>136</v>
      </c>
      <c r="H34" s="11" t="s">
        <v>67</v>
      </c>
      <c r="I34" s="11" t="s">
        <v>770</v>
      </c>
      <c r="J34" s="88" t="s">
        <v>233</v>
      </c>
      <c r="K34" s="11">
        <v>2.0</v>
      </c>
      <c r="L34" s="11">
        <v>3.0</v>
      </c>
      <c r="M34" s="11">
        <v>28.0</v>
      </c>
      <c r="N34" s="11">
        <v>28.0</v>
      </c>
      <c r="O34" s="11">
        <v>0.0</v>
      </c>
      <c r="P34" s="11">
        <v>15.0</v>
      </c>
      <c r="Q34" s="11">
        <v>19.0</v>
      </c>
      <c r="R34" s="11">
        <v>27.0</v>
      </c>
      <c r="S34" s="11">
        <v>21.0</v>
      </c>
      <c r="T34" s="11">
        <v>21.0</v>
      </c>
      <c r="U34" s="11">
        <v>22.0</v>
      </c>
      <c r="V34" s="11">
        <v>2.0</v>
      </c>
      <c r="W34" s="11"/>
      <c r="X34" s="11">
        <v>6.0</v>
      </c>
      <c r="Y34" s="29" t="s">
        <v>866</v>
      </c>
    </row>
    <row r="35" ht="14.25" customHeight="1">
      <c r="A35" s="11"/>
      <c r="B35" s="11">
        <v>3.0</v>
      </c>
      <c r="C35" s="11" t="s">
        <v>106</v>
      </c>
      <c r="D35" s="11">
        <v>2.0</v>
      </c>
      <c r="E35" s="27">
        <v>2.7</v>
      </c>
      <c r="F35" s="29" t="s">
        <v>866</v>
      </c>
      <c r="G35" s="11" t="s">
        <v>158</v>
      </c>
      <c r="H35" s="11" t="s">
        <v>45</v>
      </c>
      <c r="I35" s="11" t="s">
        <v>775</v>
      </c>
      <c r="J35" s="36" t="s">
        <v>845</v>
      </c>
      <c r="K35" s="11">
        <v>12.0</v>
      </c>
      <c r="L35" s="11">
        <v>3.0</v>
      </c>
      <c r="M35" s="11">
        <v>29.0</v>
      </c>
      <c r="N35" s="11">
        <v>24.0</v>
      </c>
      <c r="O35" s="11">
        <v>5.0</v>
      </c>
      <c r="P35" s="11">
        <v>32.0</v>
      </c>
      <c r="Q35" s="11">
        <v>26.0</v>
      </c>
      <c r="R35" s="11">
        <v>30.0</v>
      </c>
      <c r="S35" s="11">
        <v>31.0</v>
      </c>
      <c r="T35" s="11">
        <v>33.0</v>
      </c>
      <c r="U35" s="11">
        <v>29.0</v>
      </c>
      <c r="V35" s="11">
        <v>3.0</v>
      </c>
      <c r="W35" s="11"/>
      <c r="X35" s="11">
        <v>0.0</v>
      </c>
      <c r="Y35" s="29" t="s">
        <v>866</v>
      </c>
    </row>
    <row r="36" ht="14.25" customHeight="1">
      <c r="A36" s="11"/>
      <c r="B36" s="11">
        <v>3.0</v>
      </c>
      <c r="C36" s="11" t="s">
        <v>106</v>
      </c>
      <c r="D36" s="11">
        <v>3.0</v>
      </c>
      <c r="E36" s="27">
        <v>2.3</v>
      </c>
      <c r="F36" s="29" t="s">
        <v>866</v>
      </c>
      <c r="G36" s="11" t="s">
        <v>51</v>
      </c>
      <c r="H36" s="11" t="s">
        <v>52</v>
      </c>
      <c r="I36" s="11" t="s">
        <v>775</v>
      </c>
      <c r="J36" s="52" t="s">
        <v>843</v>
      </c>
      <c r="K36" s="11">
        <v>13.0</v>
      </c>
      <c r="L36" s="11">
        <v>3.0</v>
      </c>
      <c r="M36" s="11">
        <v>33.0</v>
      </c>
      <c r="N36" s="11">
        <v>32.0</v>
      </c>
      <c r="O36" s="11">
        <v>1.0</v>
      </c>
      <c r="P36" s="11">
        <v>40.0</v>
      </c>
      <c r="Q36" s="11">
        <v>37.0</v>
      </c>
      <c r="R36" s="11">
        <v>31.0</v>
      </c>
      <c r="S36" s="11">
        <v>29.0</v>
      </c>
      <c r="T36" s="11">
        <v>39.0</v>
      </c>
      <c r="U36" s="11">
        <v>34.0</v>
      </c>
      <c r="V36" s="11">
        <v>3.0</v>
      </c>
      <c r="W36" s="11"/>
      <c r="X36" s="11">
        <v>-1.0</v>
      </c>
      <c r="Y36" s="29" t="s">
        <v>866</v>
      </c>
    </row>
    <row r="37" ht="14.25" customHeight="1">
      <c r="A37" s="11" t="s">
        <v>106</v>
      </c>
      <c r="B37" s="11">
        <v>3.0</v>
      </c>
      <c r="C37" s="11" t="s">
        <v>106</v>
      </c>
      <c r="D37" s="11"/>
      <c r="E37" s="27"/>
      <c r="F37" s="29" t="s">
        <v>866</v>
      </c>
      <c r="G37" s="11" t="s">
        <v>224</v>
      </c>
      <c r="H37" s="11" t="s">
        <v>192</v>
      </c>
      <c r="I37" s="11" t="s">
        <v>770</v>
      </c>
      <c r="J37" s="11" t="s">
        <v>860</v>
      </c>
      <c r="K37" s="11">
        <v>4.0</v>
      </c>
      <c r="L37" s="11">
        <v>3.0</v>
      </c>
      <c r="M37" s="11">
        <v>30.0</v>
      </c>
      <c r="N37" s="11">
        <v>37.0</v>
      </c>
      <c r="O37" s="11">
        <v>-7.0</v>
      </c>
      <c r="P37" s="11">
        <v>30.0</v>
      </c>
      <c r="Q37" s="11">
        <v>27.0</v>
      </c>
      <c r="R37" s="11">
        <v>35.0</v>
      </c>
      <c r="S37" s="11">
        <v>33.0</v>
      </c>
      <c r="T37" s="11">
        <v>29.0</v>
      </c>
      <c r="U37" s="11">
        <v>31.0</v>
      </c>
      <c r="V37" s="11">
        <v>3.0</v>
      </c>
      <c r="W37" s="11"/>
      <c r="X37" s="11">
        <v>-1.0</v>
      </c>
      <c r="Y37" s="29" t="s">
        <v>866</v>
      </c>
    </row>
    <row r="38" ht="14.25" customHeight="1">
      <c r="A38" s="11"/>
      <c r="B38" s="11">
        <v>4.0</v>
      </c>
      <c r="C38" s="11" t="s">
        <v>106</v>
      </c>
      <c r="D38" s="11">
        <v>3.0</v>
      </c>
      <c r="E38" s="27">
        <v>2.2</v>
      </c>
      <c r="F38" s="29" t="s">
        <v>866</v>
      </c>
      <c r="G38" s="11" t="s">
        <v>104</v>
      </c>
      <c r="H38" s="11" t="s">
        <v>105</v>
      </c>
      <c r="I38" s="11" t="s">
        <v>772</v>
      </c>
      <c r="J38" s="85" t="s">
        <v>847</v>
      </c>
      <c r="K38" s="11">
        <v>12.0</v>
      </c>
      <c r="L38" s="11">
        <v>3.0</v>
      </c>
      <c r="M38" s="11">
        <v>31.0</v>
      </c>
      <c r="N38" s="11">
        <v>27.0</v>
      </c>
      <c r="O38" s="11">
        <v>4.0</v>
      </c>
      <c r="P38" s="11">
        <v>37.0</v>
      </c>
      <c r="Q38" s="11">
        <v>39.0</v>
      </c>
      <c r="R38" s="11">
        <v>28.0</v>
      </c>
      <c r="S38" s="11">
        <v>35.0</v>
      </c>
      <c r="T38" s="11">
        <v>45.0</v>
      </c>
      <c r="U38" s="11">
        <v>34.0</v>
      </c>
      <c r="V38" s="11">
        <v>3.0</v>
      </c>
      <c r="W38" s="11"/>
      <c r="X38" s="11">
        <v>-3.0</v>
      </c>
      <c r="Y38" s="29" t="s">
        <v>1062</v>
      </c>
    </row>
    <row r="39" ht="14.25" customHeight="1">
      <c r="A39" s="11"/>
      <c r="B39" s="11">
        <v>4.0</v>
      </c>
      <c r="C39" s="11" t="s">
        <v>106</v>
      </c>
      <c r="D39" s="11">
        <v>3.0</v>
      </c>
      <c r="E39" s="27">
        <v>2.1</v>
      </c>
      <c r="F39" s="29" t="s">
        <v>866</v>
      </c>
      <c r="G39" s="11" t="s">
        <v>220</v>
      </c>
      <c r="H39" s="11" t="s">
        <v>162</v>
      </c>
      <c r="I39" s="11" t="s">
        <v>775</v>
      </c>
      <c r="J39" s="52" t="s">
        <v>843</v>
      </c>
      <c r="K39" s="11">
        <v>15.0</v>
      </c>
      <c r="L39" s="11">
        <v>3.0</v>
      </c>
      <c r="M39" s="11">
        <v>32.0</v>
      </c>
      <c r="N39" s="11">
        <v>33.0</v>
      </c>
      <c r="O39" s="11">
        <v>-1.0</v>
      </c>
      <c r="P39" s="11">
        <v>36.0</v>
      </c>
      <c r="Q39" s="11">
        <v>43.0</v>
      </c>
      <c r="R39" s="11">
        <v>38.0</v>
      </c>
      <c r="S39" s="11">
        <v>39.0</v>
      </c>
      <c r="T39" s="11">
        <v>32.0</v>
      </c>
      <c r="U39" s="11">
        <v>36.0</v>
      </c>
      <c r="V39" s="11">
        <v>4.0</v>
      </c>
      <c r="W39" s="11"/>
      <c r="X39" s="11">
        <v>-4.0</v>
      </c>
      <c r="Y39" s="29" t="s">
        <v>866</v>
      </c>
    </row>
    <row r="40" ht="14.25" customHeight="1">
      <c r="A40" s="11"/>
      <c r="B40" s="11">
        <v>3.0</v>
      </c>
      <c r="C40" s="11" t="s">
        <v>106</v>
      </c>
      <c r="D40" s="11">
        <v>4.0</v>
      </c>
      <c r="E40" s="27">
        <v>3.1</v>
      </c>
      <c r="F40" s="29" t="s">
        <v>866</v>
      </c>
      <c r="G40" s="11" t="s">
        <v>66</v>
      </c>
      <c r="H40" s="11" t="s">
        <v>67</v>
      </c>
      <c r="I40" s="11" t="s">
        <v>772</v>
      </c>
      <c r="J40" s="89" t="s">
        <v>844</v>
      </c>
      <c r="K40" s="11">
        <v>15.0</v>
      </c>
      <c r="L40" s="11">
        <v>3.0</v>
      </c>
      <c r="M40" s="11">
        <v>34.0</v>
      </c>
      <c r="N40" s="11">
        <v>39.0</v>
      </c>
      <c r="O40" s="11">
        <v>-5.0</v>
      </c>
      <c r="P40" s="11">
        <v>26.0</v>
      </c>
      <c r="Q40" s="11">
        <v>32.0</v>
      </c>
      <c r="R40" s="11">
        <v>33.0</v>
      </c>
      <c r="S40" s="11">
        <v>30.0</v>
      </c>
      <c r="T40" s="11">
        <v>30.0</v>
      </c>
      <c r="U40" s="11">
        <v>32.0</v>
      </c>
      <c r="V40" s="11">
        <v>3.0</v>
      </c>
      <c r="W40" s="11"/>
      <c r="X40" s="11">
        <v>2.0</v>
      </c>
      <c r="Y40" s="29" t="s">
        <v>866</v>
      </c>
    </row>
    <row r="41" ht="14.25" customHeight="1">
      <c r="A41" s="11"/>
      <c r="B41" s="11">
        <v>3.0</v>
      </c>
      <c r="C41" s="11" t="s">
        <v>106</v>
      </c>
      <c r="D41" s="11">
        <v>3.0</v>
      </c>
      <c r="E41" s="27">
        <v>3.4</v>
      </c>
      <c r="F41" s="29" t="s">
        <v>106</v>
      </c>
      <c r="G41" s="11" t="s">
        <v>132</v>
      </c>
      <c r="H41" s="11" t="s">
        <v>94</v>
      </c>
      <c r="I41" s="11" t="s">
        <v>775</v>
      </c>
      <c r="J41" s="52" t="s">
        <v>843</v>
      </c>
      <c r="K41" s="11">
        <v>16.0</v>
      </c>
      <c r="L41" s="11">
        <v>4.0</v>
      </c>
      <c r="M41" s="11">
        <v>42.0</v>
      </c>
      <c r="N41" s="11">
        <v>26.0</v>
      </c>
      <c r="O41" s="11">
        <v>16.0</v>
      </c>
      <c r="P41" s="11">
        <v>39.0</v>
      </c>
      <c r="Q41" s="11">
        <v>31.0</v>
      </c>
      <c r="R41" s="11">
        <v>36.0</v>
      </c>
      <c r="S41" s="11">
        <v>27.0</v>
      </c>
      <c r="T41" s="11">
        <v>36.0</v>
      </c>
      <c r="U41" s="11">
        <v>33.0</v>
      </c>
      <c r="V41" s="11">
        <v>3.0</v>
      </c>
      <c r="W41" s="11"/>
      <c r="X41" s="11">
        <v>9.0</v>
      </c>
      <c r="Y41" s="29" t="s">
        <v>1054</v>
      </c>
    </row>
    <row r="42" ht="14.25" customHeight="1">
      <c r="A42" s="11"/>
      <c r="B42" s="11">
        <v>3.0</v>
      </c>
      <c r="C42" s="11" t="s">
        <v>106</v>
      </c>
      <c r="D42" s="11">
        <v>4.0</v>
      </c>
      <c r="E42" s="27">
        <v>3.2</v>
      </c>
      <c r="F42" s="29" t="s">
        <v>866</v>
      </c>
      <c r="G42" s="11" t="s">
        <v>234</v>
      </c>
      <c r="H42" s="11" t="s">
        <v>85</v>
      </c>
      <c r="I42" s="11" t="s">
        <v>770</v>
      </c>
      <c r="J42" s="33" t="s">
        <v>860</v>
      </c>
      <c r="K42" s="11">
        <v>3.0</v>
      </c>
      <c r="L42" s="11">
        <v>3.0</v>
      </c>
      <c r="M42" s="11">
        <v>35.0</v>
      </c>
      <c r="N42" s="11">
        <v>44.0</v>
      </c>
      <c r="O42" s="11">
        <v>-9.0</v>
      </c>
      <c r="P42" s="11">
        <v>31.0</v>
      </c>
      <c r="Q42" s="11">
        <v>28.0</v>
      </c>
      <c r="R42" s="11">
        <v>40.0</v>
      </c>
      <c r="S42" s="11">
        <v>37.0</v>
      </c>
      <c r="T42" s="11">
        <v>34.0</v>
      </c>
      <c r="U42" s="11">
        <v>35.0</v>
      </c>
      <c r="V42" s="11">
        <v>3.0</v>
      </c>
      <c r="W42" s="11"/>
      <c r="X42" s="11">
        <v>0.0</v>
      </c>
      <c r="Y42" s="29" t="s">
        <v>866</v>
      </c>
    </row>
    <row r="43" ht="14.25" customHeight="1">
      <c r="A43" s="11"/>
      <c r="B43" s="11">
        <v>4.0</v>
      </c>
      <c r="C43" s="11" t="s">
        <v>106</v>
      </c>
      <c r="D43" s="11"/>
      <c r="E43" s="27"/>
      <c r="F43" s="29" t="s">
        <v>866</v>
      </c>
      <c r="G43" s="11" t="s">
        <v>156</v>
      </c>
      <c r="H43" s="11" t="s">
        <v>148</v>
      </c>
      <c r="I43" s="11" t="s">
        <v>775</v>
      </c>
      <c r="J43" s="52" t="s">
        <v>843</v>
      </c>
      <c r="K43" s="11">
        <v>17.0</v>
      </c>
      <c r="L43" s="11">
        <v>4.0</v>
      </c>
      <c r="M43" s="11">
        <v>39.0</v>
      </c>
      <c r="N43" s="11">
        <v>35.0</v>
      </c>
      <c r="O43" s="11">
        <v>4.0</v>
      </c>
      <c r="P43" s="11">
        <v>51.0</v>
      </c>
      <c r="Q43" s="11">
        <v>41.0</v>
      </c>
      <c r="R43" s="11">
        <v>39.0</v>
      </c>
      <c r="S43" s="11">
        <v>34.0</v>
      </c>
      <c r="T43" s="11">
        <v>37.0</v>
      </c>
      <c r="U43" s="11">
        <v>39.0</v>
      </c>
      <c r="V43" s="11">
        <v>4.0</v>
      </c>
      <c r="W43" s="11">
        <v>-4.0</v>
      </c>
      <c r="X43" s="11">
        <v>0.0</v>
      </c>
      <c r="Y43" s="29" t="s">
        <v>866</v>
      </c>
    </row>
    <row r="44" ht="14.25" customHeight="1">
      <c r="A44" s="11"/>
      <c r="B44" s="11">
        <v>4.0</v>
      </c>
      <c r="C44" s="11" t="s">
        <v>106</v>
      </c>
      <c r="D44" s="11">
        <v>4.0</v>
      </c>
      <c r="E44" s="27">
        <v>3.5</v>
      </c>
      <c r="F44" s="29" t="s">
        <v>866</v>
      </c>
      <c r="G44" s="11" t="s">
        <v>101</v>
      </c>
      <c r="H44" s="11" t="s">
        <v>52</v>
      </c>
      <c r="I44" s="11" t="s">
        <v>772</v>
      </c>
      <c r="J44" s="89" t="s">
        <v>844</v>
      </c>
      <c r="K44" s="11">
        <v>13.0</v>
      </c>
      <c r="L44" s="11">
        <v>4.0</v>
      </c>
      <c r="M44" s="11">
        <v>38.0</v>
      </c>
      <c r="N44" s="11">
        <v>47.0</v>
      </c>
      <c r="O44" s="11">
        <v>-9.0</v>
      </c>
      <c r="P44" s="11">
        <v>33.0</v>
      </c>
      <c r="Q44" s="11">
        <v>47.0</v>
      </c>
      <c r="R44" s="11">
        <v>34.0</v>
      </c>
      <c r="S44" s="11">
        <v>43.0</v>
      </c>
      <c r="T44" s="11">
        <v>40.0</v>
      </c>
      <c r="U44" s="11">
        <v>40.0</v>
      </c>
      <c r="V44" s="11">
        <v>4.0</v>
      </c>
      <c r="W44" s="11"/>
      <c r="X44" s="11">
        <v>-2.0</v>
      </c>
      <c r="Y44" s="29" t="s">
        <v>866</v>
      </c>
    </row>
    <row r="45" ht="14.25" customHeight="1">
      <c r="A45" s="11"/>
      <c r="B45" s="11">
        <v>4.0</v>
      </c>
      <c r="C45" s="11" t="s">
        <v>106</v>
      </c>
      <c r="D45" s="11">
        <v>3.0</v>
      </c>
      <c r="E45" s="27">
        <v>3.3</v>
      </c>
      <c r="F45" s="29" t="s">
        <v>106</v>
      </c>
      <c r="G45" s="11" t="s">
        <v>228</v>
      </c>
      <c r="H45" s="11" t="s">
        <v>125</v>
      </c>
      <c r="I45" s="11" t="s">
        <v>775</v>
      </c>
      <c r="J45" s="52" t="s">
        <v>843</v>
      </c>
      <c r="K45" s="11">
        <v>14.0</v>
      </c>
      <c r="L45" s="11">
        <v>4.0</v>
      </c>
      <c r="M45" s="11">
        <v>37.0</v>
      </c>
      <c r="N45" s="11">
        <v>30.0</v>
      </c>
      <c r="O45" s="11">
        <v>7.0</v>
      </c>
      <c r="P45" s="11">
        <v>46.0</v>
      </c>
      <c r="Q45" s="11">
        <v>44.0</v>
      </c>
      <c r="R45" s="11">
        <v>41.0</v>
      </c>
      <c r="S45" s="11">
        <v>36.0</v>
      </c>
      <c r="T45" s="11">
        <v>41.0</v>
      </c>
      <c r="U45" s="11">
        <v>39.0</v>
      </c>
      <c r="V45" s="11">
        <v>4.0</v>
      </c>
      <c r="W45" s="11"/>
      <c r="X45" s="11">
        <v>-2.0</v>
      </c>
      <c r="Y45" s="29" t="s">
        <v>1047</v>
      </c>
    </row>
    <row r="46" ht="14.25" customHeight="1">
      <c r="A46" s="11"/>
      <c r="B46" s="11">
        <v>4.0</v>
      </c>
      <c r="C46" s="11" t="s">
        <v>106</v>
      </c>
      <c r="D46" s="11"/>
      <c r="E46" s="27"/>
      <c r="F46" s="29" t="s">
        <v>866</v>
      </c>
      <c r="G46" s="11" t="s">
        <v>288</v>
      </c>
      <c r="H46" s="11" t="s">
        <v>165</v>
      </c>
      <c r="I46" s="11" t="s">
        <v>772</v>
      </c>
      <c r="J46" s="11" t="s">
        <v>844</v>
      </c>
      <c r="K46" s="11">
        <v>17.0</v>
      </c>
      <c r="L46" s="11">
        <v>4.0</v>
      </c>
      <c r="M46" s="11">
        <v>40.0</v>
      </c>
      <c r="N46" s="11">
        <v>54.0</v>
      </c>
      <c r="O46" s="11">
        <v>-14.0</v>
      </c>
      <c r="P46" s="11">
        <v>44.0</v>
      </c>
      <c r="Q46" s="11">
        <v>40.0</v>
      </c>
      <c r="R46" s="11">
        <v>47.0</v>
      </c>
      <c r="S46" s="11">
        <v>45.0</v>
      </c>
      <c r="T46" s="11">
        <v>55.0</v>
      </c>
      <c r="U46" s="11">
        <v>46.0</v>
      </c>
      <c r="V46" s="11">
        <v>4.0</v>
      </c>
      <c r="W46" s="11"/>
      <c r="X46" s="11">
        <v>-6.0</v>
      </c>
      <c r="Y46" s="29" t="s">
        <v>866</v>
      </c>
    </row>
    <row r="47" ht="14.25" customHeight="1">
      <c r="A47" s="11"/>
      <c r="B47" s="11">
        <v>4.0</v>
      </c>
      <c r="C47" s="11" t="s">
        <v>106</v>
      </c>
      <c r="D47" s="11">
        <v>4.0</v>
      </c>
      <c r="E47" s="27">
        <v>3.1</v>
      </c>
      <c r="F47" s="29" t="s">
        <v>866</v>
      </c>
      <c r="G47" s="11" t="s">
        <v>416</v>
      </c>
      <c r="H47" s="11" t="s">
        <v>131</v>
      </c>
      <c r="I47" s="11" t="s">
        <v>772</v>
      </c>
      <c r="J47" s="89" t="s">
        <v>844</v>
      </c>
      <c r="K47" s="11">
        <v>18.0</v>
      </c>
      <c r="L47" s="11">
        <v>4.0</v>
      </c>
      <c r="M47" s="11">
        <v>41.0</v>
      </c>
      <c r="N47" s="11">
        <v>58.0</v>
      </c>
      <c r="O47" s="11">
        <v>-17.0</v>
      </c>
      <c r="P47" s="11">
        <v>28.0</v>
      </c>
      <c r="Q47" s="11">
        <v>38.0</v>
      </c>
      <c r="R47" s="11">
        <v>37.0</v>
      </c>
      <c r="S47" s="11">
        <v>40.0</v>
      </c>
      <c r="T47" s="11">
        <v>44.0</v>
      </c>
      <c r="U47" s="11">
        <v>40.0</v>
      </c>
      <c r="V47" s="11">
        <v>4.0</v>
      </c>
      <c r="W47" s="11"/>
      <c r="X47" s="11">
        <v>1.0</v>
      </c>
      <c r="Y47" s="29" t="s">
        <v>866</v>
      </c>
    </row>
    <row r="48" ht="14.25" customHeight="1">
      <c r="A48" s="11"/>
      <c r="B48" s="11">
        <v>4.0</v>
      </c>
      <c r="C48" s="11" t="s">
        <v>106</v>
      </c>
      <c r="D48" s="11">
        <v>3.0</v>
      </c>
      <c r="E48" s="27">
        <v>3.6</v>
      </c>
      <c r="F48" s="29" t="s">
        <v>866</v>
      </c>
      <c r="G48" s="11" t="s">
        <v>191</v>
      </c>
      <c r="H48" s="11" t="s">
        <v>192</v>
      </c>
      <c r="I48" s="11" t="s">
        <v>775</v>
      </c>
      <c r="J48" s="48" t="s">
        <v>852</v>
      </c>
      <c r="K48" s="11">
        <v>17.0</v>
      </c>
      <c r="L48" s="11">
        <v>4.0</v>
      </c>
      <c r="M48" s="11">
        <v>36.0</v>
      </c>
      <c r="N48" s="11">
        <v>41.0</v>
      </c>
      <c r="O48" s="11">
        <v>-5.0</v>
      </c>
      <c r="P48" s="11">
        <v>45.0</v>
      </c>
      <c r="Q48" s="11">
        <v>36.0</v>
      </c>
      <c r="R48" s="11">
        <v>46.0</v>
      </c>
      <c r="S48" s="11">
        <v>42.0</v>
      </c>
      <c r="T48" s="11">
        <v>28.0</v>
      </c>
      <c r="U48" s="11">
        <v>39.0</v>
      </c>
      <c r="V48" s="11">
        <v>4.0</v>
      </c>
      <c r="W48" s="11"/>
      <c r="X48" s="11">
        <v>-3.0</v>
      </c>
      <c r="Y48" s="29" t="s">
        <v>1056</v>
      </c>
    </row>
    <row r="49" ht="14.25" customHeight="1">
      <c r="A49" s="11"/>
      <c r="B49" s="11">
        <v>4.0</v>
      </c>
      <c r="C49" s="11" t="s">
        <v>106</v>
      </c>
      <c r="D49" s="11">
        <v>4.0</v>
      </c>
      <c r="E49" s="27">
        <v>3.9</v>
      </c>
      <c r="F49" s="29" t="s">
        <v>866</v>
      </c>
      <c r="G49" s="11" t="s">
        <v>498</v>
      </c>
      <c r="H49" s="11" t="s">
        <v>125</v>
      </c>
      <c r="I49" s="11" t="s">
        <v>772</v>
      </c>
      <c r="J49" s="89" t="s">
        <v>844</v>
      </c>
      <c r="K49" s="11">
        <v>19.0</v>
      </c>
      <c r="L49" s="11">
        <v>4.0</v>
      </c>
      <c r="M49" s="11">
        <v>44.0</v>
      </c>
      <c r="N49" s="11">
        <v>62.0</v>
      </c>
      <c r="O49" s="11">
        <v>-18.0</v>
      </c>
      <c r="P49" s="11">
        <v>42.0</v>
      </c>
      <c r="Q49" s="11">
        <v>46.0</v>
      </c>
      <c r="R49" s="11">
        <v>49.0</v>
      </c>
      <c r="S49" s="11">
        <v>47.0</v>
      </c>
      <c r="T49" s="11">
        <v>49.0</v>
      </c>
      <c r="U49" s="11">
        <v>48.0</v>
      </c>
      <c r="V49" s="11">
        <v>5.0</v>
      </c>
      <c r="W49" s="11">
        <v>-1.0</v>
      </c>
      <c r="X49" s="11">
        <v>-4.0</v>
      </c>
      <c r="Y49" s="29" t="s">
        <v>866</v>
      </c>
    </row>
    <row r="50" ht="14.25" customHeight="1">
      <c r="A50" s="11"/>
      <c r="B50" s="11">
        <v>4.0</v>
      </c>
      <c r="C50" s="11" t="s">
        <v>106</v>
      </c>
      <c r="D50" s="11">
        <v>3.0</v>
      </c>
      <c r="E50" s="27">
        <v>3.8</v>
      </c>
      <c r="F50" s="29" t="s">
        <v>866</v>
      </c>
      <c r="G50" s="11" t="s">
        <v>197</v>
      </c>
      <c r="H50" s="11" t="s">
        <v>49</v>
      </c>
      <c r="I50" s="11" t="s">
        <v>775</v>
      </c>
      <c r="J50" s="48" t="s">
        <v>852</v>
      </c>
      <c r="K50" s="11">
        <v>19.0</v>
      </c>
      <c r="L50" s="11">
        <v>4.0</v>
      </c>
      <c r="M50" s="11">
        <v>43.0</v>
      </c>
      <c r="N50" s="11">
        <v>36.0</v>
      </c>
      <c r="O50" s="11">
        <v>7.0</v>
      </c>
      <c r="P50" s="11">
        <v>34.0</v>
      </c>
      <c r="Q50" s="11">
        <v>34.0</v>
      </c>
      <c r="R50" s="11">
        <v>43.0</v>
      </c>
      <c r="S50" s="11">
        <v>44.0</v>
      </c>
      <c r="T50" s="11">
        <v>48.0</v>
      </c>
      <c r="U50" s="11">
        <v>40.0</v>
      </c>
      <c r="V50" s="11">
        <v>4.0</v>
      </c>
      <c r="W50" s="11"/>
      <c r="X50" s="11">
        <v>3.0</v>
      </c>
      <c r="Y50" s="29" t="s">
        <v>866</v>
      </c>
    </row>
    <row r="51" ht="14.25" customHeight="1">
      <c r="A51" s="11" t="s">
        <v>72</v>
      </c>
      <c r="B51" s="11">
        <v>4.0</v>
      </c>
      <c r="C51" s="11" t="s">
        <v>106</v>
      </c>
      <c r="D51" s="11">
        <v>4.0</v>
      </c>
      <c r="E51" s="27">
        <v>3.7</v>
      </c>
      <c r="F51" s="29" t="s">
        <v>866</v>
      </c>
      <c r="G51" s="11" t="s">
        <v>147</v>
      </c>
      <c r="H51" s="11" t="s">
        <v>148</v>
      </c>
      <c r="I51" s="11" t="s">
        <v>772</v>
      </c>
      <c r="J51" s="89" t="s">
        <v>844</v>
      </c>
      <c r="K51" s="11">
        <v>16.0</v>
      </c>
      <c r="L51" s="11">
        <v>5.0</v>
      </c>
      <c r="M51" s="11">
        <v>50.0</v>
      </c>
      <c r="N51" s="11">
        <v>46.0</v>
      </c>
      <c r="O51" s="11">
        <v>4.0</v>
      </c>
      <c r="P51" s="11">
        <v>41.0</v>
      </c>
      <c r="Q51" s="11">
        <v>51.0</v>
      </c>
      <c r="R51" s="11">
        <v>42.0</v>
      </c>
      <c r="S51" s="11">
        <v>32.0</v>
      </c>
      <c r="T51" s="11">
        <v>31.0</v>
      </c>
      <c r="U51" s="11">
        <v>41.0</v>
      </c>
      <c r="V51" s="11">
        <v>4.0</v>
      </c>
      <c r="W51" s="11"/>
      <c r="X51" s="11">
        <v>9.0</v>
      </c>
      <c r="Y51" s="29" t="s">
        <v>866</v>
      </c>
    </row>
    <row r="52" ht="14.25" customHeight="1">
      <c r="A52" s="11"/>
      <c r="B52" s="11">
        <v>3.0</v>
      </c>
      <c r="C52" s="11" t="s">
        <v>106</v>
      </c>
      <c r="D52" s="11">
        <v>5.0</v>
      </c>
      <c r="E52" s="27">
        <v>4.5</v>
      </c>
      <c r="F52" s="29" t="s">
        <v>866</v>
      </c>
      <c r="G52" s="11" t="s">
        <v>212</v>
      </c>
      <c r="H52" s="11" t="s">
        <v>45</v>
      </c>
      <c r="I52" s="11" t="s">
        <v>770</v>
      </c>
      <c r="J52" s="33" t="s">
        <v>860</v>
      </c>
      <c r="K52" s="11">
        <v>5.0</v>
      </c>
      <c r="L52" s="11">
        <v>5.0</v>
      </c>
      <c r="M52" s="11">
        <v>53.0</v>
      </c>
      <c r="N52" s="11">
        <v>63.0</v>
      </c>
      <c r="O52" s="11">
        <v>-10.0</v>
      </c>
      <c r="P52" s="11">
        <v>25.0</v>
      </c>
      <c r="Q52" s="11">
        <v>33.0</v>
      </c>
      <c r="R52" s="11">
        <v>45.0</v>
      </c>
      <c r="S52" s="11">
        <v>41.0</v>
      </c>
      <c r="T52" s="11">
        <v>35.0</v>
      </c>
      <c r="U52" s="11">
        <v>42.0</v>
      </c>
      <c r="V52" s="11">
        <v>4.0</v>
      </c>
      <c r="W52" s="11"/>
      <c r="X52" s="11">
        <v>11.0</v>
      </c>
      <c r="Y52" s="29" t="s">
        <v>866</v>
      </c>
    </row>
    <row r="53" ht="14.25" customHeight="1">
      <c r="A53" s="11"/>
      <c r="B53" s="11">
        <v>4.0</v>
      </c>
      <c r="C53" s="11" t="s">
        <v>106</v>
      </c>
      <c r="D53" s="11">
        <v>4.0</v>
      </c>
      <c r="E53" s="27">
        <v>4.2</v>
      </c>
      <c r="F53" s="29" t="s">
        <v>106</v>
      </c>
      <c r="G53" s="11" t="s">
        <v>216</v>
      </c>
      <c r="H53" s="11" t="s">
        <v>116</v>
      </c>
      <c r="I53" s="11" t="s">
        <v>772</v>
      </c>
      <c r="J53" s="89" t="s">
        <v>844</v>
      </c>
      <c r="K53" s="11">
        <v>14.0</v>
      </c>
      <c r="L53" s="11">
        <v>4.0</v>
      </c>
      <c r="M53" s="11">
        <v>46.0</v>
      </c>
      <c r="N53" s="11">
        <v>43.0</v>
      </c>
      <c r="O53" s="11">
        <v>3.0</v>
      </c>
      <c r="P53" s="11">
        <v>43.0</v>
      </c>
      <c r="Q53" s="11">
        <v>48.0</v>
      </c>
      <c r="R53" s="11">
        <v>32.0</v>
      </c>
      <c r="S53" s="11">
        <v>54.0</v>
      </c>
      <c r="T53" s="11">
        <v>54.0</v>
      </c>
      <c r="U53" s="11">
        <v>45.0</v>
      </c>
      <c r="V53" s="11">
        <v>4.0</v>
      </c>
      <c r="W53" s="11"/>
      <c r="X53" s="11">
        <v>1.0</v>
      </c>
      <c r="Y53" s="29" t="s">
        <v>1064</v>
      </c>
    </row>
    <row r="54" ht="14.25" customHeight="1">
      <c r="A54" s="11"/>
      <c r="B54" s="11">
        <v>5.0</v>
      </c>
      <c r="C54" s="11" t="s">
        <v>106</v>
      </c>
      <c r="D54" s="11">
        <v>3.0</v>
      </c>
      <c r="E54" s="27">
        <v>4.11</v>
      </c>
      <c r="F54" s="29" t="s">
        <v>866</v>
      </c>
      <c r="G54" s="11" t="s">
        <v>250</v>
      </c>
      <c r="H54" s="11" t="s">
        <v>237</v>
      </c>
      <c r="I54" s="11" t="s">
        <v>775</v>
      </c>
      <c r="J54" s="48" t="s">
        <v>852</v>
      </c>
      <c r="K54" s="11">
        <v>20.0</v>
      </c>
      <c r="L54" s="11">
        <v>5.0</v>
      </c>
      <c r="M54" s="11">
        <v>49.0</v>
      </c>
      <c r="N54" s="11">
        <v>50.0</v>
      </c>
      <c r="O54" s="11">
        <v>-1.0</v>
      </c>
      <c r="P54" s="11">
        <v>48.0</v>
      </c>
      <c r="Q54" s="11">
        <v>45.0</v>
      </c>
      <c r="R54" s="11">
        <v>52.0</v>
      </c>
      <c r="S54" s="11">
        <v>46.0</v>
      </c>
      <c r="T54" s="11">
        <v>52.0</v>
      </c>
      <c r="U54" s="11">
        <v>48.0</v>
      </c>
      <c r="V54" s="11">
        <v>5.0</v>
      </c>
      <c r="W54" s="11"/>
      <c r="X54" s="11">
        <v>1.0</v>
      </c>
      <c r="Y54" s="29" t="s">
        <v>866</v>
      </c>
    </row>
    <row r="55" ht="14.25" customHeight="1">
      <c r="A55" s="11"/>
      <c r="B55" s="11">
        <v>5.0</v>
      </c>
      <c r="C55" s="11" t="s">
        <v>106</v>
      </c>
      <c r="D55" s="11">
        <v>5.0</v>
      </c>
      <c r="E55" s="27">
        <v>4.7</v>
      </c>
      <c r="F55" s="29" t="s">
        <v>866</v>
      </c>
      <c r="G55" s="11" t="s">
        <v>187</v>
      </c>
      <c r="H55" s="11" t="s">
        <v>171</v>
      </c>
      <c r="I55" s="11" t="s">
        <v>775</v>
      </c>
      <c r="J55" s="58" t="s">
        <v>864</v>
      </c>
      <c r="K55" s="11">
        <v>28.0</v>
      </c>
      <c r="L55" s="11">
        <v>6.0</v>
      </c>
      <c r="M55" s="11">
        <v>60.0</v>
      </c>
      <c r="N55" s="11">
        <v>49.0</v>
      </c>
      <c r="O55" s="11">
        <v>11.0</v>
      </c>
      <c r="P55" s="11">
        <v>52.0</v>
      </c>
      <c r="Q55" s="11">
        <v>54.0</v>
      </c>
      <c r="R55" s="11">
        <v>55.0</v>
      </c>
      <c r="S55" s="11">
        <v>48.0</v>
      </c>
      <c r="T55" s="11">
        <v>46.0</v>
      </c>
      <c r="U55" s="11">
        <v>52.0</v>
      </c>
      <c r="V55" s="11">
        <v>5.0</v>
      </c>
      <c r="W55" s="11">
        <v>0.0</v>
      </c>
      <c r="X55" s="11">
        <v>8.0</v>
      </c>
      <c r="Y55" s="29" t="s">
        <v>866</v>
      </c>
    </row>
    <row r="56" ht="14.25" customHeight="1">
      <c r="A56" s="11"/>
      <c r="B56" s="11">
        <v>5.0</v>
      </c>
      <c r="C56" s="11" t="s">
        <v>106</v>
      </c>
      <c r="D56" s="11">
        <v>5.0</v>
      </c>
      <c r="E56" s="27">
        <v>4.1</v>
      </c>
      <c r="F56" s="29" t="s">
        <v>866</v>
      </c>
      <c r="G56" s="11" t="s">
        <v>353</v>
      </c>
      <c r="H56" s="11" t="s">
        <v>102</v>
      </c>
      <c r="I56" s="11" t="s">
        <v>775</v>
      </c>
      <c r="J56" s="48" t="s">
        <v>852</v>
      </c>
      <c r="K56" s="11">
        <v>22.0</v>
      </c>
      <c r="L56" s="11">
        <v>5.0</v>
      </c>
      <c r="M56" s="11">
        <v>51.0</v>
      </c>
      <c r="N56" s="11">
        <v>40.0</v>
      </c>
      <c r="O56" s="11">
        <v>11.0</v>
      </c>
      <c r="P56" s="11">
        <v>50.0</v>
      </c>
      <c r="Q56" s="11">
        <v>50.0</v>
      </c>
      <c r="R56" s="11">
        <v>48.0</v>
      </c>
      <c r="S56" s="11">
        <v>58.0</v>
      </c>
      <c r="T56" s="11">
        <v>68.0</v>
      </c>
      <c r="U56" s="11">
        <v>52.0</v>
      </c>
      <c r="V56" s="11">
        <v>5.0</v>
      </c>
      <c r="W56" s="11"/>
      <c r="X56" s="11">
        <v>-1.0</v>
      </c>
      <c r="Y56" s="29" t="s">
        <v>1047</v>
      </c>
    </row>
    <row r="57" ht="14.25" customHeight="1">
      <c r="A57" s="11"/>
      <c r="B57" s="11">
        <v>5.0</v>
      </c>
      <c r="C57" s="11" t="s">
        <v>106</v>
      </c>
      <c r="D57" s="11">
        <v>4.0</v>
      </c>
      <c r="E57" s="27">
        <v>3.11</v>
      </c>
      <c r="F57" s="29" t="s">
        <v>866</v>
      </c>
      <c r="G57" s="11" t="s">
        <v>142</v>
      </c>
      <c r="H57" s="11" t="s">
        <v>85</v>
      </c>
      <c r="I57" s="11" t="s">
        <v>775</v>
      </c>
      <c r="J57" s="48" t="s">
        <v>852</v>
      </c>
      <c r="K57" s="11">
        <v>18.0</v>
      </c>
      <c r="L57" s="11">
        <v>4.0</v>
      </c>
      <c r="M57" s="11">
        <v>45.0</v>
      </c>
      <c r="N57" s="11">
        <v>52.0</v>
      </c>
      <c r="O57" s="11">
        <v>-7.0</v>
      </c>
      <c r="P57" s="11">
        <v>60.0</v>
      </c>
      <c r="Q57" s="11">
        <v>61.0</v>
      </c>
      <c r="R57" s="11">
        <v>60.0</v>
      </c>
      <c r="S57" s="11">
        <v>53.0</v>
      </c>
      <c r="T57" s="11">
        <v>60.0</v>
      </c>
      <c r="U57" s="11">
        <v>55.0</v>
      </c>
      <c r="V57" s="11">
        <v>5.0</v>
      </c>
      <c r="W57" s="11"/>
      <c r="X57" s="11">
        <v>-10.0</v>
      </c>
      <c r="Y57" s="29" t="s">
        <v>866</v>
      </c>
    </row>
    <row r="58" ht="14.25" customHeight="1">
      <c r="A58" s="11"/>
      <c r="B58" s="11">
        <v>5.0</v>
      </c>
      <c r="C58" s="11" t="s">
        <v>106</v>
      </c>
      <c r="D58" s="11">
        <v>4.0</v>
      </c>
      <c r="E58" s="27">
        <v>4.3</v>
      </c>
      <c r="F58" s="29" t="s">
        <v>866</v>
      </c>
      <c r="G58" s="11" t="s">
        <v>203</v>
      </c>
      <c r="H58" s="11" t="s">
        <v>35</v>
      </c>
      <c r="I58" s="11" t="s">
        <v>775</v>
      </c>
      <c r="J58" s="58" t="s">
        <v>864</v>
      </c>
      <c r="K58" s="11">
        <v>23.0</v>
      </c>
      <c r="L58" s="11">
        <v>5.0</v>
      </c>
      <c r="M58" s="11">
        <v>57.0</v>
      </c>
      <c r="N58" s="11">
        <v>45.0</v>
      </c>
      <c r="O58" s="11">
        <v>12.0</v>
      </c>
      <c r="P58" s="11">
        <v>64.0</v>
      </c>
      <c r="Q58" s="11">
        <v>65.0</v>
      </c>
      <c r="R58" s="11">
        <v>57.0</v>
      </c>
      <c r="S58" s="11">
        <v>60.0</v>
      </c>
      <c r="T58" s="11">
        <v>51.0</v>
      </c>
      <c r="U58" s="11">
        <v>57.0</v>
      </c>
      <c r="V58" s="11">
        <v>5.0</v>
      </c>
      <c r="W58" s="11"/>
      <c r="X58" s="11">
        <v>0.0</v>
      </c>
      <c r="Y58" s="29" t="s">
        <v>866</v>
      </c>
    </row>
    <row r="59" ht="14.25" customHeight="1">
      <c r="A59" s="11"/>
      <c r="B59" s="11">
        <v>6.0</v>
      </c>
      <c r="C59" s="11" t="s">
        <v>106</v>
      </c>
      <c r="D59" s="11">
        <v>3.0</v>
      </c>
      <c r="E59" s="27">
        <v>4.12</v>
      </c>
      <c r="F59" s="29" t="s">
        <v>106</v>
      </c>
      <c r="G59" s="11" t="s">
        <v>121</v>
      </c>
      <c r="H59" s="11" t="s">
        <v>71</v>
      </c>
      <c r="I59" s="11" t="s">
        <v>775</v>
      </c>
      <c r="J59" s="48" t="s">
        <v>852</v>
      </c>
      <c r="K59" s="11">
        <v>21.0</v>
      </c>
      <c r="L59" s="11">
        <v>4.0</v>
      </c>
      <c r="M59" s="11">
        <v>47.0</v>
      </c>
      <c r="N59" s="11">
        <v>42.0</v>
      </c>
      <c r="O59" s="11">
        <v>5.0</v>
      </c>
      <c r="P59" s="11">
        <v>62.0</v>
      </c>
      <c r="Q59" s="11">
        <v>67.0</v>
      </c>
      <c r="R59" s="11">
        <v>54.0</v>
      </c>
      <c r="S59" s="11">
        <v>62.0</v>
      </c>
      <c r="T59" s="11">
        <v>75.0</v>
      </c>
      <c r="U59" s="11">
        <v>58.0</v>
      </c>
      <c r="V59" s="11">
        <v>5.0</v>
      </c>
      <c r="W59" s="11">
        <v>-2.0</v>
      </c>
      <c r="X59" s="11">
        <v>-11.0</v>
      </c>
      <c r="Y59" s="29" t="s">
        <v>866</v>
      </c>
    </row>
    <row r="60" ht="14.25" customHeight="1">
      <c r="A60" s="11"/>
      <c r="B60" s="11">
        <v>6.0</v>
      </c>
      <c r="C60" s="11" t="s">
        <v>106</v>
      </c>
      <c r="D60" s="11">
        <v>4.0</v>
      </c>
      <c r="E60" s="27">
        <v>5.1</v>
      </c>
      <c r="F60" s="29" t="s">
        <v>106</v>
      </c>
      <c r="G60" s="11" t="s">
        <v>164</v>
      </c>
      <c r="H60" s="11" t="s">
        <v>165</v>
      </c>
      <c r="I60" s="11" t="s">
        <v>775</v>
      </c>
      <c r="J60" s="58" t="s">
        <v>864</v>
      </c>
      <c r="K60" s="11">
        <v>24.0</v>
      </c>
      <c r="L60" s="11">
        <v>5.0</v>
      </c>
      <c r="M60" s="11">
        <v>55.0</v>
      </c>
      <c r="N60" s="11">
        <v>38.0</v>
      </c>
      <c r="O60" s="11">
        <v>17.0</v>
      </c>
      <c r="P60" s="11">
        <v>65.0</v>
      </c>
      <c r="Q60" s="11">
        <v>62.0</v>
      </c>
      <c r="R60" s="11">
        <v>44.0</v>
      </c>
      <c r="S60" s="11">
        <v>59.0</v>
      </c>
      <c r="T60" s="11">
        <v>72.0</v>
      </c>
      <c r="U60" s="11">
        <v>56.0</v>
      </c>
      <c r="V60" s="11">
        <v>5.0</v>
      </c>
      <c r="W60" s="11"/>
      <c r="X60" s="11">
        <v>-1.0</v>
      </c>
      <c r="Y60" s="29" t="s">
        <v>1058</v>
      </c>
    </row>
    <row r="61" ht="14.25" customHeight="1">
      <c r="A61" s="11"/>
      <c r="B61" s="11">
        <v>6.0</v>
      </c>
      <c r="C61" s="11" t="s">
        <v>106</v>
      </c>
      <c r="D61" s="11">
        <v>5.0</v>
      </c>
      <c r="E61" s="27">
        <v>4.8</v>
      </c>
      <c r="F61" s="29" t="s">
        <v>866</v>
      </c>
      <c r="G61" s="11" t="s">
        <v>150</v>
      </c>
      <c r="H61" s="11" t="s">
        <v>109</v>
      </c>
      <c r="I61" s="11" t="s">
        <v>775</v>
      </c>
      <c r="J61" s="58" t="s">
        <v>864</v>
      </c>
      <c r="K61" s="11">
        <v>27.0</v>
      </c>
      <c r="L61" s="11">
        <v>5.0</v>
      </c>
      <c r="M61" s="11">
        <v>52.0</v>
      </c>
      <c r="N61" s="11">
        <v>57.0</v>
      </c>
      <c r="O61" s="11">
        <v>-5.0</v>
      </c>
      <c r="P61" s="11">
        <v>63.0</v>
      </c>
      <c r="Q61" s="11">
        <v>55.0</v>
      </c>
      <c r="R61" s="11">
        <v>65.0</v>
      </c>
      <c r="S61" s="11">
        <v>55.0</v>
      </c>
      <c r="T61" s="11">
        <v>73.0</v>
      </c>
      <c r="U61" s="11">
        <v>60.0</v>
      </c>
      <c r="V61" s="11">
        <v>6.0</v>
      </c>
      <c r="W61" s="11"/>
      <c r="X61" s="11">
        <v>-8.0</v>
      </c>
      <c r="Y61" s="29" t="s">
        <v>866</v>
      </c>
    </row>
    <row r="62" ht="14.25" customHeight="1">
      <c r="A62" s="11"/>
      <c r="B62" s="11">
        <v>5.0</v>
      </c>
      <c r="C62" s="11" t="s">
        <v>106</v>
      </c>
      <c r="D62" s="11">
        <v>7.0</v>
      </c>
      <c r="E62" s="27">
        <v>6.11</v>
      </c>
      <c r="F62" s="29" t="s">
        <v>866</v>
      </c>
      <c r="G62" s="11" t="s">
        <v>319</v>
      </c>
      <c r="H62" s="11" t="s">
        <v>102</v>
      </c>
      <c r="I62" s="11" t="s">
        <v>770</v>
      </c>
      <c r="J62" s="40" t="s">
        <v>856</v>
      </c>
      <c r="K62" s="11">
        <v>9.0</v>
      </c>
      <c r="L62" s="11">
        <v>7.0</v>
      </c>
      <c r="M62" s="11">
        <v>76.0</v>
      </c>
      <c r="N62" s="11">
        <v>80.0</v>
      </c>
      <c r="O62" s="11">
        <v>-4.0</v>
      </c>
      <c r="P62" s="11">
        <v>47.0</v>
      </c>
      <c r="Q62" s="11">
        <v>42.0</v>
      </c>
      <c r="R62" s="11">
        <v>73.0</v>
      </c>
      <c r="S62" s="11">
        <v>57.0</v>
      </c>
      <c r="T62" s="11">
        <v>42.0</v>
      </c>
      <c r="U62" s="11">
        <v>59.0</v>
      </c>
      <c r="V62" s="11">
        <v>5.0</v>
      </c>
      <c r="W62" s="11"/>
      <c r="X62" s="11">
        <v>17.0</v>
      </c>
      <c r="Y62" s="29" t="s">
        <v>866</v>
      </c>
    </row>
    <row r="63" ht="14.25" customHeight="1">
      <c r="A63" s="11"/>
      <c r="B63" s="11">
        <v>6.0</v>
      </c>
      <c r="C63" s="11" t="s">
        <v>106</v>
      </c>
      <c r="D63" s="11">
        <v>4.0</v>
      </c>
      <c r="E63" s="27">
        <v>4.4</v>
      </c>
      <c r="F63" s="29" t="s">
        <v>106</v>
      </c>
      <c r="G63" s="11" t="s">
        <v>275</v>
      </c>
      <c r="H63" s="11" t="s">
        <v>176</v>
      </c>
      <c r="I63" s="11" t="s">
        <v>772</v>
      </c>
      <c r="J63" s="80" t="s">
        <v>851</v>
      </c>
      <c r="K63" s="11">
        <v>20.0</v>
      </c>
      <c r="L63" s="11">
        <v>5.0</v>
      </c>
      <c r="M63" s="11">
        <v>56.0</v>
      </c>
      <c r="N63" s="11">
        <v>61.0</v>
      </c>
      <c r="O63" s="11">
        <v>-5.0</v>
      </c>
      <c r="P63" s="11">
        <v>55.0</v>
      </c>
      <c r="Q63" s="11">
        <v>75.0</v>
      </c>
      <c r="R63" s="11">
        <v>51.0</v>
      </c>
      <c r="S63" s="11">
        <v>56.0</v>
      </c>
      <c r="T63" s="11">
        <v>70.0</v>
      </c>
      <c r="U63" s="11">
        <v>60.0</v>
      </c>
      <c r="V63" s="11">
        <v>6.0</v>
      </c>
      <c r="W63" s="11"/>
      <c r="X63" s="11">
        <v>-4.0</v>
      </c>
      <c r="Y63" s="29" t="s">
        <v>1067</v>
      </c>
    </row>
    <row r="64" ht="14.25" customHeight="1">
      <c r="A64" s="11"/>
      <c r="B64" s="11">
        <v>5.0</v>
      </c>
      <c r="C64" s="11" t="s">
        <v>106</v>
      </c>
      <c r="D64" s="11">
        <v>5.0</v>
      </c>
      <c r="E64" s="27">
        <v>5.6</v>
      </c>
      <c r="F64" s="29" t="s">
        <v>95</v>
      </c>
      <c r="G64" s="11" t="s">
        <v>181</v>
      </c>
      <c r="H64" s="11" t="s">
        <v>171</v>
      </c>
      <c r="I64" s="11" t="s">
        <v>772</v>
      </c>
      <c r="J64" s="80" t="s">
        <v>851</v>
      </c>
      <c r="K64" s="11">
        <v>26.0</v>
      </c>
      <c r="L64" s="11">
        <v>6.0</v>
      </c>
      <c r="M64" s="11">
        <v>64.0</v>
      </c>
      <c r="N64" s="11">
        <v>70.0</v>
      </c>
      <c r="O64" s="11">
        <v>-6.0</v>
      </c>
      <c r="P64" s="11">
        <v>49.0</v>
      </c>
      <c r="Q64" s="11">
        <v>53.0</v>
      </c>
      <c r="R64" s="11">
        <v>56.0</v>
      </c>
      <c r="S64" s="11">
        <v>68.0</v>
      </c>
      <c r="T64" s="11">
        <v>57.0</v>
      </c>
      <c r="U64" s="11">
        <v>59.0</v>
      </c>
      <c r="V64" s="11">
        <v>5.0</v>
      </c>
      <c r="W64" s="11"/>
      <c r="X64" s="11">
        <v>5.0</v>
      </c>
      <c r="Y64" s="29" t="s">
        <v>866</v>
      </c>
    </row>
    <row r="65" ht="14.25" customHeight="1">
      <c r="A65" s="11"/>
      <c r="B65" s="11">
        <v>5.0</v>
      </c>
      <c r="C65" s="11" t="s">
        <v>106</v>
      </c>
      <c r="D65" s="11">
        <v>5.0</v>
      </c>
      <c r="E65" s="27"/>
      <c r="F65" s="29" t="s">
        <v>106</v>
      </c>
      <c r="G65" s="11" t="s">
        <v>261</v>
      </c>
      <c r="H65" s="11" t="s">
        <v>176</v>
      </c>
      <c r="I65" s="11" t="s">
        <v>775</v>
      </c>
      <c r="J65" s="58" t="s">
        <v>864</v>
      </c>
      <c r="K65" s="11">
        <v>26.0</v>
      </c>
      <c r="L65" s="11">
        <v>5.0</v>
      </c>
      <c r="M65" s="11">
        <v>59.0</v>
      </c>
      <c r="N65" s="11">
        <v>48.0</v>
      </c>
      <c r="O65" s="11">
        <v>11.0</v>
      </c>
      <c r="P65" s="11">
        <v>53.0</v>
      </c>
      <c r="Q65" s="11">
        <v>58.0</v>
      </c>
      <c r="R65" s="11">
        <v>50.0</v>
      </c>
      <c r="S65" s="11">
        <v>50.0</v>
      </c>
      <c r="T65" s="11">
        <v>56.0</v>
      </c>
      <c r="U65" s="11">
        <v>53.0</v>
      </c>
      <c r="V65" s="11">
        <v>5.0</v>
      </c>
      <c r="W65" s="11"/>
      <c r="X65" s="11">
        <v>6.0</v>
      </c>
      <c r="Y65" s="29" t="s">
        <v>866</v>
      </c>
    </row>
    <row r="66" ht="14.25" customHeight="1">
      <c r="A66" s="11"/>
      <c r="B66" s="11">
        <v>6.0</v>
      </c>
      <c r="C66" s="11" t="s">
        <v>106</v>
      </c>
      <c r="D66" s="11">
        <v>4.0</v>
      </c>
      <c r="E66" s="27">
        <v>4.1</v>
      </c>
      <c r="F66" s="29" t="s">
        <v>106</v>
      </c>
      <c r="G66" s="11" t="s">
        <v>444</v>
      </c>
      <c r="H66" s="11" t="s">
        <v>231</v>
      </c>
      <c r="I66" s="11" t="s">
        <v>775</v>
      </c>
      <c r="J66" s="58" t="s">
        <v>864</v>
      </c>
      <c r="K66" s="11">
        <v>25.0</v>
      </c>
      <c r="L66" s="11">
        <v>5.0</v>
      </c>
      <c r="M66" s="11">
        <v>58.0</v>
      </c>
      <c r="N66" s="11">
        <v>51.0</v>
      </c>
      <c r="O66" s="11">
        <v>7.0</v>
      </c>
      <c r="P66" s="11">
        <v>67.0</v>
      </c>
      <c r="Q66" s="11">
        <v>60.0</v>
      </c>
      <c r="R66" s="11">
        <v>59.0</v>
      </c>
      <c r="S66" s="11">
        <v>72.0</v>
      </c>
      <c r="T66" s="11">
        <v>66.0</v>
      </c>
      <c r="U66" s="11">
        <v>61.0</v>
      </c>
      <c r="V66" s="11">
        <v>6.0</v>
      </c>
      <c r="W66" s="11"/>
      <c r="X66" s="11">
        <v>-3.0</v>
      </c>
      <c r="Y66" s="29" t="s">
        <v>866</v>
      </c>
    </row>
    <row r="67" ht="14.25" customHeight="1">
      <c r="A67" s="11"/>
      <c r="B67" s="11">
        <v>6.0</v>
      </c>
      <c r="C67" s="11" t="s">
        <v>106</v>
      </c>
      <c r="D67" s="11">
        <v>5.0</v>
      </c>
      <c r="E67" s="27">
        <v>5.2</v>
      </c>
      <c r="F67" s="29" t="s">
        <v>866</v>
      </c>
      <c r="G67" s="11" t="s">
        <v>185</v>
      </c>
      <c r="H67" s="11" t="s">
        <v>35</v>
      </c>
      <c r="I67" s="11" t="s">
        <v>772</v>
      </c>
      <c r="J67" s="80" t="s">
        <v>851</v>
      </c>
      <c r="K67" s="11">
        <v>21.0</v>
      </c>
      <c r="L67" s="11">
        <v>6.0</v>
      </c>
      <c r="M67" s="11">
        <v>61.0</v>
      </c>
      <c r="N67" s="11">
        <v>75.0</v>
      </c>
      <c r="O67" s="11">
        <v>-14.0</v>
      </c>
      <c r="P67" s="11">
        <v>57.0</v>
      </c>
      <c r="Q67" s="11">
        <v>59.0</v>
      </c>
      <c r="R67" s="11">
        <v>68.0</v>
      </c>
      <c r="S67" s="11">
        <v>52.0</v>
      </c>
      <c r="T67" s="11">
        <v>67.0</v>
      </c>
      <c r="U67" s="11">
        <v>62.0</v>
      </c>
      <c r="V67" s="11">
        <v>6.0</v>
      </c>
      <c r="W67" s="11"/>
      <c r="X67" s="11">
        <v>-1.0</v>
      </c>
      <c r="Y67" s="29" t="s">
        <v>866</v>
      </c>
    </row>
    <row r="68" ht="14.25" customHeight="1">
      <c r="A68" s="11"/>
      <c r="B68" s="11">
        <v>6.0</v>
      </c>
      <c r="C68" s="11" t="s">
        <v>106</v>
      </c>
      <c r="D68" s="11">
        <v>6.0</v>
      </c>
      <c r="E68" s="27">
        <v>5.1</v>
      </c>
      <c r="F68" s="29" t="s">
        <v>106</v>
      </c>
      <c r="G68" s="11" t="s">
        <v>465</v>
      </c>
      <c r="H68" s="11" t="s">
        <v>206</v>
      </c>
      <c r="I68" s="11" t="s">
        <v>775</v>
      </c>
      <c r="J68" s="58" t="s">
        <v>864</v>
      </c>
      <c r="K68" s="11">
        <v>30.0</v>
      </c>
      <c r="L68" s="11">
        <v>6.0</v>
      </c>
      <c r="M68" s="11">
        <v>62.0</v>
      </c>
      <c r="N68" s="11">
        <v>55.0</v>
      </c>
      <c r="O68" s="11">
        <v>7.0</v>
      </c>
      <c r="P68" s="11">
        <v>83.0</v>
      </c>
      <c r="Q68" s="11">
        <v>74.0</v>
      </c>
      <c r="R68" s="11">
        <v>71.0</v>
      </c>
      <c r="S68" s="11">
        <v>66.0</v>
      </c>
      <c r="T68" s="11">
        <v>62.0</v>
      </c>
      <c r="U68" s="11">
        <v>67.0</v>
      </c>
      <c r="V68" s="11">
        <v>6.0</v>
      </c>
      <c r="W68" s="11"/>
      <c r="X68" s="11">
        <v>-5.0</v>
      </c>
      <c r="Y68" s="29" t="s">
        <v>1061</v>
      </c>
    </row>
    <row r="69" ht="14.25" customHeight="1">
      <c r="A69" s="11"/>
      <c r="B69" s="11">
        <v>8.0</v>
      </c>
      <c r="C69" s="11" t="s">
        <v>106</v>
      </c>
      <c r="D69" s="11">
        <v>6.0</v>
      </c>
      <c r="E69" s="27">
        <v>5.3</v>
      </c>
      <c r="F69" s="29" t="s">
        <v>866</v>
      </c>
      <c r="G69" s="11" t="s">
        <v>208</v>
      </c>
      <c r="H69" s="11" t="s">
        <v>171</v>
      </c>
      <c r="I69" s="11" t="s">
        <v>775</v>
      </c>
      <c r="J69" s="52" t="s">
        <v>849</v>
      </c>
      <c r="K69" s="11">
        <v>33.0</v>
      </c>
      <c r="L69" s="11">
        <v>6.0</v>
      </c>
      <c r="M69" s="11">
        <v>63.0</v>
      </c>
      <c r="N69" s="11">
        <v>64.0</v>
      </c>
      <c r="O69" s="11">
        <v>-1.0</v>
      </c>
      <c r="P69" s="11">
        <v>99.0</v>
      </c>
      <c r="Q69" s="11">
        <v>76.0</v>
      </c>
      <c r="R69" s="11">
        <v>77.0</v>
      </c>
      <c r="S69" s="11">
        <v>80.0</v>
      </c>
      <c r="T69" s="11">
        <v>89.0</v>
      </c>
      <c r="U69" s="11">
        <v>78.0</v>
      </c>
      <c r="V69" s="11">
        <v>7.0</v>
      </c>
      <c r="W69" s="11"/>
      <c r="X69" s="11">
        <v>-15.0</v>
      </c>
      <c r="Y69" s="29" t="s">
        <v>1047</v>
      </c>
    </row>
    <row r="70" ht="14.25" customHeight="1">
      <c r="A70" s="11"/>
      <c r="B70" s="11">
        <v>6.0</v>
      </c>
      <c r="C70" s="11" t="s">
        <v>106</v>
      </c>
      <c r="D70" s="11">
        <v>5.0</v>
      </c>
      <c r="E70" s="27">
        <v>4.6</v>
      </c>
      <c r="F70" s="29" t="s">
        <v>866</v>
      </c>
      <c r="G70" s="11" t="s">
        <v>255</v>
      </c>
      <c r="H70" s="11" t="s">
        <v>231</v>
      </c>
      <c r="I70" s="11" t="s">
        <v>772</v>
      </c>
      <c r="J70" s="80" t="s">
        <v>851</v>
      </c>
      <c r="K70" s="11">
        <v>24.0</v>
      </c>
      <c r="L70" s="11">
        <v>5.0</v>
      </c>
      <c r="M70" s="11">
        <v>54.0</v>
      </c>
      <c r="N70" s="11">
        <v>68.0</v>
      </c>
      <c r="O70" s="11">
        <v>-14.0</v>
      </c>
      <c r="P70" s="11">
        <v>59.0</v>
      </c>
      <c r="Q70" s="11">
        <v>69.0</v>
      </c>
      <c r="R70" s="11">
        <v>58.0</v>
      </c>
      <c r="S70" s="11">
        <v>69.0</v>
      </c>
      <c r="T70" s="11">
        <v>78.0</v>
      </c>
      <c r="U70" s="11">
        <v>65.0</v>
      </c>
      <c r="V70" s="11">
        <v>6.0</v>
      </c>
      <c r="W70" s="11"/>
      <c r="X70" s="11">
        <v>-11.0</v>
      </c>
      <c r="Y70" s="29" t="s">
        <v>866</v>
      </c>
    </row>
    <row r="71" ht="14.25" customHeight="1">
      <c r="A71" s="11"/>
      <c r="B71" s="11">
        <v>7.0</v>
      </c>
      <c r="C71" s="11" t="s">
        <v>106</v>
      </c>
      <c r="D71" s="11">
        <v>5.0</v>
      </c>
      <c r="E71" s="27">
        <v>3.12</v>
      </c>
      <c r="F71" s="29" t="s">
        <v>95</v>
      </c>
      <c r="G71" s="11" t="s">
        <v>175</v>
      </c>
      <c r="H71" s="11" t="s">
        <v>94</v>
      </c>
      <c r="I71" s="11" t="s">
        <v>775</v>
      </c>
      <c r="J71" s="52" t="s">
        <v>849</v>
      </c>
      <c r="K71" s="11">
        <v>31.0</v>
      </c>
      <c r="L71" s="11">
        <v>5.0</v>
      </c>
      <c r="M71" s="11">
        <v>48.0</v>
      </c>
      <c r="N71" s="11">
        <v>53.0</v>
      </c>
      <c r="O71" s="11">
        <v>-5.0</v>
      </c>
      <c r="P71" s="11">
        <v>79.0</v>
      </c>
      <c r="Q71" s="11">
        <v>64.0</v>
      </c>
      <c r="R71" s="11">
        <v>66.0</v>
      </c>
      <c r="S71" s="11">
        <v>70.0</v>
      </c>
      <c r="T71" s="11">
        <v>84.0</v>
      </c>
      <c r="U71" s="11">
        <v>66.0</v>
      </c>
      <c r="V71" s="11">
        <v>6.0</v>
      </c>
      <c r="W71" s="11"/>
      <c r="X71" s="11">
        <v>-18.0</v>
      </c>
      <c r="Y71" s="29" t="s">
        <v>866</v>
      </c>
    </row>
    <row r="72" ht="14.25" customHeight="1">
      <c r="A72" s="11"/>
      <c r="B72" s="11">
        <v>8.0</v>
      </c>
      <c r="C72" s="11" t="s">
        <v>106</v>
      </c>
      <c r="D72" s="11">
        <v>6.0</v>
      </c>
      <c r="E72" s="27">
        <v>5.4</v>
      </c>
      <c r="F72" s="29" t="s">
        <v>866</v>
      </c>
      <c r="G72" s="11" t="s">
        <v>130</v>
      </c>
      <c r="H72" s="11" t="s">
        <v>131</v>
      </c>
      <c r="I72" s="11" t="s">
        <v>775</v>
      </c>
      <c r="J72" s="52" t="s">
        <v>849</v>
      </c>
      <c r="K72" s="11">
        <v>32.0</v>
      </c>
      <c r="L72" s="11">
        <v>6.0</v>
      </c>
      <c r="M72" s="11">
        <v>66.0</v>
      </c>
      <c r="N72" s="11">
        <v>67.0</v>
      </c>
      <c r="O72" s="11">
        <v>-1.0</v>
      </c>
      <c r="P72" s="11">
        <v>101.0</v>
      </c>
      <c r="Q72" s="11">
        <v>84.0</v>
      </c>
      <c r="R72" s="11">
        <v>82.0</v>
      </c>
      <c r="S72" s="11">
        <v>73.0</v>
      </c>
      <c r="T72" s="11">
        <v>87.0</v>
      </c>
      <c r="U72" s="11">
        <v>80.0</v>
      </c>
      <c r="V72" s="11">
        <v>7.0</v>
      </c>
      <c r="W72" s="11"/>
      <c r="X72" s="11">
        <v>-14.0</v>
      </c>
      <c r="Y72" s="29" t="s">
        <v>866</v>
      </c>
    </row>
    <row r="73" ht="14.25" customHeight="1">
      <c r="A73" s="11"/>
      <c r="B73" s="11">
        <v>6.0</v>
      </c>
      <c r="C73" s="11" t="s">
        <v>106</v>
      </c>
      <c r="D73" s="11">
        <v>6.0</v>
      </c>
      <c r="E73" s="27">
        <v>5.5</v>
      </c>
      <c r="F73" s="29" t="s">
        <v>866</v>
      </c>
      <c r="G73" s="11" t="s">
        <v>418</v>
      </c>
      <c r="H73" s="11" t="s">
        <v>102</v>
      </c>
      <c r="I73" s="11" t="s">
        <v>772</v>
      </c>
      <c r="J73" s="80" t="s">
        <v>851</v>
      </c>
      <c r="K73" s="11">
        <v>23.0</v>
      </c>
      <c r="L73" s="11">
        <v>6.0</v>
      </c>
      <c r="M73" s="11">
        <v>65.0</v>
      </c>
      <c r="N73" s="11">
        <v>71.0</v>
      </c>
      <c r="O73" s="11">
        <v>-6.0</v>
      </c>
      <c r="P73" s="11">
        <v>66.0</v>
      </c>
      <c r="Q73" s="11">
        <v>63.0</v>
      </c>
      <c r="R73" s="11">
        <v>62.0</v>
      </c>
      <c r="S73" s="11">
        <v>61.0</v>
      </c>
      <c r="T73" s="11">
        <v>59.0</v>
      </c>
      <c r="U73" s="11">
        <v>63.0</v>
      </c>
      <c r="V73" s="11">
        <v>6.0</v>
      </c>
      <c r="W73" s="11"/>
      <c r="X73" s="11">
        <v>2.0</v>
      </c>
      <c r="Y73" s="29" t="s">
        <v>866</v>
      </c>
    </row>
    <row r="74" ht="14.25" customHeight="1">
      <c r="A74" s="11"/>
      <c r="B74" s="11">
        <v>5.0</v>
      </c>
      <c r="C74" s="11" t="s">
        <v>106</v>
      </c>
      <c r="D74" s="11"/>
      <c r="E74" s="27"/>
      <c r="F74" s="29" t="s">
        <v>866</v>
      </c>
      <c r="G74" s="11" t="s">
        <v>246</v>
      </c>
      <c r="H74" s="11" t="s">
        <v>35</v>
      </c>
      <c r="I74" s="11" t="s">
        <v>781</v>
      </c>
      <c r="J74" s="11" t="s">
        <v>858</v>
      </c>
      <c r="K74" s="11">
        <v>4.0</v>
      </c>
      <c r="L74" s="11">
        <v>6.0</v>
      </c>
      <c r="M74" s="11">
        <v>68.0</v>
      </c>
      <c r="N74" s="11">
        <v>77.0</v>
      </c>
      <c r="O74" s="11">
        <v>-9.0</v>
      </c>
      <c r="P74" s="11">
        <v>58.0</v>
      </c>
      <c r="Q74" s="11">
        <v>49.0</v>
      </c>
      <c r="R74" s="11">
        <v>53.0</v>
      </c>
      <c r="S74" s="11">
        <v>51.0</v>
      </c>
      <c r="T74" s="11">
        <v>43.0</v>
      </c>
      <c r="U74" s="11">
        <v>57.0</v>
      </c>
      <c r="V74" s="11">
        <v>5.0</v>
      </c>
      <c r="W74" s="11"/>
      <c r="X74" s="11">
        <v>11.0</v>
      </c>
      <c r="Y74" s="29" t="s">
        <v>866</v>
      </c>
    </row>
    <row r="75" ht="14.25" customHeight="1">
      <c r="A75" s="11"/>
      <c r="B75" s="11">
        <v>7.0</v>
      </c>
      <c r="C75" s="11" t="s">
        <v>106</v>
      </c>
      <c r="D75" s="11">
        <v>7.0</v>
      </c>
      <c r="E75" s="27">
        <v>5.7</v>
      </c>
      <c r="F75" s="29" t="s">
        <v>866</v>
      </c>
      <c r="G75" s="11" t="s">
        <v>435</v>
      </c>
      <c r="H75" s="11" t="s">
        <v>128</v>
      </c>
      <c r="I75" s="11" t="s">
        <v>772</v>
      </c>
      <c r="J75" s="11" t="s">
        <v>853</v>
      </c>
      <c r="K75" s="11">
        <v>34.0</v>
      </c>
      <c r="L75" s="11">
        <v>6.0</v>
      </c>
      <c r="M75" s="11">
        <v>67.0</v>
      </c>
      <c r="N75" s="11">
        <v>84.0</v>
      </c>
      <c r="O75" s="11">
        <v>-17.0</v>
      </c>
      <c r="P75" s="11">
        <v>70.0</v>
      </c>
      <c r="Q75" s="11">
        <v>81.0</v>
      </c>
      <c r="R75" s="11">
        <v>80.0</v>
      </c>
      <c r="S75" s="11">
        <v>82.0</v>
      </c>
      <c r="T75" s="11">
        <v>101.0</v>
      </c>
      <c r="U75" s="11">
        <v>80.0</v>
      </c>
      <c r="V75" s="11">
        <v>7.0</v>
      </c>
      <c r="W75" s="11"/>
      <c r="X75" s="11">
        <v>-13.0</v>
      </c>
      <c r="Y75" s="29" t="s">
        <v>1078</v>
      </c>
    </row>
    <row r="76" ht="14.25" customHeight="1">
      <c r="A76" s="11"/>
      <c r="B76" s="11">
        <v>6.0</v>
      </c>
      <c r="C76" s="11" t="s">
        <v>106</v>
      </c>
      <c r="D76" s="11">
        <v>6.0</v>
      </c>
      <c r="E76" s="27">
        <v>5.8</v>
      </c>
      <c r="F76" s="29" t="s">
        <v>866</v>
      </c>
      <c r="G76" s="11" t="s">
        <v>350</v>
      </c>
      <c r="H76" s="11" t="s">
        <v>75</v>
      </c>
      <c r="I76" s="11" t="s">
        <v>772</v>
      </c>
      <c r="J76" s="80" t="s">
        <v>851</v>
      </c>
      <c r="K76" s="11">
        <v>25.0</v>
      </c>
      <c r="L76" s="11">
        <v>6.0</v>
      </c>
      <c r="M76" s="11">
        <v>70.0</v>
      </c>
      <c r="N76" s="11">
        <v>78.0</v>
      </c>
      <c r="O76" s="11">
        <v>-8.0</v>
      </c>
      <c r="P76" s="11">
        <v>56.0</v>
      </c>
      <c r="Q76" s="11">
        <v>70.0</v>
      </c>
      <c r="R76" s="11">
        <v>70.0</v>
      </c>
      <c r="S76" s="11">
        <v>65.0</v>
      </c>
      <c r="T76" s="11">
        <v>77.0</v>
      </c>
      <c r="U76" s="11">
        <v>69.0</v>
      </c>
      <c r="V76" s="11">
        <v>6.0</v>
      </c>
      <c r="W76" s="11"/>
      <c r="X76" s="11">
        <v>1.0</v>
      </c>
      <c r="Y76" s="29" t="s">
        <v>866</v>
      </c>
    </row>
    <row r="77" ht="14.25" customHeight="1">
      <c r="A77" s="11"/>
      <c r="B77" s="11">
        <v>7.0</v>
      </c>
      <c r="C77" s="11" t="s">
        <v>106</v>
      </c>
      <c r="D77" s="11">
        <v>6.0</v>
      </c>
      <c r="E77" s="27">
        <v>5.9</v>
      </c>
      <c r="F77" s="29" t="s">
        <v>866</v>
      </c>
      <c r="G77" s="11" t="s">
        <v>837</v>
      </c>
      <c r="H77" s="11" t="s">
        <v>237</v>
      </c>
      <c r="I77" s="11" t="s">
        <v>772</v>
      </c>
      <c r="J77" s="90" t="s">
        <v>882</v>
      </c>
      <c r="K77" s="11">
        <v>27.0</v>
      </c>
      <c r="L77" s="11">
        <v>8.0</v>
      </c>
      <c r="M77" s="11">
        <v>95.0</v>
      </c>
      <c r="N77" s="11">
        <v>79.0</v>
      </c>
      <c r="O77" s="11">
        <v>16.0</v>
      </c>
      <c r="P77" s="11">
        <v>78.0</v>
      </c>
      <c r="Q77" s="11">
        <v>97.0</v>
      </c>
      <c r="R77" s="11">
        <v>78.0</v>
      </c>
      <c r="S77" s="11">
        <v>76.0</v>
      </c>
      <c r="T77" s="11">
        <v>80.0</v>
      </c>
      <c r="U77" s="11">
        <v>83.0</v>
      </c>
      <c r="V77" s="11">
        <v>7.0</v>
      </c>
      <c r="W77" s="11"/>
      <c r="X77" s="11">
        <v>12.0</v>
      </c>
      <c r="Y77" s="29" t="s">
        <v>1071</v>
      </c>
    </row>
    <row r="78" ht="14.25" customHeight="1">
      <c r="A78" s="11"/>
      <c r="B78" s="11">
        <v>6.0</v>
      </c>
      <c r="C78" s="11" t="s">
        <v>106</v>
      </c>
      <c r="D78" s="11"/>
      <c r="E78" s="27"/>
      <c r="F78" s="29" t="s">
        <v>866</v>
      </c>
      <c r="G78" s="11" t="s">
        <v>426</v>
      </c>
      <c r="H78" s="11" t="s">
        <v>75</v>
      </c>
      <c r="I78" s="11" t="s">
        <v>781</v>
      </c>
      <c r="J78" s="11" t="s">
        <v>858</v>
      </c>
      <c r="K78" s="11">
        <v>5.0</v>
      </c>
      <c r="L78" s="11">
        <v>7.0</v>
      </c>
      <c r="M78" s="11">
        <v>73.0</v>
      </c>
      <c r="N78" s="11">
        <v>87.0</v>
      </c>
      <c r="O78" s="11">
        <v>-14.0</v>
      </c>
      <c r="P78" s="11">
        <v>71.0</v>
      </c>
      <c r="Q78" s="11">
        <v>56.0</v>
      </c>
      <c r="R78" s="11">
        <v>64.0</v>
      </c>
      <c r="S78" s="11">
        <v>64.0</v>
      </c>
      <c r="T78" s="11">
        <v>50.0</v>
      </c>
      <c r="U78" s="11">
        <v>66.0</v>
      </c>
      <c r="V78" s="11">
        <v>6.0</v>
      </c>
      <c r="W78" s="11"/>
      <c r="X78" s="11">
        <v>7.0</v>
      </c>
      <c r="Y78" s="29" t="s">
        <v>866</v>
      </c>
    </row>
    <row r="79" ht="14.25" customHeight="1">
      <c r="A79" s="11"/>
      <c r="B79" s="11">
        <v>8.0</v>
      </c>
      <c r="C79" s="11" t="s">
        <v>106</v>
      </c>
      <c r="D79" s="11">
        <v>6.0</v>
      </c>
      <c r="E79" s="27">
        <v>5.1</v>
      </c>
      <c r="F79" s="29" t="s">
        <v>866</v>
      </c>
      <c r="G79" s="11" t="s">
        <v>621</v>
      </c>
      <c r="H79" s="11" t="s">
        <v>58</v>
      </c>
      <c r="I79" s="11" t="s">
        <v>775</v>
      </c>
      <c r="J79" s="52" t="s">
        <v>849</v>
      </c>
      <c r="K79" s="11">
        <v>32.0</v>
      </c>
      <c r="L79" s="11">
        <v>6.0</v>
      </c>
      <c r="M79" s="11">
        <v>69.0</v>
      </c>
      <c r="N79" s="11">
        <v>59.0</v>
      </c>
      <c r="O79" s="11">
        <v>10.0</v>
      </c>
      <c r="P79" s="11">
        <v>72.0</v>
      </c>
      <c r="Q79" s="11">
        <v>93.0</v>
      </c>
      <c r="R79" s="11">
        <v>67.0</v>
      </c>
      <c r="S79" s="11">
        <v>94.0</v>
      </c>
      <c r="T79" s="11">
        <v>110.0</v>
      </c>
      <c r="U79" s="11">
        <v>80.0</v>
      </c>
      <c r="V79" s="11">
        <v>7.0</v>
      </c>
      <c r="W79" s="11"/>
      <c r="X79" s="11">
        <v>-11.0</v>
      </c>
      <c r="Y79" s="29" t="s">
        <v>1047</v>
      </c>
    </row>
    <row r="80" ht="14.25" customHeight="1">
      <c r="A80" s="11" t="s">
        <v>72</v>
      </c>
      <c r="B80" s="11">
        <v>9.0</v>
      </c>
      <c r="C80" s="11" t="s">
        <v>106</v>
      </c>
      <c r="D80" s="11">
        <v>8.0</v>
      </c>
      <c r="E80" s="27">
        <v>5.12</v>
      </c>
      <c r="F80" s="29" t="s">
        <v>106</v>
      </c>
      <c r="G80" s="11" t="s">
        <v>313</v>
      </c>
      <c r="H80" s="11" t="s">
        <v>75</v>
      </c>
      <c r="I80" s="11" t="s">
        <v>772</v>
      </c>
      <c r="J80" s="90" t="s">
        <v>882</v>
      </c>
      <c r="K80" s="11">
        <v>28.0</v>
      </c>
      <c r="L80" s="11">
        <v>6.0</v>
      </c>
      <c r="M80" s="11">
        <v>71.0</v>
      </c>
      <c r="N80" s="11">
        <v>82.0</v>
      </c>
      <c r="O80" s="11">
        <v>-11.0</v>
      </c>
      <c r="P80" s="11">
        <v>98.0</v>
      </c>
      <c r="Q80" s="11">
        <v>122.0</v>
      </c>
      <c r="R80" s="11">
        <v>88.0</v>
      </c>
      <c r="S80" s="11">
        <v>103.0</v>
      </c>
      <c r="T80" s="11">
        <v>122.0</v>
      </c>
      <c r="U80" s="11">
        <v>98.0</v>
      </c>
      <c r="V80" s="11">
        <v>9.0</v>
      </c>
      <c r="W80" s="11">
        <v>-1.0</v>
      </c>
      <c r="X80" s="11">
        <v>-27.0</v>
      </c>
      <c r="Y80" s="29" t="s">
        <v>1072</v>
      </c>
    </row>
    <row r="81" ht="14.25" customHeight="1">
      <c r="A81" s="11"/>
      <c r="B81" s="11">
        <v>6.0</v>
      </c>
      <c r="C81" s="11" t="s">
        <v>106</v>
      </c>
      <c r="D81" s="11">
        <v>7.0</v>
      </c>
      <c r="E81" s="27">
        <v>7.4</v>
      </c>
      <c r="F81" s="29" t="s">
        <v>866</v>
      </c>
      <c r="G81" s="11" t="s">
        <v>369</v>
      </c>
      <c r="H81" s="11" t="s">
        <v>162</v>
      </c>
      <c r="I81" s="11" t="s">
        <v>770</v>
      </c>
      <c r="J81" s="37" t="s">
        <v>871</v>
      </c>
      <c r="K81" s="11">
        <v>6.0</v>
      </c>
      <c r="L81" s="11">
        <v>8.0</v>
      </c>
      <c r="M81" s="11">
        <v>90.0</v>
      </c>
      <c r="N81" s="11">
        <v>93.0</v>
      </c>
      <c r="O81" s="11">
        <v>-3.0</v>
      </c>
      <c r="P81" s="11">
        <v>54.0</v>
      </c>
      <c r="Q81" s="11">
        <v>52.0</v>
      </c>
      <c r="R81" s="11">
        <v>92.0</v>
      </c>
      <c r="S81" s="11">
        <v>71.0</v>
      </c>
      <c r="T81" s="11">
        <v>61.0</v>
      </c>
      <c r="U81" s="11">
        <v>73.0</v>
      </c>
      <c r="V81" s="11">
        <v>7.0</v>
      </c>
      <c r="W81" s="11"/>
      <c r="X81" s="11">
        <v>17.0</v>
      </c>
      <c r="Y81" s="29" t="s">
        <v>866</v>
      </c>
    </row>
    <row r="82" ht="14.25" customHeight="1">
      <c r="A82" s="11"/>
      <c r="B82" s="11">
        <v>6.0</v>
      </c>
      <c r="C82" s="11" t="s">
        <v>106</v>
      </c>
      <c r="D82" s="11">
        <v>7.0</v>
      </c>
      <c r="E82" s="27">
        <v>6.1</v>
      </c>
      <c r="F82" s="29" t="s">
        <v>95</v>
      </c>
      <c r="G82" s="11" t="s">
        <v>357</v>
      </c>
      <c r="H82" s="11" t="s">
        <v>109</v>
      </c>
      <c r="I82" s="11" t="s">
        <v>781</v>
      </c>
      <c r="J82" s="53" t="s">
        <v>854</v>
      </c>
      <c r="K82" s="11">
        <v>7.0</v>
      </c>
      <c r="L82" s="11">
        <v>7.0</v>
      </c>
      <c r="M82" s="11">
        <v>79.0</v>
      </c>
      <c r="N82" s="11">
        <v>95.0</v>
      </c>
      <c r="O82" s="11">
        <v>-16.0</v>
      </c>
      <c r="P82" s="11">
        <v>73.0</v>
      </c>
      <c r="Q82" s="11">
        <v>73.0</v>
      </c>
      <c r="R82" s="11">
        <v>79.0</v>
      </c>
      <c r="S82" s="11">
        <v>77.0</v>
      </c>
      <c r="T82" s="11">
        <v>53.0</v>
      </c>
      <c r="U82" s="11">
        <v>75.0</v>
      </c>
      <c r="V82" s="11">
        <v>7.0</v>
      </c>
      <c r="W82" s="11"/>
      <c r="X82" s="11">
        <v>4.0</v>
      </c>
      <c r="Y82" s="29" t="s">
        <v>866</v>
      </c>
    </row>
    <row r="83" ht="14.25" customHeight="1">
      <c r="A83" s="11"/>
      <c r="B83" s="11">
        <v>8.0</v>
      </c>
      <c r="C83" s="11" t="s">
        <v>106</v>
      </c>
      <c r="D83" s="11">
        <v>7.0</v>
      </c>
      <c r="E83" s="27">
        <v>6.9</v>
      </c>
      <c r="F83" s="29" t="s">
        <v>866</v>
      </c>
      <c r="G83" s="11" t="s">
        <v>299</v>
      </c>
      <c r="H83" s="11" t="s">
        <v>116</v>
      </c>
      <c r="I83" s="11" t="s">
        <v>775</v>
      </c>
      <c r="J83" s="48" t="s">
        <v>865</v>
      </c>
      <c r="K83" s="11">
        <v>38.0</v>
      </c>
      <c r="L83" s="11">
        <v>7.0</v>
      </c>
      <c r="M83" s="11">
        <v>77.0</v>
      </c>
      <c r="N83" s="11">
        <v>69.0</v>
      </c>
      <c r="O83" s="11">
        <v>8.0</v>
      </c>
      <c r="P83" s="11">
        <v>91.0</v>
      </c>
      <c r="Q83" s="11">
        <v>88.0</v>
      </c>
      <c r="R83" s="11">
        <v>85.0</v>
      </c>
      <c r="S83" s="11">
        <v>89.0</v>
      </c>
      <c r="T83" s="11">
        <v>95.0</v>
      </c>
      <c r="U83" s="11">
        <v>84.0</v>
      </c>
      <c r="V83" s="11">
        <v>8.0</v>
      </c>
      <c r="W83" s="11"/>
      <c r="X83" s="11">
        <v>-7.0</v>
      </c>
      <c r="Y83" s="29" t="s">
        <v>866</v>
      </c>
    </row>
    <row r="84" ht="14.25" customHeight="1">
      <c r="A84" s="11"/>
      <c r="B84" s="11">
        <v>8.0</v>
      </c>
      <c r="C84" s="11" t="s">
        <v>106</v>
      </c>
      <c r="D84" s="11">
        <v>7.0</v>
      </c>
      <c r="E84" s="27">
        <v>6.8</v>
      </c>
      <c r="F84" s="29" t="s">
        <v>866</v>
      </c>
      <c r="G84" s="11" t="s">
        <v>342</v>
      </c>
      <c r="H84" s="11" t="s">
        <v>98</v>
      </c>
      <c r="I84" s="11" t="s">
        <v>775</v>
      </c>
      <c r="J84" s="48" t="s">
        <v>865</v>
      </c>
      <c r="K84" s="11">
        <v>35.0</v>
      </c>
      <c r="L84" s="11">
        <v>8.0</v>
      </c>
      <c r="M84" s="11">
        <v>87.0</v>
      </c>
      <c r="N84" s="11">
        <v>73.0</v>
      </c>
      <c r="O84" s="11">
        <v>14.0</v>
      </c>
      <c r="P84" s="11">
        <v>85.0</v>
      </c>
      <c r="Q84" s="11">
        <v>82.0</v>
      </c>
      <c r="R84" s="11">
        <v>87.0</v>
      </c>
      <c r="S84" s="11">
        <v>83.0</v>
      </c>
      <c r="T84" s="11">
        <v>119.0</v>
      </c>
      <c r="U84" s="11">
        <v>88.0</v>
      </c>
      <c r="V84" s="11">
        <v>8.0</v>
      </c>
      <c r="W84" s="11"/>
      <c r="X84" s="11">
        <v>-1.0</v>
      </c>
      <c r="Y84" s="29" t="s">
        <v>866</v>
      </c>
    </row>
    <row r="85" ht="14.25" customHeight="1">
      <c r="A85" s="11"/>
      <c r="B85" s="11">
        <v>8.0</v>
      </c>
      <c r="C85" s="11" t="s">
        <v>106</v>
      </c>
      <c r="D85" s="11">
        <v>6.0</v>
      </c>
      <c r="E85" s="27">
        <v>5.11</v>
      </c>
      <c r="F85" s="29" t="s">
        <v>106</v>
      </c>
      <c r="G85" s="11" t="s">
        <v>161</v>
      </c>
      <c r="H85" s="11" t="s">
        <v>162</v>
      </c>
      <c r="I85" s="11" t="s">
        <v>775</v>
      </c>
      <c r="J85" s="52" t="s">
        <v>849</v>
      </c>
      <c r="K85" s="11">
        <v>34.0</v>
      </c>
      <c r="L85" s="11">
        <v>7.0</v>
      </c>
      <c r="M85" s="11">
        <v>72.0</v>
      </c>
      <c r="N85" s="11">
        <v>56.0</v>
      </c>
      <c r="O85" s="11">
        <v>16.0</v>
      </c>
      <c r="P85" s="11">
        <v>80.0</v>
      </c>
      <c r="Q85" s="11">
        <v>83.0</v>
      </c>
      <c r="R85" s="11">
        <v>61.0</v>
      </c>
      <c r="S85" s="11">
        <v>101.0</v>
      </c>
      <c r="T85" s="11">
        <v>120.0</v>
      </c>
      <c r="U85" s="11">
        <v>81.0</v>
      </c>
      <c r="V85" s="11">
        <v>7.0</v>
      </c>
      <c r="W85" s="11"/>
      <c r="X85" s="11">
        <v>-9.0</v>
      </c>
      <c r="Y85" s="29" t="s">
        <v>1061</v>
      </c>
    </row>
    <row r="86" ht="14.25" customHeight="1">
      <c r="A86" s="11"/>
      <c r="B86" s="11">
        <v>6.0</v>
      </c>
      <c r="C86" s="11" t="s">
        <v>106</v>
      </c>
      <c r="D86" s="11">
        <v>6.0</v>
      </c>
      <c r="E86" s="27">
        <v>6.7</v>
      </c>
      <c r="F86" s="29" t="s">
        <v>106</v>
      </c>
      <c r="G86" s="11" t="s">
        <v>134</v>
      </c>
      <c r="H86" s="11" t="s">
        <v>102</v>
      </c>
      <c r="I86" s="11" t="s">
        <v>775</v>
      </c>
      <c r="J86" s="58" t="s">
        <v>864</v>
      </c>
      <c r="K86" s="11">
        <v>29.0</v>
      </c>
      <c r="L86" s="11">
        <v>7.0</v>
      </c>
      <c r="M86" s="11">
        <v>74.0</v>
      </c>
      <c r="N86" s="11">
        <v>60.0</v>
      </c>
      <c r="O86" s="11">
        <v>14.0</v>
      </c>
      <c r="P86" s="11">
        <v>84.0</v>
      </c>
      <c r="Q86" s="11">
        <v>71.0</v>
      </c>
      <c r="R86" s="11">
        <v>72.0</v>
      </c>
      <c r="S86" s="11">
        <v>49.0</v>
      </c>
      <c r="T86" s="11">
        <v>47.0</v>
      </c>
      <c r="U86" s="11">
        <v>65.0</v>
      </c>
      <c r="V86" s="11">
        <v>6.0</v>
      </c>
      <c r="W86" s="11"/>
      <c r="X86" s="11">
        <v>9.0</v>
      </c>
      <c r="Y86" s="29" t="s">
        <v>1063</v>
      </c>
    </row>
    <row r="87" ht="14.25" customHeight="1">
      <c r="A87" s="11"/>
      <c r="B87" s="11">
        <v>7.0</v>
      </c>
      <c r="C87" s="11" t="s">
        <v>106</v>
      </c>
      <c r="D87" s="11"/>
      <c r="E87" s="27"/>
      <c r="F87" s="29" t="s">
        <v>866</v>
      </c>
      <c r="G87" s="11" t="s">
        <v>437</v>
      </c>
      <c r="H87" s="11" t="s">
        <v>195</v>
      </c>
      <c r="I87" s="11" t="s">
        <v>775</v>
      </c>
      <c r="J87" s="11" t="s">
        <v>865</v>
      </c>
      <c r="K87" s="11">
        <v>37.0</v>
      </c>
      <c r="L87" s="11">
        <v>7.0</v>
      </c>
      <c r="M87" s="11">
        <v>81.0</v>
      </c>
      <c r="N87" s="11">
        <v>72.0</v>
      </c>
      <c r="O87" s="11">
        <v>9.0</v>
      </c>
      <c r="P87" s="11">
        <v>69.0</v>
      </c>
      <c r="Q87" s="11">
        <v>68.0</v>
      </c>
      <c r="R87" s="11">
        <v>74.0</v>
      </c>
      <c r="S87" s="11">
        <v>75.0</v>
      </c>
      <c r="T87" s="11">
        <v>98.0</v>
      </c>
      <c r="U87" s="11">
        <v>76.0</v>
      </c>
      <c r="V87" s="11">
        <v>7.0</v>
      </c>
      <c r="W87" s="11"/>
      <c r="X87" s="11">
        <v>5.0</v>
      </c>
      <c r="Y87" s="29" t="s">
        <v>866</v>
      </c>
    </row>
    <row r="88" ht="14.25" customHeight="1">
      <c r="A88" s="11"/>
      <c r="B88" s="11">
        <v>7.0</v>
      </c>
      <c r="C88" s="11" t="s">
        <v>106</v>
      </c>
      <c r="D88" s="11">
        <v>7.0</v>
      </c>
      <c r="E88" s="27">
        <v>6.6</v>
      </c>
      <c r="F88" s="29" t="s">
        <v>866</v>
      </c>
      <c r="G88" s="11" t="s">
        <v>326</v>
      </c>
      <c r="H88" s="11" t="s">
        <v>176</v>
      </c>
      <c r="I88" s="11" t="s">
        <v>770</v>
      </c>
      <c r="J88" s="37" t="s">
        <v>871</v>
      </c>
      <c r="K88" s="11">
        <v>7.0</v>
      </c>
      <c r="L88" s="11">
        <v>7.0</v>
      </c>
      <c r="M88" s="11">
        <v>83.0</v>
      </c>
      <c r="N88" s="11">
        <v>96.0</v>
      </c>
      <c r="O88" s="11">
        <v>-13.0</v>
      </c>
      <c r="P88" s="11">
        <v>68.0</v>
      </c>
      <c r="Q88" s="11">
        <v>66.0</v>
      </c>
      <c r="R88" s="11">
        <v>89.0</v>
      </c>
      <c r="S88" s="11">
        <v>79.0</v>
      </c>
      <c r="T88" s="11">
        <v>64.0</v>
      </c>
      <c r="U88" s="11">
        <v>77.0</v>
      </c>
      <c r="V88" s="11">
        <v>7.0</v>
      </c>
      <c r="W88" s="11"/>
      <c r="X88" s="11">
        <v>6.0</v>
      </c>
      <c r="Y88" s="29" t="s">
        <v>866</v>
      </c>
    </row>
    <row r="89" ht="14.25" customHeight="1">
      <c r="A89" s="11"/>
      <c r="B89" s="11">
        <v>8.0</v>
      </c>
      <c r="C89" s="11" t="s">
        <v>106</v>
      </c>
      <c r="D89" s="11">
        <v>8.0</v>
      </c>
      <c r="E89" s="27">
        <v>6.12</v>
      </c>
      <c r="F89" s="29" t="s">
        <v>866</v>
      </c>
      <c r="G89" s="11" t="s">
        <v>236</v>
      </c>
      <c r="H89" s="11" t="s">
        <v>237</v>
      </c>
      <c r="I89" s="11" t="s">
        <v>772</v>
      </c>
      <c r="J89" s="11" t="s">
        <v>853</v>
      </c>
      <c r="K89" s="11">
        <v>35.0</v>
      </c>
      <c r="L89" s="11">
        <v>7.0</v>
      </c>
      <c r="M89" s="11">
        <v>75.0</v>
      </c>
      <c r="N89" s="11">
        <v>88.0</v>
      </c>
      <c r="O89" s="11">
        <v>-13.0</v>
      </c>
      <c r="P89" s="11">
        <v>88.0</v>
      </c>
      <c r="Q89" s="11">
        <v>85.0</v>
      </c>
      <c r="R89" s="11">
        <v>84.0</v>
      </c>
      <c r="S89" s="11">
        <v>86.0</v>
      </c>
      <c r="T89" s="11">
        <v>107.0</v>
      </c>
      <c r="U89" s="11">
        <v>87.0</v>
      </c>
      <c r="V89" s="11">
        <v>8.0</v>
      </c>
      <c r="W89" s="11"/>
      <c r="X89" s="11">
        <v>-12.0</v>
      </c>
      <c r="Y89" s="29" t="s">
        <v>866</v>
      </c>
    </row>
    <row r="90" ht="14.25" customHeight="1">
      <c r="A90" s="11"/>
      <c r="B90" s="11">
        <v>7.0</v>
      </c>
      <c r="C90" s="11" t="s">
        <v>106</v>
      </c>
      <c r="D90" s="11">
        <v>7.0</v>
      </c>
      <c r="E90" s="27">
        <v>7.5</v>
      </c>
      <c r="F90" s="29" t="s">
        <v>95</v>
      </c>
      <c r="G90" s="11" t="s">
        <v>666</v>
      </c>
      <c r="H90" s="11" t="s">
        <v>176</v>
      </c>
      <c r="I90" s="11" t="s">
        <v>781</v>
      </c>
      <c r="J90" s="53" t="s">
        <v>854</v>
      </c>
      <c r="K90" s="11">
        <v>8.0</v>
      </c>
      <c r="L90" s="11">
        <v>8.0</v>
      </c>
      <c r="M90" s="11">
        <v>92.0</v>
      </c>
      <c r="N90" s="11">
        <v>107.0</v>
      </c>
      <c r="O90" s="11">
        <v>-15.0</v>
      </c>
      <c r="P90" s="11">
        <v>97.0</v>
      </c>
      <c r="Q90" s="11">
        <v>78.0</v>
      </c>
      <c r="R90" s="11">
        <v>75.0</v>
      </c>
      <c r="S90" s="11">
        <v>87.0</v>
      </c>
      <c r="T90" s="11">
        <v>74.0</v>
      </c>
      <c r="U90" s="11">
        <v>87.0</v>
      </c>
      <c r="V90" s="11">
        <v>8.0</v>
      </c>
      <c r="W90" s="11"/>
      <c r="X90" s="11">
        <v>5.0</v>
      </c>
      <c r="Y90" s="29" t="s">
        <v>866</v>
      </c>
    </row>
    <row r="91" ht="14.25" customHeight="1">
      <c r="A91" s="11"/>
      <c r="B91" s="11">
        <v>7.0</v>
      </c>
      <c r="C91" s="11" t="s">
        <v>106</v>
      </c>
      <c r="D91" s="11">
        <v>8.0</v>
      </c>
      <c r="E91" s="27">
        <v>7.6</v>
      </c>
      <c r="F91" s="29" t="s">
        <v>866</v>
      </c>
      <c r="G91" s="11" t="s">
        <v>578</v>
      </c>
      <c r="H91" s="11" t="s">
        <v>195</v>
      </c>
      <c r="I91" s="11" t="s">
        <v>781</v>
      </c>
      <c r="J91" s="53" t="s">
        <v>854</v>
      </c>
      <c r="K91" s="11">
        <v>10.0</v>
      </c>
      <c r="L91" s="11">
        <v>9.0</v>
      </c>
      <c r="M91" s="11">
        <v>97.0</v>
      </c>
      <c r="N91" s="11">
        <v>118.0</v>
      </c>
      <c r="O91" s="11">
        <v>-21.0</v>
      </c>
      <c r="P91" s="11">
        <v>74.0</v>
      </c>
      <c r="Q91" s="11">
        <v>72.0</v>
      </c>
      <c r="R91" s="11">
        <v>76.0</v>
      </c>
      <c r="S91" s="11">
        <v>92.0</v>
      </c>
      <c r="T91" s="11">
        <v>85.0</v>
      </c>
      <c r="U91" s="11">
        <v>87.0</v>
      </c>
      <c r="V91" s="11">
        <v>8.0</v>
      </c>
      <c r="W91" s="11"/>
      <c r="X91" s="11">
        <v>10.0</v>
      </c>
      <c r="Y91" s="29" t="s">
        <v>866</v>
      </c>
    </row>
    <row r="92" ht="14.25" customHeight="1">
      <c r="A92" s="11"/>
      <c r="B92" s="11">
        <v>8.0</v>
      </c>
      <c r="C92" s="11" t="s">
        <v>106</v>
      </c>
      <c r="D92" s="11">
        <v>7.0</v>
      </c>
      <c r="E92" s="27">
        <v>7.1</v>
      </c>
      <c r="F92" s="29" t="s">
        <v>866</v>
      </c>
      <c r="G92" s="11" t="s">
        <v>361</v>
      </c>
      <c r="H92" s="11" t="s">
        <v>125</v>
      </c>
      <c r="I92" s="11" t="s">
        <v>770</v>
      </c>
      <c r="J92" s="37" t="s">
        <v>871</v>
      </c>
      <c r="K92" s="11">
        <v>8.0</v>
      </c>
      <c r="L92" s="11">
        <v>9.0</v>
      </c>
      <c r="M92" s="11">
        <v>98.0</v>
      </c>
      <c r="N92" s="11">
        <v>98.0</v>
      </c>
      <c r="O92" s="11">
        <v>0.0</v>
      </c>
      <c r="P92" s="11">
        <v>82.0</v>
      </c>
      <c r="Q92" s="11">
        <v>77.0</v>
      </c>
      <c r="R92" s="11">
        <v>105.0</v>
      </c>
      <c r="S92" s="11">
        <v>91.0</v>
      </c>
      <c r="T92" s="11">
        <v>81.0</v>
      </c>
      <c r="U92" s="11">
        <v>90.0</v>
      </c>
      <c r="V92" s="11">
        <v>8.0</v>
      </c>
      <c r="W92" s="11"/>
      <c r="X92" s="11">
        <v>8.0</v>
      </c>
      <c r="Y92" s="29" t="s">
        <v>866</v>
      </c>
    </row>
    <row r="93" ht="14.25" customHeight="1">
      <c r="A93" s="11"/>
      <c r="B93" s="11">
        <v>6.0</v>
      </c>
      <c r="C93" s="11" t="s">
        <v>106</v>
      </c>
      <c r="D93" s="11">
        <v>7.0</v>
      </c>
      <c r="E93" s="27">
        <v>6.1</v>
      </c>
      <c r="F93" s="29" t="s">
        <v>95</v>
      </c>
      <c r="G93" s="11" t="s">
        <v>321</v>
      </c>
      <c r="H93" s="11" t="s">
        <v>102</v>
      </c>
      <c r="I93" s="11" t="s">
        <v>781</v>
      </c>
      <c r="J93" s="53" t="s">
        <v>854</v>
      </c>
      <c r="K93" s="11">
        <v>9.0</v>
      </c>
      <c r="L93" s="11">
        <v>7.0</v>
      </c>
      <c r="M93" s="11">
        <v>82.0</v>
      </c>
      <c r="N93" s="11">
        <v>91.0</v>
      </c>
      <c r="O93" s="11">
        <v>-9.0</v>
      </c>
      <c r="P93" s="11">
        <v>61.0</v>
      </c>
      <c r="Q93" s="11">
        <v>57.0</v>
      </c>
      <c r="R93" s="11">
        <v>63.0</v>
      </c>
      <c r="S93" s="11">
        <v>67.0</v>
      </c>
      <c r="T93" s="11">
        <v>58.0</v>
      </c>
      <c r="U93" s="11">
        <v>68.0</v>
      </c>
      <c r="V93" s="11">
        <v>6.0</v>
      </c>
      <c r="W93" s="11"/>
      <c r="X93" s="11">
        <v>14.0</v>
      </c>
      <c r="Y93" s="29" t="s">
        <v>866</v>
      </c>
    </row>
    <row r="94" ht="14.25" customHeight="1">
      <c r="A94" s="11" t="s">
        <v>72</v>
      </c>
      <c r="B94" s="11">
        <v>8.0</v>
      </c>
      <c r="C94" s="11" t="s">
        <v>106</v>
      </c>
      <c r="D94" s="11">
        <v>10.0</v>
      </c>
      <c r="E94" s="27"/>
      <c r="F94" s="29" t="s">
        <v>866</v>
      </c>
      <c r="G94" s="11" t="s">
        <v>789</v>
      </c>
      <c r="H94" s="11" t="s">
        <v>119</v>
      </c>
      <c r="I94" s="11" t="s">
        <v>772</v>
      </c>
      <c r="J94" s="80" t="s">
        <v>851</v>
      </c>
      <c r="K94" s="11">
        <v>22.0</v>
      </c>
      <c r="L94" s="11">
        <v>14.0</v>
      </c>
      <c r="M94" s="11">
        <v>161.0</v>
      </c>
      <c r="N94" s="11">
        <v>122.0</v>
      </c>
      <c r="O94" s="11">
        <v>39.0</v>
      </c>
      <c r="P94" s="11">
        <v>81.0</v>
      </c>
      <c r="Q94" s="11">
        <v>121.0</v>
      </c>
      <c r="R94" s="11">
        <v>115.0</v>
      </c>
      <c r="S94" s="11">
        <v>63.0</v>
      </c>
      <c r="T94" s="11">
        <v>65.0</v>
      </c>
      <c r="U94" s="11">
        <v>104.0</v>
      </c>
      <c r="V94" s="11">
        <v>9.0</v>
      </c>
      <c r="W94" s="11"/>
      <c r="X94" s="11">
        <v>57.0</v>
      </c>
      <c r="Y94" s="29" t="s">
        <v>1068</v>
      </c>
    </row>
    <row r="95" ht="14.25" customHeight="1">
      <c r="A95" s="11"/>
      <c r="B95" s="11">
        <v>9.0</v>
      </c>
      <c r="C95" s="11" t="s">
        <v>106</v>
      </c>
      <c r="D95" s="11">
        <v>6.0</v>
      </c>
      <c r="E95" s="27">
        <v>6.5</v>
      </c>
      <c r="F95" s="29" t="s">
        <v>866</v>
      </c>
      <c r="G95" s="11" t="s">
        <v>303</v>
      </c>
      <c r="H95" s="11" t="s">
        <v>75</v>
      </c>
      <c r="I95" s="11" t="s">
        <v>775</v>
      </c>
      <c r="J95" s="48" t="s">
        <v>865</v>
      </c>
      <c r="K95" s="11">
        <v>36.0</v>
      </c>
      <c r="L95" s="11">
        <v>8.0</v>
      </c>
      <c r="M95" s="11">
        <v>84.0</v>
      </c>
      <c r="N95" s="11">
        <v>74.0</v>
      </c>
      <c r="O95" s="11">
        <v>10.0</v>
      </c>
      <c r="P95" s="11">
        <v>103.0</v>
      </c>
      <c r="Q95" s="11">
        <v>110.0</v>
      </c>
      <c r="R95" s="11">
        <v>95.0</v>
      </c>
      <c r="S95" s="11">
        <v>81.0</v>
      </c>
      <c r="T95" s="11">
        <v>94.0</v>
      </c>
      <c r="U95" s="11">
        <v>91.0</v>
      </c>
      <c r="V95" s="11">
        <v>8.0</v>
      </c>
      <c r="W95" s="11"/>
      <c r="X95" s="11">
        <v>-7.0</v>
      </c>
      <c r="Y95" s="29" t="s">
        <v>866</v>
      </c>
    </row>
    <row r="96" ht="14.25" customHeight="1">
      <c r="A96" s="11"/>
      <c r="B96" s="11">
        <v>8.0</v>
      </c>
      <c r="C96" s="11" t="s">
        <v>106</v>
      </c>
      <c r="D96" s="11">
        <v>8.0</v>
      </c>
      <c r="E96" s="27">
        <v>8.1</v>
      </c>
      <c r="F96" s="29" t="s">
        <v>106</v>
      </c>
      <c r="G96" s="11" t="s">
        <v>201</v>
      </c>
      <c r="H96" s="11" t="s">
        <v>62</v>
      </c>
      <c r="I96" s="11" t="s">
        <v>781</v>
      </c>
      <c r="J96" s="55" t="s">
        <v>870</v>
      </c>
      <c r="K96" s="11">
        <v>11.0</v>
      </c>
      <c r="L96" s="11">
        <v>10.0</v>
      </c>
      <c r="M96" s="11">
        <v>117.0</v>
      </c>
      <c r="N96" s="11">
        <v>89.0</v>
      </c>
      <c r="O96" s="11">
        <v>28.0</v>
      </c>
      <c r="P96" s="11">
        <v>96.0</v>
      </c>
      <c r="Q96" s="11">
        <v>89.0</v>
      </c>
      <c r="R96" s="11">
        <v>69.0</v>
      </c>
      <c r="S96" s="11">
        <v>96.0</v>
      </c>
      <c r="T96" s="11">
        <v>88.0</v>
      </c>
      <c r="U96" s="11">
        <v>92.0</v>
      </c>
      <c r="V96" s="11">
        <v>8.0</v>
      </c>
      <c r="W96" s="11"/>
      <c r="X96" s="11">
        <v>25.0</v>
      </c>
      <c r="Y96" s="29" t="s">
        <v>1074</v>
      </c>
    </row>
    <row r="97" ht="14.25" customHeight="1">
      <c r="A97" s="11"/>
      <c r="B97" s="11">
        <v>9.0</v>
      </c>
      <c r="C97" s="11" t="s">
        <v>106</v>
      </c>
      <c r="D97" s="11">
        <v>8.0</v>
      </c>
      <c r="E97" s="27">
        <v>6.2</v>
      </c>
      <c r="F97" s="29" t="s">
        <v>866</v>
      </c>
      <c r="G97" s="11" t="s">
        <v>315</v>
      </c>
      <c r="H97" s="11" t="s">
        <v>58</v>
      </c>
      <c r="I97" s="11" t="s">
        <v>770</v>
      </c>
      <c r="J97" s="40" t="s">
        <v>856</v>
      </c>
      <c r="K97" s="11">
        <v>12.0</v>
      </c>
      <c r="L97" s="11">
        <v>8.0</v>
      </c>
      <c r="M97" s="11">
        <v>86.0</v>
      </c>
      <c r="N97" s="11">
        <v>101.0</v>
      </c>
      <c r="O97" s="11">
        <v>-15.0</v>
      </c>
      <c r="P97" s="11">
        <v>89.0</v>
      </c>
      <c r="Q97" s="11">
        <v>79.0</v>
      </c>
      <c r="R97" s="11">
        <v>110.0</v>
      </c>
      <c r="S97" s="11">
        <v>112.0</v>
      </c>
      <c r="T97" s="11">
        <v>106.0</v>
      </c>
      <c r="U97" s="11">
        <v>97.0</v>
      </c>
      <c r="V97" s="11">
        <v>9.0</v>
      </c>
      <c r="W97" s="11"/>
      <c r="X97" s="11">
        <v>-11.0</v>
      </c>
      <c r="Y97" s="29" t="s">
        <v>866</v>
      </c>
    </row>
    <row r="98" ht="14.25" customHeight="1">
      <c r="A98" s="11"/>
      <c r="B98" s="11">
        <v>9.0</v>
      </c>
      <c r="C98" s="11" t="s">
        <v>106</v>
      </c>
      <c r="D98" s="11">
        <v>9.0</v>
      </c>
      <c r="E98" s="27"/>
      <c r="F98" s="29" t="s">
        <v>866</v>
      </c>
      <c r="G98" s="11" t="s">
        <v>278</v>
      </c>
      <c r="H98" s="11" t="s">
        <v>176</v>
      </c>
      <c r="I98" s="11" t="s">
        <v>772</v>
      </c>
      <c r="J98" s="90" t="s">
        <v>882</v>
      </c>
      <c r="K98" s="11">
        <v>29.0</v>
      </c>
      <c r="L98" s="11">
        <v>7.0</v>
      </c>
      <c r="M98" s="11">
        <v>80.0</v>
      </c>
      <c r="N98" s="11">
        <v>97.0</v>
      </c>
      <c r="O98" s="11">
        <v>-17.0</v>
      </c>
      <c r="P98" s="11">
        <v>102.0</v>
      </c>
      <c r="Q98" s="11">
        <v>98.0</v>
      </c>
      <c r="R98" s="11">
        <v>93.0</v>
      </c>
      <c r="S98" s="11">
        <v>107.0</v>
      </c>
      <c r="T98" s="11">
        <v>136.0</v>
      </c>
      <c r="U98" s="11">
        <v>101.0</v>
      </c>
      <c r="V98" s="11">
        <v>9.0</v>
      </c>
      <c r="W98" s="11"/>
      <c r="X98" s="11">
        <v>-21.0</v>
      </c>
      <c r="Y98" s="29" t="s">
        <v>866</v>
      </c>
    </row>
    <row r="99" ht="14.25" customHeight="1">
      <c r="A99" s="11"/>
      <c r="B99" s="11">
        <v>8.0</v>
      </c>
      <c r="C99" s="11" t="s">
        <v>106</v>
      </c>
      <c r="D99" s="11"/>
      <c r="E99" s="27"/>
      <c r="F99" s="29" t="s">
        <v>866</v>
      </c>
      <c r="G99" s="11" t="s">
        <v>458</v>
      </c>
      <c r="H99" s="11" t="s">
        <v>52</v>
      </c>
      <c r="I99" s="11" t="s">
        <v>775</v>
      </c>
      <c r="J99" s="11" t="s">
        <v>862</v>
      </c>
      <c r="K99" s="11">
        <v>55.0</v>
      </c>
      <c r="L99" s="11">
        <v>11.0</v>
      </c>
      <c r="M99" s="11">
        <v>121.0</v>
      </c>
      <c r="N99" s="11">
        <v>100.0</v>
      </c>
      <c r="O99" s="11">
        <v>21.0</v>
      </c>
      <c r="P99" s="11">
        <v>95.0</v>
      </c>
      <c r="Q99" s="11">
        <v>86.0</v>
      </c>
      <c r="R99" s="11">
        <v>101.0</v>
      </c>
      <c r="S99" s="11">
        <v>88.0</v>
      </c>
      <c r="T99" s="11">
        <v>109.0</v>
      </c>
      <c r="U99" s="11">
        <v>100.0</v>
      </c>
      <c r="V99" s="11">
        <v>9.0</v>
      </c>
      <c r="W99" s="11"/>
      <c r="X99" s="11">
        <v>21.0</v>
      </c>
      <c r="Y99" s="29" t="s">
        <v>866</v>
      </c>
    </row>
    <row r="100" ht="14.25" customHeight="1">
      <c r="A100" s="11"/>
      <c r="B100" s="11">
        <v>10.0</v>
      </c>
      <c r="C100" s="11" t="s">
        <v>106</v>
      </c>
      <c r="D100" s="11">
        <v>6.0</v>
      </c>
      <c r="E100" s="27">
        <v>6.4</v>
      </c>
      <c r="F100" s="29" t="s">
        <v>866</v>
      </c>
      <c r="G100" s="11" t="s">
        <v>468</v>
      </c>
      <c r="H100" s="11" t="s">
        <v>58</v>
      </c>
      <c r="I100" s="11" t="s">
        <v>775</v>
      </c>
      <c r="J100" s="48" t="s">
        <v>855</v>
      </c>
      <c r="K100" s="11">
        <v>40.0</v>
      </c>
      <c r="L100" s="11">
        <v>8.0</v>
      </c>
      <c r="M100" s="11">
        <v>93.0</v>
      </c>
      <c r="N100" s="11">
        <v>76.0</v>
      </c>
      <c r="O100" s="11">
        <v>17.0</v>
      </c>
      <c r="P100" s="11">
        <v>119.0</v>
      </c>
      <c r="Q100" s="11">
        <v>115.0</v>
      </c>
      <c r="R100" s="11">
        <v>98.0</v>
      </c>
      <c r="S100" s="11">
        <v>102.0</v>
      </c>
      <c r="T100" s="11">
        <v>111.0</v>
      </c>
      <c r="U100" s="11">
        <v>102.0</v>
      </c>
      <c r="V100" s="11">
        <v>9.0</v>
      </c>
      <c r="W100" s="11"/>
      <c r="X100" s="11">
        <v>-9.0</v>
      </c>
      <c r="Y100" s="29" t="s">
        <v>866</v>
      </c>
    </row>
    <row r="101" ht="14.25" customHeight="1">
      <c r="A101" s="11"/>
      <c r="B101" s="11">
        <v>8.0</v>
      </c>
      <c r="C101" s="11" t="s">
        <v>106</v>
      </c>
      <c r="D101" s="11">
        <v>6.0</v>
      </c>
      <c r="E101" s="27">
        <v>7.7</v>
      </c>
      <c r="F101" s="29" t="s">
        <v>106</v>
      </c>
      <c r="G101" s="11" t="s">
        <v>330</v>
      </c>
      <c r="H101" s="11" t="s">
        <v>154</v>
      </c>
      <c r="I101" s="11" t="s">
        <v>775</v>
      </c>
      <c r="J101" s="48" t="s">
        <v>855</v>
      </c>
      <c r="K101" s="11">
        <v>39.0</v>
      </c>
      <c r="L101" s="11">
        <v>8.0</v>
      </c>
      <c r="M101" s="11">
        <v>91.0</v>
      </c>
      <c r="N101" s="11">
        <v>66.0</v>
      </c>
      <c r="O101" s="11">
        <v>25.0</v>
      </c>
      <c r="P101" s="11">
        <v>100.0</v>
      </c>
      <c r="Q101" s="11">
        <v>80.0</v>
      </c>
      <c r="R101" s="11">
        <v>81.0</v>
      </c>
      <c r="S101" s="11">
        <v>95.0</v>
      </c>
      <c r="T101" s="11">
        <v>115.0</v>
      </c>
      <c r="U101" s="11">
        <v>89.0</v>
      </c>
      <c r="V101" s="11">
        <v>8.0</v>
      </c>
      <c r="W101" s="11"/>
      <c r="X101" s="11">
        <v>2.0</v>
      </c>
      <c r="Y101" s="29" t="s">
        <v>1061</v>
      </c>
    </row>
    <row r="102" ht="14.25" customHeight="1">
      <c r="A102" s="11"/>
      <c r="B102" s="11">
        <v>9.0</v>
      </c>
      <c r="C102" s="11" t="s">
        <v>106</v>
      </c>
      <c r="D102" s="11">
        <v>8.0</v>
      </c>
      <c r="E102" s="27">
        <v>7.2</v>
      </c>
      <c r="F102" s="29" t="s">
        <v>866</v>
      </c>
      <c r="G102" s="11" t="s">
        <v>259</v>
      </c>
      <c r="H102" s="11" t="s">
        <v>71</v>
      </c>
      <c r="I102" s="11" t="s">
        <v>770</v>
      </c>
      <c r="J102" s="40" t="s">
        <v>856</v>
      </c>
      <c r="K102" s="11">
        <v>11.0</v>
      </c>
      <c r="L102" s="11">
        <v>8.0</v>
      </c>
      <c r="M102" s="11">
        <v>88.0</v>
      </c>
      <c r="N102" s="11">
        <v>103.0</v>
      </c>
      <c r="O102" s="11">
        <v>-15.0</v>
      </c>
      <c r="P102" s="11">
        <v>77.0</v>
      </c>
      <c r="Q102" s="11">
        <v>99.0</v>
      </c>
      <c r="R102" s="11">
        <v>97.0</v>
      </c>
      <c r="S102" s="11">
        <v>117.0</v>
      </c>
      <c r="T102" s="11">
        <v>117.0</v>
      </c>
      <c r="U102" s="11">
        <v>99.0</v>
      </c>
      <c r="V102" s="11">
        <v>9.0</v>
      </c>
      <c r="W102" s="11"/>
      <c r="X102" s="11">
        <v>-11.0</v>
      </c>
      <c r="Y102" s="29" t="s">
        <v>866</v>
      </c>
    </row>
    <row r="103" ht="14.25" customHeight="1">
      <c r="A103" s="11"/>
      <c r="B103" s="11">
        <v>9.0</v>
      </c>
      <c r="C103" s="11" t="s">
        <v>106</v>
      </c>
      <c r="D103" s="11"/>
      <c r="E103" s="27">
        <v>7.8</v>
      </c>
      <c r="F103" s="29" t="s">
        <v>866</v>
      </c>
      <c r="G103" s="11" t="s">
        <v>168</v>
      </c>
      <c r="H103" s="11" t="s">
        <v>206</v>
      </c>
      <c r="I103" s="11" t="s">
        <v>772</v>
      </c>
      <c r="J103" s="11" t="s">
        <v>853</v>
      </c>
      <c r="K103" s="11">
        <v>33.0</v>
      </c>
      <c r="L103" s="11">
        <v>9.0</v>
      </c>
      <c r="M103" s="11">
        <v>96.0</v>
      </c>
      <c r="N103" s="11">
        <v>106.0</v>
      </c>
      <c r="O103" s="11">
        <v>-10.0</v>
      </c>
      <c r="P103" s="11">
        <v>90.0</v>
      </c>
      <c r="Q103" s="11">
        <v>116.0</v>
      </c>
      <c r="R103" s="11">
        <v>94.0</v>
      </c>
      <c r="S103" s="11">
        <v>85.0</v>
      </c>
      <c r="T103" s="11">
        <v>121.0</v>
      </c>
      <c r="U103" s="11">
        <v>101.0</v>
      </c>
      <c r="V103" s="11">
        <v>9.0</v>
      </c>
      <c r="W103" s="11"/>
      <c r="X103" s="11">
        <v>-5.0</v>
      </c>
      <c r="Y103" s="29" t="s">
        <v>866</v>
      </c>
    </row>
    <row r="104" ht="14.25" customHeight="1">
      <c r="A104" s="11"/>
      <c r="B104" s="11">
        <v>9.0</v>
      </c>
      <c r="C104" s="11" t="s">
        <v>106</v>
      </c>
      <c r="D104" s="11"/>
      <c r="E104" s="27">
        <v>8.7</v>
      </c>
      <c r="F104" s="29" t="s">
        <v>866</v>
      </c>
      <c r="G104" s="11" t="s">
        <v>374</v>
      </c>
      <c r="H104" s="11" t="s">
        <v>67</v>
      </c>
      <c r="I104" s="11" t="s">
        <v>775</v>
      </c>
      <c r="J104" s="48" t="s">
        <v>861</v>
      </c>
      <c r="K104" s="11">
        <v>45.0</v>
      </c>
      <c r="L104" s="11">
        <v>9.0</v>
      </c>
      <c r="M104" s="11">
        <v>106.0</v>
      </c>
      <c r="N104" s="11">
        <v>81.0</v>
      </c>
      <c r="O104" s="11">
        <v>25.0</v>
      </c>
      <c r="P104" s="11">
        <v>118.0</v>
      </c>
      <c r="Q104" s="11">
        <v>108.0</v>
      </c>
      <c r="R104" s="11">
        <v>103.0</v>
      </c>
      <c r="S104" s="11">
        <v>93.0</v>
      </c>
      <c r="T104" s="11">
        <v>102.0</v>
      </c>
      <c r="U104" s="11">
        <v>101.0</v>
      </c>
      <c r="V104" s="11">
        <v>9.0</v>
      </c>
      <c r="W104" s="11"/>
      <c r="X104" s="11">
        <v>5.0</v>
      </c>
      <c r="Y104" s="29" t="s">
        <v>866</v>
      </c>
    </row>
    <row r="105" ht="14.25" customHeight="1">
      <c r="A105" s="11"/>
      <c r="B105" s="11">
        <v>8.0</v>
      </c>
      <c r="C105" s="11" t="s">
        <v>106</v>
      </c>
      <c r="D105" s="11">
        <v>7.0</v>
      </c>
      <c r="E105" s="27">
        <v>7.11</v>
      </c>
      <c r="F105" s="29" t="s">
        <v>106</v>
      </c>
      <c r="G105" s="11" t="s">
        <v>364</v>
      </c>
      <c r="H105" s="11" t="s">
        <v>192</v>
      </c>
      <c r="I105" s="11" t="s">
        <v>775</v>
      </c>
      <c r="J105" s="48" t="s">
        <v>855</v>
      </c>
      <c r="K105" s="11">
        <v>41.0</v>
      </c>
      <c r="L105" s="11">
        <v>8.0</v>
      </c>
      <c r="M105" s="11">
        <v>94.0</v>
      </c>
      <c r="N105" s="11">
        <v>65.0</v>
      </c>
      <c r="O105" s="11">
        <v>29.0</v>
      </c>
      <c r="P105" s="11">
        <v>75.0</v>
      </c>
      <c r="Q105" s="11">
        <v>95.0</v>
      </c>
      <c r="R105" s="11">
        <v>83.0</v>
      </c>
      <c r="S105" s="11">
        <v>84.0</v>
      </c>
      <c r="T105" s="11">
        <v>96.0</v>
      </c>
      <c r="U105" s="11">
        <v>84.0</v>
      </c>
      <c r="V105" s="11">
        <v>8.0</v>
      </c>
      <c r="W105" s="11">
        <v>-1.0</v>
      </c>
      <c r="X105" s="11">
        <v>10.0</v>
      </c>
      <c r="Y105" s="29" t="s">
        <v>1066</v>
      </c>
    </row>
    <row r="106" ht="14.25" customHeight="1">
      <c r="A106" s="11"/>
      <c r="B106" s="11">
        <v>9.0</v>
      </c>
      <c r="C106" s="11" t="s">
        <v>106</v>
      </c>
      <c r="D106" s="11">
        <v>8.0</v>
      </c>
      <c r="E106" s="27"/>
      <c r="F106" s="29" t="s">
        <v>866</v>
      </c>
      <c r="G106" s="11" t="s">
        <v>270</v>
      </c>
      <c r="H106" s="11" t="s">
        <v>162</v>
      </c>
      <c r="I106" s="11" t="s">
        <v>775</v>
      </c>
      <c r="J106" s="48" t="s">
        <v>855</v>
      </c>
      <c r="K106" s="11">
        <v>42.0</v>
      </c>
      <c r="L106" s="11">
        <v>11.0</v>
      </c>
      <c r="M106" s="11">
        <v>127.0</v>
      </c>
      <c r="N106" s="11">
        <v>104.0</v>
      </c>
      <c r="O106" s="11">
        <v>23.0</v>
      </c>
      <c r="P106" s="11">
        <v>107.0</v>
      </c>
      <c r="Q106" s="11">
        <v>102.0</v>
      </c>
      <c r="R106" s="11">
        <v>118.0</v>
      </c>
      <c r="S106" s="11">
        <v>90.0</v>
      </c>
      <c r="T106" s="11">
        <v>90.0</v>
      </c>
      <c r="U106" s="11">
        <v>105.0</v>
      </c>
      <c r="V106" s="11">
        <v>9.0</v>
      </c>
      <c r="W106" s="11"/>
      <c r="X106" s="11">
        <v>22.0</v>
      </c>
      <c r="Y106" s="29" t="s">
        <v>866</v>
      </c>
    </row>
    <row r="107" ht="14.25" customHeight="1">
      <c r="A107" s="11"/>
      <c r="B107" s="11">
        <v>9.0</v>
      </c>
      <c r="C107" s="11" t="s">
        <v>106</v>
      </c>
      <c r="D107" s="11">
        <v>8.0</v>
      </c>
      <c r="E107" s="27">
        <v>6.3</v>
      </c>
      <c r="F107" s="29" t="s">
        <v>106</v>
      </c>
      <c r="G107" s="11" t="s">
        <v>239</v>
      </c>
      <c r="H107" s="11" t="s">
        <v>154</v>
      </c>
      <c r="I107" s="11" t="s">
        <v>781</v>
      </c>
      <c r="J107" s="55" t="s">
        <v>870</v>
      </c>
      <c r="K107" s="11">
        <v>12.0</v>
      </c>
      <c r="L107" s="11">
        <v>8.0</v>
      </c>
      <c r="M107" s="11">
        <v>85.0</v>
      </c>
      <c r="N107" s="11">
        <v>112.0</v>
      </c>
      <c r="O107" s="11">
        <v>-27.0</v>
      </c>
      <c r="P107" s="11">
        <v>114.0</v>
      </c>
      <c r="Q107" s="11">
        <v>106.0</v>
      </c>
      <c r="R107" s="11">
        <v>91.0</v>
      </c>
      <c r="S107" s="11">
        <v>105.0</v>
      </c>
      <c r="T107" s="11">
        <v>116.0</v>
      </c>
      <c r="U107" s="11">
        <v>104.0</v>
      </c>
      <c r="V107" s="11">
        <v>9.0</v>
      </c>
      <c r="W107" s="11"/>
      <c r="X107" s="11">
        <v>-19.0</v>
      </c>
      <c r="Y107" s="29" t="s">
        <v>866</v>
      </c>
    </row>
    <row r="108" ht="14.25" customHeight="1">
      <c r="A108" s="11"/>
      <c r="B108" s="11">
        <v>10.0</v>
      </c>
      <c r="C108" s="11" t="s">
        <v>106</v>
      </c>
      <c r="D108" s="11">
        <v>8.0</v>
      </c>
      <c r="E108" s="27">
        <v>8.12</v>
      </c>
      <c r="F108" s="29" t="s">
        <v>866</v>
      </c>
      <c r="G108" s="11" t="s">
        <v>812</v>
      </c>
      <c r="H108" s="11" t="s">
        <v>148</v>
      </c>
      <c r="I108" s="11" t="s">
        <v>770</v>
      </c>
      <c r="J108" s="40" t="s">
        <v>856</v>
      </c>
      <c r="K108" s="11">
        <v>10.0</v>
      </c>
      <c r="L108" s="11">
        <v>9.0</v>
      </c>
      <c r="M108" s="11">
        <v>102.0</v>
      </c>
      <c r="N108" s="11">
        <v>109.0</v>
      </c>
      <c r="O108" s="11">
        <v>-7.0</v>
      </c>
      <c r="P108" s="11">
        <v>116.0</v>
      </c>
      <c r="Q108" s="11">
        <v>120.0</v>
      </c>
      <c r="R108" s="11">
        <v>119.0</v>
      </c>
      <c r="S108" s="11">
        <v>136.0</v>
      </c>
      <c r="T108" s="11">
        <v>63.0</v>
      </c>
      <c r="U108" s="11">
        <v>109.0</v>
      </c>
      <c r="V108" s="11">
        <v>10.0</v>
      </c>
      <c r="W108" s="11"/>
      <c r="X108" s="11">
        <v>-7.0</v>
      </c>
      <c r="Y108" s="29" t="s">
        <v>866</v>
      </c>
    </row>
    <row r="109" ht="14.25" customHeight="1">
      <c r="A109" s="11"/>
      <c r="B109" s="11">
        <v>10.0</v>
      </c>
      <c r="C109" s="11" t="s">
        <v>106</v>
      </c>
      <c r="D109" s="11"/>
      <c r="E109" s="27">
        <v>7.9</v>
      </c>
      <c r="F109" s="29" t="s">
        <v>866</v>
      </c>
      <c r="G109" s="11" t="s">
        <v>391</v>
      </c>
      <c r="H109" s="11" t="s">
        <v>52</v>
      </c>
      <c r="I109" s="11" t="s">
        <v>772</v>
      </c>
      <c r="J109" s="90" t="s">
        <v>882</v>
      </c>
      <c r="K109" s="11">
        <v>31.0</v>
      </c>
      <c r="L109" s="11">
        <v>7.0</v>
      </c>
      <c r="M109" s="11">
        <v>78.0</v>
      </c>
      <c r="N109" s="11">
        <v>94.0</v>
      </c>
      <c r="O109" s="11">
        <v>-16.0</v>
      </c>
      <c r="P109" s="11">
        <v>92.0</v>
      </c>
      <c r="Q109" s="11">
        <v>129.0</v>
      </c>
      <c r="R109" s="11">
        <v>86.0</v>
      </c>
      <c r="S109" s="11">
        <v>104.0</v>
      </c>
      <c r="T109" s="11">
        <v>153.0</v>
      </c>
      <c r="U109" s="11">
        <v>105.0</v>
      </c>
      <c r="V109" s="11">
        <v>9.0</v>
      </c>
      <c r="W109" s="11"/>
      <c r="X109" s="11">
        <v>-27.0</v>
      </c>
      <c r="Y109" s="29" t="s">
        <v>866</v>
      </c>
    </row>
    <row r="110" ht="14.25" customHeight="1">
      <c r="A110" s="11"/>
      <c r="B110" s="11">
        <v>10.0</v>
      </c>
      <c r="C110" s="11" t="s">
        <v>106</v>
      </c>
      <c r="D110" s="11"/>
      <c r="E110" s="27">
        <v>8.3</v>
      </c>
      <c r="F110" s="29" t="s">
        <v>866</v>
      </c>
      <c r="G110" s="11" t="s">
        <v>346</v>
      </c>
      <c r="H110" s="11" t="s">
        <v>35</v>
      </c>
      <c r="I110" s="11" t="s">
        <v>770</v>
      </c>
      <c r="J110" s="11" t="s">
        <v>867</v>
      </c>
      <c r="K110" s="11">
        <v>16.0</v>
      </c>
      <c r="L110" s="11">
        <v>10.0</v>
      </c>
      <c r="M110" s="11">
        <v>113.0</v>
      </c>
      <c r="N110" s="11">
        <v>120.0</v>
      </c>
      <c r="O110" s="11">
        <v>-7.0</v>
      </c>
      <c r="P110" s="11">
        <v>93.0</v>
      </c>
      <c r="Q110" s="11">
        <v>123.0</v>
      </c>
      <c r="R110" s="11">
        <v>132.0</v>
      </c>
      <c r="S110" s="11">
        <v>97.0</v>
      </c>
      <c r="T110" s="11">
        <v>105.0</v>
      </c>
      <c r="U110" s="11">
        <v>111.0</v>
      </c>
      <c r="V110" s="11">
        <v>10.0</v>
      </c>
      <c r="W110" s="11"/>
      <c r="X110" s="11">
        <v>2.0</v>
      </c>
      <c r="Y110" s="29" t="s">
        <v>866</v>
      </c>
    </row>
    <row r="111" ht="14.25" customHeight="1">
      <c r="A111" s="11"/>
      <c r="B111" s="11">
        <v>10.0</v>
      </c>
      <c r="C111" s="11" t="s">
        <v>106</v>
      </c>
      <c r="D111" s="11"/>
      <c r="E111" s="27"/>
      <c r="F111" s="29" t="s">
        <v>95</v>
      </c>
      <c r="G111" s="11" t="s">
        <v>286</v>
      </c>
      <c r="H111" s="11" t="s">
        <v>62</v>
      </c>
      <c r="I111" s="11" t="s">
        <v>775</v>
      </c>
      <c r="J111" s="48" t="s">
        <v>861</v>
      </c>
      <c r="K111" s="11">
        <v>47.0</v>
      </c>
      <c r="L111" s="11">
        <v>10.0</v>
      </c>
      <c r="M111" s="11">
        <v>114.0</v>
      </c>
      <c r="N111" s="11">
        <v>90.0</v>
      </c>
      <c r="O111" s="11">
        <v>24.0</v>
      </c>
      <c r="P111" s="11">
        <v>94.0</v>
      </c>
      <c r="Q111" s="11">
        <v>92.0</v>
      </c>
      <c r="R111" s="11">
        <v>99.0</v>
      </c>
      <c r="S111" s="11">
        <v>114.0</v>
      </c>
      <c r="T111" s="11">
        <v>164.0</v>
      </c>
      <c r="U111" s="11">
        <v>109.0</v>
      </c>
      <c r="V111" s="11">
        <v>10.0</v>
      </c>
      <c r="W111" s="11"/>
      <c r="X111" s="11">
        <v>5.0</v>
      </c>
      <c r="Y111" s="29" t="s">
        <v>866</v>
      </c>
    </row>
    <row r="112" ht="14.25" customHeight="1">
      <c r="A112" s="11"/>
      <c r="B112" s="11">
        <v>9.0</v>
      </c>
      <c r="C112" s="11" t="s">
        <v>106</v>
      </c>
      <c r="D112" s="11"/>
      <c r="E112" s="27"/>
      <c r="F112" s="29" t="s">
        <v>866</v>
      </c>
      <c r="G112" s="11" t="s">
        <v>178</v>
      </c>
      <c r="H112" s="11" t="s">
        <v>128</v>
      </c>
      <c r="I112" s="11" t="s">
        <v>772</v>
      </c>
      <c r="J112" s="11" t="s">
        <v>853</v>
      </c>
      <c r="K112" s="11">
        <v>32.0</v>
      </c>
      <c r="L112" s="11">
        <v>12.0</v>
      </c>
      <c r="M112" s="11">
        <v>135.0</v>
      </c>
      <c r="N112" s="11">
        <v>116.0</v>
      </c>
      <c r="O112" s="11">
        <v>19.0</v>
      </c>
      <c r="P112" s="11">
        <v>117.0</v>
      </c>
      <c r="Q112" s="11">
        <v>105.0</v>
      </c>
      <c r="R112" s="11">
        <v>104.0</v>
      </c>
      <c r="S112" s="11">
        <v>98.0</v>
      </c>
      <c r="T112" s="11">
        <v>100.0</v>
      </c>
      <c r="U112" s="11">
        <v>110.0</v>
      </c>
      <c r="V112" s="11">
        <v>10.0</v>
      </c>
      <c r="W112" s="11"/>
      <c r="X112" s="11">
        <v>25.0</v>
      </c>
      <c r="Y112" s="29" t="s">
        <v>1076</v>
      </c>
    </row>
    <row r="113" ht="14.25" customHeight="1">
      <c r="A113" s="11"/>
      <c r="B113" s="11">
        <v>11.0</v>
      </c>
      <c r="C113" s="11" t="s">
        <v>106</v>
      </c>
      <c r="D113" s="11">
        <v>9.0</v>
      </c>
      <c r="E113" s="27">
        <v>8.9</v>
      </c>
      <c r="F113" s="29" t="s">
        <v>866</v>
      </c>
      <c r="G113" s="11" t="s">
        <v>301</v>
      </c>
      <c r="H113" s="11" t="s">
        <v>154</v>
      </c>
      <c r="I113" s="11" t="s">
        <v>775</v>
      </c>
      <c r="J113" s="48" t="s">
        <v>861</v>
      </c>
      <c r="K113" s="11">
        <v>43.0</v>
      </c>
      <c r="L113" s="11">
        <v>10.0</v>
      </c>
      <c r="M113" s="11">
        <v>110.0</v>
      </c>
      <c r="N113" s="11">
        <v>86.0</v>
      </c>
      <c r="O113" s="11">
        <v>24.0</v>
      </c>
      <c r="P113" s="11">
        <v>134.0</v>
      </c>
      <c r="Q113" s="11">
        <v>128.0</v>
      </c>
      <c r="R113" s="11">
        <v>116.0</v>
      </c>
      <c r="S113" s="11">
        <v>99.0</v>
      </c>
      <c r="T113" s="11">
        <v>134.0</v>
      </c>
      <c r="U113" s="11">
        <v>115.0</v>
      </c>
      <c r="V113" s="11">
        <v>10.0</v>
      </c>
      <c r="W113" s="11"/>
      <c r="X113" s="11">
        <v>-5.0</v>
      </c>
      <c r="Y113" s="29" t="s">
        <v>866</v>
      </c>
    </row>
    <row r="114" ht="14.25" customHeight="1">
      <c r="A114" s="11"/>
      <c r="B114" s="11">
        <v>10.0</v>
      </c>
      <c r="C114" s="11" t="s">
        <v>106</v>
      </c>
      <c r="D114" s="11"/>
      <c r="E114" s="27">
        <v>8.8</v>
      </c>
      <c r="F114" s="29" t="s">
        <v>866</v>
      </c>
      <c r="G114" s="11" t="s">
        <v>266</v>
      </c>
      <c r="H114" s="11" t="s">
        <v>105</v>
      </c>
      <c r="I114" s="11" t="s">
        <v>770</v>
      </c>
      <c r="J114" s="11" t="s">
        <v>867</v>
      </c>
      <c r="K114" s="11">
        <v>17.0</v>
      </c>
      <c r="L114" s="11">
        <v>9.0</v>
      </c>
      <c r="M114" s="11">
        <v>105.0</v>
      </c>
      <c r="N114" s="11">
        <v>126.0</v>
      </c>
      <c r="O114" s="11">
        <v>-21.0</v>
      </c>
      <c r="P114" s="11">
        <v>122.0</v>
      </c>
      <c r="Q114" s="11">
        <v>91.0</v>
      </c>
      <c r="R114" s="11">
        <v>135.0</v>
      </c>
      <c r="S114" s="11">
        <v>109.0</v>
      </c>
      <c r="T114" s="11">
        <v>124.0</v>
      </c>
      <c r="U114" s="11">
        <v>116.0</v>
      </c>
      <c r="V114" s="11">
        <v>10.0</v>
      </c>
      <c r="W114" s="11"/>
      <c r="X114" s="11">
        <v>-11.0</v>
      </c>
      <c r="Y114" s="29" t="s">
        <v>866</v>
      </c>
    </row>
    <row r="115" ht="14.25" customHeight="1">
      <c r="A115" s="11"/>
      <c r="B115" s="11">
        <v>10.0</v>
      </c>
      <c r="C115" s="11" t="s">
        <v>106</v>
      </c>
      <c r="D115" s="11"/>
      <c r="E115" s="27"/>
      <c r="F115" s="29" t="s">
        <v>866</v>
      </c>
      <c r="G115" s="11" t="s">
        <v>672</v>
      </c>
      <c r="H115" s="11" t="s">
        <v>67</v>
      </c>
      <c r="I115" s="11" t="s">
        <v>775</v>
      </c>
      <c r="J115" s="58" t="s">
        <v>857</v>
      </c>
      <c r="K115" s="11">
        <v>51.0</v>
      </c>
      <c r="L115" s="11">
        <v>11.0</v>
      </c>
      <c r="M115" s="11">
        <v>122.0</v>
      </c>
      <c r="N115" s="11">
        <v>85.0</v>
      </c>
      <c r="O115" s="11">
        <v>37.0</v>
      </c>
      <c r="P115" s="11">
        <v>113.0</v>
      </c>
      <c r="Q115" s="11">
        <v>111.0</v>
      </c>
      <c r="R115" s="11">
        <v>102.0</v>
      </c>
      <c r="S115" s="11">
        <v>118.0</v>
      </c>
      <c r="T115" s="11">
        <v>139.0</v>
      </c>
      <c r="U115" s="11">
        <v>112.0</v>
      </c>
      <c r="V115" s="11">
        <v>10.0</v>
      </c>
      <c r="W115" s="11"/>
      <c r="X115" s="11">
        <v>10.0</v>
      </c>
      <c r="Y115" s="29" t="s">
        <v>1052</v>
      </c>
    </row>
    <row r="116" ht="14.25" customHeight="1">
      <c r="A116" s="11"/>
      <c r="B116" s="11">
        <v>12.0</v>
      </c>
      <c r="C116" s="11" t="s">
        <v>106</v>
      </c>
      <c r="D116" s="11">
        <v>11.0</v>
      </c>
      <c r="E116" s="27"/>
      <c r="F116" s="29" t="s">
        <v>866</v>
      </c>
      <c r="G116" s="11" t="s">
        <v>376</v>
      </c>
      <c r="H116" s="11" t="s">
        <v>154</v>
      </c>
      <c r="I116" s="11" t="s">
        <v>770</v>
      </c>
      <c r="J116" s="49" t="s">
        <v>873</v>
      </c>
      <c r="K116" s="11">
        <v>15.0</v>
      </c>
      <c r="L116" s="11">
        <v>10.0</v>
      </c>
      <c r="M116" s="11">
        <v>111.0</v>
      </c>
      <c r="N116" s="11">
        <v>127.0</v>
      </c>
      <c r="O116" s="11">
        <v>-16.0</v>
      </c>
      <c r="P116" s="11">
        <v>123.0</v>
      </c>
      <c r="Q116" s="11">
        <v>125.0</v>
      </c>
      <c r="R116" s="11">
        <v>147.0</v>
      </c>
      <c r="S116" s="11">
        <v>142.0</v>
      </c>
      <c r="T116" s="11">
        <v>140.0</v>
      </c>
      <c r="U116" s="11">
        <v>130.0</v>
      </c>
      <c r="V116" s="11">
        <v>11.0</v>
      </c>
      <c r="W116" s="11"/>
      <c r="X116" s="11">
        <v>-19.0</v>
      </c>
      <c r="Y116" s="29" t="s">
        <v>866</v>
      </c>
    </row>
    <row r="117" ht="14.25" customHeight="1">
      <c r="A117" s="11"/>
      <c r="B117" s="11">
        <v>10.0</v>
      </c>
      <c r="C117" s="11" t="s">
        <v>106</v>
      </c>
      <c r="D117" s="11"/>
      <c r="E117" s="27"/>
      <c r="F117" s="29" t="s">
        <v>106</v>
      </c>
      <c r="G117" s="11" t="s">
        <v>170</v>
      </c>
      <c r="H117" s="11" t="s">
        <v>171</v>
      </c>
      <c r="I117" s="11" t="s">
        <v>781</v>
      </c>
      <c r="J117" s="55" t="s">
        <v>870</v>
      </c>
      <c r="K117" s="11">
        <v>13.0</v>
      </c>
      <c r="L117" s="11">
        <v>11.0</v>
      </c>
      <c r="M117" s="11">
        <v>128.0</v>
      </c>
      <c r="N117" s="11">
        <v>108.0</v>
      </c>
      <c r="O117" s="11">
        <v>20.0</v>
      </c>
      <c r="P117" s="11">
        <v>131.0</v>
      </c>
      <c r="Q117" s="11">
        <v>113.0</v>
      </c>
      <c r="R117" s="11">
        <v>96.0</v>
      </c>
      <c r="S117" s="11">
        <v>113.0</v>
      </c>
      <c r="T117" s="11">
        <v>113.0</v>
      </c>
      <c r="U117" s="11">
        <v>114.0</v>
      </c>
      <c r="V117" s="11">
        <v>10.0</v>
      </c>
      <c r="W117" s="11"/>
      <c r="X117" s="11">
        <v>14.0</v>
      </c>
      <c r="Y117" s="29" t="s">
        <v>1069</v>
      </c>
    </row>
    <row r="118" ht="14.25" customHeight="1">
      <c r="A118" s="11" t="s">
        <v>72</v>
      </c>
      <c r="B118" s="11">
        <v>10.0</v>
      </c>
      <c r="C118" s="11" t="s">
        <v>106</v>
      </c>
      <c r="D118" s="11">
        <v>9.0</v>
      </c>
      <c r="E118" s="27">
        <v>8.11</v>
      </c>
      <c r="F118" s="29" t="s">
        <v>866</v>
      </c>
      <c r="G118" s="11" t="s">
        <v>244</v>
      </c>
      <c r="H118" s="11" t="s">
        <v>171</v>
      </c>
      <c r="I118" s="11" t="s">
        <v>770</v>
      </c>
      <c r="J118" s="49" t="s">
        <v>873</v>
      </c>
      <c r="K118" s="11">
        <v>13.0</v>
      </c>
      <c r="L118" s="11">
        <v>9.0</v>
      </c>
      <c r="M118" s="11">
        <v>103.0</v>
      </c>
      <c r="N118" s="11">
        <v>113.0</v>
      </c>
      <c r="O118" s="11">
        <v>-10.0</v>
      </c>
      <c r="P118" s="11">
        <v>120.0</v>
      </c>
      <c r="Q118" s="11">
        <v>112.0</v>
      </c>
      <c r="R118" s="11">
        <v>124.0</v>
      </c>
      <c r="S118" s="11">
        <v>126.0</v>
      </c>
      <c r="T118" s="11">
        <v>114.0</v>
      </c>
      <c r="U118" s="11">
        <v>116.0</v>
      </c>
      <c r="V118" s="11">
        <v>10.0</v>
      </c>
      <c r="W118" s="11"/>
      <c r="X118" s="11">
        <v>-13.0</v>
      </c>
      <c r="Y118" s="29" t="s">
        <v>866</v>
      </c>
    </row>
    <row r="119" ht="14.25" customHeight="1">
      <c r="A119" s="11"/>
      <c r="B119" s="11">
        <v>10.0</v>
      </c>
      <c r="C119" s="11" t="s">
        <v>106</v>
      </c>
      <c r="D119" s="11"/>
      <c r="E119" s="27"/>
      <c r="F119" s="29" t="s">
        <v>866</v>
      </c>
      <c r="G119" s="11" t="s">
        <v>194</v>
      </c>
      <c r="H119" s="11" t="s">
        <v>195</v>
      </c>
      <c r="I119" s="11" t="s">
        <v>772</v>
      </c>
      <c r="J119" s="90" t="s">
        <v>882</v>
      </c>
      <c r="K119" s="11">
        <v>30.0</v>
      </c>
      <c r="L119" s="11">
        <v>15.0</v>
      </c>
      <c r="M119" s="11">
        <v>175.0</v>
      </c>
      <c r="N119" s="11">
        <v>144.0</v>
      </c>
      <c r="O119" s="11">
        <v>31.0</v>
      </c>
      <c r="P119" s="11">
        <v>110.0</v>
      </c>
      <c r="Q119" s="11">
        <v>146.0</v>
      </c>
      <c r="R119" s="11">
        <v>111.0</v>
      </c>
      <c r="S119" s="11">
        <v>74.0</v>
      </c>
      <c r="T119" s="11">
        <v>99.0</v>
      </c>
      <c r="U119" s="11">
        <v>122.0</v>
      </c>
      <c r="V119" s="11">
        <v>11.0</v>
      </c>
      <c r="W119" s="11"/>
      <c r="X119" s="11">
        <v>53.0</v>
      </c>
      <c r="Y119" s="29" t="s">
        <v>1073</v>
      </c>
    </row>
    <row r="120" ht="14.25" customHeight="1">
      <c r="A120" s="11"/>
      <c r="B120" s="11">
        <v>10.0</v>
      </c>
      <c r="C120" s="11" t="s">
        <v>106</v>
      </c>
      <c r="D120" s="11">
        <v>9.0</v>
      </c>
      <c r="E120" s="27">
        <v>8.1</v>
      </c>
      <c r="F120" s="29" t="s">
        <v>866</v>
      </c>
      <c r="G120" s="11" t="s">
        <v>226</v>
      </c>
      <c r="H120" s="11" t="s">
        <v>116</v>
      </c>
      <c r="I120" s="11" t="s">
        <v>772</v>
      </c>
      <c r="J120" s="11" t="s">
        <v>853</v>
      </c>
      <c r="K120" s="11">
        <v>37.0</v>
      </c>
      <c r="L120" s="11">
        <v>10.0</v>
      </c>
      <c r="M120" s="11">
        <v>116.0</v>
      </c>
      <c r="N120" s="11">
        <v>125.0</v>
      </c>
      <c r="O120" s="11">
        <v>-9.0</v>
      </c>
      <c r="P120" s="11">
        <v>109.0</v>
      </c>
      <c r="Q120" s="11">
        <v>107.0</v>
      </c>
      <c r="R120" s="11">
        <v>126.0</v>
      </c>
      <c r="S120" s="11">
        <v>111.0</v>
      </c>
      <c r="T120" s="11">
        <v>130.0</v>
      </c>
      <c r="U120" s="11">
        <v>117.0</v>
      </c>
      <c r="V120" s="11">
        <v>10.0</v>
      </c>
      <c r="W120" s="11"/>
      <c r="X120" s="11">
        <v>-1.0</v>
      </c>
      <c r="Y120" s="29" t="s">
        <v>866</v>
      </c>
    </row>
    <row r="121" ht="14.25" customHeight="1">
      <c r="A121" s="11"/>
      <c r="B121" s="11">
        <v>11.0</v>
      </c>
      <c r="C121" s="11" t="s">
        <v>106</v>
      </c>
      <c r="D121" s="11"/>
      <c r="E121" s="27">
        <v>8.6</v>
      </c>
      <c r="F121" s="29" t="s">
        <v>95</v>
      </c>
      <c r="G121" s="11" t="s">
        <v>292</v>
      </c>
      <c r="H121" s="11" t="s">
        <v>62</v>
      </c>
      <c r="I121" s="11" t="s">
        <v>775</v>
      </c>
      <c r="J121" s="48" t="s">
        <v>861</v>
      </c>
      <c r="K121" s="11">
        <v>46.0</v>
      </c>
      <c r="L121" s="11">
        <v>9.0</v>
      </c>
      <c r="M121" s="11">
        <v>107.0</v>
      </c>
      <c r="N121" s="11">
        <v>83.0</v>
      </c>
      <c r="O121" s="11">
        <v>24.0</v>
      </c>
      <c r="P121" s="11">
        <v>129.0</v>
      </c>
      <c r="Q121" s="11">
        <v>135.0</v>
      </c>
      <c r="R121" s="11">
        <v>112.0</v>
      </c>
      <c r="S121" s="11">
        <v>106.0</v>
      </c>
      <c r="T121" s="11">
        <v>141.0</v>
      </c>
      <c r="U121" s="11">
        <v>116.0</v>
      </c>
      <c r="V121" s="11">
        <v>10.0</v>
      </c>
      <c r="W121" s="11"/>
      <c r="X121" s="11">
        <v>-9.0</v>
      </c>
      <c r="Y121" s="29" t="s">
        <v>866</v>
      </c>
    </row>
    <row r="122" ht="14.25" customHeight="1">
      <c r="A122" s="11"/>
      <c r="B122" s="11">
        <v>10.0</v>
      </c>
      <c r="C122" s="11" t="s">
        <v>106</v>
      </c>
      <c r="D122" s="11"/>
      <c r="E122" s="27"/>
      <c r="F122" s="29" t="s">
        <v>95</v>
      </c>
      <c r="G122" s="11" t="s">
        <v>144</v>
      </c>
      <c r="H122" s="11" t="s">
        <v>71</v>
      </c>
      <c r="I122" s="11" t="s">
        <v>772</v>
      </c>
      <c r="J122" s="11" t="s">
        <v>863</v>
      </c>
      <c r="K122" s="11">
        <v>52.0</v>
      </c>
      <c r="L122" s="11">
        <v>10.0</v>
      </c>
      <c r="M122" s="11">
        <v>112.0</v>
      </c>
      <c r="N122" s="11">
        <v>128.0</v>
      </c>
      <c r="O122" s="11">
        <v>-16.0</v>
      </c>
      <c r="P122" s="11">
        <v>108.0</v>
      </c>
      <c r="Q122" s="11">
        <v>103.0</v>
      </c>
      <c r="R122" s="11">
        <v>106.0</v>
      </c>
      <c r="S122" s="11">
        <v>100.0</v>
      </c>
      <c r="T122" s="11">
        <v>150.0</v>
      </c>
      <c r="U122" s="11">
        <v>115.0</v>
      </c>
      <c r="V122" s="11">
        <v>10.0</v>
      </c>
      <c r="W122" s="11"/>
      <c r="X122" s="11">
        <v>-3.0</v>
      </c>
      <c r="Y122" s="29" t="s">
        <v>866</v>
      </c>
    </row>
    <row r="123" ht="14.25" customHeight="1">
      <c r="A123" s="11"/>
      <c r="B123" s="11">
        <v>10.0</v>
      </c>
      <c r="C123" s="11" t="s">
        <v>106</v>
      </c>
      <c r="D123" s="11"/>
      <c r="E123" s="27"/>
      <c r="F123" s="29" t="s">
        <v>106</v>
      </c>
      <c r="G123" s="11" t="s">
        <v>306</v>
      </c>
      <c r="H123" s="11" t="s">
        <v>192</v>
      </c>
      <c r="I123" s="11" t="s">
        <v>772</v>
      </c>
      <c r="J123" s="11" t="s">
        <v>1091</v>
      </c>
      <c r="K123" s="11">
        <v>51.0</v>
      </c>
      <c r="L123" s="11">
        <v>9.0</v>
      </c>
      <c r="M123" s="11">
        <v>100.0</v>
      </c>
      <c r="N123" s="11">
        <v>99.0</v>
      </c>
      <c r="O123" s="11">
        <v>1.0</v>
      </c>
      <c r="P123" s="11">
        <v>76.0</v>
      </c>
      <c r="Q123" s="11">
        <v>87.0</v>
      </c>
      <c r="R123" s="11">
        <v>90.0</v>
      </c>
      <c r="S123" s="11">
        <v>179.0</v>
      </c>
      <c r="T123" s="11">
        <v>148.0</v>
      </c>
      <c r="U123" s="11">
        <v>111.0</v>
      </c>
      <c r="V123" s="11">
        <v>10.0</v>
      </c>
      <c r="W123" s="11"/>
      <c r="X123" s="11">
        <v>-11.0</v>
      </c>
      <c r="Y123" s="29" t="s">
        <v>1092</v>
      </c>
    </row>
    <row r="124" ht="14.25" customHeight="1">
      <c r="A124" s="11"/>
      <c r="B124" s="11">
        <v>10.0</v>
      </c>
      <c r="C124" s="11" t="s">
        <v>106</v>
      </c>
      <c r="D124" s="11">
        <v>7.0</v>
      </c>
      <c r="E124" s="27">
        <v>6.9</v>
      </c>
      <c r="F124" s="29" t="s">
        <v>866</v>
      </c>
      <c r="G124" s="11" t="s">
        <v>422</v>
      </c>
      <c r="H124" s="11" t="s">
        <v>58</v>
      </c>
      <c r="I124" s="11" t="s">
        <v>772</v>
      </c>
      <c r="J124" s="11" t="s">
        <v>853</v>
      </c>
      <c r="K124" s="11">
        <v>36.0</v>
      </c>
      <c r="L124" s="11">
        <v>13.0</v>
      </c>
      <c r="M124" s="11">
        <v>147.0</v>
      </c>
      <c r="N124" s="11">
        <v>133.0</v>
      </c>
      <c r="O124" s="11">
        <v>14.0</v>
      </c>
      <c r="P124" s="11">
        <v>125.0</v>
      </c>
      <c r="Q124" s="11">
        <v>168.0</v>
      </c>
      <c r="R124" s="11">
        <v>125.0</v>
      </c>
      <c r="S124" s="11">
        <v>78.0</v>
      </c>
      <c r="T124" s="11">
        <v>103.0</v>
      </c>
      <c r="U124" s="11">
        <v>125.0</v>
      </c>
      <c r="V124" s="11">
        <v>11.0</v>
      </c>
      <c r="W124" s="11"/>
      <c r="X124" s="11">
        <v>22.0</v>
      </c>
      <c r="Y124" s="29" t="s">
        <v>866</v>
      </c>
    </row>
    <row r="125" ht="14.25" customHeight="1">
      <c r="A125" s="11"/>
      <c r="B125" s="11">
        <v>10.0</v>
      </c>
      <c r="C125" s="11" t="s">
        <v>106</v>
      </c>
      <c r="D125" s="11"/>
      <c r="E125" s="27"/>
      <c r="F125" s="29" t="s">
        <v>866</v>
      </c>
      <c r="G125" s="11" t="s">
        <v>848</v>
      </c>
      <c r="H125" s="11" t="s">
        <v>192</v>
      </c>
      <c r="I125" s="11" t="s">
        <v>772</v>
      </c>
      <c r="J125" s="11" t="s">
        <v>863</v>
      </c>
      <c r="K125" s="11">
        <v>49.0</v>
      </c>
      <c r="L125" s="11">
        <v>9.0</v>
      </c>
      <c r="M125" s="11">
        <v>104.0</v>
      </c>
      <c r="N125" s="11">
        <v>135.0</v>
      </c>
      <c r="O125" s="11">
        <v>-31.0</v>
      </c>
      <c r="P125" s="11">
        <v>86.0</v>
      </c>
      <c r="Q125" s="11">
        <v>96.0</v>
      </c>
      <c r="R125" s="11">
        <v>109.0</v>
      </c>
      <c r="S125" s="11">
        <v>130.0</v>
      </c>
      <c r="T125" s="11">
        <v>143.0</v>
      </c>
      <c r="U125" s="11">
        <v>114.0</v>
      </c>
      <c r="V125" s="11">
        <v>10.0</v>
      </c>
      <c r="W125" s="11"/>
      <c r="X125" s="11">
        <v>-10.0</v>
      </c>
      <c r="Y125" s="29" t="s">
        <v>866</v>
      </c>
    </row>
    <row r="126" ht="14.25" customHeight="1">
      <c r="A126" s="11"/>
      <c r="B126" s="11">
        <v>11.0</v>
      </c>
      <c r="C126" s="11" t="s">
        <v>106</v>
      </c>
      <c r="D126" s="11">
        <v>9.0</v>
      </c>
      <c r="E126" s="27">
        <v>7.12</v>
      </c>
      <c r="F126" s="29" t="s">
        <v>866</v>
      </c>
      <c r="G126" s="11" t="s">
        <v>210</v>
      </c>
      <c r="H126" s="11" t="s">
        <v>116</v>
      </c>
      <c r="I126" s="11" t="s">
        <v>770</v>
      </c>
      <c r="J126" s="49" t="s">
        <v>873</v>
      </c>
      <c r="K126" s="11">
        <v>14.0</v>
      </c>
      <c r="L126" s="11">
        <v>9.0</v>
      </c>
      <c r="M126" s="11">
        <v>99.0</v>
      </c>
      <c r="N126" s="11">
        <v>110.0</v>
      </c>
      <c r="O126" s="11">
        <v>-11.0</v>
      </c>
      <c r="P126" s="11">
        <v>130.0</v>
      </c>
      <c r="Q126" s="11">
        <v>124.0</v>
      </c>
      <c r="R126" s="11">
        <v>117.0</v>
      </c>
      <c r="S126" s="11">
        <v>127.0</v>
      </c>
      <c r="T126" s="11">
        <v>144.0</v>
      </c>
      <c r="U126" s="11">
        <v>121.0</v>
      </c>
      <c r="V126" s="11">
        <v>11.0</v>
      </c>
      <c r="W126" s="11"/>
      <c r="X126" s="11">
        <v>-22.0</v>
      </c>
      <c r="Y126" s="29" t="s">
        <v>866</v>
      </c>
    </row>
    <row r="127" ht="14.25" customHeight="1">
      <c r="A127" s="11"/>
      <c r="B127" s="11">
        <v>11.0</v>
      </c>
      <c r="C127" s="11" t="s">
        <v>106</v>
      </c>
      <c r="D127" s="11"/>
      <c r="E127" s="27"/>
      <c r="F127" s="29" t="s">
        <v>866</v>
      </c>
      <c r="G127" s="11" t="s">
        <v>334</v>
      </c>
      <c r="H127" s="11" t="s">
        <v>67</v>
      </c>
      <c r="I127" s="11" t="s">
        <v>781</v>
      </c>
      <c r="J127" s="11"/>
      <c r="K127" s="11"/>
      <c r="L127" s="11">
        <v>11.0</v>
      </c>
      <c r="M127" s="11">
        <v>120.0</v>
      </c>
      <c r="N127" s="11">
        <v>132.0</v>
      </c>
      <c r="O127" s="11">
        <v>-12.0</v>
      </c>
      <c r="P127" s="11">
        <v>142.0</v>
      </c>
      <c r="Q127" s="11">
        <v>126.0</v>
      </c>
      <c r="R127" s="11">
        <v>107.0</v>
      </c>
      <c r="S127" s="11">
        <v>119.0</v>
      </c>
      <c r="T127" s="11">
        <v>128.0</v>
      </c>
      <c r="U127" s="11">
        <v>124.0</v>
      </c>
      <c r="V127" s="11">
        <v>11.0</v>
      </c>
      <c r="W127" s="11"/>
      <c r="X127" s="11">
        <v>-4.0</v>
      </c>
      <c r="Y127" s="29" t="s">
        <v>866</v>
      </c>
    </row>
    <row r="128" ht="14.25" customHeight="1">
      <c r="A128" s="11"/>
      <c r="B128" s="11">
        <v>12.0</v>
      </c>
      <c r="C128" s="11" t="s">
        <v>106</v>
      </c>
      <c r="D128" s="11">
        <v>8.0</v>
      </c>
      <c r="E128" s="27">
        <v>7.3</v>
      </c>
      <c r="F128" s="29" t="s">
        <v>866</v>
      </c>
      <c r="G128" s="11" t="s">
        <v>407</v>
      </c>
      <c r="H128" s="11" t="s">
        <v>206</v>
      </c>
      <c r="I128" s="11" t="s">
        <v>772</v>
      </c>
      <c r="J128" s="11" t="s">
        <v>872</v>
      </c>
      <c r="K128" s="11">
        <v>38.0</v>
      </c>
      <c r="L128" s="11">
        <v>9.0</v>
      </c>
      <c r="M128" s="11">
        <v>101.0</v>
      </c>
      <c r="N128" s="11">
        <v>121.0</v>
      </c>
      <c r="O128" s="11">
        <v>-20.0</v>
      </c>
      <c r="P128" s="11">
        <v>105.0</v>
      </c>
      <c r="Q128" s="11">
        <v>132.0</v>
      </c>
      <c r="R128" s="11">
        <v>120.0</v>
      </c>
      <c r="S128" s="11">
        <v>122.0</v>
      </c>
      <c r="T128" s="11">
        <v>209.0</v>
      </c>
      <c r="U128" s="11">
        <v>130.0</v>
      </c>
      <c r="V128" s="11">
        <v>11.0</v>
      </c>
      <c r="W128" s="11"/>
      <c r="X128" s="11">
        <v>-29.0</v>
      </c>
      <c r="Y128" s="29" t="s">
        <v>866</v>
      </c>
    </row>
    <row r="129" ht="14.25" customHeight="1">
      <c r="A129" s="11"/>
      <c r="B129" s="11">
        <v>12.0</v>
      </c>
      <c r="C129" s="11" t="s">
        <v>106</v>
      </c>
      <c r="D129" s="11">
        <v>9.0</v>
      </c>
      <c r="E129" s="27">
        <v>8.2</v>
      </c>
      <c r="F129" s="29" t="s">
        <v>106</v>
      </c>
      <c r="G129" s="11" t="s">
        <v>348</v>
      </c>
      <c r="H129" s="11" t="s">
        <v>71</v>
      </c>
      <c r="I129" s="11" t="s">
        <v>781</v>
      </c>
      <c r="J129" s="55" t="s">
        <v>870</v>
      </c>
      <c r="K129" s="11">
        <v>14.0</v>
      </c>
      <c r="L129" s="11">
        <v>10.0</v>
      </c>
      <c r="M129" s="11">
        <v>115.0</v>
      </c>
      <c r="N129" s="11">
        <v>137.0</v>
      </c>
      <c r="O129" s="11">
        <v>-22.0</v>
      </c>
      <c r="P129" s="11">
        <v>139.0</v>
      </c>
      <c r="Q129" s="11">
        <v>137.0</v>
      </c>
      <c r="R129" s="11">
        <v>100.0</v>
      </c>
      <c r="S129" s="11">
        <v>137.0</v>
      </c>
      <c r="T129" s="11">
        <v>159.0</v>
      </c>
      <c r="U129" s="11">
        <v>132.0</v>
      </c>
      <c r="V129" s="11">
        <v>12.0</v>
      </c>
      <c r="W129" s="11"/>
      <c r="X129" s="11">
        <v>-17.0</v>
      </c>
      <c r="Y129" s="29" t="s">
        <v>866</v>
      </c>
    </row>
    <row r="130" ht="14.25" customHeight="1">
      <c r="A130" s="11"/>
      <c r="B130" s="11">
        <v>11.0</v>
      </c>
      <c r="C130" s="11" t="s">
        <v>106</v>
      </c>
      <c r="D130" s="11"/>
      <c r="E130" s="27"/>
      <c r="F130" s="29" t="s">
        <v>866</v>
      </c>
      <c r="G130" s="11" t="s">
        <v>328</v>
      </c>
      <c r="H130" s="11" t="s">
        <v>85</v>
      </c>
      <c r="I130" s="11" t="s">
        <v>781</v>
      </c>
      <c r="J130" s="11"/>
      <c r="K130" s="11"/>
      <c r="L130" s="11">
        <v>10.0</v>
      </c>
      <c r="M130" s="11">
        <v>118.0</v>
      </c>
      <c r="N130" s="11">
        <v>141.0</v>
      </c>
      <c r="O130" s="11">
        <v>-23.0</v>
      </c>
      <c r="P130" s="11">
        <v>124.0</v>
      </c>
      <c r="Q130" s="11">
        <v>131.0</v>
      </c>
      <c r="R130" s="11">
        <v>123.0</v>
      </c>
      <c r="S130" s="11">
        <v>138.0</v>
      </c>
      <c r="T130" s="11">
        <v>142.0</v>
      </c>
      <c r="U130" s="11">
        <v>131.0</v>
      </c>
      <c r="V130" s="11">
        <v>11.0</v>
      </c>
      <c r="W130" s="11"/>
      <c r="X130" s="11">
        <v>-13.0</v>
      </c>
      <c r="Y130" s="29" t="s">
        <v>866</v>
      </c>
    </row>
    <row r="131" ht="14.25" customHeight="1">
      <c r="A131" s="11"/>
      <c r="B131" s="11">
        <v>11.0</v>
      </c>
      <c r="C131" s="11" t="s">
        <v>106</v>
      </c>
      <c r="D131" s="11"/>
      <c r="E131" s="27"/>
      <c r="F131" s="29" t="s">
        <v>866</v>
      </c>
      <c r="G131" s="11" t="s">
        <v>543</v>
      </c>
      <c r="H131" s="11" t="s">
        <v>71</v>
      </c>
      <c r="I131" s="11" t="s">
        <v>1085</v>
      </c>
      <c r="J131" s="11"/>
      <c r="K131" s="11"/>
      <c r="L131" s="11">
        <v>16.0</v>
      </c>
      <c r="M131" s="11">
        <v>181.0</v>
      </c>
      <c r="N131" s="11" t="s">
        <v>36</v>
      </c>
      <c r="O131" s="11" t="e">
        <v>#VALUE!</v>
      </c>
      <c r="P131" s="11">
        <v>104.0</v>
      </c>
      <c r="Q131" s="11">
        <v>104.0</v>
      </c>
      <c r="R131" s="11">
        <v>205.0</v>
      </c>
      <c r="S131" s="11">
        <v>131.0</v>
      </c>
      <c r="T131" s="11">
        <v>71.0</v>
      </c>
      <c r="U131" s="11">
        <v>132.0</v>
      </c>
      <c r="V131" s="11">
        <v>12.0</v>
      </c>
      <c r="W131" s="11"/>
      <c r="X131" s="11">
        <v>49.0</v>
      </c>
      <c r="Y131" s="29" t="s">
        <v>866</v>
      </c>
    </row>
    <row r="132" ht="14.25" customHeight="1">
      <c r="A132" s="11"/>
      <c r="B132" s="11">
        <v>13.0</v>
      </c>
      <c r="C132" s="11" t="s">
        <v>106</v>
      </c>
      <c r="D132" s="11"/>
      <c r="E132" s="27">
        <v>8.5</v>
      </c>
      <c r="F132" s="29" t="s">
        <v>866</v>
      </c>
      <c r="G132" s="11" t="s">
        <v>385</v>
      </c>
      <c r="H132" s="11" t="s">
        <v>131</v>
      </c>
      <c r="I132" s="11" t="s">
        <v>775</v>
      </c>
      <c r="J132" s="48" t="s">
        <v>861</v>
      </c>
      <c r="K132" s="11">
        <v>44.0</v>
      </c>
      <c r="L132" s="11">
        <v>10.0</v>
      </c>
      <c r="M132" s="11">
        <v>108.0</v>
      </c>
      <c r="N132" s="11">
        <v>102.0</v>
      </c>
      <c r="O132" s="11">
        <v>6.0</v>
      </c>
      <c r="P132" s="11">
        <v>161.0</v>
      </c>
      <c r="Q132" s="11">
        <v>134.0</v>
      </c>
      <c r="R132" s="11">
        <v>127.0</v>
      </c>
      <c r="S132" s="11">
        <v>124.0</v>
      </c>
      <c r="T132" s="11">
        <v>177.0</v>
      </c>
      <c r="U132" s="11">
        <v>133.0</v>
      </c>
      <c r="V132" s="11">
        <v>12.0</v>
      </c>
      <c r="W132" s="11"/>
      <c r="X132" s="11">
        <v>-25.0</v>
      </c>
      <c r="Y132" s="29" t="s">
        <v>866</v>
      </c>
    </row>
    <row r="133" ht="14.25" customHeight="1">
      <c r="A133" s="11"/>
      <c r="B133" s="11">
        <v>12.0</v>
      </c>
      <c r="C133" s="11" t="s">
        <v>106</v>
      </c>
      <c r="D133" s="11"/>
      <c r="E133" s="27"/>
      <c r="F133" s="29" t="s">
        <v>866</v>
      </c>
      <c r="G133" s="11" t="s">
        <v>590</v>
      </c>
      <c r="H133" s="11" t="s">
        <v>40</v>
      </c>
      <c r="I133" s="11" t="s">
        <v>775</v>
      </c>
      <c r="J133" s="11" t="s">
        <v>862</v>
      </c>
      <c r="K133" s="11">
        <v>56.0</v>
      </c>
      <c r="L133" s="11">
        <v>11.0</v>
      </c>
      <c r="M133" s="11">
        <v>130.0</v>
      </c>
      <c r="N133" s="11">
        <v>105.0</v>
      </c>
      <c r="O133" s="11">
        <v>25.0</v>
      </c>
      <c r="P133" s="11">
        <v>121.0</v>
      </c>
      <c r="Q133" s="11">
        <v>139.0</v>
      </c>
      <c r="R133" s="11">
        <v>137.0</v>
      </c>
      <c r="S133" s="11">
        <v>120.0</v>
      </c>
      <c r="T133" s="11">
        <v>183.0</v>
      </c>
      <c r="U133" s="11">
        <v>133.0</v>
      </c>
      <c r="V133" s="11">
        <v>12.0</v>
      </c>
      <c r="W133" s="11">
        <v>-12.0</v>
      </c>
      <c r="X133" s="11">
        <v>-3.0</v>
      </c>
      <c r="Y133" s="29" t="s">
        <v>1070</v>
      </c>
    </row>
    <row r="134" ht="14.25" customHeight="1">
      <c r="A134" s="11"/>
      <c r="B134" s="11">
        <v>11.0</v>
      </c>
      <c r="C134" s="11" t="s">
        <v>106</v>
      </c>
      <c r="D134" s="11"/>
      <c r="E134" s="27"/>
      <c r="F134" s="29" t="s">
        <v>866</v>
      </c>
      <c r="G134" s="11" t="s">
        <v>485</v>
      </c>
      <c r="H134" s="11" t="s">
        <v>176</v>
      </c>
      <c r="I134" s="11" t="s">
        <v>1081</v>
      </c>
      <c r="J134" s="11"/>
      <c r="K134" s="11"/>
      <c r="L134" s="11">
        <v>14.0</v>
      </c>
      <c r="M134" s="11">
        <v>158.0</v>
      </c>
      <c r="N134" s="11" t="s">
        <v>36</v>
      </c>
      <c r="O134" s="11" t="e">
        <v>#VALUE!</v>
      </c>
      <c r="P134" s="11">
        <v>106.0</v>
      </c>
      <c r="Q134" s="11">
        <v>94.0</v>
      </c>
      <c r="R134" s="11">
        <v>203.0</v>
      </c>
      <c r="S134" s="11">
        <v>147.0</v>
      </c>
      <c r="T134" s="11">
        <v>82.0</v>
      </c>
      <c r="U134" s="11">
        <v>131.0</v>
      </c>
      <c r="V134" s="11">
        <v>11.0</v>
      </c>
      <c r="W134" s="11"/>
      <c r="X134" s="11">
        <v>27.0</v>
      </c>
      <c r="Y134" s="29" t="s">
        <v>866</v>
      </c>
    </row>
    <row r="135" ht="14.25" customHeight="1">
      <c r="A135" s="11"/>
      <c r="B135" s="11">
        <v>12.0</v>
      </c>
      <c r="C135" s="11" t="s">
        <v>106</v>
      </c>
      <c r="D135" s="11"/>
      <c r="E135" s="27"/>
      <c r="F135" s="29" t="s">
        <v>866</v>
      </c>
      <c r="G135" s="11" t="s">
        <v>424</v>
      </c>
      <c r="H135" s="11" t="s">
        <v>119</v>
      </c>
      <c r="I135" s="11" t="s">
        <v>770</v>
      </c>
      <c r="J135" s="11" t="s">
        <v>867</v>
      </c>
      <c r="K135" s="11">
        <v>18.0</v>
      </c>
      <c r="L135" s="11">
        <v>11.0</v>
      </c>
      <c r="M135" s="11">
        <v>129.0</v>
      </c>
      <c r="N135" s="11">
        <v>134.0</v>
      </c>
      <c r="O135" s="11">
        <v>-5.0</v>
      </c>
      <c r="P135" s="11">
        <v>135.0</v>
      </c>
      <c r="Q135" s="11">
        <v>127.0</v>
      </c>
      <c r="R135" s="11">
        <v>142.0</v>
      </c>
      <c r="S135" s="11">
        <v>125.0</v>
      </c>
      <c r="T135" s="11">
        <v>132.0</v>
      </c>
      <c r="U135" s="11">
        <v>132.0</v>
      </c>
      <c r="V135" s="11">
        <v>12.0</v>
      </c>
      <c r="W135" s="11"/>
      <c r="X135" s="11">
        <v>-3.0</v>
      </c>
      <c r="Y135" s="29" t="s">
        <v>866</v>
      </c>
    </row>
    <row r="136" ht="14.25" customHeight="1">
      <c r="A136" s="11"/>
      <c r="B136" s="11">
        <v>11.0</v>
      </c>
      <c r="C136" s="11" t="s">
        <v>106</v>
      </c>
      <c r="D136" s="11"/>
      <c r="E136" s="27"/>
      <c r="F136" s="29" t="s">
        <v>106</v>
      </c>
      <c r="G136" s="11" t="s">
        <v>248</v>
      </c>
      <c r="H136" s="11" t="s">
        <v>40</v>
      </c>
      <c r="I136" s="11" t="s">
        <v>781</v>
      </c>
      <c r="J136" s="55" t="s">
        <v>870</v>
      </c>
      <c r="K136" s="11">
        <v>15.0</v>
      </c>
      <c r="L136" s="11">
        <v>14.0</v>
      </c>
      <c r="M136" s="11">
        <v>159.0</v>
      </c>
      <c r="N136" s="11">
        <v>140.0</v>
      </c>
      <c r="O136" s="11">
        <v>19.0</v>
      </c>
      <c r="P136" s="11">
        <v>148.0</v>
      </c>
      <c r="Q136" s="11">
        <v>141.0</v>
      </c>
      <c r="R136" s="11">
        <v>114.0</v>
      </c>
      <c r="S136" s="11">
        <v>121.0</v>
      </c>
      <c r="T136" s="11">
        <v>129.0</v>
      </c>
      <c r="U136" s="11">
        <v>136.0</v>
      </c>
      <c r="V136" s="11">
        <v>12.0</v>
      </c>
      <c r="W136" s="11"/>
      <c r="X136" s="11">
        <v>23.0</v>
      </c>
      <c r="Y136" s="29" t="s">
        <v>866</v>
      </c>
    </row>
    <row r="137" ht="14.25" customHeight="1">
      <c r="A137" s="11"/>
      <c r="B137" s="11">
        <v>13.0</v>
      </c>
      <c r="C137" s="11" t="s">
        <v>106</v>
      </c>
      <c r="D137" s="11"/>
      <c r="E137" s="27">
        <v>7.1</v>
      </c>
      <c r="F137" s="29" t="s">
        <v>866</v>
      </c>
      <c r="G137" s="11" t="s">
        <v>460</v>
      </c>
      <c r="H137" s="11" t="s">
        <v>148</v>
      </c>
      <c r="I137" s="11" t="s">
        <v>772</v>
      </c>
      <c r="J137" s="11" t="s">
        <v>863</v>
      </c>
      <c r="K137" s="11">
        <v>50.0</v>
      </c>
      <c r="L137" s="11">
        <v>8.0</v>
      </c>
      <c r="M137" s="11">
        <v>89.0</v>
      </c>
      <c r="N137" s="11">
        <v>129.0</v>
      </c>
      <c r="O137" s="11">
        <v>-40.0</v>
      </c>
      <c r="P137" s="11">
        <v>127.0</v>
      </c>
      <c r="Q137" s="11">
        <v>156.0</v>
      </c>
      <c r="R137" s="11">
        <v>108.0</v>
      </c>
      <c r="S137" s="11">
        <v>153.0</v>
      </c>
      <c r="T137" s="11">
        <v>197.0</v>
      </c>
      <c r="U137" s="11">
        <v>137.0</v>
      </c>
      <c r="V137" s="11">
        <v>12.0</v>
      </c>
      <c r="W137" s="11">
        <v>-12.0</v>
      </c>
      <c r="X137" s="11">
        <v>-48.0</v>
      </c>
      <c r="Y137" s="29" t="s">
        <v>1043</v>
      </c>
    </row>
    <row r="138" ht="14.25" customHeight="1">
      <c r="A138" s="11"/>
      <c r="B138" s="11">
        <v>13.0</v>
      </c>
      <c r="C138" s="11" t="s">
        <v>106</v>
      </c>
      <c r="D138" s="11"/>
      <c r="E138" s="27"/>
      <c r="F138" s="29" t="s">
        <v>866</v>
      </c>
      <c r="G138" s="11" t="s">
        <v>810</v>
      </c>
      <c r="H138" s="11" t="s">
        <v>75</v>
      </c>
      <c r="I138" s="11" t="s">
        <v>770</v>
      </c>
      <c r="J138" s="11" t="s">
        <v>980</v>
      </c>
      <c r="K138" s="11">
        <v>23.0</v>
      </c>
      <c r="L138" s="11">
        <v>11.0</v>
      </c>
      <c r="M138" s="11">
        <v>125.0</v>
      </c>
      <c r="N138" s="11">
        <v>123.0</v>
      </c>
      <c r="O138" s="11">
        <v>2.0</v>
      </c>
      <c r="P138" s="11">
        <v>152.0</v>
      </c>
      <c r="Q138" s="11">
        <v>138.0</v>
      </c>
      <c r="R138" s="11">
        <v>139.0</v>
      </c>
      <c r="S138" s="11">
        <v>146.0</v>
      </c>
      <c r="T138" s="11">
        <v>154.0</v>
      </c>
      <c r="U138" s="11">
        <v>139.0</v>
      </c>
      <c r="V138" s="11">
        <v>12.0</v>
      </c>
      <c r="W138" s="11"/>
      <c r="X138" s="11">
        <v>-14.0</v>
      </c>
      <c r="Y138" s="29" t="s">
        <v>866</v>
      </c>
    </row>
    <row r="139" ht="14.25" customHeight="1">
      <c r="A139" s="11"/>
      <c r="B139" s="11">
        <v>12.0</v>
      </c>
      <c r="C139" s="11" t="s">
        <v>106</v>
      </c>
      <c r="D139" s="11"/>
      <c r="E139" s="27"/>
      <c r="F139" s="29" t="s">
        <v>106</v>
      </c>
      <c r="G139" s="11" t="s">
        <v>525</v>
      </c>
      <c r="H139" s="11" t="s">
        <v>71</v>
      </c>
      <c r="I139" s="11" t="s">
        <v>772</v>
      </c>
      <c r="J139" s="11" t="s">
        <v>872</v>
      </c>
      <c r="K139" s="11">
        <v>41.0</v>
      </c>
      <c r="L139" s="11">
        <v>12.0</v>
      </c>
      <c r="M139" s="11">
        <v>143.0</v>
      </c>
      <c r="N139" s="11">
        <v>146.0</v>
      </c>
      <c r="O139" s="11">
        <v>-3.0</v>
      </c>
      <c r="P139" s="11">
        <v>140.0</v>
      </c>
      <c r="Q139" s="11">
        <v>158.0</v>
      </c>
      <c r="R139" s="11">
        <v>113.0</v>
      </c>
      <c r="S139" s="11">
        <v>128.0</v>
      </c>
      <c r="T139" s="11">
        <v>155.0</v>
      </c>
      <c r="U139" s="11">
        <v>140.0</v>
      </c>
      <c r="V139" s="11">
        <v>12.0</v>
      </c>
      <c r="W139" s="11"/>
      <c r="X139" s="11">
        <v>3.0</v>
      </c>
      <c r="Y139" s="29" t="s">
        <v>1083</v>
      </c>
    </row>
    <row r="140" ht="14.25" customHeight="1">
      <c r="A140" s="11"/>
      <c r="B140" s="11">
        <v>12.0</v>
      </c>
      <c r="C140" s="11" t="s">
        <v>106</v>
      </c>
      <c r="D140" s="11"/>
      <c r="E140" s="27"/>
      <c r="F140" s="29" t="s">
        <v>866</v>
      </c>
      <c r="G140" s="11" t="s">
        <v>495</v>
      </c>
      <c r="H140" s="11" t="s">
        <v>85</v>
      </c>
      <c r="I140" s="11" t="s">
        <v>1081</v>
      </c>
      <c r="J140" s="11"/>
      <c r="K140" s="11"/>
      <c r="L140" s="11">
        <v>14.0</v>
      </c>
      <c r="M140" s="11">
        <v>165.0</v>
      </c>
      <c r="N140" s="11" t="s">
        <v>36</v>
      </c>
      <c r="O140" s="11" t="e">
        <v>#VALUE!</v>
      </c>
      <c r="P140" s="11">
        <v>87.0</v>
      </c>
      <c r="Q140" s="11">
        <v>130.0</v>
      </c>
      <c r="R140" s="11">
        <v>214.0</v>
      </c>
      <c r="S140" s="11">
        <v>144.0</v>
      </c>
      <c r="T140" s="11">
        <v>93.0</v>
      </c>
      <c r="U140" s="11">
        <v>138.0</v>
      </c>
      <c r="V140" s="11">
        <v>12.0</v>
      </c>
      <c r="W140" s="11"/>
      <c r="X140" s="11">
        <v>27.0</v>
      </c>
      <c r="Y140" s="29" t="s">
        <v>866</v>
      </c>
    </row>
    <row r="141" ht="14.25" customHeight="1">
      <c r="A141" s="11"/>
      <c r="B141" s="11">
        <v>13.0</v>
      </c>
      <c r="C141" s="11" t="s">
        <v>106</v>
      </c>
      <c r="D141" s="11"/>
      <c r="E141" s="27"/>
      <c r="F141" s="29" t="s">
        <v>106</v>
      </c>
      <c r="G141" s="11" t="s">
        <v>624</v>
      </c>
      <c r="H141" s="11" t="s">
        <v>58</v>
      </c>
      <c r="I141" s="11" t="s">
        <v>775</v>
      </c>
      <c r="J141" s="58" t="s">
        <v>857</v>
      </c>
      <c r="K141" s="11">
        <v>48.0</v>
      </c>
      <c r="L141" s="11">
        <v>12.0</v>
      </c>
      <c r="M141" s="11">
        <v>141.0</v>
      </c>
      <c r="N141" s="11">
        <v>131.0</v>
      </c>
      <c r="O141" s="11">
        <v>10.0</v>
      </c>
      <c r="P141" s="11">
        <v>162.0</v>
      </c>
      <c r="Q141" s="11">
        <v>169.0</v>
      </c>
      <c r="R141" s="11">
        <v>154.0</v>
      </c>
      <c r="S141" s="11">
        <v>115.0</v>
      </c>
      <c r="T141" s="11">
        <v>127.0</v>
      </c>
      <c r="U141" s="11">
        <v>142.0</v>
      </c>
      <c r="V141" s="11">
        <v>12.0</v>
      </c>
      <c r="W141" s="11"/>
      <c r="X141" s="11">
        <v>-1.0</v>
      </c>
      <c r="Y141" s="29" t="s">
        <v>1077</v>
      </c>
    </row>
    <row r="142" ht="14.25" customHeight="1">
      <c r="A142" s="11"/>
      <c r="B142" s="11">
        <v>13.0</v>
      </c>
      <c r="C142" s="11" t="s">
        <v>106</v>
      </c>
      <c r="D142" s="11"/>
      <c r="E142" s="27"/>
      <c r="F142" s="29" t="s">
        <v>866</v>
      </c>
      <c r="G142" s="11" t="s">
        <v>699</v>
      </c>
      <c r="H142" s="11" t="s">
        <v>119</v>
      </c>
      <c r="I142" s="11" t="s">
        <v>775</v>
      </c>
      <c r="J142" s="58" t="s">
        <v>857</v>
      </c>
      <c r="K142" s="11">
        <v>50.0</v>
      </c>
      <c r="L142" s="11">
        <v>13.0</v>
      </c>
      <c r="M142" s="11">
        <v>148.0</v>
      </c>
      <c r="N142" s="11">
        <v>92.0</v>
      </c>
      <c r="O142" s="11">
        <v>56.0</v>
      </c>
      <c r="P142" s="11">
        <v>166.0</v>
      </c>
      <c r="Q142" s="11">
        <v>144.0</v>
      </c>
      <c r="R142" s="11">
        <v>129.0</v>
      </c>
      <c r="S142" s="11">
        <v>116.0</v>
      </c>
      <c r="T142" s="11">
        <v>207.0</v>
      </c>
      <c r="U142" s="11">
        <v>143.0</v>
      </c>
      <c r="V142" s="11">
        <v>12.0</v>
      </c>
      <c r="W142" s="11"/>
      <c r="X142" s="11">
        <v>5.0</v>
      </c>
      <c r="Y142" s="29" t="s">
        <v>1075</v>
      </c>
    </row>
    <row r="143" ht="14.25" customHeight="1">
      <c r="A143" s="11"/>
      <c r="B143" s="11">
        <v>12.0</v>
      </c>
      <c r="C143" s="11" t="s">
        <v>106</v>
      </c>
      <c r="D143" s="11"/>
      <c r="E143" s="27"/>
      <c r="F143" s="29" t="s">
        <v>866</v>
      </c>
      <c r="G143" s="11" t="s">
        <v>332</v>
      </c>
      <c r="H143" s="11" t="s">
        <v>162</v>
      </c>
      <c r="I143" s="11" t="s">
        <v>772</v>
      </c>
      <c r="J143" s="11" t="s">
        <v>863</v>
      </c>
      <c r="K143" s="11">
        <v>48.0</v>
      </c>
      <c r="L143" s="11">
        <v>11.0</v>
      </c>
      <c r="M143" s="11">
        <v>124.0</v>
      </c>
      <c r="N143" s="11">
        <v>167.0</v>
      </c>
      <c r="O143" s="11">
        <v>-43.0</v>
      </c>
      <c r="P143" s="11">
        <v>133.0</v>
      </c>
      <c r="Q143" s="11">
        <v>150.0</v>
      </c>
      <c r="R143" s="11">
        <v>149.0</v>
      </c>
      <c r="S143" s="11">
        <v>129.0</v>
      </c>
      <c r="T143" s="11">
        <v>149.0</v>
      </c>
      <c r="U143" s="11">
        <v>143.0</v>
      </c>
      <c r="V143" s="11">
        <v>12.0</v>
      </c>
      <c r="W143" s="11"/>
      <c r="X143" s="11">
        <v>-19.0</v>
      </c>
      <c r="Y143" s="29" t="s">
        <v>866</v>
      </c>
    </row>
    <row r="144" ht="14.25" customHeight="1">
      <c r="A144" s="11"/>
      <c r="B144" s="11">
        <v>13.0</v>
      </c>
      <c r="C144" s="11" t="s">
        <v>106</v>
      </c>
      <c r="D144" s="11"/>
      <c r="E144" s="27">
        <v>8.4</v>
      </c>
      <c r="F144" s="29" t="s">
        <v>866</v>
      </c>
      <c r="G144" s="11" t="s">
        <v>205</v>
      </c>
      <c r="H144" s="11" t="s">
        <v>206</v>
      </c>
      <c r="I144" s="11" t="s">
        <v>772</v>
      </c>
      <c r="J144" s="11" t="s">
        <v>872</v>
      </c>
      <c r="K144" s="11">
        <v>42.0</v>
      </c>
      <c r="L144" s="11">
        <v>10.0</v>
      </c>
      <c r="M144" s="11">
        <v>109.0</v>
      </c>
      <c r="N144" s="11">
        <v>124.0</v>
      </c>
      <c r="O144" s="11">
        <v>-15.0</v>
      </c>
      <c r="P144" s="11">
        <v>146.0</v>
      </c>
      <c r="Q144" s="11">
        <v>157.0</v>
      </c>
      <c r="R144" s="11">
        <v>122.0</v>
      </c>
      <c r="S144" s="11">
        <v>155.0</v>
      </c>
      <c r="T144" s="11">
        <v>163.0</v>
      </c>
      <c r="U144" s="11">
        <v>139.0</v>
      </c>
      <c r="V144" s="11">
        <v>12.0</v>
      </c>
      <c r="W144" s="11">
        <v>-12.0</v>
      </c>
      <c r="X144" s="11">
        <v>-30.0</v>
      </c>
      <c r="Y144" s="29" t="s">
        <v>1084</v>
      </c>
    </row>
    <row r="145" ht="14.25" customHeight="1">
      <c r="A145" s="11"/>
      <c r="B145" s="11">
        <v>13.0</v>
      </c>
      <c r="C145" s="11" t="s">
        <v>106</v>
      </c>
      <c r="D145" s="11"/>
      <c r="E145" s="27"/>
      <c r="F145" s="29" t="s">
        <v>866</v>
      </c>
      <c r="G145" s="11" t="s">
        <v>653</v>
      </c>
      <c r="H145" s="11" t="s">
        <v>119</v>
      </c>
      <c r="I145" s="11" t="s">
        <v>775</v>
      </c>
      <c r="J145" s="11" t="s">
        <v>862</v>
      </c>
      <c r="K145" s="11">
        <v>57.0</v>
      </c>
      <c r="L145" s="11">
        <v>12.0</v>
      </c>
      <c r="M145" s="11">
        <v>133.0</v>
      </c>
      <c r="N145" s="11">
        <v>115.0</v>
      </c>
      <c r="O145" s="11">
        <v>18.0</v>
      </c>
      <c r="P145" s="11">
        <v>137.0</v>
      </c>
      <c r="Q145" s="11">
        <v>178.0</v>
      </c>
      <c r="R145" s="11">
        <v>131.0</v>
      </c>
      <c r="S145" s="11">
        <v>148.0</v>
      </c>
      <c r="T145" s="11">
        <v>172.0</v>
      </c>
      <c r="U145" s="11">
        <v>144.0</v>
      </c>
      <c r="V145" s="11">
        <v>13.0</v>
      </c>
      <c r="W145" s="11"/>
      <c r="X145" s="11">
        <v>-11.0</v>
      </c>
      <c r="Y145" s="29" t="s">
        <v>866</v>
      </c>
    </row>
    <row r="146" ht="14.25" customHeight="1">
      <c r="A146" s="11" t="s">
        <v>72</v>
      </c>
      <c r="B146" s="11">
        <v>12.0</v>
      </c>
      <c r="C146" s="11" t="s">
        <v>106</v>
      </c>
      <c r="D146" s="11"/>
      <c r="E146" s="27"/>
      <c r="F146" s="29" t="s">
        <v>866</v>
      </c>
      <c r="G146" s="11" t="s">
        <v>661</v>
      </c>
      <c r="H146" s="11" t="s">
        <v>105</v>
      </c>
      <c r="I146" s="11" t="s">
        <v>772</v>
      </c>
      <c r="J146" s="11" t="s">
        <v>872</v>
      </c>
      <c r="K146" s="11">
        <v>39.0</v>
      </c>
      <c r="L146" s="11">
        <v>13.0</v>
      </c>
      <c r="M146" s="11">
        <v>155.0</v>
      </c>
      <c r="N146" s="11">
        <v>160.0</v>
      </c>
      <c r="O146" s="11">
        <v>-5.0</v>
      </c>
      <c r="P146" s="11">
        <v>138.0</v>
      </c>
      <c r="Q146" s="11">
        <v>162.0</v>
      </c>
      <c r="R146" s="11">
        <v>148.0</v>
      </c>
      <c r="S146" s="11">
        <v>108.0</v>
      </c>
      <c r="T146" s="11">
        <v>118.0</v>
      </c>
      <c r="U146" s="11">
        <v>141.0</v>
      </c>
      <c r="V146" s="11">
        <v>12.0</v>
      </c>
      <c r="W146" s="11"/>
      <c r="X146" s="11">
        <v>14.0</v>
      </c>
      <c r="Y146" s="29" t="s">
        <v>866</v>
      </c>
    </row>
    <row r="147" ht="14.25" customHeight="1">
      <c r="A147" s="11"/>
      <c r="B147" s="11">
        <v>13.0</v>
      </c>
      <c r="C147" s="11" t="s">
        <v>106</v>
      </c>
      <c r="D147" s="11"/>
      <c r="E147" s="27"/>
      <c r="F147" s="29" t="s">
        <v>866</v>
      </c>
      <c r="G147" s="11" t="s">
        <v>919</v>
      </c>
      <c r="H147" s="11" t="s">
        <v>192</v>
      </c>
      <c r="I147" s="11" t="s">
        <v>781</v>
      </c>
      <c r="J147" s="11"/>
      <c r="K147" s="11"/>
      <c r="L147" s="11">
        <v>13.0</v>
      </c>
      <c r="M147" s="11">
        <v>153.0</v>
      </c>
      <c r="N147" s="11">
        <v>165.0</v>
      </c>
      <c r="O147" s="11">
        <v>-12.0</v>
      </c>
      <c r="P147" s="11">
        <v>115.0</v>
      </c>
      <c r="Q147" s="11">
        <v>154.0</v>
      </c>
      <c r="R147" s="11">
        <v>133.0</v>
      </c>
      <c r="S147" s="11">
        <v>165.0</v>
      </c>
      <c r="T147" s="11">
        <v>162.0</v>
      </c>
      <c r="U147" s="11">
        <v>149.0</v>
      </c>
      <c r="V147" s="11">
        <v>13.0</v>
      </c>
      <c r="W147" s="11"/>
      <c r="X147" s="11">
        <v>4.0</v>
      </c>
      <c r="Y147" s="29" t="s">
        <v>866</v>
      </c>
    </row>
    <row r="148" ht="14.25" customHeight="1">
      <c r="A148" s="11"/>
      <c r="B148" s="11">
        <v>12.0</v>
      </c>
      <c r="C148" s="11" t="s">
        <v>106</v>
      </c>
      <c r="D148" s="11"/>
      <c r="E148" s="27"/>
      <c r="F148" s="29" t="s">
        <v>866</v>
      </c>
      <c r="G148" s="11" t="s">
        <v>874</v>
      </c>
      <c r="H148" s="11" t="s">
        <v>119</v>
      </c>
      <c r="I148" s="11" t="s">
        <v>772</v>
      </c>
      <c r="J148" s="11" t="s">
        <v>863</v>
      </c>
      <c r="K148" s="11">
        <v>47.0</v>
      </c>
      <c r="L148" s="11">
        <v>12.0</v>
      </c>
      <c r="M148" s="11">
        <v>139.0</v>
      </c>
      <c r="N148" s="11">
        <v>154.0</v>
      </c>
      <c r="O148" s="11">
        <v>-15.0</v>
      </c>
      <c r="P148" s="11">
        <v>111.0</v>
      </c>
      <c r="Q148" s="11">
        <v>133.0</v>
      </c>
      <c r="R148" s="11">
        <v>128.0</v>
      </c>
      <c r="S148" s="11">
        <v>141.0</v>
      </c>
      <c r="T148" s="11">
        <v>175.0</v>
      </c>
      <c r="U148" s="11">
        <v>140.0</v>
      </c>
      <c r="V148" s="11">
        <v>12.0</v>
      </c>
      <c r="W148" s="11"/>
      <c r="X148" s="11">
        <v>-1.0</v>
      </c>
      <c r="Y148" s="29" t="s">
        <v>866</v>
      </c>
    </row>
    <row r="149" ht="14.25" customHeight="1">
      <c r="A149" s="11"/>
      <c r="B149" s="11">
        <v>14.0</v>
      </c>
      <c r="C149" s="11" t="s">
        <v>106</v>
      </c>
      <c r="D149" s="11"/>
      <c r="E149" s="27"/>
      <c r="F149" s="29" t="s">
        <v>866</v>
      </c>
      <c r="G149" s="11" t="s">
        <v>584</v>
      </c>
      <c r="H149" s="11" t="s">
        <v>109</v>
      </c>
      <c r="I149" s="11" t="s">
        <v>775</v>
      </c>
      <c r="J149" s="58" t="s">
        <v>857</v>
      </c>
      <c r="K149" s="11">
        <v>52.0</v>
      </c>
      <c r="L149" s="11">
        <v>11.0</v>
      </c>
      <c r="M149" s="11">
        <v>126.0</v>
      </c>
      <c r="N149" s="11">
        <v>114.0</v>
      </c>
      <c r="O149" s="11">
        <v>12.0</v>
      </c>
      <c r="P149" s="11">
        <v>144.0</v>
      </c>
      <c r="Q149" s="11">
        <v>176.0</v>
      </c>
      <c r="R149" s="11">
        <v>153.0</v>
      </c>
      <c r="S149" s="11">
        <v>152.0</v>
      </c>
      <c r="T149" s="11">
        <v>185.0</v>
      </c>
      <c r="U149" s="11">
        <v>150.0</v>
      </c>
      <c r="V149" s="11">
        <v>13.0</v>
      </c>
      <c r="W149" s="11"/>
      <c r="X149" s="11">
        <v>-24.0</v>
      </c>
      <c r="Y149" s="29" t="s">
        <v>866</v>
      </c>
    </row>
    <row r="150" ht="14.25" customHeight="1">
      <c r="A150" s="11"/>
      <c r="B150" s="11">
        <v>13.0</v>
      </c>
      <c r="C150" s="11" t="s">
        <v>106</v>
      </c>
      <c r="D150" s="11"/>
      <c r="E150" s="27"/>
      <c r="F150" s="29" t="s">
        <v>866</v>
      </c>
      <c r="G150" s="11" t="s">
        <v>502</v>
      </c>
      <c r="H150" s="11" t="s">
        <v>237</v>
      </c>
      <c r="I150" s="11" t="s">
        <v>1081</v>
      </c>
      <c r="J150" s="11"/>
      <c r="K150" s="11"/>
      <c r="L150" s="11">
        <v>14.0</v>
      </c>
      <c r="M150" s="11">
        <v>166.0</v>
      </c>
      <c r="N150" s="11" t="s">
        <v>36</v>
      </c>
      <c r="O150" s="11" t="e">
        <v>#VALUE!</v>
      </c>
      <c r="P150" s="11">
        <v>132.0</v>
      </c>
      <c r="Q150" s="11">
        <v>90.0</v>
      </c>
      <c r="R150" s="11">
        <v>215.0</v>
      </c>
      <c r="S150" s="11">
        <v>154.0</v>
      </c>
      <c r="T150" s="11">
        <v>131.0</v>
      </c>
      <c r="U150" s="11">
        <v>148.0</v>
      </c>
      <c r="V150" s="11">
        <v>13.0</v>
      </c>
      <c r="W150" s="11"/>
      <c r="X150" s="11">
        <v>18.0</v>
      </c>
      <c r="Y150" s="29" t="s">
        <v>866</v>
      </c>
    </row>
    <row r="151" ht="14.25" customHeight="1">
      <c r="A151" s="11"/>
      <c r="B151" s="11">
        <v>14.0</v>
      </c>
      <c r="C151" s="11" t="s">
        <v>106</v>
      </c>
      <c r="D151" s="11"/>
      <c r="E151" s="27"/>
      <c r="F151" s="29" t="s">
        <v>866</v>
      </c>
      <c r="G151" s="11" t="s">
        <v>393</v>
      </c>
      <c r="H151" s="11" t="s">
        <v>231</v>
      </c>
      <c r="I151" s="11" t="s">
        <v>772</v>
      </c>
      <c r="J151" s="11" t="s">
        <v>872</v>
      </c>
      <c r="K151" s="11">
        <v>40.0</v>
      </c>
      <c r="L151" s="11">
        <v>11.0</v>
      </c>
      <c r="M151" s="11">
        <v>131.0</v>
      </c>
      <c r="N151" s="11">
        <v>172.0</v>
      </c>
      <c r="O151" s="11">
        <v>-41.0</v>
      </c>
      <c r="P151" s="11">
        <v>163.0</v>
      </c>
      <c r="Q151" s="11">
        <v>165.0</v>
      </c>
      <c r="R151" s="11">
        <v>152.0</v>
      </c>
      <c r="S151" s="11">
        <v>123.0</v>
      </c>
      <c r="T151" s="11">
        <v>198.0</v>
      </c>
      <c r="U151" s="11">
        <v>157.0</v>
      </c>
      <c r="V151" s="11">
        <v>14.0</v>
      </c>
      <c r="W151" s="11"/>
      <c r="X151" s="11">
        <v>-26.0</v>
      </c>
      <c r="Y151" s="29" t="s">
        <v>866</v>
      </c>
    </row>
    <row r="152" ht="14.25" customHeight="1">
      <c r="A152" s="11"/>
      <c r="B152" s="11">
        <v>13.0</v>
      </c>
      <c r="C152" s="11" t="s">
        <v>106</v>
      </c>
      <c r="D152" s="11"/>
      <c r="E152" s="27"/>
      <c r="F152" s="29" t="s">
        <v>866</v>
      </c>
      <c r="G152" s="11" t="s">
        <v>910</v>
      </c>
      <c r="H152" s="11" t="s">
        <v>237</v>
      </c>
      <c r="I152" s="11" t="s">
        <v>781</v>
      </c>
      <c r="J152" s="11"/>
      <c r="K152" s="11"/>
      <c r="L152" s="11">
        <v>14.0</v>
      </c>
      <c r="M152" s="11">
        <v>160.0</v>
      </c>
      <c r="N152" s="11">
        <v>187.0</v>
      </c>
      <c r="O152" s="11">
        <v>-27.0</v>
      </c>
      <c r="P152" s="11">
        <v>183.0</v>
      </c>
      <c r="Q152" s="11">
        <v>186.0</v>
      </c>
      <c r="R152" s="11">
        <v>161.0</v>
      </c>
      <c r="S152" s="11">
        <v>110.0</v>
      </c>
      <c r="T152" s="11">
        <v>91.0</v>
      </c>
      <c r="U152" s="11">
        <v>154.0</v>
      </c>
      <c r="V152" s="11">
        <v>13.0</v>
      </c>
      <c r="W152" s="11"/>
      <c r="X152" s="11">
        <v>6.0</v>
      </c>
      <c r="Y152" s="29" t="s">
        <v>866</v>
      </c>
    </row>
    <row r="153" ht="14.25" customHeight="1">
      <c r="A153" s="11"/>
      <c r="B153" s="11">
        <v>12.0</v>
      </c>
      <c r="C153" s="11" t="s">
        <v>106</v>
      </c>
      <c r="D153" s="11"/>
      <c r="E153" s="27"/>
      <c r="F153" s="29" t="s">
        <v>866</v>
      </c>
      <c r="G153" s="11" t="s">
        <v>586</v>
      </c>
      <c r="H153" s="11" t="s">
        <v>105</v>
      </c>
      <c r="I153" s="11" t="s">
        <v>1085</v>
      </c>
      <c r="J153" s="11"/>
      <c r="K153" s="11"/>
      <c r="L153" s="11">
        <v>17.0</v>
      </c>
      <c r="M153" s="11">
        <v>193.0</v>
      </c>
      <c r="N153" s="11" t="s">
        <v>36</v>
      </c>
      <c r="O153" s="11" t="e">
        <v>#VALUE!</v>
      </c>
      <c r="P153" s="11">
        <v>157.0</v>
      </c>
      <c r="Q153" s="11">
        <v>117.0</v>
      </c>
      <c r="R153" s="11">
        <v>217.0</v>
      </c>
      <c r="S153" s="11">
        <v>132.0</v>
      </c>
      <c r="T153" s="11">
        <v>79.0</v>
      </c>
      <c r="U153" s="11">
        <v>149.0</v>
      </c>
      <c r="V153" s="11">
        <v>13.0</v>
      </c>
      <c r="W153" s="11"/>
      <c r="X153" s="11">
        <v>44.0</v>
      </c>
      <c r="Y153" s="29" t="s">
        <v>866</v>
      </c>
    </row>
    <row r="154" ht="14.25" customHeight="1">
      <c r="A154" s="11"/>
      <c r="B154" s="11">
        <v>14.0</v>
      </c>
      <c r="C154" s="11" t="s">
        <v>106</v>
      </c>
      <c r="D154" s="11"/>
      <c r="E154" s="27"/>
      <c r="F154" s="29" t="s">
        <v>866</v>
      </c>
      <c r="G154" s="11" t="s">
        <v>428</v>
      </c>
      <c r="H154" s="11" t="s">
        <v>105</v>
      </c>
      <c r="I154" s="11" t="s">
        <v>775</v>
      </c>
      <c r="J154" s="11" t="s">
        <v>862</v>
      </c>
      <c r="K154" s="11">
        <v>58.0</v>
      </c>
      <c r="L154" s="11">
        <v>12.0</v>
      </c>
      <c r="M154" s="11">
        <v>140.0</v>
      </c>
      <c r="N154" s="11">
        <v>119.0</v>
      </c>
      <c r="O154" s="11">
        <v>21.0</v>
      </c>
      <c r="P154" s="11">
        <v>150.0</v>
      </c>
      <c r="Q154" s="11">
        <v>118.0</v>
      </c>
      <c r="R154" s="11">
        <v>134.0</v>
      </c>
      <c r="S154" s="11">
        <v>164.0</v>
      </c>
      <c r="T154" s="11">
        <v>222.0</v>
      </c>
      <c r="U154" s="11">
        <v>149.0</v>
      </c>
      <c r="V154" s="11">
        <v>13.0</v>
      </c>
      <c r="W154" s="11"/>
      <c r="X154" s="11">
        <v>-9.0</v>
      </c>
      <c r="Y154" s="29" t="s">
        <v>866</v>
      </c>
    </row>
    <row r="155" ht="14.25" customHeight="1">
      <c r="A155" s="11"/>
      <c r="B155" s="11">
        <v>14.0</v>
      </c>
      <c r="C155" s="11" t="s">
        <v>106</v>
      </c>
      <c r="D155" s="11"/>
      <c r="E155" s="27"/>
      <c r="F155" s="29" t="s">
        <v>866</v>
      </c>
      <c r="G155" s="11" t="s">
        <v>906</v>
      </c>
      <c r="H155" s="11" t="s">
        <v>176</v>
      </c>
      <c r="I155" s="11" t="s">
        <v>775</v>
      </c>
      <c r="J155" s="11" t="s">
        <v>884</v>
      </c>
      <c r="K155" s="11">
        <v>60.0</v>
      </c>
      <c r="L155" s="11">
        <v>13.0</v>
      </c>
      <c r="M155" s="11">
        <v>154.0</v>
      </c>
      <c r="N155" s="11">
        <v>117.0</v>
      </c>
      <c r="O155" s="11">
        <v>37.0</v>
      </c>
      <c r="P155" s="11">
        <v>171.0</v>
      </c>
      <c r="Q155" s="11">
        <v>167.0</v>
      </c>
      <c r="R155" s="11">
        <v>136.0</v>
      </c>
      <c r="S155" s="11">
        <v>140.0</v>
      </c>
      <c r="T155" s="11">
        <v>174.0</v>
      </c>
      <c r="U155" s="11">
        <v>151.0</v>
      </c>
      <c r="V155" s="11">
        <v>13.0</v>
      </c>
      <c r="W155" s="11">
        <v>-13.0</v>
      </c>
      <c r="X155" s="11">
        <v>3.0</v>
      </c>
      <c r="Y155" s="29" t="s">
        <v>866</v>
      </c>
    </row>
    <row r="156" ht="14.25" customHeight="1">
      <c r="A156" s="11"/>
      <c r="B156" s="11">
        <v>14.0</v>
      </c>
      <c r="C156" s="11" t="s">
        <v>106</v>
      </c>
      <c r="D156" s="11"/>
      <c r="E156" s="27"/>
      <c r="F156" s="29" t="s">
        <v>866</v>
      </c>
      <c r="G156" s="11" t="s">
        <v>268</v>
      </c>
      <c r="H156" s="11" t="s">
        <v>206</v>
      </c>
      <c r="I156" s="11" t="s">
        <v>770</v>
      </c>
      <c r="J156" s="11" t="s">
        <v>867</v>
      </c>
      <c r="K156" s="11">
        <v>19.0</v>
      </c>
      <c r="L156" s="11">
        <v>12.0</v>
      </c>
      <c r="M156" s="11">
        <v>132.0</v>
      </c>
      <c r="N156" s="11">
        <v>130.0</v>
      </c>
      <c r="O156" s="11">
        <v>2.0</v>
      </c>
      <c r="P156" s="11">
        <v>151.0</v>
      </c>
      <c r="Q156" s="11">
        <v>172.0</v>
      </c>
      <c r="R156" s="11">
        <v>144.0</v>
      </c>
      <c r="S156" s="11">
        <v>168.0</v>
      </c>
      <c r="T156" s="11">
        <v>178.0</v>
      </c>
      <c r="U156" s="11">
        <v>153.0</v>
      </c>
      <c r="V156" s="11">
        <v>13.0</v>
      </c>
      <c r="W156" s="11"/>
      <c r="X156" s="11">
        <v>-21.0</v>
      </c>
      <c r="Y156" s="29" t="s">
        <v>866</v>
      </c>
    </row>
    <row r="157" ht="14.25" customHeight="1">
      <c r="A157" s="11"/>
      <c r="B157" s="11">
        <v>13.0</v>
      </c>
      <c r="C157" s="11" t="s">
        <v>106</v>
      </c>
      <c r="D157" s="11"/>
      <c r="E157" s="27"/>
      <c r="F157" s="29" t="s">
        <v>866</v>
      </c>
      <c r="G157" s="11" t="s">
        <v>513</v>
      </c>
      <c r="H157" s="11" t="s">
        <v>109</v>
      </c>
      <c r="I157" s="11" t="s">
        <v>1081</v>
      </c>
      <c r="J157" s="11"/>
      <c r="K157" s="11"/>
      <c r="L157" s="11">
        <v>15.0</v>
      </c>
      <c r="M157" s="11">
        <v>169.0</v>
      </c>
      <c r="N157" s="11" t="s">
        <v>36</v>
      </c>
      <c r="O157" s="11" t="e">
        <v>#VALUE!</v>
      </c>
      <c r="P157" s="11">
        <v>112.0</v>
      </c>
      <c r="Q157" s="11">
        <v>109.0</v>
      </c>
      <c r="R157" s="11">
        <v>212.0</v>
      </c>
      <c r="S157" s="11">
        <v>181.0</v>
      </c>
      <c r="T157" s="11">
        <v>123.0</v>
      </c>
      <c r="U157" s="11">
        <v>151.0</v>
      </c>
      <c r="V157" s="11">
        <v>13.0</v>
      </c>
      <c r="W157" s="11"/>
      <c r="X157" s="11">
        <v>18.0</v>
      </c>
      <c r="Y157" s="29" t="s">
        <v>866</v>
      </c>
    </row>
    <row r="158" ht="14.25" customHeight="1">
      <c r="A158" s="11"/>
      <c r="B158" s="11">
        <v>14.0</v>
      </c>
      <c r="C158" s="11" t="s">
        <v>106</v>
      </c>
      <c r="D158" s="11"/>
      <c r="E158" s="27"/>
      <c r="F158" s="29" t="s">
        <v>866</v>
      </c>
      <c r="G158" s="11" t="s">
        <v>405</v>
      </c>
      <c r="H158" s="11" t="s">
        <v>116</v>
      </c>
      <c r="I158" s="11" t="s">
        <v>781</v>
      </c>
      <c r="J158" s="11"/>
      <c r="K158" s="11"/>
      <c r="L158" s="11">
        <v>12.0</v>
      </c>
      <c r="M158" s="11">
        <v>134.0</v>
      </c>
      <c r="N158" s="11">
        <v>162.0</v>
      </c>
      <c r="O158" s="11">
        <v>-28.0</v>
      </c>
      <c r="P158" s="11">
        <v>155.0</v>
      </c>
      <c r="Q158" s="11">
        <v>155.0</v>
      </c>
      <c r="R158" s="11">
        <v>140.0</v>
      </c>
      <c r="S158" s="11">
        <v>169.0</v>
      </c>
      <c r="T158" s="11">
        <v>173.0</v>
      </c>
      <c r="U158" s="11">
        <v>155.0</v>
      </c>
      <c r="V158" s="11">
        <v>13.0</v>
      </c>
      <c r="W158" s="11"/>
      <c r="X158" s="11">
        <v>-21.0</v>
      </c>
      <c r="Y158" s="29" t="s">
        <v>866</v>
      </c>
    </row>
    <row r="159" ht="14.25" customHeight="1">
      <c r="A159" s="11"/>
      <c r="B159" s="11">
        <v>14.0</v>
      </c>
      <c r="C159" s="11" t="s">
        <v>106</v>
      </c>
      <c r="D159" s="11"/>
      <c r="E159" s="27"/>
      <c r="F159" s="29" t="s">
        <v>866</v>
      </c>
      <c r="G159" s="11" t="s">
        <v>829</v>
      </c>
      <c r="H159" s="11" t="s">
        <v>125</v>
      </c>
      <c r="I159" s="11" t="s">
        <v>772</v>
      </c>
      <c r="J159" s="11" t="s">
        <v>872</v>
      </c>
      <c r="K159" s="11">
        <v>44.0</v>
      </c>
      <c r="L159" s="11">
        <v>12.0</v>
      </c>
      <c r="M159" s="11">
        <v>137.0</v>
      </c>
      <c r="N159" s="11">
        <v>139.0</v>
      </c>
      <c r="O159" s="11">
        <v>-2.0</v>
      </c>
      <c r="P159" s="11">
        <v>149.0</v>
      </c>
      <c r="Q159" s="11">
        <v>151.0</v>
      </c>
      <c r="R159" s="11">
        <v>121.0</v>
      </c>
      <c r="S159" s="11">
        <v>143.0</v>
      </c>
      <c r="T159" s="11">
        <v>227.0</v>
      </c>
      <c r="U159" s="11">
        <v>152.0</v>
      </c>
      <c r="V159" s="11">
        <v>13.0</v>
      </c>
      <c r="W159" s="11"/>
      <c r="X159" s="11">
        <v>-15.0</v>
      </c>
      <c r="Y159" s="29" t="s">
        <v>1049</v>
      </c>
    </row>
    <row r="160" ht="14.25" customHeight="1">
      <c r="A160" s="11"/>
      <c r="B160" s="11">
        <v>13.0</v>
      </c>
      <c r="C160" s="11" t="s">
        <v>106</v>
      </c>
      <c r="D160" s="11"/>
      <c r="E160" s="27"/>
      <c r="F160" s="29" t="s">
        <v>866</v>
      </c>
      <c r="G160" s="11" t="s">
        <v>598</v>
      </c>
      <c r="H160" s="11" t="s">
        <v>35</v>
      </c>
      <c r="I160" s="11" t="s">
        <v>1085</v>
      </c>
      <c r="J160" s="11"/>
      <c r="K160" s="11"/>
      <c r="L160" s="11">
        <v>17.0</v>
      </c>
      <c r="M160" s="11">
        <v>196.0</v>
      </c>
      <c r="N160" s="11" t="s">
        <v>36</v>
      </c>
      <c r="O160" s="11" t="e">
        <v>#VALUE!</v>
      </c>
      <c r="P160" s="11">
        <v>170.0</v>
      </c>
      <c r="Q160" s="11">
        <v>101.0</v>
      </c>
      <c r="R160" s="11">
        <v>225.0</v>
      </c>
      <c r="S160" s="11">
        <v>133.0</v>
      </c>
      <c r="T160" s="11">
        <v>104.0</v>
      </c>
      <c r="U160" s="11">
        <v>154.0</v>
      </c>
      <c r="V160" s="11">
        <v>13.0</v>
      </c>
      <c r="W160" s="11"/>
      <c r="X160" s="11">
        <v>42.0</v>
      </c>
      <c r="Y160" s="29" t="s">
        <v>866</v>
      </c>
    </row>
    <row r="161" ht="14.25" customHeight="1">
      <c r="A161" s="11"/>
      <c r="B161" s="11">
        <v>15.0</v>
      </c>
      <c r="C161" s="11" t="s">
        <v>106</v>
      </c>
      <c r="D161" s="11"/>
      <c r="E161" s="27"/>
      <c r="F161" s="29" t="s">
        <v>866</v>
      </c>
      <c r="G161" s="11" t="s">
        <v>189</v>
      </c>
      <c r="H161" s="11" t="s">
        <v>171</v>
      </c>
      <c r="I161" s="11" t="s">
        <v>775</v>
      </c>
      <c r="J161" s="58" t="s">
        <v>857</v>
      </c>
      <c r="K161" s="11">
        <v>49.0</v>
      </c>
      <c r="L161" s="11">
        <v>14.0</v>
      </c>
      <c r="M161" s="11">
        <v>162.0</v>
      </c>
      <c r="N161" s="11">
        <v>111.0</v>
      </c>
      <c r="O161" s="11">
        <v>51.0</v>
      </c>
      <c r="P161" s="11">
        <v>175.0</v>
      </c>
      <c r="Q161" s="11">
        <v>195.0</v>
      </c>
      <c r="R161" s="11">
        <v>141.0</v>
      </c>
      <c r="S161" s="11">
        <v>145.0</v>
      </c>
      <c r="T161" s="11">
        <v>210.0</v>
      </c>
      <c r="U161" s="11">
        <v>162.0</v>
      </c>
      <c r="V161" s="11">
        <v>14.0</v>
      </c>
      <c r="W161" s="11"/>
      <c r="X161" s="11">
        <v>0.0</v>
      </c>
      <c r="Y161" s="29" t="s">
        <v>1080</v>
      </c>
    </row>
    <row r="162" ht="14.25" customHeight="1">
      <c r="A162" s="11"/>
      <c r="B162" s="11">
        <v>15.0</v>
      </c>
      <c r="C162" s="11" t="s">
        <v>106</v>
      </c>
      <c r="D162" s="11"/>
      <c r="E162" s="27"/>
      <c r="F162" s="29" t="s">
        <v>866</v>
      </c>
      <c r="G162" s="11" t="s">
        <v>521</v>
      </c>
      <c r="H162" s="11" t="s">
        <v>67</v>
      </c>
      <c r="I162" s="11" t="s">
        <v>772</v>
      </c>
      <c r="J162" s="11" t="s">
        <v>903</v>
      </c>
      <c r="K162" s="11">
        <v>57.0</v>
      </c>
      <c r="L162" s="11">
        <v>12.0</v>
      </c>
      <c r="M162" s="11">
        <v>138.0</v>
      </c>
      <c r="N162" s="11">
        <v>142.0</v>
      </c>
      <c r="O162" s="11">
        <v>-4.0</v>
      </c>
      <c r="P162" s="11">
        <v>164.0</v>
      </c>
      <c r="Q162" s="11">
        <v>190.0</v>
      </c>
      <c r="R162" s="11">
        <v>143.0</v>
      </c>
      <c r="S162" s="11">
        <v>149.0</v>
      </c>
      <c r="T162" s="11">
        <v>215.0</v>
      </c>
      <c r="U162" s="11">
        <v>163.0</v>
      </c>
      <c r="V162" s="11">
        <v>14.0</v>
      </c>
      <c r="W162" s="11"/>
      <c r="X162" s="11">
        <v>-25.0</v>
      </c>
      <c r="Y162" s="29" t="s">
        <v>1043</v>
      </c>
    </row>
    <row r="163" ht="14.25" customHeight="1">
      <c r="A163" s="11"/>
      <c r="B163" s="11">
        <v>14.0</v>
      </c>
      <c r="C163" s="11" t="s">
        <v>106</v>
      </c>
      <c r="D163" s="11"/>
      <c r="E163" s="27"/>
      <c r="F163" s="29" t="s">
        <v>866</v>
      </c>
      <c r="G163" s="11" t="s">
        <v>380</v>
      </c>
      <c r="H163" s="11" t="s">
        <v>40</v>
      </c>
      <c r="I163" s="11" t="s">
        <v>772</v>
      </c>
      <c r="J163" s="11" t="s">
        <v>872</v>
      </c>
      <c r="K163" s="11">
        <v>46.0</v>
      </c>
      <c r="L163" s="11">
        <v>13.0</v>
      </c>
      <c r="M163" s="11">
        <v>146.0</v>
      </c>
      <c r="N163" s="11">
        <v>156.0</v>
      </c>
      <c r="O163" s="11">
        <v>-10.0</v>
      </c>
      <c r="P163" s="11">
        <v>172.0</v>
      </c>
      <c r="Q163" s="11">
        <v>161.0</v>
      </c>
      <c r="R163" s="11">
        <v>151.0</v>
      </c>
      <c r="S163" s="11">
        <v>167.0</v>
      </c>
      <c r="T163" s="11">
        <v>184.0</v>
      </c>
      <c r="U163" s="11">
        <v>162.0</v>
      </c>
      <c r="V163" s="11">
        <v>14.0</v>
      </c>
      <c r="W163" s="11"/>
      <c r="X163" s="11">
        <v>-16.0</v>
      </c>
      <c r="Y163" s="29" t="s">
        <v>866</v>
      </c>
    </row>
    <row r="164" ht="14.25" customHeight="1">
      <c r="A164" s="11"/>
      <c r="B164" s="11">
        <v>14.0</v>
      </c>
      <c r="C164" s="11" t="s">
        <v>106</v>
      </c>
      <c r="D164" s="11"/>
      <c r="E164" s="27"/>
      <c r="F164" s="29" t="s">
        <v>866</v>
      </c>
      <c r="G164" s="11" t="s">
        <v>515</v>
      </c>
      <c r="H164" s="11" t="s">
        <v>75</v>
      </c>
      <c r="I164" s="11" t="s">
        <v>1081</v>
      </c>
      <c r="J164" s="11"/>
      <c r="K164" s="11"/>
      <c r="L164" s="11">
        <v>15.0</v>
      </c>
      <c r="M164" s="11">
        <v>172.0</v>
      </c>
      <c r="N164" s="11" t="s">
        <v>36</v>
      </c>
      <c r="O164" s="11" t="e">
        <v>#VALUE!</v>
      </c>
      <c r="P164" s="11">
        <v>141.0</v>
      </c>
      <c r="Q164" s="11">
        <v>119.0</v>
      </c>
      <c r="R164" s="11">
        <v>220.0</v>
      </c>
      <c r="S164" s="11">
        <v>160.0</v>
      </c>
      <c r="T164" s="11">
        <v>151.0</v>
      </c>
      <c r="U164" s="11">
        <v>160.0</v>
      </c>
      <c r="V164" s="11">
        <v>14.0</v>
      </c>
      <c r="W164" s="11"/>
      <c r="X164" s="11">
        <v>12.0</v>
      </c>
      <c r="Y164" s="29" t="s">
        <v>866</v>
      </c>
    </row>
    <row r="165" ht="14.25" customHeight="1">
      <c r="A165" s="11"/>
      <c r="B165" s="11">
        <v>14.0</v>
      </c>
      <c r="C165" s="11" t="s">
        <v>106</v>
      </c>
      <c r="D165" s="11"/>
      <c r="E165" s="27"/>
      <c r="F165" s="29" t="s">
        <v>866</v>
      </c>
      <c r="G165" s="11" t="s">
        <v>506</v>
      </c>
      <c r="H165" s="11" t="s">
        <v>105</v>
      </c>
      <c r="I165" s="11" t="s">
        <v>775</v>
      </c>
      <c r="J165" s="11" t="s">
        <v>884</v>
      </c>
      <c r="K165" s="11">
        <v>62.0</v>
      </c>
      <c r="L165" s="11">
        <v>16.0</v>
      </c>
      <c r="M165" s="11">
        <v>185.0</v>
      </c>
      <c r="N165" s="11">
        <v>159.0</v>
      </c>
      <c r="O165" s="11">
        <v>26.0</v>
      </c>
      <c r="P165" s="11" t="s">
        <v>36</v>
      </c>
      <c r="Q165" s="11" t="s">
        <v>36</v>
      </c>
      <c r="R165" s="11">
        <v>181.0</v>
      </c>
      <c r="S165" s="11">
        <v>139.0</v>
      </c>
      <c r="T165" s="11">
        <v>169.0</v>
      </c>
      <c r="U165" s="11">
        <v>166.0</v>
      </c>
      <c r="V165" s="11">
        <v>14.0</v>
      </c>
      <c r="W165" s="11"/>
      <c r="X165" s="11">
        <v>19.0</v>
      </c>
      <c r="Y165" s="29" t="s">
        <v>1087</v>
      </c>
    </row>
    <row r="166" ht="14.25" customHeight="1">
      <c r="A166" s="11"/>
      <c r="B166" s="11">
        <v>13.0</v>
      </c>
      <c r="C166" s="11" t="s">
        <v>106</v>
      </c>
      <c r="D166" s="11"/>
      <c r="E166" s="27"/>
      <c r="F166" s="29" t="s">
        <v>866</v>
      </c>
      <c r="G166" s="11" t="s">
        <v>724</v>
      </c>
      <c r="H166" s="11" t="s">
        <v>162</v>
      </c>
      <c r="I166" s="11" t="s">
        <v>1085</v>
      </c>
      <c r="J166" s="11"/>
      <c r="K166" s="11"/>
      <c r="L166" s="11">
        <v>19.0</v>
      </c>
      <c r="M166" s="11">
        <v>221.0</v>
      </c>
      <c r="N166" s="11" t="s">
        <v>36</v>
      </c>
      <c r="O166" s="11" t="e">
        <v>#VALUE!</v>
      </c>
      <c r="P166" s="11">
        <v>160.0</v>
      </c>
      <c r="Q166" s="11">
        <v>114.0</v>
      </c>
      <c r="R166" s="11">
        <v>228.0</v>
      </c>
      <c r="S166" s="11">
        <v>135.0</v>
      </c>
      <c r="T166" s="11">
        <v>112.0</v>
      </c>
      <c r="U166" s="11">
        <v>161.0</v>
      </c>
      <c r="V166" s="11">
        <v>14.0</v>
      </c>
      <c r="W166" s="11"/>
      <c r="X166" s="11">
        <v>60.0</v>
      </c>
      <c r="Y166" s="29" t="s">
        <v>866</v>
      </c>
    </row>
    <row r="167" ht="14.25" customHeight="1">
      <c r="A167" s="11"/>
      <c r="B167" s="11">
        <v>14.0</v>
      </c>
      <c r="C167" s="11" t="s">
        <v>106</v>
      </c>
      <c r="D167" s="11"/>
      <c r="E167" s="27"/>
      <c r="F167" s="29" t="s">
        <v>866</v>
      </c>
      <c r="G167" s="11" t="s">
        <v>475</v>
      </c>
      <c r="H167" s="11" t="s">
        <v>119</v>
      </c>
      <c r="I167" s="11" t="s">
        <v>1081</v>
      </c>
      <c r="J167" s="11"/>
      <c r="K167" s="11"/>
      <c r="L167" s="11">
        <v>16.0</v>
      </c>
      <c r="M167" s="11">
        <v>188.0</v>
      </c>
      <c r="N167" s="11" t="s">
        <v>36</v>
      </c>
      <c r="O167" s="11" t="e">
        <v>#VALUE!</v>
      </c>
      <c r="P167" s="11">
        <v>145.0</v>
      </c>
      <c r="Q167" s="11">
        <v>100.0</v>
      </c>
      <c r="R167" s="11">
        <v>216.0</v>
      </c>
      <c r="S167" s="11">
        <v>188.0</v>
      </c>
      <c r="T167" s="11">
        <v>145.0</v>
      </c>
      <c r="U167" s="11">
        <v>163.0</v>
      </c>
      <c r="V167" s="11">
        <v>14.0</v>
      </c>
      <c r="W167" s="11"/>
      <c r="X167" s="11">
        <v>25.0</v>
      </c>
      <c r="Y167" s="29" t="s">
        <v>866</v>
      </c>
    </row>
    <row r="168" ht="14.25" customHeight="1">
      <c r="A168" s="11"/>
      <c r="B168" s="11">
        <v>15.0</v>
      </c>
      <c r="C168" s="11" t="s">
        <v>106</v>
      </c>
      <c r="D168" s="11"/>
      <c r="E168" s="27"/>
      <c r="F168" s="29" t="s">
        <v>866</v>
      </c>
      <c r="G168" s="11" t="s">
        <v>876</v>
      </c>
      <c r="H168" s="11" t="s">
        <v>195</v>
      </c>
      <c r="I168" s="11" t="s">
        <v>772</v>
      </c>
      <c r="J168" s="11" t="s">
        <v>879</v>
      </c>
      <c r="K168" s="11">
        <v>56.0</v>
      </c>
      <c r="L168" s="11">
        <v>11.0</v>
      </c>
      <c r="M168" s="11">
        <v>123.0</v>
      </c>
      <c r="N168" s="11">
        <v>171.0</v>
      </c>
      <c r="O168" s="11">
        <v>-48.0</v>
      </c>
      <c r="P168" s="11">
        <v>147.0</v>
      </c>
      <c r="Q168" s="11">
        <v>147.0</v>
      </c>
      <c r="R168" s="11">
        <v>146.0</v>
      </c>
      <c r="S168" s="11">
        <v>157.0</v>
      </c>
      <c r="T168" s="11">
        <v>244.0</v>
      </c>
      <c r="U168" s="11">
        <v>162.0</v>
      </c>
      <c r="V168" s="11">
        <v>14.0</v>
      </c>
      <c r="W168" s="11"/>
      <c r="X168" s="11">
        <v>-39.0</v>
      </c>
      <c r="Y168" s="29" t="s">
        <v>866</v>
      </c>
    </row>
    <row r="169" ht="14.25" customHeight="1">
      <c r="A169" s="11"/>
      <c r="B169" s="11">
        <v>16.0</v>
      </c>
      <c r="C169" s="11" t="s">
        <v>106</v>
      </c>
      <c r="D169" s="11"/>
      <c r="E169" s="27"/>
      <c r="F169" s="29" t="s">
        <v>106</v>
      </c>
      <c r="G169" s="11" t="s">
        <v>448</v>
      </c>
      <c r="H169" s="11" t="s">
        <v>195</v>
      </c>
      <c r="I169" s="11" t="s">
        <v>772</v>
      </c>
      <c r="J169" s="11" t="s">
        <v>872</v>
      </c>
      <c r="K169" s="11">
        <v>45.0</v>
      </c>
      <c r="L169" s="11">
        <v>10.0</v>
      </c>
      <c r="M169" s="11">
        <v>119.0</v>
      </c>
      <c r="N169" s="11">
        <v>138.0</v>
      </c>
      <c r="O169" s="11">
        <v>-19.0</v>
      </c>
      <c r="P169" s="11">
        <v>159.0</v>
      </c>
      <c r="Q169" s="11">
        <v>191.0</v>
      </c>
      <c r="R169" s="11">
        <v>130.0</v>
      </c>
      <c r="S169" s="11">
        <v>173.0</v>
      </c>
      <c r="T169" s="11">
        <v>255.0</v>
      </c>
      <c r="U169" s="11">
        <v>166.0</v>
      </c>
      <c r="V169" s="11">
        <v>14.0</v>
      </c>
      <c r="W169" s="11"/>
      <c r="X169" s="11">
        <v>-47.0</v>
      </c>
      <c r="Y169" s="29" t="s">
        <v>1090</v>
      </c>
    </row>
    <row r="170" ht="14.25" customHeight="1">
      <c r="A170" s="11"/>
      <c r="B170" s="11">
        <v>16.0</v>
      </c>
      <c r="C170" s="11" t="s">
        <v>106</v>
      </c>
      <c r="D170" s="11"/>
      <c r="E170" s="27"/>
      <c r="F170" s="29" t="s">
        <v>866</v>
      </c>
      <c r="G170" s="11" t="s">
        <v>682</v>
      </c>
      <c r="H170" s="11" t="s">
        <v>40</v>
      </c>
      <c r="I170" s="11" t="s">
        <v>770</v>
      </c>
      <c r="J170" s="11" t="s">
        <v>878</v>
      </c>
      <c r="K170" s="11">
        <v>24.0</v>
      </c>
      <c r="L170" s="11">
        <v>12.0</v>
      </c>
      <c r="M170" s="11">
        <v>142.0</v>
      </c>
      <c r="N170" s="11">
        <v>143.0</v>
      </c>
      <c r="O170" s="11">
        <v>-1.0</v>
      </c>
      <c r="P170" s="11">
        <v>177.0</v>
      </c>
      <c r="Q170" s="11">
        <v>181.0</v>
      </c>
      <c r="R170" s="11">
        <v>164.0</v>
      </c>
      <c r="S170" s="11">
        <v>189.0</v>
      </c>
      <c r="T170" s="11">
        <v>189.0</v>
      </c>
      <c r="U170" s="11">
        <v>169.0</v>
      </c>
      <c r="V170" s="11">
        <v>15.0</v>
      </c>
      <c r="W170" s="11"/>
      <c r="X170" s="11">
        <v>-27.0</v>
      </c>
      <c r="Y170" s="29" t="s">
        <v>866</v>
      </c>
    </row>
    <row r="171" ht="14.25" customHeight="1">
      <c r="A171" s="11"/>
      <c r="B171" s="11">
        <v>14.0</v>
      </c>
      <c r="C171" s="11" t="s">
        <v>106</v>
      </c>
      <c r="D171" s="11"/>
      <c r="E171" s="27"/>
      <c r="F171" s="29" t="s">
        <v>866</v>
      </c>
      <c r="G171" s="11" t="s">
        <v>668</v>
      </c>
      <c r="H171" s="11" t="s">
        <v>237</v>
      </c>
      <c r="I171" s="11" t="s">
        <v>1085</v>
      </c>
      <c r="J171" s="11"/>
      <c r="K171" s="11"/>
      <c r="L171" s="11">
        <v>17.0</v>
      </c>
      <c r="M171" s="11">
        <v>203.0</v>
      </c>
      <c r="N171" s="11" t="s">
        <v>36</v>
      </c>
      <c r="O171" s="11" t="e">
        <v>#VALUE!</v>
      </c>
      <c r="P171" s="11">
        <v>201.0</v>
      </c>
      <c r="Q171" s="11">
        <v>145.0</v>
      </c>
      <c r="R171" s="11">
        <v>247.0</v>
      </c>
      <c r="S171" s="11">
        <v>134.0</v>
      </c>
      <c r="T171" s="11">
        <v>69.0</v>
      </c>
      <c r="U171" s="11">
        <v>166.0</v>
      </c>
      <c r="V171" s="11">
        <v>14.0</v>
      </c>
      <c r="W171" s="11"/>
      <c r="X171" s="11">
        <v>37.0</v>
      </c>
      <c r="Y171" s="29" t="s">
        <v>866</v>
      </c>
    </row>
    <row r="172" ht="14.25" customHeight="1">
      <c r="A172" s="11"/>
      <c r="B172" s="11">
        <v>14.0</v>
      </c>
      <c r="C172" s="11" t="s">
        <v>106</v>
      </c>
      <c r="D172" s="11"/>
      <c r="E172" s="27"/>
      <c r="F172" s="29" t="s">
        <v>866</v>
      </c>
      <c r="G172" s="11" t="s">
        <v>676</v>
      </c>
      <c r="H172" s="11" t="s">
        <v>58</v>
      </c>
      <c r="I172" s="11" t="s">
        <v>1081</v>
      </c>
      <c r="J172" s="11"/>
      <c r="K172" s="11"/>
      <c r="L172" s="11">
        <v>16.0</v>
      </c>
      <c r="M172" s="11" t="s">
        <v>36</v>
      </c>
      <c r="N172" s="11" t="s">
        <v>36</v>
      </c>
      <c r="O172" s="11" t="e">
        <v>#VALUE!</v>
      </c>
      <c r="P172" s="11">
        <v>181.0</v>
      </c>
      <c r="Q172" s="11">
        <v>188.0</v>
      </c>
      <c r="R172" s="11">
        <v>230.0</v>
      </c>
      <c r="S172" s="11">
        <v>156.0</v>
      </c>
      <c r="T172" s="11">
        <v>76.0</v>
      </c>
      <c r="U172" s="11">
        <v>166.0</v>
      </c>
      <c r="V172" s="11">
        <v>14.0</v>
      </c>
      <c r="W172" s="11"/>
      <c r="X172" s="11" t="e">
        <v>#VALUE!</v>
      </c>
      <c r="Y172" s="29" t="s">
        <v>866</v>
      </c>
    </row>
    <row r="173" ht="14.25" customHeight="1">
      <c r="A173" s="11"/>
      <c r="B173" s="11">
        <v>15.0</v>
      </c>
      <c r="C173" s="11" t="s">
        <v>106</v>
      </c>
      <c r="D173" s="11"/>
      <c r="E173" s="27"/>
      <c r="F173" s="29" t="s">
        <v>866</v>
      </c>
      <c r="G173" s="11" t="s">
        <v>826</v>
      </c>
      <c r="H173" s="11" t="s">
        <v>102</v>
      </c>
      <c r="I173" s="11" t="s">
        <v>775</v>
      </c>
      <c r="J173" s="11"/>
      <c r="K173" s="11"/>
      <c r="L173" s="11">
        <v>15.0</v>
      </c>
      <c r="M173" s="11">
        <v>174.0</v>
      </c>
      <c r="N173" s="11">
        <v>145.0</v>
      </c>
      <c r="O173" s="11">
        <v>29.0</v>
      </c>
      <c r="P173" s="11">
        <v>214.0</v>
      </c>
      <c r="Q173" s="11">
        <v>170.0</v>
      </c>
      <c r="R173" s="11">
        <v>162.0</v>
      </c>
      <c r="S173" s="11">
        <v>190.0</v>
      </c>
      <c r="T173" s="11">
        <v>126.0</v>
      </c>
      <c r="U173" s="11">
        <v>168.0</v>
      </c>
      <c r="V173" s="11">
        <v>15.0</v>
      </c>
      <c r="W173" s="11"/>
      <c r="X173" s="11">
        <v>6.0</v>
      </c>
      <c r="Y173" s="29" t="s">
        <v>866</v>
      </c>
    </row>
    <row r="174" ht="14.25" customHeight="1">
      <c r="A174" s="11"/>
      <c r="B174" s="11">
        <v>15.0</v>
      </c>
      <c r="C174" s="11" t="s">
        <v>106</v>
      </c>
      <c r="D174" s="11"/>
      <c r="E174" s="27"/>
      <c r="F174" s="29" t="s">
        <v>866</v>
      </c>
      <c r="G174" s="11" t="s">
        <v>470</v>
      </c>
      <c r="H174" s="11" t="s">
        <v>231</v>
      </c>
      <c r="I174" s="11" t="s">
        <v>770</v>
      </c>
      <c r="J174" s="49" t="s">
        <v>868</v>
      </c>
      <c r="K174" s="11">
        <v>22.0</v>
      </c>
      <c r="L174" s="11">
        <v>15.0</v>
      </c>
      <c r="M174" s="11">
        <v>177.0</v>
      </c>
      <c r="N174" s="11">
        <v>151.0</v>
      </c>
      <c r="O174" s="11">
        <v>26.0</v>
      </c>
      <c r="P174" s="11">
        <v>184.0</v>
      </c>
      <c r="Q174" s="11">
        <v>173.0</v>
      </c>
      <c r="R174" s="11">
        <v>175.0</v>
      </c>
      <c r="S174" s="11">
        <v>170.0</v>
      </c>
      <c r="T174" s="11">
        <v>166.0</v>
      </c>
      <c r="U174" s="11">
        <v>170.0</v>
      </c>
      <c r="V174" s="11">
        <v>15.0</v>
      </c>
      <c r="W174" s="11"/>
      <c r="X174" s="11">
        <v>7.0</v>
      </c>
      <c r="Y174" s="29" t="s">
        <v>866</v>
      </c>
    </row>
    <row r="175" ht="14.25" customHeight="1">
      <c r="A175" s="11"/>
      <c r="B175" s="11">
        <v>14.0</v>
      </c>
      <c r="C175" s="11" t="s">
        <v>106</v>
      </c>
      <c r="D175" s="11"/>
      <c r="E175" s="27"/>
      <c r="F175" s="29" t="s">
        <v>866</v>
      </c>
      <c r="G175" s="11" t="s">
        <v>626</v>
      </c>
      <c r="H175" s="11" t="s">
        <v>67</v>
      </c>
      <c r="I175" s="11" t="s">
        <v>1081</v>
      </c>
      <c r="J175" s="11"/>
      <c r="K175" s="11"/>
      <c r="L175" s="11">
        <v>16.0</v>
      </c>
      <c r="M175" s="11">
        <v>190.0</v>
      </c>
      <c r="N175" s="11" t="s">
        <v>36</v>
      </c>
      <c r="O175" s="11" t="e">
        <v>#VALUE!</v>
      </c>
      <c r="P175" s="11">
        <v>128.0</v>
      </c>
      <c r="Q175" s="11">
        <v>153.0</v>
      </c>
      <c r="R175" s="11">
        <v>224.0</v>
      </c>
      <c r="S175" s="11">
        <v>231.0</v>
      </c>
      <c r="T175" s="11">
        <v>92.0</v>
      </c>
      <c r="U175" s="11">
        <v>169.0</v>
      </c>
      <c r="V175" s="11">
        <v>15.0</v>
      </c>
      <c r="W175" s="11"/>
      <c r="X175" s="11">
        <v>21.0</v>
      </c>
      <c r="Y175" s="29" t="s">
        <v>866</v>
      </c>
    </row>
    <row r="176" ht="14.25" customHeight="1">
      <c r="A176" s="11"/>
      <c r="B176" s="11">
        <v>16.0</v>
      </c>
      <c r="C176" s="11" t="s">
        <v>106</v>
      </c>
      <c r="D176" s="11"/>
      <c r="E176" s="27"/>
      <c r="F176" s="29" t="s">
        <v>866</v>
      </c>
      <c r="G176" s="11" t="s">
        <v>883</v>
      </c>
      <c r="H176" s="11" t="s">
        <v>67</v>
      </c>
      <c r="I176" s="11" t="s">
        <v>775</v>
      </c>
      <c r="J176" s="11" t="s">
        <v>884</v>
      </c>
      <c r="K176" s="11">
        <v>61.0</v>
      </c>
      <c r="L176" s="11">
        <v>13.0</v>
      </c>
      <c r="M176" s="11">
        <v>150.0</v>
      </c>
      <c r="N176" s="11">
        <v>136.0</v>
      </c>
      <c r="O176" s="11">
        <v>14.0</v>
      </c>
      <c r="P176" s="11" t="s">
        <v>36</v>
      </c>
      <c r="Q176" s="11" t="s">
        <v>36</v>
      </c>
      <c r="R176" s="11">
        <v>158.0</v>
      </c>
      <c r="S176" s="11">
        <v>174.0</v>
      </c>
      <c r="T176" s="11">
        <v>235.0</v>
      </c>
      <c r="U176" s="11">
        <v>170.0</v>
      </c>
      <c r="V176" s="11">
        <v>15.0</v>
      </c>
      <c r="W176" s="11"/>
      <c r="X176" s="11">
        <v>-20.0</v>
      </c>
      <c r="Y176" s="29" t="s">
        <v>866</v>
      </c>
    </row>
    <row r="177" ht="14.25" customHeight="1">
      <c r="A177" s="11"/>
      <c r="B177" s="11">
        <v>15.0</v>
      </c>
      <c r="C177" s="11" t="s">
        <v>106</v>
      </c>
      <c r="D177" s="11"/>
      <c r="E177" s="27"/>
      <c r="F177" s="29" t="s">
        <v>866</v>
      </c>
      <c r="G177" s="11" t="s">
        <v>639</v>
      </c>
      <c r="H177" s="11" t="s">
        <v>94</v>
      </c>
      <c r="I177" s="11" t="s">
        <v>770</v>
      </c>
      <c r="J177" s="11" t="s">
        <v>878</v>
      </c>
      <c r="K177" s="11">
        <v>20.0</v>
      </c>
      <c r="L177" s="11">
        <v>13.0</v>
      </c>
      <c r="M177" s="11">
        <v>152.0</v>
      </c>
      <c r="N177" s="11">
        <v>158.0</v>
      </c>
      <c r="O177" s="11">
        <v>-6.0</v>
      </c>
      <c r="P177" s="11">
        <v>154.0</v>
      </c>
      <c r="Q177" s="11">
        <v>166.0</v>
      </c>
      <c r="R177" s="11">
        <v>183.0</v>
      </c>
      <c r="S177" s="11">
        <v>198.0</v>
      </c>
      <c r="T177" s="11">
        <v>193.0</v>
      </c>
      <c r="U177" s="11">
        <v>172.0</v>
      </c>
      <c r="V177" s="11">
        <v>15.0</v>
      </c>
      <c r="W177" s="11"/>
      <c r="X177" s="11">
        <v>-20.0</v>
      </c>
      <c r="Y177" s="29" t="s">
        <v>866</v>
      </c>
    </row>
    <row r="178" ht="14.25" customHeight="1">
      <c r="A178" s="11"/>
      <c r="B178" s="11">
        <v>15.0</v>
      </c>
      <c r="C178" s="11" t="s">
        <v>106</v>
      </c>
      <c r="D178" s="11"/>
      <c r="E178" s="27"/>
      <c r="F178" s="29" t="s">
        <v>866</v>
      </c>
      <c r="G178" s="11" t="s">
        <v>892</v>
      </c>
      <c r="H178" s="11" t="s">
        <v>75</v>
      </c>
      <c r="I178" s="11" t="s">
        <v>775</v>
      </c>
      <c r="J178" s="11" t="s">
        <v>884</v>
      </c>
      <c r="K178" s="11">
        <v>65.0</v>
      </c>
      <c r="L178" s="11">
        <v>16.0</v>
      </c>
      <c r="M178" s="11">
        <v>191.0</v>
      </c>
      <c r="N178" s="11">
        <v>169.0</v>
      </c>
      <c r="O178" s="11">
        <v>22.0</v>
      </c>
      <c r="P178" s="11">
        <v>167.0</v>
      </c>
      <c r="Q178" s="11">
        <v>159.0</v>
      </c>
      <c r="R178" s="11">
        <v>168.0</v>
      </c>
      <c r="S178" s="11">
        <v>171.0</v>
      </c>
      <c r="T178" s="11">
        <v>203.0</v>
      </c>
      <c r="U178" s="11">
        <v>175.0</v>
      </c>
      <c r="V178" s="11">
        <v>15.0</v>
      </c>
      <c r="W178" s="11"/>
      <c r="X178" s="11">
        <v>16.0</v>
      </c>
      <c r="Y178" s="29" t="s">
        <v>1082</v>
      </c>
    </row>
    <row r="179" ht="14.25" customHeight="1">
      <c r="A179" s="11"/>
      <c r="B179" s="11">
        <v>16.0</v>
      </c>
      <c r="C179" s="11" t="s">
        <v>106</v>
      </c>
      <c r="D179" s="11"/>
      <c r="E179" s="27"/>
      <c r="F179" s="29" t="s">
        <v>866</v>
      </c>
      <c r="G179" s="11" t="s">
        <v>481</v>
      </c>
      <c r="H179" s="11" t="s">
        <v>165</v>
      </c>
      <c r="I179" s="11" t="s">
        <v>770</v>
      </c>
      <c r="J179" s="49" t="s">
        <v>868</v>
      </c>
      <c r="K179" s="11">
        <v>21.0</v>
      </c>
      <c r="L179" s="11">
        <v>12.0</v>
      </c>
      <c r="M179" s="11">
        <v>136.0</v>
      </c>
      <c r="N179" s="11">
        <v>150.0</v>
      </c>
      <c r="O179" s="11">
        <v>-14.0</v>
      </c>
      <c r="P179" s="11">
        <v>190.0</v>
      </c>
      <c r="Q179" s="11">
        <v>193.0</v>
      </c>
      <c r="R179" s="11">
        <v>170.0</v>
      </c>
      <c r="S179" s="11">
        <v>201.0</v>
      </c>
      <c r="T179" s="11">
        <v>194.0</v>
      </c>
      <c r="U179" s="11">
        <v>176.0</v>
      </c>
      <c r="V179" s="11">
        <v>15.0</v>
      </c>
      <c r="W179" s="11">
        <v>-15.0</v>
      </c>
      <c r="X179" s="11">
        <v>-40.0</v>
      </c>
      <c r="Y179" s="29" t="s">
        <v>866</v>
      </c>
    </row>
    <row r="180" ht="14.25" customHeight="1">
      <c r="A180" s="11"/>
      <c r="B180" s="11">
        <v>15.0</v>
      </c>
      <c r="C180" s="11" t="s">
        <v>106</v>
      </c>
      <c r="D180" s="11"/>
      <c r="E180" s="27"/>
      <c r="F180" s="29" t="s">
        <v>866</v>
      </c>
      <c r="G180" s="11" t="s">
        <v>310</v>
      </c>
      <c r="H180" s="11" t="s">
        <v>49</v>
      </c>
      <c r="I180" s="11" t="s">
        <v>770</v>
      </c>
      <c r="J180" s="11" t="s">
        <v>878</v>
      </c>
      <c r="K180" s="11"/>
      <c r="L180" s="11">
        <v>13.0</v>
      </c>
      <c r="M180" s="11">
        <v>151.0</v>
      </c>
      <c r="N180" s="11">
        <v>177.0</v>
      </c>
      <c r="O180" s="11">
        <v>-26.0</v>
      </c>
      <c r="P180" s="11">
        <v>168.0</v>
      </c>
      <c r="Q180" s="11">
        <v>160.0</v>
      </c>
      <c r="R180" s="11">
        <v>197.0</v>
      </c>
      <c r="S180" s="11">
        <v>207.0</v>
      </c>
      <c r="T180" s="11">
        <v>167.0</v>
      </c>
      <c r="U180" s="11">
        <v>175.0</v>
      </c>
      <c r="V180" s="11">
        <v>15.0</v>
      </c>
      <c r="W180" s="11"/>
      <c r="X180" s="11">
        <v>-24.0</v>
      </c>
      <c r="Y180" s="29" t="s">
        <v>866</v>
      </c>
    </row>
    <row r="181" ht="14.25" customHeight="1">
      <c r="A181" s="11"/>
      <c r="B181" s="11">
        <v>15.0</v>
      </c>
      <c r="C181" s="11" t="s">
        <v>106</v>
      </c>
      <c r="D181" s="11"/>
      <c r="E181" s="27"/>
      <c r="F181" s="29" t="s">
        <v>866</v>
      </c>
      <c r="G181" s="11" t="s">
        <v>580</v>
      </c>
      <c r="H181" s="11" t="s">
        <v>119</v>
      </c>
      <c r="I181" s="11" t="s">
        <v>1085</v>
      </c>
      <c r="J181" s="11"/>
      <c r="K181" s="11"/>
      <c r="L181" s="11">
        <v>17.0</v>
      </c>
      <c r="M181" s="11">
        <v>201.0</v>
      </c>
      <c r="N181" s="11" t="s">
        <v>36</v>
      </c>
      <c r="O181" s="11" t="e">
        <v>#VALUE!</v>
      </c>
      <c r="P181" s="11">
        <v>198.0</v>
      </c>
      <c r="Q181" s="11">
        <v>184.0</v>
      </c>
      <c r="R181" s="11">
        <v>234.0</v>
      </c>
      <c r="S181" s="11">
        <v>162.0</v>
      </c>
      <c r="T181" s="11">
        <v>86.0</v>
      </c>
      <c r="U181" s="11">
        <v>177.0</v>
      </c>
      <c r="V181" s="11">
        <v>15.0</v>
      </c>
      <c r="W181" s="11"/>
      <c r="X181" s="11">
        <v>24.0</v>
      </c>
      <c r="Y181" s="29" t="s">
        <v>866</v>
      </c>
    </row>
    <row r="182" ht="14.25" customHeight="1">
      <c r="A182" s="11"/>
      <c r="B182" s="11">
        <v>17.0</v>
      </c>
      <c r="C182" s="11" t="s">
        <v>106</v>
      </c>
      <c r="D182" s="11"/>
      <c r="E182" s="27"/>
      <c r="F182" s="29" t="s">
        <v>866</v>
      </c>
      <c r="G182" s="11" t="s">
        <v>409</v>
      </c>
      <c r="H182" s="11" t="s">
        <v>231</v>
      </c>
      <c r="I182" s="11" t="s">
        <v>781</v>
      </c>
      <c r="J182" s="11"/>
      <c r="K182" s="11"/>
      <c r="L182" s="11">
        <v>13.0</v>
      </c>
      <c r="M182" s="11">
        <v>144.0</v>
      </c>
      <c r="N182" s="11">
        <v>166.0</v>
      </c>
      <c r="O182" s="11">
        <v>-22.0</v>
      </c>
      <c r="P182" s="11" t="s">
        <v>36</v>
      </c>
      <c r="Q182" s="11" t="s">
        <v>36</v>
      </c>
      <c r="R182" s="11">
        <v>150.0</v>
      </c>
      <c r="S182" s="11">
        <v>208.0</v>
      </c>
      <c r="T182" s="11">
        <v>218.0</v>
      </c>
      <c r="U182" s="11">
        <v>177.0</v>
      </c>
      <c r="V182" s="11">
        <v>15.0</v>
      </c>
      <c r="W182" s="11"/>
      <c r="X182" s="11">
        <v>-33.0</v>
      </c>
      <c r="Y182" s="29" t="s">
        <v>866</v>
      </c>
    </row>
    <row r="183" ht="14.25" customHeight="1">
      <c r="A183" s="11"/>
      <c r="B183" s="11">
        <v>16.0</v>
      </c>
      <c r="C183" s="11" t="s">
        <v>106</v>
      </c>
      <c r="D183" s="11"/>
      <c r="E183" s="27"/>
      <c r="F183" s="29" t="s">
        <v>866</v>
      </c>
      <c r="G183" s="11" t="s">
        <v>1088</v>
      </c>
      <c r="H183" s="11" t="s">
        <v>116</v>
      </c>
      <c r="I183" s="11" t="s">
        <v>775</v>
      </c>
      <c r="J183" s="58" t="s">
        <v>857</v>
      </c>
      <c r="K183" s="11">
        <v>53.0</v>
      </c>
      <c r="L183" s="11">
        <v>17.0</v>
      </c>
      <c r="M183" s="11">
        <v>192.0</v>
      </c>
      <c r="N183" s="11">
        <v>153.0</v>
      </c>
      <c r="O183" s="11">
        <v>39.0</v>
      </c>
      <c r="P183" s="11" t="s">
        <v>36</v>
      </c>
      <c r="Q183" s="11" t="s">
        <v>36</v>
      </c>
      <c r="R183" s="11">
        <v>179.0</v>
      </c>
      <c r="S183" s="11">
        <v>166.0</v>
      </c>
      <c r="T183" s="11">
        <v>226.0</v>
      </c>
      <c r="U183" s="11">
        <v>183.0</v>
      </c>
      <c r="V183" s="11">
        <v>16.0</v>
      </c>
      <c r="W183" s="11"/>
      <c r="X183" s="11">
        <v>9.0</v>
      </c>
      <c r="Y183" s="29" t="s">
        <v>1089</v>
      </c>
    </row>
    <row r="184" ht="14.25" customHeight="1">
      <c r="A184" s="11"/>
      <c r="B184" s="11">
        <v>16.0</v>
      </c>
      <c r="C184" s="11" t="s">
        <v>106</v>
      </c>
      <c r="D184" s="11"/>
      <c r="E184" s="27"/>
      <c r="F184" s="29" t="s">
        <v>866</v>
      </c>
      <c r="G184" s="11" t="s">
        <v>263</v>
      </c>
      <c r="H184" s="11" t="s">
        <v>165</v>
      </c>
      <c r="I184" s="11" t="s">
        <v>772</v>
      </c>
      <c r="J184" s="11" t="s">
        <v>885</v>
      </c>
      <c r="K184" s="11">
        <v>55.0</v>
      </c>
      <c r="L184" s="11">
        <v>14.0</v>
      </c>
      <c r="M184" s="11">
        <v>157.0</v>
      </c>
      <c r="N184" s="11">
        <v>179.0</v>
      </c>
      <c r="O184" s="11">
        <v>-22.0</v>
      </c>
      <c r="P184" s="11">
        <v>210.0</v>
      </c>
      <c r="Q184" s="11" t="s">
        <v>36</v>
      </c>
      <c r="R184" s="11">
        <v>165.0</v>
      </c>
      <c r="S184" s="11">
        <v>158.0</v>
      </c>
      <c r="T184" s="11">
        <v>220.0</v>
      </c>
      <c r="U184" s="11">
        <v>181.0</v>
      </c>
      <c r="V184" s="11">
        <v>16.0</v>
      </c>
      <c r="W184" s="11"/>
      <c r="X184" s="11">
        <v>-24.0</v>
      </c>
      <c r="Y184" s="29" t="s">
        <v>866</v>
      </c>
    </row>
    <row r="185" ht="14.25" customHeight="1">
      <c r="A185" s="11"/>
      <c r="B185" s="11">
        <v>16.0</v>
      </c>
      <c r="C185" s="11" t="s">
        <v>106</v>
      </c>
      <c r="D185" s="11"/>
      <c r="E185" s="27"/>
      <c r="F185" s="29" t="s">
        <v>866</v>
      </c>
      <c r="G185" s="11" t="s">
        <v>538</v>
      </c>
      <c r="H185" s="11" t="s">
        <v>35</v>
      </c>
      <c r="I185" s="11" t="s">
        <v>1081</v>
      </c>
      <c r="J185" s="11"/>
      <c r="K185" s="11"/>
      <c r="L185" s="11">
        <v>16.0</v>
      </c>
      <c r="M185" s="11">
        <v>186.0</v>
      </c>
      <c r="N185" s="11" t="s">
        <v>36</v>
      </c>
      <c r="O185" s="11" t="e">
        <v>#VALUE!</v>
      </c>
      <c r="P185" s="11">
        <v>178.0</v>
      </c>
      <c r="Q185" s="11">
        <v>136.0</v>
      </c>
      <c r="R185" s="11">
        <v>254.0</v>
      </c>
      <c r="S185" s="11">
        <v>187.0</v>
      </c>
      <c r="T185" s="11">
        <v>152.0</v>
      </c>
      <c r="U185" s="11">
        <v>182.0</v>
      </c>
      <c r="V185" s="11">
        <v>16.0</v>
      </c>
      <c r="W185" s="11"/>
      <c r="X185" s="11">
        <v>4.0</v>
      </c>
      <c r="Y185" s="29" t="s">
        <v>866</v>
      </c>
    </row>
    <row r="186" ht="14.25" customHeight="1">
      <c r="A186" s="11"/>
      <c r="B186" s="11">
        <v>15.0</v>
      </c>
      <c r="C186" s="11" t="s">
        <v>106</v>
      </c>
      <c r="D186" s="11"/>
      <c r="E186" s="27"/>
      <c r="F186" s="29" t="s">
        <v>866</v>
      </c>
      <c r="G186" s="11" t="s">
        <v>659</v>
      </c>
      <c r="H186" s="11" t="s">
        <v>102</v>
      </c>
      <c r="I186" s="11" t="s">
        <v>1085</v>
      </c>
      <c r="J186" s="11"/>
      <c r="K186" s="11"/>
      <c r="L186" s="11">
        <v>19.0</v>
      </c>
      <c r="M186" s="11">
        <v>226.0</v>
      </c>
      <c r="N186" s="11" t="s">
        <v>36</v>
      </c>
      <c r="O186" s="11" t="e">
        <v>#VALUE!</v>
      </c>
      <c r="P186" s="11">
        <v>185.0</v>
      </c>
      <c r="Q186" s="11">
        <v>149.0</v>
      </c>
      <c r="R186" s="11">
        <v>232.0</v>
      </c>
      <c r="S186" s="11">
        <v>161.0</v>
      </c>
      <c r="T186" s="11">
        <v>146.0</v>
      </c>
      <c r="U186" s="11">
        <v>183.0</v>
      </c>
      <c r="V186" s="11">
        <v>16.0</v>
      </c>
      <c r="W186" s="11"/>
      <c r="X186" s="11">
        <v>43.0</v>
      </c>
      <c r="Y186" s="29" t="s">
        <v>866</v>
      </c>
    </row>
    <row r="187" ht="14.25" customHeight="1">
      <c r="A187" s="11"/>
      <c r="B187" s="11">
        <v>15.0</v>
      </c>
      <c r="C187" s="11" t="s">
        <v>106</v>
      </c>
      <c r="D187" s="11"/>
      <c r="E187" s="27"/>
      <c r="F187" s="29" t="s">
        <v>866</v>
      </c>
      <c r="G187" s="11" t="s">
        <v>337</v>
      </c>
      <c r="H187" s="11" t="s">
        <v>109</v>
      </c>
      <c r="I187" s="11" t="s">
        <v>781</v>
      </c>
      <c r="J187" s="11"/>
      <c r="K187" s="11"/>
      <c r="L187" s="11">
        <v>21.0</v>
      </c>
      <c r="M187" s="11">
        <v>242.0</v>
      </c>
      <c r="N187" s="11">
        <v>176.0</v>
      </c>
      <c r="O187" s="11">
        <v>66.0</v>
      </c>
      <c r="P187" s="11">
        <v>187.0</v>
      </c>
      <c r="Q187" s="11">
        <v>203.0</v>
      </c>
      <c r="R187" s="11">
        <v>157.0</v>
      </c>
      <c r="S187" s="11">
        <v>175.0</v>
      </c>
      <c r="T187" s="11">
        <v>160.0</v>
      </c>
      <c r="U187" s="11">
        <v>185.0</v>
      </c>
      <c r="V187" s="11">
        <v>16.0</v>
      </c>
      <c r="W187" s="11"/>
      <c r="X187" s="11">
        <v>57.0</v>
      </c>
      <c r="Y187" s="29" t="s">
        <v>866</v>
      </c>
    </row>
    <row r="188" ht="14.25" customHeight="1">
      <c r="A188" s="11"/>
      <c r="B188" s="11">
        <v>15.0</v>
      </c>
      <c r="C188" s="11" t="s">
        <v>106</v>
      </c>
      <c r="D188" s="11">
        <v>14.0</v>
      </c>
      <c r="E188" s="27"/>
      <c r="F188" s="29" t="s">
        <v>95</v>
      </c>
      <c r="G188" s="11" t="s">
        <v>1086</v>
      </c>
      <c r="H188" s="11" t="s">
        <v>58</v>
      </c>
      <c r="I188" s="11" t="s">
        <v>772</v>
      </c>
      <c r="J188" s="11" t="s">
        <v>872</v>
      </c>
      <c r="K188" s="11">
        <v>43.0</v>
      </c>
      <c r="L188" s="11">
        <v>16.0</v>
      </c>
      <c r="M188" s="11">
        <v>180.0</v>
      </c>
      <c r="N188" s="11">
        <v>218.0</v>
      </c>
      <c r="O188" s="11">
        <v>-38.0</v>
      </c>
      <c r="P188" s="11">
        <v>180.0</v>
      </c>
      <c r="Q188" s="11" t="s">
        <v>36</v>
      </c>
      <c r="R188" s="11">
        <v>182.0</v>
      </c>
      <c r="S188" s="11">
        <v>151.0</v>
      </c>
      <c r="T188" s="11">
        <v>199.0</v>
      </c>
      <c r="U188" s="11">
        <v>185.0</v>
      </c>
      <c r="V188" s="11">
        <v>16.0</v>
      </c>
      <c r="W188" s="11"/>
      <c r="X188" s="11">
        <v>-5.0</v>
      </c>
      <c r="Y188" s="29" t="s">
        <v>1043</v>
      </c>
    </row>
    <row r="189" ht="14.25" customHeight="1">
      <c r="A189" s="11"/>
      <c r="B189" s="11">
        <v>17.0</v>
      </c>
      <c r="C189" s="11" t="s">
        <v>106</v>
      </c>
      <c r="D189" s="11"/>
      <c r="E189" s="27"/>
      <c r="F189" s="29" t="s">
        <v>866</v>
      </c>
      <c r="G189" s="11" t="s">
        <v>308</v>
      </c>
      <c r="H189" s="11" t="s">
        <v>128</v>
      </c>
      <c r="I189" s="11" t="s">
        <v>775</v>
      </c>
      <c r="J189" s="11"/>
      <c r="K189" s="11"/>
      <c r="L189" s="11">
        <v>15.0</v>
      </c>
      <c r="M189" s="11">
        <v>168.0</v>
      </c>
      <c r="N189" s="11">
        <v>170.0</v>
      </c>
      <c r="O189" s="11">
        <v>-2.0</v>
      </c>
      <c r="P189" s="11">
        <v>165.0</v>
      </c>
      <c r="Q189" s="11">
        <v>174.0</v>
      </c>
      <c r="R189" s="11">
        <v>169.0</v>
      </c>
      <c r="S189" s="11">
        <v>206.0</v>
      </c>
      <c r="T189" s="11">
        <v>249.0</v>
      </c>
      <c r="U189" s="11">
        <v>185.0</v>
      </c>
      <c r="V189" s="11">
        <v>16.0</v>
      </c>
      <c r="W189" s="11"/>
      <c r="X189" s="11">
        <v>-17.0</v>
      </c>
      <c r="Y189" s="29" t="s">
        <v>866</v>
      </c>
    </row>
    <row r="190" ht="14.25" customHeight="1">
      <c r="A190" s="11"/>
      <c r="B190" s="11">
        <v>16.0</v>
      </c>
      <c r="C190" s="11" t="s">
        <v>106</v>
      </c>
      <c r="D190" s="11"/>
      <c r="E190" s="27"/>
      <c r="F190" s="29" t="s">
        <v>866</v>
      </c>
      <c r="G190" s="11" t="s">
        <v>572</v>
      </c>
      <c r="H190" s="11" t="s">
        <v>102</v>
      </c>
      <c r="I190" s="11" t="s">
        <v>1081</v>
      </c>
      <c r="J190" s="11"/>
      <c r="K190" s="11"/>
      <c r="L190" s="11">
        <v>15.0</v>
      </c>
      <c r="M190" s="11">
        <v>173.0</v>
      </c>
      <c r="N190" s="11" t="s">
        <v>36</v>
      </c>
      <c r="O190" s="11" t="e">
        <v>#VALUE!</v>
      </c>
      <c r="P190" s="11">
        <v>179.0</v>
      </c>
      <c r="Q190" s="11">
        <v>187.0</v>
      </c>
      <c r="R190" s="11">
        <v>239.0</v>
      </c>
      <c r="S190" s="11">
        <v>191.0</v>
      </c>
      <c r="T190" s="11">
        <v>137.0</v>
      </c>
      <c r="U190" s="11">
        <v>184.0</v>
      </c>
      <c r="V190" s="11">
        <v>16.0</v>
      </c>
      <c r="W190" s="11"/>
      <c r="X190" s="11">
        <v>-11.0</v>
      </c>
      <c r="Y190" s="29" t="s">
        <v>866</v>
      </c>
    </row>
    <row r="191" ht="14.25" customHeight="1">
      <c r="A191" s="11"/>
      <c r="B191" s="11">
        <v>16.0</v>
      </c>
      <c r="C191" s="11" t="s">
        <v>106</v>
      </c>
      <c r="D191" s="11"/>
      <c r="E191" s="27"/>
      <c r="F191" s="29" t="s">
        <v>866</v>
      </c>
      <c r="G191" s="11" t="s">
        <v>899</v>
      </c>
      <c r="H191" s="11" t="s">
        <v>165</v>
      </c>
      <c r="I191" s="11" t="s">
        <v>775</v>
      </c>
      <c r="J191" s="58" t="s">
        <v>857</v>
      </c>
      <c r="K191" s="11">
        <v>54.0</v>
      </c>
      <c r="L191" s="11">
        <v>15.0</v>
      </c>
      <c r="M191" s="11">
        <v>170.0</v>
      </c>
      <c r="N191" s="11">
        <v>161.0</v>
      </c>
      <c r="O191" s="11">
        <v>9.0</v>
      </c>
      <c r="P191" s="11">
        <v>203.0</v>
      </c>
      <c r="Q191" s="11">
        <v>148.0</v>
      </c>
      <c r="R191" s="11">
        <v>171.0</v>
      </c>
      <c r="S191" s="11">
        <v>196.0</v>
      </c>
      <c r="T191" s="11">
        <v>208.0</v>
      </c>
      <c r="U191" s="11">
        <v>179.0</v>
      </c>
      <c r="V191" s="11">
        <v>15.0</v>
      </c>
      <c r="W191" s="11"/>
      <c r="X191" s="11">
        <v>-9.0</v>
      </c>
      <c r="Y191" s="29" t="s">
        <v>1047</v>
      </c>
    </row>
    <row r="192" ht="14.25" customHeight="1">
      <c r="A192" s="11"/>
      <c r="B192" s="11">
        <v>18.0</v>
      </c>
      <c r="C192" s="11" t="s">
        <v>106</v>
      </c>
      <c r="D192" s="11"/>
      <c r="E192" s="27"/>
      <c r="F192" s="29" t="s">
        <v>866</v>
      </c>
      <c r="G192" s="11" t="s">
        <v>901</v>
      </c>
      <c r="H192" s="11" t="s">
        <v>116</v>
      </c>
      <c r="I192" s="11" t="s">
        <v>775</v>
      </c>
      <c r="J192" s="11" t="s">
        <v>862</v>
      </c>
      <c r="K192" s="11">
        <v>59.0</v>
      </c>
      <c r="L192" s="11">
        <v>14.0</v>
      </c>
      <c r="M192" s="11">
        <v>156.0</v>
      </c>
      <c r="N192" s="11">
        <v>148.0</v>
      </c>
      <c r="O192" s="11">
        <v>8.0</v>
      </c>
      <c r="P192" s="11">
        <v>199.0</v>
      </c>
      <c r="Q192" s="11">
        <v>224.0</v>
      </c>
      <c r="R192" s="11">
        <v>159.0</v>
      </c>
      <c r="S192" s="11">
        <v>199.0</v>
      </c>
      <c r="T192" s="11">
        <v>263.0</v>
      </c>
      <c r="U192" s="11">
        <v>192.0</v>
      </c>
      <c r="V192" s="11">
        <v>17.0</v>
      </c>
      <c r="W192" s="11"/>
      <c r="X192" s="11">
        <v>-36.0</v>
      </c>
      <c r="Y192" s="29" t="s">
        <v>866</v>
      </c>
    </row>
    <row r="193" ht="14.25" customHeight="1">
      <c r="A193" s="11"/>
      <c r="B193" s="11">
        <v>17.0</v>
      </c>
      <c r="C193" s="11" t="s">
        <v>106</v>
      </c>
      <c r="D193" s="11"/>
      <c r="E193" s="27"/>
      <c r="F193" s="29" t="s">
        <v>866</v>
      </c>
      <c r="G193" s="11" t="s">
        <v>399</v>
      </c>
      <c r="H193" s="11" t="s">
        <v>206</v>
      </c>
      <c r="I193" s="11" t="s">
        <v>781</v>
      </c>
      <c r="J193" s="11"/>
      <c r="K193" s="11"/>
      <c r="L193" s="11">
        <v>14.0</v>
      </c>
      <c r="M193" s="11">
        <v>163.0</v>
      </c>
      <c r="N193" s="11">
        <v>155.0</v>
      </c>
      <c r="O193" s="11">
        <v>8.0</v>
      </c>
      <c r="P193" s="11">
        <v>186.0</v>
      </c>
      <c r="Q193" s="11">
        <v>205.0</v>
      </c>
      <c r="R193" s="11">
        <v>138.0</v>
      </c>
      <c r="S193" s="11">
        <v>195.0</v>
      </c>
      <c r="T193" s="11">
        <v>254.0</v>
      </c>
      <c r="U193" s="11">
        <v>185.0</v>
      </c>
      <c r="V193" s="11">
        <v>16.0</v>
      </c>
      <c r="W193" s="11"/>
      <c r="X193" s="11">
        <v>-22.0</v>
      </c>
      <c r="Y193" s="29" t="s">
        <v>866</v>
      </c>
    </row>
    <row r="194" ht="14.25" customHeight="1">
      <c r="A194" s="11"/>
      <c r="B194" s="11">
        <v>17.0</v>
      </c>
      <c r="C194" s="11" t="s">
        <v>106</v>
      </c>
      <c r="D194" s="11"/>
      <c r="E194" s="27"/>
      <c r="F194" s="29" t="s">
        <v>866</v>
      </c>
      <c r="G194" s="11" t="s">
        <v>623</v>
      </c>
      <c r="H194" s="11" t="s">
        <v>98</v>
      </c>
      <c r="I194" s="11" t="s">
        <v>770</v>
      </c>
      <c r="J194" s="11" t="s">
        <v>878</v>
      </c>
      <c r="K194" s="11"/>
      <c r="L194" s="11">
        <v>13.0</v>
      </c>
      <c r="M194" s="11">
        <v>145.0</v>
      </c>
      <c r="N194" s="11">
        <v>164.0</v>
      </c>
      <c r="O194" s="11">
        <v>-19.0</v>
      </c>
      <c r="P194" s="11">
        <v>176.0</v>
      </c>
      <c r="Q194" s="11">
        <v>207.0</v>
      </c>
      <c r="R194" s="11">
        <v>198.0</v>
      </c>
      <c r="S194" s="11">
        <v>228.0</v>
      </c>
      <c r="T194" s="11">
        <v>205.0</v>
      </c>
      <c r="U194" s="11">
        <v>189.0</v>
      </c>
      <c r="V194" s="11">
        <v>16.0</v>
      </c>
      <c r="W194" s="11"/>
      <c r="X194" s="11">
        <v>-44.0</v>
      </c>
      <c r="Y194" s="29" t="s">
        <v>866</v>
      </c>
    </row>
    <row r="195" ht="14.25" customHeight="1">
      <c r="A195" s="11"/>
      <c r="B195" s="11">
        <v>16.0</v>
      </c>
      <c r="C195" s="11" t="s">
        <v>106</v>
      </c>
      <c r="D195" s="11"/>
      <c r="E195" s="27"/>
      <c r="F195" s="29" t="s">
        <v>106</v>
      </c>
      <c r="G195" s="11" t="s">
        <v>678</v>
      </c>
      <c r="H195" s="11" t="s">
        <v>94</v>
      </c>
      <c r="I195" s="11" t="s">
        <v>772</v>
      </c>
      <c r="J195" s="11"/>
      <c r="K195" s="11"/>
      <c r="L195" s="11">
        <v>15.0</v>
      </c>
      <c r="M195" s="11">
        <v>176.0</v>
      </c>
      <c r="N195" s="11">
        <v>147.0</v>
      </c>
      <c r="O195" s="11">
        <v>29.0</v>
      </c>
      <c r="P195" s="11">
        <v>126.0</v>
      </c>
      <c r="Q195" s="11">
        <v>182.0</v>
      </c>
      <c r="R195" s="11">
        <v>145.0</v>
      </c>
      <c r="S195" s="11">
        <v>218.0</v>
      </c>
      <c r="T195" s="11">
        <v>243.0</v>
      </c>
      <c r="U195" s="11">
        <v>176.0</v>
      </c>
      <c r="V195" s="11">
        <v>15.0</v>
      </c>
      <c r="W195" s="11"/>
      <c r="X195" s="11">
        <v>0.0</v>
      </c>
      <c r="Y195" s="29" t="s">
        <v>1042</v>
      </c>
    </row>
    <row r="196" ht="14.25" customHeight="1">
      <c r="A196" s="11"/>
      <c r="B196" s="11">
        <v>18.0</v>
      </c>
      <c r="C196" s="11" t="s">
        <v>106</v>
      </c>
      <c r="D196" s="11"/>
      <c r="E196" s="27"/>
      <c r="F196" s="29" t="s">
        <v>866</v>
      </c>
      <c r="G196" s="11" t="s">
        <v>1079</v>
      </c>
      <c r="H196" s="11" t="s">
        <v>195</v>
      </c>
      <c r="I196" s="11" t="s">
        <v>775</v>
      </c>
      <c r="J196" s="11"/>
      <c r="K196" s="11"/>
      <c r="L196" s="11">
        <v>13.0</v>
      </c>
      <c r="M196" s="11">
        <v>149.0</v>
      </c>
      <c r="N196" s="11">
        <v>152.0</v>
      </c>
      <c r="O196" s="11">
        <v>-3.0</v>
      </c>
      <c r="P196" s="11">
        <v>204.0</v>
      </c>
      <c r="Q196" s="11">
        <v>163.0</v>
      </c>
      <c r="R196" s="11">
        <v>155.0</v>
      </c>
      <c r="S196" s="11">
        <v>192.0</v>
      </c>
      <c r="T196" s="11">
        <v>309.0</v>
      </c>
      <c r="U196" s="11">
        <v>189.0</v>
      </c>
      <c r="V196" s="11">
        <v>16.0</v>
      </c>
      <c r="W196" s="11"/>
      <c r="X196" s="11">
        <v>-40.0</v>
      </c>
      <c r="Y196" s="29" t="s">
        <v>866</v>
      </c>
    </row>
    <row r="197" ht="14.25" customHeight="1">
      <c r="A197" s="11"/>
      <c r="B197" s="11">
        <v>17.0</v>
      </c>
      <c r="C197" s="11" t="s">
        <v>106</v>
      </c>
      <c r="D197" s="11"/>
      <c r="E197" s="27"/>
      <c r="F197" s="29" t="s">
        <v>866</v>
      </c>
      <c r="G197" s="11" t="s">
        <v>359</v>
      </c>
      <c r="H197" s="11" t="s">
        <v>154</v>
      </c>
      <c r="I197" s="11" t="s">
        <v>775</v>
      </c>
      <c r="J197" s="11"/>
      <c r="K197" s="11"/>
      <c r="L197" s="11">
        <v>15.0</v>
      </c>
      <c r="M197" s="11">
        <v>178.0</v>
      </c>
      <c r="N197" s="11">
        <v>149.0</v>
      </c>
      <c r="O197" s="11">
        <v>29.0</v>
      </c>
      <c r="P197" s="11">
        <v>205.0</v>
      </c>
      <c r="Q197" s="11" t="s">
        <v>36</v>
      </c>
      <c r="R197" s="11">
        <v>172.0</v>
      </c>
      <c r="S197" s="11">
        <v>210.0</v>
      </c>
      <c r="T197" s="11">
        <v>223.0</v>
      </c>
      <c r="U197" s="11">
        <v>189.0</v>
      </c>
      <c r="V197" s="11">
        <v>16.0</v>
      </c>
      <c r="W197" s="11"/>
      <c r="X197" s="11">
        <v>-11.0</v>
      </c>
      <c r="Y197" s="29" t="s">
        <v>866</v>
      </c>
    </row>
    <row r="198" ht="14.25" customHeight="1">
      <c r="A198" s="11"/>
      <c r="B198" s="11">
        <v>17.0</v>
      </c>
      <c r="C198" s="11" t="s">
        <v>106</v>
      </c>
      <c r="D198" s="11"/>
      <c r="E198" s="27"/>
      <c r="F198" s="29" t="s">
        <v>106</v>
      </c>
      <c r="G198" s="11" t="s">
        <v>634</v>
      </c>
      <c r="H198" s="11" t="s">
        <v>94</v>
      </c>
      <c r="I198" s="11" t="s">
        <v>772</v>
      </c>
      <c r="J198" s="11" t="s">
        <v>885</v>
      </c>
      <c r="K198" s="11">
        <v>54.0</v>
      </c>
      <c r="L198" s="11">
        <v>16.0</v>
      </c>
      <c r="M198" s="11">
        <v>189.0</v>
      </c>
      <c r="N198" s="11">
        <v>237.0</v>
      </c>
      <c r="O198" s="11">
        <v>-48.0</v>
      </c>
      <c r="P198" s="11" t="s">
        <v>36</v>
      </c>
      <c r="Q198" s="11">
        <v>194.0</v>
      </c>
      <c r="R198" s="11">
        <v>185.0</v>
      </c>
      <c r="S198" s="11">
        <v>172.0</v>
      </c>
      <c r="T198" s="11">
        <v>241.0</v>
      </c>
      <c r="U198" s="11">
        <v>203.0</v>
      </c>
      <c r="V198" s="11">
        <v>17.0</v>
      </c>
      <c r="W198" s="11"/>
      <c r="X198" s="11">
        <v>-14.0</v>
      </c>
      <c r="Y198" s="29" t="s">
        <v>1043</v>
      </c>
    </row>
    <row r="199" ht="14.25" customHeight="1">
      <c r="A199" s="11"/>
      <c r="B199" s="11">
        <v>16.0</v>
      </c>
      <c r="C199" s="11" t="s">
        <v>106</v>
      </c>
      <c r="D199" s="11"/>
      <c r="E199" s="27"/>
      <c r="F199" s="29" t="s">
        <v>866</v>
      </c>
      <c r="G199" s="11" t="s">
        <v>922</v>
      </c>
      <c r="H199" s="11" t="s">
        <v>85</v>
      </c>
      <c r="I199" s="11" t="s">
        <v>1085</v>
      </c>
      <c r="J199" s="11"/>
      <c r="K199" s="11"/>
      <c r="L199" s="11">
        <v>20.0</v>
      </c>
      <c r="M199" s="11">
        <v>234.0</v>
      </c>
      <c r="N199" s="11" t="s">
        <v>36</v>
      </c>
      <c r="O199" s="11" t="e">
        <v>#VALUE!</v>
      </c>
      <c r="P199" s="11">
        <v>182.0</v>
      </c>
      <c r="Q199" s="11">
        <v>143.0</v>
      </c>
      <c r="R199" s="11">
        <v>244.0</v>
      </c>
      <c r="S199" s="11">
        <v>214.0</v>
      </c>
      <c r="T199" s="11">
        <v>135.0</v>
      </c>
      <c r="U199" s="11">
        <v>192.0</v>
      </c>
      <c r="V199" s="11">
        <v>17.0</v>
      </c>
      <c r="W199" s="11"/>
      <c r="X199" s="11">
        <v>42.0</v>
      </c>
      <c r="Y199" s="29" t="s">
        <v>866</v>
      </c>
    </row>
    <row r="200" ht="14.25" customHeight="1">
      <c r="A200" s="11"/>
      <c r="B200" s="11">
        <v>16.0</v>
      </c>
      <c r="C200" s="11" t="s">
        <v>106</v>
      </c>
      <c r="D200" s="11"/>
      <c r="E200" s="27"/>
      <c r="F200" s="29" t="s">
        <v>866</v>
      </c>
      <c r="G200" s="11" t="s">
        <v>952</v>
      </c>
      <c r="H200" s="11" t="s">
        <v>67</v>
      </c>
      <c r="I200" s="11" t="s">
        <v>1085</v>
      </c>
      <c r="J200" s="11"/>
      <c r="K200" s="11"/>
      <c r="L200" s="11">
        <v>20.0</v>
      </c>
      <c r="M200" s="11">
        <v>239.0</v>
      </c>
      <c r="N200" s="11" t="s">
        <v>36</v>
      </c>
      <c r="O200" s="11" t="e">
        <v>#VALUE!</v>
      </c>
      <c r="P200" s="11">
        <v>158.0</v>
      </c>
      <c r="Q200" s="11">
        <v>140.0</v>
      </c>
      <c r="R200" s="11">
        <v>271.0</v>
      </c>
      <c r="S200" s="11">
        <v>185.0</v>
      </c>
      <c r="T200" s="11">
        <v>147.0</v>
      </c>
      <c r="U200" s="11">
        <v>190.0</v>
      </c>
      <c r="V200" s="11">
        <v>16.0</v>
      </c>
      <c r="W200" s="11"/>
      <c r="X200" s="11">
        <v>49.0</v>
      </c>
      <c r="Y200" s="29" t="s">
        <v>866</v>
      </c>
    </row>
    <row r="201" ht="14.25" customHeight="1">
      <c r="A201" s="11"/>
      <c r="B201" s="11">
        <v>17.0</v>
      </c>
      <c r="C201" s="11" t="s">
        <v>106</v>
      </c>
      <c r="D201" s="11"/>
      <c r="E201" s="27"/>
      <c r="F201" s="29" t="s">
        <v>866</v>
      </c>
      <c r="G201" s="11" t="s">
        <v>556</v>
      </c>
      <c r="H201" s="11" t="s">
        <v>162</v>
      </c>
      <c r="I201" s="11" t="s">
        <v>781</v>
      </c>
      <c r="J201" s="11"/>
      <c r="K201" s="11"/>
      <c r="L201" s="11">
        <v>16.0</v>
      </c>
      <c r="M201" s="11" t="s">
        <v>36</v>
      </c>
      <c r="N201" s="11">
        <v>182.0</v>
      </c>
      <c r="O201" s="11" t="e">
        <v>#VALUE!</v>
      </c>
      <c r="P201" s="11" t="s">
        <v>36</v>
      </c>
      <c r="Q201" s="11">
        <v>200.0</v>
      </c>
      <c r="R201" s="11">
        <v>167.0</v>
      </c>
      <c r="S201" s="11">
        <v>227.0</v>
      </c>
      <c r="T201" s="11">
        <v>211.0</v>
      </c>
      <c r="U201" s="11">
        <v>197.0</v>
      </c>
      <c r="V201" s="11">
        <v>17.0</v>
      </c>
      <c r="W201" s="11">
        <v>-17.0</v>
      </c>
      <c r="X201" s="11" t="e">
        <v>#VALUE!</v>
      </c>
      <c r="Y201" s="29" t="s">
        <v>866</v>
      </c>
    </row>
    <row r="202" ht="14.25" customHeight="1">
      <c r="A202" s="11"/>
      <c r="B202" s="11">
        <v>17.0</v>
      </c>
      <c r="C202" s="11" t="s">
        <v>106</v>
      </c>
      <c r="D202" s="11"/>
      <c r="E202" s="27"/>
      <c r="F202" s="29" t="s">
        <v>866</v>
      </c>
      <c r="G202" s="11" t="s">
        <v>491</v>
      </c>
      <c r="H202" s="11" t="s">
        <v>52</v>
      </c>
      <c r="I202" s="11" t="s">
        <v>1081</v>
      </c>
      <c r="J202" s="11"/>
      <c r="K202" s="11"/>
      <c r="L202" s="11">
        <v>17.0</v>
      </c>
      <c r="M202" s="11">
        <v>197.0</v>
      </c>
      <c r="N202" s="11" t="s">
        <v>36</v>
      </c>
      <c r="O202" s="11" t="e">
        <v>#VALUE!</v>
      </c>
      <c r="P202" s="11">
        <v>196.0</v>
      </c>
      <c r="Q202" s="11">
        <v>142.0</v>
      </c>
      <c r="R202" s="11">
        <v>268.0</v>
      </c>
      <c r="S202" s="11">
        <v>183.0</v>
      </c>
      <c r="T202" s="11">
        <v>179.0</v>
      </c>
      <c r="U202" s="11">
        <v>194.0</v>
      </c>
      <c r="V202" s="11">
        <v>17.0</v>
      </c>
      <c r="W202" s="11"/>
      <c r="X202" s="11">
        <v>3.0</v>
      </c>
      <c r="Y202" s="29" t="s">
        <v>866</v>
      </c>
    </row>
    <row r="203" ht="14.25" customHeight="1">
      <c r="A203" s="11"/>
      <c r="B203" s="11">
        <v>17.0</v>
      </c>
      <c r="C203" s="11" t="s">
        <v>106</v>
      </c>
      <c r="D203" s="11"/>
      <c r="E203" s="27"/>
      <c r="F203" s="29" t="s">
        <v>866</v>
      </c>
      <c r="G203" s="11" t="s">
        <v>923</v>
      </c>
      <c r="H203" s="11" t="s">
        <v>94</v>
      </c>
      <c r="I203" s="11" t="s">
        <v>1085</v>
      </c>
      <c r="J203" s="11"/>
      <c r="K203" s="11"/>
      <c r="L203" s="11">
        <v>19.0</v>
      </c>
      <c r="M203" s="11">
        <v>224.0</v>
      </c>
      <c r="N203" s="11" t="s">
        <v>36</v>
      </c>
      <c r="O203" s="11" t="e">
        <v>#VALUE!</v>
      </c>
      <c r="P203" s="11">
        <v>188.0</v>
      </c>
      <c r="Q203" s="11">
        <v>175.0</v>
      </c>
      <c r="R203" s="11">
        <v>316.0</v>
      </c>
      <c r="S203" s="11" t="s">
        <v>36</v>
      </c>
      <c r="T203" s="11">
        <v>108.0</v>
      </c>
      <c r="U203" s="11">
        <v>202.0</v>
      </c>
      <c r="V203" s="11">
        <v>17.0</v>
      </c>
      <c r="W203" s="11"/>
      <c r="X203" s="11">
        <v>22.0</v>
      </c>
      <c r="Y203" s="29" t="s">
        <v>866</v>
      </c>
    </row>
    <row r="204" ht="14.25" customHeight="1">
      <c r="A204" s="11"/>
      <c r="B204" s="11">
        <v>17.0</v>
      </c>
      <c r="C204" s="11" t="s">
        <v>106</v>
      </c>
      <c r="D204" s="11"/>
      <c r="E204" s="27"/>
      <c r="F204" s="29" t="s">
        <v>866</v>
      </c>
      <c r="G204" s="11" t="s">
        <v>705</v>
      </c>
      <c r="H204" s="11" t="s">
        <v>176</v>
      </c>
      <c r="I204" s="11" t="s">
        <v>1085</v>
      </c>
      <c r="J204" s="11"/>
      <c r="K204" s="11"/>
      <c r="L204" s="11">
        <v>18.0</v>
      </c>
      <c r="M204" s="11">
        <v>214.0</v>
      </c>
      <c r="N204" s="11" t="s">
        <v>36</v>
      </c>
      <c r="O204" s="11" t="e">
        <v>#VALUE!</v>
      </c>
      <c r="P204" s="11">
        <v>209.0</v>
      </c>
      <c r="Q204" s="11">
        <v>218.0</v>
      </c>
      <c r="R204" s="11">
        <v>235.0</v>
      </c>
      <c r="S204" s="11">
        <v>180.0</v>
      </c>
      <c r="T204" s="11">
        <v>133.0</v>
      </c>
      <c r="U204" s="11">
        <v>198.0</v>
      </c>
      <c r="V204" s="11">
        <v>17.0</v>
      </c>
      <c r="W204" s="11"/>
      <c r="X204" s="11">
        <v>16.0</v>
      </c>
      <c r="Y204" s="29" t="s">
        <v>866</v>
      </c>
    </row>
    <row r="205" ht="14.25" customHeight="1">
      <c r="A205" s="11"/>
      <c r="B205" s="11">
        <v>18.0</v>
      </c>
      <c r="C205" s="11" t="s">
        <v>106</v>
      </c>
      <c r="D205" s="11"/>
      <c r="E205" s="27"/>
      <c r="F205" s="29" t="s">
        <v>866</v>
      </c>
      <c r="G205" s="11" t="s">
        <v>536</v>
      </c>
      <c r="H205" s="11" t="s">
        <v>176</v>
      </c>
      <c r="I205" s="11" t="s">
        <v>775</v>
      </c>
      <c r="J205" s="11"/>
      <c r="K205" s="11"/>
      <c r="L205" s="11">
        <v>18.0</v>
      </c>
      <c r="M205" s="11">
        <v>208.0</v>
      </c>
      <c r="N205" s="11">
        <v>178.0</v>
      </c>
      <c r="O205" s="11">
        <v>30.0</v>
      </c>
      <c r="P205" s="11" t="s">
        <v>36</v>
      </c>
      <c r="Q205" s="11" t="s">
        <v>36</v>
      </c>
      <c r="R205" s="11">
        <v>192.0</v>
      </c>
      <c r="S205" s="11">
        <v>230.0</v>
      </c>
      <c r="T205" s="11" t="s">
        <v>36</v>
      </c>
      <c r="U205" s="11">
        <v>202.0</v>
      </c>
      <c r="V205" s="11">
        <v>17.0</v>
      </c>
      <c r="W205" s="11"/>
      <c r="X205" s="11">
        <v>6.0</v>
      </c>
      <c r="Y205" s="29" t="s">
        <v>1095</v>
      </c>
    </row>
    <row r="206" ht="14.25" customHeight="1">
      <c r="A206" s="11"/>
      <c r="B206" s="11">
        <v>17.0</v>
      </c>
      <c r="C206" s="11" t="s">
        <v>106</v>
      </c>
      <c r="D206" s="11"/>
      <c r="E206" s="27"/>
      <c r="F206" s="29" t="s">
        <v>866</v>
      </c>
      <c r="G206" s="11" t="s">
        <v>630</v>
      </c>
      <c r="H206" s="11" t="s">
        <v>171</v>
      </c>
      <c r="I206" s="11" t="s">
        <v>1081</v>
      </c>
      <c r="J206" s="11"/>
      <c r="K206" s="11"/>
      <c r="L206" s="11">
        <v>16.0</v>
      </c>
      <c r="M206" s="11" t="s">
        <v>36</v>
      </c>
      <c r="N206" s="11" t="s">
        <v>36</v>
      </c>
      <c r="O206" s="11" t="e">
        <v>#VALUE!</v>
      </c>
      <c r="P206" s="11">
        <v>212.0</v>
      </c>
      <c r="Q206" s="11">
        <v>220.0</v>
      </c>
      <c r="R206" s="11">
        <v>296.0</v>
      </c>
      <c r="S206" s="11" t="s">
        <v>36</v>
      </c>
      <c r="T206" s="11">
        <v>83.0</v>
      </c>
      <c r="U206" s="11">
        <v>202.0</v>
      </c>
      <c r="V206" s="11">
        <v>17.0</v>
      </c>
      <c r="W206" s="11"/>
      <c r="X206" s="11" t="e">
        <v>#VALUE!</v>
      </c>
      <c r="Y206" s="29" t="s">
        <v>866</v>
      </c>
    </row>
    <row r="207" ht="14.25" customHeight="1">
      <c r="A207" s="11"/>
      <c r="B207" s="11">
        <v>17.0</v>
      </c>
      <c r="C207" s="11" t="s">
        <v>106</v>
      </c>
      <c r="D207" s="11"/>
      <c r="E207" s="27"/>
      <c r="F207" s="29" t="s">
        <v>866</v>
      </c>
      <c r="G207" s="11" t="s">
        <v>620</v>
      </c>
      <c r="H207" s="11" t="s">
        <v>45</v>
      </c>
      <c r="I207" s="11" t="s">
        <v>1085</v>
      </c>
      <c r="J207" s="11"/>
      <c r="K207" s="11"/>
      <c r="L207" s="11">
        <v>19.0</v>
      </c>
      <c r="M207" s="11">
        <v>218.0</v>
      </c>
      <c r="N207" s="11" t="s">
        <v>36</v>
      </c>
      <c r="O207" s="11" t="e">
        <v>#VALUE!</v>
      </c>
      <c r="P207" s="11">
        <v>189.0</v>
      </c>
      <c r="Q207" s="11">
        <v>197.0</v>
      </c>
      <c r="R207" s="11">
        <v>261.0</v>
      </c>
      <c r="S207" s="11">
        <v>163.0</v>
      </c>
      <c r="T207" s="11">
        <v>188.0</v>
      </c>
      <c r="U207" s="11">
        <v>202.0</v>
      </c>
      <c r="V207" s="11">
        <v>17.0</v>
      </c>
      <c r="W207" s="11"/>
      <c r="X207" s="11">
        <v>16.0</v>
      </c>
      <c r="Y207" s="29" t="s">
        <v>866</v>
      </c>
    </row>
    <row r="208" ht="14.25" customHeight="1">
      <c r="A208" s="11"/>
      <c r="B208" s="11">
        <v>17.0</v>
      </c>
      <c r="C208" s="11" t="s">
        <v>106</v>
      </c>
      <c r="D208" s="11"/>
      <c r="E208" s="27"/>
      <c r="F208" s="29" t="s">
        <v>866</v>
      </c>
      <c r="G208" s="11" t="s">
        <v>701</v>
      </c>
      <c r="H208" s="11" t="s">
        <v>94</v>
      </c>
      <c r="I208" s="11" t="s">
        <v>781</v>
      </c>
      <c r="J208" s="11"/>
      <c r="K208" s="11"/>
      <c r="L208" s="11">
        <v>19.0</v>
      </c>
      <c r="M208" s="11">
        <v>225.0</v>
      </c>
      <c r="N208" s="11">
        <v>217.0</v>
      </c>
      <c r="O208" s="11">
        <v>8.0</v>
      </c>
      <c r="P208" s="11">
        <v>194.0</v>
      </c>
      <c r="Q208" s="11">
        <v>185.0</v>
      </c>
      <c r="R208" s="11">
        <v>188.0</v>
      </c>
      <c r="S208" s="11">
        <v>217.0</v>
      </c>
      <c r="T208" s="11">
        <v>186.0</v>
      </c>
      <c r="U208" s="11">
        <v>201.0</v>
      </c>
      <c r="V208" s="11">
        <v>17.0</v>
      </c>
      <c r="W208" s="11"/>
      <c r="X208" s="11">
        <v>24.0</v>
      </c>
      <c r="Y208" s="29" t="s">
        <v>866</v>
      </c>
    </row>
    <row r="209" ht="14.25" customHeight="1">
      <c r="A209" s="11"/>
      <c r="B209" s="11">
        <v>18.0</v>
      </c>
      <c r="C209" s="11" t="s">
        <v>106</v>
      </c>
      <c r="D209" s="11"/>
      <c r="E209" s="27"/>
      <c r="F209" s="29" t="s">
        <v>866</v>
      </c>
      <c r="G209" s="11" t="s">
        <v>550</v>
      </c>
      <c r="H209" s="11" t="s">
        <v>237</v>
      </c>
      <c r="I209" s="11" t="s">
        <v>770</v>
      </c>
      <c r="J209" s="11" t="s">
        <v>878</v>
      </c>
      <c r="K209" s="11"/>
      <c r="L209" s="11">
        <v>17.0</v>
      </c>
      <c r="M209" s="11">
        <v>198.0</v>
      </c>
      <c r="N209" s="11">
        <v>198.0</v>
      </c>
      <c r="O209" s="11">
        <v>0.0</v>
      </c>
      <c r="P209" s="11" t="s">
        <v>36</v>
      </c>
      <c r="Q209" s="11">
        <v>192.0</v>
      </c>
      <c r="R209" s="11">
        <v>222.0</v>
      </c>
      <c r="S209" s="11">
        <v>229.0</v>
      </c>
      <c r="T209" s="11">
        <v>192.0</v>
      </c>
      <c r="U209" s="11">
        <v>205.0</v>
      </c>
      <c r="V209" s="11">
        <v>18.0</v>
      </c>
      <c r="W209" s="11"/>
      <c r="X209" s="11">
        <v>-7.0</v>
      </c>
      <c r="Y209" s="29" t="s">
        <v>866</v>
      </c>
    </row>
    <row r="210" ht="14.25" customHeight="1">
      <c r="A210" s="11"/>
      <c r="B210" s="11">
        <v>17.0</v>
      </c>
      <c r="C210" s="11" t="s">
        <v>106</v>
      </c>
      <c r="D210" s="11"/>
      <c r="E210" s="27"/>
      <c r="F210" s="29" t="s">
        <v>866</v>
      </c>
      <c r="G210" s="11" t="s">
        <v>834</v>
      </c>
      <c r="H210" s="11" t="s">
        <v>45</v>
      </c>
      <c r="I210" s="11" t="s">
        <v>772</v>
      </c>
      <c r="J210" s="11"/>
      <c r="K210" s="11"/>
      <c r="L210" s="11">
        <v>18.0</v>
      </c>
      <c r="M210" s="11">
        <v>204.0</v>
      </c>
      <c r="N210" s="11">
        <v>199.0</v>
      </c>
      <c r="O210" s="11">
        <v>5.0</v>
      </c>
      <c r="P210" s="11">
        <v>200.0</v>
      </c>
      <c r="Q210" s="11" t="s">
        <v>36</v>
      </c>
      <c r="R210" s="11">
        <v>173.0</v>
      </c>
      <c r="S210" s="11">
        <v>232.0</v>
      </c>
      <c r="T210" s="11" t="s">
        <v>36</v>
      </c>
      <c r="U210" s="11">
        <v>201.0</v>
      </c>
      <c r="V210" s="11">
        <v>17.0</v>
      </c>
      <c r="W210" s="11"/>
      <c r="X210" s="11">
        <v>3.0</v>
      </c>
      <c r="Y210" s="29" t="s">
        <v>1050</v>
      </c>
    </row>
    <row r="211" ht="14.25" customHeight="1">
      <c r="A211" s="11"/>
      <c r="B211" s="11">
        <v>17.0</v>
      </c>
      <c r="C211" s="11" t="s">
        <v>106</v>
      </c>
      <c r="D211" s="11"/>
      <c r="E211" s="27"/>
      <c r="F211" s="29" t="s">
        <v>866</v>
      </c>
      <c r="G211" s="11" t="s">
        <v>552</v>
      </c>
      <c r="H211" s="11" t="s">
        <v>237</v>
      </c>
      <c r="I211" s="11" t="s">
        <v>781</v>
      </c>
      <c r="J211" s="11"/>
      <c r="K211" s="11"/>
      <c r="L211" s="11">
        <v>20.0</v>
      </c>
      <c r="M211" s="11">
        <v>228.0</v>
      </c>
      <c r="N211" s="11">
        <v>226.0</v>
      </c>
      <c r="O211" s="11">
        <v>2.0</v>
      </c>
      <c r="P211" s="11" t="s">
        <v>36</v>
      </c>
      <c r="Q211" s="11">
        <v>198.0</v>
      </c>
      <c r="R211" s="11">
        <v>196.0</v>
      </c>
      <c r="S211" s="11">
        <v>202.0</v>
      </c>
      <c r="T211" s="11">
        <v>176.0</v>
      </c>
      <c r="U211" s="11">
        <v>204.0</v>
      </c>
      <c r="V211" s="11">
        <v>18.0</v>
      </c>
      <c r="W211" s="11">
        <v>-18.0</v>
      </c>
      <c r="X211" s="11">
        <v>24.0</v>
      </c>
      <c r="Y211" s="29" t="s">
        <v>866</v>
      </c>
    </row>
    <row r="212" ht="14.25" customHeight="1">
      <c r="A212" s="11"/>
      <c r="B212" s="11">
        <v>18.0</v>
      </c>
      <c r="C212" s="11" t="s">
        <v>106</v>
      </c>
      <c r="D212" s="11"/>
      <c r="E212" s="27"/>
      <c r="F212" s="29" t="s">
        <v>866</v>
      </c>
      <c r="G212" s="11" t="s">
        <v>1053</v>
      </c>
      <c r="H212" s="11" t="s">
        <v>102</v>
      </c>
      <c r="I212" s="11" t="s">
        <v>772</v>
      </c>
      <c r="J212" s="11"/>
      <c r="K212" s="11"/>
      <c r="L212" s="11">
        <v>16.0</v>
      </c>
      <c r="M212" s="11" t="s">
        <v>36</v>
      </c>
      <c r="N212" s="11">
        <v>209.0</v>
      </c>
      <c r="O212" s="11" t="e">
        <v>#VALUE!</v>
      </c>
      <c r="P212" s="11">
        <v>215.0</v>
      </c>
      <c r="Q212" s="11">
        <v>255.0</v>
      </c>
      <c r="R212" s="11">
        <v>191.0</v>
      </c>
      <c r="S212" s="11">
        <v>193.0</v>
      </c>
      <c r="T212" s="11">
        <v>204.0</v>
      </c>
      <c r="U212" s="11">
        <v>211.0</v>
      </c>
      <c r="V212" s="11">
        <v>18.0</v>
      </c>
      <c r="W212" s="11"/>
      <c r="X212" s="11" t="e">
        <v>#VALUE!</v>
      </c>
      <c r="Y212" s="29" t="s">
        <v>866</v>
      </c>
    </row>
    <row r="213" ht="14.25" customHeight="1">
      <c r="A213" s="11"/>
      <c r="B213" s="11">
        <v>17.0</v>
      </c>
      <c r="C213" s="11" t="s">
        <v>106</v>
      </c>
      <c r="D213" s="11"/>
      <c r="E213" s="27"/>
      <c r="F213" s="29" t="s">
        <v>866</v>
      </c>
      <c r="G213" s="11" t="s">
        <v>1104</v>
      </c>
      <c r="H213" s="11" t="s">
        <v>192</v>
      </c>
      <c r="I213" s="11" t="s">
        <v>1081</v>
      </c>
      <c r="J213" s="11"/>
      <c r="K213" s="11"/>
      <c r="L213" s="11">
        <v>16.0</v>
      </c>
      <c r="M213" s="11" t="s">
        <v>36</v>
      </c>
      <c r="N213" s="11" t="s">
        <v>36</v>
      </c>
      <c r="O213" s="11" t="e">
        <v>#VALUE!</v>
      </c>
      <c r="P213" s="11">
        <v>206.0</v>
      </c>
      <c r="Q213" s="11">
        <v>211.0</v>
      </c>
      <c r="R213" s="11">
        <v>275.0</v>
      </c>
      <c r="S213" s="11">
        <v>150.0</v>
      </c>
      <c r="T213" s="11">
        <v>168.0</v>
      </c>
      <c r="U213" s="11">
        <v>202.0</v>
      </c>
      <c r="V213" s="11">
        <v>17.0</v>
      </c>
      <c r="W213" s="11"/>
      <c r="X213" s="11" t="e">
        <v>#VALUE!</v>
      </c>
      <c r="Y213" s="29" t="s">
        <v>866</v>
      </c>
    </row>
    <row r="214" ht="14.25" customHeight="1">
      <c r="A214" s="11"/>
      <c r="B214" s="11">
        <v>17.0</v>
      </c>
      <c r="C214" s="11" t="s">
        <v>106</v>
      </c>
      <c r="D214" s="11"/>
      <c r="E214" s="27"/>
      <c r="F214" s="29" t="e">
        <v>#N/A</v>
      </c>
      <c r="G214" s="11" t="s">
        <v>984</v>
      </c>
      <c r="H214" s="11"/>
      <c r="I214" s="11"/>
      <c r="J214" s="11" t="e">
        <v>#N/A</v>
      </c>
      <c r="K214" s="11" t="e">
        <v>#N/A</v>
      </c>
      <c r="L214" s="11">
        <v>16.0</v>
      </c>
      <c r="M214" s="11" t="s">
        <v>36</v>
      </c>
      <c r="N214" s="11" t="s">
        <v>36</v>
      </c>
      <c r="O214" s="11" t="e">
        <v>#VALUE!</v>
      </c>
      <c r="P214" s="11">
        <v>153.0</v>
      </c>
      <c r="Q214" s="11">
        <v>183.0</v>
      </c>
      <c r="R214" s="11">
        <v>236.0</v>
      </c>
      <c r="S214" s="11">
        <v>257.0</v>
      </c>
      <c r="T214" s="11">
        <v>181.0</v>
      </c>
      <c r="U214" s="11">
        <v>202.0</v>
      </c>
      <c r="V214" s="11">
        <v>17.0</v>
      </c>
      <c r="W214" s="11"/>
      <c r="X214" s="11" t="e">
        <v>#N/A</v>
      </c>
      <c r="Y214" s="29" t="e">
        <v>#N/A</v>
      </c>
    </row>
    <row r="215" ht="14.25" customHeight="1">
      <c r="A215" s="11"/>
      <c r="B215" s="11">
        <v>18.0</v>
      </c>
      <c r="C215" s="11" t="s">
        <v>106</v>
      </c>
      <c r="D215" s="11"/>
      <c r="E215" s="27"/>
      <c r="F215" s="29" t="s">
        <v>866</v>
      </c>
      <c r="G215" s="11" t="s">
        <v>282</v>
      </c>
      <c r="H215" s="11" t="s">
        <v>49</v>
      </c>
      <c r="I215" s="11" t="s">
        <v>772</v>
      </c>
      <c r="J215" s="11"/>
      <c r="K215" s="11"/>
      <c r="L215" s="11">
        <v>15.0</v>
      </c>
      <c r="M215" s="11">
        <v>179.0</v>
      </c>
      <c r="N215" s="11">
        <v>210.0</v>
      </c>
      <c r="O215" s="11">
        <v>-31.0</v>
      </c>
      <c r="P215" s="11" t="s">
        <v>36</v>
      </c>
      <c r="Q215" s="11" t="s">
        <v>36</v>
      </c>
      <c r="R215" s="11">
        <v>176.0</v>
      </c>
      <c r="S215" s="11">
        <v>200.0</v>
      </c>
      <c r="T215" s="11">
        <v>245.0</v>
      </c>
      <c r="U215" s="11">
        <v>202.0</v>
      </c>
      <c r="V215" s="11">
        <v>17.0</v>
      </c>
      <c r="W215" s="11"/>
      <c r="X215" s="11">
        <v>-23.0</v>
      </c>
      <c r="Y215" s="29" t="s">
        <v>1049</v>
      </c>
    </row>
    <row r="216" ht="14.25" customHeight="1">
      <c r="A216" s="11"/>
      <c r="B216" s="11">
        <v>19.0</v>
      </c>
      <c r="C216" s="11" t="s">
        <v>106</v>
      </c>
      <c r="D216" s="11"/>
      <c r="E216" s="27"/>
      <c r="F216" s="29" t="s">
        <v>866</v>
      </c>
      <c r="G216" s="11" t="s">
        <v>951</v>
      </c>
      <c r="H216" s="11" t="s">
        <v>85</v>
      </c>
      <c r="I216" s="11" t="s">
        <v>772</v>
      </c>
      <c r="J216" s="11" t="s">
        <v>903</v>
      </c>
      <c r="K216" s="11"/>
      <c r="L216" s="11">
        <v>14.0</v>
      </c>
      <c r="M216" s="11">
        <v>167.0</v>
      </c>
      <c r="N216" s="11">
        <v>173.0</v>
      </c>
      <c r="O216" s="11">
        <v>-6.0</v>
      </c>
      <c r="P216" s="11">
        <v>211.0</v>
      </c>
      <c r="Q216" s="11">
        <v>213.0</v>
      </c>
      <c r="R216" s="11">
        <v>163.0</v>
      </c>
      <c r="S216" s="11">
        <v>204.0</v>
      </c>
      <c r="T216" s="11">
        <v>302.0</v>
      </c>
      <c r="U216" s="11">
        <v>204.0</v>
      </c>
      <c r="V216" s="11">
        <v>18.0</v>
      </c>
      <c r="W216" s="11"/>
      <c r="X216" s="11">
        <v>-37.0</v>
      </c>
      <c r="Y216" s="29" t="s">
        <v>1043</v>
      </c>
    </row>
    <row r="217" ht="14.25" customHeight="1">
      <c r="A217" s="11"/>
      <c r="B217" s="11">
        <v>18.0</v>
      </c>
      <c r="C217" s="11" t="s">
        <v>106</v>
      </c>
      <c r="D217" s="11"/>
      <c r="E217" s="27"/>
      <c r="F217" s="29" t="s">
        <v>866</v>
      </c>
      <c r="G217" s="11" t="s">
        <v>692</v>
      </c>
      <c r="H217" s="11" t="s">
        <v>148</v>
      </c>
      <c r="I217" s="11" t="s">
        <v>781</v>
      </c>
      <c r="J217" s="11"/>
      <c r="K217" s="11"/>
      <c r="L217" s="11">
        <v>19.0</v>
      </c>
      <c r="M217" s="11">
        <v>219.0</v>
      </c>
      <c r="N217" s="11">
        <v>184.0</v>
      </c>
      <c r="O217" s="11">
        <v>35.0</v>
      </c>
      <c r="P217" s="11" t="s">
        <v>36</v>
      </c>
      <c r="Q217" s="11" t="s">
        <v>36</v>
      </c>
      <c r="R217" s="11">
        <v>160.0</v>
      </c>
      <c r="S217" s="11">
        <v>197.0</v>
      </c>
      <c r="T217" s="11">
        <v>271.0</v>
      </c>
      <c r="U217" s="11">
        <v>206.0</v>
      </c>
      <c r="V217" s="11">
        <v>18.0</v>
      </c>
      <c r="W217" s="11"/>
      <c r="X217" s="11">
        <v>13.0</v>
      </c>
      <c r="Y217" s="29" t="s">
        <v>1094</v>
      </c>
    </row>
    <row r="218" ht="14.25" customHeight="1">
      <c r="A218" s="11"/>
      <c r="B218" s="11">
        <v>18.0</v>
      </c>
      <c r="C218" s="11" t="s">
        <v>106</v>
      </c>
      <c r="D218" s="11"/>
      <c r="E218" s="27"/>
      <c r="F218" s="29" t="s">
        <v>866</v>
      </c>
      <c r="G218" s="11" t="s">
        <v>442</v>
      </c>
      <c r="H218" s="11" t="s">
        <v>52</v>
      </c>
      <c r="I218" s="11" t="s">
        <v>770</v>
      </c>
      <c r="J218" s="11" t="s">
        <v>878</v>
      </c>
      <c r="K218" s="11"/>
      <c r="L218" s="11">
        <v>19.0</v>
      </c>
      <c r="M218" s="11">
        <v>222.0</v>
      </c>
      <c r="N218" s="11">
        <v>181.0</v>
      </c>
      <c r="O218" s="11">
        <v>41.0</v>
      </c>
      <c r="P218" s="11" t="s">
        <v>36</v>
      </c>
      <c r="Q218" s="11">
        <v>204.0</v>
      </c>
      <c r="R218" s="11">
        <v>213.0</v>
      </c>
      <c r="S218" s="11">
        <v>226.0</v>
      </c>
      <c r="T218" s="11">
        <v>201.0</v>
      </c>
      <c r="U218" s="11">
        <v>207.0</v>
      </c>
      <c r="V218" s="11">
        <v>18.0</v>
      </c>
      <c r="W218" s="11"/>
      <c r="X218" s="11">
        <v>15.0</v>
      </c>
      <c r="Y218" s="29" t="s">
        <v>866</v>
      </c>
    </row>
    <row r="219" ht="14.25" customHeight="1">
      <c r="A219" s="11"/>
      <c r="B219" s="11">
        <v>18.0</v>
      </c>
      <c r="C219" s="11" t="s">
        <v>106</v>
      </c>
      <c r="D219" s="11"/>
      <c r="E219" s="27"/>
      <c r="F219" s="29" t="s">
        <v>106</v>
      </c>
      <c r="G219" s="11" t="s">
        <v>1099</v>
      </c>
      <c r="H219" s="11" t="s">
        <v>98</v>
      </c>
      <c r="I219" s="11" t="s">
        <v>775</v>
      </c>
      <c r="J219" s="11"/>
      <c r="K219" s="11"/>
      <c r="L219" s="11">
        <v>18.0</v>
      </c>
      <c r="M219" s="11">
        <v>211.0</v>
      </c>
      <c r="N219" s="11">
        <v>157.0</v>
      </c>
      <c r="O219" s="11">
        <v>54.0</v>
      </c>
      <c r="P219" s="11" t="s">
        <v>36</v>
      </c>
      <c r="Q219" s="11" t="s">
        <v>36</v>
      </c>
      <c r="R219" s="11">
        <v>174.0</v>
      </c>
      <c r="S219" s="11">
        <v>186.0</v>
      </c>
      <c r="T219" s="11">
        <v>264.0</v>
      </c>
      <c r="U219" s="11">
        <v>198.0</v>
      </c>
      <c r="V219" s="11">
        <v>17.0</v>
      </c>
      <c r="W219" s="11"/>
      <c r="X219" s="11">
        <v>13.0</v>
      </c>
      <c r="Y219" s="29" t="s">
        <v>1101</v>
      </c>
    </row>
    <row r="220" ht="14.25" customHeight="1">
      <c r="A220" s="11"/>
      <c r="B220" s="11">
        <v>22.0</v>
      </c>
      <c r="C220" s="11" t="s">
        <v>106</v>
      </c>
      <c r="D220" s="11"/>
      <c r="E220" s="27"/>
      <c r="F220" s="29" t="s">
        <v>866</v>
      </c>
      <c r="G220" s="11" t="s">
        <v>820</v>
      </c>
      <c r="H220" s="11" t="s">
        <v>231</v>
      </c>
      <c r="I220" s="11" t="s">
        <v>775</v>
      </c>
      <c r="J220" s="11"/>
      <c r="K220" s="11"/>
      <c r="L220" s="11">
        <v>18.0</v>
      </c>
      <c r="M220" s="11">
        <v>209.0</v>
      </c>
      <c r="N220" s="11">
        <v>180.0</v>
      </c>
      <c r="O220" s="11">
        <v>29.0</v>
      </c>
      <c r="P220" s="11" t="s">
        <v>36</v>
      </c>
      <c r="Q220" s="11" t="s">
        <v>36</v>
      </c>
      <c r="R220" s="11">
        <v>211.0</v>
      </c>
      <c r="S220" s="11">
        <v>221.0</v>
      </c>
      <c r="T220" s="11">
        <v>330.0</v>
      </c>
      <c r="U220" s="11">
        <v>230.0</v>
      </c>
      <c r="V220" s="11">
        <v>20.0</v>
      </c>
      <c r="W220" s="11"/>
      <c r="X220" s="11">
        <v>-21.0</v>
      </c>
      <c r="Y220" s="29" t="s">
        <v>866</v>
      </c>
    </row>
    <row r="221" ht="14.25" customHeight="1">
      <c r="A221" s="11"/>
      <c r="B221" s="11">
        <v>18.0</v>
      </c>
      <c r="C221" s="11" t="s">
        <v>106</v>
      </c>
      <c r="D221" s="11"/>
      <c r="E221" s="27"/>
      <c r="F221" s="29" t="s">
        <v>866</v>
      </c>
      <c r="G221" s="11" t="s">
        <v>869</v>
      </c>
      <c r="H221" s="11" t="s">
        <v>109</v>
      </c>
      <c r="I221" s="11" t="s">
        <v>775</v>
      </c>
      <c r="J221" s="11"/>
      <c r="K221" s="11"/>
      <c r="L221" s="11">
        <v>21.0</v>
      </c>
      <c r="M221" s="11">
        <v>243.0</v>
      </c>
      <c r="N221" s="11">
        <v>206.0</v>
      </c>
      <c r="O221" s="11">
        <v>37.0</v>
      </c>
      <c r="P221" s="11" t="s">
        <v>36</v>
      </c>
      <c r="Q221" s="11" t="s">
        <v>36</v>
      </c>
      <c r="R221" s="11">
        <v>229.0</v>
      </c>
      <c r="S221" s="11">
        <v>205.0</v>
      </c>
      <c r="T221" s="11">
        <v>191.0</v>
      </c>
      <c r="U221" s="11">
        <v>214.0</v>
      </c>
      <c r="V221" s="11">
        <v>18.0</v>
      </c>
      <c r="W221" s="11"/>
      <c r="X221" s="11">
        <v>29.0</v>
      </c>
      <c r="Y221" s="29" t="s">
        <v>866</v>
      </c>
    </row>
    <row r="222" ht="14.25" customHeight="1">
      <c r="A222" s="11"/>
      <c r="B222" s="11">
        <v>17.0</v>
      </c>
      <c r="C222" s="11" t="s">
        <v>106</v>
      </c>
      <c r="D222" s="11"/>
      <c r="E222" s="27"/>
      <c r="F222" s="29" t="s">
        <v>866</v>
      </c>
      <c r="G222" s="11" t="s">
        <v>954</v>
      </c>
      <c r="H222" s="11" t="s">
        <v>40</v>
      </c>
      <c r="I222" s="11" t="s">
        <v>1085</v>
      </c>
      <c r="J222" s="11"/>
      <c r="K222" s="11"/>
      <c r="L222" s="11">
        <v>21.0</v>
      </c>
      <c r="M222" s="11">
        <v>246.0</v>
      </c>
      <c r="N222" s="11" t="s">
        <v>36</v>
      </c>
      <c r="O222" s="11" t="e">
        <v>#VALUE!</v>
      </c>
      <c r="P222" s="11">
        <v>193.0</v>
      </c>
      <c r="Q222" s="11">
        <v>196.0</v>
      </c>
      <c r="R222" s="11">
        <v>269.0</v>
      </c>
      <c r="S222" s="11">
        <v>159.0</v>
      </c>
      <c r="T222" s="11">
        <v>171.0</v>
      </c>
      <c r="U222" s="11">
        <v>205.0</v>
      </c>
      <c r="V222" s="11">
        <v>18.0</v>
      </c>
      <c r="W222" s="11"/>
      <c r="X222" s="11">
        <v>41.0</v>
      </c>
      <c r="Y222" s="29" t="s">
        <v>866</v>
      </c>
    </row>
    <row r="223" ht="14.25" customHeight="1">
      <c r="A223" s="11"/>
      <c r="B223" s="11">
        <v>17.0</v>
      </c>
      <c r="C223" s="11" t="s">
        <v>106</v>
      </c>
      <c r="D223" s="11"/>
      <c r="E223" s="27"/>
      <c r="F223" s="29" t="s">
        <v>866</v>
      </c>
      <c r="G223" s="11" t="s">
        <v>1105</v>
      </c>
      <c r="H223" s="11" t="s">
        <v>125</v>
      </c>
      <c r="I223" s="11" t="s">
        <v>1081</v>
      </c>
      <c r="J223" s="11"/>
      <c r="K223" s="11"/>
      <c r="L223" s="11">
        <v>16.0</v>
      </c>
      <c r="M223" s="11" t="s">
        <v>36</v>
      </c>
      <c r="N223" s="11" t="s">
        <v>36</v>
      </c>
      <c r="O223" s="11" t="e">
        <v>#VALUE!</v>
      </c>
      <c r="P223" s="11">
        <v>217.0</v>
      </c>
      <c r="Q223" s="11">
        <v>208.0</v>
      </c>
      <c r="R223" s="11">
        <v>233.0</v>
      </c>
      <c r="S223" s="11" t="s">
        <v>36</v>
      </c>
      <c r="T223" s="11">
        <v>157.0</v>
      </c>
      <c r="U223" s="11">
        <v>203.0</v>
      </c>
      <c r="V223" s="11">
        <v>17.0</v>
      </c>
      <c r="W223" s="11"/>
      <c r="X223" s="11" t="e">
        <v>#VALUE!</v>
      </c>
      <c r="Y223" s="29" t="s">
        <v>866</v>
      </c>
    </row>
    <row r="224" ht="14.25" customHeight="1">
      <c r="A224" s="11"/>
      <c r="B224" s="11">
        <v>20.0</v>
      </c>
      <c r="C224" s="11" t="s">
        <v>106</v>
      </c>
      <c r="D224" s="11"/>
      <c r="E224" s="27"/>
      <c r="F224" s="29" t="s">
        <v>106</v>
      </c>
      <c r="G224" s="11" t="s">
        <v>378</v>
      </c>
      <c r="H224" s="11" t="s">
        <v>119</v>
      </c>
      <c r="I224" s="11" t="s">
        <v>772</v>
      </c>
      <c r="J224" s="11" t="s">
        <v>1041</v>
      </c>
      <c r="K224" s="11">
        <v>57.0</v>
      </c>
      <c r="L224" s="11">
        <v>16.0</v>
      </c>
      <c r="M224" s="11">
        <v>182.0</v>
      </c>
      <c r="N224" s="11">
        <v>175.0</v>
      </c>
      <c r="O224" s="11">
        <v>7.0</v>
      </c>
      <c r="P224" s="11" t="s">
        <v>36</v>
      </c>
      <c r="Q224" s="11" t="s">
        <v>36</v>
      </c>
      <c r="R224" s="11">
        <v>156.0</v>
      </c>
      <c r="S224" s="11">
        <v>194.0</v>
      </c>
      <c r="T224" s="11">
        <v>336.0</v>
      </c>
      <c r="U224" s="11">
        <v>208.0</v>
      </c>
      <c r="V224" s="11">
        <v>18.0</v>
      </c>
      <c r="W224" s="11"/>
      <c r="X224" s="11">
        <v>-26.0</v>
      </c>
      <c r="Y224" s="29" t="s">
        <v>1109</v>
      </c>
    </row>
    <row r="225" ht="14.25" customHeight="1">
      <c r="A225" s="11"/>
      <c r="B225" s="11">
        <v>18.0</v>
      </c>
      <c r="C225" s="11" t="s">
        <v>106</v>
      </c>
      <c r="D225" s="11"/>
      <c r="E225" s="27"/>
      <c r="F225" s="29" t="s">
        <v>106</v>
      </c>
      <c r="G225" s="11" t="s">
        <v>545</v>
      </c>
      <c r="H225" s="11" t="s">
        <v>35</v>
      </c>
      <c r="I225" s="11" t="s">
        <v>775</v>
      </c>
      <c r="J225" s="11" t="s">
        <v>884</v>
      </c>
      <c r="K225" s="11">
        <v>63.0</v>
      </c>
      <c r="L225" s="11">
        <v>19.0</v>
      </c>
      <c r="M225" s="11">
        <v>216.0</v>
      </c>
      <c r="N225" s="11">
        <v>163.0</v>
      </c>
      <c r="O225" s="11">
        <v>53.0</v>
      </c>
      <c r="P225" s="11" t="s">
        <v>36</v>
      </c>
      <c r="Q225" s="11">
        <v>214.0</v>
      </c>
      <c r="R225" s="11">
        <v>190.0</v>
      </c>
      <c r="S225" s="11">
        <v>216.0</v>
      </c>
      <c r="T225" s="11">
        <v>221.0</v>
      </c>
      <c r="U225" s="11">
        <v>203.0</v>
      </c>
      <c r="V225" s="11">
        <v>17.0</v>
      </c>
      <c r="W225" s="11"/>
      <c r="X225" s="11">
        <v>13.0</v>
      </c>
      <c r="Y225" s="29" t="s">
        <v>1102</v>
      </c>
    </row>
    <row r="226" ht="14.25" customHeight="1">
      <c r="A226" s="11"/>
      <c r="B226" s="11">
        <v>19.0</v>
      </c>
      <c r="C226" s="11" t="s">
        <v>106</v>
      </c>
      <c r="D226" s="11"/>
      <c r="E226" s="27"/>
      <c r="F226" s="29" t="s">
        <v>866</v>
      </c>
      <c r="G226" s="11" t="s">
        <v>917</v>
      </c>
      <c r="H226" s="11" t="s">
        <v>171</v>
      </c>
      <c r="I226" s="11" t="s">
        <v>772</v>
      </c>
      <c r="J226" s="11"/>
      <c r="K226" s="11"/>
      <c r="L226" s="11">
        <v>15.0</v>
      </c>
      <c r="M226" s="11">
        <v>171.0</v>
      </c>
      <c r="N226" s="11">
        <v>219.0</v>
      </c>
      <c r="O226" s="11">
        <v>-48.0</v>
      </c>
      <c r="P226" s="11">
        <v>213.0</v>
      </c>
      <c r="Q226" s="11" t="s">
        <v>36</v>
      </c>
      <c r="R226" s="11">
        <v>186.0</v>
      </c>
      <c r="S226" s="11">
        <v>203.0</v>
      </c>
      <c r="T226" s="11">
        <v>304.0</v>
      </c>
      <c r="U226" s="11">
        <v>216.0</v>
      </c>
      <c r="V226" s="11">
        <v>19.0</v>
      </c>
      <c r="W226" s="11"/>
      <c r="X226" s="11">
        <v>-45.0</v>
      </c>
      <c r="Y226" s="29" t="s">
        <v>866</v>
      </c>
    </row>
    <row r="227" ht="14.25" customHeight="1">
      <c r="A227" s="11"/>
      <c r="B227" s="11">
        <v>20.0</v>
      </c>
      <c r="C227" s="11" t="s">
        <v>106</v>
      </c>
      <c r="D227" s="11"/>
      <c r="E227" s="27"/>
      <c r="F227" s="29" t="s">
        <v>866</v>
      </c>
      <c r="G227" s="11" t="s">
        <v>280</v>
      </c>
      <c r="H227" s="11" t="s">
        <v>105</v>
      </c>
      <c r="I227" s="11" t="s">
        <v>775</v>
      </c>
      <c r="J227" s="11"/>
      <c r="K227" s="11"/>
      <c r="L227" s="11">
        <v>20.0</v>
      </c>
      <c r="M227" s="11">
        <v>236.0</v>
      </c>
      <c r="N227" s="11">
        <v>191.0</v>
      </c>
      <c r="O227" s="11">
        <v>45.0</v>
      </c>
      <c r="P227" s="11">
        <v>197.0</v>
      </c>
      <c r="Q227" s="11" t="s">
        <v>36</v>
      </c>
      <c r="R227" s="11">
        <v>226.0</v>
      </c>
      <c r="S227" s="11">
        <v>212.0</v>
      </c>
      <c r="T227" s="11">
        <v>278.0</v>
      </c>
      <c r="U227" s="11">
        <v>223.0</v>
      </c>
      <c r="V227" s="11">
        <v>19.0</v>
      </c>
      <c r="W227" s="11"/>
      <c r="X227" s="11">
        <v>13.0</v>
      </c>
      <c r="Y227" s="29" t="s">
        <v>866</v>
      </c>
    </row>
    <row r="228" ht="14.25" customHeight="1">
      <c r="A228" s="11"/>
      <c r="B228" s="11">
        <v>17.0</v>
      </c>
      <c r="C228" s="11" t="s">
        <v>106</v>
      </c>
      <c r="D228" s="11"/>
      <c r="E228" s="27"/>
      <c r="F228" s="29" t="s">
        <v>866</v>
      </c>
      <c r="G228" s="11" t="s">
        <v>564</v>
      </c>
      <c r="H228" s="11" t="s">
        <v>154</v>
      </c>
      <c r="I228" s="11" t="s">
        <v>1081</v>
      </c>
      <c r="J228" s="11"/>
      <c r="K228" s="11"/>
      <c r="L228" s="11">
        <v>19.0</v>
      </c>
      <c r="M228" s="11">
        <v>220.0</v>
      </c>
      <c r="N228" s="11" t="s">
        <v>36</v>
      </c>
      <c r="O228" s="11" t="e">
        <v>#VALUE!</v>
      </c>
      <c r="P228" s="11">
        <v>136.0</v>
      </c>
      <c r="Q228" s="11">
        <v>171.0</v>
      </c>
      <c r="R228" s="11">
        <v>258.0</v>
      </c>
      <c r="S228" s="11">
        <v>243.0</v>
      </c>
      <c r="T228" s="11">
        <v>170.0</v>
      </c>
      <c r="U228" s="11">
        <v>199.0</v>
      </c>
      <c r="V228" s="11">
        <v>17.0</v>
      </c>
      <c r="W228" s="11"/>
      <c r="X228" s="11">
        <v>21.0</v>
      </c>
      <c r="Y228" s="29" t="s">
        <v>866</v>
      </c>
    </row>
    <row r="229" ht="14.25" customHeight="1">
      <c r="A229" s="11"/>
      <c r="B229" s="11">
        <v>19.0</v>
      </c>
      <c r="C229" s="11" t="s">
        <v>106</v>
      </c>
      <c r="D229" s="11"/>
      <c r="E229" s="27"/>
      <c r="F229" s="29" t="s">
        <v>866</v>
      </c>
      <c r="G229" s="11" t="s">
        <v>532</v>
      </c>
      <c r="H229" s="11" t="s">
        <v>105</v>
      </c>
      <c r="I229" s="11" t="s">
        <v>1081</v>
      </c>
      <c r="J229" s="11"/>
      <c r="K229" s="11"/>
      <c r="L229" s="11">
        <v>16.0</v>
      </c>
      <c r="M229" s="11">
        <v>187.0</v>
      </c>
      <c r="N229" s="11" t="s">
        <v>36</v>
      </c>
      <c r="O229" s="11" t="e">
        <v>#VALUE!</v>
      </c>
      <c r="P229" s="11">
        <v>174.0</v>
      </c>
      <c r="Q229" s="11">
        <v>244.0</v>
      </c>
      <c r="R229" s="11">
        <v>273.0</v>
      </c>
      <c r="S229" s="11">
        <v>246.0</v>
      </c>
      <c r="T229" s="11">
        <v>158.0</v>
      </c>
      <c r="U229" s="11">
        <v>213.0</v>
      </c>
      <c r="V229" s="11">
        <v>18.0</v>
      </c>
      <c r="W229" s="11"/>
      <c r="X229" s="11">
        <v>-26.0</v>
      </c>
      <c r="Y229" s="29" t="s">
        <v>866</v>
      </c>
    </row>
    <row r="230" ht="14.25" customHeight="1">
      <c r="A230" s="11"/>
      <c r="B230" s="11">
        <v>19.0</v>
      </c>
      <c r="C230" s="11" t="s">
        <v>106</v>
      </c>
      <c r="D230" s="11"/>
      <c r="E230" s="27"/>
      <c r="F230" s="29" t="s">
        <v>866</v>
      </c>
      <c r="G230" s="11" t="s">
        <v>649</v>
      </c>
      <c r="H230" s="11" t="s">
        <v>98</v>
      </c>
      <c r="I230" s="11" t="s">
        <v>775</v>
      </c>
      <c r="J230" s="11"/>
      <c r="K230" s="11"/>
      <c r="L230" s="11">
        <v>16.0</v>
      </c>
      <c r="M230" s="11" t="s">
        <v>36</v>
      </c>
      <c r="N230" s="11">
        <v>235.0</v>
      </c>
      <c r="O230" s="11" t="e">
        <v>#VALUE!</v>
      </c>
      <c r="P230" s="11" t="s">
        <v>36</v>
      </c>
      <c r="Q230" s="11" t="s">
        <v>36</v>
      </c>
      <c r="R230" s="11">
        <v>238.0</v>
      </c>
      <c r="S230" s="11">
        <v>176.0</v>
      </c>
      <c r="T230" s="11">
        <v>239.0</v>
      </c>
      <c r="U230" s="11">
        <v>222.0</v>
      </c>
      <c r="V230" s="11">
        <v>19.0</v>
      </c>
      <c r="W230" s="11"/>
      <c r="X230" s="11" t="e">
        <v>#VALUE!</v>
      </c>
      <c r="Y230" s="29" t="s">
        <v>1103</v>
      </c>
    </row>
    <row r="231" ht="14.25" customHeight="1">
      <c r="A231" s="11"/>
      <c r="B231" s="11">
        <v>19.0</v>
      </c>
      <c r="C231" s="11" t="s">
        <v>106</v>
      </c>
      <c r="D231" s="11"/>
      <c r="E231" s="27"/>
      <c r="F231" s="29" t="s">
        <v>866</v>
      </c>
      <c r="G231" s="11" t="s">
        <v>645</v>
      </c>
      <c r="H231" s="11" t="s">
        <v>45</v>
      </c>
      <c r="I231" s="11" t="s">
        <v>781</v>
      </c>
      <c r="J231" s="11"/>
      <c r="K231" s="11"/>
      <c r="L231" s="11">
        <v>20.0</v>
      </c>
      <c r="M231" s="11">
        <v>233.0</v>
      </c>
      <c r="N231" s="11">
        <v>194.0</v>
      </c>
      <c r="O231" s="11">
        <v>39.0</v>
      </c>
      <c r="P231" s="11" t="s">
        <v>36</v>
      </c>
      <c r="Q231" s="11" t="s">
        <v>36</v>
      </c>
      <c r="R231" s="11">
        <v>180.0</v>
      </c>
      <c r="S231" s="11">
        <v>209.0</v>
      </c>
      <c r="T231" s="11">
        <v>265.0</v>
      </c>
      <c r="U231" s="11">
        <v>216.0</v>
      </c>
      <c r="V231" s="11">
        <v>19.0</v>
      </c>
      <c r="W231" s="11"/>
      <c r="X231" s="11">
        <v>17.0</v>
      </c>
      <c r="Y231" s="29" t="s">
        <v>866</v>
      </c>
    </row>
    <row r="232" ht="14.25" customHeight="1">
      <c r="A232" s="11"/>
      <c r="B232" s="11">
        <v>18.0</v>
      </c>
      <c r="C232" s="11" t="s">
        <v>106</v>
      </c>
      <c r="D232" s="11"/>
      <c r="E232" s="27"/>
      <c r="F232" s="29" t="s">
        <v>866</v>
      </c>
      <c r="G232" s="11" t="s">
        <v>688</v>
      </c>
      <c r="H232" s="11" t="s">
        <v>128</v>
      </c>
      <c r="I232" s="11" t="s">
        <v>1081</v>
      </c>
      <c r="J232" s="11"/>
      <c r="K232" s="11"/>
      <c r="L232" s="11">
        <v>16.0</v>
      </c>
      <c r="M232" s="11" t="s">
        <v>36</v>
      </c>
      <c r="N232" s="11" t="s">
        <v>36</v>
      </c>
      <c r="O232" s="11" t="e">
        <v>#VALUE!</v>
      </c>
      <c r="P232" s="11">
        <v>169.0</v>
      </c>
      <c r="Q232" s="11">
        <v>199.0</v>
      </c>
      <c r="R232" s="11">
        <v>281.0</v>
      </c>
      <c r="S232" s="11">
        <v>239.0</v>
      </c>
      <c r="T232" s="11">
        <v>187.0</v>
      </c>
      <c r="U232" s="11">
        <v>215.0</v>
      </c>
      <c r="V232" s="11">
        <v>18.0</v>
      </c>
      <c r="W232" s="11"/>
      <c r="X232" s="11" t="e">
        <v>#VALUE!</v>
      </c>
      <c r="Y232" s="29" t="s">
        <v>866</v>
      </c>
    </row>
    <row r="233" ht="14.25" customHeight="1">
      <c r="A233" s="11"/>
      <c r="B233" s="11">
        <v>18.0</v>
      </c>
      <c r="C233" s="11" t="s">
        <v>106</v>
      </c>
      <c r="D233" s="11"/>
      <c r="E233" s="27"/>
      <c r="F233" s="29" t="s">
        <v>866</v>
      </c>
      <c r="G233" s="11" t="s">
        <v>606</v>
      </c>
      <c r="H233" s="11" t="s">
        <v>109</v>
      </c>
      <c r="I233" s="11" t="s">
        <v>772</v>
      </c>
      <c r="J233" s="11"/>
      <c r="K233" s="11"/>
      <c r="L233" s="11">
        <v>16.0</v>
      </c>
      <c r="M233" s="11" t="s">
        <v>36</v>
      </c>
      <c r="N233" s="11">
        <v>221.0</v>
      </c>
      <c r="O233" s="11" t="e">
        <v>#VALUE!</v>
      </c>
      <c r="P233" s="11" t="s">
        <v>36</v>
      </c>
      <c r="Q233" s="11" t="s">
        <v>36</v>
      </c>
      <c r="R233" s="11">
        <v>193.0</v>
      </c>
      <c r="S233" s="11">
        <v>213.0</v>
      </c>
      <c r="T233" s="11">
        <v>232.0</v>
      </c>
      <c r="U233" s="11">
        <v>214.0</v>
      </c>
      <c r="V233" s="11">
        <v>18.0</v>
      </c>
      <c r="W233" s="11"/>
      <c r="X233" s="11" t="e">
        <v>#VALUE!</v>
      </c>
      <c r="Y233" s="29" t="s">
        <v>866</v>
      </c>
    </row>
    <row r="234" ht="14.25" customHeight="1">
      <c r="A234" s="11"/>
      <c r="B234" s="11">
        <v>19.0</v>
      </c>
      <c r="C234" s="11" t="s">
        <v>106</v>
      </c>
      <c r="D234" s="11"/>
      <c r="E234" s="27"/>
      <c r="F234" s="29" t="s">
        <v>866</v>
      </c>
      <c r="G234" s="11" t="s">
        <v>796</v>
      </c>
      <c r="H234" s="11" t="s">
        <v>98</v>
      </c>
      <c r="I234" s="11" t="s">
        <v>775</v>
      </c>
      <c r="J234" s="11"/>
      <c r="K234" s="11"/>
      <c r="L234" s="11">
        <v>21.0</v>
      </c>
      <c r="M234" s="11">
        <v>250.0</v>
      </c>
      <c r="N234" s="11">
        <v>192.0</v>
      </c>
      <c r="O234" s="11">
        <v>58.0</v>
      </c>
      <c r="P234" s="11">
        <v>143.0</v>
      </c>
      <c r="Q234" s="11">
        <v>189.0</v>
      </c>
      <c r="R234" s="11">
        <v>227.0</v>
      </c>
      <c r="S234" s="11">
        <v>250.0</v>
      </c>
      <c r="T234" s="11">
        <v>290.0</v>
      </c>
      <c r="U234" s="11">
        <v>220.0</v>
      </c>
      <c r="V234" s="11">
        <v>19.0</v>
      </c>
      <c r="W234" s="11"/>
      <c r="X234" s="11">
        <v>30.0</v>
      </c>
      <c r="Y234" s="29" t="s">
        <v>866</v>
      </c>
    </row>
    <row r="235" ht="14.25" customHeight="1">
      <c r="A235" s="11"/>
      <c r="B235" s="11">
        <v>19.0</v>
      </c>
      <c r="C235" s="11" t="s">
        <v>106</v>
      </c>
      <c r="D235" s="11"/>
      <c r="E235" s="27"/>
      <c r="F235" s="29" t="s">
        <v>106</v>
      </c>
      <c r="G235" s="11" t="s">
        <v>387</v>
      </c>
      <c r="H235" s="11" t="s">
        <v>109</v>
      </c>
      <c r="I235" s="11" t="s">
        <v>772</v>
      </c>
      <c r="J235" s="11" t="s">
        <v>885</v>
      </c>
      <c r="K235" s="11">
        <v>52.0</v>
      </c>
      <c r="L235" s="11">
        <v>18.0</v>
      </c>
      <c r="M235" s="11">
        <v>205.0</v>
      </c>
      <c r="N235" s="11">
        <v>183.0</v>
      </c>
      <c r="O235" s="11">
        <v>22.0</v>
      </c>
      <c r="P235" s="11" t="s">
        <v>36</v>
      </c>
      <c r="Q235" s="11" t="s">
        <v>36</v>
      </c>
      <c r="R235" s="11">
        <v>166.0</v>
      </c>
      <c r="S235" s="11">
        <v>223.0</v>
      </c>
      <c r="T235" s="11">
        <v>283.0</v>
      </c>
      <c r="U235" s="11">
        <v>212.0</v>
      </c>
      <c r="V235" s="11">
        <v>18.0</v>
      </c>
      <c r="W235" s="11"/>
      <c r="X235" s="11">
        <v>-7.0</v>
      </c>
      <c r="Y235" s="29" t="s">
        <v>1097</v>
      </c>
    </row>
    <row r="236" ht="14.25" customHeight="1">
      <c r="A236" s="11"/>
      <c r="B236" s="11">
        <v>19.0</v>
      </c>
      <c r="C236" s="11" t="s">
        <v>106</v>
      </c>
      <c r="D236" s="11"/>
      <c r="E236" s="27"/>
      <c r="F236" s="29" t="s">
        <v>866</v>
      </c>
      <c r="G236" s="11" t="s">
        <v>886</v>
      </c>
      <c r="H236" s="11" t="s">
        <v>148</v>
      </c>
      <c r="I236" s="11" t="s">
        <v>1081</v>
      </c>
      <c r="J236" s="11"/>
      <c r="K236" s="11"/>
      <c r="L236" s="11">
        <v>17.0</v>
      </c>
      <c r="M236" s="11">
        <v>194.0</v>
      </c>
      <c r="N236" s="11" t="s">
        <v>36</v>
      </c>
      <c r="O236" s="11" t="e">
        <v>#VALUE!</v>
      </c>
      <c r="P236" s="11">
        <v>192.0</v>
      </c>
      <c r="Q236" s="11">
        <v>206.0</v>
      </c>
      <c r="R236" s="11">
        <v>272.0</v>
      </c>
      <c r="S236" s="11">
        <v>236.0</v>
      </c>
      <c r="T236" s="11">
        <v>213.0</v>
      </c>
      <c r="U236" s="11">
        <v>218.0</v>
      </c>
      <c r="V236" s="11">
        <v>19.0</v>
      </c>
      <c r="W236" s="11"/>
      <c r="X236" s="11">
        <v>-24.0</v>
      </c>
      <c r="Y236" s="29" t="s">
        <v>866</v>
      </c>
    </row>
    <row r="237" ht="14.25" customHeight="1">
      <c r="A237" s="11"/>
      <c r="B237" s="11">
        <v>19.0</v>
      </c>
      <c r="C237" s="11" t="s">
        <v>106</v>
      </c>
      <c r="D237" s="11"/>
      <c r="E237" s="27"/>
      <c r="F237" s="29" t="s">
        <v>866</v>
      </c>
      <c r="G237" s="11" t="s">
        <v>664</v>
      </c>
      <c r="H237" s="11" t="s">
        <v>195</v>
      </c>
      <c r="I237" s="11" t="s">
        <v>1081</v>
      </c>
      <c r="J237" s="11"/>
      <c r="K237" s="11"/>
      <c r="L237" s="11">
        <v>19.0</v>
      </c>
      <c r="M237" s="11">
        <v>217.0</v>
      </c>
      <c r="N237" s="11" t="s">
        <v>36</v>
      </c>
      <c r="O237" s="11" t="e">
        <v>#VALUE!</v>
      </c>
      <c r="P237" s="11" t="s">
        <v>36</v>
      </c>
      <c r="Q237" s="11">
        <v>215.0</v>
      </c>
      <c r="R237" s="11">
        <v>318.0</v>
      </c>
      <c r="S237" s="11" t="s">
        <v>36</v>
      </c>
      <c r="T237" s="11">
        <v>125.0</v>
      </c>
      <c r="U237" s="11">
        <v>218.0</v>
      </c>
      <c r="V237" s="11">
        <v>19.0</v>
      </c>
      <c r="W237" s="11"/>
      <c r="X237" s="11">
        <v>-1.0</v>
      </c>
      <c r="Y237" s="29" t="s">
        <v>866</v>
      </c>
    </row>
    <row r="238" ht="14.25" customHeight="1">
      <c r="A238" s="11"/>
      <c r="B238" s="11">
        <v>18.0</v>
      </c>
      <c r="C238" s="11" t="s">
        <v>106</v>
      </c>
      <c r="D238" s="11"/>
      <c r="E238" s="27"/>
      <c r="F238" s="29" t="s">
        <v>866</v>
      </c>
      <c r="G238" s="11" t="s">
        <v>504</v>
      </c>
      <c r="H238" s="11" t="s">
        <v>116</v>
      </c>
      <c r="I238" s="11" t="s">
        <v>1081</v>
      </c>
      <c r="J238" s="11"/>
      <c r="K238" s="11"/>
      <c r="L238" s="11">
        <v>21.0</v>
      </c>
      <c r="M238" s="11">
        <v>244.0</v>
      </c>
      <c r="N238" s="11" t="s">
        <v>36</v>
      </c>
      <c r="O238" s="11" t="e">
        <v>#VALUE!</v>
      </c>
      <c r="P238" s="11" t="s">
        <v>36</v>
      </c>
      <c r="Q238" s="11">
        <v>152.0</v>
      </c>
      <c r="R238" s="11">
        <v>265.0</v>
      </c>
      <c r="S238" s="11">
        <v>240.0</v>
      </c>
      <c r="T238" s="11">
        <v>190.0</v>
      </c>
      <c r="U238" s="11">
        <v>218.0</v>
      </c>
      <c r="V238" s="11">
        <v>19.0</v>
      </c>
      <c r="W238" s="11"/>
      <c r="X238" s="11">
        <v>26.0</v>
      </c>
      <c r="Y238" s="29" t="s">
        <v>866</v>
      </c>
    </row>
    <row r="239" ht="14.25" customHeight="1">
      <c r="A239" s="11"/>
      <c r="B239" s="11">
        <v>18.0</v>
      </c>
      <c r="C239" s="11" t="s">
        <v>106</v>
      </c>
      <c r="D239" s="11"/>
      <c r="E239" s="27"/>
      <c r="F239" s="29" t="s">
        <v>866</v>
      </c>
      <c r="G239" s="11" t="s">
        <v>1048</v>
      </c>
      <c r="H239" s="11" t="s">
        <v>102</v>
      </c>
      <c r="I239" s="11" t="s">
        <v>772</v>
      </c>
      <c r="J239" s="11"/>
      <c r="K239" s="11"/>
      <c r="L239" s="11">
        <v>20.0</v>
      </c>
      <c r="M239" s="11">
        <v>232.0</v>
      </c>
      <c r="N239" s="11">
        <v>212.0</v>
      </c>
      <c r="O239" s="11">
        <v>20.0</v>
      </c>
      <c r="P239" s="11" t="s">
        <v>36</v>
      </c>
      <c r="Q239" s="11" t="s">
        <v>36</v>
      </c>
      <c r="R239" s="11">
        <v>194.0</v>
      </c>
      <c r="S239" s="11">
        <v>234.0</v>
      </c>
      <c r="T239" s="11" t="s">
        <v>36</v>
      </c>
      <c r="U239" s="11">
        <v>218.0</v>
      </c>
      <c r="V239" s="11">
        <v>19.0</v>
      </c>
      <c r="W239" s="11"/>
      <c r="X239" s="11">
        <v>14.0</v>
      </c>
      <c r="Y239" s="29" t="s">
        <v>866</v>
      </c>
    </row>
    <row r="240" ht="14.25" customHeight="1">
      <c r="A240" s="11"/>
      <c r="B240" s="11">
        <v>20.0</v>
      </c>
      <c r="C240" s="11" t="s">
        <v>106</v>
      </c>
      <c r="D240" s="11"/>
      <c r="E240" s="27"/>
      <c r="F240" s="29" t="s">
        <v>866</v>
      </c>
      <c r="G240" s="11" t="s">
        <v>451</v>
      </c>
      <c r="H240" s="11" t="s">
        <v>162</v>
      </c>
      <c r="I240" s="11" t="s">
        <v>775</v>
      </c>
      <c r="J240" s="11"/>
      <c r="K240" s="11"/>
      <c r="L240" s="11">
        <v>16.0</v>
      </c>
      <c r="M240" s="11" t="s">
        <v>36</v>
      </c>
      <c r="N240" s="11">
        <v>234.0</v>
      </c>
      <c r="O240" s="11" t="e">
        <v>#VALUE!</v>
      </c>
      <c r="P240" s="11" t="s">
        <v>36</v>
      </c>
      <c r="Q240" s="11" t="s">
        <v>36</v>
      </c>
      <c r="R240" s="11">
        <v>277.0</v>
      </c>
      <c r="S240" s="11">
        <v>177.0</v>
      </c>
      <c r="T240" s="11">
        <v>231.0</v>
      </c>
      <c r="U240" s="11">
        <v>229.0</v>
      </c>
      <c r="V240" s="11">
        <v>20.0</v>
      </c>
      <c r="W240" s="11"/>
      <c r="X240" s="11" t="e">
        <v>#VALUE!</v>
      </c>
      <c r="Y240" s="29" t="s">
        <v>1049</v>
      </c>
    </row>
    <row r="241" ht="14.25" customHeight="1">
      <c r="A241" s="11"/>
      <c r="B241" s="11">
        <v>19.0</v>
      </c>
      <c r="C241" s="11" t="s">
        <v>106</v>
      </c>
      <c r="D241" s="11"/>
      <c r="E241" s="27"/>
      <c r="F241" s="29" t="s">
        <v>866</v>
      </c>
      <c r="G241" s="11" t="s">
        <v>296</v>
      </c>
      <c r="H241" s="11" t="s">
        <v>128</v>
      </c>
      <c r="I241" s="11" t="s">
        <v>770</v>
      </c>
      <c r="J241" s="11"/>
      <c r="K241" s="11"/>
      <c r="L241" s="11">
        <v>16.0</v>
      </c>
      <c r="M241" s="11" t="s">
        <v>36</v>
      </c>
      <c r="N241" s="11">
        <v>202.0</v>
      </c>
      <c r="O241" s="11" t="e">
        <v>#VALUE!</v>
      </c>
      <c r="P241" s="11" t="s">
        <v>36</v>
      </c>
      <c r="Q241" s="11">
        <v>209.0</v>
      </c>
      <c r="R241" s="11">
        <v>219.0</v>
      </c>
      <c r="S241" s="11">
        <v>238.0</v>
      </c>
      <c r="T241" s="11">
        <v>237.0</v>
      </c>
      <c r="U241" s="11">
        <v>221.0</v>
      </c>
      <c r="V241" s="11">
        <v>19.0</v>
      </c>
      <c r="W241" s="11"/>
      <c r="X241" s="11" t="e">
        <v>#VALUE!</v>
      </c>
      <c r="Y241" s="29" t="s">
        <v>866</v>
      </c>
    </row>
    <row r="242" ht="14.25" customHeight="1">
      <c r="A242" s="11"/>
      <c r="B242" s="11">
        <v>20.0</v>
      </c>
      <c r="C242" s="11" t="s">
        <v>106</v>
      </c>
      <c r="D242" s="11"/>
      <c r="E242" s="27"/>
      <c r="F242" s="29" t="s">
        <v>106</v>
      </c>
      <c r="G242" s="11" t="s">
        <v>323</v>
      </c>
      <c r="H242" s="11" t="s">
        <v>171</v>
      </c>
      <c r="I242" s="11" t="s">
        <v>772</v>
      </c>
      <c r="J242" s="11" t="s">
        <v>1041</v>
      </c>
      <c r="K242" s="11">
        <v>56.0</v>
      </c>
      <c r="L242" s="11">
        <v>16.0</v>
      </c>
      <c r="M242" s="11">
        <v>184.0</v>
      </c>
      <c r="N242" s="11">
        <v>200.0</v>
      </c>
      <c r="O242" s="11">
        <v>-16.0</v>
      </c>
      <c r="P242" s="11" t="s">
        <v>36</v>
      </c>
      <c r="Q242" s="11" t="s">
        <v>36</v>
      </c>
      <c r="R242" s="11">
        <v>184.0</v>
      </c>
      <c r="S242" s="11">
        <v>211.0</v>
      </c>
      <c r="T242" s="11">
        <v>324.0</v>
      </c>
      <c r="U242" s="11">
        <v>220.0</v>
      </c>
      <c r="V242" s="11">
        <v>19.0</v>
      </c>
      <c r="W242" s="11"/>
      <c r="X242" s="11">
        <v>-36.0</v>
      </c>
      <c r="Y242" s="29" t="s">
        <v>1107</v>
      </c>
    </row>
    <row r="243" ht="14.25" customHeight="1">
      <c r="A243" s="11"/>
      <c r="B243" s="11">
        <v>19.0</v>
      </c>
      <c r="C243" s="11" t="s">
        <v>106</v>
      </c>
      <c r="D243" s="11"/>
      <c r="E243" s="27"/>
      <c r="F243" s="29" t="s">
        <v>866</v>
      </c>
      <c r="G243" s="11" t="s">
        <v>925</v>
      </c>
      <c r="H243" s="11" t="s">
        <v>131</v>
      </c>
      <c r="I243" s="11" t="s">
        <v>772</v>
      </c>
      <c r="J243" s="11"/>
      <c r="K243" s="11"/>
      <c r="L243" s="11">
        <v>19.0</v>
      </c>
      <c r="M243" s="11">
        <v>227.0</v>
      </c>
      <c r="N243" s="11">
        <v>205.0</v>
      </c>
      <c r="O243" s="11">
        <v>22.0</v>
      </c>
      <c r="P243" s="11">
        <v>202.0</v>
      </c>
      <c r="Q243" s="11" t="s">
        <v>36</v>
      </c>
      <c r="R243" s="11">
        <v>189.0</v>
      </c>
      <c r="S243" s="11">
        <v>266.0</v>
      </c>
      <c r="T243" s="11" t="s">
        <v>36</v>
      </c>
      <c r="U243" s="11">
        <v>217.0</v>
      </c>
      <c r="V243" s="11">
        <v>19.0</v>
      </c>
      <c r="W243" s="11"/>
      <c r="X243" s="11">
        <v>10.0</v>
      </c>
      <c r="Y243" s="29" t="s">
        <v>866</v>
      </c>
    </row>
    <row r="244" ht="14.25" customHeight="1">
      <c r="A244" s="11"/>
      <c r="B244" s="11">
        <v>19.0</v>
      </c>
      <c r="C244" s="11" t="s">
        <v>106</v>
      </c>
      <c r="D244" s="11"/>
      <c r="E244" s="27"/>
      <c r="F244" s="29" t="s">
        <v>866</v>
      </c>
      <c r="G244" s="11" t="s">
        <v>588</v>
      </c>
      <c r="H244" s="11" t="s">
        <v>71</v>
      </c>
      <c r="I244" s="11" t="s">
        <v>1081</v>
      </c>
      <c r="J244" s="11"/>
      <c r="K244" s="11"/>
      <c r="L244" s="11">
        <v>21.0</v>
      </c>
      <c r="M244" s="11">
        <v>240.0</v>
      </c>
      <c r="N244" s="11" t="s">
        <v>36</v>
      </c>
      <c r="O244" s="11" t="e">
        <v>#VALUE!</v>
      </c>
      <c r="P244" s="11">
        <v>173.0</v>
      </c>
      <c r="Q244" s="11">
        <v>201.0</v>
      </c>
      <c r="R244" s="11">
        <v>278.0</v>
      </c>
      <c r="S244" s="11">
        <v>285.0</v>
      </c>
      <c r="T244" s="11">
        <v>165.0</v>
      </c>
      <c r="U244" s="11">
        <v>223.0</v>
      </c>
      <c r="V244" s="11">
        <v>19.0</v>
      </c>
      <c r="W244" s="11"/>
      <c r="X244" s="11">
        <v>17.0</v>
      </c>
      <c r="Y244" s="29" t="s">
        <v>866</v>
      </c>
    </row>
    <row r="245" ht="14.25" customHeight="1">
      <c r="A245" s="11"/>
      <c r="B245" s="11">
        <v>19.0</v>
      </c>
      <c r="C245" s="11" t="s">
        <v>106</v>
      </c>
      <c r="D245" s="11"/>
      <c r="E245" s="27"/>
      <c r="F245" s="29" t="s">
        <v>866</v>
      </c>
      <c r="G245" s="11" t="s">
        <v>720</v>
      </c>
      <c r="H245" s="11" t="s">
        <v>52</v>
      </c>
      <c r="I245" s="11" t="s">
        <v>781</v>
      </c>
      <c r="J245" s="11"/>
      <c r="K245" s="11"/>
      <c r="L245" s="11">
        <v>20.0</v>
      </c>
      <c r="M245" s="11">
        <v>235.0</v>
      </c>
      <c r="N245" s="11">
        <v>213.0</v>
      </c>
      <c r="O245" s="11">
        <v>22.0</v>
      </c>
      <c r="P245" s="11" t="s">
        <v>36</v>
      </c>
      <c r="Q245" s="11" t="s">
        <v>36</v>
      </c>
      <c r="R245" s="11">
        <v>187.0</v>
      </c>
      <c r="S245" s="11">
        <v>219.0</v>
      </c>
      <c r="T245" s="11">
        <v>272.0</v>
      </c>
      <c r="U245" s="11">
        <v>225.0</v>
      </c>
      <c r="V245" s="11">
        <v>19.0</v>
      </c>
      <c r="W245" s="11"/>
      <c r="X245" s="11">
        <v>10.0</v>
      </c>
      <c r="Y245" s="29" t="s">
        <v>1096</v>
      </c>
    </row>
    <row r="246" ht="14.25" customHeight="1">
      <c r="A246" s="11"/>
      <c r="B246" s="11">
        <v>20.0</v>
      </c>
      <c r="C246" s="11" t="s">
        <v>106</v>
      </c>
      <c r="D246" s="11"/>
      <c r="E246" s="27"/>
      <c r="F246" s="29" t="s">
        <v>866</v>
      </c>
      <c r="G246" s="11" t="s">
        <v>420</v>
      </c>
      <c r="H246" s="11" t="s">
        <v>119</v>
      </c>
      <c r="I246" s="11" t="s">
        <v>781</v>
      </c>
      <c r="J246" s="11"/>
      <c r="K246" s="11"/>
      <c r="L246" s="11">
        <v>20.0</v>
      </c>
      <c r="M246" s="11">
        <v>230.0</v>
      </c>
      <c r="N246" s="11">
        <v>223.0</v>
      </c>
      <c r="O246" s="11">
        <v>7.0</v>
      </c>
      <c r="P246" s="11" t="s">
        <v>36</v>
      </c>
      <c r="Q246" s="11">
        <v>267.0</v>
      </c>
      <c r="R246" s="11">
        <v>210.0</v>
      </c>
      <c r="S246" s="11">
        <v>241.0</v>
      </c>
      <c r="T246" s="11">
        <v>216.0</v>
      </c>
      <c r="U246" s="11">
        <v>231.0</v>
      </c>
      <c r="V246" s="11">
        <v>20.0</v>
      </c>
      <c r="W246" s="11"/>
      <c r="X246" s="11">
        <v>-1.0</v>
      </c>
      <c r="Y246" s="29" t="s">
        <v>866</v>
      </c>
    </row>
    <row r="247" ht="14.25" customHeight="1">
      <c r="A247" s="11"/>
      <c r="B247" s="11">
        <v>21.0</v>
      </c>
      <c r="C247" s="11" t="s">
        <v>106</v>
      </c>
      <c r="D247" s="11"/>
      <c r="E247" s="27"/>
      <c r="F247" s="29" t="s">
        <v>866</v>
      </c>
      <c r="G247" s="11" t="s">
        <v>808</v>
      </c>
      <c r="H247" s="11" t="s">
        <v>62</v>
      </c>
      <c r="I247" s="11" t="s">
        <v>772</v>
      </c>
      <c r="J247" s="11" t="s">
        <v>903</v>
      </c>
      <c r="K247" s="11"/>
      <c r="L247" s="11">
        <v>17.0</v>
      </c>
      <c r="M247" s="11">
        <v>202.0</v>
      </c>
      <c r="N247" s="11">
        <v>189.0</v>
      </c>
      <c r="O247" s="11">
        <v>13.0</v>
      </c>
      <c r="P247" s="11" t="s">
        <v>36</v>
      </c>
      <c r="Q247" s="11" t="s">
        <v>36</v>
      </c>
      <c r="R247" s="11">
        <v>178.0</v>
      </c>
      <c r="S247" s="11">
        <v>237.0</v>
      </c>
      <c r="T247" s="11">
        <v>316.0</v>
      </c>
      <c r="U247" s="11">
        <v>224.0</v>
      </c>
      <c r="V247" s="11">
        <v>19.0</v>
      </c>
      <c r="W247" s="11"/>
      <c r="X247" s="11">
        <v>-22.0</v>
      </c>
      <c r="Y247" s="29" t="s">
        <v>1055</v>
      </c>
    </row>
    <row r="248" ht="14.25" customHeight="1">
      <c r="A248" s="11"/>
      <c r="B248" s="11">
        <v>20.0</v>
      </c>
      <c r="C248" s="11" t="s">
        <v>106</v>
      </c>
      <c r="D248" s="11"/>
      <c r="E248" s="27"/>
      <c r="F248" s="29" t="s">
        <v>866</v>
      </c>
      <c r="G248" s="11" t="s">
        <v>1044</v>
      </c>
      <c r="H248" s="11" t="s">
        <v>49</v>
      </c>
      <c r="I248" s="11" t="s">
        <v>772</v>
      </c>
      <c r="J248" s="11"/>
      <c r="K248" s="11"/>
      <c r="L248" s="11">
        <v>17.0</v>
      </c>
      <c r="M248" s="11">
        <v>199.0</v>
      </c>
      <c r="N248" s="11">
        <v>236.0</v>
      </c>
      <c r="O248" s="11">
        <v>-37.0</v>
      </c>
      <c r="P248" s="11" t="s">
        <v>36</v>
      </c>
      <c r="Q248" s="11" t="s">
        <v>36</v>
      </c>
      <c r="R248" s="11">
        <v>208.0</v>
      </c>
      <c r="S248" s="11">
        <v>263.0</v>
      </c>
      <c r="T248" s="11" t="s">
        <v>36</v>
      </c>
      <c r="U248" s="11">
        <v>226.0</v>
      </c>
      <c r="V248" s="11">
        <v>19.0</v>
      </c>
      <c r="W248" s="11"/>
      <c r="X248" s="11">
        <v>-27.0</v>
      </c>
      <c r="Y248" s="29" t="s">
        <v>1045</v>
      </c>
    </row>
    <row r="249" ht="14.25" customHeight="1">
      <c r="A249" s="11"/>
      <c r="B249" s="11">
        <v>20.0</v>
      </c>
      <c r="C249" s="11" t="s">
        <v>106</v>
      </c>
      <c r="D249" s="11"/>
      <c r="E249" s="27"/>
      <c r="F249" s="29" t="s">
        <v>866</v>
      </c>
      <c r="G249" s="11" t="s">
        <v>487</v>
      </c>
      <c r="H249" s="11" t="s">
        <v>49</v>
      </c>
      <c r="I249" s="11" t="s">
        <v>1081</v>
      </c>
      <c r="J249" s="11"/>
      <c r="K249" s="11"/>
      <c r="L249" s="11">
        <v>18.0</v>
      </c>
      <c r="M249" s="11">
        <v>212.0</v>
      </c>
      <c r="N249" s="11" t="s">
        <v>36</v>
      </c>
      <c r="O249" s="11" t="e">
        <v>#VALUE!</v>
      </c>
      <c r="P249" s="11">
        <v>216.0</v>
      </c>
      <c r="Q249" s="11">
        <v>238.0</v>
      </c>
      <c r="R249" s="11">
        <v>253.0</v>
      </c>
      <c r="S249" s="11">
        <v>248.0</v>
      </c>
      <c r="T249" s="11">
        <v>195.0</v>
      </c>
      <c r="U249" s="11">
        <v>227.0</v>
      </c>
      <c r="V249" s="11">
        <v>19.0</v>
      </c>
      <c r="W249" s="11"/>
      <c r="X249" s="11">
        <v>-15.0</v>
      </c>
      <c r="Y249" s="29" t="s">
        <v>866</v>
      </c>
    </row>
    <row r="250" ht="14.25" customHeight="1">
      <c r="A250" s="11"/>
      <c r="B250" s="11">
        <v>19.0</v>
      </c>
      <c r="C250" s="11" t="s">
        <v>106</v>
      </c>
      <c r="D250" s="11"/>
      <c r="E250" s="27"/>
      <c r="F250" s="29" t="s">
        <v>866</v>
      </c>
      <c r="G250" s="11" t="s">
        <v>880</v>
      </c>
      <c r="H250" s="11" t="s">
        <v>231</v>
      </c>
      <c r="I250" s="11" t="s">
        <v>775</v>
      </c>
      <c r="J250" s="11"/>
      <c r="K250" s="11"/>
      <c r="L250" s="11">
        <v>16.0</v>
      </c>
      <c r="M250" s="11" t="s">
        <v>36</v>
      </c>
      <c r="N250" s="11">
        <v>227.0</v>
      </c>
      <c r="O250" s="11" t="e">
        <v>#VALUE!</v>
      </c>
      <c r="P250" s="11" t="s">
        <v>36</v>
      </c>
      <c r="Q250" s="11" t="s">
        <v>36</v>
      </c>
      <c r="R250" s="11">
        <v>202.0</v>
      </c>
      <c r="S250" s="11">
        <v>235.0</v>
      </c>
      <c r="T250" s="11">
        <v>238.0</v>
      </c>
      <c r="U250" s="11">
        <v>225.0</v>
      </c>
      <c r="V250" s="11">
        <v>19.0</v>
      </c>
      <c r="W250" s="11"/>
      <c r="X250" s="11" t="e">
        <v>#VALUE!</v>
      </c>
      <c r="Y250" s="29" t="s">
        <v>866</v>
      </c>
    </row>
    <row r="251" ht="14.25" customHeight="1">
      <c r="A251" s="11"/>
      <c r="B251" s="11">
        <v>20.0</v>
      </c>
      <c r="C251" s="11" t="s">
        <v>106</v>
      </c>
      <c r="D251" s="11"/>
      <c r="E251" s="27"/>
      <c r="F251" s="29" t="s">
        <v>866</v>
      </c>
      <c r="G251" s="11" t="s">
        <v>798</v>
      </c>
      <c r="H251" s="11" t="s">
        <v>62</v>
      </c>
      <c r="I251" s="11" t="s">
        <v>770</v>
      </c>
      <c r="J251" s="11" t="s">
        <v>868</v>
      </c>
      <c r="K251" s="11"/>
      <c r="L251" s="11">
        <v>16.0</v>
      </c>
      <c r="M251" s="11" t="s">
        <v>36</v>
      </c>
      <c r="N251" s="11">
        <v>231.0</v>
      </c>
      <c r="O251" s="11" t="e">
        <v>#VALUE!</v>
      </c>
      <c r="P251" s="11" t="s">
        <v>36</v>
      </c>
      <c r="Q251" s="11">
        <v>241.0</v>
      </c>
      <c r="R251" s="11">
        <v>248.0</v>
      </c>
      <c r="S251" s="11">
        <v>224.0</v>
      </c>
      <c r="T251" s="11">
        <v>228.0</v>
      </c>
      <c r="U251" s="11">
        <v>234.0</v>
      </c>
      <c r="V251" s="11">
        <v>20.0</v>
      </c>
      <c r="W251" s="11"/>
      <c r="X251" s="11" t="e">
        <v>#VALUE!</v>
      </c>
      <c r="Y251" s="29" t="s">
        <v>866</v>
      </c>
    </row>
    <row r="252" ht="14.25" customHeight="1">
      <c r="A252" s="11"/>
      <c r="B252" s="11">
        <v>22.0</v>
      </c>
      <c r="C252" s="11" t="s">
        <v>106</v>
      </c>
      <c r="D252" s="11"/>
      <c r="E252" s="27"/>
      <c r="F252" s="29" t="s">
        <v>866</v>
      </c>
      <c r="G252" s="11" t="s">
        <v>566</v>
      </c>
      <c r="H252" s="11" t="s">
        <v>162</v>
      </c>
      <c r="I252" s="11" t="s">
        <v>772</v>
      </c>
      <c r="J252" s="11"/>
      <c r="K252" s="11"/>
      <c r="L252" s="11">
        <v>18.0</v>
      </c>
      <c r="M252" s="11">
        <v>206.0</v>
      </c>
      <c r="N252" s="11">
        <v>222.0</v>
      </c>
      <c r="O252" s="11">
        <v>-16.0</v>
      </c>
      <c r="P252" s="11" t="s">
        <v>36</v>
      </c>
      <c r="Q252" s="11" t="s">
        <v>36</v>
      </c>
      <c r="R252" s="11">
        <v>195.0</v>
      </c>
      <c r="S252" s="11" t="s">
        <v>36</v>
      </c>
      <c r="T252" s="11">
        <v>318.0</v>
      </c>
      <c r="U252" s="11">
        <v>235.0</v>
      </c>
      <c r="V252" s="11">
        <v>20.0</v>
      </c>
      <c r="W252" s="11"/>
      <c r="X252" s="11">
        <v>-29.0</v>
      </c>
      <c r="Y252" s="29" t="s">
        <v>866</v>
      </c>
    </row>
    <row r="253" ht="14.25" customHeight="1">
      <c r="A253" s="11"/>
      <c r="B253" s="11">
        <v>23.0</v>
      </c>
      <c r="C253" s="11" t="s">
        <v>106</v>
      </c>
      <c r="D253" s="11"/>
      <c r="E253" s="27"/>
      <c r="F253" s="29" t="s">
        <v>866</v>
      </c>
      <c r="G253" s="11" t="s">
        <v>966</v>
      </c>
      <c r="H253" s="11" t="s">
        <v>165</v>
      </c>
      <c r="I253" s="11" t="s">
        <v>781</v>
      </c>
      <c r="J253" s="11"/>
      <c r="K253" s="11"/>
      <c r="L253" s="11">
        <v>20.0</v>
      </c>
      <c r="M253" s="11">
        <v>231.0</v>
      </c>
      <c r="N253" s="11">
        <v>193.0</v>
      </c>
      <c r="O253" s="11">
        <v>38.0</v>
      </c>
      <c r="P253" s="11" t="s">
        <v>36</v>
      </c>
      <c r="Q253" s="11">
        <v>347.0</v>
      </c>
      <c r="R253" s="11">
        <v>204.0</v>
      </c>
      <c r="S253" s="11">
        <v>254.0</v>
      </c>
      <c r="T253" s="11" t="s">
        <v>36</v>
      </c>
      <c r="U253" s="11">
        <v>245.0</v>
      </c>
      <c r="V253" s="11">
        <v>21.0</v>
      </c>
      <c r="W253" s="11"/>
      <c r="X253" s="11">
        <v>-14.0</v>
      </c>
      <c r="Y253" s="29" t="s">
        <v>866</v>
      </c>
    </row>
    <row r="254" ht="14.25" customHeight="1">
      <c r="A254" s="11"/>
      <c r="B254" s="11">
        <v>20.0</v>
      </c>
      <c r="C254" s="11" t="s">
        <v>106</v>
      </c>
      <c r="D254" s="11"/>
      <c r="E254" s="27"/>
      <c r="F254" s="29" t="s">
        <v>866</v>
      </c>
      <c r="G254" s="11" t="s">
        <v>819</v>
      </c>
      <c r="H254" s="11" t="s">
        <v>98</v>
      </c>
      <c r="I254" s="11" t="s">
        <v>772</v>
      </c>
      <c r="J254" s="11"/>
      <c r="K254" s="11"/>
      <c r="L254" s="11">
        <v>16.0</v>
      </c>
      <c r="M254" s="11" t="s">
        <v>36</v>
      </c>
      <c r="N254" s="11">
        <v>252.0</v>
      </c>
      <c r="O254" s="11" t="e">
        <v>#VALUE!</v>
      </c>
      <c r="P254" s="11">
        <v>191.0</v>
      </c>
      <c r="Q254" s="11" t="s">
        <v>36</v>
      </c>
      <c r="R254" s="11">
        <v>221.0</v>
      </c>
      <c r="S254" s="11">
        <v>260.0</v>
      </c>
      <c r="T254" s="11">
        <v>247.0</v>
      </c>
      <c r="U254" s="11">
        <v>234.0</v>
      </c>
      <c r="V254" s="11">
        <v>20.0</v>
      </c>
      <c r="W254" s="11"/>
      <c r="X254" s="11" t="e">
        <v>#VALUE!</v>
      </c>
      <c r="Y254" s="29" t="s">
        <v>866</v>
      </c>
    </row>
    <row r="255" ht="14.25" customHeight="1">
      <c r="A255" s="11"/>
      <c r="B255" s="11">
        <v>22.0</v>
      </c>
      <c r="C255" s="11" t="s">
        <v>106</v>
      </c>
      <c r="D255" s="11"/>
      <c r="E255" s="27"/>
      <c r="F255" s="29" t="s">
        <v>866</v>
      </c>
      <c r="G255" s="11" t="s">
        <v>290</v>
      </c>
      <c r="H255" s="11" t="s">
        <v>62</v>
      </c>
      <c r="I255" s="11" t="s">
        <v>775</v>
      </c>
      <c r="J255" s="11"/>
      <c r="K255" s="11"/>
      <c r="L255" s="11">
        <v>18.0</v>
      </c>
      <c r="M255" s="11">
        <v>210.0</v>
      </c>
      <c r="N255" s="11">
        <v>204.0</v>
      </c>
      <c r="O255" s="11">
        <v>6.0</v>
      </c>
      <c r="P255" s="11" t="s">
        <v>36</v>
      </c>
      <c r="Q255" s="11" t="s">
        <v>36</v>
      </c>
      <c r="R255" s="11">
        <v>260.0</v>
      </c>
      <c r="S255" s="11">
        <v>242.0</v>
      </c>
      <c r="T255" s="11">
        <v>256.0</v>
      </c>
      <c r="U255" s="11">
        <v>234.0</v>
      </c>
      <c r="V255" s="11">
        <v>20.0</v>
      </c>
      <c r="W255" s="11"/>
      <c r="X255" s="11">
        <v>-24.0</v>
      </c>
      <c r="Y255" s="29" t="s">
        <v>866</v>
      </c>
    </row>
    <row r="256" ht="14.25" customHeight="1">
      <c r="A256" s="11"/>
      <c r="B256" s="11">
        <v>22.0</v>
      </c>
      <c r="C256" s="11" t="s">
        <v>106</v>
      </c>
      <c r="D256" s="11"/>
      <c r="E256" s="27"/>
      <c r="F256" s="29" t="s">
        <v>866</v>
      </c>
      <c r="G256" s="11" t="s">
        <v>1098</v>
      </c>
      <c r="H256" s="11" t="s">
        <v>206</v>
      </c>
      <c r="I256" s="11" t="s">
        <v>775</v>
      </c>
      <c r="J256" s="11"/>
      <c r="K256" s="11"/>
      <c r="L256" s="11">
        <v>16.0</v>
      </c>
      <c r="M256" s="11" t="s">
        <v>36</v>
      </c>
      <c r="N256" s="11">
        <v>197.0</v>
      </c>
      <c r="O256" s="11" t="e">
        <v>#VALUE!</v>
      </c>
      <c r="P256" s="11" t="s">
        <v>36</v>
      </c>
      <c r="Q256" s="11" t="s">
        <v>36</v>
      </c>
      <c r="R256" s="11">
        <v>250.0</v>
      </c>
      <c r="S256" s="11">
        <v>261.0</v>
      </c>
      <c r="T256" s="11" t="s">
        <v>36</v>
      </c>
      <c r="U256" s="11">
        <v>236.0</v>
      </c>
      <c r="V256" s="11">
        <v>20.0</v>
      </c>
      <c r="W256" s="11"/>
      <c r="X256" s="11" t="e">
        <v>#VALUE!</v>
      </c>
      <c r="Y256" s="29" t="s">
        <v>866</v>
      </c>
    </row>
    <row r="257" ht="14.25" customHeight="1">
      <c r="A257" s="11"/>
      <c r="B257" s="11">
        <v>22.0</v>
      </c>
      <c r="C257" s="11" t="s">
        <v>106</v>
      </c>
      <c r="D257" s="11"/>
      <c r="E257" s="27"/>
      <c r="F257" s="29" t="s">
        <v>866</v>
      </c>
      <c r="G257" s="11" t="s">
        <v>827</v>
      </c>
      <c r="H257" s="11" t="s">
        <v>128</v>
      </c>
      <c r="I257" s="11" t="s">
        <v>781</v>
      </c>
      <c r="J257" s="11"/>
      <c r="K257" s="11"/>
      <c r="L257" s="11">
        <v>17.0</v>
      </c>
      <c r="M257" s="11">
        <v>200.0</v>
      </c>
      <c r="N257" s="11">
        <v>203.0</v>
      </c>
      <c r="O257" s="11">
        <v>-3.0</v>
      </c>
      <c r="P257" s="11" t="s">
        <v>36</v>
      </c>
      <c r="Q257" s="11" t="s">
        <v>36</v>
      </c>
      <c r="R257" s="11">
        <v>201.0</v>
      </c>
      <c r="S257" s="11">
        <v>267.0</v>
      </c>
      <c r="T257" s="11">
        <v>294.0</v>
      </c>
      <c r="U257" s="11">
        <v>233.0</v>
      </c>
      <c r="V257" s="11">
        <v>20.0</v>
      </c>
      <c r="W257" s="11"/>
      <c r="X257" s="11">
        <v>-33.0</v>
      </c>
      <c r="Y257" s="29" t="s">
        <v>866</v>
      </c>
    </row>
    <row r="258" ht="14.25" customHeight="1">
      <c r="A258" s="11"/>
      <c r="B258" s="11">
        <v>21.0</v>
      </c>
      <c r="C258" s="11" t="s">
        <v>106</v>
      </c>
      <c r="D258" s="11"/>
      <c r="E258" s="27"/>
      <c r="F258" s="29" t="s">
        <v>866</v>
      </c>
      <c r="G258" s="11" t="s">
        <v>969</v>
      </c>
      <c r="H258" s="11" t="s">
        <v>71</v>
      </c>
      <c r="I258" s="11" t="s">
        <v>772</v>
      </c>
      <c r="J258" s="11"/>
      <c r="K258" s="11"/>
      <c r="L258" s="11">
        <v>18.0</v>
      </c>
      <c r="M258" s="11">
        <v>215.0</v>
      </c>
      <c r="N258" s="11">
        <v>245.0</v>
      </c>
      <c r="O258" s="11">
        <v>-30.0</v>
      </c>
      <c r="P258" s="11" t="s">
        <v>36</v>
      </c>
      <c r="Q258" s="11" t="s">
        <v>36</v>
      </c>
      <c r="R258" s="11">
        <v>256.0</v>
      </c>
      <c r="S258" s="11">
        <v>222.0</v>
      </c>
      <c r="T258" s="11">
        <v>276.0</v>
      </c>
      <c r="U258" s="11">
        <v>242.0</v>
      </c>
      <c r="V258" s="11">
        <v>21.0</v>
      </c>
      <c r="W258" s="11"/>
      <c r="X258" s="11">
        <v>-27.0</v>
      </c>
      <c r="Y258" s="29" t="s">
        <v>866</v>
      </c>
    </row>
    <row r="259" ht="14.25" customHeight="1">
      <c r="A259" s="11"/>
      <c r="B259" s="11">
        <v>21.0</v>
      </c>
      <c r="C259" s="11" t="s">
        <v>106</v>
      </c>
      <c r="D259" s="11"/>
      <c r="E259" s="27"/>
      <c r="F259" s="29" t="s">
        <v>106</v>
      </c>
      <c r="G259" s="11" t="s">
        <v>411</v>
      </c>
      <c r="H259" s="11" t="s">
        <v>62</v>
      </c>
      <c r="I259" s="11" t="s">
        <v>770</v>
      </c>
      <c r="J259" s="49" t="s">
        <v>914</v>
      </c>
      <c r="K259" s="11">
        <v>25.0</v>
      </c>
      <c r="L259" s="11">
        <v>21.0</v>
      </c>
      <c r="M259" s="11">
        <v>245.0</v>
      </c>
      <c r="N259" s="11">
        <v>201.0</v>
      </c>
      <c r="O259" s="11">
        <v>44.0</v>
      </c>
      <c r="P259" s="11">
        <v>156.0</v>
      </c>
      <c r="Q259" s="11" t="s">
        <v>36</v>
      </c>
      <c r="R259" s="11">
        <v>231.0</v>
      </c>
      <c r="S259" s="11">
        <v>277.0</v>
      </c>
      <c r="T259" s="11">
        <v>310.0</v>
      </c>
      <c r="U259" s="11">
        <v>236.0</v>
      </c>
      <c r="V259" s="11">
        <v>20.0</v>
      </c>
      <c r="W259" s="11"/>
      <c r="X259" s="11">
        <v>9.0</v>
      </c>
      <c r="Y259" s="29" t="s">
        <v>1112</v>
      </c>
    </row>
    <row r="260" ht="14.25" customHeight="1">
      <c r="A260" s="11"/>
      <c r="B260" s="11">
        <v>20.0</v>
      </c>
      <c r="C260" s="11" t="s">
        <v>106</v>
      </c>
      <c r="D260" s="11"/>
      <c r="E260" s="27"/>
      <c r="F260" s="29" t="s">
        <v>866</v>
      </c>
      <c r="G260" s="11" t="s">
        <v>595</v>
      </c>
      <c r="H260" s="11" t="s">
        <v>195</v>
      </c>
      <c r="I260" s="11" t="s">
        <v>770</v>
      </c>
      <c r="J260" s="11"/>
      <c r="K260" s="11"/>
      <c r="L260" s="11">
        <v>16.0</v>
      </c>
      <c r="M260" s="11" t="s">
        <v>36</v>
      </c>
      <c r="N260" s="11">
        <v>276.0</v>
      </c>
      <c r="O260" s="11" t="e">
        <v>#VALUE!</v>
      </c>
      <c r="P260" s="11" t="s">
        <v>36</v>
      </c>
      <c r="Q260" s="11">
        <v>210.0</v>
      </c>
      <c r="R260" s="11">
        <v>292.0</v>
      </c>
      <c r="S260" s="11">
        <v>220.0</v>
      </c>
      <c r="T260" s="11">
        <v>214.0</v>
      </c>
      <c r="U260" s="11">
        <v>242.0</v>
      </c>
      <c r="V260" s="11">
        <v>21.0</v>
      </c>
      <c r="W260" s="11"/>
      <c r="X260" s="11" t="e">
        <v>#VALUE!</v>
      </c>
      <c r="Y260" s="29" t="s">
        <v>866</v>
      </c>
    </row>
    <row r="261" ht="14.25" customHeight="1">
      <c r="A261" s="11"/>
      <c r="B261" s="11">
        <v>21.0</v>
      </c>
      <c r="C261" s="11" t="s">
        <v>106</v>
      </c>
      <c r="D261" s="11"/>
      <c r="E261" s="27"/>
      <c r="F261" s="29" t="s">
        <v>866</v>
      </c>
      <c r="G261" s="11" t="s">
        <v>257</v>
      </c>
      <c r="H261" s="11" t="s">
        <v>195</v>
      </c>
      <c r="I261" s="11" t="s">
        <v>781</v>
      </c>
      <c r="J261" s="11"/>
      <c r="K261" s="11"/>
      <c r="L261" s="11">
        <v>16.0</v>
      </c>
      <c r="M261" s="11" t="s">
        <v>36</v>
      </c>
      <c r="N261" s="11">
        <v>190.0</v>
      </c>
      <c r="O261" s="11" t="e">
        <v>#VALUE!</v>
      </c>
      <c r="P261" s="11" t="s">
        <v>36</v>
      </c>
      <c r="Q261" s="11">
        <v>269.0</v>
      </c>
      <c r="R261" s="11">
        <v>199.0</v>
      </c>
      <c r="S261" s="11">
        <v>272.0</v>
      </c>
      <c r="T261" s="11" t="s">
        <v>36</v>
      </c>
      <c r="U261" s="11">
        <v>232.0</v>
      </c>
      <c r="V261" s="11">
        <v>20.0</v>
      </c>
      <c r="W261" s="11"/>
      <c r="X261" s="11" t="e">
        <v>#VALUE!</v>
      </c>
      <c r="Y261" s="29" t="s">
        <v>1108</v>
      </c>
    </row>
    <row r="262" ht="14.25" customHeight="1">
      <c r="A262" s="11"/>
      <c r="B262" s="11">
        <v>21.0</v>
      </c>
      <c r="C262" s="11" t="s">
        <v>106</v>
      </c>
      <c r="D262" s="11"/>
      <c r="E262" s="27"/>
      <c r="F262" s="29" t="s">
        <v>866</v>
      </c>
      <c r="G262" s="11" t="s">
        <v>643</v>
      </c>
      <c r="H262" s="11" t="s">
        <v>176</v>
      </c>
      <c r="I262" s="11" t="s">
        <v>775</v>
      </c>
      <c r="J262" s="11"/>
      <c r="K262" s="11"/>
      <c r="L262" s="11">
        <v>20.0</v>
      </c>
      <c r="M262" s="11">
        <v>238.0</v>
      </c>
      <c r="N262" s="11">
        <v>185.0</v>
      </c>
      <c r="O262" s="11">
        <v>53.0</v>
      </c>
      <c r="P262" s="11" t="s">
        <v>36</v>
      </c>
      <c r="Q262" s="11" t="s">
        <v>36</v>
      </c>
      <c r="R262" s="11">
        <v>206.0</v>
      </c>
      <c r="S262" s="11">
        <v>259.0</v>
      </c>
      <c r="T262" s="11">
        <v>289.0</v>
      </c>
      <c r="U262" s="11">
        <v>235.0</v>
      </c>
      <c r="V262" s="11">
        <v>20.0</v>
      </c>
      <c r="W262" s="11"/>
      <c r="X262" s="11">
        <v>3.0</v>
      </c>
      <c r="Y262" s="29" t="s">
        <v>866</v>
      </c>
    </row>
    <row r="263" ht="14.25" customHeight="1">
      <c r="A263" s="11"/>
      <c r="B263" s="11">
        <v>22.0</v>
      </c>
      <c r="C263" s="11" t="s">
        <v>106</v>
      </c>
      <c r="D263" s="11"/>
      <c r="E263" s="27"/>
      <c r="F263" s="29" t="s">
        <v>866</v>
      </c>
      <c r="G263" s="11" t="s">
        <v>1093</v>
      </c>
      <c r="H263" s="11" t="s">
        <v>102</v>
      </c>
      <c r="I263" s="11" t="s">
        <v>775</v>
      </c>
      <c r="J263" s="11"/>
      <c r="K263" s="11"/>
      <c r="L263" s="11">
        <v>18.0</v>
      </c>
      <c r="M263" s="11">
        <v>213.0</v>
      </c>
      <c r="N263" s="11">
        <v>239.0</v>
      </c>
      <c r="O263" s="11">
        <v>-26.0</v>
      </c>
      <c r="P263" s="11" t="s">
        <v>36</v>
      </c>
      <c r="Q263" s="11" t="s">
        <v>36</v>
      </c>
      <c r="R263" s="11">
        <v>279.0</v>
      </c>
      <c r="S263" s="11">
        <v>244.0</v>
      </c>
      <c r="T263" s="11" t="s">
        <v>36</v>
      </c>
      <c r="U263" s="11">
        <v>243.0</v>
      </c>
      <c r="V263" s="11">
        <v>21.0</v>
      </c>
      <c r="W263" s="11"/>
      <c r="X263" s="11">
        <v>-30.0</v>
      </c>
      <c r="Y263" s="29" t="s">
        <v>866</v>
      </c>
    </row>
    <row r="264" ht="14.25" customHeight="1">
      <c r="A264" s="11"/>
      <c r="B264" s="11">
        <v>21.0</v>
      </c>
      <c r="C264" s="11" t="s">
        <v>106</v>
      </c>
      <c r="D264" s="11"/>
      <c r="E264" s="27"/>
      <c r="F264" s="29" t="s">
        <v>866</v>
      </c>
      <c r="G264" s="11" t="s">
        <v>921</v>
      </c>
      <c r="H264" s="11" t="s">
        <v>128</v>
      </c>
      <c r="I264" s="11" t="s">
        <v>770</v>
      </c>
      <c r="J264" s="11"/>
      <c r="K264" s="11"/>
      <c r="L264" s="11">
        <v>16.0</v>
      </c>
      <c r="M264" s="11" t="s">
        <v>36</v>
      </c>
      <c r="N264" s="11">
        <v>232.0</v>
      </c>
      <c r="O264" s="11" t="e">
        <v>#VALUE!</v>
      </c>
      <c r="P264" s="11" t="s">
        <v>36</v>
      </c>
      <c r="Q264" s="11">
        <v>239.0</v>
      </c>
      <c r="R264" s="11">
        <v>243.0</v>
      </c>
      <c r="S264" s="11">
        <v>265.0</v>
      </c>
      <c r="T264" s="11">
        <v>225.0</v>
      </c>
      <c r="U264" s="11">
        <v>240.0</v>
      </c>
      <c r="V264" s="11">
        <v>21.0</v>
      </c>
      <c r="W264" s="11"/>
      <c r="X264" s="11" t="e">
        <v>#VALUE!</v>
      </c>
      <c r="Y264" s="29" t="s">
        <v>866</v>
      </c>
    </row>
    <row r="265" ht="14.25" customHeight="1">
      <c r="A265" s="11"/>
      <c r="B265" s="11">
        <v>23.0</v>
      </c>
      <c r="C265" s="11" t="s">
        <v>106</v>
      </c>
      <c r="D265" s="11"/>
      <c r="E265" s="27"/>
      <c r="F265" s="29" t="s">
        <v>866</v>
      </c>
      <c r="G265" s="11" t="s">
        <v>439</v>
      </c>
      <c r="H265" s="11" t="s">
        <v>154</v>
      </c>
      <c r="I265" s="11" t="s">
        <v>772</v>
      </c>
      <c r="J265" s="11" t="s">
        <v>885</v>
      </c>
      <c r="K265" s="11">
        <v>53.0</v>
      </c>
      <c r="L265" s="11">
        <v>18.0</v>
      </c>
      <c r="M265" s="11">
        <v>207.0</v>
      </c>
      <c r="N265" s="11">
        <v>304.0</v>
      </c>
      <c r="O265" s="11">
        <v>-97.0</v>
      </c>
      <c r="P265" s="11" t="s">
        <v>36</v>
      </c>
      <c r="Q265" s="11" t="s">
        <v>36</v>
      </c>
      <c r="R265" s="11">
        <v>255.0</v>
      </c>
      <c r="S265" s="11">
        <v>247.0</v>
      </c>
      <c r="T265" s="11">
        <v>315.0</v>
      </c>
      <c r="U265" s="11">
        <v>265.0</v>
      </c>
      <c r="V265" s="11">
        <v>23.0</v>
      </c>
      <c r="W265" s="11"/>
      <c r="X265" s="11">
        <v>-58.0</v>
      </c>
      <c r="Y265" s="29" t="s">
        <v>1049</v>
      </c>
    </row>
    <row r="266" ht="14.25" customHeight="1">
      <c r="A266" s="11"/>
      <c r="B266" s="11">
        <v>22.0</v>
      </c>
      <c r="C266" s="11" t="s">
        <v>106</v>
      </c>
      <c r="D266" s="11"/>
      <c r="E266" s="27"/>
      <c r="F266" s="29" t="s">
        <v>866</v>
      </c>
      <c r="G266" s="11" t="s">
        <v>926</v>
      </c>
      <c r="H266" s="11" t="s">
        <v>237</v>
      </c>
      <c r="I266" s="11" t="s">
        <v>775</v>
      </c>
      <c r="J266" s="11"/>
      <c r="K266" s="11"/>
      <c r="L266" s="11">
        <v>20.0</v>
      </c>
      <c r="M266" s="11">
        <v>237.0</v>
      </c>
      <c r="N266" s="11">
        <v>220.0</v>
      </c>
      <c r="O266" s="11">
        <v>17.0</v>
      </c>
      <c r="P266" s="11" t="s">
        <v>36</v>
      </c>
      <c r="Q266" s="11" t="s">
        <v>36</v>
      </c>
      <c r="R266" s="11">
        <v>242.0</v>
      </c>
      <c r="S266" s="11">
        <v>269.0</v>
      </c>
      <c r="T266" s="11" t="s">
        <v>36</v>
      </c>
      <c r="U266" s="11">
        <v>242.0</v>
      </c>
      <c r="V266" s="11">
        <v>21.0</v>
      </c>
      <c r="W266" s="11"/>
      <c r="X266" s="11">
        <v>-5.0</v>
      </c>
      <c r="Y266" s="29" t="s">
        <v>866</v>
      </c>
    </row>
    <row r="267" ht="14.25" customHeight="1">
      <c r="A267" s="11"/>
      <c r="B267" s="11">
        <v>21.0</v>
      </c>
      <c r="C267" s="11" t="s">
        <v>106</v>
      </c>
      <c r="D267" s="11"/>
      <c r="E267" s="27"/>
      <c r="F267" s="29" t="s">
        <v>866</v>
      </c>
      <c r="G267" s="11" t="s">
        <v>811</v>
      </c>
      <c r="H267" s="11" t="s">
        <v>171</v>
      </c>
      <c r="I267" s="11" t="s">
        <v>781</v>
      </c>
      <c r="J267" s="11"/>
      <c r="K267" s="11"/>
      <c r="L267" s="11">
        <v>16.0</v>
      </c>
      <c r="M267" s="11" t="s">
        <v>36</v>
      </c>
      <c r="N267" s="11">
        <v>249.0</v>
      </c>
      <c r="O267" s="11" t="e">
        <v>#VALUE!</v>
      </c>
      <c r="P267" s="11" t="s">
        <v>36</v>
      </c>
      <c r="Q267" s="11">
        <v>225.0</v>
      </c>
      <c r="R267" s="11">
        <v>259.0</v>
      </c>
      <c r="S267" s="11">
        <v>271.0</v>
      </c>
      <c r="T267" s="11">
        <v>229.0</v>
      </c>
      <c r="U267" s="11">
        <v>246.0</v>
      </c>
      <c r="V267" s="11">
        <v>21.0</v>
      </c>
      <c r="W267" s="11"/>
      <c r="X267" s="11" t="e">
        <v>#VALUE!</v>
      </c>
      <c r="Y267" s="29" t="s">
        <v>866</v>
      </c>
    </row>
    <row r="268" ht="14.25" customHeight="1">
      <c r="A268" s="11"/>
      <c r="B268" s="11">
        <v>22.0</v>
      </c>
      <c r="C268" s="11" t="s">
        <v>106</v>
      </c>
      <c r="D268" s="11"/>
      <c r="E268" s="27"/>
      <c r="F268" s="29" t="s">
        <v>866</v>
      </c>
      <c r="G268" s="11" t="s">
        <v>832</v>
      </c>
      <c r="H268" s="11" t="s">
        <v>45</v>
      </c>
      <c r="I268" s="11" t="s">
        <v>775</v>
      </c>
      <c r="J268" s="11"/>
      <c r="K268" s="11"/>
      <c r="L268" s="11">
        <v>16.0</v>
      </c>
      <c r="M268" s="11" t="s">
        <v>36</v>
      </c>
      <c r="N268" s="11">
        <v>207.0</v>
      </c>
      <c r="O268" s="11" t="e">
        <v>#VALUE!</v>
      </c>
      <c r="P268" s="11" t="s">
        <v>36</v>
      </c>
      <c r="Q268" s="11" t="s">
        <v>36</v>
      </c>
      <c r="R268" s="11">
        <v>245.0</v>
      </c>
      <c r="S268" s="11">
        <v>262.0</v>
      </c>
      <c r="T268" s="11">
        <v>267.0</v>
      </c>
      <c r="U268" s="11">
        <v>245.0</v>
      </c>
      <c r="V268" s="11">
        <v>21.0</v>
      </c>
      <c r="W268" s="11"/>
      <c r="X268" s="11" t="e">
        <v>#VALUE!</v>
      </c>
      <c r="Y268" s="29" t="s">
        <v>866</v>
      </c>
    </row>
    <row r="269" ht="14.25" customHeight="1">
      <c r="A269" s="11"/>
      <c r="B269" s="11">
        <v>23.0</v>
      </c>
      <c r="C269" s="11" t="s">
        <v>106</v>
      </c>
      <c r="D269" s="11"/>
      <c r="E269" s="27"/>
      <c r="F269" s="29" t="s">
        <v>866</v>
      </c>
      <c r="G269" s="11" t="s">
        <v>273</v>
      </c>
      <c r="H269" s="11" t="s">
        <v>125</v>
      </c>
      <c r="I269" s="11" t="s">
        <v>775</v>
      </c>
      <c r="J269" s="11"/>
      <c r="K269" s="11"/>
      <c r="L269" s="11">
        <v>21.0</v>
      </c>
      <c r="M269" s="11">
        <v>241.0</v>
      </c>
      <c r="N269" s="11">
        <v>195.0</v>
      </c>
      <c r="O269" s="11">
        <v>46.0</v>
      </c>
      <c r="P269" s="11" t="s">
        <v>36</v>
      </c>
      <c r="Q269" s="11" t="s">
        <v>36</v>
      </c>
      <c r="R269" s="11">
        <v>218.0</v>
      </c>
      <c r="S269" s="11">
        <v>252.0</v>
      </c>
      <c r="T269" s="11">
        <v>335.0</v>
      </c>
      <c r="U269" s="11">
        <v>248.0</v>
      </c>
      <c r="V269" s="11">
        <v>21.0</v>
      </c>
      <c r="W269" s="11"/>
      <c r="X269" s="11">
        <v>-7.0</v>
      </c>
      <c r="Y269" s="29" t="s">
        <v>866</v>
      </c>
    </row>
    <row r="270" ht="14.25" customHeight="1">
      <c r="A270" s="11"/>
      <c r="B270" s="11">
        <v>22.0</v>
      </c>
      <c r="C270" s="11" t="s">
        <v>106</v>
      </c>
      <c r="D270" s="11"/>
      <c r="E270" s="27"/>
      <c r="F270" s="29" t="s">
        <v>866</v>
      </c>
      <c r="G270" s="11" t="s">
        <v>389</v>
      </c>
      <c r="H270" s="11" t="s">
        <v>131</v>
      </c>
      <c r="I270" s="11" t="s">
        <v>781</v>
      </c>
      <c r="J270" s="11"/>
      <c r="K270" s="11"/>
      <c r="L270" s="11">
        <v>16.0</v>
      </c>
      <c r="M270" s="11" t="s">
        <v>36</v>
      </c>
      <c r="N270" s="11">
        <v>216.0</v>
      </c>
      <c r="O270" s="11" t="e">
        <v>#VALUE!</v>
      </c>
      <c r="P270" s="11" t="s">
        <v>36</v>
      </c>
      <c r="Q270" s="11" t="s">
        <v>36</v>
      </c>
      <c r="R270" s="11">
        <v>223.0</v>
      </c>
      <c r="S270" s="11">
        <v>273.0</v>
      </c>
      <c r="T270" s="11">
        <v>279.0</v>
      </c>
      <c r="U270" s="11">
        <v>247.0</v>
      </c>
      <c r="V270" s="11">
        <v>21.0</v>
      </c>
      <c r="W270" s="11"/>
      <c r="X270" s="11" t="e">
        <v>#VALUE!</v>
      </c>
      <c r="Y270" s="29" t="s">
        <v>866</v>
      </c>
    </row>
    <row r="271" ht="14.25" customHeight="1">
      <c r="A271" s="11"/>
      <c r="B271" s="11">
        <v>21.0</v>
      </c>
      <c r="C271" s="11" t="s">
        <v>106</v>
      </c>
      <c r="D271" s="11"/>
      <c r="E271" s="27"/>
      <c r="F271" s="29" t="s">
        <v>866</v>
      </c>
      <c r="G271" s="11" t="s">
        <v>974</v>
      </c>
      <c r="H271" s="11" t="s">
        <v>102</v>
      </c>
      <c r="I271" s="11" t="s">
        <v>781</v>
      </c>
      <c r="J271" s="11"/>
      <c r="K271" s="11"/>
      <c r="L271" s="11">
        <v>16.0</v>
      </c>
      <c r="M271" s="11" t="s">
        <v>36</v>
      </c>
      <c r="N271" s="11">
        <v>246.0</v>
      </c>
      <c r="O271" s="11" t="e">
        <v>#VALUE!</v>
      </c>
      <c r="P271" s="11" t="s">
        <v>36</v>
      </c>
      <c r="Q271" s="11">
        <v>233.0</v>
      </c>
      <c r="R271" s="11">
        <v>249.0</v>
      </c>
      <c r="S271" s="11">
        <v>276.0</v>
      </c>
      <c r="T271" s="11">
        <v>240.0</v>
      </c>
      <c r="U271" s="11">
        <v>248.0</v>
      </c>
      <c r="V271" s="11">
        <v>21.0</v>
      </c>
      <c r="W271" s="11"/>
      <c r="X271" s="11" t="e">
        <v>#VALUE!</v>
      </c>
      <c r="Y271" s="29" t="s">
        <v>866</v>
      </c>
    </row>
    <row r="272" ht="14.25" customHeight="1">
      <c r="A272" s="11"/>
      <c r="B272" s="11">
        <v>23.0</v>
      </c>
      <c r="C272" s="11" t="s">
        <v>106</v>
      </c>
      <c r="D272" s="11"/>
      <c r="E272" s="27"/>
      <c r="F272" s="29" t="s">
        <v>866</v>
      </c>
      <c r="G272" s="11" t="s">
        <v>830</v>
      </c>
      <c r="H272" s="11" t="s">
        <v>128</v>
      </c>
      <c r="I272" s="11" t="s">
        <v>775</v>
      </c>
      <c r="J272" s="11"/>
      <c r="K272" s="11"/>
      <c r="L272" s="11">
        <v>16.0</v>
      </c>
      <c r="M272" s="11" t="s">
        <v>36</v>
      </c>
      <c r="N272" s="11">
        <v>188.0</v>
      </c>
      <c r="O272" s="11" t="e">
        <v>#VALUE!</v>
      </c>
      <c r="P272" s="11" t="s">
        <v>36</v>
      </c>
      <c r="Q272" s="11" t="s">
        <v>36</v>
      </c>
      <c r="R272" s="11">
        <v>237.0</v>
      </c>
      <c r="S272" s="11">
        <v>268.0</v>
      </c>
      <c r="T272" s="11">
        <v>311.0</v>
      </c>
      <c r="U272" s="11">
        <v>251.0</v>
      </c>
      <c r="V272" s="11">
        <v>21.0</v>
      </c>
      <c r="W272" s="11"/>
      <c r="X272" s="11" t="e">
        <v>#VALUE!</v>
      </c>
      <c r="Y272" s="29" t="s">
        <v>866</v>
      </c>
    </row>
    <row r="273" ht="14.25" customHeight="1">
      <c r="A273" s="11"/>
      <c r="B273" s="11">
        <v>21.0</v>
      </c>
      <c r="C273" s="11" t="s">
        <v>106</v>
      </c>
      <c r="D273" s="11"/>
      <c r="E273" s="27"/>
      <c r="F273" s="29" t="s">
        <v>866</v>
      </c>
      <c r="G273" s="11" t="s">
        <v>477</v>
      </c>
      <c r="H273" s="11" t="s">
        <v>62</v>
      </c>
      <c r="I273" s="11" t="s">
        <v>775</v>
      </c>
      <c r="J273" s="11"/>
      <c r="K273" s="11"/>
      <c r="L273" s="11">
        <v>21.0</v>
      </c>
      <c r="M273" s="11">
        <v>247.0</v>
      </c>
      <c r="N273" s="11">
        <v>215.0</v>
      </c>
      <c r="O273" s="11">
        <v>32.0</v>
      </c>
      <c r="P273" s="11" t="s">
        <v>36</v>
      </c>
      <c r="Q273" s="11" t="s">
        <v>36</v>
      </c>
      <c r="R273" s="11">
        <v>252.0</v>
      </c>
      <c r="S273" s="11">
        <v>251.0</v>
      </c>
      <c r="T273" s="11" t="s">
        <v>36</v>
      </c>
      <c r="U273" s="11">
        <v>241.0</v>
      </c>
      <c r="V273" s="11">
        <v>21.0</v>
      </c>
      <c r="W273" s="11"/>
      <c r="X273" s="11">
        <v>6.0</v>
      </c>
      <c r="Y273" s="29" t="s">
        <v>1052</v>
      </c>
    </row>
    <row r="274" ht="14.25" customHeight="1">
      <c r="A274" s="11"/>
      <c r="B274" s="11">
        <v>22.0</v>
      </c>
      <c r="C274" s="11" t="s">
        <v>106</v>
      </c>
      <c r="D274" s="11"/>
      <c r="E274" s="27"/>
      <c r="F274" s="29" t="s">
        <v>866</v>
      </c>
      <c r="G274" s="11" t="s">
        <v>836</v>
      </c>
      <c r="H274" s="11" t="s">
        <v>195</v>
      </c>
      <c r="I274" s="11" t="s">
        <v>770</v>
      </c>
      <c r="J274" s="11"/>
      <c r="K274" s="11"/>
      <c r="L274" s="11">
        <v>16.0</v>
      </c>
      <c r="M274" s="11" t="s">
        <v>36</v>
      </c>
      <c r="N274" s="11">
        <v>224.0</v>
      </c>
      <c r="O274" s="11" t="e">
        <v>#VALUE!</v>
      </c>
      <c r="P274" s="11" t="s">
        <v>36</v>
      </c>
      <c r="Q274" s="11">
        <v>249.0</v>
      </c>
      <c r="R274" s="11">
        <v>251.0</v>
      </c>
      <c r="S274" s="11">
        <v>283.0</v>
      </c>
      <c r="T274" s="11">
        <v>261.0</v>
      </c>
      <c r="U274" s="11">
        <v>253.0</v>
      </c>
      <c r="V274" s="11">
        <v>22.0</v>
      </c>
      <c r="W274" s="11"/>
      <c r="X274" s="11" t="e">
        <v>#VALUE!</v>
      </c>
      <c r="Y274" s="29" t="s">
        <v>866</v>
      </c>
    </row>
    <row r="275" ht="14.25" customHeight="1">
      <c r="A275" s="11"/>
      <c r="B275" s="11">
        <v>23.0</v>
      </c>
      <c r="C275" s="11" t="s">
        <v>106</v>
      </c>
      <c r="D275" s="11"/>
      <c r="E275" s="27"/>
      <c r="F275" s="29" t="s">
        <v>866</v>
      </c>
      <c r="G275" s="11" t="s">
        <v>371</v>
      </c>
      <c r="H275" s="11" t="s">
        <v>165</v>
      </c>
      <c r="I275" s="11" t="s">
        <v>775</v>
      </c>
      <c r="J275" s="11"/>
      <c r="K275" s="11"/>
      <c r="L275" s="11">
        <v>16.0</v>
      </c>
      <c r="M275" s="11">
        <v>183.0</v>
      </c>
      <c r="N275" s="11">
        <v>168.0</v>
      </c>
      <c r="O275" s="11">
        <v>15.0</v>
      </c>
      <c r="P275" s="11" t="s">
        <v>36</v>
      </c>
      <c r="Q275" s="11" t="s">
        <v>36</v>
      </c>
      <c r="R275" s="11">
        <v>207.0</v>
      </c>
      <c r="S275" s="11">
        <v>264.0</v>
      </c>
      <c r="T275" s="11">
        <v>329.0</v>
      </c>
      <c r="U275" s="11">
        <v>230.0</v>
      </c>
      <c r="V275" s="11">
        <v>20.0</v>
      </c>
      <c r="W275" s="11"/>
      <c r="X275" s="11">
        <v>-47.0</v>
      </c>
      <c r="Y275" s="29" t="s">
        <v>866</v>
      </c>
    </row>
    <row r="276" ht="14.25" customHeight="1">
      <c r="A276" s="11"/>
      <c r="B276" s="11">
        <v>23.0</v>
      </c>
      <c r="C276" s="11" t="s">
        <v>106</v>
      </c>
      <c r="D276" s="11"/>
      <c r="E276" s="27"/>
      <c r="F276" s="29" t="s">
        <v>866</v>
      </c>
      <c r="G276" s="11" t="s">
        <v>989</v>
      </c>
      <c r="H276" s="11" t="s">
        <v>237</v>
      </c>
      <c r="I276" s="11" t="s">
        <v>775</v>
      </c>
      <c r="J276" s="11"/>
      <c r="K276" s="11"/>
      <c r="L276" s="11">
        <v>16.0</v>
      </c>
      <c r="M276" s="11" t="s">
        <v>36</v>
      </c>
      <c r="N276" s="11">
        <v>238.0</v>
      </c>
      <c r="O276" s="11" t="e">
        <v>#VALUE!</v>
      </c>
      <c r="P276" s="11" t="s">
        <v>36</v>
      </c>
      <c r="Q276" s="11" t="s">
        <v>36</v>
      </c>
      <c r="R276" s="11">
        <v>262.0</v>
      </c>
      <c r="S276" s="11">
        <v>274.0</v>
      </c>
      <c r="T276" s="11">
        <v>277.0</v>
      </c>
      <c r="U276" s="11">
        <v>262.0</v>
      </c>
      <c r="V276" s="11">
        <v>22.0</v>
      </c>
      <c r="W276" s="11"/>
      <c r="X276" s="11" t="e">
        <v>#VALUE!</v>
      </c>
      <c r="Y276" s="29" t="s">
        <v>866</v>
      </c>
    </row>
    <row r="277" ht="14.25" customHeight="1">
      <c r="A277" s="11"/>
      <c r="B277" s="11">
        <v>23.0</v>
      </c>
      <c r="C277" s="11" t="s">
        <v>106</v>
      </c>
      <c r="D277" s="11"/>
      <c r="E277" s="27"/>
      <c r="F277" s="29" t="s">
        <v>866</v>
      </c>
      <c r="G277" s="11" t="s">
        <v>993</v>
      </c>
      <c r="H277" s="11" t="s">
        <v>49</v>
      </c>
      <c r="I277" s="11" t="s">
        <v>781</v>
      </c>
      <c r="J277" s="11"/>
      <c r="K277" s="11"/>
      <c r="L277" s="11">
        <v>16.0</v>
      </c>
      <c r="M277" s="11" t="s">
        <v>36</v>
      </c>
      <c r="N277" s="11">
        <v>242.0</v>
      </c>
      <c r="O277" s="11" t="e">
        <v>#VALUE!</v>
      </c>
      <c r="P277" s="11" t="s">
        <v>36</v>
      </c>
      <c r="Q277" s="11" t="s">
        <v>36</v>
      </c>
      <c r="R277" s="11">
        <v>241.0</v>
      </c>
      <c r="S277" s="11">
        <v>270.0</v>
      </c>
      <c r="T277" s="11">
        <v>282.0</v>
      </c>
      <c r="U277" s="11">
        <v>258.0</v>
      </c>
      <c r="V277" s="11">
        <v>22.0</v>
      </c>
      <c r="W277" s="11"/>
      <c r="X277" s="11" t="e">
        <v>#VALUE!</v>
      </c>
      <c r="Y277" s="29" t="s">
        <v>866</v>
      </c>
    </row>
    <row r="278" ht="14.25" customHeight="1">
      <c r="A278" s="11"/>
      <c r="B278" s="11">
        <v>24.0</v>
      </c>
      <c r="C278" s="11" t="s">
        <v>106</v>
      </c>
      <c r="D278" s="11"/>
      <c r="E278" s="27"/>
      <c r="F278" s="29" t="e">
        <v>#N/A</v>
      </c>
      <c r="G278" s="11" t="s">
        <v>1118</v>
      </c>
      <c r="H278" s="11"/>
      <c r="I278" s="11"/>
      <c r="J278" s="11" t="e">
        <v>#N/A</v>
      </c>
      <c r="K278" s="11" t="e">
        <v>#N/A</v>
      </c>
      <c r="L278" s="11">
        <v>16.0</v>
      </c>
      <c r="M278" s="11" t="s">
        <v>36</v>
      </c>
      <c r="N278" s="11">
        <v>225.0</v>
      </c>
      <c r="O278" s="11" t="e">
        <v>#VALUE!</v>
      </c>
      <c r="P278" s="11" t="s">
        <v>36</v>
      </c>
      <c r="Q278" s="11">
        <v>271.0</v>
      </c>
      <c r="R278" s="11">
        <v>284.0</v>
      </c>
      <c r="S278" s="11" t="s">
        <v>36</v>
      </c>
      <c r="T278" s="11" t="s">
        <v>36</v>
      </c>
      <c r="U278" s="11">
        <v>260.0</v>
      </c>
      <c r="V278" s="11">
        <v>22.0</v>
      </c>
      <c r="W278" s="11"/>
      <c r="X278" s="11" t="e">
        <v>#N/A</v>
      </c>
      <c r="Y278" s="29" t="e">
        <v>#N/A</v>
      </c>
    </row>
    <row r="279" ht="14.25" customHeight="1">
      <c r="A279" s="11"/>
      <c r="B279" s="11"/>
      <c r="C279" s="11" t="s">
        <v>106</v>
      </c>
      <c r="D279" s="11"/>
      <c r="E279" s="27"/>
      <c r="F279" s="29" t="s">
        <v>866</v>
      </c>
      <c r="G279" s="11" t="s">
        <v>382</v>
      </c>
      <c r="H279" s="11" t="s">
        <v>131</v>
      </c>
      <c r="I279" s="11" t="s">
        <v>770</v>
      </c>
      <c r="J279" s="11"/>
      <c r="K279" s="11"/>
      <c r="L279" s="11">
        <v>16.0</v>
      </c>
      <c r="M279" s="11" t="s">
        <v>36</v>
      </c>
      <c r="N279" s="11">
        <v>264.0</v>
      </c>
      <c r="O279" s="11" t="e">
        <v>#VALUE!</v>
      </c>
      <c r="P279" s="11" t="s">
        <v>36</v>
      </c>
      <c r="Q279" s="11" t="s">
        <v>36</v>
      </c>
      <c r="R279" s="11">
        <v>274.0</v>
      </c>
      <c r="S279" s="11">
        <v>275.0</v>
      </c>
      <c r="T279" s="11" t="s">
        <v>36</v>
      </c>
      <c r="U279" s="11">
        <v>271.0</v>
      </c>
      <c r="V279" s="11">
        <v>23.0</v>
      </c>
      <c r="W279" s="11"/>
      <c r="X279" s="11" t="e">
        <v>#VALUE!</v>
      </c>
      <c r="Y279" s="29" t="s">
        <v>866</v>
      </c>
    </row>
    <row r="280" ht="14.25" customHeight="1">
      <c r="A280" s="11"/>
      <c r="B280" s="11">
        <v>22.0</v>
      </c>
      <c r="C280" s="11" t="s">
        <v>106</v>
      </c>
      <c r="D280" s="11"/>
      <c r="E280" s="27"/>
      <c r="F280" s="29" t="s">
        <v>106</v>
      </c>
      <c r="G280" s="11" t="s">
        <v>613</v>
      </c>
      <c r="H280" s="11" t="s">
        <v>119</v>
      </c>
      <c r="I280" s="11" t="s">
        <v>775</v>
      </c>
      <c r="J280" s="11" t="s">
        <v>884</v>
      </c>
      <c r="K280" s="11">
        <v>64.0</v>
      </c>
      <c r="L280" s="11">
        <v>21.0</v>
      </c>
      <c r="M280" s="11">
        <v>248.0</v>
      </c>
      <c r="N280" s="11">
        <v>208.0</v>
      </c>
      <c r="O280" s="11">
        <v>40.0</v>
      </c>
      <c r="P280" s="11" t="s">
        <v>36</v>
      </c>
      <c r="Q280" s="11" t="s">
        <v>36</v>
      </c>
      <c r="R280" s="11">
        <v>270.0</v>
      </c>
      <c r="S280" s="11">
        <v>253.0</v>
      </c>
      <c r="T280" s="11" t="s">
        <v>36</v>
      </c>
      <c r="U280" s="11">
        <v>244.0</v>
      </c>
      <c r="V280" s="11">
        <v>21.0</v>
      </c>
      <c r="W280" s="11"/>
      <c r="X280" s="11">
        <v>4.0</v>
      </c>
      <c r="Y280" s="29" t="s">
        <v>1106</v>
      </c>
    </row>
    <row r="281" ht="14.25" customHeight="1">
      <c r="A281" s="11"/>
      <c r="B281" s="11">
        <v>25.0</v>
      </c>
      <c r="C281" s="11" t="s">
        <v>106</v>
      </c>
      <c r="D281" s="11"/>
      <c r="E281" s="27"/>
      <c r="F281" s="29" t="e">
        <v>#N/A</v>
      </c>
      <c r="G281" s="11" t="s">
        <v>823</v>
      </c>
      <c r="H281" s="11"/>
      <c r="I281" s="11"/>
      <c r="J281" s="11" t="e">
        <v>#N/A</v>
      </c>
      <c r="K281" s="11" t="e">
        <v>#N/A</v>
      </c>
      <c r="L281" s="11">
        <v>16.0</v>
      </c>
      <c r="M281" s="11" t="s">
        <v>36</v>
      </c>
      <c r="N281" s="11">
        <v>269.0</v>
      </c>
      <c r="O281" s="11" t="e">
        <v>#VALUE!</v>
      </c>
      <c r="P281" s="11" t="s">
        <v>36</v>
      </c>
      <c r="Q281" s="11" t="s">
        <v>36</v>
      </c>
      <c r="R281" s="11">
        <v>276.0</v>
      </c>
      <c r="S281" s="11" t="s">
        <v>36</v>
      </c>
      <c r="T281" s="11">
        <v>317.0</v>
      </c>
      <c r="U281" s="11">
        <v>287.0</v>
      </c>
      <c r="V281" s="11">
        <v>24.0</v>
      </c>
      <c r="W281" s="11"/>
      <c r="X281" s="11" t="e">
        <v>#N/A</v>
      </c>
      <c r="Y281" s="29" t="e">
        <v>#N/A</v>
      </c>
    </row>
    <row r="282" ht="14.25" customHeight="1">
      <c r="A282" s="11"/>
      <c r="B282" s="11">
        <v>23.0</v>
      </c>
      <c r="C282" s="11" t="s">
        <v>106</v>
      </c>
      <c r="D282" s="11"/>
      <c r="E282" s="27"/>
      <c r="F282" s="29" t="s">
        <v>106</v>
      </c>
      <c r="G282" s="11" t="s">
        <v>835</v>
      </c>
      <c r="H282" s="11" t="s">
        <v>131</v>
      </c>
      <c r="I282" s="11" t="s">
        <v>772</v>
      </c>
      <c r="J282" s="11" t="s">
        <v>1041</v>
      </c>
      <c r="K282" s="11">
        <v>58.0</v>
      </c>
      <c r="L282" s="11">
        <v>16.0</v>
      </c>
      <c r="M282" s="11" t="s">
        <v>36</v>
      </c>
      <c r="N282" s="11">
        <v>282.0</v>
      </c>
      <c r="O282" s="11" t="e">
        <v>#VALUE!</v>
      </c>
      <c r="P282" s="11" t="s">
        <v>36</v>
      </c>
      <c r="Q282" s="11" t="s">
        <v>36</v>
      </c>
      <c r="R282" s="11">
        <v>299.0</v>
      </c>
      <c r="S282" s="11">
        <v>249.0</v>
      </c>
      <c r="T282" s="11" t="s">
        <v>36</v>
      </c>
      <c r="U282" s="11">
        <v>276.0</v>
      </c>
      <c r="V282" s="11">
        <v>24.0</v>
      </c>
      <c r="W282" s="11"/>
      <c r="X282" s="11" t="e">
        <v>#VALUE!</v>
      </c>
      <c r="Y282" s="29" t="s">
        <v>1113</v>
      </c>
    </row>
    <row r="283" ht="14.25" customHeight="1">
      <c r="A283" s="11"/>
      <c r="B283" s="11">
        <v>24.0</v>
      </c>
      <c r="C283" s="11" t="s">
        <v>106</v>
      </c>
      <c r="D283" s="11"/>
      <c r="E283" s="27"/>
      <c r="F283" s="29" t="s">
        <v>866</v>
      </c>
      <c r="G283" s="11" t="s">
        <v>920</v>
      </c>
      <c r="H283" s="11" t="s">
        <v>102</v>
      </c>
      <c r="I283" s="11" t="s">
        <v>772</v>
      </c>
      <c r="J283" s="11"/>
      <c r="K283" s="11"/>
      <c r="L283" s="11">
        <v>16.0</v>
      </c>
      <c r="M283" s="11" t="s">
        <v>36</v>
      </c>
      <c r="N283" s="11">
        <v>300.0</v>
      </c>
      <c r="O283" s="11" t="e">
        <v>#VALUE!</v>
      </c>
      <c r="P283" s="11" t="s">
        <v>36</v>
      </c>
      <c r="Q283" s="11" t="s">
        <v>36</v>
      </c>
      <c r="R283" s="11">
        <v>293.0</v>
      </c>
      <c r="S283" s="11">
        <v>287.0</v>
      </c>
      <c r="T283" s="11">
        <v>252.0</v>
      </c>
      <c r="U283" s="11">
        <v>283.0</v>
      </c>
      <c r="V283" s="11">
        <v>24.0</v>
      </c>
      <c r="W283" s="11"/>
      <c r="X283" s="11" t="e">
        <v>#VALUE!</v>
      </c>
      <c r="Y283" s="29" t="s">
        <v>866</v>
      </c>
    </row>
    <row r="284" ht="14.25" customHeight="1">
      <c r="A284" s="11"/>
      <c r="B284" s="11">
        <v>26.0</v>
      </c>
      <c r="C284" s="11" t="s">
        <v>106</v>
      </c>
      <c r="D284" s="11"/>
      <c r="E284" s="27"/>
      <c r="F284" s="29" t="s">
        <v>866</v>
      </c>
      <c r="G284" s="11" t="s">
        <v>1114</v>
      </c>
      <c r="H284" s="11" t="s">
        <v>40</v>
      </c>
      <c r="I284" s="11" t="s">
        <v>775</v>
      </c>
      <c r="J284" s="11"/>
      <c r="K284" s="11"/>
      <c r="L284" s="11">
        <v>16.0</v>
      </c>
      <c r="M284" s="11" t="s">
        <v>36</v>
      </c>
      <c r="N284" s="11">
        <v>229.0</v>
      </c>
      <c r="O284" s="11" t="e">
        <v>#VALUE!</v>
      </c>
      <c r="P284" s="11" t="s">
        <v>36</v>
      </c>
      <c r="Q284" s="11" t="s">
        <v>36</v>
      </c>
      <c r="R284" s="11">
        <v>263.0</v>
      </c>
      <c r="S284" s="11" t="s">
        <v>36</v>
      </c>
      <c r="T284" s="11">
        <v>345.0</v>
      </c>
      <c r="U284" s="11">
        <v>279.0</v>
      </c>
      <c r="V284" s="11">
        <v>24.0</v>
      </c>
      <c r="W284" s="11"/>
      <c r="X284" s="11" t="e">
        <v>#VALUE!</v>
      </c>
      <c r="Y284" s="29" t="s">
        <v>866</v>
      </c>
    </row>
    <row r="285" ht="14.25" customHeight="1">
      <c r="A285" s="11"/>
      <c r="B285" s="11">
        <v>25.0</v>
      </c>
      <c r="C285" s="11" t="s">
        <v>106</v>
      </c>
      <c r="D285" s="11"/>
      <c r="E285" s="27"/>
      <c r="F285" s="29" t="s">
        <v>866</v>
      </c>
      <c r="G285" s="11" t="s">
        <v>1115</v>
      </c>
      <c r="H285" s="11" t="s">
        <v>52</v>
      </c>
      <c r="I285" s="11" t="s">
        <v>770</v>
      </c>
      <c r="J285" s="11"/>
      <c r="K285" s="11"/>
      <c r="L285" s="11">
        <v>16.0</v>
      </c>
      <c r="M285" s="11" t="s">
        <v>36</v>
      </c>
      <c r="N285" s="11">
        <v>257.0</v>
      </c>
      <c r="O285" s="11" t="e">
        <v>#VALUE!</v>
      </c>
      <c r="P285" s="11" t="s">
        <v>36</v>
      </c>
      <c r="Q285" s="11">
        <v>279.0</v>
      </c>
      <c r="R285" s="11">
        <v>295.0</v>
      </c>
      <c r="S285" s="11">
        <v>278.0</v>
      </c>
      <c r="T285" s="11">
        <v>305.0</v>
      </c>
      <c r="U285" s="11">
        <v>282.0</v>
      </c>
      <c r="V285" s="11">
        <v>24.0</v>
      </c>
      <c r="W285" s="11"/>
      <c r="X285" s="11" t="e">
        <v>#VALUE!</v>
      </c>
      <c r="Y285" s="29" t="s">
        <v>866</v>
      </c>
    </row>
    <row r="286" ht="14.25" customHeight="1">
      <c r="A286" s="11"/>
      <c r="B286" s="11" t="e">
        <v>#N/A</v>
      </c>
      <c r="C286" s="11" t="s">
        <v>106</v>
      </c>
      <c r="D286" s="11"/>
      <c r="E286" s="27"/>
      <c r="F286" s="29" t="s">
        <v>866</v>
      </c>
      <c r="G286" s="11" t="s">
        <v>831</v>
      </c>
      <c r="H286" s="11" t="e">
        <v>#N/A</v>
      </c>
      <c r="I286" s="11" t="e">
        <v>#N/A</v>
      </c>
      <c r="J286" s="11"/>
      <c r="K286" s="11"/>
      <c r="L286" s="11">
        <v>16.0</v>
      </c>
      <c r="M286" s="11" t="e">
        <v>#N/A</v>
      </c>
      <c r="N286" s="11" t="e">
        <v>#N/A</v>
      </c>
      <c r="O286" s="11" t="e">
        <v>#N/A</v>
      </c>
      <c r="P286" s="11" t="e">
        <v>#N/A</v>
      </c>
      <c r="Q286" s="11" t="e">
        <v>#N/A</v>
      </c>
      <c r="R286" s="11" t="e">
        <v>#N/A</v>
      </c>
      <c r="S286" s="11" t="e">
        <v>#N/A</v>
      </c>
      <c r="T286" s="11" t="e">
        <v>#N/A</v>
      </c>
      <c r="U286" s="11" t="e">
        <v>#N/A</v>
      </c>
      <c r="V286" s="11">
        <v>16.0</v>
      </c>
      <c r="W286" s="11"/>
      <c r="X286" s="11" t="e">
        <v>#N/A</v>
      </c>
      <c r="Y286" s="29" t="s">
        <v>866</v>
      </c>
    </row>
    <row r="287" ht="14.25" customHeight="1">
      <c r="A287" s="11"/>
      <c r="B287" s="11"/>
      <c r="C287" s="11" t="s">
        <v>106</v>
      </c>
      <c r="D287" s="11"/>
      <c r="E287" s="27"/>
      <c r="F287" s="29" t="s">
        <v>866</v>
      </c>
      <c r="G287" s="11" t="s">
        <v>651</v>
      </c>
      <c r="H287" s="11"/>
      <c r="I287" s="11"/>
      <c r="J287" s="11"/>
      <c r="K287" s="11"/>
      <c r="L287" s="11">
        <v>16.0</v>
      </c>
      <c r="M287" s="11" t="s">
        <v>36</v>
      </c>
      <c r="N287" s="11">
        <v>327.0</v>
      </c>
      <c r="O287" s="11" t="e">
        <v>#VALUE!</v>
      </c>
      <c r="P287" s="11" t="s">
        <v>36</v>
      </c>
      <c r="Q287" s="11">
        <v>231.0</v>
      </c>
      <c r="R287" s="11">
        <v>312.0</v>
      </c>
      <c r="S287" s="11" t="s">
        <v>36</v>
      </c>
      <c r="T287" s="11">
        <v>281.0</v>
      </c>
      <c r="U287" s="11">
        <v>287.0</v>
      </c>
      <c r="V287" s="11">
        <v>24.0</v>
      </c>
      <c r="W287" s="11"/>
      <c r="X287" s="11" t="e">
        <v>#VALUE!</v>
      </c>
      <c r="Y287" s="29" t="s">
        <v>866</v>
      </c>
    </row>
    <row r="288" ht="14.25" customHeight="1">
      <c r="A288" s="11"/>
      <c r="B288" s="11">
        <v>27.0</v>
      </c>
      <c r="C288" s="11" t="s">
        <v>106</v>
      </c>
      <c r="D288" s="11"/>
      <c r="E288" s="27"/>
      <c r="F288" s="29" t="s">
        <v>866</v>
      </c>
      <c r="G288" s="11" t="s">
        <v>1116</v>
      </c>
      <c r="H288" s="11" t="s">
        <v>49</v>
      </c>
      <c r="I288" s="11" t="s">
        <v>775</v>
      </c>
      <c r="J288" s="11"/>
      <c r="K288" s="11"/>
      <c r="L288" s="11">
        <v>16.0</v>
      </c>
      <c r="M288" s="11" t="s">
        <v>36</v>
      </c>
      <c r="N288" s="11">
        <v>243.0</v>
      </c>
      <c r="O288" s="11" t="e">
        <v>#VALUE!</v>
      </c>
      <c r="P288" s="11" t="s">
        <v>36</v>
      </c>
      <c r="Q288" s="11" t="s">
        <v>36</v>
      </c>
      <c r="R288" s="11">
        <v>288.0</v>
      </c>
      <c r="S288" s="11" t="s">
        <v>36</v>
      </c>
      <c r="T288" s="11">
        <v>337.0</v>
      </c>
      <c r="U288" s="11">
        <v>289.0</v>
      </c>
      <c r="V288" s="11">
        <v>25.0</v>
      </c>
      <c r="W288" s="11"/>
      <c r="X288" s="11" t="e">
        <v>#VALUE!</v>
      </c>
      <c r="Y288" s="29" t="s">
        <v>866</v>
      </c>
    </row>
    <row r="289" ht="14.25" customHeight="1">
      <c r="A289" s="11"/>
      <c r="B289" s="11" t="e">
        <v>#N/A</v>
      </c>
      <c r="C289" s="11" t="s">
        <v>106</v>
      </c>
      <c r="D289" s="11"/>
      <c r="E289" s="27"/>
      <c r="F289" s="29" t="s">
        <v>866</v>
      </c>
      <c r="G289" s="11" t="s">
        <v>576</v>
      </c>
      <c r="H289" s="11" t="e">
        <v>#N/A</v>
      </c>
      <c r="I289" s="11" t="e">
        <v>#N/A</v>
      </c>
      <c r="J289" s="11"/>
      <c r="K289" s="11"/>
      <c r="L289" s="11">
        <v>16.0</v>
      </c>
      <c r="M289" s="11" t="e">
        <v>#N/A</v>
      </c>
      <c r="N289" s="11" t="e">
        <v>#N/A</v>
      </c>
      <c r="O289" s="11" t="e">
        <v>#N/A</v>
      </c>
      <c r="P289" s="11" t="e">
        <v>#N/A</v>
      </c>
      <c r="Q289" s="11" t="e">
        <v>#N/A</v>
      </c>
      <c r="R289" s="11" t="e">
        <v>#N/A</v>
      </c>
      <c r="S289" s="11" t="e">
        <v>#N/A</v>
      </c>
      <c r="T289" s="11" t="e">
        <v>#N/A</v>
      </c>
      <c r="U289" s="11" t="e">
        <v>#N/A</v>
      </c>
      <c r="V289" s="11">
        <v>16.0</v>
      </c>
      <c r="W289" s="11"/>
      <c r="X289" s="11" t="e">
        <v>#N/A</v>
      </c>
      <c r="Y289" s="29" t="s">
        <v>1051</v>
      </c>
    </row>
    <row r="290" ht="14.25" customHeight="1">
      <c r="A290" s="11"/>
      <c r="B290" s="11" t="e">
        <v>#N/A</v>
      </c>
      <c r="C290" s="11" t="s">
        <v>106</v>
      </c>
      <c r="D290" s="11"/>
      <c r="E290" s="27"/>
      <c r="F290" s="29" t="s">
        <v>866</v>
      </c>
      <c r="G290" s="11" t="s">
        <v>454</v>
      </c>
      <c r="H290" s="11" t="e">
        <v>#N/A</v>
      </c>
      <c r="I290" s="11" t="e">
        <v>#N/A</v>
      </c>
      <c r="J290" s="11"/>
      <c r="K290" s="11"/>
      <c r="L290" s="11">
        <v>16.0</v>
      </c>
      <c r="M290" s="11" t="e">
        <v>#N/A</v>
      </c>
      <c r="N290" s="11" t="e">
        <v>#N/A</v>
      </c>
      <c r="O290" s="11" t="e">
        <v>#N/A</v>
      </c>
      <c r="P290" s="11" t="e">
        <v>#N/A</v>
      </c>
      <c r="Q290" s="11" t="e">
        <v>#N/A</v>
      </c>
      <c r="R290" s="11" t="e">
        <v>#N/A</v>
      </c>
      <c r="S290" s="11" t="e">
        <v>#N/A</v>
      </c>
      <c r="T290" s="11" t="e">
        <v>#N/A</v>
      </c>
      <c r="U290" s="11" t="e">
        <v>#N/A</v>
      </c>
      <c r="V290" s="11">
        <v>16.0</v>
      </c>
      <c r="W290" s="11"/>
      <c r="X290" s="11" t="e">
        <v>#N/A</v>
      </c>
      <c r="Y290" s="29" t="s">
        <v>866</v>
      </c>
    </row>
    <row r="291" ht="14.25" customHeight="1">
      <c r="A291" s="11"/>
      <c r="B291" s="11"/>
      <c r="C291" s="11" t="s">
        <v>106</v>
      </c>
      <c r="D291" s="11"/>
      <c r="E291" s="27"/>
      <c r="F291" s="29" t="s">
        <v>866</v>
      </c>
      <c r="G291" s="11" t="s">
        <v>895</v>
      </c>
      <c r="H291" s="11" t="s">
        <v>105</v>
      </c>
      <c r="I291" s="11" t="s">
        <v>781</v>
      </c>
      <c r="J291" s="11"/>
      <c r="K291" s="11"/>
      <c r="L291" s="11">
        <v>16.0</v>
      </c>
      <c r="M291" s="11" t="s">
        <v>36</v>
      </c>
      <c r="N291" s="11">
        <v>284.0</v>
      </c>
      <c r="O291" s="11" t="e">
        <v>#VALUE!</v>
      </c>
      <c r="P291" s="11" t="s">
        <v>36</v>
      </c>
      <c r="Q291" s="11">
        <v>326.0</v>
      </c>
      <c r="R291" s="11">
        <v>291.0</v>
      </c>
      <c r="S291" s="11">
        <v>311.0</v>
      </c>
      <c r="T291" s="11">
        <v>262.0</v>
      </c>
      <c r="U291" s="11">
        <v>294.0</v>
      </c>
      <c r="V291" s="11">
        <v>25.0</v>
      </c>
      <c r="W291" s="11"/>
      <c r="X291" s="11" t="e">
        <v>#VALUE!</v>
      </c>
      <c r="Y291" s="29" t="s">
        <v>866</v>
      </c>
    </row>
    <row r="292" ht="14.25" customHeight="1">
      <c r="A292" s="11"/>
      <c r="B292" s="11">
        <v>26.0</v>
      </c>
      <c r="C292" s="11" t="s">
        <v>106</v>
      </c>
      <c r="D292" s="11"/>
      <c r="E292" s="27"/>
      <c r="F292" s="29" t="s">
        <v>866</v>
      </c>
      <c r="G292" s="11" t="s">
        <v>508</v>
      </c>
      <c r="H292" s="11" t="s">
        <v>154</v>
      </c>
      <c r="I292" s="11" t="s">
        <v>775</v>
      </c>
      <c r="J292" s="11"/>
      <c r="K292" s="11"/>
      <c r="L292" s="11">
        <v>16.0</v>
      </c>
      <c r="M292" s="11" t="s">
        <v>36</v>
      </c>
      <c r="N292" s="11">
        <v>228.0</v>
      </c>
      <c r="O292" s="11" t="e">
        <v>#VALUE!</v>
      </c>
      <c r="P292" s="11" t="s">
        <v>36</v>
      </c>
      <c r="Q292" s="11" t="s">
        <v>36</v>
      </c>
      <c r="R292" s="11">
        <v>322.0</v>
      </c>
      <c r="S292" s="11">
        <v>284.0</v>
      </c>
      <c r="T292" s="11">
        <v>326.0</v>
      </c>
      <c r="U292" s="11">
        <v>290.0</v>
      </c>
      <c r="V292" s="11">
        <v>25.0</v>
      </c>
      <c r="W292" s="11"/>
      <c r="X292" s="11" t="e">
        <v>#VALUE!</v>
      </c>
      <c r="Y292" s="29" t="s">
        <v>866</v>
      </c>
    </row>
    <row r="293" ht="14.25" customHeight="1">
      <c r="A293" s="11"/>
      <c r="B293" s="11">
        <v>27.0</v>
      </c>
      <c r="C293" s="11" t="s">
        <v>106</v>
      </c>
      <c r="D293" s="11"/>
      <c r="E293" s="27"/>
      <c r="F293" s="29" t="s">
        <v>866</v>
      </c>
      <c r="G293" s="11" t="s">
        <v>913</v>
      </c>
      <c r="H293" s="11" t="s">
        <v>71</v>
      </c>
      <c r="I293" s="11" t="s">
        <v>775</v>
      </c>
      <c r="J293" s="11"/>
      <c r="K293" s="11"/>
      <c r="L293" s="11">
        <v>16.0</v>
      </c>
      <c r="M293" s="11" t="s">
        <v>36</v>
      </c>
      <c r="N293" s="11">
        <v>260.0</v>
      </c>
      <c r="O293" s="11" t="e">
        <v>#VALUE!</v>
      </c>
      <c r="P293" s="11" t="s">
        <v>36</v>
      </c>
      <c r="Q293" s="11" t="s">
        <v>36</v>
      </c>
      <c r="R293" s="11">
        <v>340.0</v>
      </c>
      <c r="S293" s="11">
        <v>319.0</v>
      </c>
      <c r="T293" s="11">
        <v>284.0</v>
      </c>
      <c r="U293" s="11">
        <v>300.0</v>
      </c>
      <c r="V293" s="11">
        <v>26.0</v>
      </c>
      <c r="W293" s="11"/>
      <c r="X293" s="11" t="e">
        <v>#VALUE!</v>
      </c>
      <c r="Y293" s="29" t="s">
        <v>866</v>
      </c>
    </row>
    <row r="294" ht="14.25" customHeight="1">
      <c r="A294" s="11"/>
      <c r="B294" s="11" t="e">
        <v>#N/A</v>
      </c>
      <c r="C294" s="11" t="s">
        <v>106</v>
      </c>
      <c r="D294" s="11"/>
      <c r="E294" s="27"/>
      <c r="F294" s="29" t="s">
        <v>866</v>
      </c>
      <c r="G294" s="11" t="s">
        <v>890</v>
      </c>
      <c r="H294" s="11" t="e">
        <v>#N/A</v>
      </c>
      <c r="I294" s="11" t="e">
        <v>#N/A</v>
      </c>
      <c r="J294" s="11"/>
      <c r="K294" s="11"/>
      <c r="L294" s="11">
        <v>16.0</v>
      </c>
      <c r="M294" s="11" t="e">
        <v>#N/A</v>
      </c>
      <c r="N294" s="11" t="e">
        <v>#N/A</v>
      </c>
      <c r="O294" s="11" t="e">
        <v>#N/A</v>
      </c>
      <c r="P294" s="11" t="e">
        <v>#N/A</v>
      </c>
      <c r="Q294" s="11" t="e">
        <v>#N/A</v>
      </c>
      <c r="R294" s="11" t="e">
        <v>#N/A</v>
      </c>
      <c r="S294" s="11" t="e">
        <v>#N/A</v>
      </c>
      <c r="T294" s="11" t="e">
        <v>#N/A</v>
      </c>
      <c r="U294" s="11" t="e">
        <v>#N/A</v>
      </c>
      <c r="V294" s="11">
        <v>16.0</v>
      </c>
      <c r="W294" s="11"/>
      <c r="X294" s="11" t="e">
        <v>#N/A</v>
      </c>
      <c r="Y294" s="29" t="s">
        <v>866</v>
      </c>
    </row>
    <row r="295" ht="14.25" customHeight="1">
      <c r="A295" s="11"/>
      <c r="B295" s="11" t="e">
        <v>#N/A</v>
      </c>
      <c r="C295" s="11" t="s">
        <v>106</v>
      </c>
      <c r="D295" s="11"/>
      <c r="E295" s="27"/>
      <c r="F295" s="29" t="s">
        <v>866</v>
      </c>
      <c r="G295" s="11" t="s">
        <v>657</v>
      </c>
      <c r="H295" s="11" t="e">
        <v>#N/A</v>
      </c>
      <c r="I295" s="11" t="e">
        <v>#N/A</v>
      </c>
      <c r="J295" s="11"/>
      <c r="K295" s="11"/>
      <c r="L295" s="11">
        <v>16.0</v>
      </c>
      <c r="M295" s="11" t="e">
        <v>#N/A</v>
      </c>
      <c r="N295" s="11" t="e">
        <v>#N/A</v>
      </c>
      <c r="O295" s="11" t="e">
        <v>#N/A</v>
      </c>
      <c r="P295" s="11" t="e">
        <v>#N/A</v>
      </c>
      <c r="Q295" s="11" t="e">
        <v>#N/A</v>
      </c>
      <c r="R295" s="11" t="e">
        <v>#N/A</v>
      </c>
      <c r="S295" s="11" t="e">
        <v>#N/A</v>
      </c>
      <c r="T295" s="11" t="e">
        <v>#N/A</v>
      </c>
      <c r="U295" s="11" t="e">
        <v>#N/A</v>
      </c>
      <c r="V295" s="11">
        <v>16.0</v>
      </c>
      <c r="W295" s="11"/>
      <c r="X295" s="11" t="e">
        <v>#N/A</v>
      </c>
      <c r="Y295" s="29" t="s">
        <v>866</v>
      </c>
    </row>
    <row r="296" ht="14.25" customHeight="1">
      <c r="A296" s="11"/>
      <c r="B296" s="11" t="e">
        <v>#N/A</v>
      </c>
      <c r="C296" s="11" t="s">
        <v>106</v>
      </c>
      <c r="D296" s="11"/>
      <c r="E296" s="27"/>
      <c r="F296" s="29" t="s">
        <v>866</v>
      </c>
      <c r="G296" s="11" t="s">
        <v>1110</v>
      </c>
      <c r="H296" s="11" t="e">
        <v>#N/A</v>
      </c>
      <c r="I296" s="11" t="e">
        <v>#N/A</v>
      </c>
      <c r="J296" s="11"/>
      <c r="K296" s="11"/>
      <c r="L296" s="11">
        <v>16.0</v>
      </c>
      <c r="M296" s="11" t="e">
        <v>#N/A</v>
      </c>
      <c r="N296" s="11" t="e">
        <v>#N/A</v>
      </c>
      <c r="O296" s="11" t="e">
        <v>#N/A</v>
      </c>
      <c r="P296" s="11" t="e">
        <v>#N/A</v>
      </c>
      <c r="Q296" s="11" t="e">
        <v>#N/A</v>
      </c>
      <c r="R296" s="11" t="e">
        <v>#N/A</v>
      </c>
      <c r="S296" s="11" t="e">
        <v>#N/A</v>
      </c>
      <c r="T296" s="11" t="e">
        <v>#N/A</v>
      </c>
      <c r="U296" s="11" t="e">
        <v>#N/A</v>
      </c>
      <c r="V296" s="11">
        <v>16.0</v>
      </c>
      <c r="W296" s="11"/>
      <c r="X296" s="11" t="e">
        <v>#N/A</v>
      </c>
      <c r="Y296" s="29" t="s">
        <v>1111</v>
      </c>
    </row>
    <row r="297" ht="14.25" customHeight="1">
      <c r="A297" s="11"/>
      <c r="B297" s="11" t="e">
        <v>#N/A</v>
      </c>
      <c r="C297" s="11" t="s">
        <v>106</v>
      </c>
      <c r="D297" s="11"/>
      <c r="E297" s="27"/>
      <c r="F297" s="29" t="s">
        <v>866</v>
      </c>
      <c r="G297" s="11" t="s">
        <v>905</v>
      </c>
      <c r="H297" s="11" t="e">
        <v>#N/A</v>
      </c>
      <c r="I297" s="11" t="e">
        <v>#N/A</v>
      </c>
      <c r="J297" s="11"/>
      <c r="K297" s="11"/>
      <c r="L297" s="11">
        <v>16.0</v>
      </c>
      <c r="M297" s="11" t="e">
        <v>#N/A</v>
      </c>
      <c r="N297" s="11" t="e">
        <v>#N/A</v>
      </c>
      <c r="O297" s="11" t="e">
        <v>#N/A</v>
      </c>
      <c r="P297" s="11" t="e">
        <v>#N/A</v>
      </c>
      <c r="Q297" s="11" t="e">
        <v>#N/A</v>
      </c>
      <c r="R297" s="11" t="e">
        <v>#N/A</v>
      </c>
      <c r="S297" s="11" t="e">
        <v>#N/A</v>
      </c>
      <c r="T297" s="11" t="e">
        <v>#N/A</v>
      </c>
      <c r="U297" s="11" t="e">
        <v>#N/A</v>
      </c>
      <c r="V297" s="11">
        <v>16.0</v>
      </c>
      <c r="W297" s="11"/>
      <c r="X297" s="11" t="e">
        <v>#N/A</v>
      </c>
      <c r="Y297" s="29" t="s">
        <v>866</v>
      </c>
    </row>
    <row r="298" ht="14.25" customHeight="1">
      <c r="A298" s="11"/>
      <c r="B298" s="11" t="e">
        <v>#N/A</v>
      </c>
      <c r="C298" s="11" t="s">
        <v>106</v>
      </c>
      <c r="D298" s="11"/>
      <c r="E298" s="27"/>
      <c r="F298" s="29" t="s">
        <v>866</v>
      </c>
      <c r="G298" s="11" t="s">
        <v>970</v>
      </c>
      <c r="H298" s="11" t="e">
        <v>#N/A</v>
      </c>
      <c r="I298" s="11" t="e">
        <v>#N/A</v>
      </c>
      <c r="J298" s="11"/>
      <c r="K298" s="11"/>
      <c r="L298" s="11">
        <v>16.0</v>
      </c>
      <c r="M298" s="11" t="e">
        <v>#N/A</v>
      </c>
      <c r="N298" s="11" t="e">
        <v>#N/A</v>
      </c>
      <c r="O298" s="11" t="e">
        <v>#N/A</v>
      </c>
      <c r="P298" s="11" t="e">
        <v>#N/A</v>
      </c>
      <c r="Q298" s="11" t="e">
        <v>#N/A</v>
      </c>
      <c r="R298" s="11" t="e">
        <v>#N/A</v>
      </c>
      <c r="S298" s="11" t="e">
        <v>#N/A</v>
      </c>
      <c r="T298" s="11" t="e">
        <v>#N/A</v>
      </c>
      <c r="U298" s="11" t="e">
        <v>#N/A</v>
      </c>
      <c r="V298" s="11">
        <v>16.0</v>
      </c>
      <c r="W298" s="11"/>
      <c r="X298" s="11" t="e">
        <v>#N/A</v>
      </c>
      <c r="Y298" s="29" t="s">
        <v>866</v>
      </c>
    </row>
    <row r="299" ht="14.25" customHeight="1">
      <c r="A299" s="11"/>
      <c r="B299" s="11" t="e">
        <v>#N/A</v>
      </c>
      <c r="C299" s="11" t="s">
        <v>106</v>
      </c>
      <c r="D299" s="11"/>
      <c r="E299" s="27"/>
      <c r="F299" s="29" t="e">
        <v>#N/A</v>
      </c>
      <c r="G299" s="11" t="s">
        <v>948</v>
      </c>
      <c r="H299" s="11"/>
      <c r="I299" s="11"/>
      <c r="J299" s="11" t="e">
        <v>#N/A</v>
      </c>
      <c r="K299" s="11" t="e">
        <v>#N/A</v>
      </c>
      <c r="L299" s="11">
        <v>16.0</v>
      </c>
      <c r="M299" s="11" t="e">
        <v>#N/A</v>
      </c>
      <c r="N299" s="11" t="e">
        <v>#N/A</v>
      </c>
      <c r="O299" s="11" t="e">
        <v>#N/A</v>
      </c>
      <c r="P299" s="11" t="e">
        <v>#N/A</v>
      </c>
      <c r="Q299" s="11" t="e">
        <v>#N/A</v>
      </c>
      <c r="R299" s="11" t="e">
        <v>#N/A</v>
      </c>
      <c r="S299" s="11" t="e">
        <v>#N/A</v>
      </c>
      <c r="T299" s="11" t="e">
        <v>#N/A</v>
      </c>
      <c r="U299" s="11" t="e">
        <v>#N/A</v>
      </c>
      <c r="V299" s="11">
        <v>16.0</v>
      </c>
      <c r="W299" s="11"/>
      <c r="X299" s="11" t="e">
        <v>#N/A</v>
      </c>
      <c r="Y299" s="29" t="e">
        <v>#N/A</v>
      </c>
    </row>
    <row r="300" ht="14.25" customHeight="1">
      <c r="A300" s="11"/>
      <c r="B300" s="11" t="e">
        <v>#N/A</v>
      </c>
      <c r="C300" s="11" t="s">
        <v>106</v>
      </c>
      <c r="D300" s="11"/>
      <c r="E300" s="27"/>
      <c r="F300" s="29" t="e">
        <v>#N/A</v>
      </c>
      <c r="G300" s="11" t="s">
        <v>859</v>
      </c>
      <c r="H300" s="11"/>
      <c r="I300" s="11"/>
      <c r="J300" s="11" t="e">
        <v>#N/A</v>
      </c>
      <c r="K300" s="11" t="e">
        <v>#N/A</v>
      </c>
      <c r="L300" s="11">
        <v>16.0</v>
      </c>
      <c r="M300" s="11" t="e">
        <v>#N/A</v>
      </c>
      <c r="N300" s="11" t="e">
        <v>#N/A</v>
      </c>
      <c r="O300" s="11" t="e">
        <v>#N/A</v>
      </c>
      <c r="P300" s="11" t="e">
        <v>#N/A</v>
      </c>
      <c r="Q300" s="11" t="e">
        <v>#N/A</v>
      </c>
      <c r="R300" s="11" t="e">
        <v>#N/A</v>
      </c>
      <c r="S300" s="11" t="e">
        <v>#N/A</v>
      </c>
      <c r="T300" s="11" t="e">
        <v>#N/A</v>
      </c>
      <c r="U300" s="11" t="e">
        <v>#N/A</v>
      </c>
      <c r="V300" s="11">
        <v>16.0</v>
      </c>
      <c r="W300" s="11"/>
      <c r="X300" s="11" t="e">
        <v>#N/A</v>
      </c>
      <c r="Y300" s="29" t="e">
        <v>#N/A</v>
      </c>
    </row>
    <row r="301" ht="14.25" customHeight="1">
      <c r="A301" s="11"/>
      <c r="B301" s="11" t="e">
        <v>#N/A</v>
      </c>
      <c r="C301" s="11" t="s">
        <v>106</v>
      </c>
      <c r="D301" s="11"/>
      <c r="E301" s="27"/>
      <c r="F301" s="29" t="e">
        <v>#N/A</v>
      </c>
      <c r="G301" s="11" t="s">
        <v>1117</v>
      </c>
      <c r="H301" s="11"/>
      <c r="I301" s="11"/>
      <c r="J301" s="11" t="e">
        <v>#N/A</v>
      </c>
      <c r="K301" s="11" t="e">
        <v>#N/A</v>
      </c>
      <c r="L301" s="11">
        <v>16.0</v>
      </c>
      <c r="M301" s="11" t="e">
        <v>#N/A</v>
      </c>
      <c r="N301" s="11" t="e">
        <v>#N/A</v>
      </c>
      <c r="O301" s="11" t="e">
        <v>#N/A</v>
      </c>
      <c r="P301" s="11" t="e">
        <v>#N/A</v>
      </c>
      <c r="Q301" s="11" t="e">
        <v>#N/A</v>
      </c>
      <c r="R301" s="11" t="e">
        <v>#N/A</v>
      </c>
      <c r="S301" s="11" t="e">
        <v>#N/A</v>
      </c>
      <c r="T301" s="11" t="e">
        <v>#N/A</v>
      </c>
      <c r="U301" s="11" t="e">
        <v>#N/A</v>
      </c>
      <c r="V301" s="11">
        <v>16.0</v>
      </c>
      <c r="W301" s="11"/>
      <c r="X301" s="11" t="e">
        <v>#N/A</v>
      </c>
      <c r="Y301" s="29" t="e">
        <v>#N/A</v>
      </c>
    </row>
    <row r="302" ht="14.25" customHeight="1">
      <c r="A302" s="11"/>
      <c r="B302" s="11" t="e">
        <v>#N/A</v>
      </c>
      <c r="C302" s="11" t="s">
        <v>106</v>
      </c>
      <c r="D302" s="11"/>
      <c r="E302" s="27"/>
      <c r="F302" s="29" t="e">
        <v>#N/A</v>
      </c>
      <c r="G302" s="11" t="s">
        <v>500</v>
      </c>
      <c r="H302" s="11"/>
      <c r="I302" s="11"/>
      <c r="J302" s="11" t="e">
        <v>#N/A</v>
      </c>
      <c r="K302" s="11" t="e">
        <v>#N/A</v>
      </c>
      <c r="L302" s="11">
        <v>16.0</v>
      </c>
      <c r="M302" s="11" t="e">
        <v>#N/A</v>
      </c>
      <c r="N302" s="11" t="e">
        <v>#N/A</v>
      </c>
      <c r="O302" s="11" t="e">
        <v>#N/A</v>
      </c>
      <c r="P302" s="11" t="e">
        <v>#N/A</v>
      </c>
      <c r="Q302" s="11" t="e">
        <v>#N/A</v>
      </c>
      <c r="R302" s="11" t="e">
        <v>#N/A</v>
      </c>
      <c r="S302" s="11" t="e">
        <v>#N/A</v>
      </c>
      <c r="T302" s="11" t="e">
        <v>#N/A</v>
      </c>
      <c r="U302" s="11" t="e">
        <v>#N/A</v>
      </c>
      <c r="V302" s="11">
        <v>16.0</v>
      </c>
      <c r="W302" s="11"/>
      <c r="X302" s="11" t="e">
        <v>#N/A</v>
      </c>
      <c r="Y302" s="29" t="e">
        <v>#N/A</v>
      </c>
    </row>
    <row r="303" ht="14.25" customHeight="1">
      <c r="A303" s="11"/>
      <c r="B303" s="11" t="e">
        <v>#N/A</v>
      </c>
      <c r="C303" s="11" t="s">
        <v>106</v>
      </c>
      <c r="D303" s="11"/>
      <c r="E303" s="27"/>
      <c r="F303" s="29" t="e">
        <v>#N/A</v>
      </c>
      <c r="G303" s="11" t="s">
        <v>433</v>
      </c>
      <c r="H303" s="11"/>
      <c r="I303" s="11"/>
      <c r="J303" s="11" t="e">
        <v>#N/A</v>
      </c>
      <c r="K303" s="11" t="e">
        <v>#N/A</v>
      </c>
      <c r="L303" s="11">
        <v>16.0</v>
      </c>
      <c r="M303" s="11" t="e">
        <v>#N/A</v>
      </c>
      <c r="N303" s="11" t="e">
        <v>#N/A</v>
      </c>
      <c r="O303" s="11" t="e">
        <v>#N/A</v>
      </c>
      <c r="P303" s="11" t="e">
        <v>#N/A</v>
      </c>
      <c r="Q303" s="11" t="e">
        <v>#N/A</v>
      </c>
      <c r="R303" s="11" t="e">
        <v>#N/A</v>
      </c>
      <c r="S303" s="11" t="e">
        <v>#N/A</v>
      </c>
      <c r="T303" s="11" t="e">
        <v>#N/A</v>
      </c>
      <c r="U303" s="11" t="e">
        <v>#N/A</v>
      </c>
      <c r="V303" s="11">
        <v>16.0</v>
      </c>
      <c r="W303" s="11"/>
      <c r="X303" s="11" t="e">
        <v>#N/A</v>
      </c>
      <c r="Y303" s="29" t="e">
        <v>#N/A</v>
      </c>
    </row>
    <row r="304" ht="14.25" customHeight="1">
      <c r="A304" s="11"/>
      <c r="B304" s="11" t="e">
        <v>#N/A</v>
      </c>
      <c r="C304" s="11" t="s">
        <v>106</v>
      </c>
      <c r="D304" s="11"/>
      <c r="E304" s="27"/>
      <c r="F304" s="29" t="e">
        <v>#N/A</v>
      </c>
      <c r="G304" s="11" t="s">
        <v>1119</v>
      </c>
      <c r="H304" s="11"/>
      <c r="I304" s="11"/>
      <c r="J304" s="11" t="e">
        <v>#N/A</v>
      </c>
      <c r="K304" s="11" t="e">
        <v>#N/A</v>
      </c>
      <c r="L304" s="11">
        <v>16.0</v>
      </c>
      <c r="M304" s="11" t="e">
        <v>#N/A</v>
      </c>
      <c r="N304" s="11" t="e">
        <v>#N/A</v>
      </c>
      <c r="O304" s="11" t="e">
        <v>#N/A</v>
      </c>
      <c r="P304" s="11" t="e">
        <v>#N/A</v>
      </c>
      <c r="Q304" s="11" t="e">
        <v>#N/A</v>
      </c>
      <c r="R304" s="11" t="e">
        <v>#N/A</v>
      </c>
      <c r="S304" s="11" t="e">
        <v>#N/A</v>
      </c>
      <c r="T304" s="11" t="e">
        <v>#N/A</v>
      </c>
      <c r="U304" s="11" t="e">
        <v>#N/A</v>
      </c>
      <c r="V304" s="11">
        <v>16.0</v>
      </c>
      <c r="W304" s="11"/>
      <c r="X304" s="11" t="e">
        <v>#N/A</v>
      </c>
      <c r="Y304" s="29" t="e">
        <v>#N/A</v>
      </c>
    </row>
    <row r="305" ht="14.25" customHeight="1">
      <c r="A305" s="11"/>
      <c r="B305" s="11" t="e">
        <v>#N/A</v>
      </c>
      <c r="C305" s="11" t="s">
        <v>106</v>
      </c>
      <c r="D305" s="11"/>
      <c r="E305" s="27"/>
      <c r="F305" s="29" t="e">
        <v>#N/A</v>
      </c>
      <c r="G305" s="11" t="s">
        <v>1120</v>
      </c>
      <c r="H305" s="11"/>
      <c r="I305" s="11"/>
      <c r="J305" s="11" t="e">
        <v>#N/A</v>
      </c>
      <c r="K305" s="11" t="e">
        <v>#N/A</v>
      </c>
      <c r="L305" s="11">
        <v>16.0</v>
      </c>
      <c r="M305" s="11" t="e">
        <v>#N/A</v>
      </c>
      <c r="N305" s="11" t="e">
        <v>#N/A</v>
      </c>
      <c r="O305" s="11" t="e">
        <v>#N/A</v>
      </c>
      <c r="P305" s="11" t="e">
        <v>#N/A</v>
      </c>
      <c r="Q305" s="11" t="e">
        <v>#N/A</v>
      </c>
      <c r="R305" s="11" t="e">
        <v>#N/A</v>
      </c>
      <c r="S305" s="11" t="e">
        <v>#N/A</v>
      </c>
      <c r="T305" s="11" t="e">
        <v>#N/A</v>
      </c>
      <c r="U305" s="11" t="e">
        <v>#N/A</v>
      </c>
      <c r="V305" s="11">
        <v>16.0</v>
      </c>
      <c r="W305" s="11"/>
      <c r="X305" s="11" t="e">
        <v>#N/A</v>
      </c>
      <c r="Y305" s="29" t="e">
        <v>#N/A</v>
      </c>
    </row>
    <row r="306" ht="14.25" customHeight="1">
      <c r="A306" s="11"/>
      <c r="B306" s="11">
        <v>22.0</v>
      </c>
      <c r="C306" s="11" t="s">
        <v>106</v>
      </c>
      <c r="D306" s="11"/>
      <c r="E306" s="27"/>
      <c r="F306" s="29" t="s">
        <v>866</v>
      </c>
      <c r="G306" s="11" t="s">
        <v>446</v>
      </c>
      <c r="H306" s="11" t="s">
        <v>49</v>
      </c>
      <c r="I306" s="11" t="s">
        <v>781</v>
      </c>
      <c r="J306" s="11"/>
      <c r="K306" s="11"/>
      <c r="L306" s="11">
        <v>16.0</v>
      </c>
      <c r="M306" s="11" t="s">
        <v>36</v>
      </c>
      <c r="N306" s="11">
        <v>247.0</v>
      </c>
      <c r="O306" s="11" t="e">
        <v>#VALUE!</v>
      </c>
      <c r="P306" s="11" t="s">
        <v>36</v>
      </c>
      <c r="Q306" s="11">
        <v>259.0</v>
      </c>
      <c r="R306" s="11">
        <v>264.0</v>
      </c>
      <c r="S306" s="11">
        <v>256.0</v>
      </c>
      <c r="T306" s="11" t="s">
        <v>36</v>
      </c>
      <c r="U306" s="11">
        <v>256.0</v>
      </c>
      <c r="V306" s="11">
        <v>22.0</v>
      </c>
      <c r="W306" s="11"/>
      <c r="X306" s="11" t="e">
        <v>#VALUE!</v>
      </c>
      <c r="Y306" s="29" t="s">
        <v>866</v>
      </c>
    </row>
    <row r="307" ht="14.25" customHeight="1">
      <c r="E307" s="86"/>
    </row>
    <row r="308" ht="14.25" customHeight="1">
      <c r="E308" s="86"/>
    </row>
    <row r="309" ht="14.25" customHeight="1">
      <c r="E309" s="86"/>
    </row>
    <row r="310" ht="14.25" customHeight="1">
      <c r="E310" s="86"/>
    </row>
    <row r="311" ht="14.25" customHeight="1">
      <c r="E311" s="86"/>
    </row>
    <row r="312" ht="14.25" customHeight="1">
      <c r="E312" s="86"/>
      <c r="F312" s="1" t="s">
        <v>22</v>
      </c>
    </row>
    <row r="313" ht="14.25" customHeight="1">
      <c r="E313" s="86"/>
    </row>
    <row r="314" ht="14.25" customHeight="1">
      <c r="E314" s="86"/>
    </row>
    <row r="315" ht="14.25" customHeight="1">
      <c r="E315" s="86"/>
    </row>
    <row r="316" ht="14.25" customHeight="1">
      <c r="E316" s="86"/>
    </row>
    <row r="317" ht="14.25" customHeight="1">
      <c r="E317" s="86"/>
    </row>
    <row r="318" ht="14.25" customHeight="1">
      <c r="E318" s="86"/>
    </row>
    <row r="319" ht="14.25" customHeight="1">
      <c r="E319" s="86"/>
    </row>
    <row r="320" ht="14.25" customHeight="1">
      <c r="E320" s="86"/>
    </row>
    <row r="321" ht="14.25" customHeight="1">
      <c r="E321" s="86"/>
    </row>
    <row r="322" ht="14.25" customHeight="1">
      <c r="E322" s="86"/>
    </row>
    <row r="323" ht="14.25" customHeight="1">
      <c r="E323" s="86"/>
    </row>
    <row r="324" ht="14.25" customHeight="1">
      <c r="E324" s="86"/>
    </row>
    <row r="325" ht="14.25" customHeight="1">
      <c r="E325" s="86"/>
    </row>
    <row r="326" ht="14.25" customHeight="1">
      <c r="E326" s="86"/>
    </row>
    <row r="327" ht="14.25" customHeight="1">
      <c r="E327" s="86"/>
    </row>
    <row r="328" ht="14.25" customHeight="1">
      <c r="E328" s="86"/>
    </row>
    <row r="329" ht="14.25" customHeight="1">
      <c r="E329" s="86"/>
    </row>
    <row r="330" ht="14.25" customHeight="1">
      <c r="E330" s="86"/>
    </row>
    <row r="331" ht="14.25" customHeight="1">
      <c r="E331" s="86"/>
    </row>
    <row r="332" ht="14.25" customHeight="1">
      <c r="E332" s="86"/>
    </row>
    <row r="333" ht="14.25" customHeight="1">
      <c r="E333" s="86"/>
    </row>
    <row r="334" ht="14.25" customHeight="1">
      <c r="E334" s="86"/>
    </row>
    <row r="335" ht="14.25" customHeight="1">
      <c r="E335" s="86"/>
    </row>
    <row r="336" ht="14.25" customHeight="1">
      <c r="E336" s="86"/>
    </row>
    <row r="337" ht="14.25" customHeight="1">
      <c r="E337" s="86"/>
    </row>
    <row r="338" ht="14.25" customHeight="1">
      <c r="E338" s="86"/>
    </row>
    <row r="339" ht="14.25" customHeight="1">
      <c r="E339" s="86"/>
    </row>
    <row r="340" ht="14.25" customHeight="1">
      <c r="E340" s="86"/>
    </row>
    <row r="341" ht="14.25" customHeight="1">
      <c r="E341" s="86"/>
    </row>
    <row r="342" ht="14.25" customHeight="1">
      <c r="E342" s="86"/>
    </row>
    <row r="343" ht="14.25" customHeight="1">
      <c r="E343" s="86"/>
    </row>
    <row r="344" ht="14.25" customHeight="1">
      <c r="E344" s="86"/>
    </row>
    <row r="345" ht="14.25" customHeight="1">
      <c r="E345" s="86"/>
    </row>
    <row r="346" ht="14.25" customHeight="1">
      <c r="E346" s="86"/>
    </row>
    <row r="347" ht="14.25" customHeight="1">
      <c r="E347" s="86"/>
    </row>
    <row r="348" ht="14.25" customHeight="1">
      <c r="E348" s="86"/>
    </row>
    <row r="349" ht="14.25" customHeight="1">
      <c r="E349" s="86"/>
    </row>
    <row r="350" ht="14.25" customHeight="1">
      <c r="E350" s="86"/>
    </row>
    <row r="351" ht="14.25" customHeight="1">
      <c r="E351" s="86"/>
    </row>
    <row r="352" ht="14.25" customHeight="1">
      <c r="E352" s="86"/>
    </row>
    <row r="353" ht="14.25" customHeight="1">
      <c r="E353" s="86"/>
    </row>
    <row r="354" ht="14.25" customHeight="1">
      <c r="E354" s="86"/>
    </row>
    <row r="355" ht="14.25" customHeight="1">
      <c r="E355" s="86"/>
    </row>
    <row r="356" ht="14.25" customHeight="1">
      <c r="E356" s="86"/>
    </row>
    <row r="357" ht="14.25" customHeight="1">
      <c r="E357" s="86"/>
    </row>
    <row r="358" ht="14.25" customHeight="1">
      <c r="E358" s="86"/>
    </row>
    <row r="359" ht="14.25" customHeight="1">
      <c r="E359" s="86"/>
    </row>
    <row r="360" ht="14.25" customHeight="1">
      <c r="E360" s="86"/>
    </row>
    <row r="361" ht="14.25" customHeight="1">
      <c r="E361" s="86"/>
    </row>
    <row r="362" ht="14.25" customHeight="1">
      <c r="E362" s="86"/>
    </row>
    <row r="363" ht="14.25" customHeight="1">
      <c r="E363" s="86"/>
    </row>
    <row r="364" ht="14.25" customHeight="1">
      <c r="E364" s="86"/>
    </row>
    <row r="365" ht="14.25" customHeight="1">
      <c r="E365" s="86"/>
    </row>
    <row r="366" ht="14.25" customHeight="1">
      <c r="E366" s="86"/>
    </row>
    <row r="367" ht="14.25" customHeight="1">
      <c r="E367" s="86"/>
    </row>
    <row r="368" ht="14.25" customHeight="1">
      <c r="E368" s="86"/>
    </row>
    <row r="369" ht="14.25" customHeight="1">
      <c r="E369" s="86"/>
    </row>
    <row r="370" ht="14.25" customHeight="1">
      <c r="E370" s="86"/>
    </row>
    <row r="371" ht="14.25" customHeight="1">
      <c r="E371" s="86"/>
    </row>
    <row r="372" ht="14.25" customHeight="1">
      <c r="E372" s="86"/>
    </row>
    <row r="373" ht="14.25" customHeight="1">
      <c r="E373" s="86"/>
    </row>
    <row r="374" ht="14.25" customHeight="1">
      <c r="E374" s="86"/>
    </row>
    <row r="375" ht="14.25" customHeight="1">
      <c r="E375" s="86"/>
    </row>
    <row r="376" ht="14.25" customHeight="1">
      <c r="E376" s="86"/>
    </row>
    <row r="377" ht="14.25" customHeight="1">
      <c r="E377" s="86"/>
    </row>
    <row r="378" ht="14.25" customHeight="1">
      <c r="E378" s="86"/>
    </row>
    <row r="379" ht="14.25" customHeight="1">
      <c r="E379" s="86"/>
    </row>
    <row r="380" ht="14.25" customHeight="1">
      <c r="E380" s="86"/>
    </row>
    <row r="381" ht="14.25" customHeight="1">
      <c r="E381" s="86"/>
    </row>
    <row r="382" ht="14.25" customHeight="1">
      <c r="E382" s="86"/>
    </row>
    <row r="383" ht="14.25" customHeight="1">
      <c r="E383" s="86"/>
    </row>
    <row r="384" ht="14.25" customHeight="1">
      <c r="E384" s="86"/>
    </row>
    <row r="385" ht="14.25" customHeight="1">
      <c r="E385" s="86"/>
    </row>
    <row r="386" ht="14.25" customHeight="1">
      <c r="E386" s="86"/>
    </row>
    <row r="387" ht="14.25" customHeight="1">
      <c r="E387" s="86"/>
    </row>
    <row r="388" ht="14.25" customHeight="1">
      <c r="E388" s="86"/>
    </row>
    <row r="389" ht="14.25" customHeight="1">
      <c r="E389" s="86"/>
    </row>
    <row r="390" ht="14.25" customHeight="1">
      <c r="E390" s="86"/>
    </row>
    <row r="391" ht="14.25" customHeight="1">
      <c r="E391" s="86"/>
    </row>
    <row r="392" ht="14.25" customHeight="1">
      <c r="E392" s="86"/>
    </row>
    <row r="393" ht="14.25" customHeight="1">
      <c r="E393" s="86"/>
    </row>
    <row r="394" ht="14.25" customHeight="1">
      <c r="E394" s="86"/>
    </row>
    <row r="395" ht="14.25" customHeight="1">
      <c r="E395" s="86"/>
    </row>
    <row r="396" ht="14.25" customHeight="1">
      <c r="E396" s="86"/>
    </row>
    <row r="397" ht="14.25" customHeight="1">
      <c r="E397" s="86"/>
    </row>
    <row r="398" ht="14.25" customHeight="1">
      <c r="E398" s="86"/>
    </row>
    <row r="399" ht="14.25" customHeight="1">
      <c r="E399" s="86"/>
    </row>
    <row r="400" ht="14.25" customHeight="1">
      <c r="E400" s="86"/>
    </row>
    <row r="401" ht="14.25" customHeight="1">
      <c r="E401" s="86"/>
    </row>
    <row r="402" ht="14.25" customHeight="1">
      <c r="E402" s="86"/>
    </row>
    <row r="403" ht="14.25" customHeight="1">
      <c r="E403" s="86"/>
    </row>
    <row r="404" ht="14.25" customHeight="1">
      <c r="E404" s="86"/>
    </row>
    <row r="405" ht="14.25" customHeight="1">
      <c r="E405" s="86"/>
    </row>
    <row r="406" ht="14.25" customHeight="1">
      <c r="E406" s="86"/>
    </row>
    <row r="407" ht="14.25" customHeight="1">
      <c r="E407" s="86"/>
    </row>
    <row r="408" ht="14.25" customHeight="1">
      <c r="E408" s="86"/>
    </row>
    <row r="409" ht="14.25" customHeight="1">
      <c r="E409" s="86"/>
    </row>
    <row r="410" ht="14.25" customHeight="1">
      <c r="E410" s="86"/>
    </row>
    <row r="411" ht="14.25" customHeight="1">
      <c r="E411" s="86"/>
    </row>
    <row r="412" ht="14.25" customHeight="1">
      <c r="E412" s="86"/>
    </row>
    <row r="413" ht="14.25" customHeight="1">
      <c r="E413" s="86"/>
    </row>
    <row r="414" ht="14.25" customHeight="1">
      <c r="E414" s="86"/>
    </row>
    <row r="415" ht="14.25" customHeight="1">
      <c r="E415" s="86"/>
    </row>
    <row r="416" ht="14.25" customHeight="1">
      <c r="E416" s="86"/>
    </row>
    <row r="417" ht="14.25" customHeight="1">
      <c r="E417" s="86"/>
    </row>
    <row r="418" ht="14.25" customHeight="1">
      <c r="E418" s="86"/>
    </row>
    <row r="419" ht="14.25" customHeight="1">
      <c r="E419" s="86"/>
    </row>
    <row r="420" ht="14.25" customHeight="1">
      <c r="E420" s="86"/>
    </row>
    <row r="421" ht="14.25" customHeight="1">
      <c r="E421" s="86"/>
    </row>
    <row r="422" ht="14.25" customHeight="1">
      <c r="E422" s="86"/>
    </row>
    <row r="423" ht="14.25" customHeight="1">
      <c r="E423" s="86"/>
    </row>
    <row r="424" ht="14.25" customHeight="1">
      <c r="E424" s="86"/>
    </row>
    <row r="425" ht="14.25" customHeight="1">
      <c r="E425" s="86"/>
    </row>
    <row r="426" ht="14.25" customHeight="1">
      <c r="E426" s="86"/>
    </row>
    <row r="427" ht="14.25" customHeight="1">
      <c r="E427" s="86"/>
    </row>
    <row r="428" ht="14.25" customHeight="1">
      <c r="E428" s="86"/>
    </row>
    <row r="429" ht="14.25" customHeight="1">
      <c r="E429" s="86"/>
    </row>
    <row r="430" ht="14.25" customHeight="1">
      <c r="E430" s="86"/>
    </row>
    <row r="431" ht="14.25" customHeight="1">
      <c r="E431" s="86"/>
    </row>
    <row r="432" ht="14.25" customHeight="1">
      <c r="E432" s="86"/>
    </row>
    <row r="433" ht="14.25" customHeight="1">
      <c r="E433" s="86"/>
    </row>
    <row r="434" ht="14.25" customHeight="1">
      <c r="E434" s="86"/>
    </row>
    <row r="435" ht="14.25" customHeight="1">
      <c r="E435" s="86"/>
    </row>
    <row r="436" ht="14.25" customHeight="1">
      <c r="E436" s="86"/>
    </row>
    <row r="437" ht="14.25" customHeight="1">
      <c r="E437" s="86"/>
    </row>
    <row r="438" ht="14.25" customHeight="1">
      <c r="E438" s="86"/>
    </row>
    <row r="439" ht="14.25" customHeight="1">
      <c r="E439" s="86"/>
    </row>
    <row r="440" ht="14.25" customHeight="1">
      <c r="E440" s="86"/>
    </row>
    <row r="441" ht="14.25" customHeight="1">
      <c r="E441" s="86"/>
    </row>
    <row r="442" ht="14.25" customHeight="1">
      <c r="E442" s="86"/>
    </row>
    <row r="443" ht="14.25" customHeight="1">
      <c r="E443" s="86"/>
    </row>
    <row r="444" ht="14.25" customHeight="1">
      <c r="E444" s="86"/>
    </row>
    <row r="445" ht="14.25" customHeight="1">
      <c r="E445" s="86"/>
    </row>
    <row r="446" ht="14.25" customHeight="1">
      <c r="E446" s="86"/>
    </row>
    <row r="447" ht="14.25" customHeight="1">
      <c r="E447" s="86"/>
    </row>
    <row r="448" ht="14.25" customHeight="1">
      <c r="E448" s="86"/>
    </row>
    <row r="449" ht="14.25" customHeight="1">
      <c r="E449" s="86"/>
    </row>
    <row r="450" ht="14.25" customHeight="1">
      <c r="E450" s="86"/>
    </row>
    <row r="451" ht="14.25" customHeight="1">
      <c r="E451" s="86"/>
    </row>
    <row r="452" ht="14.25" customHeight="1">
      <c r="E452" s="86"/>
    </row>
    <row r="453" ht="14.25" customHeight="1">
      <c r="E453" s="86"/>
    </row>
    <row r="454" ht="14.25" customHeight="1">
      <c r="E454" s="86"/>
    </row>
    <row r="455" ht="14.25" customHeight="1">
      <c r="E455" s="86"/>
    </row>
    <row r="456" ht="14.25" customHeight="1">
      <c r="E456" s="86"/>
    </row>
    <row r="457" ht="14.25" customHeight="1">
      <c r="E457" s="86"/>
    </row>
    <row r="458" ht="14.25" customHeight="1">
      <c r="E458" s="86"/>
    </row>
    <row r="459" ht="14.25" customHeight="1">
      <c r="E459" s="86"/>
    </row>
    <row r="460" ht="14.25" customHeight="1">
      <c r="E460" s="86"/>
    </row>
    <row r="461" ht="14.25" customHeight="1">
      <c r="E461" s="86"/>
    </row>
    <row r="462" ht="14.25" customHeight="1">
      <c r="E462" s="86"/>
    </row>
    <row r="463" ht="14.25" customHeight="1">
      <c r="E463" s="86"/>
    </row>
    <row r="464" ht="14.25" customHeight="1">
      <c r="E464" s="86"/>
    </row>
    <row r="465" ht="14.25" customHeight="1">
      <c r="E465" s="86"/>
    </row>
    <row r="466" ht="14.25" customHeight="1">
      <c r="E466" s="86"/>
    </row>
    <row r="467" ht="14.25" customHeight="1">
      <c r="E467" s="86"/>
    </row>
    <row r="468" ht="14.25" customHeight="1">
      <c r="E468" s="86"/>
    </row>
    <row r="469" ht="14.25" customHeight="1">
      <c r="E469" s="86"/>
    </row>
    <row r="470" ht="14.25" customHeight="1">
      <c r="E470" s="86"/>
    </row>
    <row r="471" ht="14.25" customHeight="1">
      <c r="E471" s="86"/>
    </row>
    <row r="472" ht="14.25" customHeight="1">
      <c r="E472" s="86"/>
    </row>
    <row r="473" ht="14.25" customHeight="1">
      <c r="E473" s="86"/>
    </row>
    <row r="474" ht="14.25" customHeight="1">
      <c r="E474" s="86"/>
    </row>
    <row r="475" ht="14.25" customHeight="1">
      <c r="E475" s="86"/>
    </row>
    <row r="476" ht="14.25" customHeight="1">
      <c r="E476" s="86"/>
    </row>
    <row r="477" ht="14.25" customHeight="1">
      <c r="E477" s="86"/>
    </row>
    <row r="478" ht="14.25" customHeight="1">
      <c r="E478" s="86"/>
    </row>
    <row r="479" ht="14.25" customHeight="1">
      <c r="E479" s="86"/>
    </row>
    <row r="480" ht="14.25" customHeight="1">
      <c r="E480" s="86"/>
    </row>
    <row r="481" ht="14.25" customHeight="1">
      <c r="E481" s="86"/>
    </row>
    <row r="482" ht="14.25" customHeight="1">
      <c r="E482" s="86"/>
    </row>
    <row r="483" ht="14.25" customHeight="1">
      <c r="E483" s="86"/>
    </row>
    <row r="484" ht="14.25" customHeight="1">
      <c r="E484" s="86"/>
    </row>
    <row r="485" ht="14.25" customHeight="1">
      <c r="E485" s="86"/>
    </row>
    <row r="486" ht="14.25" customHeight="1">
      <c r="E486" s="86"/>
    </row>
    <row r="487" ht="14.25" customHeight="1">
      <c r="E487" s="86"/>
    </row>
    <row r="488" ht="14.25" customHeight="1">
      <c r="E488" s="86"/>
    </row>
    <row r="489" ht="14.25" customHeight="1">
      <c r="E489" s="86"/>
    </row>
    <row r="490" ht="14.25" customHeight="1">
      <c r="E490" s="86"/>
    </row>
    <row r="491" ht="14.25" customHeight="1">
      <c r="E491" s="86"/>
    </row>
    <row r="492" ht="14.25" customHeight="1">
      <c r="E492" s="86"/>
    </row>
    <row r="493" ht="14.25" customHeight="1">
      <c r="E493" s="86"/>
    </row>
    <row r="494" ht="14.25" customHeight="1">
      <c r="E494" s="86"/>
    </row>
    <row r="495" ht="14.25" customHeight="1">
      <c r="E495" s="86"/>
    </row>
    <row r="496" ht="14.25" customHeight="1">
      <c r="E496" s="86"/>
    </row>
    <row r="497" ht="14.25" customHeight="1">
      <c r="E497" s="86"/>
    </row>
    <row r="498" ht="14.25" customHeight="1">
      <c r="E498" s="86"/>
    </row>
    <row r="499" ht="14.25" customHeight="1">
      <c r="E499" s="86"/>
    </row>
    <row r="500" ht="14.25" customHeight="1">
      <c r="E500" s="86"/>
    </row>
    <row r="501" ht="14.25" customHeight="1">
      <c r="E501" s="86"/>
    </row>
    <row r="502" ht="14.25" customHeight="1">
      <c r="E502" s="86"/>
    </row>
    <row r="503" ht="14.25" customHeight="1">
      <c r="E503" s="86"/>
    </row>
    <row r="504" ht="14.25" customHeight="1">
      <c r="E504" s="86"/>
    </row>
    <row r="505" ht="14.25" customHeight="1">
      <c r="E505" s="86"/>
    </row>
    <row r="506" ht="14.25" customHeight="1">
      <c r="E506" s="86"/>
    </row>
    <row r="507" ht="14.25" customHeight="1">
      <c r="E507" s="86"/>
    </row>
    <row r="508" ht="14.25" customHeight="1">
      <c r="E508" s="86"/>
    </row>
    <row r="509" ht="14.25" customHeight="1">
      <c r="E509" s="86"/>
    </row>
    <row r="510" ht="14.25" customHeight="1">
      <c r="E510" s="86"/>
    </row>
    <row r="511" ht="14.25" customHeight="1">
      <c r="E511" s="86"/>
    </row>
    <row r="512" ht="14.25" customHeight="1">
      <c r="E512" s="86"/>
    </row>
    <row r="513" ht="14.25" customHeight="1">
      <c r="E513" s="86"/>
    </row>
    <row r="514" ht="14.25" customHeight="1">
      <c r="E514" s="86"/>
    </row>
    <row r="515" ht="14.25" customHeight="1">
      <c r="E515" s="86"/>
    </row>
    <row r="516" ht="14.25" customHeight="1">
      <c r="E516" s="86"/>
    </row>
    <row r="517" ht="14.25" customHeight="1">
      <c r="E517" s="86"/>
    </row>
    <row r="518" ht="14.25" customHeight="1">
      <c r="E518" s="86"/>
    </row>
    <row r="519" ht="14.25" customHeight="1">
      <c r="E519" s="86"/>
    </row>
    <row r="520" ht="14.25" customHeight="1">
      <c r="E520" s="86"/>
    </row>
    <row r="521" ht="14.25" customHeight="1">
      <c r="E521" s="86"/>
    </row>
    <row r="522" ht="14.25" customHeight="1">
      <c r="E522" s="86"/>
    </row>
    <row r="523" ht="14.25" customHeight="1">
      <c r="E523" s="86"/>
    </row>
    <row r="524" ht="14.25" customHeight="1">
      <c r="E524" s="86"/>
    </row>
    <row r="525" ht="14.25" customHeight="1">
      <c r="E525" s="86"/>
    </row>
    <row r="526" ht="14.25" customHeight="1">
      <c r="E526" s="86"/>
    </row>
    <row r="527" ht="14.25" customHeight="1">
      <c r="E527" s="86"/>
    </row>
    <row r="528" ht="14.25" customHeight="1">
      <c r="E528" s="86"/>
    </row>
    <row r="529" ht="14.25" customHeight="1">
      <c r="E529" s="86"/>
    </row>
    <row r="530" ht="14.25" customHeight="1">
      <c r="E530" s="86"/>
    </row>
    <row r="531" ht="14.25" customHeight="1">
      <c r="E531" s="86"/>
    </row>
    <row r="532" ht="14.25" customHeight="1">
      <c r="E532" s="86"/>
    </row>
    <row r="533" ht="14.25" customHeight="1">
      <c r="E533" s="86"/>
    </row>
    <row r="534" ht="14.25" customHeight="1">
      <c r="E534" s="86"/>
    </row>
    <row r="535" ht="14.25" customHeight="1">
      <c r="E535" s="86"/>
    </row>
    <row r="536" ht="14.25" customHeight="1">
      <c r="E536" s="86"/>
    </row>
    <row r="537" ht="14.25" customHeight="1">
      <c r="E537" s="86"/>
    </row>
    <row r="538" ht="14.25" customHeight="1">
      <c r="E538" s="86"/>
    </row>
    <row r="539" ht="14.25" customHeight="1">
      <c r="E539" s="86"/>
    </row>
    <row r="540" ht="14.25" customHeight="1">
      <c r="E540" s="86"/>
    </row>
    <row r="541" ht="14.25" customHeight="1">
      <c r="E541" s="86"/>
    </row>
    <row r="542" ht="14.25" customHeight="1">
      <c r="E542" s="86"/>
    </row>
    <row r="543" ht="14.25" customHeight="1">
      <c r="E543" s="86"/>
    </row>
    <row r="544" ht="14.25" customHeight="1">
      <c r="E544" s="86"/>
    </row>
    <row r="545" ht="14.25" customHeight="1">
      <c r="E545" s="86"/>
    </row>
    <row r="546" ht="14.25" customHeight="1">
      <c r="E546" s="86"/>
    </row>
    <row r="547" ht="14.25" customHeight="1">
      <c r="E547" s="86"/>
    </row>
    <row r="548" ht="14.25" customHeight="1">
      <c r="E548" s="86"/>
    </row>
    <row r="549" ht="14.25" customHeight="1">
      <c r="E549" s="86"/>
    </row>
    <row r="550" ht="14.25" customHeight="1">
      <c r="E550" s="86"/>
    </row>
    <row r="551" ht="14.25" customHeight="1">
      <c r="E551" s="86"/>
    </row>
    <row r="552" ht="14.25" customHeight="1">
      <c r="E552" s="86"/>
    </row>
    <row r="553" ht="14.25" customHeight="1">
      <c r="E553" s="86"/>
    </row>
    <row r="554" ht="14.25" customHeight="1">
      <c r="E554" s="86"/>
    </row>
    <row r="555" ht="14.25" customHeight="1">
      <c r="E555" s="86"/>
    </row>
    <row r="556" ht="14.25" customHeight="1">
      <c r="E556" s="86"/>
    </row>
    <row r="557" ht="14.25" customHeight="1">
      <c r="E557" s="86"/>
    </row>
    <row r="558" ht="14.25" customHeight="1">
      <c r="E558" s="86"/>
    </row>
    <row r="559" ht="14.25" customHeight="1">
      <c r="E559" s="86"/>
    </row>
    <row r="560" ht="14.25" customHeight="1">
      <c r="E560" s="86"/>
    </row>
    <row r="561" ht="14.25" customHeight="1">
      <c r="E561" s="86"/>
    </row>
    <row r="562" ht="14.25" customHeight="1">
      <c r="E562" s="86"/>
    </row>
    <row r="563" ht="14.25" customHeight="1">
      <c r="E563" s="86"/>
    </row>
    <row r="564" ht="14.25" customHeight="1">
      <c r="E564" s="86"/>
    </row>
    <row r="565" ht="14.25" customHeight="1">
      <c r="E565" s="86"/>
    </row>
    <row r="566" ht="14.25" customHeight="1">
      <c r="E566" s="86"/>
    </row>
    <row r="567" ht="14.25" customHeight="1">
      <c r="E567" s="86"/>
    </row>
    <row r="568" ht="14.25" customHeight="1">
      <c r="E568" s="86"/>
    </row>
    <row r="569" ht="14.25" customHeight="1">
      <c r="E569" s="86"/>
    </row>
    <row r="570" ht="14.25" customHeight="1">
      <c r="E570" s="86"/>
    </row>
    <row r="571" ht="14.25" customHeight="1">
      <c r="E571" s="86"/>
    </row>
    <row r="572" ht="14.25" customHeight="1">
      <c r="E572" s="86"/>
    </row>
    <row r="573" ht="14.25" customHeight="1">
      <c r="E573" s="86"/>
    </row>
    <row r="574" ht="14.25" customHeight="1">
      <c r="E574" s="86"/>
    </row>
    <row r="575" ht="14.25" customHeight="1">
      <c r="E575" s="86"/>
    </row>
    <row r="576" ht="14.25" customHeight="1">
      <c r="E576" s="86"/>
    </row>
    <row r="577" ht="14.25" customHeight="1">
      <c r="E577" s="86"/>
    </row>
    <row r="578" ht="14.25" customHeight="1">
      <c r="E578" s="86"/>
    </row>
    <row r="579" ht="14.25" customHeight="1">
      <c r="E579" s="86"/>
    </row>
    <row r="580" ht="14.25" customHeight="1">
      <c r="E580" s="86"/>
    </row>
    <row r="581" ht="14.25" customHeight="1">
      <c r="E581" s="86"/>
    </row>
    <row r="582" ht="14.25" customHeight="1">
      <c r="E582" s="86"/>
    </row>
    <row r="583" ht="14.25" customHeight="1">
      <c r="E583" s="86"/>
    </row>
    <row r="584" ht="14.25" customHeight="1">
      <c r="E584" s="86"/>
    </row>
    <row r="585" ht="14.25" customHeight="1">
      <c r="E585" s="86"/>
    </row>
    <row r="586" ht="14.25" customHeight="1">
      <c r="E586" s="86"/>
    </row>
    <row r="587" ht="14.25" customHeight="1">
      <c r="E587" s="86"/>
    </row>
    <row r="588" ht="14.25" customHeight="1">
      <c r="E588" s="86"/>
    </row>
    <row r="589" ht="14.25" customHeight="1">
      <c r="E589" s="86"/>
    </row>
    <row r="590" ht="14.25" customHeight="1">
      <c r="E590" s="86"/>
    </row>
    <row r="591" ht="14.25" customHeight="1">
      <c r="E591" s="86"/>
    </row>
    <row r="592" ht="14.25" customHeight="1">
      <c r="E592" s="86"/>
    </row>
    <row r="593" ht="14.25" customHeight="1">
      <c r="E593" s="86"/>
    </row>
    <row r="594" ht="14.25" customHeight="1">
      <c r="E594" s="86"/>
    </row>
    <row r="595" ht="14.25" customHeight="1">
      <c r="E595" s="86"/>
    </row>
    <row r="596" ht="14.25" customHeight="1">
      <c r="E596" s="86"/>
    </row>
    <row r="597" ht="14.25" customHeight="1">
      <c r="E597" s="86"/>
    </row>
    <row r="598" ht="14.25" customHeight="1">
      <c r="E598" s="86"/>
    </row>
    <row r="599" ht="14.25" customHeight="1">
      <c r="E599" s="86"/>
    </row>
    <row r="600" ht="14.25" customHeight="1">
      <c r="E600" s="86"/>
    </row>
    <row r="601" ht="14.25" customHeight="1">
      <c r="E601" s="86"/>
    </row>
    <row r="602" ht="14.25" customHeight="1">
      <c r="E602" s="86"/>
    </row>
    <row r="603" ht="14.25" customHeight="1">
      <c r="E603" s="86"/>
    </row>
    <row r="604" ht="14.25" customHeight="1">
      <c r="E604" s="86"/>
    </row>
    <row r="605" ht="14.25" customHeight="1">
      <c r="E605" s="86"/>
    </row>
    <row r="606" ht="14.25" customHeight="1">
      <c r="E606" s="86"/>
    </row>
    <row r="607" ht="14.25" customHeight="1">
      <c r="E607" s="86"/>
    </row>
    <row r="608" ht="14.25" customHeight="1">
      <c r="E608" s="86"/>
    </row>
    <row r="609" ht="14.25" customHeight="1">
      <c r="E609" s="86"/>
    </row>
    <row r="610" ht="14.25" customHeight="1">
      <c r="E610" s="86"/>
    </row>
    <row r="611" ht="14.25" customHeight="1">
      <c r="E611" s="86"/>
    </row>
    <row r="612" ht="14.25" customHeight="1">
      <c r="E612" s="86"/>
    </row>
    <row r="613" ht="14.25" customHeight="1">
      <c r="E613" s="86"/>
    </row>
    <row r="614" ht="14.25" customHeight="1">
      <c r="E614" s="86"/>
    </row>
    <row r="615" ht="14.25" customHeight="1">
      <c r="E615" s="86"/>
    </row>
    <row r="616" ht="14.25" customHeight="1">
      <c r="E616" s="86"/>
    </row>
    <row r="617" ht="14.25" customHeight="1">
      <c r="E617" s="86"/>
    </row>
    <row r="618" ht="14.25" customHeight="1">
      <c r="E618" s="86"/>
    </row>
    <row r="619" ht="14.25" customHeight="1">
      <c r="E619" s="86"/>
    </row>
    <row r="620" ht="14.25" customHeight="1">
      <c r="E620" s="86"/>
    </row>
    <row r="621" ht="14.25" customHeight="1">
      <c r="E621" s="86"/>
    </row>
    <row r="622" ht="14.25" customHeight="1">
      <c r="E622" s="86"/>
    </row>
    <row r="623" ht="14.25" customHeight="1">
      <c r="E623" s="86"/>
    </row>
    <row r="624" ht="14.25" customHeight="1">
      <c r="E624" s="86"/>
    </row>
    <row r="625" ht="14.25" customHeight="1">
      <c r="E625" s="86"/>
    </row>
    <row r="626" ht="14.25" customHeight="1">
      <c r="E626" s="86"/>
    </row>
    <row r="627" ht="14.25" customHeight="1">
      <c r="E627" s="86"/>
    </row>
    <row r="628" ht="14.25" customHeight="1">
      <c r="E628" s="86"/>
    </row>
    <row r="629" ht="14.25" customHeight="1">
      <c r="E629" s="86"/>
    </row>
    <row r="630" ht="14.25" customHeight="1">
      <c r="E630" s="86"/>
    </row>
    <row r="631" ht="14.25" customHeight="1">
      <c r="E631" s="86"/>
    </row>
    <row r="632" ht="14.25" customHeight="1">
      <c r="E632" s="86"/>
    </row>
    <row r="633" ht="14.25" customHeight="1">
      <c r="E633" s="86"/>
    </row>
    <row r="634" ht="14.25" customHeight="1">
      <c r="E634" s="86"/>
    </row>
    <row r="635" ht="14.25" customHeight="1">
      <c r="E635" s="86"/>
    </row>
    <row r="636" ht="14.25" customHeight="1">
      <c r="E636" s="86"/>
    </row>
    <row r="637" ht="14.25" customHeight="1">
      <c r="E637" s="86"/>
    </row>
    <row r="638" ht="14.25" customHeight="1">
      <c r="E638" s="86"/>
    </row>
    <row r="639" ht="14.25" customHeight="1">
      <c r="E639" s="86"/>
    </row>
    <row r="640" ht="14.25" customHeight="1">
      <c r="E640" s="86"/>
    </row>
    <row r="641" ht="14.25" customHeight="1">
      <c r="E641" s="86"/>
    </row>
    <row r="642" ht="14.25" customHeight="1">
      <c r="E642" s="86"/>
    </row>
    <row r="643" ht="14.25" customHeight="1">
      <c r="E643" s="86"/>
    </row>
    <row r="644" ht="14.25" customHeight="1">
      <c r="E644" s="86"/>
    </row>
    <row r="645" ht="14.25" customHeight="1">
      <c r="E645" s="86"/>
    </row>
    <row r="646" ht="14.25" customHeight="1">
      <c r="E646" s="86"/>
    </row>
    <row r="647" ht="14.25" customHeight="1">
      <c r="E647" s="86"/>
    </row>
    <row r="648" ht="14.25" customHeight="1">
      <c r="E648" s="86"/>
    </row>
    <row r="649" ht="14.25" customHeight="1">
      <c r="E649" s="86"/>
    </row>
    <row r="650" ht="14.25" customHeight="1">
      <c r="E650" s="86"/>
    </row>
    <row r="651" ht="14.25" customHeight="1">
      <c r="E651" s="86"/>
    </row>
    <row r="652" ht="14.25" customHeight="1">
      <c r="E652" s="86"/>
    </row>
    <row r="653" ht="14.25" customHeight="1">
      <c r="E653" s="86"/>
    </row>
    <row r="654" ht="14.25" customHeight="1">
      <c r="E654" s="86"/>
    </row>
    <row r="655" ht="14.25" customHeight="1">
      <c r="E655" s="86"/>
    </row>
    <row r="656" ht="14.25" customHeight="1">
      <c r="E656" s="86"/>
    </row>
    <row r="657" ht="14.25" customHeight="1">
      <c r="E657" s="86"/>
    </row>
    <row r="658" ht="14.25" customHeight="1">
      <c r="E658" s="86"/>
    </row>
    <row r="659" ht="14.25" customHeight="1">
      <c r="E659" s="86"/>
    </row>
    <row r="660" ht="14.25" customHeight="1">
      <c r="E660" s="86"/>
    </row>
    <row r="661" ht="14.25" customHeight="1">
      <c r="E661" s="86"/>
    </row>
    <row r="662" ht="14.25" customHeight="1">
      <c r="E662" s="86"/>
    </row>
    <row r="663" ht="14.25" customHeight="1">
      <c r="E663" s="86"/>
    </row>
    <row r="664" ht="14.25" customHeight="1">
      <c r="E664" s="86"/>
    </row>
    <row r="665" ht="14.25" customHeight="1">
      <c r="E665" s="86"/>
    </row>
    <row r="666" ht="14.25" customHeight="1">
      <c r="E666" s="86"/>
    </row>
    <row r="667" ht="14.25" customHeight="1">
      <c r="E667" s="86"/>
    </row>
    <row r="668" ht="14.25" customHeight="1">
      <c r="E668" s="86"/>
    </row>
    <row r="669" ht="14.25" customHeight="1">
      <c r="E669" s="86"/>
    </row>
    <row r="670" ht="14.25" customHeight="1">
      <c r="E670" s="86"/>
    </row>
    <row r="671" ht="14.25" customHeight="1">
      <c r="E671" s="86"/>
    </row>
    <row r="672" ht="14.25" customHeight="1">
      <c r="E672" s="86"/>
    </row>
    <row r="673" ht="14.25" customHeight="1">
      <c r="E673" s="86"/>
    </row>
    <row r="674" ht="14.25" customHeight="1">
      <c r="E674" s="86"/>
    </row>
    <row r="675" ht="14.25" customHeight="1">
      <c r="E675" s="86"/>
    </row>
    <row r="676" ht="14.25" customHeight="1">
      <c r="E676" s="86"/>
    </row>
    <row r="677" ht="14.25" customHeight="1">
      <c r="E677" s="86"/>
    </row>
    <row r="678" ht="14.25" customHeight="1">
      <c r="E678" s="86"/>
    </row>
    <row r="679" ht="14.25" customHeight="1">
      <c r="E679" s="86"/>
    </row>
    <row r="680" ht="14.25" customHeight="1">
      <c r="E680" s="86"/>
    </row>
    <row r="681" ht="14.25" customHeight="1">
      <c r="E681" s="86"/>
    </row>
    <row r="682" ht="14.25" customHeight="1">
      <c r="E682" s="86"/>
    </row>
    <row r="683" ht="14.25" customHeight="1">
      <c r="E683" s="86"/>
    </row>
    <row r="684" ht="14.25" customHeight="1">
      <c r="E684" s="86"/>
    </row>
    <row r="685" ht="14.25" customHeight="1">
      <c r="E685" s="86"/>
    </row>
    <row r="686" ht="14.25" customHeight="1">
      <c r="E686" s="86"/>
    </row>
    <row r="687" ht="14.25" customHeight="1">
      <c r="E687" s="86"/>
    </row>
    <row r="688" ht="14.25" customHeight="1">
      <c r="E688" s="86"/>
    </row>
    <row r="689" ht="14.25" customHeight="1">
      <c r="E689" s="86"/>
    </row>
    <row r="690" ht="14.25" customHeight="1">
      <c r="E690" s="86"/>
    </row>
    <row r="691" ht="14.25" customHeight="1">
      <c r="E691" s="86"/>
    </row>
    <row r="692" ht="14.25" customHeight="1">
      <c r="E692" s="86"/>
    </row>
    <row r="693" ht="14.25" customHeight="1">
      <c r="E693" s="86"/>
    </row>
    <row r="694" ht="14.25" customHeight="1">
      <c r="E694" s="86"/>
    </row>
    <row r="695" ht="14.25" customHeight="1">
      <c r="E695" s="86"/>
    </row>
    <row r="696" ht="14.25" customHeight="1">
      <c r="E696" s="86"/>
    </row>
    <row r="697" ht="14.25" customHeight="1">
      <c r="E697" s="86"/>
    </row>
    <row r="698" ht="14.25" customHeight="1">
      <c r="E698" s="86"/>
    </row>
    <row r="699" ht="14.25" customHeight="1">
      <c r="E699" s="86"/>
    </row>
    <row r="700" ht="14.25" customHeight="1">
      <c r="E700" s="86"/>
    </row>
    <row r="701" ht="14.25" customHeight="1">
      <c r="E701" s="86"/>
    </row>
    <row r="702" ht="14.25" customHeight="1">
      <c r="E702" s="86"/>
    </row>
    <row r="703" ht="14.25" customHeight="1">
      <c r="E703" s="86"/>
    </row>
    <row r="704" ht="14.25" customHeight="1">
      <c r="E704" s="86"/>
    </row>
    <row r="705" ht="14.25" customHeight="1">
      <c r="E705" s="86"/>
    </row>
    <row r="706" ht="14.25" customHeight="1">
      <c r="E706" s="86"/>
    </row>
    <row r="707" ht="14.25" customHeight="1">
      <c r="E707" s="86"/>
    </row>
    <row r="708" ht="14.25" customHeight="1">
      <c r="E708" s="86"/>
    </row>
    <row r="709" ht="14.25" customHeight="1">
      <c r="E709" s="86"/>
    </row>
    <row r="710" ht="14.25" customHeight="1">
      <c r="E710" s="86"/>
    </row>
    <row r="711" ht="14.25" customHeight="1">
      <c r="E711" s="86"/>
    </row>
    <row r="712" ht="14.25" customHeight="1">
      <c r="E712" s="86"/>
    </row>
    <row r="713" ht="14.25" customHeight="1">
      <c r="E713" s="86"/>
    </row>
    <row r="714" ht="14.25" customHeight="1">
      <c r="E714" s="86"/>
    </row>
    <row r="715" ht="14.25" customHeight="1">
      <c r="E715" s="86"/>
    </row>
    <row r="716" ht="14.25" customHeight="1">
      <c r="E716" s="86"/>
    </row>
    <row r="717" ht="14.25" customHeight="1">
      <c r="E717" s="86"/>
    </row>
    <row r="718" ht="14.25" customHeight="1">
      <c r="E718" s="86"/>
    </row>
    <row r="719" ht="14.25" customHeight="1">
      <c r="E719" s="86"/>
    </row>
    <row r="720" ht="14.25" customHeight="1">
      <c r="E720" s="86"/>
    </row>
    <row r="721" ht="14.25" customHeight="1">
      <c r="E721" s="86"/>
    </row>
    <row r="722" ht="14.25" customHeight="1">
      <c r="E722" s="86"/>
    </row>
    <row r="723" ht="14.25" customHeight="1">
      <c r="E723" s="86"/>
    </row>
    <row r="724" ht="14.25" customHeight="1">
      <c r="E724" s="86"/>
    </row>
    <row r="725" ht="14.25" customHeight="1">
      <c r="E725" s="86"/>
    </row>
    <row r="726" ht="14.25" customHeight="1">
      <c r="E726" s="86"/>
    </row>
    <row r="727" ht="14.25" customHeight="1">
      <c r="E727" s="86"/>
    </row>
    <row r="728" ht="14.25" customHeight="1">
      <c r="E728" s="86"/>
    </row>
    <row r="729" ht="14.25" customHeight="1">
      <c r="E729" s="86"/>
    </row>
    <row r="730" ht="14.25" customHeight="1">
      <c r="E730" s="86"/>
    </row>
    <row r="731" ht="14.25" customHeight="1">
      <c r="E731" s="86"/>
    </row>
    <row r="732" ht="14.25" customHeight="1">
      <c r="E732" s="86"/>
    </row>
    <row r="733" ht="14.25" customHeight="1">
      <c r="E733" s="86"/>
    </row>
    <row r="734" ht="14.25" customHeight="1">
      <c r="E734" s="86"/>
    </row>
    <row r="735" ht="14.25" customHeight="1">
      <c r="E735" s="86"/>
    </row>
    <row r="736" ht="14.25" customHeight="1">
      <c r="E736" s="86"/>
    </row>
    <row r="737" ht="14.25" customHeight="1">
      <c r="E737" s="86"/>
    </row>
    <row r="738" ht="14.25" customHeight="1">
      <c r="E738" s="86"/>
    </row>
    <row r="739" ht="14.25" customHeight="1">
      <c r="E739" s="86"/>
    </row>
    <row r="740" ht="14.25" customHeight="1">
      <c r="E740" s="86"/>
    </row>
    <row r="741" ht="14.25" customHeight="1">
      <c r="E741" s="86"/>
    </row>
    <row r="742" ht="14.25" customHeight="1">
      <c r="E742" s="86"/>
    </row>
    <row r="743" ht="14.25" customHeight="1">
      <c r="E743" s="86"/>
    </row>
    <row r="744" ht="14.25" customHeight="1">
      <c r="E744" s="86"/>
    </row>
    <row r="745" ht="14.25" customHeight="1">
      <c r="E745" s="86"/>
    </row>
    <row r="746" ht="14.25" customHeight="1">
      <c r="E746" s="86"/>
    </row>
    <row r="747" ht="14.25" customHeight="1">
      <c r="E747" s="86"/>
    </row>
    <row r="748" ht="14.25" customHeight="1">
      <c r="E748" s="86"/>
    </row>
    <row r="749" ht="14.25" customHeight="1">
      <c r="E749" s="86"/>
    </row>
    <row r="750" ht="14.25" customHeight="1">
      <c r="E750" s="86"/>
    </row>
    <row r="751" ht="14.25" customHeight="1">
      <c r="E751" s="86"/>
    </row>
    <row r="752" ht="14.25" customHeight="1">
      <c r="E752" s="86"/>
    </row>
    <row r="753" ht="14.25" customHeight="1">
      <c r="E753" s="86"/>
    </row>
    <row r="754" ht="14.25" customHeight="1">
      <c r="E754" s="86"/>
    </row>
    <row r="755" ht="14.25" customHeight="1">
      <c r="E755" s="86"/>
    </row>
    <row r="756" ht="14.25" customHeight="1">
      <c r="E756" s="86"/>
    </row>
    <row r="757" ht="14.25" customHeight="1">
      <c r="E757" s="86"/>
    </row>
    <row r="758" ht="14.25" customHeight="1">
      <c r="E758" s="86"/>
    </row>
    <row r="759" ht="14.25" customHeight="1">
      <c r="E759" s="86"/>
    </row>
    <row r="760" ht="14.25" customHeight="1">
      <c r="E760" s="86"/>
    </row>
    <row r="761" ht="14.25" customHeight="1">
      <c r="E761" s="86"/>
    </row>
    <row r="762" ht="14.25" customHeight="1">
      <c r="E762" s="86"/>
    </row>
    <row r="763" ht="14.25" customHeight="1">
      <c r="E763" s="86"/>
    </row>
    <row r="764" ht="14.25" customHeight="1">
      <c r="E764" s="86"/>
    </row>
    <row r="765" ht="14.25" customHeight="1">
      <c r="E765" s="86"/>
    </row>
    <row r="766" ht="14.25" customHeight="1">
      <c r="E766" s="86"/>
    </row>
    <row r="767" ht="14.25" customHeight="1">
      <c r="E767" s="86"/>
    </row>
    <row r="768" ht="14.25" customHeight="1">
      <c r="E768" s="86"/>
    </row>
    <row r="769" ht="14.25" customHeight="1">
      <c r="E769" s="86"/>
    </row>
    <row r="770" ht="14.25" customHeight="1">
      <c r="E770" s="86"/>
    </row>
    <row r="771" ht="14.25" customHeight="1">
      <c r="E771" s="86"/>
    </row>
    <row r="772" ht="14.25" customHeight="1">
      <c r="E772" s="86"/>
    </row>
    <row r="773" ht="14.25" customHeight="1">
      <c r="E773" s="86"/>
    </row>
    <row r="774" ht="14.25" customHeight="1">
      <c r="E774" s="86"/>
    </row>
    <row r="775" ht="14.25" customHeight="1">
      <c r="E775" s="86"/>
    </row>
    <row r="776" ht="14.25" customHeight="1">
      <c r="E776" s="86"/>
    </row>
    <row r="777" ht="14.25" customHeight="1">
      <c r="E777" s="86"/>
    </row>
    <row r="778" ht="14.25" customHeight="1">
      <c r="E778" s="86"/>
    </row>
    <row r="779" ht="14.25" customHeight="1">
      <c r="E779" s="86"/>
    </row>
    <row r="780" ht="14.25" customHeight="1">
      <c r="E780" s="86"/>
    </row>
    <row r="781" ht="14.25" customHeight="1">
      <c r="E781" s="86"/>
    </row>
    <row r="782" ht="14.25" customHeight="1">
      <c r="E782" s="86"/>
    </row>
    <row r="783" ht="14.25" customHeight="1">
      <c r="E783" s="86"/>
    </row>
    <row r="784" ht="14.25" customHeight="1">
      <c r="E784" s="86"/>
    </row>
    <row r="785" ht="14.25" customHeight="1">
      <c r="E785" s="86"/>
    </row>
    <row r="786" ht="14.25" customHeight="1">
      <c r="E786" s="86"/>
    </row>
    <row r="787" ht="14.25" customHeight="1">
      <c r="E787" s="86"/>
    </row>
    <row r="788" ht="14.25" customHeight="1">
      <c r="E788" s="86"/>
    </row>
    <row r="789" ht="14.25" customHeight="1">
      <c r="E789" s="86"/>
    </row>
    <row r="790" ht="14.25" customHeight="1">
      <c r="E790" s="86"/>
    </row>
    <row r="791" ht="14.25" customHeight="1">
      <c r="E791" s="86"/>
    </row>
    <row r="792" ht="14.25" customHeight="1">
      <c r="E792" s="86"/>
    </row>
    <row r="793" ht="14.25" customHeight="1">
      <c r="E793" s="86"/>
    </row>
    <row r="794" ht="14.25" customHeight="1">
      <c r="E794" s="86"/>
    </row>
    <row r="795" ht="14.25" customHeight="1">
      <c r="E795" s="86"/>
    </row>
    <row r="796" ht="14.25" customHeight="1">
      <c r="E796" s="86"/>
    </row>
    <row r="797" ht="14.25" customHeight="1">
      <c r="E797" s="86"/>
    </row>
    <row r="798" ht="14.25" customHeight="1">
      <c r="E798" s="86"/>
    </row>
    <row r="799" ht="14.25" customHeight="1">
      <c r="E799" s="86"/>
    </row>
    <row r="800" ht="14.25" customHeight="1">
      <c r="E800" s="86"/>
    </row>
    <row r="801" ht="14.25" customHeight="1">
      <c r="E801" s="86"/>
    </row>
    <row r="802" ht="14.25" customHeight="1">
      <c r="E802" s="86"/>
    </row>
    <row r="803" ht="14.25" customHeight="1">
      <c r="E803" s="86"/>
    </row>
    <row r="804" ht="14.25" customHeight="1">
      <c r="E804" s="86"/>
    </row>
    <row r="805" ht="14.25" customHeight="1">
      <c r="E805" s="86"/>
    </row>
    <row r="806" ht="14.25" customHeight="1">
      <c r="E806" s="86"/>
    </row>
    <row r="807" ht="14.25" customHeight="1">
      <c r="E807" s="86"/>
    </row>
    <row r="808" ht="14.25" customHeight="1">
      <c r="E808" s="86"/>
    </row>
    <row r="809" ht="14.25" customHeight="1">
      <c r="E809" s="86"/>
    </row>
    <row r="810" ht="14.25" customHeight="1">
      <c r="E810" s="86"/>
    </row>
    <row r="811" ht="14.25" customHeight="1">
      <c r="E811" s="86"/>
    </row>
    <row r="812" ht="14.25" customHeight="1">
      <c r="E812" s="86"/>
    </row>
    <row r="813" ht="14.25" customHeight="1">
      <c r="E813" s="86"/>
    </row>
    <row r="814" ht="14.25" customHeight="1">
      <c r="E814" s="86"/>
    </row>
    <row r="815" ht="14.25" customHeight="1">
      <c r="E815" s="86"/>
    </row>
    <row r="816" ht="14.25" customHeight="1">
      <c r="E816" s="86"/>
    </row>
    <row r="817" ht="14.25" customHeight="1">
      <c r="E817" s="86"/>
    </row>
    <row r="818" ht="14.25" customHeight="1">
      <c r="E818" s="86"/>
    </row>
    <row r="819" ht="14.25" customHeight="1">
      <c r="E819" s="86"/>
    </row>
    <row r="820" ht="14.25" customHeight="1">
      <c r="E820" s="86"/>
    </row>
    <row r="821" ht="14.25" customHeight="1">
      <c r="E821" s="86"/>
    </row>
    <row r="822" ht="14.25" customHeight="1">
      <c r="E822" s="86"/>
    </row>
    <row r="823" ht="14.25" customHeight="1">
      <c r="E823" s="86"/>
    </row>
    <row r="824" ht="14.25" customHeight="1">
      <c r="E824" s="86"/>
    </row>
    <row r="825" ht="14.25" customHeight="1">
      <c r="E825" s="86"/>
    </row>
    <row r="826" ht="14.25" customHeight="1">
      <c r="E826" s="86"/>
    </row>
    <row r="827" ht="14.25" customHeight="1">
      <c r="E827" s="86"/>
    </row>
    <row r="828" ht="14.25" customHeight="1">
      <c r="E828" s="86"/>
    </row>
    <row r="829" ht="14.25" customHeight="1">
      <c r="E829" s="86"/>
    </row>
    <row r="830" ht="14.25" customHeight="1">
      <c r="E830" s="86"/>
    </row>
    <row r="831" ht="14.25" customHeight="1">
      <c r="E831" s="86"/>
    </row>
    <row r="832" ht="14.25" customHeight="1">
      <c r="E832" s="86"/>
    </row>
    <row r="833" ht="14.25" customHeight="1">
      <c r="E833" s="86"/>
    </row>
    <row r="834" ht="14.25" customHeight="1">
      <c r="E834" s="86"/>
    </row>
    <row r="835" ht="14.25" customHeight="1">
      <c r="E835" s="86"/>
    </row>
    <row r="836" ht="14.25" customHeight="1">
      <c r="E836" s="86"/>
    </row>
    <row r="837" ht="14.25" customHeight="1">
      <c r="E837" s="86"/>
    </row>
    <row r="838" ht="14.25" customHeight="1">
      <c r="E838" s="86"/>
    </row>
    <row r="839" ht="14.25" customHeight="1">
      <c r="E839" s="86"/>
    </row>
    <row r="840" ht="14.25" customHeight="1">
      <c r="E840" s="86"/>
    </row>
    <row r="841" ht="14.25" customHeight="1">
      <c r="E841" s="86"/>
    </row>
    <row r="842" ht="14.25" customHeight="1">
      <c r="E842" s="86"/>
    </row>
    <row r="843" ht="14.25" customHeight="1">
      <c r="E843" s="86"/>
    </row>
    <row r="844" ht="14.25" customHeight="1">
      <c r="E844" s="86"/>
    </row>
    <row r="845" ht="14.25" customHeight="1">
      <c r="E845" s="86"/>
    </row>
    <row r="846" ht="14.25" customHeight="1">
      <c r="E846" s="86"/>
    </row>
    <row r="847" ht="14.25" customHeight="1">
      <c r="E847" s="86"/>
    </row>
    <row r="848" ht="14.25" customHeight="1">
      <c r="E848" s="86"/>
    </row>
    <row r="849" ht="14.25" customHeight="1">
      <c r="E849" s="86"/>
    </row>
    <row r="850" ht="14.25" customHeight="1">
      <c r="E850" s="86"/>
    </row>
    <row r="851" ht="14.25" customHeight="1">
      <c r="E851" s="86"/>
    </row>
    <row r="852" ht="14.25" customHeight="1">
      <c r="E852" s="86"/>
    </row>
    <row r="853" ht="14.25" customHeight="1">
      <c r="E853" s="86"/>
    </row>
    <row r="854" ht="14.25" customHeight="1">
      <c r="E854" s="86"/>
    </row>
    <row r="855" ht="14.25" customHeight="1">
      <c r="E855" s="86"/>
    </row>
    <row r="856" ht="14.25" customHeight="1">
      <c r="E856" s="86"/>
    </row>
    <row r="857" ht="14.25" customHeight="1">
      <c r="E857" s="86"/>
    </row>
    <row r="858" ht="14.25" customHeight="1">
      <c r="E858" s="86"/>
    </row>
    <row r="859" ht="14.25" customHeight="1">
      <c r="E859" s="86"/>
    </row>
    <row r="860" ht="14.25" customHeight="1">
      <c r="E860" s="86"/>
    </row>
    <row r="861" ht="14.25" customHeight="1">
      <c r="E861" s="86"/>
    </row>
    <row r="862" ht="14.25" customHeight="1">
      <c r="E862" s="86"/>
    </row>
    <row r="863" ht="14.25" customHeight="1">
      <c r="E863" s="86"/>
    </row>
    <row r="864" ht="14.25" customHeight="1">
      <c r="E864" s="86"/>
    </row>
    <row r="865" ht="14.25" customHeight="1">
      <c r="E865" s="86"/>
    </row>
    <row r="866" ht="14.25" customHeight="1">
      <c r="E866" s="86"/>
    </row>
    <row r="867" ht="14.25" customHeight="1">
      <c r="E867" s="86"/>
    </row>
    <row r="868" ht="14.25" customHeight="1">
      <c r="E868" s="86"/>
    </row>
    <row r="869" ht="14.25" customHeight="1">
      <c r="E869" s="86"/>
    </row>
    <row r="870" ht="14.25" customHeight="1">
      <c r="E870" s="86"/>
    </row>
    <row r="871" ht="14.25" customHeight="1">
      <c r="E871" s="86"/>
    </row>
    <row r="872" ht="14.25" customHeight="1">
      <c r="E872" s="86"/>
    </row>
    <row r="873" ht="14.25" customHeight="1">
      <c r="E873" s="86"/>
    </row>
    <row r="874" ht="14.25" customHeight="1">
      <c r="E874" s="86"/>
    </row>
    <row r="875" ht="14.25" customHeight="1">
      <c r="E875" s="86"/>
    </row>
    <row r="876" ht="14.25" customHeight="1">
      <c r="E876" s="86"/>
    </row>
    <row r="877" ht="14.25" customHeight="1">
      <c r="E877" s="86"/>
    </row>
    <row r="878" ht="14.25" customHeight="1">
      <c r="E878" s="86"/>
    </row>
    <row r="879" ht="14.25" customHeight="1">
      <c r="E879" s="86"/>
    </row>
    <row r="880" ht="14.25" customHeight="1">
      <c r="E880" s="86"/>
    </row>
    <row r="881" ht="14.25" customHeight="1">
      <c r="E881" s="86"/>
    </row>
    <row r="882" ht="14.25" customHeight="1">
      <c r="E882" s="86"/>
    </row>
    <row r="883" ht="14.25" customHeight="1">
      <c r="E883" s="86"/>
    </row>
    <row r="884" ht="14.25" customHeight="1">
      <c r="E884" s="86"/>
    </row>
    <row r="885" ht="14.25" customHeight="1">
      <c r="E885" s="86"/>
    </row>
    <row r="886" ht="14.25" customHeight="1">
      <c r="E886" s="86"/>
    </row>
    <row r="887" ht="14.25" customHeight="1">
      <c r="E887" s="86"/>
    </row>
    <row r="888" ht="14.25" customHeight="1">
      <c r="E888" s="86"/>
    </row>
    <row r="889" ht="14.25" customHeight="1">
      <c r="E889" s="86"/>
    </row>
    <row r="890" ht="14.25" customHeight="1">
      <c r="E890" s="86"/>
    </row>
    <row r="891" ht="14.25" customHeight="1">
      <c r="E891" s="86"/>
    </row>
    <row r="892" ht="14.25" customHeight="1">
      <c r="E892" s="86"/>
    </row>
    <row r="893" ht="14.25" customHeight="1">
      <c r="E893" s="86"/>
    </row>
    <row r="894" ht="14.25" customHeight="1">
      <c r="E894" s="86"/>
    </row>
    <row r="895" ht="14.25" customHeight="1">
      <c r="E895" s="86"/>
    </row>
    <row r="896" ht="14.25" customHeight="1">
      <c r="E896" s="86"/>
    </row>
    <row r="897" ht="14.25" customHeight="1">
      <c r="E897" s="86"/>
    </row>
    <row r="898" ht="14.25" customHeight="1">
      <c r="E898" s="86"/>
    </row>
    <row r="899" ht="14.25" customHeight="1">
      <c r="E899" s="86"/>
    </row>
    <row r="900" ht="14.25" customHeight="1">
      <c r="E900" s="86"/>
    </row>
    <row r="901" ht="14.25" customHeight="1">
      <c r="E901" s="86"/>
    </row>
    <row r="902" ht="14.25" customHeight="1">
      <c r="E902" s="86"/>
    </row>
    <row r="903" ht="14.25" customHeight="1">
      <c r="E903" s="86"/>
    </row>
    <row r="904" ht="14.25" customHeight="1">
      <c r="E904" s="86"/>
    </row>
    <row r="905" ht="14.25" customHeight="1">
      <c r="E905" s="86"/>
    </row>
    <row r="906" ht="14.25" customHeight="1">
      <c r="E906" s="86"/>
    </row>
    <row r="907" ht="14.25" customHeight="1">
      <c r="E907" s="86"/>
    </row>
    <row r="908" ht="14.25" customHeight="1">
      <c r="E908" s="86"/>
    </row>
    <row r="909" ht="14.25" customHeight="1">
      <c r="E909" s="86"/>
    </row>
    <row r="910" ht="14.25" customHeight="1">
      <c r="E910" s="86"/>
    </row>
    <row r="911" ht="14.25" customHeight="1">
      <c r="E911" s="86"/>
    </row>
    <row r="912" ht="14.25" customHeight="1">
      <c r="E912" s="86"/>
    </row>
    <row r="913" ht="14.25" customHeight="1">
      <c r="E913" s="86"/>
    </row>
    <row r="914" ht="14.25" customHeight="1">
      <c r="E914" s="86"/>
    </row>
    <row r="915" ht="14.25" customHeight="1">
      <c r="E915" s="86"/>
    </row>
    <row r="916" ht="14.25" customHeight="1">
      <c r="E916" s="86"/>
    </row>
    <row r="917" ht="14.25" customHeight="1">
      <c r="E917" s="86"/>
    </row>
    <row r="918" ht="14.25" customHeight="1">
      <c r="E918" s="86"/>
    </row>
    <row r="919" ht="14.25" customHeight="1">
      <c r="E919" s="86"/>
    </row>
    <row r="920" ht="14.25" customHeight="1">
      <c r="E920" s="86"/>
    </row>
    <row r="921" ht="14.25" customHeight="1">
      <c r="E921" s="86"/>
    </row>
    <row r="922" ht="14.25" customHeight="1">
      <c r="E922" s="86"/>
    </row>
    <row r="923" ht="14.25" customHeight="1">
      <c r="E923" s="86"/>
    </row>
    <row r="924" ht="14.25" customHeight="1">
      <c r="E924" s="86"/>
    </row>
    <row r="925" ht="14.25" customHeight="1">
      <c r="E925" s="86"/>
    </row>
    <row r="926" ht="14.25" customHeight="1">
      <c r="E926" s="86"/>
    </row>
    <row r="927" ht="14.25" customHeight="1">
      <c r="E927" s="86"/>
    </row>
    <row r="928" ht="14.25" customHeight="1">
      <c r="E928" s="86"/>
    </row>
    <row r="929" ht="14.25" customHeight="1">
      <c r="E929" s="86"/>
    </row>
    <row r="930" ht="14.25" customHeight="1">
      <c r="E930" s="86"/>
    </row>
    <row r="931" ht="14.25" customHeight="1">
      <c r="E931" s="86"/>
    </row>
    <row r="932" ht="14.25" customHeight="1">
      <c r="E932" s="86"/>
    </row>
    <row r="933" ht="14.25" customHeight="1">
      <c r="E933" s="86"/>
    </row>
    <row r="934" ht="14.25" customHeight="1">
      <c r="E934" s="86"/>
    </row>
    <row r="935" ht="14.25" customHeight="1">
      <c r="E935" s="86"/>
    </row>
    <row r="936" ht="14.25" customHeight="1">
      <c r="E936" s="86"/>
    </row>
    <row r="937" ht="14.25" customHeight="1">
      <c r="E937" s="86"/>
    </row>
    <row r="938" ht="14.25" customHeight="1">
      <c r="E938" s="86"/>
    </row>
    <row r="939" ht="14.25" customHeight="1">
      <c r="E939" s="86"/>
    </row>
    <row r="940" ht="14.25" customHeight="1">
      <c r="E940" s="86"/>
    </row>
    <row r="941" ht="14.25" customHeight="1">
      <c r="E941" s="86"/>
    </row>
    <row r="942" ht="14.25" customHeight="1">
      <c r="E942" s="86"/>
    </row>
    <row r="943" ht="14.25" customHeight="1">
      <c r="E943" s="86"/>
    </row>
    <row r="944" ht="14.25" customHeight="1">
      <c r="E944" s="86"/>
    </row>
    <row r="945" ht="14.25" customHeight="1">
      <c r="E945" s="86"/>
    </row>
    <row r="946" ht="14.25" customHeight="1">
      <c r="E946" s="86"/>
    </row>
    <row r="947" ht="14.25" customHeight="1">
      <c r="E947" s="86"/>
    </row>
    <row r="948" ht="14.25" customHeight="1">
      <c r="E948" s="86"/>
    </row>
    <row r="949" ht="14.25" customHeight="1">
      <c r="E949" s="86"/>
    </row>
    <row r="950" ht="14.25" customHeight="1">
      <c r="E950" s="86"/>
    </row>
    <row r="951" ht="14.25" customHeight="1">
      <c r="E951" s="86"/>
    </row>
    <row r="952" ht="14.25" customHeight="1">
      <c r="E952" s="86"/>
    </row>
    <row r="953" ht="14.25" customHeight="1">
      <c r="E953" s="86"/>
    </row>
    <row r="954" ht="14.25" customHeight="1">
      <c r="E954" s="86"/>
    </row>
    <row r="955" ht="14.25" customHeight="1">
      <c r="E955" s="86"/>
    </row>
    <row r="956" ht="14.25" customHeight="1">
      <c r="E956" s="86"/>
    </row>
    <row r="957" ht="14.25" customHeight="1">
      <c r="E957" s="86"/>
    </row>
    <row r="958" ht="14.25" customHeight="1">
      <c r="E958" s="86"/>
    </row>
    <row r="959" ht="14.25" customHeight="1">
      <c r="E959" s="86"/>
    </row>
    <row r="960" ht="14.25" customHeight="1">
      <c r="E960" s="86"/>
    </row>
    <row r="961" ht="14.25" customHeight="1">
      <c r="E961" s="86"/>
    </row>
    <row r="962" ht="14.25" customHeight="1">
      <c r="E962" s="86"/>
    </row>
    <row r="963" ht="14.25" customHeight="1">
      <c r="E963" s="86"/>
    </row>
    <row r="964" ht="14.25" customHeight="1">
      <c r="E964" s="86"/>
    </row>
    <row r="965" ht="14.25" customHeight="1">
      <c r="E965" s="86"/>
    </row>
    <row r="966" ht="14.25" customHeight="1">
      <c r="E966" s="86"/>
    </row>
    <row r="967" ht="14.25" customHeight="1">
      <c r="E967" s="86"/>
    </row>
    <row r="968" ht="14.25" customHeight="1">
      <c r="E968" s="86"/>
    </row>
    <row r="969" ht="14.25" customHeight="1">
      <c r="E969" s="86"/>
    </row>
    <row r="970" ht="14.25" customHeight="1">
      <c r="E970" s="86"/>
    </row>
    <row r="971" ht="14.25" customHeight="1">
      <c r="E971" s="86"/>
    </row>
    <row r="972" ht="14.25" customHeight="1">
      <c r="E972" s="86"/>
    </row>
    <row r="973" ht="14.25" customHeight="1">
      <c r="E973" s="86"/>
    </row>
    <row r="974" ht="14.25" customHeight="1">
      <c r="E974" s="86"/>
    </row>
    <row r="975" ht="14.25" customHeight="1">
      <c r="E975" s="86"/>
    </row>
    <row r="976" ht="14.25" customHeight="1">
      <c r="E976" s="86"/>
    </row>
    <row r="977" ht="14.25" customHeight="1">
      <c r="E977" s="86"/>
    </row>
    <row r="978" ht="14.25" customHeight="1">
      <c r="E978" s="86"/>
    </row>
    <row r="979" ht="14.25" customHeight="1">
      <c r="E979" s="86"/>
    </row>
    <row r="980" ht="14.25" customHeight="1">
      <c r="E980" s="86"/>
    </row>
    <row r="981" ht="14.25" customHeight="1">
      <c r="E981" s="86"/>
    </row>
    <row r="982" ht="14.25" customHeight="1">
      <c r="E982" s="86"/>
    </row>
    <row r="983" ht="14.25" customHeight="1">
      <c r="E983" s="86"/>
    </row>
    <row r="984" ht="14.25" customHeight="1">
      <c r="E984" s="86"/>
    </row>
    <row r="985" ht="14.25" customHeight="1">
      <c r="E985" s="86"/>
    </row>
    <row r="986" ht="14.25" customHeight="1">
      <c r="E986" s="86"/>
    </row>
    <row r="987" ht="14.25" customHeight="1">
      <c r="E987" s="86"/>
    </row>
    <row r="988" ht="14.25" customHeight="1">
      <c r="E988" s="86"/>
    </row>
    <row r="989" ht="14.25" customHeight="1">
      <c r="E989" s="86"/>
    </row>
    <row r="990" ht="14.25" customHeight="1">
      <c r="E990" s="86"/>
    </row>
    <row r="991" ht="14.25" customHeight="1">
      <c r="E991" s="86"/>
    </row>
    <row r="992" ht="14.25" customHeight="1">
      <c r="E992" s="86"/>
    </row>
    <row r="993" ht="14.25" customHeight="1">
      <c r="E993" s="86"/>
    </row>
    <row r="994" ht="14.25" customHeight="1">
      <c r="E994" s="86"/>
    </row>
    <row r="995" ht="14.25" customHeight="1">
      <c r="E995" s="86"/>
    </row>
    <row r="996" ht="14.25" customHeight="1">
      <c r="E996" s="86"/>
    </row>
    <row r="997" ht="14.25" customHeight="1">
      <c r="E997" s="86"/>
    </row>
    <row r="998" ht="14.25" customHeight="1">
      <c r="E998" s="86"/>
    </row>
    <row r="999" ht="14.25" customHeight="1">
      <c r="E999" s="86"/>
    </row>
    <row r="1000" ht="14.25" customHeight="1">
      <c r="E1000" s="86"/>
    </row>
  </sheetData>
  <autoFilter ref="$A$6:$Y$306">
    <sortState ref="A6:Y306">
      <sortCondition ref="U6:U306"/>
    </sortState>
  </autoFilter>
  <mergeCells count="1">
    <mergeCell ref="A1:C1"/>
  </mergeCells>
  <conditionalFormatting sqref="K5:AB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7:L306">
    <cfRule type="cellIs" dxfId="1" priority="2" operator="lessThan">
      <formula>B7</formula>
    </cfRule>
  </conditionalFormatting>
  <conditionalFormatting sqref="L7:L306">
    <cfRule type="cellIs" dxfId="2" priority="3" operator="greaterThan">
      <formula>B7</formula>
    </cfRule>
  </conditionalFormatting>
  <conditionalFormatting sqref="O7:O306">
    <cfRule type="colorScale" priority="4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W17:W178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118 W136 W138 W142 W144:W145 W148 W153:W154 W158 W161:W162 W168:W169 W172 W174:W175 W177 W180:W188 W190:W191 W193:W195 W197 W199:W210 W213:W235 W237:W239 W242:W246 W248:W272 W274:W298 W300:W306">
    <cfRule type="cellIs" dxfId="1" priority="6" operator="lessThan">
      <formula>M118</formula>
    </cfRule>
  </conditionalFormatting>
  <conditionalFormatting sqref="W118 W136 W138 W142 W144:W145 W148 W153:W154 W158 W161:W162 W168:W169 W172 W174:W175 W177 W180:W188 W190:W191 W193:W195 W197 W199:W210 W213:W235 W237:W239 W242:W246 W248:W272 W274:W298 W300:W306">
    <cfRule type="cellIs" dxfId="2" priority="7" operator="greaterThan">
      <formula>M118</formula>
    </cfRule>
  </conditionalFormatting>
  <conditionalFormatting sqref="X7:X306">
    <cfRule type="colorScale" priority="8">
      <colorScale>
        <cfvo type="formula" val="-12"/>
        <cfvo type="formula" val="0"/>
        <cfvo type="formula" val="12"/>
        <color rgb="FFF8696B"/>
        <color rgb="FFD8D8D8"/>
        <color rgb="FF63BE7B"/>
      </colorScale>
    </cfRule>
  </conditionalFormatting>
  <conditionalFormatting sqref="B7:G7 B8:B302 C8:C306 D8:E302 F7:F306 G8:G296 J7:J306 X7:Y306">
    <cfRule type="expression" dxfId="0" priority="9">
      <formula>$C7="No"</formula>
    </cfRule>
  </conditionalFormatting>
  <printOptions/>
  <pageMargins bottom="0.75" footer="0.0" header="0.0" left="0.7" right="0.7" top="0.75"/>
  <pageSetup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4.43" defaultRowHeight="15.0"/>
  <cols>
    <col customWidth="1" min="1" max="1" width="23.57"/>
    <col customWidth="1" min="2" max="2" width="9.86"/>
    <col customWidth="1" min="3" max="3" width="9.71"/>
    <col customWidth="1" min="4" max="4" width="18.0"/>
    <col customWidth="1" min="5" max="5" width="11.14"/>
    <col customWidth="1" min="6" max="6" width="21.29"/>
    <col customWidth="1" min="7" max="7" width="16.29"/>
    <col customWidth="1" min="8" max="8" width="25.71"/>
    <col customWidth="1" min="9" max="9" width="11.29"/>
    <col customWidth="1" min="10" max="10" width="8.71"/>
    <col customWidth="1" min="11" max="11" width="20.29"/>
    <col customWidth="1" min="12" max="26" width="8.71"/>
  </cols>
  <sheetData>
    <row r="1" ht="14.25" customHeight="1">
      <c r="A1" s="1">
        <v>1.0</v>
      </c>
      <c r="B1" s="1">
        <v>2.0</v>
      </c>
      <c r="C1" s="1">
        <v>3.0</v>
      </c>
      <c r="D1" s="1">
        <v>4.0</v>
      </c>
      <c r="E1" s="1">
        <v>5.0</v>
      </c>
      <c r="F1" s="1">
        <v>6.0</v>
      </c>
      <c r="G1" s="1">
        <v>7.0</v>
      </c>
      <c r="H1" s="1">
        <v>8.0</v>
      </c>
      <c r="I1" s="1">
        <v>9.0</v>
      </c>
      <c r="J1" s="1">
        <v>10.0</v>
      </c>
      <c r="K1" s="1">
        <v>10.0</v>
      </c>
    </row>
    <row r="2" ht="14.25" customHeight="1">
      <c r="A2" s="7" t="s">
        <v>5</v>
      </c>
      <c r="B2" s="7" t="s">
        <v>7</v>
      </c>
      <c r="C2" s="7" t="s">
        <v>8</v>
      </c>
      <c r="D2" s="9" t="s">
        <v>9</v>
      </c>
      <c r="E2" s="9" t="s">
        <v>10</v>
      </c>
      <c r="F2" s="9" t="s">
        <v>11</v>
      </c>
      <c r="G2" s="9" t="s">
        <v>12</v>
      </c>
      <c r="H2" s="9" t="s">
        <v>14</v>
      </c>
      <c r="I2" s="7" t="s">
        <v>16</v>
      </c>
      <c r="J2" s="7" t="s">
        <v>17</v>
      </c>
      <c r="K2" s="7" t="s">
        <v>1126</v>
      </c>
      <c r="L2" s="10" t="s">
        <v>22</v>
      </c>
    </row>
    <row r="3" ht="14.25" customHeight="1">
      <c r="A3" s="1" t="s">
        <v>44</v>
      </c>
      <c r="B3" s="11" t="str">
        <f>VLOOKUP($A3, 'ADP Data'!$C$3:$R$300, 2, FALSE)</f>
        <v>CIN</v>
      </c>
      <c r="C3" s="11" t="str">
        <f>VLOOKUP($A3, 'ADP Data'!$C$3:$R$300, 16, FALSE)</f>
        <v>WR</v>
      </c>
      <c r="D3" s="11"/>
      <c r="E3" s="11"/>
      <c r="F3" s="11" t="s">
        <v>59</v>
      </c>
      <c r="G3" s="11">
        <v>1.0</v>
      </c>
      <c r="H3" s="11"/>
      <c r="I3" s="11">
        <f>VLOOKUP($A3, 'ADP Data'!$C$3:$Q$300, 13, FALSE)</f>
        <v>1</v>
      </c>
      <c r="J3" s="11">
        <f>VLOOKUP($A3, 'ADP Data'!$C$3:$Q$300, 10, FALSE)</f>
        <v>1</v>
      </c>
      <c r="K3" s="11">
        <v>1.0</v>
      </c>
    </row>
    <row r="4" ht="14.25" customHeight="1">
      <c r="A4" s="1" t="s">
        <v>39</v>
      </c>
      <c r="B4" s="11" t="str">
        <f>VLOOKUP($A4, 'ADP Data'!$C$3:$R$300, 2, FALSE)</f>
        <v>ATL</v>
      </c>
      <c r="C4" s="11" t="str">
        <f>VLOOKUP($A4, 'ADP Data'!$C$3:$R$300, 16, FALSE)</f>
        <v>RB</v>
      </c>
      <c r="D4" s="11"/>
      <c r="E4" s="11"/>
      <c r="F4" s="11" t="s">
        <v>842</v>
      </c>
      <c r="G4" s="11">
        <v>1.0</v>
      </c>
      <c r="H4" s="11"/>
      <c r="I4" s="11">
        <f>VLOOKUP($A4, 'ADP Data'!$C$3:$Q$300, 13, FALSE)</f>
        <v>2</v>
      </c>
      <c r="J4" s="11">
        <f>VLOOKUP($A4, 'ADP Data'!$C$3:$Q$300, 10, FALSE)</f>
        <v>2</v>
      </c>
      <c r="K4" s="11">
        <v>2.0</v>
      </c>
    </row>
    <row r="5" ht="14.25" customHeight="1">
      <c r="A5" s="1" t="s">
        <v>84</v>
      </c>
      <c r="B5" s="11" t="str">
        <f>VLOOKUP($A5, 'ADP Data'!$C$3:$R$300, 2, FALSE)</f>
        <v>PHI</v>
      </c>
      <c r="C5" s="11" t="str">
        <f>VLOOKUP($A5, 'ADP Data'!$C$3:$R$300, 16, FALSE)</f>
        <v>RB</v>
      </c>
      <c r="D5" s="11"/>
      <c r="E5" s="11"/>
      <c r="F5" s="11" t="s">
        <v>842</v>
      </c>
      <c r="G5" s="11">
        <v>2.0</v>
      </c>
      <c r="H5" s="11"/>
      <c r="I5" s="11">
        <f>VLOOKUP($A5, 'ADP Data'!$C$3:$Q$300, 13, FALSE)</f>
        <v>5</v>
      </c>
      <c r="J5" s="11">
        <f>VLOOKUP($A5, 'ADP Data'!$C$3:$Q$300, 10, FALSE)</f>
        <v>3</v>
      </c>
      <c r="K5" s="11">
        <v>3.0</v>
      </c>
    </row>
    <row r="6" ht="14.25" customHeight="1">
      <c r="A6" s="1" t="s">
        <v>25</v>
      </c>
      <c r="B6" s="11" t="str">
        <f>VLOOKUP($A6, 'ADP Data'!$C$3:$R$300, 2, FALSE)</f>
        <v>DET</v>
      </c>
      <c r="C6" s="11" t="str">
        <f>VLOOKUP($A6, 'ADP Data'!$C$3:$R$300, 16, FALSE)</f>
        <v>RB</v>
      </c>
      <c r="D6" s="11"/>
      <c r="E6" s="11"/>
      <c r="F6" s="11" t="s">
        <v>842</v>
      </c>
      <c r="G6" s="11">
        <v>3.0</v>
      </c>
      <c r="H6" s="11"/>
      <c r="I6" s="11">
        <f>VLOOKUP($A6, 'ADP Data'!$C$3:$Q$300, 13, FALSE)</f>
        <v>4</v>
      </c>
      <c r="J6" s="11">
        <f>VLOOKUP($A6, 'ADP Data'!$C$3:$Q$300, 10, FALSE)</f>
        <v>4</v>
      </c>
      <c r="K6" s="11">
        <v>4.0</v>
      </c>
    </row>
    <row r="7" ht="14.25" customHeight="1">
      <c r="A7" s="1" t="s">
        <v>74</v>
      </c>
      <c r="B7" s="11" t="str">
        <f>VLOOKUP($A7, 'ADP Data'!$C$3:$R$300, 2, FALSE)</f>
        <v>MIN</v>
      </c>
      <c r="C7" s="11" t="str">
        <f>VLOOKUP($A7, 'ADP Data'!$C$3:$R$300, 16, FALSE)</f>
        <v>WR</v>
      </c>
      <c r="D7" s="11"/>
      <c r="E7" s="11"/>
      <c r="F7" s="11" t="s">
        <v>59</v>
      </c>
      <c r="G7" s="11">
        <v>2.0</v>
      </c>
      <c r="H7" s="11"/>
      <c r="I7" s="11">
        <f>VLOOKUP($A7, 'ADP Data'!$C$3:$Q$300, 13, FALSE)</f>
        <v>6</v>
      </c>
      <c r="J7" s="11">
        <f>VLOOKUP($A7, 'ADP Data'!$C$3:$Q$300, 10, FALSE)</f>
        <v>6</v>
      </c>
      <c r="K7" s="11">
        <v>5.0</v>
      </c>
    </row>
    <row r="8" ht="14.25" customHeight="1">
      <c r="A8" s="1" t="s">
        <v>70</v>
      </c>
      <c r="B8" s="11" t="str">
        <f>VLOOKUP($A8, 'ADP Data'!$C$3:$R$300, 2, FALSE)</f>
        <v>DAL</v>
      </c>
      <c r="C8" s="11" t="str">
        <f>VLOOKUP($A8, 'ADP Data'!$C$3:$R$300, 16, FALSE)</f>
        <v>WR</v>
      </c>
      <c r="D8" s="11"/>
      <c r="E8" s="11"/>
      <c r="F8" s="11" t="s">
        <v>59</v>
      </c>
      <c r="G8" s="11">
        <v>3.0</v>
      </c>
      <c r="H8" s="11"/>
      <c r="I8" s="11">
        <f>VLOOKUP($A8, 'ADP Data'!$C$3:$Q$300, 13, FALSE)</f>
        <v>3</v>
      </c>
      <c r="J8" s="11">
        <f>VLOOKUP($A8, 'ADP Data'!$C$3:$Q$300, 10, FALSE)</f>
        <v>5</v>
      </c>
      <c r="K8" s="11">
        <v>6.0</v>
      </c>
    </row>
    <row r="9" ht="14.25" customHeight="1">
      <c r="A9" s="1" t="s">
        <v>57</v>
      </c>
      <c r="B9" s="11" t="str">
        <f>VLOOKUP($A9, 'ADP Data'!$C$3:$R$300, 2, FALSE)</f>
        <v>SF</v>
      </c>
      <c r="C9" s="11" t="str">
        <f>VLOOKUP($A9, 'ADP Data'!$C$3:$R$300, 16, FALSE)</f>
        <v>RB</v>
      </c>
      <c r="D9" s="11"/>
      <c r="E9" s="11"/>
      <c r="F9" s="11" t="s">
        <v>842</v>
      </c>
      <c r="G9" s="11">
        <v>4.0</v>
      </c>
      <c r="H9" s="11"/>
      <c r="I9" s="11">
        <f>VLOOKUP($A9, 'ADP Data'!$C$3:$Q$300, 13, FALSE)</f>
        <v>7</v>
      </c>
      <c r="J9" s="11">
        <f>VLOOKUP($A9, 'ADP Data'!$C$3:$Q$300, 10, FALSE)</f>
        <v>9</v>
      </c>
      <c r="K9" s="11">
        <v>10.0</v>
      </c>
    </row>
    <row r="10" ht="14.25" customHeight="1">
      <c r="A10" s="1" t="s">
        <v>118</v>
      </c>
      <c r="B10" s="11" t="str">
        <f>VLOOKUP($A10, 'ADP Data'!$C$3:$R$300, 2, FALSE)</f>
        <v>HOU</v>
      </c>
      <c r="C10" s="11" t="str">
        <f>VLOOKUP($A10, 'ADP Data'!$C$3:$R$300, 16, FALSE)</f>
        <v>WR</v>
      </c>
      <c r="D10" s="11"/>
      <c r="E10" s="11"/>
      <c r="F10" s="11" t="s">
        <v>846</v>
      </c>
      <c r="G10" s="11">
        <v>4.0</v>
      </c>
      <c r="H10" s="11" t="s">
        <v>1046</v>
      </c>
      <c r="I10" s="11">
        <f>VLOOKUP($A10, 'ADP Data'!$C$3:$Q$300, 13, FALSE)</f>
        <v>8</v>
      </c>
      <c r="J10" s="11">
        <f>VLOOKUP($A10, 'ADP Data'!$C$3:$Q$300, 10, FALSE)</f>
        <v>7</v>
      </c>
      <c r="K10" s="11">
        <v>12.0</v>
      </c>
    </row>
    <row r="11" ht="14.25" customHeight="1">
      <c r="A11" s="1" t="s">
        <v>64</v>
      </c>
      <c r="B11" s="11" t="str">
        <f>VLOOKUP($A11, 'ADP Data'!$C$3:$R$300, 2, FALSE)</f>
        <v>DET</v>
      </c>
      <c r="C11" s="11" t="str">
        <f>VLOOKUP($A11, 'ADP Data'!$C$3:$R$300, 16, FALSE)</f>
        <v>WR</v>
      </c>
      <c r="D11" s="11"/>
      <c r="E11" s="11"/>
      <c r="F11" s="11" t="s">
        <v>846</v>
      </c>
      <c r="G11" s="11">
        <v>6.0</v>
      </c>
      <c r="H11" s="11"/>
      <c r="I11" s="11">
        <f>VLOOKUP($A11, 'ADP Data'!$C$3:$Q$300, 13, FALSE)</f>
        <v>10</v>
      </c>
      <c r="J11" s="11">
        <f>VLOOKUP($A11, 'ADP Data'!$C$3:$Q$300, 10, FALSE)</f>
        <v>8</v>
      </c>
      <c r="K11" s="11">
        <v>8.0</v>
      </c>
    </row>
    <row r="12" ht="14.25" customHeight="1">
      <c r="A12" s="1" t="s">
        <v>127</v>
      </c>
      <c r="B12" s="11" t="str">
        <f>VLOOKUP($A12, 'ADP Data'!$C$3:$R$300, 2, FALSE)</f>
        <v>NYG</v>
      </c>
      <c r="C12" s="11" t="str">
        <f>VLOOKUP($A12, 'ADP Data'!$C$3:$R$300, 16, FALSE)</f>
        <v>WR</v>
      </c>
      <c r="D12" s="11"/>
      <c r="E12" s="11"/>
      <c r="F12" s="11" t="s">
        <v>846</v>
      </c>
      <c r="G12" s="11">
        <v>5.0</v>
      </c>
      <c r="H12" s="11" t="s">
        <v>1047</v>
      </c>
      <c r="I12" s="11">
        <f>VLOOKUP($A12, 'ADP Data'!$C$3:$Q$300, 13, FALSE)</f>
        <v>9</v>
      </c>
      <c r="J12" s="11">
        <f>VLOOKUP($A12, 'ADP Data'!$C$3:$Q$300, 10, FALSE)</f>
        <v>10</v>
      </c>
      <c r="K12" s="11">
        <v>9.0</v>
      </c>
    </row>
    <row r="13" ht="14.25" customHeight="1">
      <c r="A13" s="1" t="s">
        <v>97</v>
      </c>
      <c r="B13" s="11" t="str">
        <f>VLOOKUP($A13, 'ADP Data'!$C$3:$R$300, 2, FALSE)</f>
        <v>LV</v>
      </c>
      <c r="C13" s="11" t="str">
        <f>VLOOKUP($A13, 'ADP Data'!$C$3:$R$300, 16, FALSE)</f>
        <v>RB</v>
      </c>
      <c r="D13" s="11"/>
      <c r="E13" s="11"/>
      <c r="F13" s="11" t="s">
        <v>842</v>
      </c>
      <c r="G13" s="11">
        <v>5.0</v>
      </c>
      <c r="H13" s="11" t="s">
        <v>1057</v>
      </c>
      <c r="I13" s="11">
        <f>VLOOKUP($A13, 'ADP Data'!$C$3:$Q$300, 13, FALSE)</f>
        <v>13</v>
      </c>
      <c r="J13" s="11">
        <f>VLOOKUP($A13, 'ADP Data'!$C$3:$Q$300, 10, FALSE)</f>
        <v>14</v>
      </c>
      <c r="K13" s="11">
        <v>13.0</v>
      </c>
    </row>
    <row r="14" ht="14.25" customHeight="1">
      <c r="A14" s="1" t="s">
        <v>108</v>
      </c>
      <c r="B14" s="11" t="str">
        <f>VLOOKUP($A14, 'ADP Data'!$C$3:$R$300, 2, FALSE)</f>
        <v>BAL</v>
      </c>
      <c r="C14" s="11" t="str">
        <f>VLOOKUP($A14, 'ADP Data'!$C$3:$R$300, 16, FALSE)</f>
        <v>RB</v>
      </c>
      <c r="D14" s="11"/>
      <c r="E14" s="11"/>
      <c r="F14" s="11" t="s">
        <v>847</v>
      </c>
      <c r="G14" s="11">
        <v>8.0</v>
      </c>
      <c r="H14" s="11"/>
      <c r="I14" s="11">
        <f>VLOOKUP($A14, 'ADP Data'!$C$3:$Q$300, 13, FALSE)</f>
        <v>14</v>
      </c>
      <c r="J14" s="11">
        <f>VLOOKUP($A14, 'ADP Data'!$C$3:$Q$300, 10, FALSE)</f>
        <v>11</v>
      </c>
      <c r="K14" s="11">
        <v>11.0</v>
      </c>
    </row>
    <row r="15" ht="14.25" customHeight="1">
      <c r="A15" s="1" t="s">
        <v>242</v>
      </c>
      <c r="B15" s="11" t="str">
        <f>VLOOKUP($A15, 'ADP Data'!$C$3:$R$300, 2, FALSE)</f>
        <v>JAX</v>
      </c>
      <c r="C15" s="11" t="str">
        <f>VLOOKUP($A15, 'ADP Data'!$C$3:$R$300, 16, FALSE)</f>
        <v>WR</v>
      </c>
      <c r="D15" s="11"/>
      <c r="E15" s="11"/>
      <c r="F15" s="11" t="s">
        <v>846</v>
      </c>
      <c r="G15" s="11">
        <v>8.0</v>
      </c>
      <c r="H15" s="11" t="s">
        <v>1047</v>
      </c>
      <c r="I15" s="11">
        <f>VLOOKUP($A15, 'ADP Data'!$C$3:$Q$300, 13, FALSE)</f>
        <v>12</v>
      </c>
      <c r="J15" s="11">
        <f>VLOOKUP($A15, 'ADP Data'!$C$3:$Q$300, 10, FALSE)</f>
        <v>13</v>
      </c>
      <c r="K15" s="11">
        <v>7.0</v>
      </c>
    </row>
    <row r="16" ht="14.25" customHeight="1">
      <c r="A16" s="1" t="s">
        <v>92</v>
      </c>
      <c r="B16" s="11" t="str">
        <f>VLOOKUP($A16, 'ADP Data'!$C$3:$R$300, 2, FALSE)</f>
        <v>MIA</v>
      </c>
      <c r="C16" s="11" t="str">
        <f>VLOOKUP($A16, 'ADP Data'!$C$3:$R$300, 16, FALSE)</f>
        <v>RB</v>
      </c>
      <c r="D16" s="11"/>
      <c r="E16" s="11"/>
      <c r="F16" s="11" t="s">
        <v>847</v>
      </c>
      <c r="G16" s="11">
        <v>6.0</v>
      </c>
      <c r="H16" s="11"/>
      <c r="I16" s="11">
        <f>VLOOKUP($A16, 'ADP Data'!$C$3:$Q$300, 13, FALSE)</f>
        <v>16</v>
      </c>
      <c r="J16" s="11">
        <f>VLOOKUP($A16, 'ADP Data'!$C$3:$Q$300, 10, FALSE)</f>
        <v>20</v>
      </c>
      <c r="K16" s="11">
        <v>16.0</v>
      </c>
    </row>
    <row r="17" ht="14.25" customHeight="1">
      <c r="A17" s="1" t="s">
        <v>114</v>
      </c>
      <c r="B17" s="11" t="str">
        <f>VLOOKUP($A17, 'ADP Data'!$C$3:$R$300, 2, FALSE)</f>
        <v>ATL</v>
      </c>
      <c r="C17" s="11" t="str">
        <f>VLOOKUP($A17, 'ADP Data'!$C$3:$R$300, 16, FALSE)</f>
        <v>WR</v>
      </c>
      <c r="D17" s="11"/>
      <c r="E17" s="11"/>
      <c r="F17" s="11" t="s">
        <v>846</v>
      </c>
      <c r="G17" s="11">
        <v>7.0</v>
      </c>
      <c r="H17" s="11"/>
      <c r="I17" s="11">
        <f>VLOOKUP($A17, 'ADP Data'!$C$3:$Q$300, 13, FALSE)</f>
        <v>15</v>
      </c>
      <c r="J17" s="11">
        <f>VLOOKUP($A17, 'ADP Data'!$C$3:$Q$300, 10, FALSE)</f>
        <v>12</v>
      </c>
      <c r="K17" s="11">
        <v>14.0</v>
      </c>
    </row>
    <row r="18" ht="14.25" customHeight="1">
      <c r="A18" s="1" t="s">
        <v>48</v>
      </c>
      <c r="B18" s="11" t="str">
        <f>VLOOKUP($A18, 'ADP Data'!$C$3:$R$300, 2, FALSE)</f>
        <v>LAR</v>
      </c>
      <c r="C18" s="11" t="str">
        <f>VLOOKUP($A18, 'ADP Data'!$C$3:$R$300, 16, FALSE)</f>
        <v>WR</v>
      </c>
      <c r="D18" s="11"/>
      <c r="E18" s="11"/>
      <c r="F18" s="11" t="s">
        <v>846</v>
      </c>
      <c r="G18" s="11">
        <v>9.0</v>
      </c>
      <c r="H18" s="11"/>
      <c r="I18" s="11">
        <f>VLOOKUP($A18, 'ADP Data'!$C$3:$Q$300, 13, FALSE)</f>
        <v>11</v>
      </c>
      <c r="J18" s="11">
        <f>VLOOKUP($A18, 'ADP Data'!$C$3:$Q$300, 10, FALSE)</f>
        <v>16</v>
      </c>
      <c r="K18" s="11">
        <v>18.0</v>
      </c>
    </row>
    <row r="19" ht="14.25" customHeight="1">
      <c r="A19" s="1" t="s">
        <v>111</v>
      </c>
      <c r="B19" s="11" t="str">
        <f>VLOOKUP($A19, 'ADP Data'!$C$3:$R$300, 2, FALSE)</f>
        <v>LV</v>
      </c>
      <c r="C19" s="11" t="str">
        <f>VLOOKUP($A19, 'ADP Data'!$C$3:$R$300, 16, FALSE)</f>
        <v>TE</v>
      </c>
      <c r="D19" s="11"/>
      <c r="E19" s="11"/>
      <c r="F19" s="11" t="s">
        <v>166</v>
      </c>
      <c r="G19" s="11">
        <v>1.0</v>
      </c>
      <c r="H19" s="11"/>
      <c r="I19" s="11">
        <f>VLOOKUP($A19, 'ADP Data'!$C$3:$Q$300, 13, FALSE)</f>
        <v>18</v>
      </c>
      <c r="J19" s="11">
        <f>VLOOKUP($A19, 'ADP Data'!$C$3:$Q$300, 10, FALSE)</f>
        <v>23</v>
      </c>
      <c r="K19" s="11">
        <v>21.0</v>
      </c>
    </row>
    <row r="20" ht="14.25" customHeight="1">
      <c r="A20" s="1" t="s">
        <v>113</v>
      </c>
      <c r="B20" s="11" t="str">
        <f>VLOOKUP($A20, 'ADP Data'!$C$3:$R$300, 2, FALSE)</f>
        <v>PHI</v>
      </c>
      <c r="C20" s="11" t="str">
        <f>VLOOKUP($A20, 'ADP Data'!$C$3:$R$300, 16, FALSE)</f>
        <v>WR</v>
      </c>
      <c r="D20" s="11"/>
      <c r="E20" s="11"/>
      <c r="F20" s="11" t="s">
        <v>845</v>
      </c>
      <c r="G20" s="11">
        <v>11.0</v>
      </c>
      <c r="H20" s="11"/>
      <c r="I20" s="11">
        <f>VLOOKUP($A20, 'ADP Data'!$C$3:$Q$300, 13, FALSE)</f>
        <v>17</v>
      </c>
      <c r="J20" s="11">
        <f>VLOOKUP($A20, 'ADP Data'!$C$3:$Q$300, 10, FALSE)</f>
        <v>18</v>
      </c>
      <c r="K20" s="11">
        <v>20.0</v>
      </c>
    </row>
    <row r="21" ht="14.25" customHeight="1">
      <c r="A21" s="1" t="s">
        <v>61</v>
      </c>
      <c r="B21" s="11" t="str">
        <f>VLOOKUP($A21, 'ADP Data'!$C$3:$R$300, 2, FALSE)</f>
        <v>IND</v>
      </c>
      <c r="C21" s="11" t="str">
        <f>VLOOKUP($A21, 'ADP Data'!$C$3:$R$300, 16, FALSE)</f>
        <v>RB</v>
      </c>
      <c r="D21" s="11"/>
      <c r="E21" s="11" t="s">
        <v>95</v>
      </c>
      <c r="F21" s="11" t="s">
        <v>847</v>
      </c>
      <c r="G21" s="11">
        <v>12.0</v>
      </c>
      <c r="H21" s="11"/>
      <c r="I21" s="11">
        <f>VLOOKUP($A21, 'ADP Data'!$C$3:$Q$300, 13, FALSE)</f>
        <v>22</v>
      </c>
      <c r="J21" s="11">
        <f>VLOOKUP($A21, 'ADP Data'!$C$3:$Q$300, 10, FALSE)</f>
        <v>19</v>
      </c>
      <c r="K21" s="11">
        <v>15.0</v>
      </c>
    </row>
    <row r="22" ht="14.25" customHeight="1">
      <c r="A22" s="1" t="s">
        <v>153</v>
      </c>
      <c r="B22" s="11" t="str">
        <f>VLOOKUP($A22, 'ADP Data'!$C$3:$R$300, 2, FALSE)</f>
        <v>GB</v>
      </c>
      <c r="C22" s="11" t="str">
        <f>VLOOKUP($A22, 'ADP Data'!$C$3:$R$300, 16, FALSE)</f>
        <v>RB</v>
      </c>
      <c r="D22" s="11"/>
      <c r="E22" s="11"/>
      <c r="F22" s="11" t="s">
        <v>847</v>
      </c>
      <c r="G22" s="11">
        <v>7.0</v>
      </c>
      <c r="H22" s="11"/>
      <c r="I22" s="11">
        <f>VLOOKUP($A22, 'ADP Data'!$C$3:$Q$300, 13, FALSE)</f>
        <v>23</v>
      </c>
      <c r="J22" s="11">
        <f>VLOOKUP($A22, 'ADP Data'!$C$3:$Q$300, 10, FALSE)</f>
        <v>15</v>
      </c>
      <c r="K22" s="11">
        <v>17.0</v>
      </c>
    </row>
    <row r="23" ht="14.25" customHeight="1">
      <c r="A23" s="1" t="s">
        <v>199</v>
      </c>
      <c r="B23" s="11" t="str">
        <f>VLOOKUP($A23, 'ADP Data'!$C$3:$R$300, 2, FALSE)</f>
        <v>TB</v>
      </c>
      <c r="C23" s="11" t="str">
        <f>VLOOKUP($A23, 'ADP Data'!$C$3:$R$300, 16, FALSE)</f>
        <v>RB</v>
      </c>
      <c r="D23" s="11"/>
      <c r="E23" s="11"/>
      <c r="F23" s="11" t="s">
        <v>847</v>
      </c>
      <c r="G23" s="11">
        <v>9.0</v>
      </c>
      <c r="H23" s="11" t="s">
        <v>1043</v>
      </c>
      <c r="I23" s="11">
        <f>VLOOKUP($A23, 'ADP Data'!$C$3:$Q$300, 13, FALSE)</f>
        <v>20</v>
      </c>
      <c r="J23" s="11">
        <f>VLOOKUP($A23, 'ADP Data'!$C$3:$Q$300, 10, FALSE)</f>
        <v>17</v>
      </c>
      <c r="K23" s="11">
        <v>22.0</v>
      </c>
    </row>
    <row r="24" ht="14.25" customHeight="1">
      <c r="A24" s="1" t="s">
        <v>173</v>
      </c>
      <c r="B24" s="11" t="str">
        <f>VLOOKUP($A24, 'ADP Data'!$C$3:$R$300, 2, FALSE)</f>
        <v>LAC</v>
      </c>
      <c r="C24" s="11" t="str">
        <f>VLOOKUP($A24, 'ADP Data'!$C$3:$R$300, 16, FALSE)</f>
        <v>WR</v>
      </c>
      <c r="D24" s="11"/>
      <c r="E24" s="11"/>
      <c r="F24" s="11" t="s">
        <v>845</v>
      </c>
      <c r="G24" s="11">
        <v>10.0</v>
      </c>
      <c r="H24" s="11" t="s">
        <v>1052</v>
      </c>
      <c r="I24" s="11">
        <f>VLOOKUP($A24, 'ADP Data'!$C$3:$Q$300, 13, FALSE)</f>
        <v>21</v>
      </c>
      <c r="J24" s="11">
        <f>VLOOKUP($A24, 'ADP Data'!$C$3:$Q$300, 10, FALSE)</f>
        <v>22</v>
      </c>
      <c r="K24" s="11">
        <v>19.0</v>
      </c>
    </row>
    <row r="25" ht="14.25" customHeight="1">
      <c r="A25" s="1" t="s">
        <v>183</v>
      </c>
      <c r="B25" s="11" t="str">
        <f>VLOOKUP($A25, 'ADP Data'!$C$3:$R$300, 2, FALSE)</f>
        <v>BAL</v>
      </c>
      <c r="C25" s="11" t="str">
        <f>VLOOKUP($A25, 'ADP Data'!$C$3:$R$300, 16, FALSE)</f>
        <v>QB</v>
      </c>
      <c r="D25" s="11"/>
      <c r="E25" s="11"/>
      <c r="F25" s="11" t="s">
        <v>233</v>
      </c>
      <c r="G25" s="11">
        <v>1.0</v>
      </c>
      <c r="H25" s="11"/>
      <c r="I25" s="11">
        <f>VLOOKUP($A25, 'ADP Data'!$C$3:$Q$300, 13, FALSE)</f>
        <v>29</v>
      </c>
      <c r="J25" s="11">
        <f>VLOOKUP($A25, 'ADP Data'!$C$3:$Q$300, 10, FALSE)</f>
        <v>26</v>
      </c>
      <c r="K25" s="11">
        <v>26.0</v>
      </c>
    </row>
    <row r="26" ht="14.25" customHeight="1">
      <c r="A26" s="1" t="s">
        <v>80</v>
      </c>
      <c r="B26" s="11" t="str">
        <f>VLOOKUP($A26, 'ADP Data'!$C$3:$R$300, 2, FALSE)</f>
        <v>CIN</v>
      </c>
      <c r="C26" s="11" t="str">
        <f>VLOOKUP($A26, 'ADP Data'!$C$3:$R$300, 16, FALSE)</f>
        <v>RB</v>
      </c>
      <c r="D26" s="11"/>
      <c r="E26" s="11" t="s">
        <v>106</v>
      </c>
      <c r="F26" s="11" t="s">
        <v>847</v>
      </c>
      <c r="G26" s="11">
        <v>10.0</v>
      </c>
      <c r="H26" s="11" t="s">
        <v>1060</v>
      </c>
      <c r="I26" s="11">
        <f>VLOOKUP($A26, 'ADP Data'!$C$3:$Q$300, 13, FALSE)</f>
        <v>19</v>
      </c>
      <c r="J26" s="11">
        <f>VLOOKUP($A26, 'ADP Data'!$C$3:$Q$300, 10, FALSE)</f>
        <v>21</v>
      </c>
      <c r="K26" s="11">
        <v>24.0</v>
      </c>
    </row>
    <row r="27" ht="14.25" customHeight="1">
      <c r="A27" s="1" t="s">
        <v>136</v>
      </c>
      <c r="B27" s="11" t="str">
        <f>VLOOKUP($A27, 'ADP Data'!$C$3:$R$300, 2, FALSE)</f>
        <v>BUF</v>
      </c>
      <c r="C27" s="11" t="str">
        <f>VLOOKUP($A27, 'ADP Data'!$C$3:$R$300, 16, FALSE)</f>
        <v>QB</v>
      </c>
      <c r="D27" s="11"/>
      <c r="E27" s="11"/>
      <c r="F27" s="11" t="s">
        <v>233</v>
      </c>
      <c r="G27" s="11">
        <v>2.0</v>
      </c>
      <c r="H27" s="11"/>
      <c r="I27" s="11">
        <f>VLOOKUP($A27, 'ADP Data'!$C$3:$Q$300, 13, FALSE)</f>
        <v>28</v>
      </c>
      <c r="J27" s="11">
        <f>VLOOKUP($A27, 'ADP Data'!$C$3:$Q$300, 10, FALSE)</f>
        <v>28</v>
      </c>
      <c r="K27" s="11">
        <v>28.0</v>
      </c>
    </row>
    <row r="28" ht="14.25" customHeight="1">
      <c r="A28" s="1" t="s">
        <v>124</v>
      </c>
      <c r="B28" s="11" t="str">
        <f>VLOOKUP($A28, 'ADP Data'!$C$3:$R$300, 2, FALSE)</f>
        <v>ARI</v>
      </c>
      <c r="C28" s="11" t="str">
        <f>VLOOKUP($A28, 'ADP Data'!$C$3:$R$300, 16, FALSE)</f>
        <v>TE</v>
      </c>
      <c r="D28" s="11"/>
      <c r="E28" s="11"/>
      <c r="F28" s="11" t="s">
        <v>166</v>
      </c>
      <c r="G28" s="11">
        <v>2.0</v>
      </c>
      <c r="H28" s="11"/>
      <c r="I28" s="11">
        <f>VLOOKUP($A28, 'ADP Data'!$C$3:$Q$300, 13, FALSE)</f>
        <v>25</v>
      </c>
      <c r="J28" s="11">
        <f>VLOOKUP($A28, 'ADP Data'!$C$3:$Q$300, 10, FALSE)</f>
        <v>24</v>
      </c>
      <c r="K28" s="11">
        <v>27.0</v>
      </c>
    </row>
    <row r="29" ht="14.25" customHeight="1">
      <c r="A29" s="1" t="s">
        <v>138</v>
      </c>
      <c r="B29" s="11" t="str">
        <f>VLOOKUP($A29, 'ADP Data'!$C$3:$R$300, 2, FALSE)</f>
        <v>LAR</v>
      </c>
      <c r="C29" s="11" t="str">
        <f>VLOOKUP($A29, 'ADP Data'!$C$3:$R$300, 16, FALSE)</f>
        <v>RB</v>
      </c>
      <c r="D29" s="11"/>
      <c r="E29" s="11"/>
      <c r="F29" s="11" t="s">
        <v>847</v>
      </c>
      <c r="G29" s="11">
        <v>11.0</v>
      </c>
      <c r="H29" s="11"/>
      <c r="I29" s="11">
        <f>VLOOKUP($A29, 'ADP Data'!$C$3:$Q$300, 13, FALSE)</f>
        <v>31</v>
      </c>
      <c r="J29" s="11">
        <f>VLOOKUP($A29, 'ADP Data'!$C$3:$Q$300, 10, FALSE)</f>
        <v>27</v>
      </c>
      <c r="K29" s="11">
        <v>25.0</v>
      </c>
    </row>
    <row r="30" ht="14.25" customHeight="1">
      <c r="A30" s="1" t="s">
        <v>158</v>
      </c>
      <c r="B30" s="11" t="str">
        <f>VLOOKUP($A30, 'ADP Data'!$C$3:$R$300, 2, FALSE)</f>
        <v>CIN</v>
      </c>
      <c r="C30" s="11" t="str">
        <f>VLOOKUP($A30, 'ADP Data'!$C$3:$R$300, 16, FALSE)</f>
        <v>WR</v>
      </c>
      <c r="D30" s="11"/>
      <c r="E30" s="11"/>
      <c r="F30" s="11" t="s">
        <v>845</v>
      </c>
      <c r="G30" s="11">
        <v>12.0</v>
      </c>
      <c r="H30" s="11"/>
      <c r="I30" s="11">
        <f>VLOOKUP($A30, 'ADP Data'!$C$3:$Q$300, 13, FALSE)</f>
        <v>24</v>
      </c>
      <c r="J30" s="11">
        <f>VLOOKUP($A30, 'ADP Data'!$C$3:$Q$300, 10, FALSE)</f>
        <v>29</v>
      </c>
      <c r="K30" s="11">
        <v>23.0</v>
      </c>
    </row>
    <row r="31" ht="14.25" customHeight="1">
      <c r="A31" s="1" t="s">
        <v>51</v>
      </c>
      <c r="B31" s="11" t="str">
        <f>VLOOKUP($A31, 'ADP Data'!$C$3:$R$300, 2, FALSE)</f>
        <v>SEA</v>
      </c>
      <c r="C31" s="11" t="str">
        <f>VLOOKUP($A31, 'ADP Data'!$C$3:$R$300, 16, FALSE)</f>
        <v>WR</v>
      </c>
      <c r="D31" s="11"/>
      <c r="E31" s="11"/>
      <c r="F31" s="11" t="s">
        <v>843</v>
      </c>
      <c r="G31" s="11">
        <v>13.0</v>
      </c>
      <c r="H31" s="11"/>
      <c r="I31" s="11">
        <f>VLOOKUP($A31, 'ADP Data'!$C$3:$Q$300, 13, FALSE)</f>
        <v>32</v>
      </c>
      <c r="J31" s="11">
        <f>VLOOKUP($A31, 'ADP Data'!$C$3:$Q$300, 10, FALSE)</f>
        <v>33</v>
      </c>
      <c r="K31" s="11">
        <v>36.0</v>
      </c>
    </row>
    <row r="32" ht="14.25" customHeight="1">
      <c r="A32" s="1" t="s">
        <v>156</v>
      </c>
      <c r="B32" s="11" t="str">
        <f>VLOOKUP($A32, 'ADP Data'!$C$3:$R$300, 2, FALSE)</f>
        <v>NYJ</v>
      </c>
      <c r="C32" s="11" t="str">
        <f>VLOOKUP($A32, 'ADP Data'!$C$3:$R$300, 16, FALSE)</f>
        <v>WR</v>
      </c>
      <c r="D32" s="11"/>
      <c r="E32" s="11"/>
      <c r="F32" s="11" t="s">
        <v>843</v>
      </c>
      <c r="G32" s="11">
        <v>17.0</v>
      </c>
      <c r="H32" s="11"/>
      <c r="I32" s="11">
        <f>VLOOKUP($A32, 'ADP Data'!$C$3:$Q$300, 13, FALSE)</f>
        <v>35</v>
      </c>
      <c r="J32" s="11">
        <f>VLOOKUP($A32, 'ADP Data'!$C$3:$Q$300, 10, FALSE)</f>
        <v>39</v>
      </c>
      <c r="K32" s="11">
        <v>29.0</v>
      </c>
    </row>
    <row r="33" ht="14.25" customHeight="1">
      <c r="A33" s="1" t="s">
        <v>220</v>
      </c>
      <c r="B33" s="11" t="str">
        <f>VLOOKUP($A33, 'ADP Data'!$C$3:$R$300, 2, FALSE)</f>
        <v>TB</v>
      </c>
      <c r="C33" s="11" t="str">
        <f>VLOOKUP($A33, 'ADP Data'!$C$3:$R$300, 16, FALSE)</f>
        <v>WR</v>
      </c>
      <c r="D33" s="11"/>
      <c r="E33" s="11"/>
      <c r="F33" s="11" t="s">
        <v>843</v>
      </c>
      <c r="G33" s="11">
        <v>15.0</v>
      </c>
      <c r="H33" s="11"/>
      <c r="I33" s="11">
        <f>VLOOKUP($A33, 'ADP Data'!$C$3:$Q$300, 13, FALSE)</f>
        <v>33</v>
      </c>
      <c r="J33" s="11">
        <f>VLOOKUP($A33, 'ADP Data'!$C$3:$Q$300, 10, FALSE)</f>
        <v>32</v>
      </c>
      <c r="K33" s="11">
        <v>31.0</v>
      </c>
    </row>
    <row r="34" ht="14.25" customHeight="1">
      <c r="A34" s="1" t="s">
        <v>224</v>
      </c>
      <c r="B34" s="11" t="str">
        <f>VLOOKUP($A34, 'ADP Data'!$C$3:$R$300, 2, FALSE)</f>
        <v>WAS</v>
      </c>
      <c r="C34" s="11" t="str">
        <f>VLOOKUP($A34, 'ADP Data'!$C$3:$R$300, 16, FALSE)</f>
        <v>QB</v>
      </c>
      <c r="D34" s="11"/>
      <c r="E34" s="11"/>
      <c r="F34" s="11" t="s">
        <v>860</v>
      </c>
      <c r="G34" s="11">
        <v>4.0</v>
      </c>
      <c r="H34" s="11"/>
      <c r="I34" s="11">
        <f>VLOOKUP($A34, 'ADP Data'!$C$3:$Q$300, 13, FALSE)</f>
        <v>37</v>
      </c>
      <c r="J34" s="11">
        <f>VLOOKUP($A34, 'ADP Data'!$C$3:$Q$300, 10, FALSE)</f>
        <v>30</v>
      </c>
      <c r="K34" s="11">
        <v>30.0</v>
      </c>
    </row>
    <row r="35" ht="14.25" customHeight="1">
      <c r="A35" s="1" t="s">
        <v>284</v>
      </c>
      <c r="B35" s="11" t="str">
        <f>VLOOKUP($A35, 'ADP Data'!$C$3:$R$300, 2, FALSE)</f>
        <v>SF</v>
      </c>
      <c r="C35" s="11" t="str">
        <f>VLOOKUP($A35, 'ADP Data'!$C$3:$R$300, 16, FALSE)</f>
        <v>TE</v>
      </c>
      <c r="D35" s="11"/>
      <c r="E35" s="11"/>
      <c r="F35" s="11" t="s">
        <v>166</v>
      </c>
      <c r="G35" s="11">
        <v>3.0</v>
      </c>
      <c r="H35" s="11"/>
      <c r="I35" s="11">
        <f>VLOOKUP($A35, 'ADP Data'!$C$3:$Q$300, 13, FALSE)</f>
        <v>34</v>
      </c>
      <c r="J35" s="11">
        <f>VLOOKUP($A35, 'ADP Data'!$C$3:$Q$300, 10, FALSE)</f>
        <v>25</v>
      </c>
      <c r="K35" s="11">
        <v>32.0</v>
      </c>
    </row>
    <row r="36" ht="14.25" customHeight="1">
      <c r="A36" s="1" t="s">
        <v>66</v>
      </c>
      <c r="B36" s="11" t="str">
        <f>VLOOKUP($A36, 'ADP Data'!$C$3:$R$300, 2, FALSE)</f>
        <v>BUF</v>
      </c>
      <c r="C36" s="11" t="str">
        <f>VLOOKUP($A36, 'ADP Data'!$C$3:$R$300, 16, FALSE)</f>
        <v>RB</v>
      </c>
      <c r="D36" s="11"/>
      <c r="E36" s="11"/>
      <c r="F36" s="11" t="s">
        <v>844</v>
      </c>
      <c r="G36" s="11">
        <v>15.0</v>
      </c>
      <c r="H36" s="11"/>
      <c r="I36" s="11">
        <f>VLOOKUP($A36, 'ADP Data'!$C$3:$Q$300, 13, FALSE)</f>
        <v>39</v>
      </c>
      <c r="J36" s="11">
        <f>VLOOKUP($A36, 'ADP Data'!$C$3:$Q$300, 10, FALSE)</f>
        <v>34</v>
      </c>
      <c r="K36" s="11">
        <v>34.0</v>
      </c>
    </row>
    <row r="37" ht="14.25" customHeight="1">
      <c r="A37" s="1" t="s">
        <v>104</v>
      </c>
      <c r="B37" s="11" t="str">
        <f>VLOOKUP($A37, 'ADP Data'!$C$3:$R$300, 2, FALSE)</f>
        <v>LAC</v>
      </c>
      <c r="C37" s="11" t="str">
        <f>VLOOKUP($A37, 'ADP Data'!$C$3:$R$300, 16, FALSE)</f>
        <v>RB</v>
      </c>
      <c r="D37" s="11"/>
      <c r="E37" s="11"/>
      <c r="F37" s="11" t="s">
        <v>847</v>
      </c>
      <c r="G37" s="11">
        <v>12.0</v>
      </c>
      <c r="H37" s="11" t="s">
        <v>1062</v>
      </c>
      <c r="I37" s="11">
        <f>VLOOKUP($A37, 'ADP Data'!$C$3:$Q$300, 13, FALSE)</f>
        <v>27</v>
      </c>
      <c r="J37" s="11">
        <f>VLOOKUP($A37, 'ADP Data'!$C$3:$Q$300, 10, FALSE)</f>
        <v>31</v>
      </c>
      <c r="K37" s="11">
        <v>44.0</v>
      </c>
    </row>
    <row r="38" ht="14.25" customHeight="1">
      <c r="A38" s="1" t="s">
        <v>147</v>
      </c>
      <c r="B38" s="11" t="str">
        <f>VLOOKUP($A38, 'ADP Data'!$C$3:$R$300, 2, FALSE)</f>
        <v>NYJ</v>
      </c>
      <c r="C38" s="11" t="str">
        <f>VLOOKUP($A38, 'ADP Data'!$C$3:$R$300, 16, FALSE)</f>
        <v>RB</v>
      </c>
      <c r="D38" s="11"/>
      <c r="E38" s="11"/>
      <c r="F38" s="11" t="s">
        <v>844</v>
      </c>
      <c r="G38" s="11">
        <v>16.0</v>
      </c>
      <c r="H38" s="11"/>
      <c r="I38" s="11">
        <f>VLOOKUP($A38, 'ADP Data'!$C$3:$Q$300, 13, FALSE)</f>
        <v>46</v>
      </c>
      <c r="J38" s="11">
        <f>VLOOKUP($A38, 'ADP Data'!$C$3:$Q$300, 10, FALSE)</f>
        <v>50</v>
      </c>
      <c r="K38" s="11">
        <v>39.0</v>
      </c>
    </row>
    <row r="39" ht="14.25" customHeight="1">
      <c r="A39" s="1" t="s">
        <v>228</v>
      </c>
      <c r="B39" s="11" t="str">
        <f>VLOOKUP($A39, 'ADP Data'!$C$3:$R$300, 2, FALSE)</f>
        <v>ARI</v>
      </c>
      <c r="C39" s="11" t="str">
        <f>VLOOKUP($A39, 'ADP Data'!$C$3:$R$300, 16, FALSE)</f>
        <v>WR</v>
      </c>
      <c r="D39" s="11"/>
      <c r="E39" s="11" t="s">
        <v>106</v>
      </c>
      <c r="F39" s="11" t="s">
        <v>843</v>
      </c>
      <c r="G39" s="11">
        <v>14.0</v>
      </c>
      <c r="H39" s="11" t="s">
        <v>1047</v>
      </c>
      <c r="I39" s="11">
        <f>VLOOKUP($A39, 'ADP Data'!$C$3:$Q$300, 13, FALSE)</f>
        <v>30</v>
      </c>
      <c r="J39" s="11">
        <f>VLOOKUP($A39, 'ADP Data'!$C$3:$Q$300, 10, FALSE)</f>
        <v>37</v>
      </c>
      <c r="K39" s="11">
        <v>42.0</v>
      </c>
    </row>
    <row r="40" ht="14.25" customHeight="1">
      <c r="A40" s="1" t="s">
        <v>132</v>
      </c>
      <c r="B40" s="11" t="str">
        <f>VLOOKUP($A40, 'ADP Data'!$C$3:$R$300, 2, FALSE)</f>
        <v>MIA</v>
      </c>
      <c r="C40" s="11" t="str">
        <f>VLOOKUP($A40, 'ADP Data'!$C$3:$R$300, 16, FALSE)</f>
        <v>WR</v>
      </c>
      <c r="D40" s="11"/>
      <c r="E40" s="11" t="s">
        <v>106</v>
      </c>
      <c r="F40" s="11" t="s">
        <v>843</v>
      </c>
      <c r="G40" s="11">
        <v>16.0</v>
      </c>
      <c r="H40" s="11" t="s">
        <v>1054</v>
      </c>
      <c r="I40" s="11">
        <f>VLOOKUP($A40, 'ADP Data'!$C$3:$Q$300, 13, FALSE)</f>
        <v>26</v>
      </c>
      <c r="J40" s="11">
        <f>VLOOKUP($A40, 'ADP Data'!$C$3:$Q$300, 10, FALSE)</f>
        <v>42</v>
      </c>
      <c r="K40" s="11">
        <v>35.0</v>
      </c>
    </row>
    <row r="41" ht="14.25" customHeight="1">
      <c r="A41" s="1" t="s">
        <v>234</v>
      </c>
      <c r="B41" s="11" t="str">
        <f>VLOOKUP($A41, 'ADP Data'!$C$3:$R$300, 2, FALSE)</f>
        <v>PHI</v>
      </c>
      <c r="C41" s="11" t="str">
        <f>VLOOKUP($A41, 'ADP Data'!$C$3:$R$300, 16, FALSE)</f>
        <v>QB</v>
      </c>
      <c r="D41" s="11"/>
      <c r="E41" s="11"/>
      <c r="F41" s="11" t="s">
        <v>860</v>
      </c>
      <c r="G41" s="81">
        <v>3.0</v>
      </c>
      <c r="H41" s="11"/>
      <c r="I41" s="11">
        <f>VLOOKUP($A41, 'ADP Data'!$C$3:$Q$300, 13, FALSE)</f>
        <v>44</v>
      </c>
      <c r="J41" s="11">
        <f>VLOOKUP($A41, 'ADP Data'!$C$3:$Q$300, 10, FALSE)</f>
        <v>35</v>
      </c>
      <c r="K41" s="11">
        <v>38.0</v>
      </c>
    </row>
    <row r="42" ht="14.25" customHeight="1">
      <c r="A42" s="1" t="s">
        <v>191</v>
      </c>
      <c r="B42" s="11" t="str">
        <f>VLOOKUP($A42, 'ADP Data'!$C$3:$R$300, 2, FALSE)</f>
        <v>WAS</v>
      </c>
      <c r="C42" s="11" t="str">
        <f>VLOOKUP($A42, 'ADP Data'!$C$3:$R$300, 16, FALSE)</f>
        <v>WR</v>
      </c>
      <c r="D42" s="11"/>
      <c r="E42" s="11"/>
      <c r="F42" s="11" t="s">
        <v>852</v>
      </c>
      <c r="G42" s="11">
        <v>17.0</v>
      </c>
      <c r="H42" s="11" t="s">
        <v>1056</v>
      </c>
      <c r="I42" s="11">
        <f>VLOOKUP($A42, 'ADP Data'!$C$3:$Q$300, 13, FALSE)</f>
        <v>41</v>
      </c>
      <c r="J42" s="11">
        <f>VLOOKUP($A42, 'ADP Data'!$C$3:$Q$300, 10, FALSE)</f>
        <v>36</v>
      </c>
      <c r="K42" s="11">
        <v>33.0</v>
      </c>
    </row>
    <row r="43" ht="14.25" customHeight="1">
      <c r="A43" s="1" t="s">
        <v>101</v>
      </c>
      <c r="B43" s="11" t="str">
        <f>VLOOKUP($A43, 'ADP Data'!$C$3:$R$300, 2, FALSE)</f>
        <v>SEA</v>
      </c>
      <c r="C43" s="11" t="str">
        <f>VLOOKUP($A43, 'ADP Data'!$C$3:$R$300, 16, FALSE)</f>
        <v>RB</v>
      </c>
      <c r="D43" s="11"/>
      <c r="E43" s="11"/>
      <c r="F43" s="11" t="s">
        <v>844</v>
      </c>
      <c r="G43" s="11">
        <v>13.0</v>
      </c>
      <c r="H43" s="11"/>
      <c r="I43" s="11">
        <f>VLOOKUP($A43, 'ADP Data'!$C$3:$Q$300, 13, FALSE)</f>
        <v>47</v>
      </c>
      <c r="J43" s="11">
        <f>VLOOKUP($A43, 'ADP Data'!$C$3:$Q$300, 10, FALSE)</f>
        <v>38</v>
      </c>
      <c r="K43" s="11">
        <v>41.0</v>
      </c>
    </row>
    <row r="44" ht="14.25" customHeight="1">
      <c r="A44" s="1" t="s">
        <v>212</v>
      </c>
      <c r="B44" s="11" t="str">
        <f>VLOOKUP($A44, 'ADP Data'!$C$3:$R$300, 2, FALSE)</f>
        <v>CIN</v>
      </c>
      <c r="C44" s="11" t="str">
        <f>VLOOKUP($A44, 'ADP Data'!$C$3:$R$300, 16, FALSE)</f>
        <v>QB</v>
      </c>
      <c r="D44" s="11"/>
      <c r="E44" s="11"/>
      <c r="F44" s="11" t="s">
        <v>860</v>
      </c>
      <c r="G44" s="11">
        <v>5.0</v>
      </c>
      <c r="H44" s="11"/>
      <c r="I44" s="11">
        <f>VLOOKUP($A44, 'ADP Data'!$C$3:$Q$300, 13, FALSE)</f>
        <v>63</v>
      </c>
      <c r="J44" s="11">
        <f>VLOOKUP($A44, 'ADP Data'!$C$3:$Q$300, 10, FALSE)</f>
        <v>53</v>
      </c>
      <c r="K44" s="11">
        <v>51.0</v>
      </c>
    </row>
    <row r="45" ht="14.25" customHeight="1">
      <c r="A45" s="1" t="s">
        <v>197</v>
      </c>
      <c r="B45" s="11" t="str">
        <f>VLOOKUP($A45, 'ADP Data'!$C$3:$R$300, 2, FALSE)</f>
        <v>LAR</v>
      </c>
      <c r="C45" s="11" t="str">
        <f>VLOOKUP($A45, 'ADP Data'!$C$3:$R$300, 16, FALSE)</f>
        <v>WR</v>
      </c>
      <c r="D45" s="11"/>
      <c r="E45" s="11"/>
      <c r="F45" s="11" t="s">
        <v>852</v>
      </c>
      <c r="G45" s="11">
        <v>19.0</v>
      </c>
      <c r="H45" s="11"/>
      <c r="I45" s="11">
        <f>VLOOKUP($A45, 'ADP Data'!$C$3:$Q$300, 13, FALSE)</f>
        <v>36</v>
      </c>
      <c r="J45" s="11">
        <f>VLOOKUP($A45, 'ADP Data'!$C$3:$Q$300, 10, FALSE)</f>
        <v>43</v>
      </c>
      <c r="K45" s="11">
        <v>37.0</v>
      </c>
    </row>
    <row r="46" ht="14.25" customHeight="1">
      <c r="A46" s="1" t="s">
        <v>416</v>
      </c>
      <c r="B46" s="11" t="str">
        <f>VLOOKUP($A46, 'ADP Data'!$C$3:$R$300, 2, FALSE)</f>
        <v>NO</v>
      </c>
      <c r="C46" s="11" t="str">
        <f>VLOOKUP($A46, 'ADP Data'!$C$3:$R$300, 16, FALSE)</f>
        <v>RB</v>
      </c>
      <c r="D46" s="11"/>
      <c r="E46" s="11"/>
      <c r="F46" s="11" t="s">
        <v>844</v>
      </c>
      <c r="G46" s="11">
        <v>18.0</v>
      </c>
      <c r="H46" s="11"/>
      <c r="I46" s="11">
        <f>VLOOKUP($A46, 'ADP Data'!$C$3:$Q$300, 13, FALSE)</f>
        <v>58</v>
      </c>
      <c r="J46" s="11">
        <f>VLOOKUP($A46, 'ADP Data'!$C$3:$Q$300, 10, FALSE)</f>
        <v>41</v>
      </c>
      <c r="K46" s="11">
        <v>43.0</v>
      </c>
    </row>
    <row r="47" ht="14.25" customHeight="1">
      <c r="A47" s="1" t="s">
        <v>142</v>
      </c>
      <c r="B47" s="11" t="str">
        <f>VLOOKUP($A47, 'ADP Data'!$C$3:$R$300, 2, FALSE)</f>
        <v>PHI</v>
      </c>
      <c r="C47" s="11" t="str">
        <f>VLOOKUP($A47, 'ADP Data'!$C$3:$R$300, 16, FALSE)</f>
        <v>WR</v>
      </c>
      <c r="D47" s="11"/>
      <c r="E47" s="11"/>
      <c r="F47" s="11" t="s">
        <v>852</v>
      </c>
      <c r="G47" s="11">
        <v>18.0</v>
      </c>
      <c r="H47" s="11"/>
      <c r="I47" s="11">
        <f>VLOOKUP($A47, 'ADP Data'!$C$3:$Q$300, 13, FALSE)</f>
        <v>52</v>
      </c>
      <c r="J47" s="11">
        <f>VLOOKUP($A47, 'ADP Data'!$C$3:$Q$300, 10, FALSE)</f>
        <v>45</v>
      </c>
      <c r="K47" s="11">
        <v>48.0</v>
      </c>
    </row>
    <row r="48" ht="14.25" customHeight="1">
      <c r="A48" s="1" t="s">
        <v>288</v>
      </c>
      <c r="B48" s="11" t="str">
        <f>VLOOKUP($A48, 'ADP Data'!$C$3:$R$300, 2, FALSE)</f>
        <v>CAR</v>
      </c>
      <c r="C48" s="11" t="str">
        <f>VLOOKUP($A48, 'ADP Data'!$C$3:$R$300, 16, FALSE)</f>
        <v>RB</v>
      </c>
      <c r="D48" s="11"/>
      <c r="E48" s="11"/>
      <c r="F48" s="11" t="s">
        <v>844</v>
      </c>
      <c r="G48" s="11">
        <v>17.0</v>
      </c>
      <c r="H48" s="11"/>
      <c r="I48" s="11">
        <f>VLOOKUP($A48, 'ADP Data'!$C$3:$Q$300, 13, FALSE)</f>
        <v>54</v>
      </c>
      <c r="J48" s="11">
        <f>VLOOKUP($A48, 'ADP Data'!$C$3:$Q$300, 10, FALSE)</f>
        <v>40</v>
      </c>
      <c r="K48" s="11">
        <v>40.0</v>
      </c>
    </row>
    <row r="49" ht="14.25" customHeight="1">
      <c r="A49" s="1" t="s">
        <v>175</v>
      </c>
      <c r="B49" s="11" t="str">
        <f>VLOOKUP($A49, 'ADP Data'!$C$3:$R$300, 2, FALSE)</f>
        <v>MIA</v>
      </c>
      <c r="C49" s="11" t="str">
        <f>VLOOKUP($A49, 'ADP Data'!$C$3:$R$300, 16, FALSE)</f>
        <v>WR</v>
      </c>
      <c r="D49" s="11"/>
      <c r="E49" s="11" t="s">
        <v>95</v>
      </c>
      <c r="F49" s="11" t="s">
        <v>849</v>
      </c>
      <c r="G49" s="11">
        <v>31.0</v>
      </c>
      <c r="H49" s="11"/>
      <c r="I49" s="11">
        <f>VLOOKUP($A49, 'ADP Data'!$C$3:$Q$300, 13, FALSE)</f>
        <v>53</v>
      </c>
      <c r="J49" s="11">
        <f>VLOOKUP($A49, 'ADP Data'!$C$3:$Q$300, 10, FALSE)</f>
        <v>48</v>
      </c>
      <c r="K49" s="11">
        <v>50.0</v>
      </c>
    </row>
    <row r="50" ht="14.25" customHeight="1">
      <c r="A50" s="1" t="s">
        <v>121</v>
      </c>
      <c r="B50" s="11" t="str">
        <f>VLOOKUP($A50, 'ADP Data'!$C$3:$R$300, 2, FALSE)</f>
        <v>DAL</v>
      </c>
      <c r="C50" s="11" t="str">
        <f>VLOOKUP($A50, 'ADP Data'!$C$3:$R$300, 16, FALSE)</f>
        <v>WR</v>
      </c>
      <c r="D50" s="11"/>
      <c r="E50" s="11" t="s">
        <v>106</v>
      </c>
      <c r="F50" s="11" t="s">
        <v>852</v>
      </c>
      <c r="G50" s="11">
        <v>21.0</v>
      </c>
      <c r="H50" s="11"/>
      <c r="I50" s="11">
        <f>VLOOKUP($A50, 'ADP Data'!$C$3:$Q$300, 13, FALSE)</f>
        <v>42</v>
      </c>
      <c r="J50" s="11">
        <f>VLOOKUP($A50, 'ADP Data'!$C$3:$Q$300, 10, FALSE)</f>
        <v>47</v>
      </c>
      <c r="K50" s="11">
        <v>47.0</v>
      </c>
    </row>
    <row r="51" ht="14.25" customHeight="1">
      <c r="A51" s="1" t="s">
        <v>250</v>
      </c>
      <c r="B51" s="11" t="str">
        <f>VLOOKUP($A51, 'ADP Data'!$C$3:$R$300, 2, FALSE)</f>
        <v>PIT</v>
      </c>
      <c r="C51" s="11" t="str">
        <f>VLOOKUP($A51, 'ADP Data'!$C$3:$R$300, 16, FALSE)</f>
        <v>WR</v>
      </c>
      <c r="D51" s="11"/>
      <c r="E51" s="11"/>
      <c r="F51" s="11" t="s">
        <v>852</v>
      </c>
      <c r="G51" s="11">
        <v>20.0</v>
      </c>
      <c r="H51" s="11"/>
      <c r="I51" s="11">
        <f>VLOOKUP($A51, 'ADP Data'!$C$3:$Q$300, 13, FALSE)</f>
        <v>50</v>
      </c>
      <c r="J51" s="11">
        <f>VLOOKUP($A51, 'ADP Data'!$C$3:$Q$300, 10, FALSE)</f>
        <v>49</v>
      </c>
      <c r="K51" s="11">
        <v>54.0</v>
      </c>
    </row>
    <row r="52" ht="14.25" customHeight="1">
      <c r="A52" s="1" t="s">
        <v>216</v>
      </c>
      <c r="B52" s="11" t="str">
        <f>VLOOKUP($A52, 'ADP Data'!$C$3:$R$300, 2, FALSE)</f>
        <v>NE</v>
      </c>
      <c r="C52" s="11" t="str">
        <f>VLOOKUP($A52, 'ADP Data'!$C$3:$R$300, 16, FALSE)</f>
        <v>RB</v>
      </c>
      <c r="D52" s="11"/>
      <c r="E52" s="11" t="s">
        <v>106</v>
      </c>
      <c r="F52" s="11" t="s">
        <v>844</v>
      </c>
      <c r="G52" s="11">
        <v>14.0</v>
      </c>
      <c r="H52" s="11" t="s">
        <v>1064</v>
      </c>
      <c r="I52" s="11">
        <f>VLOOKUP($A52, 'ADP Data'!$C$3:$Q$300, 13, FALSE)</f>
        <v>43</v>
      </c>
      <c r="J52" s="11">
        <f>VLOOKUP($A52, 'ADP Data'!$C$3:$Q$300, 10, FALSE)</f>
        <v>46</v>
      </c>
      <c r="K52" s="11">
        <v>71.0</v>
      </c>
    </row>
    <row r="53" ht="14.25" customHeight="1">
      <c r="A53" s="1" t="s">
        <v>498</v>
      </c>
      <c r="B53" s="11" t="str">
        <f>VLOOKUP($A53, 'ADP Data'!$C$3:$R$300, 2, FALSE)</f>
        <v>ARI</v>
      </c>
      <c r="C53" s="11" t="str">
        <f>VLOOKUP($A53, 'ADP Data'!$C$3:$R$300, 16, FALSE)</f>
        <v>RB</v>
      </c>
      <c r="D53" s="11"/>
      <c r="E53" s="11"/>
      <c r="F53" s="11" t="s">
        <v>844</v>
      </c>
      <c r="G53" s="11">
        <v>19.0</v>
      </c>
      <c r="H53" s="11"/>
      <c r="I53" s="11">
        <f>VLOOKUP($A53, 'ADP Data'!$C$3:$Q$300, 13, FALSE)</f>
        <v>62</v>
      </c>
      <c r="J53" s="11">
        <f>VLOOKUP($A53, 'ADP Data'!$C$3:$Q$300, 10, FALSE)</f>
        <v>44</v>
      </c>
      <c r="K53" s="11">
        <v>45.0</v>
      </c>
    </row>
    <row r="54" ht="14.25" customHeight="1">
      <c r="A54" s="1" t="s">
        <v>353</v>
      </c>
      <c r="B54" s="11" t="str">
        <f>VLOOKUP($A54, 'ADP Data'!$C$3:$R$300, 2, FALSE)</f>
        <v>KC</v>
      </c>
      <c r="C54" s="11" t="str">
        <f>VLOOKUP($A54, 'ADP Data'!$C$3:$R$300, 16, FALSE)</f>
        <v>WR</v>
      </c>
      <c r="D54" s="11"/>
      <c r="E54" s="11"/>
      <c r="F54" s="11" t="s">
        <v>852</v>
      </c>
      <c r="G54" s="11">
        <v>22.0</v>
      </c>
      <c r="H54" s="11" t="s">
        <v>1047</v>
      </c>
      <c r="I54" s="11">
        <f>VLOOKUP($A54, 'ADP Data'!$C$3:$Q$300, 13, FALSE)</f>
        <v>40</v>
      </c>
      <c r="J54" s="11">
        <f>VLOOKUP($A54, 'ADP Data'!$C$3:$Q$300, 10, FALSE)</f>
        <v>51</v>
      </c>
      <c r="K54" s="11">
        <v>52.0</v>
      </c>
    </row>
    <row r="55" ht="14.25" customHeight="1">
      <c r="A55" s="1" t="s">
        <v>150</v>
      </c>
      <c r="B55" s="11" t="str">
        <f>VLOOKUP($A55, 'ADP Data'!$C$3:$R$300, 2, FALSE)</f>
        <v>BAL</v>
      </c>
      <c r="C55" s="11" t="str">
        <f>VLOOKUP($A55, 'ADP Data'!$C$3:$R$300, 16, FALSE)</f>
        <v>WR</v>
      </c>
      <c r="D55" s="11"/>
      <c r="E55" s="11"/>
      <c r="F55" s="11" t="s">
        <v>864</v>
      </c>
      <c r="G55" s="11">
        <v>27.0</v>
      </c>
      <c r="H55" s="11"/>
      <c r="I55" s="11">
        <f>VLOOKUP($A55, 'ADP Data'!$C$3:$Q$300, 13, FALSE)</f>
        <v>57</v>
      </c>
      <c r="J55" s="11">
        <f>VLOOKUP($A55, 'ADP Data'!$C$3:$Q$300, 10, FALSE)</f>
        <v>52</v>
      </c>
      <c r="K55" s="11">
        <v>56.0</v>
      </c>
    </row>
    <row r="56" ht="14.25" customHeight="1">
      <c r="A56" s="1" t="s">
        <v>203</v>
      </c>
      <c r="B56" s="11" t="str">
        <f>VLOOKUP($A56, 'ADP Data'!$C$3:$R$300, 2, FALSE)</f>
        <v>DET</v>
      </c>
      <c r="C56" s="11" t="str">
        <f>VLOOKUP($A56, 'ADP Data'!$C$3:$R$300, 16, FALSE)</f>
        <v>WR</v>
      </c>
      <c r="D56" s="11"/>
      <c r="E56" s="11"/>
      <c r="F56" s="11" t="s">
        <v>864</v>
      </c>
      <c r="G56" s="11">
        <v>23.0</v>
      </c>
      <c r="H56" s="11"/>
      <c r="I56" s="11">
        <f>VLOOKUP($A56, 'ADP Data'!$C$3:$Q$300, 13, FALSE)</f>
        <v>45</v>
      </c>
      <c r="J56" s="11">
        <f>VLOOKUP($A56, 'ADP Data'!$C$3:$Q$300, 10, FALSE)</f>
        <v>57</v>
      </c>
      <c r="K56" s="11">
        <v>70.0</v>
      </c>
    </row>
    <row r="57" ht="14.25" customHeight="1">
      <c r="A57" s="1" t="s">
        <v>246</v>
      </c>
      <c r="B57" s="11" t="str">
        <f>VLOOKUP($A57, 'ADP Data'!$C$3:$R$300, 2, FALSE)</f>
        <v>DET</v>
      </c>
      <c r="C57" s="11" t="str">
        <f>VLOOKUP($A57, 'ADP Data'!$C$3:$R$300, 16, FALSE)</f>
        <v>TE</v>
      </c>
      <c r="D57" s="11"/>
      <c r="E57" s="11"/>
      <c r="F57" s="81" t="s">
        <v>858</v>
      </c>
      <c r="G57" s="11">
        <v>4.0</v>
      </c>
      <c r="H57" s="11"/>
      <c r="I57" s="11">
        <f>VLOOKUP($A57, 'ADP Data'!$C$3:$Q$300, 13, FALSE)</f>
        <v>77</v>
      </c>
      <c r="J57" s="11">
        <f>VLOOKUP($A57, 'ADP Data'!$C$3:$Q$300, 10, FALSE)</f>
        <v>68</v>
      </c>
      <c r="K57" s="11">
        <v>57.0</v>
      </c>
    </row>
    <row r="58" ht="14.25" customHeight="1">
      <c r="A58" s="1" t="s">
        <v>187</v>
      </c>
      <c r="B58" s="11" t="str">
        <f>VLOOKUP($A58, 'ADP Data'!$C$3:$R$300, 2, FALSE)</f>
        <v>CHI</v>
      </c>
      <c r="C58" s="11" t="str">
        <f>VLOOKUP($A58, 'ADP Data'!$C$3:$R$300, 16, FALSE)</f>
        <v>WR</v>
      </c>
      <c r="D58" s="11"/>
      <c r="E58" s="11"/>
      <c r="F58" s="11" t="s">
        <v>864</v>
      </c>
      <c r="G58" s="11">
        <v>28.0</v>
      </c>
      <c r="H58" s="11"/>
      <c r="I58" s="11">
        <f>VLOOKUP($A58, 'ADP Data'!$C$3:$Q$300, 13, FALSE)</f>
        <v>49</v>
      </c>
      <c r="J58" s="11">
        <f>VLOOKUP($A58, 'ADP Data'!$C$3:$Q$300, 10, FALSE)</f>
        <v>60</v>
      </c>
      <c r="K58" s="11">
        <v>60.0</v>
      </c>
    </row>
    <row r="59" ht="14.25" customHeight="1">
      <c r="A59" s="1" t="s">
        <v>444</v>
      </c>
      <c r="B59" s="11" t="str">
        <f>VLOOKUP($A59, 'ADP Data'!$C$3:$R$300, 2, FALSE)</f>
        <v>TEN</v>
      </c>
      <c r="C59" s="11" t="str">
        <f>VLOOKUP($A59, 'ADP Data'!$C$3:$R$300, 16, FALSE)</f>
        <v>WR</v>
      </c>
      <c r="D59" s="11"/>
      <c r="E59" s="11" t="s">
        <v>106</v>
      </c>
      <c r="F59" s="11" t="s">
        <v>864</v>
      </c>
      <c r="G59" s="11">
        <v>25.0</v>
      </c>
      <c r="H59" s="11"/>
      <c r="I59" s="11">
        <f>VLOOKUP($A59, 'ADP Data'!$C$3:$Q$300, 13, FALSE)</f>
        <v>51</v>
      </c>
      <c r="J59" s="11">
        <f>VLOOKUP($A59, 'ADP Data'!$C$3:$Q$300, 10, FALSE)</f>
        <v>58</v>
      </c>
      <c r="K59" s="11">
        <v>55.0</v>
      </c>
    </row>
    <row r="60" ht="14.25" customHeight="1">
      <c r="A60" s="1" t="s">
        <v>164</v>
      </c>
      <c r="B60" s="11" t="str">
        <f>VLOOKUP($A60, 'ADP Data'!$C$3:$R$300, 2, FALSE)</f>
        <v>CAR</v>
      </c>
      <c r="C60" s="11" t="str">
        <f>VLOOKUP($A60, 'ADP Data'!$C$3:$R$300, 16, FALSE)</f>
        <v>WR</v>
      </c>
      <c r="D60" s="11"/>
      <c r="E60" s="11" t="s">
        <v>106</v>
      </c>
      <c r="F60" s="11" t="s">
        <v>864</v>
      </c>
      <c r="G60" s="11">
        <v>24.0</v>
      </c>
      <c r="H60" s="11" t="s">
        <v>1058</v>
      </c>
      <c r="I60" s="11">
        <f>VLOOKUP($A60, 'ADP Data'!$C$3:$Q$300, 13, FALSE)</f>
        <v>38</v>
      </c>
      <c r="J60" s="11">
        <f>VLOOKUP($A60, 'ADP Data'!$C$3:$Q$300, 10, FALSE)</f>
        <v>55</v>
      </c>
      <c r="K60" s="11">
        <v>49.0</v>
      </c>
    </row>
    <row r="61" ht="14.25" customHeight="1">
      <c r="A61" s="1" t="s">
        <v>319</v>
      </c>
      <c r="B61" s="11" t="str">
        <f>VLOOKUP($A61, 'ADP Data'!$C$3:$R$300, 2, FALSE)</f>
        <v>KC</v>
      </c>
      <c r="C61" s="11" t="str">
        <f>VLOOKUP($A61, 'ADP Data'!$C$3:$R$300, 16, FALSE)</f>
        <v>QB</v>
      </c>
      <c r="D61" s="11"/>
      <c r="E61" s="11"/>
      <c r="F61" s="11" t="s">
        <v>856</v>
      </c>
      <c r="G61" s="11">
        <v>9.0</v>
      </c>
      <c r="H61" s="11"/>
      <c r="I61" s="11">
        <f>VLOOKUP($A61, 'ADP Data'!$C$3:$Q$300, 13, FALSE)</f>
        <v>80</v>
      </c>
      <c r="J61" s="11">
        <f>VLOOKUP($A61, 'ADP Data'!$C$3:$Q$300, 10, FALSE)</f>
        <v>76</v>
      </c>
      <c r="K61" s="11">
        <v>75.0</v>
      </c>
    </row>
    <row r="62" ht="14.25" customHeight="1">
      <c r="A62" s="1" t="s">
        <v>261</v>
      </c>
      <c r="B62" s="11" t="str">
        <f>VLOOKUP($A62, 'ADP Data'!$C$3:$R$300, 2, FALSE)</f>
        <v>DEN</v>
      </c>
      <c r="C62" s="11" t="str">
        <f>VLOOKUP($A62, 'ADP Data'!$C$3:$R$300, 16, FALSE)</f>
        <v>WR</v>
      </c>
      <c r="D62" s="11"/>
      <c r="E62" s="11" t="s">
        <v>106</v>
      </c>
      <c r="F62" s="11" t="s">
        <v>864</v>
      </c>
      <c r="G62" s="11">
        <v>26.0</v>
      </c>
      <c r="H62" s="11"/>
      <c r="I62" s="11">
        <f>VLOOKUP($A62, 'ADP Data'!$C$3:$Q$300, 13, FALSE)</f>
        <v>48</v>
      </c>
      <c r="J62" s="11">
        <f>VLOOKUP($A62, 'ADP Data'!$C$3:$Q$300, 10, FALSE)</f>
        <v>59</v>
      </c>
      <c r="K62" s="11">
        <v>63.0</v>
      </c>
    </row>
    <row r="63" ht="14.25" customHeight="1">
      <c r="A63" s="1" t="s">
        <v>181</v>
      </c>
      <c r="B63" s="11" t="str">
        <f>VLOOKUP($A63, 'ADP Data'!$C$3:$R$300, 2, FALSE)</f>
        <v>CHI</v>
      </c>
      <c r="C63" s="11" t="str">
        <f>VLOOKUP($A63, 'ADP Data'!$C$3:$R$300, 16, FALSE)</f>
        <v>RB</v>
      </c>
      <c r="D63" s="11"/>
      <c r="E63" s="11" t="s">
        <v>95</v>
      </c>
      <c r="F63" s="11" t="s">
        <v>851</v>
      </c>
      <c r="G63" s="11">
        <v>26.0</v>
      </c>
      <c r="H63" s="11"/>
      <c r="I63" s="11">
        <f>VLOOKUP($A63, 'ADP Data'!$C$3:$Q$300, 13, FALSE)</f>
        <v>70</v>
      </c>
      <c r="J63" s="11">
        <f>VLOOKUP($A63, 'ADP Data'!$C$3:$Q$300, 10, FALSE)</f>
        <v>64</v>
      </c>
      <c r="K63" s="11">
        <v>67.0</v>
      </c>
    </row>
    <row r="64" ht="14.25" customHeight="1">
      <c r="A64" s="1" t="s">
        <v>275</v>
      </c>
      <c r="B64" s="11" t="str">
        <f>VLOOKUP($A64, 'ADP Data'!$C$3:$R$300, 2, FALSE)</f>
        <v>DEN</v>
      </c>
      <c r="C64" s="11" t="str">
        <f>VLOOKUP($A64, 'ADP Data'!$C$3:$R$300, 16, FALSE)</f>
        <v>RB</v>
      </c>
      <c r="D64" s="11"/>
      <c r="E64" s="11" t="s">
        <v>106</v>
      </c>
      <c r="F64" s="11" t="s">
        <v>851</v>
      </c>
      <c r="G64" s="11">
        <v>20.0</v>
      </c>
      <c r="H64" s="11" t="s">
        <v>1067</v>
      </c>
      <c r="I64" s="11">
        <f>VLOOKUP($A64, 'ADP Data'!$C$3:$Q$300, 13, FALSE)</f>
        <v>61</v>
      </c>
      <c r="J64" s="11">
        <f>VLOOKUP($A64, 'ADP Data'!$C$3:$Q$300, 10, FALSE)</f>
        <v>56</v>
      </c>
      <c r="K64" s="11">
        <v>65.0</v>
      </c>
    </row>
    <row r="65" ht="14.25" customHeight="1">
      <c r="A65" s="1" t="s">
        <v>130</v>
      </c>
      <c r="B65" s="11" t="str">
        <f>VLOOKUP($A65, 'ADP Data'!$C$3:$R$300, 2, FALSE)</f>
        <v>NO</v>
      </c>
      <c r="C65" s="11" t="str">
        <f>VLOOKUP($A65, 'ADP Data'!$C$3:$R$300, 16, FALSE)</f>
        <v>WR</v>
      </c>
      <c r="D65" s="11"/>
      <c r="E65" s="11"/>
      <c r="F65" s="11" t="s">
        <v>849</v>
      </c>
      <c r="G65" s="11">
        <v>32.0</v>
      </c>
      <c r="H65" s="11"/>
      <c r="I65" s="11">
        <f>VLOOKUP($A65, 'ADP Data'!$C$3:$Q$300, 13, FALSE)</f>
        <v>67</v>
      </c>
      <c r="J65" s="11">
        <f>VLOOKUP($A65, 'ADP Data'!$C$3:$Q$300, 10, FALSE)</f>
        <v>66</v>
      </c>
      <c r="K65" s="11">
        <v>66.0</v>
      </c>
    </row>
    <row r="66" ht="14.25" customHeight="1">
      <c r="A66" s="1" t="s">
        <v>185</v>
      </c>
      <c r="B66" s="11" t="str">
        <f>VLOOKUP($A66, 'ADP Data'!$C$3:$R$300, 2, FALSE)</f>
        <v>DET</v>
      </c>
      <c r="C66" s="11" t="str">
        <f>VLOOKUP($A66, 'ADP Data'!$C$3:$R$300, 16, FALSE)</f>
        <v>RB</v>
      </c>
      <c r="D66" s="11"/>
      <c r="E66" s="11"/>
      <c r="F66" s="11" t="s">
        <v>851</v>
      </c>
      <c r="G66" s="11">
        <v>21.0</v>
      </c>
      <c r="H66" s="11"/>
      <c r="I66" s="11">
        <f>VLOOKUP($A66, 'ADP Data'!$C$3:$Q$300, 13, FALSE)</f>
        <v>75</v>
      </c>
      <c r="J66" s="11">
        <f>VLOOKUP($A66, 'ADP Data'!$C$3:$Q$300, 10, FALSE)</f>
        <v>61</v>
      </c>
      <c r="K66" s="11">
        <v>53.0</v>
      </c>
    </row>
    <row r="67" ht="14.25" customHeight="1">
      <c r="A67" s="1" t="s">
        <v>208</v>
      </c>
      <c r="B67" s="11" t="str">
        <f>VLOOKUP($A67, 'ADP Data'!$C$3:$R$300, 2, FALSE)</f>
        <v>CHI</v>
      </c>
      <c r="C67" s="11" t="str">
        <f>VLOOKUP($A67, 'ADP Data'!$C$3:$R$300, 16, FALSE)</f>
        <v>WR</v>
      </c>
      <c r="D67" s="11"/>
      <c r="E67" s="11"/>
      <c r="F67" s="11" t="s">
        <v>849</v>
      </c>
      <c r="G67" s="11">
        <v>33.0</v>
      </c>
      <c r="H67" s="11" t="s">
        <v>1047</v>
      </c>
      <c r="I67" s="11">
        <f>VLOOKUP($A67, 'ADP Data'!$C$3:$Q$300, 13, FALSE)</f>
        <v>64</v>
      </c>
      <c r="J67" s="11">
        <f>VLOOKUP($A67, 'ADP Data'!$C$3:$Q$300, 10, FALSE)</f>
        <v>63</v>
      </c>
      <c r="K67" s="11">
        <v>68.0</v>
      </c>
    </row>
    <row r="68" ht="14.25" customHeight="1">
      <c r="A68" s="1" t="s">
        <v>426</v>
      </c>
      <c r="B68" s="11" t="str">
        <f>VLOOKUP($A68, 'ADP Data'!$C$3:$R$300, 2, FALSE)</f>
        <v>MIN</v>
      </c>
      <c r="C68" s="11" t="str">
        <f>VLOOKUP($A68, 'ADP Data'!$C$3:$R$300, 16, FALSE)</f>
        <v>TE</v>
      </c>
      <c r="D68" s="11"/>
      <c r="E68" s="11"/>
      <c r="F68" s="81" t="s">
        <v>858</v>
      </c>
      <c r="G68" s="11">
        <v>5.0</v>
      </c>
      <c r="H68" s="11"/>
      <c r="I68" s="11">
        <f>VLOOKUP($A68, 'ADP Data'!$C$3:$Q$300, 13, FALSE)</f>
        <v>87</v>
      </c>
      <c r="J68" s="11">
        <f>VLOOKUP($A68, 'ADP Data'!$C$3:$Q$300, 10, FALSE)</f>
        <v>73</v>
      </c>
      <c r="K68" s="11">
        <v>74.0</v>
      </c>
    </row>
    <row r="69" ht="14.25" customHeight="1">
      <c r="A69" s="1" t="s">
        <v>418</v>
      </c>
      <c r="B69" s="11" t="str">
        <f>VLOOKUP($A69, 'ADP Data'!$C$3:$R$300, 2, FALSE)</f>
        <v>KC</v>
      </c>
      <c r="C69" s="11" t="str">
        <f>VLOOKUP($A69, 'ADP Data'!$C$3:$R$300, 16, FALSE)</f>
        <v>RB</v>
      </c>
      <c r="D69" s="11"/>
      <c r="E69" s="11"/>
      <c r="F69" s="11" t="s">
        <v>851</v>
      </c>
      <c r="G69" s="11">
        <v>23.0</v>
      </c>
      <c r="H69" s="11"/>
      <c r="I69" s="11">
        <f>VLOOKUP($A69, 'ADP Data'!$C$3:$Q$300, 13, FALSE)</f>
        <v>71</v>
      </c>
      <c r="J69" s="11">
        <f>VLOOKUP($A69, 'ADP Data'!$C$3:$Q$300, 10, FALSE)</f>
        <v>65</v>
      </c>
      <c r="K69" s="11">
        <v>64.0</v>
      </c>
    </row>
    <row r="70" ht="14.25" customHeight="1">
      <c r="A70" s="1" t="s">
        <v>255</v>
      </c>
      <c r="B70" s="11" t="str">
        <f>VLOOKUP($A70, 'ADP Data'!$C$3:$R$300, 2, FALSE)</f>
        <v>TEN</v>
      </c>
      <c r="C70" s="11" t="str">
        <f>VLOOKUP($A70, 'ADP Data'!$C$3:$R$300, 16, FALSE)</f>
        <v>RB</v>
      </c>
      <c r="D70" s="11"/>
      <c r="E70" s="11"/>
      <c r="F70" s="11" t="s">
        <v>851</v>
      </c>
      <c r="G70" s="11">
        <v>24.0</v>
      </c>
      <c r="H70" s="11"/>
      <c r="I70" s="11">
        <f>VLOOKUP($A70, 'ADP Data'!$C$3:$Q$300, 13, FALSE)</f>
        <v>68</v>
      </c>
      <c r="J70" s="11">
        <f>VLOOKUP($A70, 'ADP Data'!$C$3:$Q$300, 10, FALSE)</f>
        <v>54</v>
      </c>
      <c r="K70" s="11">
        <v>59.0</v>
      </c>
    </row>
    <row r="71" ht="14.25" customHeight="1">
      <c r="A71" s="1" t="s">
        <v>350</v>
      </c>
      <c r="B71" s="11" t="str">
        <f>VLOOKUP($A71, 'ADP Data'!$C$3:$R$300, 2, FALSE)</f>
        <v>MIN</v>
      </c>
      <c r="C71" s="11" t="str">
        <f>VLOOKUP($A71, 'ADP Data'!$C$3:$R$300, 16, FALSE)</f>
        <v>RB</v>
      </c>
      <c r="D71" s="11"/>
      <c r="E71" s="11"/>
      <c r="F71" s="11" t="s">
        <v>851</v>
      </c>
      <c r="G71" s="11">
        <v>25.0</v>
      </c>
      <c r="H71" s="11"/>
      <c r="I71" s="11">
        <f>VLOOKUP($A71, 'ADP Data'!$C$3:$Q$300, 13, FALSE)</f>
        <v>78</v>
      </c>
      <c r="J71" s="11">
        <f>VLOOKUP($A71, 'ADP Data'!$C$3:$Q$300, 10, FALSE)</f>
        <v>70</v>
      </c>
      <c r="K71" s="11">
        <v>69.0</v>
      </c>
    </row>
    <row r="72" ht="14.25" customHeight="1">
      <c r="A72" s="1" t="s">
        <v>321</v>
      </c>
      <c r="B72" s="11" t="str">
        <f>VLOOKUP($A72, 'ADP Data'!$C$3:$R$300, 2, FALSE)</f>
        <v>KC</v>
      </c>
      <c r="C72" s="11" t="str">
        <f>VLOOKUP($A72, 'ADP Data'!$C$3:$R$300, 16, FALSE)</f>
        <v>TE</v>
      </c>
      <c r="D72" s="11"/>
      <c r="E72" s="11" t="s">
        <v>95</v>
      </c>
      <c r="F72" s="11" t="s">
        <v>854</v>
      </c>
      <c r="G72" s="11">
        <v>9.0</v>
      </c>
      <c r="H72" s="11"/>
      <c r="I72" s="11">
        <f>VLOOKUP($A72, 'ADP Data'!$C$3:$Q$300, 13, FALSE)</f>
        <v>91</v>
      </c>
      <c r="J72" s="11">
        <f>VLOOKUP($A72, 'ADP Data'!$C$3:$Q$300, 10, FALSE)</f>
        <v>82</v>
      </c>
      <c r="K72" s="11">
        <v>86.0</v>
      </c>
    </row>
    <row r="73" ht="14.25" customHeight="1">
      <c r="A73" s="1" t="s">
        <v>465</v>
      </c>
      <c r="B73" s="11" t="str">
        <f>VLOOKUP($A73, 'ADP Data'!$C$3:$R$300, 2, FALSE)</f>
        <v>JAX</v>
      </c>
      <c r="C73" s="11" t="str">
        <f>VLOOKUP($A73, 'ADP Data'!$C$3:$R$300, 16, FALSE)</f>
        <v>WR</v>
      </c>
      <c r="D73" s="11"/>
      <c r="E73" s="11" t="s">
        <v>106</v>
      </c>
      <c r="F73" s="11" t="s">
        <v>864</v>
      </c>
      <c r="G73" s="11">
        <v>30.0</v>
      </c>
      <c r="H73" s="11" t="s">
        <v>1061</v>
      </c>
      <c r="I73" s="11">
        <f>VLOOKUP($A73, 'ADP Data'!$C$3:$Q$300, 13, FALSE)</f>
        <v>55</v>
      </c>
      <c r="J73" s="11">
        <f>VLOOKUP($A73, 'ADP Data'!$C$3:$Q$300, 10, FALSE)</f>
        <v>62</v>
      </c>
      <c r="K73" s="11">
        <v>72.0</v>
      </c>
    </row>
    <row r="74" ht="14.25" customHeight="1">
      <c r="A74" s="1" t="s">
        <v>134</v>
      </c>
      <c r="B74" s="11" t="str">
        <f>VLOOKUP($A74, 'ADP Data'!$C$3:$R$300, 2, FALSE)</f>
        <v>KC</v>
      </c>
      <c r="C74" s="11" t="str">
        <f>VLOOKUP($A74, 'ADP Data'!$C$3:$R$300, 16, FALSE)</f>
        <v>WR</v>
      </c>
      <c r="D74" s="11"/>
      <c r="E74" s="11" t="s">
        <v>106</v>
      </c>
      <c r="F74" s="11" t="s">
        <v>864</v>
      </c>
      <c r="G74" s="11">
        <v>29.0</v>
      </c>
      <c r="H74" s="12" t="s">
        <v>1063</v>
      </c>
      <c r="I74" s="11">
        <f>VLOOKUP($A74, 'ADP Data'!$C$3:$Q$300, 13, FALSE)</f>
        <v>60</v>
      </c>
      <c r="J74" s="11">
        <f>VLOOKUP($A74, 'ADP Data'!$C$3:$Q$300, 10, FALSE)</f>
        <v>74</v>
      </c>
      <c r="K74" s="11">
        <v>79.0</v>
      </c>
    </row>
    <row r="75" ht="14.25" customHeight="1">
      <c r="A75" s="1" t="s">
        <v>369</v>
      </c>
      <c r="B75" s="11" t="str">
        <f>VLOOKUP($A75, 'ADP Data'!$C$3:$R$300, 2, FALSE)</f>
        <v>TB</v>
      </c>
      <c r="C75" s="11" t="str">
        <f>VLOOKUP($A75, 'ADP Data'!$C$3:$R$300, 16, FALSE)</f>
        <v>QB</v>
      </c>
      <c r="D75" s="11"/>
      <c r="E75" s="11"/>
      <c r="F75" s="11" t="s">
        <v>871</v>
      </c>
      <c r="G75" s="11">
        <v>6.0</v>
      </c>
      <c r="H75" s="11"/>
      <c r="I75" s="11">
        <f>VLOOKUP($A75, 'ADP Data'!$C$3:$Q$300, 13, FALSE)</f>
        <v>93</v>
      </c>
      <c r="J75" s="11">
        <f>VLOOKUP($A75, 'ADP Data'!$C$3:$Q$300, 10, FALSE)</f>
        <v>90</v>
      </c>
      <c r="K75" s="11">
        <v>73.0</v>
      </c>
    </row>
    <row r="76" ht="14.25" customHeight="1">
      <c r="A76" s="1" t="s">
        <v>621</v>
      </c>
      <c r="B76" s="11" t="str">
        <f>VLOOKUP($A76, 'ADP Data'!$C$3:$R$300, 2, FALSE)</f>
        <v>SF</v>
      </c>
      <c r="C76" s="11" t="str">
        <f>VLOOKUP($A76, 'ADP Data'!$C$3:$R$300, 16, FALSE)</f>
        <v>WR</v>
      </c>
      <c r="D76" s="11"/>
      <c r="E76" s="11"/>
      <c r="F76" s="11" t="s">
        <v>849</v>
      </c>
      <c r="G76" s="11">
        <v>32.0</v>
      </c>
      <c r="H76" s="11" t="s">
        <v>1047</v>
      </c>
      <c r="I76" s="11">
        <f>VLOOKUP($A76, 'ADP Data'!$C$3:$Q$300, 13, FALSE)</f>
        <v>59</v>
      </c>
      <c r="J76" s="11">
        <f>VLOOKUP($A76, 'ADP Data'!$C$3:$Q$300, 10, FALSE)</f>
        <v>69</v>
      </c>
      <c r="K76" s="11">
        <v>58.0</v>
      </c>
    </row>
    <row r="77" ht="14.25" customHeight="1">
      <c r="A77" s="1" t="s">
        <v>837</v>
      </c>
      <c r="B77" s="11" t="str">
        <f>VLOOKUP($A77, 'ADP Data'!$C$3:$R$300, 2, FALSE)</f>
        <v>PIT</v>
      </c>
      <c r="C77" s="11" t="str">
        <f>VLOOKUP($A77, 'ADP Data'!$C$3:$R$300, 16, FALSE)</f>
        <v>RB</v>
      </c>
      <c r="D77" s="11"/>
      <c r="E77" s="11"/>
      <c r="F77" s="11" t="s">
        <v>882</v>
      </c>
      <c r="G77" s="11">
        <v>27.0</v>
      </c>
      <c r="H77" s="11" t="s">
        <v>1071</v>
      </c>
      <c r="I77" s="11">
        <f>VLOOKUP($A77, 'ADP Data'!$C$3:$Q$300, 13, FALSE)</f>
        <v>79</v>
      </c>
      <c r="J77" s="11">
        <f>VLOOKUP($A77, 'ADP Data'!$C$3:$Q$300, 10, FALSE)</f>
        <v>95</v>
      </c>
      <c r="K77" s="11">
        <v>62.0</v>
      </c>
    </row>
    <row r="78" ht="14.25" customHeight="1">
      <c r="A78" s="1" t="s">
        <v>357</v>
      </c>
      <c r="B78" s="11" t="str">
        <f>VLOOKUP($A78, 'ADP Data'!$C$3:$R$300, 2, FALSE)</f>
        <v>BAL</v>
      </c>
      <c r="C78" s="11" t="str">
        <f>VLOOKUP($A78, 'ADP Data'!$C$3:$R$300, 16, FALSE)</f>
        <v>TE</v>
      </c>
      <c r="D78" s="11"/>
      <c r="E78" s="11" t="s">
        <v>95</v>
      </c>
      <c r="F78" s="11" t="s">
        <v>854</v>
      </c>
      <c r="G78" s="11">
        <v>7.0</v>
      </c>
      <c r="H78" s="11"/>
      <c r="I78" s="11">
        <f>VLOOKUP($A78, 'ADP Data'!$C$3:$Q$300, 13, FALSE)</f>
        <v>95</v>
      </c>
      <c r="J78" s="11">
        <f>VLOOKUP($A78, 'ADP Data'!$C$3:$Q$300, 10, FALSE)</f>
        <v>79</v>
      </c>
      <c r="K78" s="11">
        <v>85.0</v>
      </c>
    </row>
    <row r="79" ht="14.25" customHeight="1">
      <c r="A79" s="1" t="s">
        <v>326</v>
      </c>
      <c r="B79" s="11" t="str">
        <f>VLOOKUP($A79, 'ADP Data'!$C$3:$R$300, 2, FALSE)</f>
        <v>DEN</v>
      </c>
      <c r="C79" s="11" t="str">
        <f>VLOOKUP($A79, 'ADP Data'!$C$3:$R$300, 16, FALSE)</f>
        <v>QB</v>
      </c>
      <c r="D79" s="11"/>
      <c r="E79" s="11"/>
      <c r="F79" s="11" t="s">
        <v>871</v>
      </c>
      <c r="G79" s="11">
        <v>7.0</v>
      </c>
      <c r="H79" s="11"/>
      <c r="I79" s="11">
        <f>VLOOKUP($A79, 'ADP Data'!$C$3:$Q$300, 13, FALSE)</f>
        <v>96</v>
      </c>
      <c r="J79" s="11">
        <f>VLOOKUP($A79, 'ADP Data'!$C$3:$Q$300, 10, FALSE)</f>
        <v>83</v>
      </c>
      <c r="K79" s="11">
        <v>77.0</v>
      </c>
    </row>
    <row r="80" ht="14.25" customHeight="1">
      <c r="A80" s="1" t="s">
        <v>789</v>
      </c>
      <c r="B80" s="11" t="str">
        <f>VLOOKUP($A80, 'ADP Data'!$C$3:$R$300, 2, FALSE)</f>
        <v>HOU</v>
      </c>
      <c r="C80" s="11" t="str">
        <f>VLOOKUP($A80, 'ADP Data'!$C$3:$R$300, 16, FALSE)</f>
        <v>RB</v>
      </c>
      <c r="D80" s="11"/>
      <c r="E80" s="11"/>
      <c r="F80" s="11" t="s">
        <v>851</v>
      </c>
      <c r="G80" s="11">
        <v>22.0</v>
      </c>
      <c r="H80" s="11" t="s">
        <v>1068</v>
      </c>
      <c r="I80" s="11">
        <f>VLOOKUP($A80, 'ADP Data'!$C$3:$Q$300, 13, FALSE)</f>
        <v>122</v>
      </c>
      <c r="J80" s="11">
        <f>VLOOKUP($A80, 'ADP Data'!$C$3:$Q$300, 10, FALSE)</f>
        <v>161</v>
      </c>
      <c r="K80" s="11">
        <v>46.0</v>
      </c>
    </row>
    <row r="81" ht="14.25" customHeight="1">
      <c r="A81" s="1" t="s">
        <v>303</v>
      </c>
      <c r="B81" s="11" t="str">
        <f>VLOOKUP($A81, 'ADP Data'!$C$3:$R$300, 2, FALSE)</f>
        <v>MIN</v>
      </c>
      <c r="C81" s="11" t="str">
        <f>VLOOKUP($A81, 'ADP Data'!$C$3:$R$300, 16, FALSE)</f>
        <v>WR</v>
      </c>
      <c r="D81" s="11"/>
      <c r="E81" s="11"/>
      <c r="F81" s="11" t="s">
        <v>865</v>
      </c>
      <c r="G81" s="11">
        <v>36.0</v>
      </c>
      <c r="H81" s="11"/>
      <c r="I81" s="11">
        <f>VLOOKUP($A81, 'ADP Data'!$C$3:$Q$300, 13, FALSE)</f>
        <v>74</v>
      </c>
      <c r="J81" s="11">
        <f>VLOOKUP($A81, 'ADP Data'!$C$3:$Q$300, 10, FALSE)</f>
        <v>84</v>
      </c>
      <c r="K81" s="11">
        <v>101.0</v>
      </c>
    </row>
    <row r="82" ht="14.25" customHeight="1">
      <c r="A82" s="1" t="s">
        <v>342</v>
      </c>
      <c r="B82" s="11" t="str">
        <f>VLOOKUP($A82, 'ADP Data'!$C$3:$R$300, 2, FALSE)</f>
        <v>LV</v>
      </c>
      <c r="C82" s="11" t="str">
        <f>VLOOKUP($A82, 'ADP Data'!$C$3:$R$300, 16, FALSE)</f>
        <v>WR</v>
      </c>
      <c r="D82" s="11"/>
      <c r="E82" s="11"/>
      <c r="F82" s="11" t="s">
        <v>865</v>
      </c>
      <c r="G82" s="11">
        <v>35.0</v>
      </c>
      <c r="H82" s="11"/>
      <c r="I82" s="11">
        <f>VLOOKUP($A82, 'ADP Data'!$C$3:$Q$300, 13, FALSE)</f>
        <v>73</v>
      </c>
      <c r="J82" s="11">
        <f>VLOOKUP($A82, 'ADP Data'!$C$3:$Q$300, 10, FALSE)</f>
        <v>87</v>
      </c>
      <c r="K82" s="11">
        <v>90.0</v>
      </c>
    </row>
    <row r="83" ht="14.25" customHeight="1">
      <c r="A83" s="1" t="s">
        <v>437</v>
      </c>
      <c r="B83" s="11" t="str">
        <f>VLOOKUP($A83, 'ADP Data'!$C$3:$R$300, 2, FALSE)</f>
        <v>CLE</v>
      </c>
      <c r="C83" s="11" t="str">
        <f>VLOOKUP($A83, 'ADP Data'!$C$3:$R$300, 16, FALSE)</f>
        <v>WR</v>
      </c>
      <c r="D83" s="11"/>
      <c r="E83" s="11"/>
      <c r="F83" s="11" t="s">
        <v>865</v>
      </c>
      <c r="G83" s="11">
        <v>37.0</v>
      </c>
      <c r="H83" s="11"/>
      <c r="I83" s="11">
        <f>VLOOKUP($A83, 'ADP Data'!$C$3:$Q$300, 13, FALSE)</f>
        <v>72</v>
      </c>
      <c r="J83" s="11">
        <f>VLOOKUP($A83, 'ADP Data'!$C$3:$Q$300, 10, FALSE)</f>
        <v>81</v>
      </c>
      <c r="K83" s="11">
        <v>104.0</v>
      </c>
    </row>
    <row r="84" ht="14.25" customHeight="1">
      <c r="A84" s="1" t="s">
        <v>299</v>
      </c>
      <c r="B84" s="11" t="str">
        <f>VLOOKUP($A84, 'ADP Data'!$C$3:$R$300, 2, FALSE)</f>
        <v>NE</v>
      </c>
      <c r="C84" s="11" t="str">
        <f>VLOOKUP($A84, 'ADP Data'!$C$3:$R$300, 16, FALSE)</f>
        <v>WR</v>
      </c>
      <c r="D84" s="11"/>
      <c r="E84" s="11"/>
      <c r="F84" s="11" t="s">
        <v>865</v>
      </c>
      <c r="G84" s="11">
        <v>38.0</v>
      </c>
      <c r="H84" s="11"/>
      <c r="I84" s="11">
        <f>VLOOKUP($A84, 'ADP Data'!$C$3:$Q$300, 13, FALSE)</f>
        <v>69</v>
      </c>
      <c r="J84" s="11">
        <f>VLOOKUP($A84, 'ADP Data'!$C$3:$Q$300, 10, FALSE)</f>
        <v>77</v>
      </c>
      <c r="K84" s="11">
        <v>78.0</v>
      </c>
    </row>
    <row r="85" ht="14.25" customHeight="1">
      <c r="A85" s="1" t="s">
        <v>422</v>
      </c>
      <c r="B85" s="11" t="str">
        <f>VLOOKUP($A85, 'ADP Data'!$C$3:$R$300, 2, FALSE)</f>
        <v>SF</v>
      </c>
      <c r="C85" s="11" t="str">
        <f>VLOOKUP($A85, 'ADP Data'!$C$3:$R$300, 16, FALSE)</f>
        <v>RB</v>
      </c>
      <c r="D85" s="11"/>
      <c r="E85" s="11"/>
      <c r="F85" s="11" t="s">
        <v>853</v>
      </c>
      <c r="G85" s="11">
        <v>36.0</v>
      </c>
      <c r="H85" s="11"/>
      <c r="I85" s="11">
        <f>VLOOKUP($A85, 'ADP Data'!$C$3:$Q$300, 13, FALSE)</f>
        <v>133</v>
      </c>
      <c r="J85" s="11">
        <f>VLOOKUP($A85, 'ADP Data'!$C$3:$Q$300, 10, FALSE)</f>
        <v>147</v>
      </c>
      <c r="K85" s="11">
        <v>76.0</v>
      </c>
    </row>
    <row r="86" ht="14.25" customHeight="1">
      <c r="A86" s="1" t="s">
        <v>161</v>
      </c>
      <c r="B86" s="11" t="str">
        <f>VLOOKUP($A86, 'ADP Data'!$C$3:$R$300, 2, FALSE)</f>
        <v>TB</v>
      </c>
      <c r="C86" s="11" t="str">
        <f>VLOOKUP($A86, 'ADP Data'!$C$3:$R$300, 16, FALSE)</f>
        <v>WR</v>
      </c>
      <c r="D86" s="11"/>
      <c r="E86" s="11" t="s">
        <v>106</v>
      </c>
      <c r="F86" s="11" t="s">
        <v>849</v>
      </c>
      <c r="G86" s="11">
        <v>34.0</v>
      </c>
      <c r="H86" s="11" t="s">
        <v>1061</v>
      </c>
      <c r="I86" s="11">
        <f>VLOOKUP($A86, 'ADP Data'!$C$3:$Q$300, 13, FALSE)</f>
        <v>56</v>
      </c>
      <c r="J86" s="11">
        <f>VLOOKUP($A86, 'ADP Data'!$C$3:$Q$300, 10, FALSE)</f>
        <v>72</v>
      </c>
      <c r="K86" s="11">
        <v>91.0</v>
      </c>
    </row>
    <row r="87" ht="14.25" customHeight="1">
      <c r="A87" s="1" t="s">
        <v>435</v>
      </c>
      <c r="B87" s="11" t="str">
        <f>VLOOKUP($A87, 'ADP Data'!$C$3:$R$300, 2, FALSE)</f>
        <v>NYG</v>
      </c>
      <c r="C87" s="11" t="str">
        <f>VLOOKUP($A87, 'ADP Data'!$C$3:$R$300, 16, FALSE)</f>
        <v>RB</v>
      </c>
      <c r="D87" s="11"/>
      <c r="E87" s="11"/>
      <c r="F87" s="11" t="s">
        <v>853</v>
      </c>
      <c r="G87" s="11">
        <v>34.0</v>
      </c>
      <c r="H87" s="11" t="s">
        <v>1078</v>
      </c>
      <c r="I87" s="11">
        <f>VLOOKUP($A87, 'ADP Data'!$C$3:$Q$300, 13, FALSE)</f>
        <v>84</v>
      </c>
      <c r="J87" s="11">
        <f>VLOOKUP($A87, 'ADP Data'!$C$3:$Q$300, 10, FALSE)</f>
        <v>67</v>
      </c>
      <c r="K87" s="11">
        <v>82.0</v>
      </c>
    </row>
    <row r="88" ht="14.25" customHeight="1">
      <c r="A88" s="1" t="s">
        <v>361</v>
      </c>
      <c r="B88" s="11" t="str">
        <f>VLOOKUP($A88, 'ADP Data'!$C$3:$R$300, 2, FALSE)</f>
        <v>ARI</v>
      </c>
      <c r="C88" s="11" t="str">
        <f>VLOOKUP($A88, 'ADP Data'!$C$3:$R$300, 16, FALSE)</f>
        <v>QB</v>
      </c>
      <c r="D88" s="11"/>
      <c r="E88" s="11"/>
      <c r="F88" s="11" t="s">
        <v>871</v>
      </c>
      <c r="G88" s="11">
        <v>8.0</v>
      </c>
      <c r="H88" s="11"/>
      <c r="I88" s="11">
        <f>VLOOKUP($A88, 'ADP Data'!$C$3:$Q$300, 13, FALSE)</f>
        <v>98</v>
      </c>
      <c r="J88" s="11">
        <f>VLOOKUP($A88, 'ADP Data'!$C$3:$Q$300, 10, FALSE)</f>
        <v>98</v>
      </c>
      <c r="K88" s="11">
        <v>96.0</v>
      </c>
    </row>
    <row r="89" ht="14.25" customHeight="1">
      <c r="A89" s="1" t="s">
        <v>236</v>
      </c>
      <c r="B89" s="11" t="str">
        <f>VLOOKUP($A89, 'ADP Data'!$C$3:$R$300, 2, FALSE)</f>
        <v>PIT</v>
      </c>
      <c r="C89" s="11" t="str">
        <f>VLOOKUP($A89, 'ADP Data'!$C$3:$R$300, 16, FALSE)</f>
        <v>RB</v>
      </c>
      <c r="D89" s="11"/>
      <c r="E89" s="11"/>
      <c r="F89" s="11" t="s">
        <v>853</v>
      </c>
      <c r="G89" s="11">
        <v>35.0</v>
      </c>
      <c r="H89" s="11"/>
      <c r="I89" s="11">
        <f>VLOOKUP($A89, 'ADP Data'!$C$3:$Q$300, 13, FALSE)</f>
        <v>88</v>
      </c>
      <c r="J89" s="11">
        <f>VLOOKUP($A89, 'ADP Data'!$C$3:$Q$300, 10, FALSE)</f>
        <v>75</v>
      </c>
      <c r="K89" s="11">
        <v>80.0</v>
      </c>
    </row>
    <row r="90" ht="14.25" customHeight="1">
      <c r="A90" s="1" t="s">
        <v>666</v>
      </c>
      <c r="B90" s="11" t="str">
        <f>VLOOKUP($A90, 'ADP Data'!$C$3:$R$300, 2, FALSE)</f>
        <v>DEN</v>
      </c>
      <c r="C90" s="11" t="str">
        <f>VLOOKUP($A90, 'ADP Data'!$C$3:$R$300, 16, FALSE)</f>
        <v>TE</v>
      </c>
      <c r="D90" s="11"/>
      <c r="E90" s="11" t="s">
        <v>95</v>
      </c>
      <c r="F90" s="11" t="s">
        <v>854</v>
      </c>
      <c r="G90" s="11">
        <v>8.0</v>
      </c>
      <c r="H90" s="11"/>
      <c r="I90" s="11">
        <f>VLOOKUP($A90, 'ADP Data'!$C$3:$Q$300, 13, FALSE)</f>
        <v>107</v>
      </c>
      <c r="J90" s="11">
        <f>VLOOKUP($A90, 'ADP Data'!$C$3:$Q$300, 10, FALSE)</f>
        <v>92</v>
      </c>
      <c r="K90" s="11">
        <v>89.0</v>
      </c>
    </row>
    <row r="91" ht="14.25" customHeight="1">
      <c r="A91" s="1" t="s">
        <v>468</v>
      </c>
      <c r="B91" s="11" t="str">
        <f>VLOOKUP($A91, 'ADP Data'!$C$3:$R$300, 2, FALSE)</f>
        <v>SF</v>
      </c>
      <c r="C91" s="11" t="str">
        <f>VLOOKUP($A91, 'ADP Data'!$C$3:$R$300, 16, FALSE)</f>
        <v>WR</v>
      </c>
      <c r="D91" s="11"/>
      <c r="E91" s="11"/>
      <c r="F91" s="11" t="s">
        <v>855</v>
      </c>
      <c r="G91" s="11">
        <v>40.0</v>
      </c>
      <c r="H91" s="11"/>
      <c r="I91" s="11">
        <f>VLOOKUP($A91, 'ADP Data'!$C$3:$Q$300, 13, FALSE)</f>
        <v>76</v>
      </c>
      <c r="J91" s="11">
        <f>VLOOKUP($A91, 'ADP Data'!$C$3:$Q$300, 10, FALSE)</f>
        <v>93</v>
      </c>
      <c r="K91" s="11">
        <v>92.0</v>
      </c>
    </row>
    <row r="92" ht="14.25" customHeight="1">
      <c r="A92" s="1" t="s">
        <v>578</v>
      </c>
      <c r="B92" s="11" t="str">
        <f>VLOOKUP($A92, 'ADP Data'!$C$3:$R$300, 2, FALSE)</f>
        <v>CLE</v>
      </c>
      <c r="C92" s="11" t="str">
        <f>VLOOKUP($A92, 'ADP Data'!$C$3:$R$300, 16, FALSE)</f>
        <v>TE</v>
      </c>
      <c r="D92" s="11"/>
      <c r="E92" s="11"/>
      <c r="F92" s="11" t="s">
        <v>854</v>
      </c>
      <c r="G92" s="11">
        <v>10.0</v>
      </c>
      <c r="H92" s="11"/>
      <c r="I92" s="11">
        <f>VLOOKUP($A92, 'ADP Data'!$C$3:$Q$300, 13, FALSE)</f>
        <v>118</v>
      </c>
      <c r="J92" s="11">
        <f>VLOOKUP($A92, 'ADP Data'!$C$3:$Q$300, 10, FALSE)</f>
        <v>97</v>
      </c>
      <c r="K92" s="11">
        <v>88.0</v>
      </c>
    </row>
    <row r="93" ht="14.25" customHeight="1">
      <c r="A93" s="1" t="s">
        <v>364</v>
      </c>
      <c r="B93" s="11" t="str">
        <f>VLOOKUP($A93, 'ADP Data'!$C$3:$R$300, 2, FALSE)</f>
        <v>WAS</v>
      </c>
      <c r="C93" s="11" t="str">
        <f>VLOOKUP($A93, 'ADP Data'!$C$3:$R$300, 16, FALSE)</f>
        <v>WR</v>
      </c>
      <c r="D93" s="11"/>
      <c r="E93" s="11" t="s">
        <v>106</v>
      </c>
      <c r="F93" s="11" t="s">
        <v>855</v>
      </c>
      <c r="G93" s="11">
        <v>41.0</v>
      </c>
      <c r="H93" s="11" t="s">
        <v>1066</v>
      </c>
      <c r="I93" s="11">
        <f>VLOOKUP($A93, 'ADP Data'!$C$3:$Q$300, 13, FALSE)</f>
        <v>65</v>
      </c>
      <c r="J93" s="11">
        <f>VLOOKUP($A93, 'ADP Data'!$C$3:$Q$300, 10, FALSE)</f>
        <v>94</v>
      </c>
      <c r="K93" s="11">
        <v>61.0</v>
      </c>
    </row>
    <row r="94" ht="14.25" customHeight="1">
      <c r="A94" s="1" t="s">
        <v>292</v>
      </c>
      <c r="B94" s="11" t="str">
        <f>VLOOKUP($A94, 'ADP Data'!$C$3:$R$300, 2, FALSE)</f>
        <v>IND</v>
      </c>
      <c r="C94" s="11" t="str">
        <f>VLOOKUP($A94, 'ADP Data'!$C$3:$R$300, 16, FALSE)</f>
        <v>WR</v>
      </c>
      <c r="D94" s="11"/>
      <c r="E94" s="11" t="s">
        <v>95</v>
      </c>
      <c r="F94" s="11" t="s">
        <v>861</v>
      </c>
      <c r="G94" s="11">
        <v>46.0</v>
      </c>
      <c r="H94" s="11"/>
      <c r="I94" s="11">
        <f>VLOOKUP($A94, 'ADP Data'!$C$3:$Q$300, 13, FALSE)</f>
        <v>83</v>
      </c>
      <c r="J94" s="11">
        <f>VLOOKUP($A94, 'ADP Data'!$C$3:$Q$300, 10, FALSE)</f>
        <v>107</v>
      </c>
      <c r="K94" s="11">
        <v>122.0</v>
      </c>
    </row>
    <row r="95" ht="14.25" customHeight="1">
      <c r="A95" s="1" t="s">
        <v>301</v>
      </c>
      <c r="B95" s="11" t="str">
        <f>VLOOKUP($A95, 'ADP Data'!$C$3:$R$300, 2, FALSE)</f>
        <v>GB</v>
      </c>
      <c r="C95" s="11" t="str">
        <f>VLOOKUP($A95, 'ADP Data'!$C$3:$R$300, 16, FALSE)</f>
        <v>WR</v>
      </c>
      <c r="D95" s="11"/>
      <c r="E95" s="11"/>
      <c r="F95" s="11" t="s">
        <v>861</v>
      </c>
      <c r="G95" s="11">
        <v>43.0</v>
      </c>
      <c r="H95" s="11"/>
      <c r="I95" s="11">
        <f>VLOOKUP($A95, 'ADP Data'!$C$3:$Q$300, 13, FALSE)</f>
        <v>86</v>
      </c>
      <c r="J95" s="11">
        <f>VLOOKUP($A95, 'ADP Data'!$C$3:$Q$300, 10, FALSE)</f>
        <v>110</v>
      </c>
      <c r="K95" s="11">
        <v>93.0</v>
      </c>
    </row>
    <row r="96" ht="14.25" customHeight="1">
      <c r="A96" s="1" t="s">
        <v>374</v>
      </c>
      <c r="B96" s="11" t="str">
        <f>VLOOKUP($A96, 'ADP Data'!$C$3:$R$300, 2, FALSE)</f>
        <v>BUF</v>
      </c>
      <c r="C96" s="11" t="str">
        <f>VLOOKUP($A96, 'ADP Data'!$C$3:$R$300, 16, FALSE)</f>
        <v>WR</v>
      </c>
      <c r="D96" s="11"/>
      <c r="E96" s="11"/>
      <c r="F96" s="11" t="s">
        <v>861</v>
      </c>
      <c r="G96" s="11">
        <v>45.0</v>
      </c>
      <c r="H96" s="11"/>
      <c r="I96" s="11">
        <f>VLOOKUP($A96, 'ADP Data'!$C$3:$Q$300, 13, FALSE)</f>
        <v>81</v>
      </c>
      <c r="J96" s="11">
        <f>VLOOKUP($A96, 'ADP Data'!$C$3:$Q$300, 10, FALSE)</f>
        <v>106</v>
      </c>
      <c r="K96" s="11">
        <v>130.0</v>
      </c>
    </row>
    <row r="97" ht="14.25" customHeight="1">
      <c r="A97" s="1" t="s">
        <v>330</v>
      </c>
      <c r="B97" s="11" t="str">
        <f>VLOOKUP($A97, 'ADP Data'!$C$3:$R$300, 2, FALSE)</f>
        <v>GB</v>
      </c>
      <c r="C97" s="11" t="str">
        <f>VLOOKUP($A97, 'ADP Data'!$C$3:$R$300, 16, FALSE)</f>
        <v>WR</v>
      </c>
      <c r="D97" s="11"/>
      <c r="E97" s="11" t="s">
        <v>106</v>
      </c>
      <c r="F97" s="11" t="s">
        <v>855</v>
      </c>
      <c r="G97" s="11">
        <v>39.0</v>
      </c>
      <c r="H97" s="11" t="s">
        <v>1061</v>
      </c>
      <c r="I97" s="11">
        <f>VLOOKUP($A97, 'ADP Data'!$C$3:$Q$300, 13, FALSE)</f>
        <v>66</v>
      </c>
      <c r="J97" s="11">
        <f>VLOOKUP($A97, 'ADP Data'!$C$3:$Q$300, 10, FALSE)</f>
        <v>91</v>
      </c>
      <c r="K97" s="11">
        <v>123.0</v>
      </c>
    </row>
    <row r="98" ht="14.25" customHeight="1">
      <c r="A98" s="1" t="s">
        <v>315</v>
      </c>
      <c r="B98" s="11" t="str">
        <f>VLOOKUP($A98, 'ADP Data'!$C$3:$R$300, 2, FALSE)</f>
        <v>SF</v>
      </c>
      <c r="C98" s="11" t="str">
        <f>VLOOKUP($A98, 'ADP Data'!$C$3:$R$300, 16, FALSE)</f>
        <v>QB</v>
      </c>
      <c r="D98" s="11"/>
      <c r="E98" s="11"/>
      <c r="F98" s="11" t="s">
        <v>856</v>
      </c>
      <c r="G98" s="11">
        <v>12.0</v>
      </c>
      <c r="H98" s="11"/>
      <c r="I98" s="11">
        <f>VLOOKUP($A98, 'ADP Data'!$C$3:$Q$300, 13, FALSE)</f>
        <v>101</v>
      </c>
      <c r="J98" s="11">
        <f>VLOOKUP($A98, 'ADP Data'!$C$3:$Q$300, 10, FALSE)</f>
        <v>86</v>
      </c>
      <c r="K98" s="11">
        <v>87.0</v>
      </c>
    </row>
    <row r="99" ht="14.25" customHeight="1">
      <c r="A99" s="1" t="s">
        <v>812</v>
      </c>
      <c r="B99" s="11" t="str">
        <f>VLOOKUP($A99, 'ADP Data'!$C$3:$R$300, 2, FALSE)</f>
        <v>NYJ</v>
      </c>
      <c r="C99" s="11" t="str">
        <f>VLOOKUP($A99, 'ADP Data'!$C$3:$R$300, 16, FALSE)</f>
        <v>QB</v>
      </c>
      <c r="D99" s="11"/>
      <c r="E99" s="11"/>
      <c r="F99" s="11" t="s">
        <v>856</v>
      </c>
      <c r="G99" s="11">
        <v>10.0</v>
      </c>
      <c r="H99" s="11"/>
      <c r="I99" s="11">
        <f>VLOOKUP($A99, 'ADP Data'!$C$3:$Q$300, 13, FALSE)</f>
        <v>109</v>
      </c>
      <c r="J99" s="11">
        <f>VLOOKUP($A99, 'ADP Data'!$C$3:$Q$300, 10, FALSE)</f>
        <v>102</v>
      </c>
      <c r="K99" s="11">
        <v>81.0</v>
      </c>
    </row>
    <row r="100" ht="14.25" customHeight="1">
      <c r="A100" s="1" t="s">
        <v>259</v>
      </c>
      <c r="B100" s="11" t="str">
        <f>VLOOKUP($A100, 'ADP Data'!$C$3:$R$300, 2, FALSE)</f>
        <v>DAL</v>
      </c>
      <c r="C100" s="11" t="str">
        <f>VLOOKUP($A100, 'ADP Data'!$C$3:$R$300, 16, FALSE)</f>
        <v>QB</v>
      </c>
      <c r="D100" s="11"/>
      <c r="E100" s="11"/>
      <c r="F100" s="11" t="s">
        <v>856</v>
      </c>
      <c r="G100" s="11">
        <v>11.0</v>
      </c>
      <c r="H100" s="11"/>
      <c r="I100" s="11">
        <f>VLOOKUP($A100, 'ADP Data'!$C$3:$Q$300, 13, FALSE)</f>
        <v>103</v>
      </c>
      <c r="J100" s="11">
        <f>VLOOKUP($A100, 'ADP Data'!$C$3:$Q$300, 10, FALSE)</f>
        <v>88</v>
      </c>
      <c r="K100" s="11">
        <v>102.0</v>
      </c>
    </row>
    <row r="101" ht="14.25" customHeight="1">
      <c r="A101" s="1" t="s">
        <v>313</v>
      </c>
      <c r="B101" s="11" t="str">
        <f>VLOOKUP($A101, 'ADP Data'!$C$3:$R$300, 2, FALSE)</f>
        <v>MIN</v>
      </c>
      <c r="C101" s="11" t="str">
        <f>VLOOKUP($A101, 'ADP Data'!$C$3:$R$300, 16, FALSE)</f>
        <v>RB</v>
      </c>
      <c r="D101" s="11"/>
      <c r="E101" s="11" t="s">
        <v>106</v>
      </c>
      <c r="F101" s="11" t="s">
        <v>882</v>
      </c>
      <c r="G101" s="11">
        <v>28.0</v>
      </c>
      <c r="H101" s="11" t="s">
        <v>1072</v>
      </c>
      <c r="I101" s="11">
        <f>VLOOKUP($A101, 'ADP Data'!$C$3:$Q$300, 13, FALSE)</f>
        <v>82</v>
      </c>
      <c r="J101" s="11">
        <f>VLOOKUP($A101, 'ADP Data'!$C$3:$Q$300, 10, FALSE)</f>
        <v>71</v>
      </c>
      <c r="K101" s="11">
        <v>84.0</v>
      </c>
    </row>
    <row r="102" ht="14.25" customHeight="1">
      <c r="A102" s="1" t="s">
        <v>168</v>
      </c>
      <c r="B102" s="11" t="str">
        <f>VLOOKUP($A102, 'ADP Data'!$C$3:$R$300, 2, FALSE)</f>
        <v>JAX</v>
      </c>
      <c r="C102" s="11" t="str">
        <f>VLOOKUP($A102, 'ADP Data'!$C$3:$R$300, 16, FALSE)</f>
        <v>RB</v>
      </c>
      <c r="D102" s="11"/>
      <c r="E102" s="11"/>
      <c r="F102" s="11" t="s">
        <v>853</v>
      </c>
      <c r="G102" s="11">
        <v>33.0</v>
      </c>
      <c r="H102" s="11"/>
      <c r="I102" s="11">
        <f>VLOOKUP($A102, 'ADP Data'!$C$3:$Q$300, 13, FALSE)</f>
        <v>106</v>
      </c>
      <c r="J102" s="11">
        <f>VLOOKUP($A102, 'ADP Data'!$C$3:$Q$300, 10, FALSE)</f>
        <v>96</v>
      </c>
      <c r="K102" s="11">
        <v>103.0</v>
      </c>
    </row>
    <row r="103" ht="14.25" customHeight="1">
      <c r="A103" s="1" t="s">
        <v>201</v>
      </c>
      <c r="B103" s="11" t="str">
        <f>VLOOKUP($A103, 'ADP Data'!$C$3:$R$300, 2, FALSE)</f>
        <v>IND</v>
      </c>
      <c r="C103" s="11" t="str">
        <f>VLOOKUP($A103, 'ADP Data'!$C$3:$R$300, 16, FALSE)</f>
        <v>TE</v>
      </c>
      <c r="D103" s="11"/>
      <c r="E103" s="11" t="s">
        <v>106</v>
      </c>
      <c r="F103" s="11" t="s">
        <v>870</v>
      </c>
      <c r="G103" s="11">
        <v>11.0</v>
      </c>
      <c r="H103" s="11" t="s">
        <v>1074</v>
      </c>
      <c r="I103" s="11">
        <f>VLOOKUP($A103, 'ADP Data'!$C$3:$Q$300, 13, FALSE)</f>
        <v>89</v>
      </c>
      <c r="J103" s="11">
        <f>VLOOKUP($A103, 'ADP Data'!$C$3:$Q$300, 10, FALSE)</f>
        <v>117</v>
      </c>
      <c r="K103" s="11">
        <v>160.0</v>
      </c>
    </row>
    <row r="104" ht="14.25" customHeight="1">
      <c r="A104" s="1" t="s">
        <v>270</v>
      </c>
      <c r="B104" s="11" t="str">
        <f>VLOOKUP($A104, 'ADP Data'!$C$3:$R$300, 2, FALSE)</f>
        <v>TB</v>
      </c>
      <c r="C104" s="11" t="str">
        <f>VLOOKUP($A104, 'ADP Data'!$C$3:$R$300, 16, FALSE)</f>
        <v>WR</v>
      </c>
      <c r="D104" s="11"/>
      <c r="E104" s="11"/>
      <c r="F104" s="11" t="s">
        <v>855</v>
      </c>
      <c r="G104" s="11">
        <v>42.0</v>
      </c>
      <c r="H104" s="11"/>
      <c r="I104" s="11">
        <f>VLOOKUP($A104, 'ADP Data'!$C$3:$Q$300, 13, FALSE)</f>
        <v>104</v>
      </c>
      <c r="J104" s="11">
        <f>VLOOKUP($A104, 'ADP Data'!$C$3:$Q$300, 10, FALSE)</f>
        <v>127</v>
      </c>
      <c r="K104" s="11">
        <v>83.0</v>
      </c>
    </row>
    <row r="105" ht="14.25" customHeight="1">
      <c r="A105" s="1" t="s">
        <v>346</v>
      </c>
      <c r="B105" s="11" t="str">
        <f>VLOOKUP($A105, 'ADP Data'!$C$3:$R$300, 2, FALSE)</f>
        <v>DET</v>
      </c>
      <c r="C105" s="11" t="str">
        <f>VLOOKUP($A105, 'ADP Data'!$C$3:$R$300, 16, FALSE)</f>
        <v>QB</v>
      </c>
      <c r="D105" s="11"/>
      <c r="E105" s="11"/>
      <c r="F105" s="11" t="s">
        <v>867</v>
      </c>
      <c r="G105" s="11">
        <v>16.0</v>
      </c>
      <c r="H105" s="11"/>
      <c r="I105" s="11">
        <f>VLOOKUP($A105, 'ADP Data'!$C$3:$Q$300, 13, FALSE)</f>
        <v>120</v>
      </c>
      <c r="J105" s="11">
        <f>VLOOKUP($A105, 'ADP Data'!$C$3:$Q$300, 10, FALSE)</f>
        <v>113</v>
      </c>
      <c r="K105" s="11">
        <v>109.0</v>
      </c>
    </row>
    <row r="106" ht="14.25" customHeight="1">
      <c r="A106" s="1" t="s">
        <v>278</v>
      </c>
      <c r="B106" s="11" t="str">
        <f>VLOOKUP($A106, 'ADP Data'!$C$3:$R$300, 2, FALSE)</f>
        <v>DEN</v>
      </c>
      <c r="C106" s="11" t="str">
        <f>VLOOKUP($A106, 'ADP Data'!$C$3:$R$300, 16, FALSE)</f>
        <v>RB</v>
      </c>
      <c r="D106" s="11"/>
      <c r="E106" s="11"/>
      <c r="F106" s="11" t="s">
        <v>882</v>
      </c>
      <c r="G106" s="11">
        <v>29.0</v>
      </c>
      <c r="H106" s="11"/>
      <c r="I106" s="11">
        <f>VLOOKUP($A106, 'ADP Data'!$C$3:$Q$300, 13, FALSE)</f>
        <v>97</v>
      </c>
      <c r="J106" s="11">
        <f>VLOOKUP($A106, 'ADP Data'!$C$3:$Q$300, 10, FALSE)</f>
        <v>80</v>
      </c>
      <c r="K106" s="11">
        <v>131.0</v>
      </c>
    </row>
    <row r="107" ht="14.25" customHeight="1">
      <c r="A107" s="1" t="s">
        <v>178</v>
      </c>
      <c r="B107" s="11" t="str">
        <f>VLOOKUP($A107, 'ADP Data'!$C$3:$R$300, 2, FALSE)</f>
        <v>NYG</v>
      </c>
      <c r="C107" s="11" t="str">
        <f>VLOOKUP($A107, 'ADP Data'!$C$3:$R$300, 16, FALSE)</f>
        <v>RB</v>
      </c>
      <c r="D107" s="11"/>
      <c r="E107" s="11"/>
      <c r="F107" s="11" t="s">
        <v>853</v>
      </c>
      <c r="G107" s="11">
        <v>32.0</v>
      </c>
      <c r="H107" s="11" t="s">
        <v>1076</v>
      </c>
      <c r="I107" s="11">
        <f>VLOOKUP($A107, 'ADP Data'!$C$3:$Q$300, 13, FALSE)</f>
        <v>116</v>
      </c>
      <c r="J107" s="11">
        <f>VLOOKUP($A107, 'ADP Data'!$C$3:$Q$300, 10, FALSE)</f>
        <v>135</v>
      </c>
      <c r="K107" s="11">
        <v>110.0</v>
      </c>
    </row>
    <row r="108" ht="14.25" customHeight="1">
      <c r="A108" s="1" t="s">
        <v>385</v>
      </c>
      <c r="B108" s="11" t="str">
        <f>VLOOKUP($A108, 'ADP Data'!$C$3:$R$300, 2, FALSE)</f>
        <v>NO</v>
      </c>
      <c r="C108" s="11" t="str">
        <f>VLOOKUP($A108, 'ADP Data'!$C$3:$R$300, 16, FALSE)</f>
        <v>WR</v>
      </c>
      <c r="D108" s="11"/>
      <c r="E108" s="11"/>
      <c r="F108" s="11" t="s">
        <v>861</v>
      </c>
      <c r="G108" s="11">
        <v>44.0</v>
      </c>
      <c r="H108" s="11"/>
      <c r="I108" s="11">
        <f>VLOOKUP($A108, 'ADP Data'!$C$3:$Q$300, 13, FALSE)</f>
        <v>102</v>
      </c>
      <c r="J108" s="11">
        <f>VLOOKUP($A108, 'ADP Data'!$C$3:$Q$300, 10, FALSE)</f>
        <v>108</v>
      </c>
      <c r="K108" s="11">
        <v>97.0</v>
      </c>
    </row>
    <row r="109" ht="14.25" customHeight="1">
      <c r="A109" s="1" t="s">
        <v>239</v>
      </c>
      <c r="B109" s="11" t="str">
        <f>VLOOKUP($A109, 'ADP Data'!$C$3:$R$300, 2, FALSE)</f>
        <v>GB</v>
      </c>
      <c r="C109" s="11" t="str">
        <f>VLOOKUP($A109, 'ADP Data'!$C$3:$R$300, 16, FALSE)</f>
        <v>TE</v>
      </c>
      <c r="D109" s="11"/>
      <c r="E109" s="11" t="s">
        <v>106</v>
      </c>
      <c r="F109" s="11" t="s">
        <v>870</v>
      </c>
      <c r="G109" s="11">
        <v>12.0</v>
      </c>
      <c r="H109" s="11"/>
      <c r="I109" s="11">
        <f>VLOOKUP($A109, 'ADP Data'!$C$3:$Q$300, 13, FALSE)</f>
        <v>112</v>
      </c>
      <c r="J109" s="11">
        <f>VLOOKUP($A109, 'ADP Data'!$C$3:$Q$300, 10, FALSE)</f>
        <v>85</v>
      </c>
      <c r="K109" s="11">
        <v>95.0</v>
      </c>
    </row>
    <row r="110" ht="14.25" customHeight="1">
      <c r="A110" s="1" t="s">
        <v>194</v>
      </c>
      <c r="B110" s="11" t="str">
        <f>VLOOKUP($A110, 'ADP Data'!$C$3:$R$300, 2, FALSE)</f>
        <v>CLE</v>
      </c>
      <c r="C110" s="11" t="str">
        <f>VLOOKUP($A110, 'ADP Data'!$C$3:$R$300, 16, FALSE)</f>
        <v>RB</v>
      </c>
      <c r="D110" s="11"/>
      <c r="E110" s="11"/>
      <c r="F110" s="11" t="s">
        <v>882</v>
      </c>
      <c r="G110" s="11">
        <v>30.0</v>
      </c>
      <c r="H110" s="11" t="s">
        <v>1073</v>
      </c>
      <c r="I110" s="11">
        <f>VLOOKUP($A110, 'ADP Data'!$C$3:$Q$300, 13, FALSE)</f>
        <v>144</v>
      </c>
      <c r="J110" s="11">
        <f>VLOOKUP($A110, 'ADP Data'!$C$3:$Q$300, 10, FALSE)</f>
        <v>175</v>
      </c>
      <c r="K110" s="11">
        <v>99.0</v>
      </c>
    </row>
    <row r="111" ht="14.25" customHeight="1">
      <c r="A111" s="1" t="s">
        <v>391</v>
      </c>
      <c r="B111" s="11" t="str">
        <f>VLOOKUP($A111, 'ADP Data'!$C$3:$R$300, 2, FALSE)</f>
        <v>SEA</v>
      </c>
      <c r="C111" s="11" t="str">
        <f>VLOOKUP($A111, 'ADP Data'!$C$3:$R$300, 16, FALSE)</f>
        <v>RB</v>
      </c>
      <c r="D111" s="11"/>
      <c r="E111" s="11"/>
      <c r="F111" s="11" t="s">
        <v>882</v>
      </c>
      <c r="G111" s="11">
        <v>31.0</v>
      </c>
      <c r="H111" s="11"/>
      <c r="I111" s="11">
        <f>VLOOKUP($A111, 'ADP Data'!$C$3:$Q$300, 13, FALSE)</f>
        <v>94</v>
      </c>
      <c r="J111" s="11">
        <f>VLOOKUP($A111, 'ADP Data'!$C$3:$Q$300, 10, FALSE)</f>
        <v>78</v>
      </c>
      <c r="K111" s="11">
        <v>94.0</v>
      </c>
    </row>
    <row r="112" ht="14.25" customHeight="1">
      <c r="A112" s="1" t="s">
        <v>266</v>
      </c>
      <c r="B112" s="11" t="str">
        <f>VLOOKUP($A112, 'ADP Data'!$C$3:$R$300, 2, FALSE)</f>
        <v>LAC</v>
      </c>
      <c r="C112" s="11" t="str">
        <f>VLOOKUP($A112, 'ADP Data'!$C$3:$R$300, 16, FALSE)</f>
        <v>QB</v>
      </c>
      <c r="D112" s="11"/>
      <c r="E112" s="11"/>
      <c r="F112" s="11" t="s">
        <v>867</v>
      </c>
      <c r="G112" s="11">
        <v>17.0</v>
      </c>
      <c r="H112" s="11"/>
      <c r="I112" s="11">
        <f>VLOOKUP($A112, 'ADP Data'!$C$3:$Q$300, 13, FALSE)</f>
        <v>126</v>
      </c>
      <c r="J112" s="11">
        <f>VLOOKUP($A112, 'ADP Data'!$C$3:$Q$300, 10, FALSE)</f>
        <v>105</v>
      </c>
      <c r="K112" s="11">
        <v>98.0</v>
      </c>
    </row>
    <row r="113" ht="14.25" customHeight="1">
      <c r="A113" s="1" t="s">
        <v>286</v>
      </c>
      <c r="B113" s="11" t="str">
        <f>VLOOKUP($A113, 'ADP Data'!$C$3:$R$300, 2, FALSE)</f>
        <v>IND</v>
      </c>
      <c r="C113" s="11" t="str">
        <f>VLOOKUP($A113, 'ADP Data'!$C$3:$R$300, 16, FALSE)</f>
        <v>WR</v>
      </c>
      <c r="D113" s="11"/>
      <c r="E113" s="11" t="s">
        <v>95</v>
      </c>
      <c r="F113" s="11" t="s">
        <v>861</v>
      </c>
      <c r="G113" s="11">
        <v>47.0</v>
      </c>
      <c r="H113" s="11"/>
      <c r="I113" s="11">
        <f>VLOOKUP($A113, 'ADP Data'!$C$3:$Q$300, 13, FALSE)</f>
        <v>90</v>
      </c>
      <c r="J113" s="11">
        <f>VLOOKUP($A113, 'ADP Data'!$C$3:$Q$300, 10, FALSE)</f>
        <v>114</v>
      </c>
      <c r="K113" s="11">
        <v>115.0</v>
      </c>
    </row>
    <row r="114" ht="14.25" customHeight="1">
      <c r="A114" s="1" t="s">
        <v>244</v>
      </c>
      <c r="B114" s="11" t="str">
        <f>VLOOKUP($A114, 'ADP Data'!$C$3:$R$300, 2, FALSE)</f>
        <v>CHI</v>
      </c>
      <c r="C114" s="11" t="str">
        <f>VLOOKUP($A114, 'ADP Data'!$C$3:$R$300, 16, FALSE)</f>
        <v>QB</v>
      </c>
      <c r="D114" s="11"/>
      <c r="E114" s="11"/>
      <c r="F114" s="11" t="s">
        <v>873</v>
      </c>
      <c r="G114" s="11">
        <v>13.0</v>
      </c>
      <c r="H114" s="11"/>
      <c r="I114" s="11">
        <f>VLOOKUP($A114, 'ADP Data'!$C$3:$Q$300, 13, FALSE)</f>
        <v>113</v>
      </c>
      <c r="J114" s="11">
        <f>VLOOKUP($A114, 'ADP Data'!$C$3:$Q$300, 10, FALSE)</f>
        <v>103</v>
      </c>
      <c r="K114" s="11">
        <v>100.0</v>
      </c>
    </row>
    <row r="115" ht="14.25" customHeight="1">
      <c r="A115" s="1" t="s">
        <v>226</v>
      </c>
      <c r="B115" s="11" t="str">
        <f>VLOOKUP($A115, 'ADP Data'!$C$3:$R$300, 2, FALSE)</f>
        <v>NE</v>
      </c>
      <c r="C115" s="11" t="str">
        <f>VLOOKUP($A115, 'ADP Data'!$C$3:$R$300, 16, FALSE)</f>
        <v>RB</v>
      </c>
      <c r="D115" s="11"/>
      <c r="E115" s="11"/>
      <c r="F115" s="11" t="s">
        <v>853</v>
      </c>
      <c r="G115" s="11">
        <v>37.0</v>
      </c>
      <c r="H115" s="11"/>
      <c r="I115" s="11">
        <f>VLOOKUP($A115, 'ADP Data'!$C$3:$Q$300, 13, FALSE)</f>
        <v>125</v>
      </c>
      <c r="J115" s="11">
        <f>VLOOKUP($A115, 'ADP Data'!$C$3:$Q$300, 10, FALSE)</f>
        <v>116</v>
      </c>
      <c r="K115" s="11">
        <v>108.0</v>
      </c>
    </row>
    <row r="116" ht="14.25" customHeight="1">
      <c r="A116" s="1" t="s">
        <v>458</v>
      </c>
      <c r="B116" s="11" t="str">
        <f>VLOOKUP($A116, 'ADP Data'!$C$3:$R$300, 2, FALSE)</f>
        <v>SEA</v>
      </c>
      <c r="C116" s="11" t="str">
        <f>VLOOKUP($A116, 'ADP Data'!$C$3:$R$300, 16, FALSE)</f>
        <v>WR</v>
      </c>
      <c r="D116" s="11"/>
      <c r="E116" s="11"/>
      <c r="F116" s="11" t="s">
        <v>862</v>
      </c>
      <c r="G116" s="11">
        <v>55.0</v>
      </c>
      <c r="H116" s="11"/>
      <c r="I116" s="11">
        <f>VLOOKUP($A116, 'ADP Data'!$C$3:$Q$300, 13, FALSE)</f>
        <v>100</v>
      </c>
      <c r="J116" s="11">
        <f>VLOOKUP($A116, 'ADP Data'!$C$3:$Q$300, 10, FALSE)</f>
        <v>121</v>
      </c>
      <c r="K116" s="11">
        <v>139.0</v>
      </c>
    </row>
    <row r="117" ht="14.25" customHeight="1">
      <c r="A117" s="1" t="s">
        <v>144</v>
      </c>
      <c r="B117" s="11" t="str">
        <f>VLOOKUP($A117, 'ADP Data'!$C$3:$R$300, 2, FALSE)</f>
        <v>DAL</v>
      </c>
      <c r="C117" s="11" t="str">
        <f>VLOOKUP($A117, 'ADP Data'!$C$3:$R$300, 16, FALSE)</f>
        <v>RB</v>
      </c>
      <c r="D117" s="11"/>
      <c r="E117" s="11" t="s">
        <v>95</v>
      </c>
      <c r="F117" s="11" t="s">
        <v>863</v>
      </c>
      <c r="G117" s="11">
        <v>52.0</v>
      </c>
      <c r="H117" s="11"/>
      <c r="I117" s="11">
        <f>VLOOKUP($A117, 'ADP Data'!$C$3:$Q$300, 13, FALSE)</f>
        <v>128</v>
      </c>
      <c r="J117" s="11">
        <f>VLOOKUP($A117, 'ADP Data'!$C$3:$Q$300, 10, FALSE)</f>
        <v>112</v>
      </c>
      <c r="K117" s="11">
        <v>112.0</v>
      </c>
    </row>
    <row r="118" ht="14.25" customHeight="1">
      <c r="A118" s="1" t="s">
        <v>210</v>
      </c>
      <c r="B118" s="11" t="str">
        <f>VLOOKUP($A118, 'ADP Data'!$C$3:$R$300, 2, FALSE)</f>
        <v>NE</v>
      </c>
      <c r="C118" s="11" t="str">
        <f>VLOOKUP($A118, 'ADP Data'!$C$3:$R$300, 16, FALSE)</f>
        <v>QB</v>
      </c>
      <c r="D118" s="11"/>
      <c r="E118" s="11"/>
      <c r="F118" s="11" t="s">
        <v>873</v>
      </c>
      <c r="G118" s="11">
        <v>14.0</v>
      </c>
      <c r="H118" s="11"/>
      <c r="I118" s="11">
        <f>VLOOKUP($A118, 'ADP Data'!$C$3:$Q$300, 13, FALSE)</f>
        <v>110</v>
      </c>
      <c r="J118" s="11">
        <f>VLOOKUP($A118, 'ADP Data'!$C$3:$Q$300, 10, FALSE)</f>
        <v>99</v>
      </c>
      <c r="K118" s="11">
        <v>105.0</v>
      </c>
    </row>
    <row r="119" ht="14.25" customHeight="1">
      <c r="A119" s="1" t="s">
        <v>170</v>
      </c>
      <c r="B119" s="11" t="str">
        <f>VLOOKUP($A119, 'ADP Data'!$C$3:$R$300, 2, FALSE)</f>
        <v>CHI</v>
      </c>
      <c r="C119" s="11" t="str">
        <f>VLOOKUP($A119, 'ADP Data'!$C$3:$R$300, 16, FALSE)</f>
        <v>TE</v>
      </c>
      <c r="D119" s="11"/>
      <c r="E119" s="11" t="s">
        <v>106</v>
      </c>
      <c r="F119" s="11" t="s">
        <v>870</v>
      </c>
      <c r="G119" s="11">
        <v>13.0</v>
      </c>
      <c r="H119" s="11" t="s">
        <v>1069</v>
      </c>
      <c r="I119" s="11">
        <f>VLOOKUP($A119, 'ADP Data'!$C$3:$Q$300, 13, FALSE)</f>
        <v>108</v>
      </c>
      <c r="J119" s="11">
        <f>VLOOKUP($A119, 'ADP Data'!$C$3:$Q$300, 10, FALSE)</f>
        <v>128</v>
      </c>
      <c r="K119" s="11">
        <v>133.0</v>
      </c>
    </row>
    <row r="120" ht="14.25" customHeight="1">
      <c r="A120" s="1" t="s">
        <v>334</v>
      </c>
      <c r="B120" s="11" t="str">
        <f>VLOOKUP($A120, 'ADP Data'!$C$3:$R$300, 2, FALSE)</f>
        <v>BUF</v>
      </c>
      <c r="C120" s="11" t="str">
        <f>VLOOKUP($A120, 'ADP Data'!$C$3:$R$300, 16, FALSE)</f>
        <v>TE</v>
      </c>
      <c r="D120" s="11"/>
      <c r="E120" s="11"/>
      <c r="F120" s="11"/>
      <c r="G120" s="11"/>
      <c r="H120" s="11"/>
      <c r="I120" s="11">
        <f>VLOOKUP($A120, 'ADP Data'!$C$3:$Q$300, 13, FALSE)</f>
        <v>132</v>
      </c>
      <c r="J120" s="11">
        <f>VLOOKUP($A120, 'ADP Data'!$C$3:$Q$300, 10, FALSE)</f>
        <v>120</v>
      </c>
      <c r="K120" s="11">
        <v>107.0</v>
      </c>
    </row>
    <row r="121" ht="14.25" customHeight="1">
      <c r="A121" s="1" t="s">
        <v>376</v>
      </c>
      <c r="B121" s="11" t="str">
        <f>VLOOKUP($A121, 'ADP Data'!$C$3:$R$300, 2, FALSE)</f>
        <v>GB</v>
      </c>
      <c r="C121" s="11" t="str">
        <f>VLOOKUP($A121, 'ADP Data'!$C$3:$R$300, 16, FALSE)</f>
        <v>QB</v>
      </c>
      <c r="D121" s="11"/>
      <c r="E121" s="11"/>
      <c r="F121" s="11" t="s">
        <v>873</v>
      </c>
      <c r="G121" s="11">
        <v>15.0</v>
      </c>
      <c r="H121" s="11"/>
      <c r="I121" s="11">
        <f>VLOOKUP($A121, 'ADP Data'!$C$3:$Q$300, 13, FALSE)</f>
        <v>127</v>
      </c>
      <c r="J121" s="11">
        <f>VLOOKUP($A121, 'ADP Data'!$C$3:$Q$300, 10, FALSE)</f>
        <v>111</v>
      </c>
      <c r="K121" s="11">
        <v>111.0</v>
      </c>
    </row>
    <row r="122" ht="14.25" customHeight="1">
      <c r="A122" s="1" t="s">
        <v>672</v>
      </c>
      <c r="B122" s="11" t="str">
        <f>VLOOKUP($A122, 'ADP Data'!$C$3:$R$300, 2, FALSE)</f>
        <v>BUF</v>
      </c>
      <c r="C122" s="11" t="str">
        <f>VLOOKUP($A122, 'ADP Data'!$C$3:$R$300, 16, FALSE)</f>
        <v>WR</v>
      </c>
      <c r="D122" s="11"/>
      <c r="E122" s="11"/>
      <c r="F122" s="11" t="s">
        <v>857</v>
      </c>
      <c r="G122" s="11">
        <v>51.0</v>
      </c>
      <c r="H122" s="11" t="s">
        <v>1052</v>
      </c>
      <c r="I122" s="11">
        <f>VLOOKUP($A122, 'ADP Data'!$C$3:$Q$300, 13, FALSE)</f>
        <v>85</v>
      </c>
      <c r="J122" s="11">
        <f>VLOOKUP($A122, 'ADP Data'!$C$3:$Q$300, 10, FALSE)</f>
        <v>122</v>
      </c>
      <c r="K122" s="11">
        <v>114.0</v>
      </c>
    </row>
    <row r="123" ht="14.25" customHeight="1">
      <c r="A123" s="1" t="s">
        <v>424</v>
      </c>
      <c r="B123" s="11" t="str">
        <f>VLOOKUP($A123, 'ADP Data'!$C$3:$R$300, 2, FALSE)</f>
        <v>HOU</v>
      </c>
      <c r="C123" s="11" t="str">
        <f>VLOOKUP($A123, 'ADP Data'!$C$3:$R$300, 16, FALSE)</f>
        <v>QB</v>
      </c>
      <c r="D123" s="11"/>
      <c r="E123" s="11"/>
      <c r="F123" s="11" t="s">
        <v>867</v>
      </c>
      <c r="G123" s="11">
        <v>18.0</v>
      </c>
      <c r="H123" s="11"/>
      <c r="I123" s="11">
        <f>VLOOKUP($A123, 'ADP Data'!$C$3:$Q$300, 13, FALSE)</f>
        <v>134</v>
      </c>
      <c r="J123" s="11">
        <f>VLOOKUP($A123, 'ADP Data'!$C$3:$Q$300, 10, FALSE)</f>
        <v>129</v>
      </c>
      <c r="K123" s="11">
        <v>118.0</v>
      </c>
    </row>
    <row r="124" ht="14.25" customHeight="1">
      <c r="A124" s="1" t="s">
        <v>590</v>
      </c>
      <c r="B124" s="11" t="str">
        <f>VLOOKUP($A124, 'ADP Data'!$C$3:$R$300, 2, FALSE)</f>
        <v>ATL</v>
      </c>
      <c r="C124" s="11" t="str">
        <f>VLOOKUP($A124, 'ADP Data'!$C$3:$R$300, 16, FALSE)</f>
        <v>WR</v>
      </c>
      <c r="D124" s="11"/>
      <c r="E124" s="11"/>
      <c r="F124" s="11" t="s">
        <v>862</v>
      </c>
      <c r="G124" s="11">
        <v>56.0</v>
      </c>
      <c r="H124" s="12" t="s">
        <v>1070</v>
      </c>
      <c r="I124" s="11">
        <f>VLOOKUP($A124, 'ADP Data'!$C$3:$Q$300, 13, FALSE)</f>
        <v>105</v>
      </c>
      <c r="J124" s="11">
        <f>VLOOKUP($A124, 'ADP Data'!$C$3:$Q$300, 10, FALSE)</f>
        <v>130</v>
      </c>
      <c r="K124" s="11">
        <v>141.0</v>
      </c>
    </row>
    <row r="125" ht="14.25" customHeight="1">
      <c r="A125" s="1" t="s">
        <v>407</v>
      </c>
      <c r="B125" s="11" t="str">
        <f>VLOOKUP($A125, 'ADP Data'!$C$3:$R$300, 2, FALSE)</f>
        <v>JAX</v>
      </c>
      <c r="C125" s="11" t="str">
        <f>VLOOKUP($A125, 'ADP Data'!$C$3:$R$300, 16, FALSE)</f>
        <v>RB</v>
      </c>
      <c r="D125" s="11"/>
      <c r="E125" s="11"/>
      <c r="F125" s="11" t="s">
        <v>872</v>
      </c>
      <c r="G125" s="11">
        <v>38.0</v>
      </c>
      <c r="H125" s="11"/>
      <c r="I125" s="11">
        <f>VLOOKUP($A125, 'ADP Data'!$C$3:$Q$300, 13, FALSE)</f>
        <v>121</v>
      </c>
      <c r="J125" s="11">
        <f>VLOOKUP($A125, 'ADP Data'!$C$3:$Q$300, 10, FALSE)</f>
        <v>101</v>
      </c>
      <c r="K125" s="11">
        <v>113.0</v>
      </c>
    </row>
    <row r="126" ht="14.25" customHeight="1">
      <c r="A126" s="1" t="s">
        <v>810</v>
      </c>
      <c r="B126" s="11" t="str">
        <f>VLOOKUP($A126, 'ADP Data'!$C$3:$R$300, 2, FALSE)</f>
        <v>MIN</v>
      </c>
      <c r="C126" s="11" t="str">
        <f>VLOOKUP($A126, 'ADP Data'!$C$3:$R$300, 16, FALSE)</f>
        <v>QB</v>
      </c>
      <c r="D126" s="11"/>
      <c r="E126" s="11"/>
      <c r="F126" s="11" t="s">
        <v>980</v>
      </c>
      <c r="G126" s="11">
        <v>23.0</v>
      </c>
      <c r="H126" s="11"/>
      <c r="I126" s="11">
        <f>VLOOKUP($A126, 'ADP Data'!$C$3:$Q$300, 13, FALSE)</f>
        <v>123</v>
      </c>
      <c r="J126" s="11">
        <f>VLOOKUP($A126, 'ADP Data'!$C$3:$Q$300, 10, FALSE)</f>
        <v>125</v>
      </c>
      <c r="K126" s="11">
        <v>127.0</v>
      </c>
    </row>
    <row r="127" ht="14.25" customHeight="1">
      <c r="A127" s="1" t="s">
        <v>584</v>
      </c>
      <c r="B127" s="11" t="str">
        <f>VLOOKUP($A127, 'ADP Data'!$C$3:$R$300, 2, FALSE)</f>
        <v>BAL</v>
      </c>
      <c r="C127" s="11" t="str">
        <f>VLOOKUP($A127, 'ADP Data'!$C$3:$R$300, 16, FALSE)</f>
        <v>WR</v>
      </c>
      <c r="D127" s="11"/>
      <c r="E127" s="11"/>
      <c r="F127" s="11" t="s">
        <v>857</v>
      </c>
      <c r="G127" s="11">
        <v>52.0</v>
      </c>
      <c r="H127" s="11"/>
      <c r="I127" s="11">
        <f>VLOOKUP($A127, 'ADP Data'!$C$3:$Q$300, 13, FALSE)</f>
        <v>114</v>
      </c>
      <c r="J127" s="11">
        <f>VLOOKUP($A127, 'ADP Data'!$C$3:$Q$300, 10, FALSE)</f>
        <v>126</v>
      </c>
      <c r="K127" s="11">
        <v>146.0</v>
      </c>
    </row>
    <row r="128" ht="14.25" customHeight="1">
      <c r="A128" s="1" t="s">
        <v>328</v>
      </c>
      <c r="B128" s="11" t="str">
        <f>VLOOKUP($A128, 'ADP Data'!$C$3:$R$300, 2, FALSE)</f>
        <v>PHI</v>
      </c>
      <c r="C128" s="11" t="str">
        <f>VLOOKUP($A128, 'ADP Data'!$C$3:$R$300, 16, FALSE)</f>
        <v>TE</v>
      </c>
      <c r="D128" s="11"/>
      <c r="E128" s="11"/>
      <c r="F128" s="11"/>
      <c r="G128" s="11"/>
      <c r="H128" s="11"/>
      <c r="I128" s="11">
        <f>VLOOKUP($A128, 'ADP Data'!$C$3:$Q$300, 13, FALSE)</f>
        <v>141</v>
      </c>
      <c r="J128" s="11">
        <f>VLOOKUP($A128, 'ADP Data'!$C$3:$Q$300, 10, FALSE)</f>
        <v>118</v>
      </c>
      <c r="K128" s="11">
        <v>121.0</v>
      </c>
    </row>
    <row r="129" ht="14.25" customHeight="1">
      <c r="A129" s="1" t="s">
        <v>348</v>
      </c>
      <c r="B129" s="11" t="str">
        <f>VLOOKUP($A129, 'ADP Data'!$C$3:$R$300, 2, FALSE)</f>
        <v>DAL</v>
      </c>
      <c r="C129" s="11" t="str">
        <f>VLOOKUP($A129, 'ADP Data'!$C$3:$R$300, 16, FALSE)</f>
        <v>TE</v>
      </c>
      <c r="D129" s="11"/>
      <c r="E129" s="11" t="s">
        <v>106</v>
      </c>
      <c r="F129" s="11" t="s">
        <v>870</v>
      </c>
      <c r="G129" s="11">
        <v>14.0</v>
      </c>
      <c r="H129" s="11"/>
      <c r="I129" s="11">
        <f>VLOOKUP($A129, 'ADP Data'!$C$3:$Q$300, 13, FALSE)</f>
        <v>137</v>
      </c>
      <c r="J129" s="11">
        <f>VLOOKUP($A129, 'ADP Data'!$C$3:$Q$300, 10, FALSE)</f>
        <v>115</v>
      </c>
      <c r="K129" s="11">
        <v>124.0</v>
      </c>
    </row>
    <row r="130" ht="14.25" customHeight="1">
      <c r="A130" s="1" t="s">
        <v>699</v>
      </c>
      <c r="B130" s="11" t="str">
        <f>VLOOKUP($A130, 'ADP Data'!$C$3:$R$300, 2, FALSE)</f>
        <v>HOU</v>
      </c>
      <c r="C130" s="11" t="str">
        <f>VLOOKUP($A130, 'ADP Data'!$C$3:$R$300, 16, FALSE)</f>
        <v>WR</v>
      </c>
      <c r="D130" s="11"/>
      <c r="E130" s="11"/>
      <c r="F130" s="11" t="s">
        <v>857</v>
      </c>
      <c r="G130" s="11">
        <v>50.0</v>
      </c>
      <c r="H130" s="11" t="s">
        <v>1075</v>
      </c>
      <c r="I130" s="11">
        <f>VLOOKUP($A130, 'ADP Data'!$C$3:$Q$300, 13, FALSE)</f>
        <v>92</v>
      </c>
      <c r="J130" s="11">
        <f>VLOOKUP($A130, 'ADP Data'!$C$3:$Q$300, 10, FALSE)</f>
        <v>148</v>
      </c>
      <c r="K130" s="11">
        <v>117.0</v>
      </c>
    </row>
    <row r="131" ht="14.25" customHeight="1">
      <c r="A131" s="1" t="s">
        <v>661</v>
      </c>
      <c r="B131" s="11" t="str">
        <f>VLOOKUP($A131, 'ADP Data'!$C$3:$R$300, 2, FALSE)</f>
        <v>LAC</v>
      </c>
      <c r="C131" s="11" t="str">
        <f>VLOOKUP($A131, 'ADP Data'!$C$3:$R$300, 16, FALSE)</f>
        <v>RB</v>
      </c>
      <c r="D131" s="11"/>
      <c r="E131" s="11"/>
      <c r="F131" s="11" t="s">
        <v>872</v>
      </c>
      <c r="G131" s="11">
        <v>39.0</v>
      </c>
      <c r="H131" s="11"/>
      <c r="I131" s="11">
        <f>VLOOKUP($A131, 'ADP Data'!$C$3:$Q$300, 13, FALSE)</f>
        <v>160</v>
      </c>
      <c r="J131" s="11">
        <f>VLOOKUP($A131, 'ADP Data'!$C$3:$Q$300, 10, FALSE)</f>
        <v>155</v>
      </c>
      <c r="K131" s="11">
        <v>106.0</v>
      </c>
    </row>
    <row r="132" ht="14.25" customHeight="1">
      <c r="A132" s="1" t="s">
        <v>393</v>
      </c>
      <c r="B132" s="11" t="str">
        <f>VLOOKUP($A132, 'ADP Data'!$C$3:$R$300, 2, FALSE)</f>
        <v>TEN</v>
      </c>
      <c r="C132" s="11" t="str">
        <f>VLOOKUP($A132, 'ADP Data'!$C$3:$R$300, 16, FALSE)</f>
        <v>RB</v>
      </c>
      <c r="D132" s="11"/>
      <c r="E132" s="11"/>
      <c r="F132" s="11" t="s">
        <v>872</v>
      </c>
      <c r="G132" s="11">
        <v>40.0</v>
      </c>
      <c r="H132" s="11"/>
      <c r="I132" s="11">
        <f>VLOOKUP($A132, 'ADP Data'!$C$3:$Q$300, 13, FALSE)</f>
        <v>172</v>
      </c>
      <c r="J132" s="11">
        <f>VLOOKUP($A132, 'ADP Data'!$C$3:$Q$300, 10, FALSE)</f>
        <v>131</v>
      </c>
      <c r="K132" s="11">
        <v>120.0</v>
      </c>
    </row>
    <row r="133" ht="14.25" customHeight="1">
      <c r="A133" s="1" t="s">
        <v>653</v>
      </c>
      <c r="B133" s="11" t="str">
        <f>VLOOKUP($A133, 'ADP Data'!$C$3:$R$300, 2, FALSE)</f>
        <v>HOU</v>
      </c>
      <c r="C133" s="11" t="str">
        <f>VLOOKUP($A133, 'ADP Data'!$C$3:$R$300, 16, FALSE)</f>
        <v>WR</v>
      </c>
      <c r="D133" s="11"/>
      <c r="E133" s="11"/>
      <c r="F133" s="11" t="s">
        <v>862</v>
      </c>
      <c r="G133" s="11">
        <v>57.0</v>
      </c>
      <c r="H133" s="11"/>
      <c r="I133" s="11">
        <f>VLOOKUP($A133, 'ADP Data'!$C$3:$Q$300, 13, FALSE)</f>
        <v>115</v>
      </c>
      <c r="J133" s="11">
        <f>VLOOKUP($A133, 'ADP Data'!$C$3:$Q$300, 10, FALSE)</f>
        <v>133</v>
      </c>
      <c r="K133" s="11">
        <v>136.0</v>
      </c>
    </row>
    <row r="134" ht="14.25" customHeight="1">
      <c r="A134" s="1" t="s">
        <v>248</v>
      </c>
      <c r="B134" s="11" t="str">
        <f>VLOOKUP($A134, 'ADP Data'!$C$3:$R$300, 2, FALSE)</f>
        <v>ATL</v>
      </c>
      <c r="C134" s="11" t="str">
        <f>VLOOKUP($A134, 'ADP Data'!$C$3:$R$300, 16, FALSE)</f>
        <v>TE</v>
      </c>
      <c r="D134" s="11"/>
      <c r="E134" s="11" t="s">
        <v>106</v>
      </c>
      <c r="F134" s="11" t="s">
        <v>870</v>
      </c>
      <c r="G134" s="11">
        <v>15.0</v>
      </c>
      <c r="H134" s="11"/>
      <c r="I134" s="11">
        <f>VLOOKUP($A134, 'ADP Data'!$C$3:$Q$300, 13, FALSE)</f>
        <v>140</v>
      </c>
      <c r="J134" s="11">
        <f>VLOOKUP($A134, 'ADP Data'!$C$3:$Q$300, 10, FALSE)</f>
        <v>159</v>
      </c>
      <c r="K134" s="11">
        <v>162.0</v>
      </c>
    </row>
    <row r="135" ht="14.25" customHeight="1">
      <c r="A135" s="1" t="s">
        <v>525</v>
      </c>
      <c r="B135" s="11" t="str">
        <f>VLOOKUP($A135, 'ADP Data'!$C$3:$R$300, 2, FALSE)</f>
        <v>DAL</v>
      </c>
      <c r="C135" s="11" t="str">
        <f>VLOOKUP($A135, 'ADP Data'!$C$3:$R$300, 16, FALSE)</f>
        <v>RB</v>
      </c>
      <c r="D135" s="11"/>
      <c r="E135" s="11" t="s">
        <v>106</v>
      </c>
      <c r="F135" s="11" t="s">
        <v>872</v>
      </c>
      <c r="G135" s="11">
        <v>41.0</v>
      </c>
      <c r="H135" s="11" t="s">
        <v>1083</v>
      </c>
      <c r="I135" s="11">
        <f>VLOOKUP($A135, 'ADP Data'!$C$3:$Q$300, 13, FALSE)</f>
        <v>146</v>
      </c>
      <c r="J135" s="11">
        <f>VLOOKUP($A135, 'ADP Data'!$C$3:$Q$300, 10, FALSE)</f>
        <v>143</v>
      </c>
      <c r="K135" s="11">
        <v>201.0</v>
      </c>
    </row>
    <row r="136" ht="14.25" customHeight="1">
      <c r="A136" s="1" t="s">
        <v>332</v>
      </c>
      <c r="B136" s="11" t="str">
        <f>VLOOKUP($A136, 'ADP Data'!$C$3:$R$300, 2, FALSE)</f>
        <v>TB</v>
      </c>
      <c r="C136" s="11" t="str">
        <f>VLOOKUP($A136, 'ADP Data'!$C$3:$R$300, 16, FALSE)</f>
        <v>RB</v>
      </c>
      <c r="D136" s="11"/>
      <c r="E136" s="11"/>
      <c r="F136" s="11" t="s">
        <v>863</v>
      </c>
      <c r="G136" s="11">
        <v>48.0</v>
      </c>
      <c r="H136" s="11"/>
      <c r="I136" s="11">
        <f>VLOOKUP($A136, 'ADP Data'!$C$3:$Q$300, 13, FALSE)</f>
        <v>167</v>
      </c>
      <c r="J136" s="11">
        <f>VLOOKUP($A136, 'ADP Data'!$C$3:$Q$300, 10, FALSE)</f>
        <v>124</v>
      </c>
      <c r="K136" s="11">
        <v>116.0</v>
      </c>
    </row>
    <row r="137" ht="14.25" customHeight="1">
      <c r="A137" s="1" t="s">
        <v>268</v>
      </c>
      <c r="B137" s="11" t="str">
        <f>VLOOKUP($A137, 'ADP Data'!$C$3:$R$300, 2, FALSE)</f>
        <v>JAX</v>
      </c>
      <c r="C137" s="11" t="str">
        <f>VLOOKUP($A137, 'ADP Data'!$C$3:$R$300, 16, FALSE)</f>
        <v>QB</v>
      </c>
      <c r="D137" s="11"/>
      <c r="E137" s="11"/>
      <c r="F137" s="11" t="s">
        <v>867</v>
      </c>
      <c r="G137" s="11">
        <v>19.0</v>
      </c>
      <c r="H137" s="11"/>
      <c r="I137" s="11">
        <f>VLOOKUP($A137, 'ADP Data'!$C$3:$Q$300, 13, FALSE)</f>
        <v>130</v>
      </c>
      <c r="J137" s="11">
        <f>VLOOKUP($A137, 'ADP Data'!$C$3:$Q$300, 10, FALSE)</f>
        <v>132</v>
      </c>
      <c r="K137" s="11">
        <v>125.0</v>
      </c>
    </row>
    <row r="138" ht="14.25" customHeight="1">
      <c r="A138" s="1" t="s">
        <v>624</v>
      </c>
      <c r="B138" s="11" t="str">
        <f>VLOOKUP($A138, 'ADP Data'!$C$3:$R$300, 2, FALSE)</f>
        <v>SF</v>
      </c>
      <c r="C138" s="11" t="str">
        <f>VLOOKUP($A138, 'ADP Data'!$C$3:$R$300, 16, FALSE)</f>
        <v>WR</v>
      </c>
      <c r="D138" s="11"/>
      <c r="E138" s="11" t="s">
        <v>106</v>
      </c>
      <c r="F138" s="11" t="s">
        <v>857</v>
      </c>
      <c r="G138" s="11">
        <v>48.0</v>
      </c>
      <c r="H138" s="12" t="s">
        <v>1077</v>
      </c>
      <c r="I138" s="11">
        <f>VLOOKUP($A138, 'ADP Data'!$C$3:$Q$300, 13, FALSE)</f>
        <v>131</v>
      </c>
      <c r="J138" s="11">
        <f>VLOOKUP($A138, 'ADP Data'!$C$3:$Q$300, 10, FALSE)</f>
        <v>141</v>
      </c>
      <c r="K138" s="11">
        <v>159.0</v>
      </c>
    </row>
    <row r="139" ht="14.25" customHeight="1">
      <c r="A139" s="1" t="s">
        <v>205</v>
      </c>
      <c r="B139" s="11" t="str">
        <f>VLOOKUP($A139, 'ADP Data'!$C$3:$R$300, 2, FALSE)</f>
        <v>JAX</v>
      </c>
      <c r="C139" s="11" t="str">
        <f>VLOOKUP($A139, 'ADP Data'!$C$3:$R$300, 16, FALSE)</f>
        <v>RB</v>
      </c>
      <c r="D139" s="11"/>
      <c r="E139" s="11"/>
      <c r="F139" s="11" t="s">
        <v>872</v>
      </c>
      <c r="G139" s="11">
        <v>42.0</v>
      </c>
      <c r="H139" s="11" t="s">
        <v>1084</v>
      </c>
      <c r="I139" s="11">
        <f>VLOOKUP($A139, 'ADP Data'!$C$3:$Q$300, 13, FALSE)</f>
        <v>124</v>
      </c>
      <c r="J139" s="11">
        <f>VLOOKUP($A139, 'ADP Data'!$C$3:$Q$300, 10, FALSE)</f>
        <v>109</v>
      </c>
      <c r="K139" s="11">
        <v>129.0</v>
      </c>
    </row>
    <row r="140" ht="14.25" customHeight="1">
      <c r="A140" s="1" t="s">
        <v>910</v>
      </c>
      <c r="B140" s="11" t="str">
        <f>VLOOKUP($A140, 'ADP Data'!$C$3:$R$300, 2, FALSE)</f>
        <v>PIT</v>
      </c>
      <c r="C140" s="11" t="str">
        <f>VLOOKUP($A140, 'ADP Data'!$C$3:$R$300, 16, FALSE)</f>
        <v>TE</v>
      </c>
      <c r="D140" s="11"/>
      <c r="E140" s="11"/>
      <c r="F140" s="11"/>
      <c r="G140" s="11"/>
      <c r="H140" s="11"/>
      <c r="I140" s="11">
        <f>VLOOKUP($A140, 'ADP Data'!$C$3:$Q$300, 13, FALSE)</f>
        <v>187</v>
      </c>
      <c r="J140" s="11">
        <f>VLOOKUP($A140, 'ADP Data'!$C$3:$Q$300, 10, FALSE)</f>
        <v>160</v>
      </c>
      <c r="K140" s="11">
        <v>148.0</v>
      </c>
    </row>
    <row r="141" ht="14.25" customHeight="1">
      <c r="A141" s="1" t="s">
        <v>428</v>
      </c>
      <c r="B141" s="11" t="str">
        <f>VLOOKUP($A141, 'ADP Data'!$C$3:$R$300, 2, FALSE)</f>
        <v>LAC</v>
      </c>
      <c r="C141" s="11" t="str">
        <f>VLOOKUP($A141, 'ADP Data'!$C$3:$R$300, 16, FALSE)</f>
        <v>WR</v>
      </c>
      <c r="D141" s="11"/>
      <c r="E141" s="11"/>
      <c r="F141" s="11" t="s">
        <v>862</v>
      </c>
      <c r="G141" s="11">
        <v>58.0</v>
      </c>
      <c r="H141" s="11"/>
      <c r="I141" s="11">
        <f>VLOOKUP($A141, 'ADP Data'!$C$3:$Q$300, 13, FALSE)</f>
        <v>119</v>
      </c>
      <c r="J141" s="11">
        <f>VLOOKUP($A141, 'ADP Data'!$C$3:$Q$300, 10, FALSE)</f>
        <v>140</v>
      </c>
      <c r="K141" s="11">
        <v>132.0</v>
      </c>
    </row>
    <row r="142" ht="14.25" customHeight="1">
      <c r="A142" s="1" t="s">
        <v>829</v>
      </c>
      <c r="B142" s="11" t="str">
        <f>VLOOKUP($A142, 'ADP Data'!$C$3:$R$300, 2, FALSE)</f>
        <v>ARI</v>
      </c>
      <c r="C142" s="11" t="str">
        <f>VLOOKUP($A142, 'ADP Data'!$C$3:$R$300, 16, FALSE)</f>
        <v>RB</v>
      </c>
      <c r="D142" s="11"/>
      <c r="E142" s="11"/>
      <c r="F142" s="11" t="s">
        <v>872</v>
      </c>
      <c r="G142" s="11">
        <v>44.0</v>
      </c>
      <c r="H142" s="11" t="s">
        <v>1049</v>
      </c>
      <c r="I142" s="11">
        <f>VLOOKUP($A142, 'ADP Data'!$C$3:$Q$300, 13, FALSE)</f>
        <v>139</v>
      </c>
      <c r="J142" s="11">
        <f>VLOOKUP($A142, 'ADP Data'!$C$3:$Q$300, 10, FALSE)</f>
        <v>137</v>
      </c>
      <c r="K142" s="11">
        <v>150.0</v>
      </c>
    </row>
    <row r="143" ht="14.25" customHeight="1">
      <c r="A143" s="1" t="s">
        <v>848</v>
      </c>
      <c r="B143" s="11" t="str">
        <f>VLOOKUP($A143, 'ADP Data'!$C$3:$R$300, 2, FALSE)</f>
        <v>WAS</v>
      </c>
      <c r="C143" s="11" t="str">
        <f>VLOOKUP($A143, 'ADP Data'!$C$3:$R$300, 16, FALSE)</f>
        <v>RB</v>
      </c>
      <c r="D143" s="11"/>
      <c r="E143" s="11"/>
      <c r="F143" s="11" t="s">
        <v>863</v>
      </c>
      <c r="G143" s="11">
        <v>49.0</v>
      </c>
      <c r="H143" s="11"/>
      <c r="I143" s="11">
        <f>VLOOKUP($A143, 'ADP Data'!$C$3:$Q$300, 13, FALSE)</f>
        <v>135</v>
      </c>
      <c r="J143" s="11">
        <f>VLOOKUP($A143, 'ADP Data'!$C$3:$Q$300, 10, FALSE)</f>
        <v>104</v>
      </c>
      <c r="K143" s="11">
        <v>142.0</v>
      </c>
    </row>
    <row r="144" ht="14.25" customHeight="1">
      <c r="A144" s="1" t="s">
        <v>901</v>
      </c>
      <c r="B144" s="11" t="str">
        <f>VLOOKUP($A144, 'ADP Data'!$C$3:$R$300, 2, FALSE)</f>
        <v>NE</v>
      </c>
      <c r="C144" s="11" t="str">
        <f>VLOOKUP($A144, 'ADP Data'!$C$3:$R$300, 16, FALSE)</f>
        <v>WR</v>
      </c>
      <c r="D144" s="11"/>
      <c r="E144" s="11"/>
      <c r="F144" s="11" t="s">
        <v>862</v>
      </c>
      <c r="G144" s="11">
        <v>59.0</v>
      </c>
      <c r="H144" s="11"/>
      <c r="I144" s="11">
        <f>VLOOKUP($A144, 'ADP Data'!$C$3:$Q$300, 13, FALSE)</f>
        <v>148</v>
      </c>
      <c r="J144" s="11">
        <f>VLOOKUP($A144, 'ADP Data'!$C$3:$Q$300, 10, FALSE)</f>
        <v>156</v>
      </c>
      <c r="K144" s="11">
        <v>157.0</v>
      </c>
    </row>
    <row r="145" ht="14.25" customHeight="1">
      <c r="A145" s="1" t="s">
        <v>460</v>
      </c>
      <c r="B145" s="11" t="str">
        <f>VLOOKUP($A145, 'ADP Data'!$C$3:$R$300, 2, FALSE)</f>
        <v>NYJ</v>
      </c>
      <c r="C145" s="11" t="str">
        <f>VLOOKUP($A145, 'ADP Data'!$C$3:$R$300, 16, FALSE)</f>
        <v>RB</v>
      </c>
      <c r="D145" s="11"/>
      <c r="E145" s="11"/>
      <c r="F145" s="11" t="s">
        <v>863</v>
      </c>
      <c r="G145" s="11">
        <v>50.0</v>
      </c>
      <c r="H145" s="11" t="s">
        <v>1043</v>
      </c>
      <c r="I145" s="11">
        <f>VLOOKUP($A145, 'ADP Data'!$C$3:$Q$300, 13, FALSE)</f>
        <v>129</v>
      </c>
      <c r="J145" s="11">
        <f>VLOOKUP($A145, 'ADP Data'!$C$3:$Q$300, 10, FALSE)</f>
        <v>89</v>
      </c>
      <c r="K145" s="11">
        <v>152.0</v>
      </c>
    </row>
    <row r="146" ht="14.25" customHeight="1">
      <c r="A146" s="1" t="s">
        <v>1079</v>
      </c>
      <c r="B146" s="11" t="str">
        <f>VLOOKUP($A146, 'ADP Data'!$C$3:$R$300, 2, FALSE)</f>
        <v>CLE</v>
      </c>
      <c r="C146" s="11" t="str">
        <f>VLOOKUP($A146, 'ADP Data'!$C$3:$R$300, 16, FALSE)</f>
        <v>WR</v>
      </c>
      <c r="D146" s="11"/>
      <c r="E146" s="11"/>
      <c r="F146" s="11"/>
      <c r="G146" s="11"/>
      <c r="H146" s="11"/>
      <c r="I146" s="11">
        <f>VLOOKUP($A146, 'ADP Data'!$C$3:$Q$300, 13, FALSE)</f>
        <v>152</v>
      </c>
      <c r="J146" s="11">
        <f>VLOOKUP($A146, 'ADP Data'!$C$3:$Q$300, 10, FALSE)</f>
        <v>149</v>
      </c>
      <c r="K146" s="11">
        <v>172.0</v>
      </c>
    </row>
    <row r="147" ht="14.25" customHeight="1">
      <c r="A147" s="1" t="s">
        <v>1086</v>
      </c>
      <c r="B147" s="11" t="str">
        <f>VLOOKUP($A147, 'ADP Data'!$C$3:$R$300, 2, FALSE)</f>
        <v>SF</v>
      </c>
      <c r="C147" s="11" t="str">
        <f>VLOOKUP($A147, 'ADP Data'!$C$3:$R$300, 16, FALSE)</f>
        <v>RB</v>
      </c>
      <c r="D147" s="11"/>
      <c r="E147" s="11" t="s">
        <v>95</v>
      </c>
      <c r="F147" s="11" t="s">
        <v>872</v>
      </c>
      <c r="G147" s="11">
        <v>43.0</v>
      </c>
      <c r="H147" s="11" t="s">
        <v>1043</v>
      </c>
      <c r="I147" s="11">
        <f>VLOOKUP($A147, 'ADP Data'!$C$3:$Q$300, 13, FALSE)</f>
        <v>218</v>
      </c>
      <c r="J147" s="11">
        <f>VLOOKUP($A147, 'ADP Data'!$C$3:$Q$300, 10, FALSE)</f>
        <v>180</v>
      </c>
      <c r="K147" s="11">
        <v>147.0</v>
      </c>
    </row>
    <row r="148" ht="14.25" customHeight="1">
      <c r="A148" s="1" t="s">
        <v>521</v>
      </c>
      <c r="B148" s="11" t="str">
        <f>VLOOKUP($A148, 'ADP Data'!$C$3:$R$300, 2, FALSE)</f>
        <v>BUF</v>
      </c>
      <c r="C148" s="11" t="str">
        <f>VLOOKUP($A148, 'ADP Data'!$C$3:$R$300, 16, FALSE)</f>
        <v>RB</v>
      </c>
      <c r="D148" s="11"/>
      <c r="E148" s="11"/>
      <c r="F148" s="11" t="s">
        <v>903</v>
      </c>
      <c r="G148" s="11">
        <v>57.0</v>
      </c>
      <c r="H148" s="11" t="s">
        <v>1043</v>
      </c>
      <c r="I148" s="11">
        <f>VLOOKUP($A148, 'ADP Data'!$C$3:$Q$300, 13, FALSE)</f>
        <v>142</v>
      </c>
      <c r="J148" s="11">
        <f>VLOOKUP($A148, 'ADP Data'!$C$3:$Q$300, 10, FALSE)</f>
        <v>138</v>
      </c>
      <c r="K148" s="11">
        <v>126.0</v>
      </c>
    </row>
    <row r="149" ht="14.25" customHeight="1">
      <c r="A149" s="1" t="s">
        <v>919</v>
      </c>
      <c r="B149" s="11" t="str">
        <f>VLOOKUP($A149, 'ADP Data'!$C$3:$R$300, 2, FALSE)</f>
        <v>WAS</v>
      </c>
      <c r="C149" s="11" t="str">
        <f>VLOOKUP($A149, 'ADP Data'!$C$3:$R$300, 16, FALSE)</f>
        <v>TE</v>
      </c>
      <c r="D149" s="11"/>
      <c r="E149" s="11"/>
      <c r="F149" s="11"/>
      <c r="G149" s="11"/>
      <c r="H149" s="11"/>
      <c r="I149" s="11">
        <f>VLOOKUP($A149, 'ADP Data'!$C$3:$Q$300, 13, FALSE)</f>
        <v>165</v>
      </c>
      <c r="J149" s="11">
        <f>VLOOKUP($A149, 'ADP Data'!$C$3:$Q$300, 10, FALSE)</f>
        <v>153</v>
      </c>
      <c r="K149" s="11">
        <v>161.0</v>
      </c>
    </row>
    <row r="150" ht="14.25" customHeight="1">
      <c r="A150" s="1" t="s">
        <v>906</v>
      </c>
      <c r="B150" s="11" t="str">
        <f>VLOOKUP($A150, 'ADP Data'!$C$3:$R$300, 2, FALSE)</f>
        <v>DEN</v>
      </c>
      <c r="C150" s="11" t="str">
        <f>VLOOKUP($A150, 'ADP Data'!$C$3:$R$300, 16, FALSE)</f>
        <v>WR</v>
      </c>
      <c r="D150" s="11"/>
      <c r="E150" s="11"/>
      <c r="F150" s="11" t="s">
        <v>884</v>
      </c>
      <c r="G150" s="11">
        <v>60.0</v>
      </c>
      <c r="H150" s="11"/>
      <c r="I150" s="11">
        <f>VLOOKUP($A150, 'ADP Data'!$C$3:$Q$300, 13, FALSE)</f>
        <v>117</v>
      </c>
      <c r="J150" s="11">
        <f>VLOOKUP($A150, 'ADP Data'!$C$3:$Q$300, 10, FALSE)</f>
        <v>154</v>
      </c>
      <c r="K150" s="11">
        <v>155.0</v>
      </c>
    </row>
    <row r="151" ht="14.25" customHeight="1">
      <c r="A151" s="1" t="s">
        <v>639</v>
      </c>
      <c r="B151" s="11" t="str">
        <f>VLOOKUP($A151, 'ADP Data'!$C$3:$R$300, 2, FALSE)</f>
        <v>MIA</v>
      </c>
      <c r="C151" s="11" t="str">
        <f>VLOOKUP($A151, 'ADP Data'!$C$3:$R$300, 16, FALSE)</f>
        <v>QB</v>
      </c>
      <c r="D151" s="11"/>
      <c r="E151" s="11"/>
      <c r="F151" s="11" t="s">
        <v>878</v>
      </c>
      <c r="G151" s="11">
        <v>20.0</v>
      </c>
      <c r="H151" s="11"/>
      <c r="I151" s="11">
        <f>VLOOKUP($A151, 'ADP Data'!$C$3:$Q$300, 13, FALSE)</f>
        <v>158</v>
      </c>
      <c r="J151" s="11">
        <f>VLOOKUP($A151, 'ADP Data'!$C$3:$Q$300, 10, FALSE)</f>
        <v>152</v>
      </c>
      <c r="K151" s="11">
        <v>144.0</v>
      </c>
    </row>
    <row r="152" ht="14.25" customHeight="1">
      <c r="A152" s="1" t="s">
        <v>405</v>
      </c>
      <c r="B152" s="11" t="str">
        <f>VLOOKUP($A152, 'ADP Data'!$C$3:$R$300, 2, FALSE)</f>
        <v>NE</v>
      </c>
      <c r="C152" s="11" t="str">
        <f>VLOOKUP($A152, 'ADP Data'!$C$3:$R$300, 16, FALSE)</f>
        <v>TE</v>
      </c>
      <c r="D152" s="11"/>
      <c r="E152" s="11"/>
      <c r="F152" s="11"/>
      <c r="G152" s="11"/>
      <c r="H152" s="11"/>
      <c r="I152" s="11">
        <f>VLOOKUP($A152, 'ADP Data'!$C$3:$Q$300, 13, FALSE)</f>
        <v>162</v>
      </c>
      <c r="J152" s="11">
        <f>VLOOKUP($A152, 'ADP Data'!$C$3:$Q$300, 10, FALSE)</f>
        <v>134</v>
      </c>
      <c r="K152" s="11">
        <v>119.0</v>
      </c>
    </row>
    <row r="153" ht="14.25" customHeight="1">
      <c r="A153" s="1" t="s">
        <v>380</v>
      </c>
      <c r="B153" s="11" t="str">
        <f>VLOOKUP($A153, 'ADP Data'!$C$3:$R$300, 2, FALSE)</f>
        <v>ATL</v>
      </c>
      <c r="C153" s="11" t="str">
        <f>VLOOKUP($A153, 'ADP Data'!$C$3:$R$300, 16, FALSE)</f>
        <v>RB</v>
      </c>
      <c r="D153" s="11"/>
      <c r="E153" s="11"/>
      <c r="F153" s="11" t="s">
        <v>872</v>
      </c>
      <c r="G153" s="11">
        <v>46.0</v>
      </c>
      <c r="H153" s="11"/>
      <c r="I153" s="11">
        <f>VLOOKUP($A153, 'ADP Data'!$C$3:$Q$300, 13, FALSE)</f>
        <v>156</v>
      </c>
      <c r="J153" s="11">
        <f>VLOOKUP($A153, 'ADP Data'!$C$3:$Q$300, 10, FALSE)</f>
        <v>146</v>
      </c>
      <c r="K153" s="11">
        <v>143.0</v>
      </c>
    </row>
    <row r="154" ht="14.25" customHeight="1">
      <c r="A154" s="1" t="s">
        <v>876</v>
      </c>
      <c r="B154" s="11" t="str">
        <f>VLOOKUP($A154, 'ADP Data'!$C$3:$R$300, 2, FALSE)</f>
        <v>CLE</v>
      </c>
      <c r="C154" s="11" t="str">
        <f>VLOOKUP($A154, 'ADP Data'!$C$3:$R$300, 16, FALSE)</f>
        <v>RB</v>
      </c>
      <c r="D154" s="11"/>
      <c r="E154" s="11"/>
      <c r="F154" s="11" t="s">
        <v>879</v>
      </c>
      <c r="G154" s="11">
        <v>56.0</v>
      </c>
      <c r="H154" s="11"/>
      <c r="I154" s="11">
        <f>VLOOKUP($A154, 'ADP Data'!$C$3:$Q$300, 13, FALSE)</f>
        <v>171</v>
      </c>
      <c r="J154" s="11">
        <f>VLOOKUP($A154, 'ADP Data'!$C$3:$Q$300, 10, FALSE)</f>
        <v>123</v>
      </c>
      <c r="K154" s="11">
        <v>149.0</v>
      </c>
    </row>
    <row r="155" ht="14.25" customHeight="1">
      <c r="A155" s="1" t="s">
        <v>682</v>
      </c>
      <c r="B155" s="11" t="str">
        <f>VLOOKUP($A155, 'ADP Data'!$C$3:$R$300, 2, FALSE)</f>
        <v>ATL</v>
      </c>
      <c r="C155" s="11" t="str">
        <f>VLOOKUP($A155, 'ADP Data'!$C$3:$R$300, 16, FALSE)</f>
        <v>QB</v>
      </c>
      <c r="D155" s="11"/>
      <c r="E155" s="11"/>
      <c r="F155" s="11" t="s">
        <v>878</v>
      </c>
      <c r="G155" s="11">
        <v>24.0</v>
      </c>
      <c r="H155" s="11"/>
      <c r="I155" s="11">
        <f>VLOOKUP($A155, 'ADP Data'!$C$3:$Q$300, 13, FALSE)</f>
        <v>143</v>
      </c>
      <c r="J155" s="11">
        <f>VLOOKUP($A155, 'ADP Data'!$C$3:$Q$300, 10, FALSE)</f>
        <v>142</v>
      </c>
      <c r="K155" s="11">
        <v>153.0</v>
      </c>
    </row>
    <row r="156" ht="14.25" customHeight="1">
      <c r="A156" s="1" t="s">
        <v>481</v>
      </c>
      <c r="B156" s="11" t="str">
        <f>VLOOKUP($A156, 'ADP Data'!$C$3:$R$300, 2, FALSE)</f>
        <v>CAR</v>
      </c>
      <c r="C156" s="11" t="str">
        <f>VLOOKUP($A156, 'ADP Data'!$C$3:$R$300, 16, FALSE)</f>
        <v>QB</v>
      </c>
      <c r="D156" s="11"/>
      <c r="E156" s="11"/>
      <c r="F156" s="11" t="s">
        <v>868</v>
      </c>
      <c r="G156" s="11">
        <v>21.0</v>
      </c>
      <c r="H156" s="11"/>
      <c r="I156" s="11">
        <f>VLOOKUP($A156, 'ADP Data'!$C$3:$Q$300, 13, FALSE)</f>
        <v>150</v>
      </c>
      <c r="J156" s="11">
        <f>VLOOKUP($A156, 'ADP Data'!$C$3:$Q$300, 10, FALSE)</f>
        <v>136</v>
      </c>
      <c r="K156" s="11">
        <v>137.0</v>
      </c>
    </row>
    <row r="157" ht="14.25" customHeight="1">
      <c r="A157" s="1" t="s">
        <v>448</v>
      </c>
      <c r="B157" s="11" t="str">
        <f>VLOOKUP($A157, 'ADP Data'!$C$3:$R$300, 2, FALSE)</f>
        <v>CLE</v>
      </c>
      <c r="C157" s="11" t="str">
        <f>VLOOKUP($A157, 'ADP Data'!$C$3:$R$300, 16, FALSE)</f>
        <v>RB</v>
      </c>
      <c r="D157" s="11"/>
      <c r="E157" s="11" t="s">
        <v>106</v>
      </c>
      <c r="F157" s="11" t="s">
        <v>872</v>
      </c>
      <c r="G157" s="11">
        <v>45.0</v>
      </c>
      <c r="H157" s="11" t="s">
        <v>1090</v>
      </c>
      <c r="I157" s="11">
        <f>VLOOKUP($A157, 'ADP Data'!$C$3:$Q$300, 13, FALSE)</f>
        <v>138</v>
      </c>
      <c r="J157" s="11">
        <f>VLOOKUP($A157, 'ADP Data'!$C$3:$Q$300, 10, FALSE)</f>
        <v>119</v>
      </c>
      <c r="K157" s="11">
        <v>179.0</v>
      </c>
    </row>
    <row r="158" ht="14.25" customHeight="1">
      <c r="A158" s="1" t="s">
        <v>470</v>
      </c>
      <c r="B158" s="11" t="str">
        <f>VLOOKUP($A158, 'ADP Data'!$C$3:$R$300, 2, FALSE)</f>
        <v>TEN</v>
      </c>
      <c r="C158" s="11" t="str">
        <f>VLOOKUP($A158, 'ADP Data'!$C$3:$R$300, 16, FALSE)</f>
        <v>QB</v>
      </c>
      <c r="D158" s="11"/>
      <c r="E158" s="11"/>
      <c r="F158" s="11" t="s">
        <v>868</v>
      </c>
      <c r="G158" s="11">
        <v>22.0</v>
      </c>
      <c r="H158" s="11"/>
      <c r="I158" s="11">
        <f>VLOOKUP($A158, 'ADP Data'!$C$3:$Q$300, 13, FALSE)</f>
        <v>151</v>
      </c>
      <c r="J158" s="11">
        <f>VLOOKUP($A158, 'ADP Data'!$C$3:$Q$300, 10, FALSE)</f>
        <v>177</v>
      </c>
      <c r="K158" s="11">
        <v>216.0</v>
      </c>
    </row>
    <row r="159" ht="14.25" customHeight="1">
      <c r="A159" s="1" t="s">
        <v>874</v>
      </c>
      <c r="B159" s="11" t="str">
        <f>VLOOKUP($A159, 'ADP Data'!$C$3:$R$300, 2, FALSE)</f>
        <v>HOU</v>
      </c>
      <c r="C159" s="11" t="str">
        <f>VLOOKUP($A159, 'ADP Data'!$C$3:$R$300, 16, FALSE)</f>
        <v>RB</v>
      </c>
      <c r="D159" s="11"/>
      <c r="E159" s="11"/>
      <c r="F159" s="11" t="s">
        <v>863</v>
      </c>
      <c r="G159" s="11">
        <v>47.0</v>
      </c>
      <c r="H159" s="11"/>
      <c r="I159" s="11">
        <f>VLOOKUP($A159, 'ADP Data'!$C$3:$Q$300, 13, FALSE)</f>
        <v>154</v>
      </c>
      <c r="J159" s="11">
        <f>VLOOKUP($A159, 'ADP Data'!$C$3:$Q$300, 10, FALSE)</f>
        <v>139</v>
      </c>
      <c r="K159" s="11">
        <v>178.0</v>
      </c>
    </row>
    <row r="160" ht="14.25" customHeight="1">
      <c r="A160" s="1" t="s">
        <v>189</v>
      </c>
      <c r="B160" s="11" t="str">
        <f>VLOOKUP($A160, 'ADP Data'!$C$3:$R$300, 2, FALSE)</f>
        <v>CHI</v>
      </c>
      <c r="C160" s="11" t="str">
        <f>VLOOKUP($A160, 'ADP Data'!$C$3:$R$300, 16, FALSE)</f>
        <v>WR</v>
      </c>
      <c r="D160" s="11"/>
      <c r="E160" s="11"/>
      <c r="F160" s="11" t="s">
        <v>857</v>
      </c>
      <c r="G160" s="11">
        <v>49.0</v>
      </c>
      <c r="H160" s="11" t="s">
        <v>1080</v>
      </c>
      <c r="I160" s="11">
        <f>VLOOKUP($A160, 'ADP Data'!$C$3:$Q$300, 13, FALSE)</f>
        <v>111</v>
      </c>
      <c r="J160" s="11">
        <f>VLOOKUP($A160, 'ADP Data'!$C$3:$Q$300, 10, FALSE)</f>
        <v>162</v>
      </c>
      <c r="K160" s="11">
        <v>182.0</v>
      </c>
    </row>
    <row r="161" ht="14.25" customHeight="1">
      <c r="A161" s="1" t="s">
        <v>310</v>
      </c>
      <c r="B161" s="11" t="str">
        <f>VLOOKUP($A161, 'ADP Data'!$C$3:$R$300, 2, FALSE)</f>
        <v>LAR</v>
      </c>
      <c r="C161" s="11" t="str">
        <f>VLOOKUP($A161, 'ADP Data'!$C$3:$R$300, 16, FALSE)</f>
        <v>QB</v>
      </c>
      <c r="D161" s="11"/>
      <c r="E161" s="11"/>
      <c r="F161" s="11" t="s">
        <v>878</v>
      </c>
      <c r="G161" s="11"/>
      <c r="H161" s="11"/>
      <c r="I161" s="11">
        <f>VLOOKUP($A161, 'ADP Data'!$C$3:$Q$300, 13, FALSE)</f>
        <v>177</v>
      </c>
      <c r="J161" s="11">
        <f>VLOOKUP($A161, 'ADP Data'!$C$3:$Q$300, 10, FALSE)</f>
        <v>151</v>
      </c>
      <c r="K161" s="11">
        <v>134.0</v>
      </c>
    </row>
    <row r="162" ht="14.25" customHeight="1">
      <c r="A162" s="1" t="s">
        <v>883</v>
      </c>
      <c r="B162" s="11" t="str">
        <f>VLOOKUP($A162, 'ADP Data'!$C$3:$R$300, 2, FALSE)</f>
        <v>BUF</v>
      </c>
      <c r="C162" s="11" t="str">
        <f>VLOOKUP($A162, 'ADP Data'!$C$3:$R$300, 16, FALSE)</f>
        <v>WR</v>
      </c>
      <c r="D162" s="11"/>
      <c r="E162" s="11"/>
      <c r="F162" s="11" t="s">
        <v>884</v>
      </c>
      <c r="G162" s="11">
        <v>61.0</v>
      </c>
      <c r="H162" s="11"/>
      <c r="I162" s="11">
        <f>VLOOKUP($A162, 'ADP Data'!$C$3:$Q$300, 13, FALSE)</f>
        <v>136</v>
      </c>
      <c r="J162" s="11">
        <f>VLOOKUP($A162, 'ADP Data'!$C$3:$Q$300, 10, FALSE)</f>
        <v>150</v>
      </c>
      <c r="K162" s="11">
        <v>154.0</v>
      </c>
    </row>
    <row r="163" ht="14.25" customHeight="1">
      <c r="A163" s="1" t="s">
        <v>634</v>
      </c>
      <c r="B163" s="11" t="str">
        <f>VLOOKUP($A163, 'ADP Data'!$C$3:$R$300, 2, FALSE)</f>
        <v>MIA</v>
      </c>
      <c r="C163" s="11" t="str">
        <f>VLOOKUP($A163, 'ADP Data'!$C$3:$R$300, 16, FALSE)</f>
        <v>RB</v>
      </c>
      <c r="D163" s="11"/>
      <c r="E163" s="11" t="s">
        <v>106</v>
      </c>
      <c r="F163" s="11" t="s">
        <v>885</v>
      </c>
      <c r="G163" s="11">
        <v>54.0</v>
      </c>
      <c r="H163" s="11" t="s">
        <v>1043</v>
      </c>
      <c r="I163" s="11">
        <f>VLOOKUP($A163, 'ADP Data'!$C$3:$Q$300, 13, FALSE)</f>
        <v>237</v>
      </c>
      <c r="J163" s="11">
        <f>VLOOKUP($A163, 'ADP Data'!$C$3:$Q$300, 10, FALSE)</f>
        <v>189</v>
      </c>
      <c r="K163" s="11">
        <v>135.0</v>
      </c>
    </row>
    <row r="164" ht="14.25" customHeight="1">
      <c r="A164" s="1" t="s">
        <v>623</v>
      </c>
      <c r="B164" s="11" t="str">
        <f>VLOOKUP($A164, 'ADP Data'!$C$3:$R$300, 2, FALSE)</f>
        <v>LV</v>
      </c>
      <c r="C164" s="11" t="str">
        <f>VLOOKUP($A164, 'ADP Data'!$C$3:$R$300, 16, FALSE)</f>
        <v>QB</v>
      </c>
      <c r="D164" s="11"/>
      <c r="E164" s="11"/>
      <c r="F164" s="11" t="s">
        <v>878</v>
      </c>
      <c r="G164" s="11"/>
      <c r="H164" s="11"/>
      <c r="I164" s="11">
        <f>VLOOKUP($A164, 'ADP Data'!$C$3:$Q$300, 13, FALSE)</f>
        <v>164</v>
      </c>
      <c r="J164" s="11">
        <f>VLOOKUP($A164, 'ADP Data'!$C$3:$Q$300, 10, FALSE)</f>
        <v>145</v>
      </c>
      <c r="K164" s="11">
        <v>138.0</v>
      </c>
    </row>
    <row r="165" ht="14.25" customHeight="1">
      <c r="A165" s="1" t="s">
        <v>359</v>
      </c>
      <c r="B165" s="11" t="str">
        <f>VLOOKUP($A165, 'ADP Data'!$C$3:$R$300, 2, FALSE)</f>
        <v>GB</v>
      </c>
      <c r="C165" s="11" t="str">
        <f>VLOOKUP($A165, 'ADP Data'!$C$3:$R$300, 16, FALSE)</f>
        <v>WR</v>
      </c>
      <c r="D165" s="11"/>
      <c r="E165" s="11"/>
      <c r="F165" s="11"/>
      <c r="G165" s="11"/>
      <c r="H165" s="11"/>
      <c r="I165" s="11">
        <f>VLOOKUP($A165, 'ADP Data'!$C$3:$Q$300, 13, FALSE)</f>
        <v>149</v>
      </c>
      <c r="J165" s="11">
        <f>VLOOKUP($A165, 'ADP Data'!$C$3:$Q$300, 10, FALSE)</f>
        <v>178</v>
      </c>
      <c r="K165" s="11">
        <v>207.0</v>
      </c>
    </row>
    <row r="166" ht="14.25" customHeight="1">
      <c r="A166" s="1" t="s">
        <v>308</v>
      </c>
      <c r="B166" s="11" t="str">
        <f>VLOOKUP($A166, 'ADP Data'!$C$3:$R$300, 2, FALSE)</f>
        <v>NYG</v>
      </c>
      <c r="C166" s="11" t="str">
        <f>VLOOKUP($A166, 'ADP Data'!$C$3:$R$300, 16, FALSE)</f>
        <v>WR</v>
      </c>
      <c r="D166" s="11"/>
      <c r="E166" s="11"/>
      <c r="F166" s="11"/>
      <c r="G166" s="11"/>
      <c r="H166" s="11"/>
      <c r="I166" s="11">
        <f>VLOOKUP($A166, 'ADP Data'!$C$3:$Q$300, 13, FALSE)</f>
        <v>170</v>
      </c>
      <c r="J166" s="11">
        <f>VLOOKUP($A166, 'ADP Data'!$C$3:$Q$300, 10, FALSE)</f>
        <v>168</v>
      </c>
      <c r="K166" s="11">
        <v>192.0</v>
      </c>
    </row>
    <row r="167" ht="14.25" customHeight="1">
      <c r="A167" s="1" t="s">
        <v>399</v>
      </c>
      <c r="B167" s="11" t="str">
        <f>VLOOKUP($A167, 'ADP Data'!$C$3:$R$300, 2, FALSE)</f>
        <v>JAX</v>
      </c>
      <c r="C167" s="11" t="str">
        <f>VLOOKUP($A167, 'ADP Data'!$C$3:$R$300, 16, FALSE)</f>
        <v>TE</v>
      </c>
      <c r="D167" s="11"/>
      <c r="E167" s="11"/>
      <c r="F167" s="11"/>
      <c r="G167" s="11"/>
      <c r="H167" s="11"/>
      <c r="I167" s="11">
        <f>VLOOKUP($A167, 'ADP Data'!$C$3:$Q$300, 13, FALSE)</f>
        <v>155</v>
      </c>
      <c r="J167" s="11">
        <f>VLOOKUP($A167, 'ADP Data'!$C$3:$Q$300, 10, FALSE)</f>
        <v>163</v>
      </c>
      <c r="K167" s="11">
        <v>176.0</v>
      </c>
    </row>
    <row r="168" ht="14.25" customHeight="1">
      <c r="A168" s="1" t="s">
        <v>337</v>
      </c>
      <c r="B168" s="11" t="str">
        <f>VLOOKUP($A168, 'ADP Data'!$C$3:$R$300, 2, FALSE)</f>
        <v>BAL</v>
      </c>
      <c r="C168" s="11" t="str">
        <f>VLOOKUP($A168, 'ADP Data'!$C$3:$R$300, 16, FALSE)</f>
        <v>TE</v>
      </c>
      <c r="D168" s="11"/>
      <c r="E168" s="11"/>
      <c r="F168" s="11"/>
      <c r="G168" s="11"/>
      <c r="H168" s="11"/>
      <c r="I168" s="11">
        <f>VLOOKUP($A168, 'ADP Data'!$C$3:$Q$300, 13, FALSE)</f>
        <v>176</v>
      </c>
      <c r="J168" s="11">
        <f>VLOOKUP($A168, 'ADP Data'!$C$3:$Q$300, 10, FALSE)</f>
        <v>242</v>
      </c>
      <c r="K168" s="11">
        <v>156.0</v>
      </c>
    </row>
    <row r="169" ht="14.25" customHeight="1">
      <c r="A169" s="1" t="s">
        <v>892</v>
      </c>
      <c r="B169" s="11" t="str">
        <f>VLOOKUP($A169, 'ADP Data'!$C$3:$R$300, 2, FALSE)</f>
        <v>MIN</v>
      </c>
      <c r="C169" s="11" t="str">
        <f>VLOOKUP($A169, 'ADP Data'!$C$3:$R$300, 16, FALSE)</f>
        <v>WR</v>
      </c>
      <c r="D169" s="11"/>
      <c r="E169" s="11"/>
      <c r="F169" s="11" t="s">
        <v>884</v>
      </c>
      <c r="G169" s="11">
        <v>65.0</v>
      </c>
      <c r="H169" s="11" t="s">
        <v>1082</v>
      </c>
      <c r="I169" s="11">
        <f>VLOOKUP($A169, 'ADP Data'!$C$3:$Q$300, 13, FALSE)</f>
        <v>169</v>
      </c>
      <c r="J169" s="11">
        <f>VLOOKUP($A169, 'ADP Data'!$C$3:$Q$300, 10, FALSE)</f>
        <v>191</v>
      </c>
      <c r="K169" s="11">
        <v>174.0</v>
      </c>
    </row>
    <row r="170" ht="14.25" customHeight="1">
      <c r="A170" s="1" t="s">
        <v>306</v>
      </c>
      <c r="B170" s="11" t="str">
        <f>VLOOKUP($A170, 'ADP Data'!$C$3:$R$300, 2, FALSE)</f>
        <v>WAS</v>
      </c>
      <c r="C170" s="11" t="str">
        <f>VLOOKUP($A170, 'ADP Data'!$C$3:$R$300, 16, FALSE)</f>
        <v>RB</v>
      </c>
      <c r="D170" s="11"/>
      <c r="E170" s="11" t="s">
        <v>106</v>
      </c>
      <c r="F170" s="11" t="s">
        <v>1091</v>
      </c>
      <c r="G170" s="11">
        <v>51.0</v>
      </c>
      <c r="H170" s="11" t="s">
        <v>1092</v>
      </c>
      <c r="I170" s="11">
        <f>VLOOKUP($A170, 'ADP Data'!$C$3:$Q$300, 13, FALSE)</f>
        <v>99</v>
      </c>
      <c r="J170" s="11">
        <f>VLOOKUP($A170, 'ADP Data'!$C$3:$Q$300, 10, FALSE)</f>
        <v>100</v>
      </c>
      <c r="K170" s="11">
        <v>240.0</v>
      </c>
    </row>
    <row r="171" ht="14.25" customHeight="1">
      <c r="A171" s="1" t="s">
        <v>485</v>
      </c>
      <c r="B171" s="11" t="str">
        <f>VLOOKUP($A171, 'ADP Data'!$C$3:$R$300, 2, FALSE)</f>
        <v>DEN</v>
      </c>
      <c r="C171" s="11" t="str">
        <f>VLOOKUP($A171, 'ADP Data'!$C$3:$R$300, 16, FALSE)</f>
        <v>DE</v>
      </c>
      <c r="D171" s="11"/>
      <c r="E171" s="11"/>
      <c r="F171" s="11"/>
      <c r="G171" s="11"/>
      <c r="H171" s="11"/>
      <c r="I171" s="11" t="str">
        <f>VLOOKUP($A171, 'ADP Data'!$C$3:$Q$300, 13, FALSE)</f>
        <v>-</v>
      </c>
      <c r="J171" s="11">
        <f>VLOOKUP($A171, 'ADP Data'!$C$3:$Q$300, 10, FALSE)</f>
        <v>158</v>
      </c>
      <c r="K171" s="11">
        <v>163.0</v>
      </c>
    </row>
    <row r="172" ht="14.25" customHeight="1">
      <c r="A172" s="1" t="s">
        <v>552</v>
      </c>
      <c r="B172" s="11" t="str">
        <f>VLOOKUP($A172, 'ADP Data'!$C$3:$R$300, 2, FALSE)</f>
        <v>PIT</v>
      </c>
      <c r="C172" s="11" t="str">
        <f>VLOOKUP($A172, 'ADP Data'!$C$3:$R$300, 16, FALSE)</f>
        <v>TE</v>
      </c>
      <c r="D172" s="11"/>
      <c r="E172" s="11"/>
      <c r="F172" s="11"/>
      <c r="G172" s="11"/>
      <c r="H172" s="11"/>
      <c r="I172" s="11">
        <f>VLOOKUP($A172, 'ADP Data'!$C$3:$Q$300, 13, FALSE)</f>
        <v>226</v>
      </c>
      <c r="J172" s="11">
        <f>VLOOKUP($A172, 'ADP Data'!$C$3:$Q$300, 10, FALSE)</f>
        <v>228</v>
      </c>
      <c r="K172" s="11">
        <v>190.0</v>
      </c>
    </row>
    <row r="173" ht="14.25" customHeight="1">
      <c r="A173" s="1" t="s">
        <v>263</v>
      </c>
      <c r="B173" s="11" t="str">
        <f>VLOOKUP($A173, 'ADP Data'!$C$3:$R$300, 2, FALSE)</f>
        <v>CAR</v>
      </c>
      <c r="C173" s="11" t="str">
        <f>VLOOKUP($A173, 'ADP Data'!$C$3:$R$300, 16, FALSE)</f>
        <v>RB</v>
      </c>
      <c r="D173" s="11"/>
      <c r="E173" s="11"/>
      <c r="F173" s="11" t="s">
        <v>885</v>
      </c>
      <c r="G173" s="11">
        <v>55.0</v>
      </c>
      <c r="H173" s="11"/>
      <c r="I173" s="11">
        <f>VLOOKUP($A173, 'ADP Data'!$C$3:$Q$300, 13, FALSE)</f>
        <v>179</v>
      </c>
      <c r="J173" s="11">
        <f>VLOOKUP($A173, 'ADP Data'!$C$3:$Q$300, 10, FALSE)</f>
        <v>157</v>
      </c>
      <c r="K173" s="11">
        <v>128.0</v>
      </c>
    </row>
    <row r="174" ht="14.25" customHeight="1">
      <c r="A174" s="1" t="s">
        <v>826</v>
      </c>
      <c r="B174" s="11" t="str">
        <f>VLOOKUP($A174, 'ADP Data'!$C$3:$R$300, 2, FALSE)</f>
        <v>KC</v>
      </c>
      <c r="C174" s="11" t="str">
        <f>VLOOKUP($A174, 'ADP Data'!$C$3:$R$300, 16, FALSE)</f>
        <v>WR</v>
      </c>
      <c r="D174" s="11"/>
      <c r="E174" s="11"/>
      <c r="F174" s="11"/>
      <c r="G174" s="11"/>
      <c r="H174" s="11"/>
      <c r="I174" s="11">
        <f>VLOOKUP($A174, 'ADP Data'!$C$3:$Q$300, 13, FALSE)</f>
        <v>145</v>
      </c>
      <c r="J174" s="11">
        <f>VLOOKUP($A174, 'ADP Data'!$C$3:$Q$300, 10, FALSE)</f>
        <v>174</v>
      </c>
      <c r="K174" s="11">
        <v>203.0</v>
      </c>
    </row>
    <row r="175" ht="14.25" customHeight="1">
      <c r="A175" s="1" t="s">
        <v>506</v>
      </c>
      <c r="B175" s="11" t="str">
        <f>VLOOKUP($A175, 'ADP Data'!$C$3:$R$300, 2, FALSE)</f>
        <v>LAC</v>
      </c>
      <c r="C175" s="11" t="str">
        <f>VLOOKUP($A175, 'ADP Data'!$C$3:$R$300, 16, FALSE)</f>
        <v>WR</v>
      </c>
      <c r="D175" s="11"/>
      <c r="E175" s="11"/>
      <c r="F175" s="11" t="s">
        <v>884</v>
      </c>
      <c r="G175" s="11">
        <v>62.0</v>
      </c>
      <c r="H175" s="11" t="s">
        <v>1087</v>
      </c>
      <c r="I175" s="11">
        <f>VLOOKUP($A175, 'ADP Data'!$C$3:$Q$300, 13, FALSE)</f>
        <v>159</v>
      </c>
      <c r="J175" s="11">
        <f>VLOOKUP($A175, 'ADP Data'!$C$3:$Q$300, 10, FALSE)</f>
        <v>185</v>
      </c>
      <c r="K175" s="11">
        <v>170.0</v>
      </c>
    </row>
    <row r="176" ht="14.25" customHeight="1">
      <c r="A176" s="1" t="s">
        <v>951</v>
      </c>
      <c r="B176" s="11" t="str">
        <f>VLOOKUP($A176, 'ADP Data'!$C$3:$R$300, 2, FALSE)</f>
        <v>PHI</v>
      </c>
      <c r="C176" s="11" t="str">
        <f>VLOOKUP($A176, 'ADP Data'!$C$3:$R$300, 16, FALSE)</f>
        <v>RB</v>
      </c>
      <c r="D176" s="11"/>
      <c r="E176" s="11"/>
      <c r="F176" s="11" t="s">
        <v>903</v>
      </c>
      <c r="G176" s="11"/>
      <c r="H176" s="11" t="s">
        <v>1043</v>
      </c>
      <c r="I176" s="11">
        <f>VLOOKUP($A176, 'ADP Data'!$C$3:$Q$300, 13, FALSE)</f>
        <v>173</v>
      </c>
      <c r="J176" s="11">
        <f>VLOOKUP($A176, 'ADP Data'!$C$3:$Q$300, 10, FALSE)</f>
        <v>167</v>
      </c>
      <c r="K176" s="11">
        <v>177.0</v>
      </c>
    </row>
    <row r="177" ht="14.25" customHeight="1">
      <c r="A177" s="1" t="s">
        <v>495</v>
      </c>
      <c r="B177" s="11" t="str">
        <f>VLOOKUP($A177, 'ADP Data'!$C$3:$R$300, 2, FALSE)</f>
        <v>PHI</v>
      </c>
      <c r="C177" s="11" t="str">
        <f>VLOOKUP($A177, 'ADP Data'!$C$3:$R$300, 16, FALSE)</f>
        <v>DE</v>
      </c>
      <c r="D177" s="11"/>
      <c r="E177" s="11"/>
      <c r="F177" s="11"/>
      <c r="G177" s="11"/>
      <c r="H177" s="11"/>
      <c r="I177" s="11" t="str">
        <f>VLOOKUP($A177, 'ADP Data'!$C$3:$Q$300, 13, FALSE)</f>
        <v>-</v>
      </c>
      <c r="J177" s="11">
        <f>VLOOKUP($A177, 'ADP Data'!$C$3:$Q$300, 10, FALSE)</f>
        <v>165</v>
      </c>
      <c r="K177" s="11">
        <v>166.0</v>
      </c>
    </row>
    <row r="178" ht="14.25" customHeight="1">
      <c r="A178" s="1" t="s">
        <v>513</v>
      </c>
      <c r="B178" s="11" t="str">
        <f>VLOOKUP($A178, 'ADP Data'!$C$3:$R$300, 2, FALSE)</f>
        <v>BAL</v>
      </c>
      <c r="C178" s="11" t="str">
        <f>VLOOKUP($A178, 'ADP Data'!$C$3:$R$300, 16, FALSE)</f>
        <v>DE</v>
      </c>
      <c r="D178" s="11"/>
      <c r="E178" s="11"/>
      <c r="F178" s="11"/>
      <c r="G178" s="11"/>
      <c r="H178" s="11"/>
      <c r="I178" s="11" t="str">
        <f>VLOOKUP($A178, 'ADP Data'!$C$3:$Q$300, 13, FALSE)</f>
        <v>-</v>
      </c>
      <c r="J178" s="11">
        <f>VLOOKUP($A178, 'ADP Data'!$C$3:$Q$300, 10, FALSE)</f>
        <v>169</v>
      </c>
      <c r="K178" s="11">
        <v>171.0</v>
      </c>
    </row>
    <row r="179" ht="14.25" customHeight="1">
      <c r="A179" s="1" t="s">
        <v>1088</v>
      </c>
      <c r="B179" s="11" t="str">
        <f>VLOOKUP($A179, 'ADP Data'!$C$3:$R$300, 2, FALSE)</f>
        <v>NE</v>
      </c>
      <c r="C179" s="11" t="str">
        <f>VLOOKUP($A179, 'ADP Data'!$C$3:$R$300, 16, FALSE)</f>
        <v>WR</v>
      </c>
      <c r="D179" s="11"/>
      <c r="E179" s="11"/>
      <c r="F179" s="11" t="s">
        <v>857</v>
      </c>
      <c r="G179" s="11">
        <v>53.0</v>
      </c>
      <c r="H179" s="11" t="s">
        <v>1089</v>
      </c>
      <c r="I179" s="11">
        <f>VLOOKUP($A179, 'ADP Data'!$C$3:$Q$300, 13, FALSE)</f>
        <v>153</v>
      </c>
      <c r="J179" s="11">
        <f>VLOOKUP($A179, 'ADP Data'!$C$3:$Q$300, 10, FALSE)</f>
        <v>192</v>
      </c>
      <c r="K179" s="11">
        <v>140.0</v>
      </c>
    </row>
    <row r="180" ht="14.25" customHeight="1">
      <c r="A180" s="1" t="s">
        <v>409</v>
      </c>
      <c r="B180" s="11" t="str">
        <f>VLOOKUP($A180, 'ADP Data'!$C$3:$R$300, 2, FALSE)</f>
        <v>TEN</v>
      </c>
      <c r="C180" s="11" t="str">
        <f>VLOOKUP($A180, 'ADP Data'!$C$3:$R$300, 16, FALSE)</f>
        <v>TE</v>
      </c>
      <c r="D180" s="11"/>
      <c r="E180" s="11"/>
      <c r="F180" s="11"/>
      <c r="G180" s="11"/>
      <c r="H180" s="11"/>
      <c r="I180" s="11">
        <f>VLOOKUP($A180, 'ADP Data'!$C$3:$Q$300, 13, FALSE)</f>
        <v>166</v>
      </c>
      <c r="J180" s="11">
        <f>VLOOKUP($A180, 'ADP Data'!$C$3:$Q$300, 10, FALSE)</f>
        <v>144</v>
      </c>
      <c r="K180" s="11">
        <v>181.0</v>
      </c>
    </row>
    <row r="181" ht="14.25" customHeight="1">
      <c r="A181" s="1" t="s">
        <v>442</v>
      </c>
      <c r="B181" s="11" t="str">
        <f>VLOOKUP($A181, 'ADP Data'!$C$3:$R$300, 2, FALSE)</f>
        <v>SEA</v>
      </c>
      <c r="C181" s="11" t="str">
        <f>VLOOKUP($A181, 'ADP Data'!$C$3:$R$300, 16, FALSE)</f>
        <v>QB</v>
      </c>
      <c r="D181" s="11"/>
      <c r="E181" s="11"/>
      <c r="F181" s="11" t="s">
        <v>878</v>
      </c>
      <c r="G181" s="11"/>
      <c r="H181" s="11"/>
      <c r="I181" s="11">
        <f>VLOOKUP($A181, 'ADP Data'!$C$3:$Q$300, 13, FALSE)</f>
        <v>181</v>
      </c>
      <c r="J181" s="11">
        <f>VLOOKUP($A181, 'ADP Data'!$C$3:$Q$300, 10, FALSE)</f>
        <v>222</v>
      </c>
      <c r="K181" s="11">
        <v>224.0</v>
      </c>
    </row>
    <row r="182" ht="14.25" customHeight="1">
      <c r="A182" s="1" t="s">
        <v>701</v>
      </c>
      <c r="B182" s="11" t="str">
        <f>VLOOKUP($A182, 'ADP Data'!$C$3:$R$300, 2, FALSE)</f>
        <v>MIA</v>
      </c>
      <c r="C182" s="11" t="str">
        <f>VLOOKUP($A182, 'ADP Data'!$C$3:$R$300, 16, FALSE)</f>
        <v>TE</v>
      </c>
      <c r="D182" s="11"/>
      <c r="E182" s="11"/>
      <c r="F182" s="11"/>
      <c r="G182" s="11"/>
      <c r="H182" s="11"/>
      <c r="I182" s="11">
        <f>VLOOKUP($A182, 'ADP Data'!$C$3:$Q$300, 13, FALSE)</f>
        <v>217</v>
      </c>
      <c r="J182" s="11">
        <f>VLOOKUP($A182, 'ADP Data'!$C$3:$Q$300, 10, FALSE)</f>
        <v>225</v>
      </c>
      <c r="K182" s="11">
        <v>199.0</v>
      </c>
    </row>
    <row r="183" ht="14.25" customHeight="1">
      <c r="A183" s="1" t="s">
        <v>502</v>
      </c>
      <c r="B183" s="11" t="str">
        <f>VLOOKUP($A183, 'ADP Data'!$C$3:$R$300, 2, FALSE)</f>
        <v>PIT</v>
      </c>
      <c r="C183" s="11" t="str">
        <f>VLOOKUP($A183, 'ADP Data'!$C$3:$R$300, 16, FALSE)</f>
        <v>DE</v>
      </c>
      <c r="D183" s="11"/>
      <c r="E183" s="11"/>
      <c r="F183" s="11"/>
      <c r="G183" s="11"/>
      <c r="H183" s="11"/>
      <c r="I183" s="11" t="str">
        <f>VLOOKUP($A183, 'ADP Data'!$C$3:$Q$300, 13, FALSE)</f>
        <v>-</v>
      </c>
      <c r="J183" s="11">
        <f>VLOOKUP($A183, 'ADP Data'!$C$3:$Q$300, 10, FALSE)</f>
        <v>166</v>
      </c>
      <c r="K183" s="11">
        <v>167.0</v>
      </c>
    </row>
    <row r="184" ht="14.25" customHeight="1">
      <c r="A184" s="1" t="s">
        <v>917</v>
      </c>
      <c r="B184" s="11" t="str">
        <f>VLOOKUP($A184, 'ADP Data'!$C$3:$R$300, 2, FALSE)</f>
        <v>CHI</v>
      </c>
      <c r="C184" s="11" t="str">
        <f>VLOOKUP($A184, 'ADP Data'!$C$3:$R$300, 16, FALSE)</f>
        <v>RB</v>
      </c>
      <c r="D184" s="11"/>
      <c r="E184" s="11"/>
      <c r="F184" s="11"/>
      <c r="G184" s="11"/>
      <c r="H184" s="11"/>
      <c r="I184" s="11">
        <f>VLOOKUP($A184, 'ADP Data'!$C$3:$Q$300, 13, FALSE)</f>
        <v>219</v>
      </c>
      <c r="J184" s="11">
        <f>VLOOKUP($A184, 'ADP Data'!$C$3:$Q$300, 10, FALSE)</f>
        <v>171</v>
      </c>
      <c r="K184" s="11">
        <v>164.0</v>
      </c>
    </row>
    <row r="185" ht="14.25" customHeight="1">
      <c r="A185" s="1" t="s">
        <v>550</v>
      </c>
      <c r="B185" s="11" t="str">
        <f>VLOOKUP($A185, 'ADP Data'!$C$3:$R$300, 2, FALSE)</f>
        <v>PIT</v>
      </c>
      <c r="C185" s="11" t="str">
        <f>VLOOKUP($A185, 'ADP Data'!$C$3:$R$300, 16, FALSE)</f>
        <v>QB</v>
      </c>
      <c r="D185" s="11"/>
      <c r="E185" s="11"/>
      <c r="F185" s="11" t="s">
        <v>878</v>
      </c>
      <c r="G185" s="11"/>
      <c r="H185" s="11"/>
      <c r="I185" s="11">
        <f>VLOOKUP($A185, 'ADP Data'!$C$3:$Q$300, 13, FALSE)</f>
        <v>198</v>
      </c>
      <c r="J185" s="11">
        <f>VLOOKUP($A185, 'ADP Data'!$C$3:$Q$300, 10, FALSE)</f>
        <v>198</v>
      </c>
      <c r="K185" s="11">
        <v>200.0</v>
      </c>
    </row>
    <row r="186" ht="14.25" customHeight="1">
      <c r="A186" s="1" t="s">
        <v>556</v>
      </c>
      <c r="B186" s="11" t="str">
        <f>VLOOKUP($A186, 'ADP Data'!$C$3:$R$300, 2, FALSE)</f>
        <v>TB</v>
      </c>
      <c r="C186" s="11" t="str">
        <f>VLOOKUP($A186, 'ADP Data'!$C$3:$R$300, 16, FALSE)</f>
        <v>TE</v>
      </c>
      <c r="D186" s="11"/>
      <c r="E186" s="11"/>
      <c r="F186" s="11"/>
      <c r="G186" s="11"/>
      <c r="H186" s="11"/>
      <c r="I186" s="11">
        <f>VLOOKUP($A186, 'ADP Data'!$C$3:$Q$300, 13, FALSE)</f>
        <v>182</v>
      </c>
      <c r="J186" s="11" t="str">
        <f>VLOOKUP($A186, 'ADP Data'!$C$3:$Q$300, 10, FALSE)</f>
        <v>-</v>
      </c>
      <c r="K186" s="11">
        <v>186.0</v>
      </c>
    </row>
    <row r="187" ht="14.25" customHeight="1">
      <c r="A187" s="1" t="s">
        <v>515</v>
      </c>
      <c r="B187" s="11" t="str">
        <f>VLOOKUP($A187, 'ADP Data'!$C$3:$R$300, 2, FALSE)</f>
        <v>MIN</v>
      </c>
      <c r="C187" s="11" t="str">
        <f>VLOOKUP($A187, 'ADP Data'!$C$3:$R$300, 16, FALSE)</f>
        <v>DE</v>
      </c>
      <c r="D187" s="11"/>
      <c r="E187" s="11"/>
      <c r="F187" s="11"/>
      <c r="G187" s="11"/>
      <c r="H187" s="11"/>
      <c r="I187" s="11" t="str">
        <f>VLOOKUP($A187, 'ADP Data'!$C$3:$Q$300, 13, FALSE)</f>
        <v>-</v>
      </c>
      <c r="J187" s="11">
        <f>VLOOKUP($A187, 'ADP Data'!$C$3:$Q$300, 10, FALSE)</f>
        <v>172</v>
      </c>
      <c r="K187" s="11">
        <v>175.0</v>
      </c>
    </row>
    <row r="188" ht="14.25" customHeight="1">
      <c r="A188" s="1" t="s">
        <v>798</v>
      </c>
      <c r="B188" s="11" t="str">
        <f>VLOOKUP($A188, 'ADP Data'!$C$3:$R$300, 2, FALSE)</f>
        <v>IND</v>
      </c>
      <c r="C188" s="11" t="str">
        <f>VLOOKUP($A188, 'ADP Data'!$C$3:$R$300, 16, FALSE)</f>
        <v>QB</v>
      </c>
      <c r="D188" s="11"/>
      <c r="E188" s="11"/>
      <c r="F188" s="11" t="s">
        <v>868</v>
      </c>
      <c r="G188" s="11"/>
      <c r="H188" s="11"/>
      <c r="I188" s="11">
        <f>VLOOKUP($A188, 'ADP Data'!$C$3:$Q$300, 13, FALSE)</f>
        <v>231</v>
      </c>
      <c r="J188" s="11" t="str">
        <f>VLOOKUP($A188, 'ADP Data'!$C$3:$Q$300, 10, FALSE)</f>
        <v>-</v>
      </c>
      <c r="K188" s="11">
        <v>189.0</v>
      </c>
    </row>
    <row r="189" ht="14.25" customHeight="1">
      <c r="A189" s="1" t="s">
        <v>451</v>
      </c>
      <c r="B189" s="11" t="str">
        <f>VLOOKUP($A189, 'ADP Data'!$C$3:$R$300, 2, FALSE)</f>
        <v>TB</v>
      </c>
      <c r="C189" s="11" t="str">
        <f>VLOOKUP($A189, 'ADP Data'!$C$3:$R$300, 16, FALSE)</f>
        <v>WR</v>
      </c>
      <c r="D189" s="11"/>
      <c r="E189" s="11"/>
      <c r="F189" s="11"/>
      <c r="G189" s="11"/>
      <c r="H189" s="11" t="s">
        <v>1049</v>
      </c>
      <c r="I189" s="11">
        <f>VLOOKUP($A189, 'ADP Data'!$C$3:$Q$300, 13, FALSE)</f>
        <v>234</v>
      </c>
      <c r="J189" s="11" t="str">
        <f>VLOOKUP($A189, 'ADP Data'!$C$3:$Q$300, 10, FALSE)</f>
        <v>-</v>
      </c>
      <c r="K189" s="11">
        <v>212.0</v>
      </c>
    </row>
    <row r="190" ht="14.25" customHeight="1">
      <c r="A190" s="1" t="s">
        <v>645</v>
      </c>
      <c r="B190" s="11" t="str">
        <f>VLOOKUP($A190, 'ADP Data'!$C$3:$R$300, 2, FALSE)</f>
        <v>CIN</v>
      </c>
      <c r="C190" s="11" t="str">
        <f>VLOOKUP($A190, 'ADP Data'!$C$3:$R$300, 16, FALSE)</f>
        <v>TE</v>
      </c>
      <c r="D190" s="11"/>
      <c r="E190" s="11"/>
      <c r="F190" s="11"/>
      <c r="G190" s="11"/>
      <c r="H190" s="11"/>
      <c r="I190" s="11">
        <f>VLOOKUP($A190, 'ADP Data'!$C$3:$Q$300, 13, FALSE)</f>
        <v>194</v>
      </c>
      <c r="J190" s="11">
        <f>VLOOKUP($A190, 'ADP Data'!$C$3:$Q$300, 10, FALSE)</f>
        <v>233</v>
      </c>
      <c r="K190" s="11">
        <v>241.0</v>
      </c>
    </row>
    <row r="191" ht="14.25" customHeight="1">
      <c r="A191" s="1" t="s">
        <v>475</v>
      </c>
      <c r="B191" s="11" t="str">
        <f>VLOOKUP($A191, 'ADP Data'!$C$3:$R$300, 2, FALSE)</f>
        <v>HOU</v>
      </c>
      <c r="C191" s="11" t="str">
        <f>VLOOKUP($A191, 'ADP Data'!$C$3:$R$300, 16, FALSE)</f>
        <v>DE</v>
      </c>
      <c r="D191" s="11"/>
      <c r="E191" s="11"/>
      <c r="F191" s="11"/>
      <c r="G191" s="11"/>
      <c r="H191" s="11"/>
      <c r="I191" s="11" t="str">
        <f>VLOOKUP($A191, 'ADP Data'!$C$3:$Q$300, 13, FALSE)</f>
        <v>-</v>
      </c>
      <c r="J191" s="11">
        <f>VLOOKUP($A191, 'ADP Data'!$C$3:$Q$300, 10, FALSE)</f>
        <v>188</v>
      </c>
      <c r="K191" s="11">
        <v>185.0</v>
      </c>
    </row>
    <row r="192" ht="14.25" customHeight="1">
      <c r="A192" s="1" t="s">
        <v>280</v>
      </c>
      <c r="B192" s="11" t="str">
        <f>VLOOKUP($A192, 'ADP Data'!$C$3:$R$300, 2, FALSE)</f>
        <v>LAC</v>
      </c>
      <c r="C192" s="11" t="str">
        <f>VLOOKUP($A192, 'ADP Data'!$C$3:$R$300, 16, FALSE)</f>
        <v>WR</v>
      </c>
      <c r="D192" s="11"/>
      <c r="E192" s="11"/>
      <c r="F192" s="11"/>
      <c r="G192" s="11"/>
      <c r="H192" s="11"/>
      <c r="I192" s="11">
        <f>VLOOKUP($A192, 'ADP Data'!$C$3:$Q$300, 13, FALSE)</f>
        <v>191</v>
      </c>
      <c r="J192" s="11">
        <f>VLOOKUP($A192, 'ADP Data'!$C$3:$Q$300, 10, FALSE)</f>
        <v>236</v>
      </c>
      <c r="K192" s="11">
        <v>145.0</v>
      </c>
    </row>
    <row r="193" ht="14.25" customHeight="1">
      <c r="A193" s="1" t="s">
        <v>899</v>
      </c>
      <c r="B193" s="11" t="str">
        <f>VLOOKUP($A193, 'ADP Data'!$C$3:$R$300, 2, FALSE)</f>
        <v>CAR</v>
      </c>
      <c r="C193" s="11" t="str">
        <f>VLOOKUP($A193, 'ADP Data'!$C$3:$R$300, 16, FALSE)</f>
        <v>WR</v>
      </c>
      <c r="D193" s="11"/>
      <c r="E193" s="11"/>
      <c r="F193" s="11" t="s">
        <v>857</v>
      </c>
      <c r="G193" s="11">
        <v>54.0</v>
      </c>
      <c r="H193" s="11" t="s">
        <v>1047</v>
      </c>
      <c r="I193" s="11">
        <f>VLOOKUP($A193, 'ADP Data'!$C$3:$Q$300, 13, FALSE)</f>
        <v>161</v>
      </c>
      <c r="J193" s="11">
        <f>VLOOKUP($A193, 'ADP Data'!$C$3:$Q$300, 10, FALSE)</f>
        <v>170</v>
      </c>
      <c r="K193" s="11">
        <v>210.0</v>
      </c>
    </row>
    <row r="194" ht="14.25" customHeight="1">
      <c r="A194" s="1" t="s">
        <v>626</v>
      </c>
      <c r="B194" s="11" t="str">
        <f>VLOOKUP($A194, 'ADP Data'!$C$3:$R$300, 2, FALSE)</f>
        <v>BUF</v>
      </c>
      <c r="C194" s="11" t="str">
        <f>VLOOKUP($A194, 'ADP Data'!$C$3:$R$300, 16, FALSE)</f>
        <v>DE</v>
      </c>
      <c r="D194" s="11"/>
      <c r="E194" s="11"/>
      <c r="F194" s="11"/>
      <c r="G194" s="11"/>
      <c r="H194" s="11"/>
      <c r="I194" s="11" t="str">
        <f>VLOOKUP($A194, 'ADP Data'!$C$3:$Q$300, 13, FALSE)</f>
        <v>-</v>
      </c>
      <c r="J194" s="11">
        <f>VLOOKUP($A194, 'ADP Data'!$C$3:$Q$300, 10, FALSE)</f>
        <v>190</v>
      </c>
      <c r="K194" s="11">
        <v>187.0</v>
      </c>
    </row>
    <row r="195" ht="14.25" customHeight="1">
      <c r="A195" s="1" t="s">
        <v>439</v>
      </c>
      <c r="B195" s="11" t="str">
        <f>VLOOKUP($A195, 'ADP Data'!$C$3:$R$300, 2, FALSE)</f>
        <v>GB</v>
      </c>
      <c r="C195" s="11" t="str">
        <f>VLOOKUP($A195, 'ADP Data'!$C$3:$R$300, 16, FALSE)</f>
        <v>RB</v>
      </c>
      <c r="D195" s="11"/>
      <c r="E195" s="11"/>
      <c r="F195" s="11" t="s">
        <v>885</v>
      </c>
      <c r="G195" s="11">
        <v>53.0</v>
      </c>
      <c r="H195" s="11" t="s">
        <v>1049</v>
      </c>
      <c r="I195" s="11">
        <f>VLOOKUP($A195, 'ADP Data'!$C$3:$Q$300, 13, FALSE)</f>
        <v>304</v>
      </c>
      <c r="J195" s="11">
        <f>VLOOKUP($A195, 'ADP Data'!$C$3:$Q$300, 10, FALSE)</f>
        <v>207</v>
      </c>
      <c r="K195" s="11">
        <v>151.0</v>
      </c>
    </row>
    <row r="196" ht="14.25" customHeight="1">
      <c r="A196" s="1" t="s">
        <v>720</v>
      </c>
      <c r="B196" s="11" t="str">
        <f>VLOOKUP($A196, 'ADP Data'!$C$3:$R$300, 2, FALSE)</f>
        <v>SEA</v>
      </c>
      <c r="C196" s="11" t="str">
        <f>VLOOKUP($A196, 'ADP Data'!$C$3:$R$300, 16, FALSE)</f>
        <v>TE</v>
      </c>
      <c r="D196" s="11"/>
      <c r="E196" s="11"/>
      <c r="F196" s="11"/>
      <c r="G196" s="11"/>
      <c r="H196" s="11" t="s">
        <v>1096</v>
      </c>
      <c r="I196" s="11">
        <f>VLOOKUP($A196, 'ADP Data'!$C$3:$Q$300, 13, FALSE)</f>
        <v>213</v>
      </c>
      <c r="J196" s="11">
        <f>VLOOKUP($A196, 'ADP Data'!$C$3:$Q$300, 10, FALSE)</f>
        <v>235</v>
      </c>
      <c r="K196" s="11" t="s">
        <v>36</v>
      </c>
    </row>
    <row r="197" ht="14.25" customHeight="1">
      <c r="A197" s="1" t="s">
        <v>676</v>
      </c>
      <c r="B197" s="11" t="str">
        <f>VLOOKUP($A197, 'ADP Data'!$C$3:$R$300, 2, FALSE)</f>
        <v>SF</v>
      </c>
      <c r="C197" s="11" t="str">
        <f>VLOOKUP($A197, 'ADP Data'!$C$3:$R$300, 16, FALSE)</f>
        <v>DE</v>
      </c>
      <c r="D197" s="11"/>
      <c r="E197" s="11"/>
      <c r="F197" s="11"/>
      <c r="G197" s="11"/>
      <c r="H197" s="11"/>
      <c r="I197" s="11" t="str">
        <f>VLOOKUP($A197, 'ADP Data'!$C$3:$Q$300, 13, FALSE)</f>
        <v>-</v>
      </c>
      <c r="J197" s="11" t="str">
        <f>VLOOKUP($A197, 'ADP Data'!$C$3:$Q$300, 10, FALSE)</f>
        <v>-</v>
      </c>
      <c r="K197" s="11" t="s">
        <v>36</v>
      </c>
    </row>
    <row r="198" ht="14.25" customHeight="1">
      <c r="A198" s="1" t="s">
        <v>572</v>
      </c>
      <c r="B198" s="11" t="str">
        <f>VLOOKUP($A198, 'ADP Data'!$C$3:$R$300, 2, FALSE)</f>
        <v>KC</v>
      </c>
      <c r="C198" s="11" t="str">
        <f>VLOOKUP($A198, 'ADP Data'!$C$3:$R$300, 16, FALSE)</f>
        <v>DE</v>
      </c>
      <c r="D198" s="11"/>
      <c r="E198" s="11"/>
      <c r="F198" s="11"/>
      <c r="G198" s="11"/>
      <c r="H198" s="11"/>
      <c r="I198" s="11" t="str">
        <f>VLOOKUP($A198, 'ADP Data'!$C$3:$Q$300, 13, FALSE)</f>
        <v>-</v>
      </c>
      <c r="J198" s="11">
        <f>VLOOKUP($A198, 'ADP Data'!$C$3:$Q$300, 10, FALSE)</f>
        <v>173</v>
      </c>
      <c r="K198" s="11">
        <v>173.0</v>
      </c>
    </row>
    <row r="199" ht="14.25" customHeight="1">
      <c r="A199" s="1" t="s">
        <v>538</v>
      </c>
      <c r="B199" s="11" t="str">
        <f>VLOOKUP($A199, 'ADP Data'!$C$3:$R$300, 2, FALSE)</f>
        <v>DET</v>
      </c>
      <c r="C199" s="11" t="str">
        <f>VLOOKUP($A199, 'ADP Data'!$C$3:$R$300, 16, FALSE)</f>
        <v>DE</v>
      </c>
      <c r="D199" s="11"/>
      <c r="E199" s="11"/>
      <c r="F199" s="11"/>
      <c r="G199" s="11"/>
      <c r="H199" s="11"/>
      <c r="I199" s="11" t="str">
        <f>VLOOKUP($A199, 'ADP Data'!$C$3:$Q$300, 13, FALSE)</f>
        <v>-</v>
      </c>
      <c r="J199" s="11">
        <f>VLOOKUP($A199, 'ADP Data'!$C$3:$Q$300, 10, FALSE)</f>
        <v>186</v>
      </c>
      <c r="K199" s="11">
        <v>183.0</v>
      </c>
    </row>
    <row r="200" ht="14.25" customHeight="1">
      <c r="A200" s="1" t="s">
        <v>966</v>
      </c>
      <c r="B200" s="11" t="str">
        <f>VLOOKUP($A200, 'ADP Data'!$C$3:$R$300, 2, FALSE)</f>
        <v>CAR</v>
      </c>
      <c r="C200" s="11" t="str">
        <f>VLOOKUP($A200, 'ADP Data'!$C$3:$R$300, 16, FALSE)</f>
        <v>TE</v>
      </c>
      <c r="D200" s="11"/>
      <c r="E200" s="11"/>
      <c r="F200" s="11"/>
      <c r="G200" s="11"/>
      <c r="H200" s="11"/>
      <c r="I200" s="11">
        <f>VLOOKUP($A200, 'ADP Data'!$C$3:$Q$300, 13, FALSE)</f>
        <v>193</v>
      </c>
      <c r="J200" s="11">
        <f>VLOOKUP($A200, 'ADP Data'!$C$3:$Q$300, 10, FALSE)</f>
        <v>231</v>
      </c>
      <c r="K200" s="11">
        <v>238.0</v>
      </c>
    </row>
    <row r="201" ht="14.25" customHeight="1">
      <c r="A201" s="1" t="s">
        <v>282</v>
      </c>
      <c r="B201" s="11" t="str">
        <f>VLOOKUP($A201, 'ADP Data'!$C$3:$R$300, 2, FALSE)</f>
        <v>LAR</v>
      </c>
      <c r="C201" s="11" t="str">
        <f>VLOOKUP($A201, 'ADP Data'!$C$3:$R$300, 16, FALSE)</f>
        <v>RB</v>
      </c>
      <c r="D201" s="11"/>
      <c r="E201" s="11"/>
      <c r="F201" s="11"/>
      <c r="G201" s="11"/>
      <c r="H201" s="11" t="s">
        <v>1049</v>
      </c>
      <c r="I201" s="11">
        <f>VLOOKUP($A201, 'ADP Data'!$C$3:$Q$300, 13, FALSE)</f>
        <v>210</v>
      </c>
      <c r="J201" s="11">
        <f>VLOOKUP($A201, 'ADP Data'!$C$3:$Q$300, 10, FALSE)</f>
        <v>179</v>
      </c>
      <c r="K201" s="11">
        <v>158.0</v>
      </c>
    </row>
    <row r="202" ht="14.25" customHeight="1">
      <c r="A202" s="1" t="s">
        <v>692</v>
      </c>
      <c r="B202" s="11" t="str">
        <f>VLOOKUP($A202, 'ADP Data'!$C$3:$R$300, 2, FALSE)</f>
        <v>NYJ</v>
      </c>
      <c r="C202" s="11" t="str">
        <f>VLOOKUP($A202, 'ADP Data'!$C$3:$R$300, 16, FALSE)</f>
        <v>TE</v>
      </c>
      <c r="D202" s="11"/>
      <c r="E202" s="11"/>
      <c r="F202" s="11"/>
      <c r="G202" s="11"/>
      <c r="H202" s="11" t="s">
        <v>1094</v>
      </c>
      <c r="I202" s="11">
        <f>VLOOKUP($A202, 'ADP Data'!$C$3:$Q$300, 13, FALSE)</f>
        <v>184</v>
      </c>
      <c r="J202" s="11">
        <f>VLOOKUP($A202, 'ADP Data'!$C$3:$Q$300, 10, FALSE)</f>
        <v>219</v>
      </c>
      <c r="K202" s="11">
        <v>247.0</v>
      </c>
    </row>
    <row r="203" ht="14.25" customHeight="1">
      <c r="A203" s="1" t="s">
        <v>491</v>
      </c>
      <c r="B203" s="11" t="str">
        <f>VLOOKUP($A203, 'ADP Data'!$C$3:$R$300, 2, FALSE)</f>
        <v>SEA</v>
      </c>
      <c r="C203" s="11" t="str">
        <f>VLOOKUP($A203, 'ADP Data'!$C$3:$R$300, 16, FALSE)</f>
        <v>DE</v>
      </c>
      <c r="D203" s="11"/>
      <c r="E203" s="11"/>
      <c r="F203" s="11"/>
      <c r="G203" s="11"/>
      <c r="H203" s="11"/>
      <c r="I203" s="11" t="str">
        <f>VLOOKUP($A203, 'ADP Data'!$C$3:$Q$300, 13, FALSE)</f>
        <v>-</v>
      </c>
      <c r="J203" s="11">
        <f>VLOOKUP($A203, 'ADP Data'!$C$3:$Q$300, 10, FALSE)</f>
        <v>197</v>
      </c>
      <c r="K203" s="11">
        <v>196.0</v>
      </c>
    </row>
    <row r="204" ht="14.25" customHeight="1">
      <c r="A204" s="1" t="s">
        <v>532</v>
      </c>
      <c r="B204" s="11" t="str">
        <f>VLOOKUP($A204, 'ADP Data'!$C$3:$R$300, 2, FALSE)</f>
        <v>LAC</v>
      </c>
      <c r="C204" s="11" t="str">
        <f>VLOOKUP($A204, 'ADP Data'!$C$3:$R$300, 16, FALSE)</f>
        <v>DE</v>
      </c>
      <c r="D204" s="11"/>
      <c r="E204" s="11"/>
      <c r="F204" s="11"/>
      <c r="G204" s="11"/>
      <c r="H204" s="11"/>
      <c r="I204" s="11" t="str">
        <f>VLOOKUP($A204, 'ADP Data'!$C$3:$Q$300, 13, FALSE)</f>
        <v>-</v>
      </c>
      <c r="J204" s="11">
        <f>VLOOKUP($A204, 'ADP Data'!$C$3:$Q$300, 10, FALSE)</f>
        <v>187</v>
      </c>
      <c r="K204" s="11">
        <v>184.0</v>
      </c>
    </row>
    <row r="205" ht="14.25" customHeight="1">
      <c r="A205" s="1" t="s">
        <v>477</v>
      </c>
      <c r="B205" s="11" t="str">
        <f>VLOOKUP($A205, 'ADP Data'!$C$3:$R$300, 2, FALSE)</f>
        <v>IND</v>
      </c>
      <c r="C205" s="11" t="str">
        <f>VLOOKUP($A205, 'ADP Data'!$C$3:$R$300, 16, FALSE)</f>
        <v>WR</v>
      </c>
      <c r="D205" s="11"/>
      <c r="E205" s="11"/>
      <c r="F205" s="11"/>
      <c r="G205" s="11"/>
      <c r="H205" s="11" t="s">
        <v>1052</v>
      </c>
      <c r="I205" s="11">
        <f>VLOOKUP($A205, 'ADP Data'!$C$3:$Q$300, 13, FALSE)</f>
        <v>215</v>
      </c>
      <c r="J205" s="11">
        <f>VLOOKUP($A205, 'ADP Data'!$C$3:$Q$300, 10, FALSE)</f>
        <v>247</v>
      </c>
      <c r="K205" s="11">
        <v>168.0</v>
      </c>
    </row>
    <row r="206" ht="14.25" customHeight="1">
      <c r="A206" s="1" t="s">
        <v>1053</v>
      </c>
      <c r="B206" s="11" t="str">
        <f>VLOOKUP($A206, 'ADP Data'!$C$3:$R$300, 2, FALSE)</f>
        <v>KC</v>
      </c>
      <c r="C206" s="11" t="str">
        <f>VLOOKUP($A206, 'ADP Data'!$C$3:$R$300, 16, FALSE)</f>
        <v>RB</v>
      </c>
      <c r="D206" s="11"/>
      <c r="E206" s="11"/>
      <c r="F206" s="11"/>
      <c r="G206" s="11"/>
      <c r="H206" s="11"/>
      <c r="I206" s="11">
        <f>VLOOKUP($A206, 'ADP Data'!$C$3:$Q$300, 13, FALSE)</f>
        <v>209</v>
      </c>
      <c r="J206" s="11" t="str">
        <f>VLOOKUP($A206, 'ADP Data'!$C$3:$Q$300, 10, FALSE)</f>
        <v>-</v>
      </c>
      <c r="K206" s="11">
        <v>231.0</v>
      </c>
    </row>
    <row r="207" ht="14.25" customHeight="1">
      <c r="A207" s="1" t="s">
        <v>926</v>
      </c>
      <c r="B207" s="11" t="str">
        <f>VLOOKUP($A207, 'ADP Data'!$C$3:$R$300, 2, FALSE)</f>
        <v>PIT</v>
      </c>
      <c r="C207" s="11" t="str">
        <f>VLOOKUP($A207, 'ADP Data'!$C$3:$R$300, 16, FALSE)</f>
        <v>WR</v>
      </c>
      <c r="D207" s="11"/>
      <c r="E207" s="11"/>
      <c r="F207" s="11"/>
      <c r="G207" s="11"/>
      <c r="H207" s="11"/>
      <c r="I207" s="11">
        <f>VLOOKUP($A207, 'ADP Data'!$C$3:$Q$300, 13, FALSE)</f>
        <v>220</v>
      </c>
      <c r="J207" s="11">
        <f>VLOOKUP($A207, 'ADP Data'!$C$3:$Q$300, 10, FALSE)</f>
        <v>237</v>
      </c>
      <c r="K207" s="11" t="e">
        <v>#N/A</v>
      </c>
    </row>
    <row r="208" ht="14.25" customHeight="1">
      <c r="A208" s="1" t="s">
        <v>869</v>
      </c>
      <c r="B208" s="11" t="str">
        <f>VLOOKUP($A208, 'ADP Data'!$C$3:$R$300, 2, FALSE)</f>
        <v>BAL</v>
      </c>
      <c r="C208" s="11" t="str">
        <f>VLOOKUP($A208, 'ADP Data'!$C$3:$R$300, 16, FALSE)</f>
        <v>WR</v>
      </c>
      <c r="D208" s="11"/>
      <c r="E208" s="11"/>
      <c r="F208" s="11"/>
      <c r="G208" s="11"/>
      <c r="H208" s="11"/>
      <c r="I208" s="11">
        <f>VLOOKUP($A208, 'ADP Data'!$C$3:$Q$300, 13, FALSE)</f>
        <v>206</v>
      </c>
      <c r="J208" s="11">
        <f>VLOOKUP($A208, 'ADP Data'!$C$3:$Q$300, 10, FALSE)</f>
        <v>243</v>
      </c>
      <c r="K208" s="11">
        <v>229.0</v>
      </c>
    </row>
    <row r="209" ht="14.25" customHeight="1">
      <c r="A209" s="1" t="s">
        <v>564</v>
      </c>
      <c r="B209" s="11" t="str">
        <f>VLOOKUP($A209, 'ADP Data'!$C$3:$R$300, 2, FALSE)</f>
        <v>GB</v>
      </c>
      <c r="C209" s="11" t="str">
        <f>VLOOKUP($A209, 'ADP Data'!$C$3:$R$300, 16, FALSE)</f>
        <v>DE</v>
      </c>
      <c r="D209" s="11"/>
      <c r="E209" s="11"/>
      <c r="F209" s="11"/>
      <c r="G209" s="11"/>
      <c r="H209" s="11"/>
      <c r="I209" s="11" t="str">
        <f>VLOOKUP($A209, 'ADP Data'!$C$3:$Q$300, 13, FALSE)</f>
        <v>-</v>
      </c>
      <c r="J209" s="11">
        <f>VLOOKUP($A209, 'ADP Data'!$C$3:$Q$300, 10, FALSE)</f>
        <v>220</v>
      </c>
      <c r="K209" s="11">
        <v>220.0</v>
      </c>
    </row>
    <row r="210" ht="14.25" customHeight="1">
      <c r="A210" s="1" t="s">
        <v>1093</v>
      </c>
      <c r="B210" s="11" t="str">
        <f>VLOOKUP($A210, 'ADP Data'!$C$3:$R$300, 2, FALSE)</f>
        <v>KC</v>
      </c>
      <c r="C210" s="11" t="str">
        <f>VLOOKUP($A210, 'ADP Data'!$C$3:$R$300, 16, FALSE)</f>
        <v>WR</v>
      </c>
      <c r="D210" s="11"/>
      <c r="E210" s="11"/>
      <c r="F210" s="11"/>
      <c r="G210" s="11"/>
      <c r="H210" s="11"/>
      <c r="I210" s="11">
        <f>VLOOKUP($A210, 'ADP Data'!$C$3:$Q$300, 13, FALSE)</f>
        <v>239</v>
      </c>
      <c r="J210" s="11">
        <f>VLOOKUP($A210, 'ADP Data'!$C$3:$Q$300, 10, FALSE)</f>
        <v>213</v>
      </c>
      <c r="K210" s="11">
        <v>169.0</v>
      </c>
    </row>
    <row r="211" ht="14.25" customHeight="1">
      <c r="A211" s="1" t="s">
        <v>808</v>
      </c>
      <c r="B211" s="11" t="str">
        <f>VLOOKUP($A211, 'ADP Data'!$C$3:$R$300, 2, FALSE)</f>
        <v>IND</v>
      </c>
      <c r="C211" s="11" t="str">
        <f>VLOOKUP($A211, 'ADP Data'!$C$3:$R$300, 16, FALSE)</f>
        <v>RB</v>
      </c>
      <c r="D211" s="11"/>
      <c r="E211" s="11"/>
      <c r="F211" s="11" t="s">
        <v>903</v>
      </c>
      <c r="G211" s="11"/>
      <c r="H211" s="11" t="s">
        <v>1055</v>
      </c>
      <c r="I211" s="11">
        <f>VLOOKUP($A211, 'ADP Data'!$C$3:$Q$300, 13, FALSE)</f>
        <v>189</v>
      </c>
      <c r="J211" s="11">
        <f>VLOOKUP($A211, 'ADP Data'!$C$3:$Q$300, 10, FALSE)</f>
        <v>202</v>
      </c>
      <c r="K211" s="11">
        <v>223.0</v>
      </c>
    </row>
    <row r="212" ht="14.25" customHeight="1">
      <c r="A212" s="1" t="s">
        <v>420</v>
      </c>
      <c r="B212" s="11" t="str">
        <f>VLOOKUP($A212, 'ADP Data'!$C$3:$R$300, 2, FALSE)</f>
        <v>HOU</v>
      </c>
      <c r="C212" s="11" t="str">
        <f>VLOOKUP($A212, 'ADP Data'!$C$3:$R$300, 16, FALSE)</f>
        <v>TE</v>
      </c>
      <c r="D212" s="11"/>
      <c r="E212" s="11"/>
      <c r="F212" s="11"/>
      <c r="G212" s="11"/>
      <c r="H212" s="11"/>
      <c r="I212" s="11">
        <f>VLOOKUP($A212, 'ADP Data'!$C$3:$Q$300, 13, FALSE)</f>
        <v>223</v>
      </c>
      <c r="J212" s="11">
        <f>VLOOKUP($A212, 'ADP Data'!$C$3:$Q$300, 10, FALSE)</f>
        <v>230</v>
      </c>
      <c r="K212" s="11" t="s">
        <v>36</v>
      </c>
    </row>
    <row r="213" ht="14.25" customHeight="1">
      <c r="A213" s="1" t="s">
        <v>921</v>
      </c>
      <c r="B213" s="11" t="str">
        <f>VLOOKUP($A213, 'ADP Data'!$C$3:$R$300, 2, FALSE)</f>
        <v>NYG</v>
      </c>
      <c r="C213" s="11" t="str">
        <f>VLOOKUP($A213, 'ADP Data'!$C$3:$R$300, 16, FALSE)</f>
        <v>QB</v>
      </c>
      <c r="D213" s="11"/>
      <c r="E213" s="11"/>
      <c r="F213" s="11"/>
      <c r="G213" s="11"/>
      <c r="H213" s="11"/>
      <c r="I213" s="11">
        <f>VLOOKUP($A213, 'ADP Data'!$C$3:$Q$300, 13, FALSE)</f>
        <v>232</v>
      </c>
      <c r="J213" s="11" t="str">
        <f>VLOOKUP($A213, 'ADP Data'!$C$3:$Q$300, 10, FALSE)</f>
        <v>-</v>
      </c>
      <c r="K213" s="11" t="s">
        <v>36</v>
      </c>
    </row>
    <row r="214" ht="14.25" customHeight="1">
      <c r="A214" s="1" t="s">
        <v>993</v>
      </c>
      <c r="B214" s="11" t="str">
        <f>VLOOKUP($A214, 'ADP Data'!$C$3:$R$300, 2, FALSE)</f>
        <v>LAR</v>
      </c>
      <c r="C214" s="11" t="str">
        <f>VLOOKUP($A214, 'ADP Data'!$C$3:$R$300, 16, FALSE)</f>
        <v>TE</v>
      </c>
      <c r="D214" s="11"/>
      <c r="E214" s="11"/>
      <c r="F214" s="11"/>
      <c r="G214" s="11"/>
      <c r="H214" s="11"/>
      <c r="I214" s="11">
        <f>VLOOKUP($A214, 'ADP Data'!$C$3:$Q$300, 13, FALSE)</f>
        <v>242</v>
      </c>
      <c r="J214" s="11" t="str">
        <f>VLOOKUP($A214, 'ADP Data'!$C$3:$Q$300, 10, FALSE)</f>
        <v>-</v>
      </c>
      <c r="K214" s="11">
        <v>211.0</v>
      </c>
    </row>
    <row r="215" ht="14.25" customHeight="1">
      <c r="A215" s="1" t="s">
        <v>969</v>
      </c>
      <c r="B215" s="11" t="str">
        <f>VLOOKUP($A215, 'ADP Data'!$C$3:$R$300, 2, FALSE)</f>
        <v>DAL</v>
      </c>
      <c r="C215" s="11" t="str">
        <f>VLOOKUP($A215, 'ADP Data'!$C$3:$R$300, 16, FALSE)</f>
        <v>RB</v>
      </c>
      <c r="D215" s="11"/>
      <c r="E215" s="11"/>
      <c r="F215" s="11"/>
      <c r="G215" s="11"/>
      <c r="H215" s="11"/>
      <c r="I215" s="11">
        <f>VLOOKUP($A215, 'ADP Data'!$C$3:$Q$300, 13, FALSE)</f>
        <v>245</v>
      </c>
      <c r="J215" s="11">
        <f>VLOOKUP($A215, 'ADP Data'!$C$3:$Q$300, 10, FALSE)</f>
        <v>215</v>
      </c>
      <c r="K215" s="11">
        <v>232.0</v>
      </c>
    </row>
    <row r="216" ht="14.25" customHeight="1">
      <c r="A216" s="1" t="s">
        <v>487</v>
      </c>
      <c r="B216" s="11" t="str">
        <f>VLOOKUP($A216, 'ADP Data'!$C$3:$R$300, 2, FALSE)</f>
        <v>LAR</v>
      </c>
      <c r="C216" s="11" t="str">
        <f>VLOOKUP($A216, 'ADP Data'!$C$3:$R$300, 16, FALSE)</f>
        <v>DE</v>
      </c>
      <c r="D216" s="11"/>
      <c r="E216" s="11"/>
      <c r="F216" s="11"/>
      <c r="G216" s="11"/>
      <c r="H216" s="11"/>
      <c r="I216" s="11" t="str">
        <f>VLOOKUP($A216, 'ADP Data'!$C$3:$Q$300, 13, FALSE)</f>
        <v>-</v>
      </c>
      <c r="J216" s="11">
        <f>VLOOKUP($A216, 'ADP Data'!$C$3:$Q$300, 10, FALSE)</f>
        <v>212</v>
      </c>
      <c r="K216" s="11">
        <v>214.0</v>
      </c>
    </row>
    <row r="217" ht="14.25" customHeight="1">
      <c r="A217" s="1" t="s">
        <v>925</v>
      </c>
      <c r="B217" s="11" t="str">
        <f>VLOOKUP($A217, 'ADP Data'!$C$3:$R$300, 2, FALSE)</f>
        <v>NO</v>
      </c>
      <c r="C217" s="11" t="str">
        <f>VLOOKUP($A217, 'ADP Data'!$C$3:$R$300, 16, FALSE)</f>
        <v>RB</v>
      </c>
      <c r="D217" s="11"/>
      <c r="E217" s="11"/>
      <c r="F217" s="11"/>
      <c r="G217" s="11"/>
      <c r="H217" s="11"/>
      <c r="I217" s="11">
        <f>VLOOKUP($A217, 'ADP Data'!$C$3:$Q$300, 13, FALSE)</f>
        <v>205</v>
      </c>
      <c r="J217" s="11">
        <f>VLOOKUP($A217, 'ADP Data'!$C$3:$Q$300, 10, FALSE)</f>
        <v>227</v>
      </c>
      <c r="K217" s="11">
        <v>205.0</v>
      </c>
    </row>
    <row r="218" ht="14.25" customHeight="1">
      <c r="A218" s="1" t="s">
        <v>296</v>
      </c>
      <c r="B218" s="11" t="str">
        <f>VLOOKUP($A218, 'ADP Data'!$C$3:$R$300, 2, FALSE)</f>
        <v>NYG</v>
      </c>
      <c r="C218" s="11" t="str">
        <f>VLOOKUP($A218, 'ADP Data'!$C$3:$R$300, 16, FALSE)</f>
        <v>QB</v>
      </c>
      <c r="D218" s="11"/>
      <c r="E218" s="11"/>
      <c r="F218" s="11"/>
      <c r="G218" s="11"/>
      <c r="H218" s="11"/>
      <c r="I218" s="11">
        <f>VLOOKUP($A218, 'ADP Data'!$C$3:$Q$300, 13, FALSE)</f>
        <v>202</v>
      </c>
      <c r="J218" s="11" t="str">
        <f>VLOOKUP($A218, 'ADP Data'!$C$3:$Q$300, 10, FALSE)</f>
        <v>-</v>
      </c>
      <c r="K218" s="11" t="s">
        <v>36</v>
      </c>
    </row>
    <row r="219" ht="14.25" customHeight="1">
      <c r="A219" s="1" t="s">
        <v>387</v>
      </c>
      <c r="B219" s="11" t="str">
        <f>VLOOKUP($A219, 'ADP Data'!$C$3:$R$300, 2, FALSE)</f>
        <v>BAL</v>
      </c>
      <c r="C219" s="11" t="str">
        <f>VLOOKUP($A219, 'ADP Data'!$C$3:$R$300, 16, FALSE)</f>
        <v>RB</v>
      </c>
      <c r="D219" s="11"/>
      <c r="E219" s="11" t="s">
        <v>106</v>
      </c>
      <c r="F219" s="11" t="s">
        <v>885</v>
      </c>
      <c r="G219" s="11">
        <v>52.0</v>
      </c>
      <c r="H219" s="11" t="s">
        <v>1097</v>
      </c>
      <c r="I219" s="11">
        <f>VLOOKUP($A219, 'ADP Data'!$C$3:$Q$300, 13, FALSE)</f>
        <v>183</v>
      </c>
      <c r="J219" s="11">
        <f>VLOOKUP($A219, 'ADP Data'!$C$3:$Q$300, 10, FALSE)</f>
        <v>205</v>
      </c>
      <c r="K219" s="11" t="s">
        <v>36</v>
      </c>
    </row>
    <row r="220" ht="14.25" customHeight="1">
      <c r="A220" s="1" t="s">
        <v>886</v>
      </c>
      <c r="B220" s="11" t="str">
        <f>VLOOKUP($A220, 'ADP Data'!$C$3:$R$300, 2, FALSE)</f>
        <v>NYJ</v>
      </c>
      <c r="C220" s="11" t="str">
        <f>VLOOKUP($A220, 'ADP Data'!$C$3:$R$300, 16, FALSE)</f>
        <v>DE</v>
      </c>
      <c r="D220" s="11"/>
      <c r="E220" s="11"/>
      <c r="F220" s="11"/>
      <c r="G220" s="11"/>
      <c r="H220" s="11"/>
      <c r="I220" s="11" t="str">
        <f>VLOOKUP($A220, 'ADP Data'!$C$3:$Q$300, 13, FALSE)</f>
        <v>-</v>
      </c>
      <c r="J220" s="11">
        <f>VLOOKUP($A220, 'ADP Data'!$C$3:$Q$300, 10, FALSE)</f>
        <v>194</v>
      </c>
      <c r="K220" s="11">
        <v>194.0</v>
      </c>
    </row>
    <row r="221" ht="14.25" customHeight="1">
      <c r="A221" s="1" t="s">
        <v>536</v>
      </c>
      <c r="B221" s="11" t="str">
        <f>VLOOKUP($A221, 'ADP Data'!$C$3:$R$300, 2, FALSE)</f>
        <v>DEN</v>
      </c>
      <c r="C221" s="11" t="str">
        <f>VLOOKUP($A221, 'ADP Data'!$C$3:$R$300, 16, FALSE)</f>
        <v>WR</v>
      </c>
      <c r="D221" s="11"/>
      <c r="E221" s="11"/>
      <c r="F221" s="11"/>
      <c r="G221" s="11"/>
      <c r="H221" s="11" t="s">
        <v>1095</v>
      </c>
      <c r="I221" s="11">
        <f>VLOOKUP($A221, 'ADP Data'!$C$3:$Q$300, 13, FALSE)</f>
        <v>178</v>
      </c>
      <c r="J221" s="11">
        <f>VLOOKUP($A221, 'ADP Data'!$C$3:$Q$300, 10, FALSE)</f>
        <v>208</v>
      </c>
      <c r="K221" s="11">
        <v>221.0</v>
      </c>
    </row>
    <row r="222" ht="14.25" customHeight="1">
      <c r="A222" s="1" t="s">
        <v>588</v>
      </c>
      <c r="B222" s="11" t="str">
        <f>VLOOKUP($A222, 'ADP Data'!$C$3:$R$300, 2, FALSE)</f>
        <v>DAL</v>
      </c>
      <c r="C222" s="11" t="str">
        <f>VLOOKUP($A222, 'ADP Data'!$C$3:$R$300, 16, FALSE)</f>
        <v>DE</v>
      </c>
      <c r="D222" s="11"/>
      <c r="E222" s="11"/>
      <c r="F222" s="11"/>
      <c r="G222" s="11"/>
      <c r="H222" s="11"/>
      <c r="I222" s="11" t="str">
        <f>VLOOKUP($A222, 'ADP Data'!$C$3:$Q$300, 13, FALSE)</f>
        <v>-</v>
      </c>
      <c r="J222" s="11">
        <f>VLOOKUP($A222, 'ADP Data'!$C$3:$Q$300, 10, FALSE)</f>
        <v>240</v>
      </c>
      <c r="K222" s="11">
        <v>246.0</v>
      </c>
    </row>
    <row r="223" ht="14.25" customHeight="1">
      <c r="A223" s="1" t="s">
        <v>290</v>
      </c>
      <c r="B223" s="11" t="str">
        <f>VLOOKUP($A223, 'ADP Data'!$C$3:$R$300, 2, FALSE)</f>
        <v>IND</v>
      </c>
      <c r="C223" s="11" t="str">
        <f>VLOOKUP($A223, 'ADP Data'!$C$3:$R$300, 16, FALSE)</f>
        <v>WR</v>
      </c>
      <c r="D223" s="11"/>
      <c r="E223" s="11"/>
      <c r="F223" s="11"/>
      <c r="G223" s="11"/>
      <c r="H223" s="11"/>
      <c r="I223" s="11">
        <f>VLOOKUP($A223, 'ADP Data'!$C$3:$Q$300, 13, FALSE)</f>
        <v>204</v>
      </c>
      <c r="J223" s="11">
        <f>VLOOKUP($A223, 'ADP Data'!$C$3:$Q$300, 10, FALSE)</f>
        <v>210</v>
      </c>
      <c r="K223" s="11" t="s">
        <v>36</v>
      </c>
    </row>
    <row r="224" ht="14.25" customHeight="1">
      <c r="A224" s="1" t="s">
        <v>1098</v>
      </c>
      <c r="B224" s="11" t="str">
        <f>VLOOKUP($A224, 'ADP Data'!$C$3:$R$300, 2, FALSE)</f>
        <v>JAX</v>
      </c>
      <c r="C224" s="11" t="str">
        <f>VLOOKUP($A224, 'ADP Data'!$C$3:$R$300, 16, FALSE)</f>
        <v>WR</v>
      </c>
      <c r="D224" s="11"/>
      <c r="E224" s="11"/>
      <c r="F224" s="11"/>
      <c r="G224" s="11"/>
      <c r="H224" s="11"/>
      <c r="I224" s="11">
        <f>VLOOKUP($A224, 'ADP Data'!$C$3:$Q$300, 13, FALSE)</f>
        <v>197</v>
      </c>
      <c r="J224" s="11" t="str">
        <f>VLOOKUP($A224, 'ADP Data'!$C$3:$Q$300, 10, FALSE)</f>
        <v>-</v>
      </c>
      <c r="K224" s="11">
        <v>244.0</v>
      </c>
    </row>
    <row r="225" ht="14.25" customHeight="1">
      <c r="A225" s="1" t="s">
        <v>273</v>
      </c>
      <c r="B225" s="11" t="str">
        <f>VLOOKUP($A225, 'ADP Data'!$C$3:$R$300, 2, FALSE)</f>
        <v>ARI</v>
      </c>
      <c r="C225" s="11" t="str">
        <f>VLOOKUP($A225, 'ADP Data'!$C$3:$R$300, 16, FALSE)</f>
        <v>WR</v>
      </c>
      <c r="D225" s="11"/>
      <c r="E225" s="11"/>
      <c r="F225" s="11"/>
      <c r="G225" s="11"/>
      <c r="H225" s="11"/>
      <c r="I225" s="11">
        <f>VLOOKUP($A225, 'ADP Data'!$C$3:$Q$300, 13, FALSE)</f>
        <v>195</v>
      </c>
      <c r="J225" s="11">
        <f>VLOOKUP($A225, 'ADP Data'!$C$3:$Q$300, 10, FALSE)</f>
        <v>241</v>
      </c>
      <c r="K225" s="11">
        <v>206.0</v>
      </c>
    </row>
    <row r="226" ht="14.25" customHeight="1">
      <c r="A226" s="1" t="s">
        <v>827</v>
      </c>
      <c r="B226" s="11" t="str">
        <f>VLOOKUP($A226, 'ADP Data'!$C$3:$R$300, 2, FALSE)</f>
        <v>NYG</v>
      </c>
      <c r="C226" s="11" t="str">
        <f>VLOOKUP($A226, 'ADP Data'!$C$3:$R$300, 16, FALSE)</f>
        <v>TE</v>
      </c>
      <c r="D226" s="11"/>
      <c r="E226" s="11"/>
      <c r="F226" s="11"/>
      <c r="G226" s="11"/>
      <c r="H226" s="11"/>
      <c r="I226" s="11">
        <f>VLOOKUP($A226, 'ADP Data'!$C$3:$Q$300, 13, FALSE)</f>
        <v>203</v>
      </c>
      <c r="J226" s="11">
        <f>VLOOKUP($A226, 'ADP Data'!$C$3:$Q$300, 10, FALSE)</f>
        <v>200</v>
      </c>
      <c r="K226" s="11" t="s">
        <v>36</v>
      </c>
    </row>
    <row r="227" ht="14.25" customHeight="1">
      <c r="A227" s="1" t="s">
        <v>819</v>
      </c>
      <c r="B227" s="11" t="str">
        <f>VLOOKUP($A227, 'ADP Data'!$C$3:$R$300, 2, FALSE)</f>
        <v>LV</v>
      </c>
      <c r="C227" s="11" t="str">
        <f>VLOOKUP($A227, 'ADP Data'!$C$3:$R$300, 16, FALSE)</f>
        <v>RB</v>
      </c>
      <c r="D227" s="11"/>
      <c r="E227" s="11"/>
      <c r="F227" s="11"/>
      <c r="G227" s="11"/>
      <c r="H227" s="11"/>
      <c r="I227" s="11">
        <f>VLOOKUP($A227, 'ADP Data'!$C$3:$Q$300, 13, FALSE)</f>
        <v>252</v>
      </c>
      <c r="J227" s="11" t="str">
        <f>VLOOKUP($A227, 'ADP Data'!$C$3:$Q$300, 10, FALSE)</f>
        <v>-</v>
      </c>
      <c r="K227" s="11" t="s">
        <v>36</v>
      </c>
    </row>
    <row r="228" ht="14.25" customHeight="1">
      <c r="A228" s="1" t="s">
        <v>1099</v>
      </c>
      <c r="B228" s="11" t="str">
        <f>VLOOKUP($A228, 'ADP Data'!$C$3:$R$300, 2, FALSE)</f>
        <v>LV</v>
      </c>
      <c r="C228" s="11" t="str">
        <f>VLOOKUP($A228, 'ADP Data'!$C$3:$R$300, 16, FALSE)</f>
        <v>WR</v>
      </c>
      <c r="D228" s="11"/>
      <c r="E228" s="11" t="s">
        <v>106</v>
      </c>
      <c r="F228" s="11" t="s">
        <v>1100</v>
      </c>
      <c r="G228" s="11"/>
      <c r="H228" s="11" t="s">
        <v>1101</v>
      </c>
      <c r="I228" s="11">
        <f>VLOOKUP($A228, 'ADP Data'!$C$3:$Q$300, 13, FALSE)</f>
        <v>157</v>
      </c>
      <c r="J228" s="11">
        <f>VLOOKUP($A228, 'ADP Data'!$C$3:$Q$300, 10, FALSE)</f>
        <v>211</v>
      </c>
      <c r="K228" s="11" t="s">
        <v>36</v>
      </c>
    </row>
    <row r="229" ht="14.25" customHeight="1">
      <c r="A229" s="1" t="s">
        <v>811</v>
      </c>
      <c r="B229" s="11" t="str">
        <f>VLOOKUP($A229, 'ADP Data'!$C$3:$R$300, 2, FALSE)</f>
        <v>CHI</v>
      </c>
      <c r="C229" s="11" t="str">
        <f>VLOOKUP($A229, 'ADP Data'!$C$3:$R$300, 16, FALSE)</f>
        <v>TE</v>
      </c>
      <c r="D229" s="11"/>
      <c r="E229" s="11"/>
      <c r="F229" s="11"/>
      <c r="G229" s="11"/>
      <c r="H229" s="11"/>
      <c r="I229" s="11">
        <f>VLOOKUP($A229, 'ADP Data'!$C$3:$Q$300, 13, FALSE)</f>
        <v>249</v>
      </c>
      <c r="J229" s="11" t="str">
        <f>VLOOKUP($A229, 'ADP Data'!$C$3:$Q$300, 10, FALSE)</f>
        <v>-</v>
      </c>
      <c r="K229" s="11" t="s">
        <v>36</v>
      </c>
    </row>
    <row r="230" ht="14.25" customHeight="1">
      <c r="A230" s="1" t="s">
        <v>684</v>
      </c>
      <c r="B230" s="11" t="str">
        <f>VLOOKUP($A230, 'ADP Data'!$C$3:$R$300, 2, FALSE)</f>
        <v>SEA</v>
      </c>
      <c r="C230" s="11" t="str">
        <f>VLOOKUP($A230, 'ADP Data'!$C$3:$R$300, 16, FALSE)</f>
        <v>WR</v>
      </c>
      <c r="D230" s="11"/>
      <c r="E230" s="11"/>
      <c r="F230" s="11"/>
      <c r="G230" s="11"/>
      <c r="H230" s="11"/>
      <c r="I230" s="11">
        <f>VLOOKUP($A230, 'ADP Data'!$C$3:$Q$300, 13, FALSE)</f>
        <v>174</v>
      </c>
      <c r="J230" s="11">
        <f>VLOOKUP($A230, 'ADP Data'!$C$3:$Q$300, 10, FALSE)</f>
        <v>195</v>
      </c>
      <c r="K230" s="11">
        <v>193.0</v>
      </c>
    </row>
    <row r="231" ht="14.25" customHeight="1">
      <c r="A231" s="1" t="s">
        <v>606</v>
      </c>
      <c r="B231" s="11" t="str">
        <f>VLOOKUP($A231, 'ADP Data'!$C$3:$R$300, 2, FALSE)</f>
        <v>BAL</v>
      </c>
      <c r="C231" s="11" t="str">
        <f>VLOOKUP($A231, 'ADP Data'!$C$3:$R$300, 16, FALSE)</f>
        <v>RB</v>
      </c>
      <c r="D231" s="11"/>
      <c r="E231" s="11"/>
      <c r="F231" s="11"/>
      <c r="G231" s="11"/>
      <c r="H231" s="11"/>
      <c r="I231" s="11">
        <f>VLOOKUP($A231, 'ADP Data'!$C$3:$Q$300, 13, FALSE)</f>
        <v>221</v>
      </c>
      <c r="J231" s="11" t="str">
        <f>VLOOKUP($A231, 'ADP Data'!$C$3:$Q$300, 10, FALSE)</f>
        <v>-</v>
      </c>
      <c r="K231" s="11">
        <v>227.0</v>
      </c>
    </row>
    <row r="232" ht="14.25" customHeight="1">
      <c r="A232" s="1" t="s">
        <v>595</v>
      </c>
      <c r="B232" s="11" t="str">
        <f>VLOOKUP($A232, 'ADP Data'!$C$3:$R$300, 2, FALSE)</f>
        <v>CLE</v>
      </c>
      <c r="C232" s="11" t="str">
        <f>VLOOKUP($A232, 'ADP Data'!$C$3:$R$300, 16, FALSE)</f>
        <v>QB</v>
      </c>
      <c r="D232" s="11"/>
      <c r="E232" s="11"/>
      <c r="F232" s="11"/>
      <c r="G232" s="11"/>
      <c r="H232" s="11"/>
      <c r="I232" s="11">
        <f>VLOOKUP($A232, 'ADP Data'!$C$3:$Q$300, 13, FALSE)</f>
        <v>276</v>
      </c>
      <c r="J232" s="11" t="str">
        <f>VLOOKUP($A232, 'ADP Data'!$C$3:$Q$300, 10, FALSE)</f>
        <v>-</v>
      </c>
      <c r="K232" s="11" t="s">
        <v>36</v>
      </c>
    </row>
    <row r="233" ht="14.25" customHeight="1">
      <c r="A233" s="1" t="s">
        <v>543</v>
      </c>
      <c r="B233" s="11" t="str">
        <f>VLOOKUP($A233, 'ADP Data'!$C$3:$R$300, 2, FALSE)</f>
        <v>DAL</v>
      </c>
      <c r="C233" s="11" t="str">
        <f>VLOOKUP($A233, 'ADP Data'!$C$3:$R$300, 16, FALSE)</f>
        <v>K-</v>
      </c>
      <c r="D233" s="11"/>
      <c r="E233" s="11"/>
      <c r="F233" s="11"/>
      <c r="G233" s="11"/>
      <c r="H233" s="11"/>
      <c r="I233" s="11" t="str">
        <f>VLOOKUP($A233, 'ADP Data'!$C$3:$Q$300, 13, FALSE)</f>
        <v>-</v>
      </c>
      <c r="J233" s="11">
        <f>VLOOKUP($A233, 'ADP Data'!$C$3:$Q$300, 10, FALSE)</f>
        <v>181</v>
      </c>
      <c r="K233" s="11">
        <v>180.0</v>
      </c>
    </row>
    <row r="234" ht="14.25" customHeight="1">
      <c r="A234" s="1" t="s">
        <v>830</v>
      </c>
      <c r="B234" s="11" t="str">
        <f>VLOOKUP($A234, 'ADP Data'!$C$3:$R$300, 2, FALSE)</f>
        <v>NYG</v>
      </c>
      <c r="C234" s="11" t="str">
        <f>VLOOKUP($A234, 'ADP Data'!$C$3:$R$300, 16, FALSE)</f>
        <v>WR</v>
      </c>
      <c r="D234" s="11"/>
      <c r="E234" s="11"/>
      <c r="F234" s="11"/>
      <c r="G234" s="11"/>
      <c r="H234" s="11"/>
      <c r="I234" s="11">
        <f>VLOOKUP($A234, 'ADP Data'!$C$3:$Q$300, 13, FALSE)</f>
        <v>188</v>
      </c>
      <c r="J234" s="11" t="str">
        <f>VLOOKUP($A234, 'ADP Data'!$C$3:$Q$300, 10, FALSE)</f>
        <v>-</v>
      </c>
      <c r="K234" s="11">
        <v>191.0</v>
      </c>
    </row>
    <row r="235" ht="14.25" customHeight="1">
      <c r="A235" s="1" t="s">
        <v>974</v>
      </c>
      <c r="B235" s="11" t="str">
        <f>VLOOKUP($A235, 'ADP Data'!$C$3:$R$300, 2, FALSE)</f>
        <v>KC</v>
      </c>
      <c r="C235" s="11" t="str">
        <f>VLOOKUP($A235, 'ADP Data'!$C$3:$R$300, 16, FALSE)</f>
        <v>TE</v>
      </c>
      <c r="D235" s="11"/>
      <c r="E235" s="11"/>
      <c r="F235" s="11"/>
      <c r="G235" s="11"/>
      <c r="H235" s="11"/>
      <c r="I235" s="11">
        <f>VLOOKUP($A235, 'ADP Data'!$C$3:$Q$300, 13, FALSE)</f>
        <v>246</v>
      </c>
      <c r="J235" s="11" t="str">
        <f>VLOOKUP($A235, 'ADP Data'!$C$3:$Q$300, 10, FALSE)</f>
        <v>-</v>
      </c>
      <c r="K235" s="11" t="s">
        <v>36</v>
      </c>
    </row>
    <row r="236" ht="14.25" customHeight="1">
      <c r="A236" s="1" t="s">
        <v>820</v>
      </c>
      <c r="B236" s="11" t="str">
        <f>VLOOKUP($A236, 'ADP Data'!$C$3:$R$300, 2, FALSE)</f>
        <v>TEN</v>
      </c>
      <c r="C236" s="11" t="str">
        <f>VLOOKUP($A236, 'ADP Data'!$C$3:$R$300, 16, FALSE)</f>
        <v>WR</v>
      </c>
      <c r="D236" s="11"/>
      <c r="E236" s="11"/>
      <c r="F236" s="11"/>
      <c r="G236" s="11"/>
      <c r="H236" s="11"/>
      <c r="I236" s="11">
        <f>VLOOKUP($A236, 'ADP Data'!$C$3:$Q$300, 13, FALSE)</f>
        <v>180</v>
      </c>
      <c r="J236" s="11">
        <f>VLOOKUP($A236, 'ADP Data'!$C$3:$Q$300, 10, FALSE)</f>
        <v>209</v>
      </c>
      <c r="K236" s="11" t="s">
        <v>36</v>
      </c>
    </row>
    <row r="237" ht="14.25" customHeight="1">
      <c r="A237" s="1" t="s">
        <v>1048</v>
      </c>
      <c r="B237" s="11" t="str">
        <f>VLOOKUP($A237, 'ADP Data'!$C$3:$R$300, 2, FALSE)</f>
        <v>KC</v>
      </c>
      <c r="C237" s="11" t="str">
        <f>VLOOKUP($A237, 'ADP Data'!$C$3:$R$300, 16, FALSE)</f>
        <v>RB</v>
      </c>
      <c r="D237" s="11"/>
      <c r="E237" s="11"/>
      <c r="F237" s="11"/>
      <c r="G237" s="11"/>
      <c r="H237" s="11"/>
      <c r="I237" s="11">
        <f>VLOOKUP($A237, 'ADP Data'!$C$3:$Q$300, 13, FALSE)</f>
        <v>212</v>
      </c>
      <c r="J237" s="11">
        <f>VLOOKUP($A237, 'ADP Data'!$C$3:$Q$300, 10, FALSE)</f>
        <v>232</v>
      </c>
      <c r="K237" s="11">
        <v>202.0</v>
      </c>
    </row>
    <row r="238" ht="14.25" customHeight="1">
      <c r="A238" s="1" t="s">
        <v>576</v>
      </c>
      <c r="B238" s="11" t="str">
        <f>VLOOKUP($A238, 'ADP Data'!$C$3:$R$300, 2, FALSE)</f>
        <v>#N/A</v>
      </c>
      <c r="C238" s="11" t="str">
        <f>VLOOKUP($A238, 'ADP Data'!$C$3:$R$300, 16, FALSE)</f>
        <v>#N/A</v>
      </c>
      <c r="D238" s="11"/>
      <c r="E238" s="11"/>
      <c r="F238" s="11"/>
      <c r="G238" s="11"/>
      <c r="H238" s="11" t="s">
        <v>1051</v>
      </c>
      <c r="I238" s="11" t="str">
        <f>VLOOKUP($A238, 'ADP Data'!$C$3:$Q$300, 13, FALSE)</f>
        <v>#N/A</v>
      </c>
      <c r="J238" s="11" t="str">
        <f>VLOOKUP($A238, 'ADP Data'!$C$3:$Q$300, 10, FALSE)</f>
        <v>#N/A</v>
      </c>
      <c r="K238" s="11">
        <v>243.0</v>
      </c>
    </row>
    <row r="239" ht="14.25" customHeight="1">
      <c r="A239" s="1" t="s">
        <v>657</v>
      </c>
      <c r="B239" s="11" t="str">
        <f>VLOOKUP($A239, 'ADP Data'!$C$3:$R$300, 2, FALSE)</f>
        <v>#N/A</v>
      </c>
      <c r="C239" s="11" t="str">
        <f>VLOOKUP($A239, 'ADP Data'!$C$3:$R$300, 16, FALSE)</f>
        <v>#N/A</v>
      </c>
      <c r="D239" s="11"/>
      <c r="E239" s="11"/>
      <c r="F239" s="11"/>
      <c r="G239" s="11"/>
      <c r="H239" s="11"/>
      <c r="I239" s="11" t="str">
        <f>VLOOKUP($A239, 'ADP Data'!$C$3:$Q$300, 13, FALSE)</f>
        <v>#N/A</v>
      </c>
      <c r="J239" s="11" t="str">
        <f>VLOOKUP($A239, 'ADP Data'!$C$3:$Q$300, 10, FALSE)</f>
        <v>#N/A</v>
      </c>
      <c r="K239" s="11">
        <v>218.0</v>
      </c>
    </row>
    <row r="240" ht="14.25" customHeight="1">
      <c r="A240" s="1" t="s">
        <v>834</v>
      </c>
      <c r="B240" s="11" t="str">
        <f>VLOOKUP($A240, 'ADP Data'!$C$3:$R$300, 2, FALSE)</f>
        <v>CIN</v>
      </c>
      <c r="C240" s="11" t="str">
        <f>VLOOKUP($A240, 'ADP Data'!$C$3:$R$300, 16, FALSE)</f>
        <v>RB</v>
      </c>
      <c r="D240" s="11"/>
      <c r="E240" s="11"/>
      <c r="F240" s="11"/>
      <c r="G240" s="11"/>
      <c r="H240" s="11" t="s">
        <v>1050</v>
      </c>
      <c r="I240" s="11">
        <f>VLOOKUP($A240, 'ADP Data'!$C$3:$Q$300, 13, FALSE)</f>
        <v>199</v>
      </c>
      <c r="J240" s="11">
        <f>VLOOKUP($A240, 'ADP Data'!$C$3:$Q$300, 10, FALSE)</f>
        <v>204</v>
      </c>
      <c r="K240" s="11">
        <v>237.0</v>
      </c>
    </row>
    <row r="241" ht="14.25" customHeight="1">
      <c r="A241" s="1" t="s">
        <v>323</v>
      </c>
      <c r="B241" s="11" t="str">
        <f>VLOOKUP($A241, 'ADP Data'!$C$3:$R$300, 2, FALSE)</f>
        <v>CHI</v>
      </c>
      <c r="C241" s="11" t="str">
        <f>VLOOKUP($A241, 'ADP Data'!$C$3:$R$300, 16, FALSE)</f>
        <v>RB</v>
      </c>
      <c r="D241" s="11"/>
      <c r="E241" s="11" t="s">
        <v>106</v>
      </c>
      <c r="F241" s="11" t="s">
        <v>1041</v>
      </c>
      <c r="G241" s="11">
        <v>56.0</v>
      </c>
      <c r="H241" s="11" t="s">
        <v>1107</v>
      </c>
      <c r="I241" s="11">
        <f>VLOOKUP($A241, 'ADP Data'!$C$3:$Q$300, 13, FALSE)</f>
        <v>200</v>
      </c>
      <c r="J241" s="11">
        <f>VLOOKUP($A241, 'ADP Data'!$C$3:$Q$300, 10, FALSE)</f>
        <v>184</v>
      </c>
      <c r="K241" s="11">
        <v>230.0</v>
      </c>
    </row>
    <row r="242" ht="14.25" customHeight="1">
      <c r="A242" s="1" t="s">
        <v>1044</v>
      </c>
      <c r="B242" s="11" t="str">
        <f>VLOOKUP($A242, 'ADP Data'!$C$3:$R$300, 2, FALSE)</f>
        <v>LAR</v>
      </c>
      <c r="C242" s="11" t="str">
        <f>VLOOKUP($A242, 'ADP Data'!$C$3:$R$300, 16, FALSE)</f>
        <v>RB</v>
      </c>
      <c r="D242" s="11"/>
      <c r="E242" s="11"/>
      <c r="F242" s="11"/>
      <c r="G242" s="11"/>
      <c r="H242" s="11" t="s">
        <v>1045</v>
      </c>
      <c r="I242" s="11">
        <f>VLOOKUP($A242, 'ADP Data'!$C$3:$Q$300, 13, FALSE)</f>
        <v>236</v>
      </c>
      <c r="J242" s="11">
        <f>VLOOKUP($A242, 'ADP Data'!$C$3:$Q$300, 10, FALSE)</f>
        <v>199</v>
      </c>
      <c r="K242" s="11">
        <v>165.0</v>
      </c>
    </row>
    <row r="243" ht="14.25" customHeight="1">
      <c r="A243" s="1" t="s">
        <v>831</v>
      </c>
      <c r="B243" s="11" t="str">
        <f>VLOOKUP($A243, 'ADP Data'!$C$3:$R$300, 2, FALSE)</f>
        <v>#N/A</v>
      </c>
      <c r="C243" s="11" t="str">
        <f>VLOOKUP($A243, 'ADP Data'!$C$3:$R$300, 16, FALSE)</f>
        <v>#N/A</v>
      </c>
      <c r="D243" s="11"/>
      <c r="E243" s="11"/>
      <c r="F243" s="11"/>
      <c r="G243" s="11"/>
      <c r="H243" s="11"/>
      <c r="I243" s="11" t="str">
        <f>VLOOKUP($A243, 'ADP Data'!$C$3:$Q$300, 13, FALSE)</f>
        <v>#N/A</v>
      </c>
      <c r="J243" s="11" t="str">
        <f>VLOOKUP($A243, 'ADP Data'!$C$3:$Q$300, 10, FALSE)</f>
        <v>#N/A</v>
      </c>
      <c r="K243" s="11" t="s">
        <v>36</v>
      </c>
    </row>
    <row r="244" ht="14.25" customHeight="1">
      <c r="A244" s="1" t="s">
        <v>598</v>
      </c>
      <c r="B244" s="11" t="str">
        <f>VLOOKUP($A244, 'ADP Data'!$C$3:$R$300, 2, FALSE)</f>
        <v>DET</v>
      </c>
      <c r="C244" s="11" t="str">
        <f>VLOOKUP($A244, 'ADP Data'!$C$3:$R$300, 16, FALSE)</f>
        <v>K-</v>
      </c>
      <c r="D244" s="11"/>
      <c r="E244" s="11"/>
      <c r="F244" s="11"/>
      <c r="G244" s="11"/>
      <c r="H244" s="11"/>
      <c r="I244" s="11" t="str">
        <f>VLOOKUP($A244, 'ADP Data'!$C$3:$Q$300, 13, FALSE)</f>
        <v>-</v>
      </c>
      <c r="J244" s="11">
        <f>VLOOKUP($A244, 'ADP Data'!$C$3:$Q$300, 10, FALSE)</f>
        <v>196</v>
      </c>
      <c r="K244" s="11">
        <v>195.0</v>
      </c>
    </row>
    <row r="245" ht="14.25" customHeight="1">
      <c r="A245" s="1" t="s">
        <v>586</v>
      </c>
      <c r="B245" s="11" t="str">
        <f>VLOOKUP($A245, 'ADP Data'!$C$3:$R$300, 2, FALSE)</f>
        <v>LAC</v>
      </c>
      <c r="C245" s="11" t="str">
        <f>VLOOKUP($A245, 'ADP Data'!$C$3:$R$300, 16, FALSE)</f>
        <v>K-</v>
      </c>
      <c r="D245" s="11"/>
      <c r="E245" s="11"/>
      <c r="F245" s="11"/>
      <c r="G245" s="11"/>
      <c r="H245" s="11"/>
      <c r="I245" s="11" t="str">
        <f>VLOOKUP($A245, 'ADP Data'!$C$3:$Q$300, 13, FALSE)</f>
        <v>-</v>
      </c>
      <c r="J245" s="11">
        <f>VLOOKUP($A245, 'ADP Data'!$C$3:$Q$300, 10, FALSE)</f>
        <v>193</v>
      </c>
      <c r="K245" s="11">
        <v>188.0</v>
      </c>
    </row>
    <row r="246" ht="14.25" customHeight="1">
      <c r="A246" s="1" t="s">
        <v>545</v>
      </c>
      <c r="B246" s="11" t="str">
        <f>VLOOKUP($A246, 'ADP Data'!$C$3:$R$300, 2, FALSE)</f>
        <v>DET</v>
      </c>
      <c r="C246" s="11" t="str">
        <f>VLOOKUP($A246, 'ADP Data'!$C$3:$R$300, 16, FALSE)</f>
        <v>WR</v>
      </c>
      <c r="D246" s="11"/>
      <c r="E246" s="11" t="s">
        <v>106</v>
      </c>
      <c r="F246" s="11" t="s">
        <v>884</v>
      </c>
      <c r="G246" s="11">
        <v>63.0</v>
      </c>
      <c r="H246" s="11" t="s">
        <v>1102</v>
      </c>
      <c r="I246" s="11">
        <f>VLOOKUP($A246, 'ADP Data'!$C$3:$Q$300, 13, FALSE)</f>
        <v>163</v>
      </c>
      <c r="J246" s="11">
        <f>VLOOKUP($A246, 'ADP Data'!$C$3:$Q$300, 10, FALSE)</f>
        <v>216</v>
      </c>
      <c r="K246" s="11">
        <v>225.0</v>
      </c>
    </row>
    <row r="247" ht="14.25" customHeight="1">
      <c r="A247" s="1" t="s">
        <v>649</v>
      </c>
      <c r="B247" s="11" t="str">
        <f>VLOOKUP($A247, 'ADP Data'!$C$3:$R$300, 2, FALSE)</f>
        <v>LV</v>
      </c>
      <c r="C247" s="11" t="str">
        <f>VLOOKUP($A247, 'ADP Data'!$C$3:$R$300, 16, FALSE)</f>
        <v>WR</v>
      </c>
      <c r="D247" s="11"/>
      <c r="E247" s="11"/>
      <c r="F247" s="11"/>
      <c r="G247" s="11"/>
      <c r="H247" s="11" t="s">
        <v>1103</v>
      </c>
      <c r="I247" s="11">
        <f>VLOOKUP($A247, 'ADP Data'!$C$3:$Q$300, 13, FALSE)</f>
        <v>235</v>
      </c>
      <c r="J247" s="11" t="str">
        <f>VLOOKUP($A247, 'ADP Data'!$C$3:$Q$300, 10, FALSE)</f>
        <v>-</v>
      </c>
      <c r="K247" s="11" t="s">
        <v>36</v>
      </c>
    </row>
    <row r="248" ht="14.25" customHeight="1">
      <c r="A248" s="1" t="s">
        <v>989</v>
      </c>
      <c r="B248" s="11" t="str">
        <f>VLOOKUP($A248, 'ADP Data'!$C$3:$R$300, 2, FALSE)</f>
        <v>PIT</v>
      </c>
      <c r="C248" s="11" t="str">
        <f>VLOOKUP($A248, 'ADP Data'!$C$3:$R$300, 16, FALSE)</f>
        <v>WR</v>
      </c>
      <c r="D248" s="11"/>
      <c r="E248" s="11"/>
      <c r="F248" s="11"/>
      <c r="G248" s="11"/>
      <c r="H248" s="11"/>
      <c r="I248" s="11">
        <f>VLOOKUP($A248, 'ADP Data'!$C$3:$Q$300, 13, FALSE)</f>
        <v>238</v>
      </c>
      <c r="J248" s="11" t="str">
        <f>VLOOKUP($A248, 'ADP Data'!$C$3:$Q$300, 10, FALSE)</f>
        <v>-</v>
      </c>
      <c r="K248" s="11" t="s">
        <v>36</v>
      </c>
    </row>
    <row r="249" ht="14.25" customHeight="1">
      <c r="A249" s="1" t="s">
        <v>724</v>
      </c>
      <c r="B249" s="11" t="str">
        <f>VLOOKUP($A249, 'ADP Data'!$C$3:$R$300, 2, FALSE)</f>
        <v>TB</v>
      </c>
      <c r="C249" s="11" t="str">
        <f>VLOOKUP($A249, 'ADP Data'!$C$3:$R$300, 16, FALSE)</f>
        <v>K-</v>
      </c>
      <c r="D249" s="11"/>
      <c r="E249" s="11"/>
      <c r="F249" s="11"/>
      <c r="G249" s="11"/>
      <c r="H249" s="11"/>
      <c r="I249" s="11" t="str">
        <f>VLOOKUP($A249, 'ADP Data'!$C$3:$Q$300, 13, FALSE)</f>
        <v>-</v>
      </c>
      <c r="J249" s="11">
        <f>VLOOKUP($A249, 'ADP Data'!$C$3:$Q$300, 10, FALSE)</f>
        <v>221</v>
      </c>
      <c r="K249" s="11">
        <v>222.0</v>
      </c>
    </row>
    <row r="250" ht="14.25" customHeight="1">
      <c r="A250" s="1" t="s">
        <v>389</v>
      </c>
      <c r="B250" s="11" t="str">
        <f>VLOOKUP($A250, 'ADP Data'!$C$3:$R$300, 2, FALSE)</f>
        <v>NO</v>
      </c>
      <c r="C250" s="11" t="str">
        <f>VLOOKUP($A250, 'ADP Data'!$C$3:$R$300, 16, FALSE)</f>
        <v>TE</v>
      </c>
      <c r="D250" s="11"/>
      <c r="E250" s="11"/>
      <c r="F250" s="11"/>
      <c r="G250" s="11"/>
      <c r="H250" s="11"/>
      <c r="I250" s="11">
        <f>VLOOKUP($A250, 'ADP Data'!$C$3:$Q$300, 13, FALSE)</f>
        <v>216</v>
      </c>
      <c r="J250" s="11" t="str">
        <f>VLOOKUP($A250, 'ADP Data'!$C$3:$Q$300, 10, FALSE)</f>
        <v>-</v>
      </c>
      <c r="K250" s="11" t="s">
        <v>36</v>
      </c>
    </row>
    <row r="251" ht="14.25" customHeight="1">
      <c r="A251" s="1" t="s">
        <v>643</v>
      </c>
      <c r="B251" s="11" t="str">
        <f>VLOOKUP($A251, 'ADP Data'!$C$3:$R$300, 2, FALSE)</f>
        <v>DEN</v>
      </c>
      <c r="C251" s="11" t="str">
        <f>VLOOKUP($A251, 'ADP Data'!$C$3:$R$300, 16, FALSE)</f>
        <v>WR</v>
      </c>
      <c r="D251" s="11"/>
      <c r="E251" s="11"/>
      <c r="F251" s="11"/>
      <c r="G251" s="11"/>
      <c r="H251" s="11"/>
      <c r="I251" s="11">
        <f>VLOOKUP($A251, 'ADP Data'!$C$3:$Q$300, 13, FALSE)</f>
        <v>185</v>
      </c>
      <c r="J251" s="11">
        <f>VLOOKUP($A251, 'ADP Data'!$C$3:$Q$300, 10, FALSE)</f>
        <v>238</v>
      </c>
      <c r="K251" s="11" t="s">
        <v>36</v>
      </c>
    </row>
    <row r="252" ht="14.25" customHeight="1">
      <c r="A252" s="1" t="s">
        <v>880</v>
      </c>
      <c r="B252" s="11" t="str">
        <f>VLOOKUP($A252, 'ADP Data'!$C$3:$R$300, 2, FALSE)</f>
        <v>TEN</v>
      </c>
      <c r="C252" s="11" t="str">
        <f>VLOOKUP($A252, 'ADP Data'!$C$3:$R$300, 16, FALSE)</f>
        <v>WR</v>
      </c>
      <c r="D252" s="11"/>
      <c r="E252" s="11"/>
      <c r="F252" s="11"/>
      <c r="G252" s="11"/>
      <c r="H252" s="11"/>
      <c r="I252" s="11">
        <f>VLOOKUP($A252, 'ADP Data'!$C$3:$Q$300, 13, FALSE)</f>
        <v>227</v>
      </c>
      <c r="J252" s="11" t="str">
        <f>VLOOKUP($A252, 'ADP Data'!$C$3:$Q$300, 10, FALSE)</f>
        <v>-</v>
      </c>
      <c r="K252" s="11">
        <v>208.0</v>
      </c>
    </row>
    <row r="253" ht="14.25" customHeight="1">
      <c r="A253" s="1" t="s">
        <v>566</v>
      </c>
      <c r="B253" s="11" t="str">
        <f>VLOOKUP($A253, 'ADP Data'!$C$3:$R$300, 2, FALSE)</f>
        <v>TB</v>
      </c>
      <c r="C253" s="11" t="str">
        <f>VLOOKUP($A253, 'ADP Data'!$C$3:$R$300, 16, FALSE)</f>
        <v>RB</v>
      </c>
      <c r="D253" s="11"/>
      <c r="E253" s="11"/>
      <c r="F253" s="11"/>
      <c r="G253" s="11"/>
      <c r="H253" s="11"/>
      <c r="I253" s="11">
        <f>VLOOKUP($A253, 'ADP Data'!$C$3:$Q$300, 13, FALSE)</f>
        <v>222</v>
      </c>
      <c r="J253" s="11">
        <f>VLOOKUP($A253, 'ADP Data'!$C$3:$Q$300, 10, FALSE)</f>
        <v>206</v>
      </c>
      <c r="K253" s="11" t="s">
        <v>36</v>
      </c>
    </row>
    <row r="254" ht="14.25" customHeight="1">
      <c r="A254" s="1" t="s">
        <v>832</v>
      </c>
      <c r="B254" s="11" t="str">
        <f>VLOOKUP($A254, 'ADP Data'!$C$3:$R$300, 2, FALSE)</f>
        <v>CIN</v>
      </c>
      <c r="C254" s="11" t="str">
        <f>VLOOKUP($A254, 'ADP Data'!$C$3:$R$300, 16, FALSE)</f>
        <v>WR</v>
      </c>
      <c r="D254" s="11"/>
      <c r="E254" s="11"/>
      <c r="F254" s="11"/>
      <c r="G254" s="11"/>
      <c r="H254" s="11"/>
      <c r="I254" s="11">
        <f>VLOOKUP($A254, 'ADP Data'!$C$3:$Q$300, 13, FALSE)</f>
        <v>207</v>
      </c>
      <c r="J254" s="11" t="str">
        <f>VLOOKUP($A254, 'ADP Data'!$C$3:$Q$300, 10, FALSE)</f>
        <v>-</v>
      </c>
      <c r="K254" s="11">
        <v>239.0</v>
      </c>
    </row>
    <row r="255" ht="14.25" customHeight="1">
      <c r="A255" s="1" t="s">
        <v>668</v>
      </c>
      <c r="B255" s="11" t="str">
        <f>VLOOKUP($A255, 'ADP Data'!$C$3:$R$300, 2, FALSE)</f>
        <v>PIT</v>
      </c>
      <c r="C255" s="11" t="str">
        <f>VLOOKUP($A255, 'ADP Data'!$C$3:$R$300, 16, FALSE)</f>
        <v>K-</v>
      </c>
      <c r="D255" s="11"/>
      <c r="E255" s="11"/>
      <c r="F255" s="11"/>
      <c r="G255" s="11"/>
      <c r="H255" s="11"/>
      <c r="I255" s="11" t="str">
        <f>VLOOKUP($A255, 'ADP Data'!$C$3:$Q$300, 13, FALSE)</f>
        <v>-</v>
      </c>
      <c r="J255" s="11">
        <f>VLOOKUP($A255, 'ADP Data'!$C$3:$Q$300, 10, FALSE)</f>
        <v>203</v>
      </c>
      <c r="K255" s="11">
        <v>198.0</v>
      </c>
    </row>
    <row r="256" ht="14.25" customHeight="1">
      <c r="A256" s="1" t="s">
        <v>411</v>
      </c>
      <c r="B256" s="11" t="str">
        <f>VLOOKUP($A256, 'ADP Data'!$C$3:$R$300, 2, FALSE)</f>
        <v>IND</v>
      </c>
      <c r="C256" s="11" t="str">
        <f>VLOOKUP($A256, 'ADP Data'!$C$3:$R$300, 16, FALSE)</f>
        <v>QB</v>
      </c>
      <c r="D256" s="11"/>
      <c r="E256" s="11" t="s">
        <v>106</v>
      </c>
      <c r="F256" s="11" t="s">
        <v>914</v>
      </c>
      <c r="G256" s="11">
        <v>25.0</v>
      </c>
      <c r="H256" s="11" t="s">
        <v>1112</v>
      </c>
      <c r="I256" s="11">
        <f>VLOOKUP($A256, 'ADP Data'!$C$3:$Q$300, 13, FALSE)</f>
        <v>201</v>
      </c>
      <c r="J256" s="11">
        <f>VLOOKUP($A256, 'ADP Data'!$C$3:$Q$300, 10, FALSE)</f>
        <v>245</v>
      </c>
      <c r="K256" s="11">
        <v>250.0</v>
      </c>
    </row>
    <row r="257" ht="14.25" customHeight="1">
      <c r="A257" s="1" t="s">
        <v>378</v>
      </c>
      <c r="B257" s="11" t="str">
        <f>VLOOKUP($A257, 'ADP Data'!$C$3:$R$300, 2, FALSE)</f>
        <v>HOU</v>
      </c>
      <c r="C257" s="11" t="str">
        <f>VLOOKUP($A257, 'ADP Data'!$C$3:$R$300, 16, FALSE)</f>
        <v>RB</v>
      </c>
      <c r="D257" s="11"/>
      <c r="E257" s="11" t="s">
        <v>106</v>
      </c>
      <c r="F257" s="11" t="s">
        <v>1041</v>
      </c>
      <c r="G257" s="11">
        <v>57.0</v>
      </c>
      <c r="H257" s="11" t="s">
        <v>1109</v>
      </c>
      <c r="I257" s="11">
        <f>VLOOKUP($A257, 'ADP Data'!$C$3:$Q$300, 13, FALSE)</f>
        <v>175</v>
      </c>
      <c r="J257" s="11">
        <f>VLOOKUP($A257, 'ADP Data'!$C$3:$Q$300, 10, FALSE)</f>
        <v>182</v>
      </c>
      <c r="K257" s="11" t="s">
        <v>36</v>
      </c>
    </row>
    <row r="258" ht="14.25" customHeight="1">
      <c r="A258" s="1" t="s">
        <v>382</v>
      </c>
      <c r="B258" s="11" t="str">
        <f>VLOOKUP($A258, 'ADP Data'!$C$3:$R$300, 2, FALSE)</f>
        <v>NO</v>
      </c>
      <c r="C258" s="11" t="str">
        <f>VLOOKUP($A258, 'ADP Data'!$C$3:$R$300, 16, FALSE)</f>
        <v>QB</v>
      </c>
      <c r="D258" s="11"/>
      <c r="E258" s="11"/>
      <c r="F258" s="11"/>
      <c r="G258" s="11"/>
      <c r="H258" s="11"/>
      <c r="I258" s="11">
        <f>VLOOKUP($A258, 'ADP Data'!$C$3:$Q$300, 13, FALSE)</f>
        <v>264</v>
      </c>
      <c r="J258" s="11" t="str">
        <f>VLOOKUP($A258, 'ADP Data'!$C$3:$Q$300, 10, FALSE)</f>
        <v>-</v>
      </c>
      <c r="K258" s="11" t="s">
        <v>36</v>
      </c>
    </row>
    <row r="259" ht="14.25" customHeight="1">
      <c r="A259" s="1" t="s">
        <v>580</v>
      </c>
      <c r="B259" s="11" t="str">
        <f>VLOOKUP($A259, 'ADP Data'!$C$3:$R$300, 2, FALSE)</f>
        <v>HOU</v>
      </c>
      <c r="C259" s="11" t="str">
        <f>VLOOKUP($A259, 'ADP Data'!$C$3:$R$300, 16, FALSE)</f>
        <v>K-</v>
      </c>
      <c r="D259" s="11"/>
      <c r="E259" s="11"/>
      <c r="F259" s="11"/>
      <c r="G259" s="11"/>
      <c r="H259" s="11"/>
      <c r="I259" s="11" t="str">
        <f>VLOOKUP($A259, 'ADP Data'!$C$3:$Q$300, 13, FALSE)</f>
        <v>-</v>
      </c>
      <c r="J259" s="11">
        <f>VLOOKUP($A259, 'ADP Data'!$C$3:$Q$300, 10, FALSE)</f>
        <v>201</v>
      </c>
      <c r="K259" s="11">
        <v>204.0</v>
      </c>
    </row>
    <row r="260" ht="14.25" customHeight="1">
      <c r="A260" s="1" t="s">
        <v>836</v>
      </c>
      <c r="B260" s="11" t="str">
        <f>VLOOKUP($A260, 'ADP Data'!$C$3:$R$300, 2, FALSE)</f>
        <v>CLE</v>
      </c>
      <c r="C260" s="11" t="str">
        <f>VLOOKUP($A260, 'ADP Data'!$C$3:$R$300, 16, FALSE)</f>
        <v>QB</v>
      </c>
      <c r="D260" s="11"/>
      <c r="E260" s="11"/>
      <c r="F260" s="11"/>
      <c r="G260" s="11"/>
      <c r="H260" s="11"/>
      <c r="I260" s="11">
        <f>VLOOKUP($A260, 'ADP Data'!$C$3:$Q$300, 13, FALSE)</f>
        <v>224</v>
      </c>
      <c r="J260" s="11" t="str">
        <f>VLOOKUP($A260, 'ADP Data'!$C$3:$Q$300, 10, FALSE)</f>
        <v>-</v>
      </c>
      <c r="K260" s="11" t="s">
        <v>36</v>
      </c>
    </row>
    <row r="261" ht="14.25" customHeight="1">
      <c r="A261" s="1" t="s">
        <v>920</v>
      </c>
      <c r="B261" s="11" t="str">
        <f>VLOOKUP($A261, 'ADP Data'!$C$3:$R$300, 2, FALSE)</f>
        <v>KC</v>
      </c>
      <c r="C261" s="11" t="str">
        <f>VLOOKUP($A261, 'ADP Data'!$C$3:$R$300, 16, FALSE)</f>
        <v>RB</v>
      </c>
      <c r="D261" s="11"/>
      <c r="E261" s="11"/>
      <c r="F261" s="11"/>
      <c r="G261" s="11"/>
      <c r="H261" s="11"/>
      <c r="I261" s="11">
        <f>VLOOKUP($A261, 'ADP Data'!$C$3:$Q$300, 13, FALSE)</f>
        <v>300</v>
      </c>
      <c r="J261" s="11" t="str">
        <f>VLOOKUP($A261, 'ADP Data'!$C$3:$Q$300, 10, FALSE)</f>
        <v>-</v>
      </c>
      <c r="K261" s="11" t="s">
        <v>36</v>
      </c>
    </row>
    <row r="262" ht="14.25" customHeight="1">
      <c r="A262" s="1" t="s">
        <v>923</v>
      </c>
      <c r="B262" s="11" t="str">
        <f>VLOOKUP($A262, 'ADP Data'!$C$3:$R$300, 2, FALSE)</f>
        <v>MIA</v>
      </c>
      <c r="C262" s="11" t="str">
        <f>VLOOKUP($A262, 'ADP Data'!$C$3:$R$300, 16, FALSE)</f>
        <v>K-</v>
      </c>
      <c r="D262" s="11"/>
      <c r="E262" s="11"/>
      <c r="F262" s="11"/>
      <c r="G262" s="11"/>
      <c r="H262" s="11"/>
      <c r="I262" s="11" t="str">
        <f>VLOOKUP($A262, 'ADP Data'!$C$3:$Q$300, 13, FALSE)</f>
        <v>-</v>
      </c>
      <c r="J262" s="11">
        <f>VLOOKUP($A262, 'ADP Data'!$C$3:$Q$300, 10, FALSE)</f>
        <v>224</v>
      </c>
      <c r="K262" s="11">
        <v>226.0</v>
      </c>
    </row>
    <row r="263" ht="14.25" customHeight="1">
      <c r="A263" s="1" t="s">
        <v>371</v>
      </c>
      <c r="B263" s="11" t="str">
        <f>VLOOKUP($A263, 'ADP Data'!$C$3:$R$300, 2, FALSE)</f>
        <v>CAR</v>
      </c>
      <c r="C263" s="11" t="str">
        <f>VLOOKUP($A263, 'ADP Data'!$C$3:$R$300, 16, FALSE)</f>
        <v>WR</v>
      </c>
      <c r="D263" s="11"/>
      <c r="E263" s="11"/>
      <c r="F263" s="11"/>
      <c r="G263" s="11"/>
      <c r="H263" s="11"/>
      <c r="I263" s="11">
        <f>VLOOKUP($A263, 'ADP Data'!$C$3:$Q$300, 13, FALSE)</f>
        <v>168</v>
      </c>
      <c r="J263" s="11">
        <f>VLOOKUP($A263, 'ADP Data'!$C$3:$Q$300, 10, FALSE)</f>
        <v>183</v>
      </c>
      <c r="K263" s="11" t="s">
        <v>36</v>
      </c>
    </row>
    <row r="264" ht="14.25" customHeight="1">
      <c r="A264" s="1" t="s">
        <v>659</v>
      </c>
      <c r="B264" s="11" t="str">
        <f>VLOOKUP($A264, 'ADP Data'!$C$3:$R$300, 2, FALSE)</f>
        <v>KC</v>
      </c>
      <c r="C264" s="11" t="str">
        <f>VLOOKUP($A264, 'ADP Data'!$C$3:$R$300, 16, FALSE)</f>
        <v>K-</v>
      </c>
      <c r="D264" s="11"/>
      <c r="E264" s="11"/>
      <c r="F264" s="11"/>
      <c r="G264" s="11"/>
      <c r="H264" s="11"/>
      <c r="I264" s="11" t="str">
        <f>VLOOKUP($A264, 'ADP Data'!$C$3:$Q$300, 13, FALSE)</f>
        <v>-</v>
      </c>
      <c r="J264" s="11">
        <f>VLOOKUP($A264, 'ADP Data'!$C$3:$Q$300, 10, FALSE)</f>
        <v>226</v>
      </c>
      <c r="K264" s="11">
        <v>228.0</v>
      </c>
    </row>
    <row r="265" ht="14.25" customHeight="1">
      <c r="A265" s="1" t="s">
        <v>922</v>
      </c>
      <c r="B265" s="11" t="str">
        <f>VLOOKUP($A265, 'ADP Data'!$C$3:$R$300, 2, FALSE)</f>
        <v>PHI</v>
      </c>
      <c r="C265" s="11" t="str">
        <f>VLOOKUP($A265, 'ADP Data'!$C$3:$R$300, 16, FALSE)</f>
        <v>K-</v>
      </c>
      <c r="D265" s="11"/>
      <c r="E265" s="11"/>
      <c r="F265" s="11"/>
      <c r="G265" s="11"/>
      <c r="H265" s="11"/>
      <c r="I265" s="11" t="str">
        <f>VLOOKUP($A265, 'ADP Data'!$C$3:$Q$300, 13, FALSE)</f>
        <v>-</v>
      </c>
      <c r="J265" s="11">
        <f>VLOOKUP($A265, 'ADP Data'!$C$3:$Q$300, 10, FALSE)</f>
        <v>234</v>
      </c>
      <c r="K265" s="11">
        <v>235.0</v>
      </c>
    </row>
    <row r="266" ht="14.25" customHeight="1">
      <c r="A266" s="1" t="s">
        <v>1115</v>
      </c>
      <c r="B266" s="11" t="str">
        <f>VLOOKUP($A266, 'ADP Data'!$C$3:$R$300, 2, FALSE)</f>
        <v>SEA</v>
      </c>
      <c r="C266" s="11" t="str">
        <f>VLOOKUP($A266, 'ADP Data'!$C$3:$R$300, 16, FALSE)</f>
        <v>QB</v>
      </c>
      <c r="D266" s="11"/>
      <c r="E266" s="11"/>
      <c r="F266" s="11"/>
      <c r="G266" s="11"/>
      <c r="H266" s="11"/>
      <c r="I266" s="11">
        <f>VLOOKUP($A266, 'ADP Data'!$C$3:$Q$300, 13, FALSE)</f>
        <v>257</v>
      </c>
      <c r="J266" s="11" t="str">
        <f>VLOOKUP($A266, 'ADP Data'!$C$3:$Q$300, 10, FALSE)</f>
        <v>-</v>
      </c>
      <c r="K266" s="11" t="s">
        <v>36</v>
      </c>
    </row>
    <row r="267" ht="14.25" customHeight="1">
      <c r="A267" s="1" t="s">
        <v>952</v>
      </c>
      <c r="B267" s="11" t="str">
        <f>VLOOKUP($A267, 'ADP Data'!$C$3:$R$300, 2, FALSE)</f>
        <v>BUF</v>
      </c>
      <c r="C267" s="11" t="str">
        <f>VLOOKUP($A267, 'ADP Data'!$C$3:$R$300, 16, FALSE)</f>
        <v>K-</v>
      </c>
      <c r="D267" s="11"/>
      <c r="E267" s="11"/>
      <c r="F267" s="11"/>
      <c r="G267" s="11"/>
      <c r="H267" s="11"/>
      <c r="I267" s="11" t="str">
        <f>VLOOKUP($A267, 'ADP Data'!$C$3:$Q$300, 13, FALSE)</f>
        <v>-</v>
      </c>
      <c r="J267" s="11">
        <f>VLOOKUP($A267, 'ADP Data'!$C$3:$Q$300, 10, FALSE)</f>
        <v>239</v>
      </c>
      <c r="K267" s="11">
        <v>245.0</v>
      </c>
    </row>
    <row r="268" ht="14.25" customHeight="1">
      <c r="A268" s="1" t="s">
        <v>508</v>
      </c>
      <c r="B268" s="11" t="str">
        <f>VLOOKUP($A268, 'ADP Data'!$C$3:$R$300, 2, FALSE)</f>
        <v>GB</v>
      </c>
      <c r="C268" s="11" t="str">
        <f>VLOOKUP($A268, 'ADP Data'!$C$3:$R$300, 16, FALSE)</f>
        <v>WR</v>
      </c>
      <c r="D268" s="11"/>
      <c r="E268" s="11"/>
      <c r="F268" s="11"/>
      <c r="G268" s="11"/>
      <c r="H268" s="11"/>
      <c r="I268" s="11">
        <f>VLOOKUP($A268, 'ADP Data'!$C$3:$Q$300, 13, FALSE)</f>
        <v>228</v>
      </c>
      <c r="J268" s="11" t="str">
        <f>VLOOKUP($A268, 'ADP Data'!$C$3:$Q$300, 10, FALSE)</f>
        <v>-</v>
      </c>
      <c r="K268" s="11">
        <v>233.0</v>
      </c>
    </row>
    <row r="269" ht="14.25" customHeight="1">
      <c r="A269" s="1" t="s">
        <v>915</v>
      </c>
      <c r="B269" s="11" t="str">
        <f>VLOOKUP($A269, 'ADP Data'!$C$3:$R$300, 2, FALSE)</f>
        <v>TB</v>
      </c>
      <c r="C269" s="11" t="str">
        <f>VLOOKUP($A269, 'ADP Data'!$C$3:$R$300, 16, FALSE)</f>
        <v>DE</v>
      </c>
      <c r="D269" s="11"/>
      <c r="E269" s="11"/>
      <c r="F269" s="11"/>
      <c r="G269" s="11"/>
      <c r="H269" s="11"/>
      <c r="I269" s="11" t="str">
        <f>VLOOKUP($A269, 'ADP Data'!$C$3:$Q$300, 13, FALSE)</f>
        <v>-</v>
      </c>
      <c r="J269" s="11" t="str">
        <f>VLOOKUP($A269, 'ADP Data'!$C$3:$Q$300, 10, FALSE)</f>
        <v>-</v>
      </c>
      <c r="K269" s="11" t="e">
        <v>#N/A</v>
      </c>
    </row>
    <row r="270" ht="14.25" customHeight="1">
      <c r="A270" s="1" t="s">
        <v>1104</v>
      </c>
      <c r="B270" s="11" t="str">
        <f>VLOOKUP($A270, 'ADP Data'!$C$3:$R$300, 2, FALSE)</f>
        <v>WAS</v>
      </c>
      <c r="C270" s="11" t="str">
        <f>VLOOKUP($A270, 'ADP Data'!$C$3:$R$300, 16, FALSE)</f>
        <v>DE</v>
      </c>
      <c r="D270" s="11"/>
      <c r="E270" s="11"/>
      <c r="F270" s="11"/>
      <c r="G270" s="11"/>
      <c r="H270" s="11"/>
      <c r="I270" s="11" t="str">
        <f>VLOOKUP($A270, 'ADP Data'!$C$3:$Q$300, 13, FALSE)</f>
        <v>-</v>
      </c>
      <c r="J270" s="11" t="str">
        <f>VLOOKUP($A270, 'ADP Data'!$C$3:$Q$300, 10, FALSE)</f>
        <v>-</v>
      </c>
      <c r="K270" s="11" t="s">
        <v>36</v>
      </c>
    </row>
    <row r="271" ht="14.25" customHeight="1">
      <c r="A271" s="1" t="s">
        <v>1110</v>
      </c>
      <c r="B271" s="11" t="str">
        <f>VLOOKUP($A271, 'ADP Data'!$C$3:$R$300, 2, FALSE)</f>
        <v>#N/A</v>
      </c>
      <c r="C271" s="11" t="str">
        <f>VLOOKUP($A271, 'ADP Data'!$C$3:$R$300, 16, FALSE)</f>
        <v>#N/A</v>
      </c>
      <c r="D271" s="11"/>
      <c r="E271" s="11"/>
      <c r="F271" s="11"/>
      <c r="G271" s="11"/>
      <c r="H271" s="11" t="s">
        <v>1111</v>
      </c>
      <c r="I271" s="11" t="str">
        <f>VLOOKUP($A271, 'ADP Data'!$C$3:$Q$300, 13, FALSE)</f>
        <v>#N/A</v>
      </c>
      <c r="J271" s="11" t="str">
        <f>VLOOKUP($A271, 'ADP Data'!$C$3:$Q$300, 10, FALSE)</f>
        <v>#N/A</v>
      </c>
      <c r="K271" s="11" t="s">
        <v>36</v>
      </c>
    </row>
    <row r="272" ht="14.25" customHeight="1">
      <c r="A272" s="1" t="s">
        <v>705</v>
      </c>
      <c r="B272" s="11" t="str">
        <f>VLOOKUP($A272, 'ADP Data'!$C$3:$R$300, 2, FALSE)</f>
        <v>DEN</v>
      </c>
      <c r="C272" s="11" t="str">
        <f>VLOOKUP($A272, 'ADP Data'!$C$3:$R$300, 16, FALSE)</f>
        <v>K-</v>
      </c>
      <c r="D272" s="11"/>
      <c r="E272" s="11"/>
      <c r="F272" s="11"/>
      <c r="G272" s="11"/>
      <c r="H272" s="11"/>
      <c r="I272" s="11" t="str">
        <f>VLOOKUP($A272, 'ADP Data'!$C$3:$Q$300, 13, FALSE)</f>
        <v>-</v>
      </c>
      <c r="J272" s="11">
        <f>VLOOKUP($A272, 'ADP Data'!$C$3:$Q$300, 10, FALSE)</f>
        <v>214</v>
      </c>
      <c r="K272" s="11">
        <v>215.0</v>
      </c>
    </row>
    <row r="273" ht="14.25" customHeight="1">
      <c r="A273" s="1" t="s">
        <v>895</v>
      </c>
      <c r="B273" s="11" t="str">
        <f>VLOOKUP($A273, 'ADP Data'!$C$3:$R$300, 2, FALSE)</f>
        <v>LAC</v>
      </c>
      <c r="C273" s="11" t="str">
        <f>VLOOKUP($A273, 'ADP Data'!$C$3:$R$300, 16, FALSE)</f>
        <v>TE</v>
      </c>
      <c r="D273" s="11"/>
      <c r="E273" s="11"/>
      <c r="F273" s="11"/>
      <c r="G273" s="11"/>
      <c r="H273" s="11"/>
      <c r="I273" s="11">
        <f>VLOOKUP($A273, 'ADP Data'!$C$3:$Q$300, 13, FALSE)</f>
        <v>284</v>
      </c>
      <c r="J273" s="11" t="str">
        <f>VLOOKUP($A273, 'ADP Data'!$C$3:$Q$300, 10, FALSE)</f>
        <v>-</v>
      </c>
      <c r="K273" s="11" t="s">
        <v>36</v>
      </c>
    </row>
    <row r="274" ht="14.25" customHeight="1">
      <c r="A274" s="1" t="s">
        <v>613</v>
      </c>
      <c r="B274" s="11" t="str">
        <f>VLOOKUP($A274, 'ADP Data'!$C$3:$R$300, 2, FALSE)</f>
        <v>HOU</v>
      </c>
      <c r="C274" s="11" t="str">
        <f>VLOOKUP($A274, 'ADP Data'!$C$3:$R$300, 16, FALSE)</f>
        <v>WR</v>
      </c>
      <c r="D274" s="11"/>
      <c r="E274" s="11" t="s">
        <v>106</v>
      </c>
      <c r="F274" s="11" t="s">
        <v>884</v>
      </c>
      <c r="G274" s="11">
        <v>64.0</v>
      </c>
      <c r="H274" s="11" t="s">
        <v>1106</v>
      </c>
      <c r="I274" s="11">
        <f>VLOOKUP($A274, 'ADP Data'!$C$3:$Q$300, 13, FALSE)</f>
        <v>208</v>
      </c>
      <c r="J274" s="11">
        <f>VLOOKUP($A274, 'ADP Data'!$C$3:$Q$300, 10, FALSE)</f>
        <v>248</v>
      </c>
      <c r="K274" s="11" t="s">
        <v>36</v>
      </c>
    </row>
    <row r="275" ht="14.25" customHeight="1">
      <c r="A275" s="1" t="s">
        <v>504</v>
      </c>
      <c r="B275" s="11" t="str">
        <f>VLOOKUP($A275, 'ADP Data'!$C$3:$R$300, 2, FALSE)</f>
        <v>NE</v>
      </c>
      <c r="C275" s="11" t="str">
        <f>VLOOKUP($A275, 'ADP Data'!$C$3:$R$300, 16, FALSE)</f>
        <v>DE</v>
      </c>
      <c r="D275" s="11"/>
      <c r="E275" s="11"/>
      <c r="F275" s="11"/>
      <c r="G275" s="11"/>
      <c r="H275" s="11"/>
      <c r="I275" s="11" t="str">
        <f>VLOOKUP($A275, 'ADP Data'!$C$3:$Q$300, 13, FALSE)</f>
        <v>-</v>
      </c>
      <c r="J275" s="11">
        <f>VLOOKUP($A275, 'ADP Data'!$C$3:$Q$300, 10, FALSE)</f>
        <v>244</v>
      </c>
      <c r="K275" s="11">
        <v>248.0</v>
      </c>
    </row>
    <row r="276" ht="14.25" customHeight="1">
      <c r="A276" s="1" t="s">
        <v>688</v>
      </c>
      <c r="B276" s="11" t="str">
        <f>VLOOKUP($A276, 'ADP Data'!$C$3:$R$300, 2, FALSE)</f>
        <v>NYG</v>
      </c>
      <c r="C276" s="11" t="str">
        <f>VLOOKUP($A276, 'ADP Data'!$C$3:$R$300, 16, FALSE)</f>
        <v>DE</v>
      </c>
      <c r="D276" s="11"/>
      <c r="E276" s="11"/>
      <c r="F276" s="11"/>
      <c r="G276" s="11"/>
      <c r="H276" s="11"/>
      <c r="I276" s="11" t="str">
        <f>VLOOKUP($A276, 'ADP Data'!$C$3:$Q$300, 13, FALSE)</f>
        <v>-</v>
      </c>
      <c r="J276" s="11" t="str">
        <f>VLOOKUP($A276, 'ADP Data'!$C$3:$Q$300, 10, FALSE)</f>
        <v>-</v>
      </c>
      <c r="K276" s="11" t="s">
        <v>36</v>
      </c>
    </row>
    <row r="277" ht="14.25" customHeight="1">
      <c r="A277" s="1" t="s">
        <v>1116</v>
      </c>
      <c r="B277" s="11" t="str">
        <f>VLOOKUP($A277, 'ADP Data'!$C$3:$R$300, 2, FALSE)</f>
        <v>LAR</v>
      </c>
      <c r="C277" s="11" t="str">
        <f>VLOOKUP($A277, 'ADP Data'!$C$3:$R$300, 16, FALSE)</f>
        <v>WR</v>
      </c>
      <c r="D277" s="11"/>
      <c r="E277" s="11"/>
      <c r="F277" s="11"/>
      <c r="G277" s="11"/>
      <c r="H277" s="11"/>
      <c r="I277" s="11">
        <f>VLOOKUP($A277, 'ADP Data'!$C$3:$Q$300, 13, FALSE)</f>
        <v>243</v>
      </c>
      <c r="J277" s="11" t="str">
        <f>VLOOKUP($A277, 'ADP Data'!$C$3:$Q$300, 10, FALSE)</f>
        <v>-</v>
      </c>
      <c r="K277" s="11" t="s">
        <v>36</v>
      </c>
    </row>
    <row r="278" ht="14.25" customHeight="1">
      <c r="A278" s="1" t="s">
        <v>620</v>
      </c>
      <c r="B278" s="11" t="str">
        <f>VLOOKUP($A278, 'ADP Data'!$C$3:$R$300, 2, FALSE)</f>
        <v>CIN</v>
      </c>
      <c r="C278" s="11" t="str">
        <f>VLOOKUP($A278, 'ADP Data'!$C$3:$R$300, 16, FALSE)</f>
        <v>K-</v>
      </c>
      <c r="D278" s="11"/>
      <c r="E278" s="11"/>
      <c r="F278" s="11"/>
      <c r="G278" s="11"/>
      <c r="H278" s="11"/>
      <c r="I278" s="11" t="str">
        <f>VLOOKUP($A278, 'ADP Data'!$C$3:$Q$300, 13, FALSE)</f>
        <v>-</v>
      </c>
      <c r="J278" s="11">
        <f>VLOOKUP($A278, 'ADP Data'!$C$3:$Q$300, 10, FALSE)</f>
        <v>218</v>
      </c>
      <c r="K278" s="11">
        <v>219.0</v>
      </c>
    </row>
    <row r="279" ht="14.25" customHeight="1">
      <c r="A279" s="1" t="s">
        <v>1105</v>
      </c>
      <c r="B279" s="11" t="str">
        <f>VLOOKUP($A279, 'ADP Data'!$C$3:$R$300, 2, FALSE)</f>
        <v>ARI</v>
      </c>
      <c r="C279" s="11" t="str">
        <f>VLOOKUP($A279, 'ADP Data'!$C$3:$R$300, 16, FALSE)</f>
        <v>DE</v>
      </c>
      <c r="D279" s="11"/>
      <c r="E279" s="11"/>
      <c r="F279" s="11"/>
      <c r="G279" s="11"/>
      <c r="H279" s="11"/>
      <c r="I279" s="11" t="str">
        <f>VLOOKUP($A279, 'ADP Data'!$C$3:$Q$300, 13, FALSE)</f>
        <v>-</v>
      </c>
      <c r="J279" s="11" t="str">
        <f>VLOOKUP($A279, 'ADP Data'!$C$3:$Q$300, 10, FALSE)</f>
        <v>-</v>
      </c>
      <c r="K279" s="11" t="s">
        <v>36</v>
      </c>
    </row>
    <row r="280" ht="14.25" customHeight="1">
      <c r="A280" s="1" t="s">
        <v>678</v>
      </c>
      <c r="B280" s="11" t="str">
        <f>VLOOKUP($A280, 'ADP Data'!$C$3:$R$300, 2, FALSE)</f>
        <v>MIA</v>
      </c>
      <c r="C280" s="11" t="str">
        <f>VLOOKUP($A280, 'ADP Data'!$C$3:$R$300, 16, FALSE)</f>
        <v>RB</v>
      </c>
      <c r="D280" s="11"/>
      <c r="E280" s="11" t="s">
        <v>106</v>
      </c>
      <c r="F280" s="11" t="s">
        <v>1041</v>
      </c>
      <c r="G280" s="11"/>
      <c r="H280" s="11" t="s">
        <v>1042</v>
      </c>
      <c r="I280" s="11">
        <f>VLOOKUP($A280, 'ADP Data'!$C$3:$Q$300, 13, FALSE)</f>
        <v>147</v>
      </c>
      <c r="J280" s="11">
        <f>VLOOKUP($A280, 'ADP Data'!$C$3:$Q$300, 10, FALSE)</f>
        <v>176</v>
      </c>
      <c r="K280" s="11" t="s">
        <v>36</v>
      </c>
    </row>
    <row r="281" ht="14.25" customHeight="1">
      <c r="A281" s="1" t="s">
        <v>954</v>
      </c>
      <c r="B281" s="11" t="str">
        <f>VLOOKUP($A281, 'ADP Data'!$C$3:$R$300, 2, FALSE)</f>
        <v>ATL</v>
      </c>
      <c r="C281" s="11" t="str">
        <f>VLOOKUP($A281, 'ADP Data'!$C$3:$R$300, 16, FALSE)</f>
        <v>K-</v>
      </c>
      <c r="D281" s="11"/>
      <c r="E281" s="11"/>
      <c r="F281" s="11"/>
      <c r="G281" s="11"/>
      <c r="H281" s="11"/>
      <c r="I281" s="11" t="str">
        <f>VLOOKUP($A281, 'ADP Data'!$C$3:$Q$300, 13, FALSE)</f>
        <v>-</v>
      </c>
      <c r="J281" s="11">
        <f>VLOOKUP($A281, 'ADP Data'!$C$3:$Q$300, 10, FALSE)</f>
        <v>246</v>
      </c>
      <c r="K281" s="11" t="s">
        <v>36</v>
      </c>
    </row>
    <row r="282" ht="14.25" customHeight="1">
      <c r="A282" s="1" t="s">
        <v>913</v>
      </c>
      <c r="B282" s="11" t="str">
        <f>VLOOKUP($A282, 'ADP Data'!$C$3:$R$300, 2, FALSE)</f>
        <v>DAL</v>
      </c>
      <c r="C282" s="11" t="str">
        <f>VLOOKUP($A282, 'ADP Data'!$C$3:$R$300, 16, FALSE)</f>
        <v>WR</v>
      </c>
      <c r="D282" s="11"/>
      <c r="E282" s="11"/>
      <c r="F282" s="11"/>
      <c r="G282" s="11"/>
      <c r="H282" s="11"/>
      <c r="I282" s="11">
        <f>VLOOKUP($A282, 'ADP Data'!$C$3:$Q$300, 13, FALSE)</f>
        <v>260</v>
      </c>
      <c r="J282" s="11" t="str">
        <f>VLOOKUP($A282, 'ADP Data'!$C$3:$Q$300, 10, FALSE)</f>
        <v>-</v>
      </c>
      <c r="K282" s="11">
        <v>213.0</v>
      </c>
    </row>
    <row r="283" ht="14.25" customHeight="1">
      <c r="A283" s="1" t="s">
        <v>835</v>
      </c>
      <c r="B283" s="11" t="str">
        <f>VLOOKUP($A283, 'ADP Data'!$C$3:$R$300, 2, FALSE)</f>
        <v>NO</v>
      </c>
      <c r="C283" s="11" t="str">
        <f>VLOOKUP($A283, 'ADP Data'!$C$3:$R$300, 16, FALSE)</f>
        <v>RB</v>
      </c>
      <c r="D283" s="11"/>
      <c r="E283" s="11" t="s">
        <v>106</v>
      </c>
      <c r="F283" s="11" t="s">
        <v>1041</v>
      </c>
      <c r="G283" s="11">
        <v>58.0</v>
      </c>
      <c r="H283" s="11" t="s">
        <v>1113</v>
      </c>
      <c r="I283" s="11">
        <f>VLOOKUP($A283, 'ADP Data'!$C$3:$Q$300, 13, FALSE)</f>
        <v>282</v>
      </c>
      <c r="J283" s="11" t="str">
        <f>VLOOKUP($A283, 'ADP Data'!$C$3:$Q$300, 10, FALSE)</f>
        <v>-</v>
      </c>
      <c r="K283" s="11">
        <v>249.0</v>
      </c>
    </row>
    <row r="284" ht="14.25" customHeight="1">
      <c r="A284" s="1" t="s">
        <v>257</v>
      </c>
      <c r="B284" s="11" t="str">
        <f>VLOOKUP($A284, 'ADP Data'!$C$3:$R$300, 2, FALSE)</f>
        <v>CLE</v>
      </c>
      <c r="C284" s="11" t="str">
        <f>VLOOKUP($A284, 'ADP Data'!$C$3:$R$300, 16, FALSE)</f>
        <v>TE</v>
      </c>
      <c r="D284" s="11"/>
      <c r="E284" s="11"/>
      <c r="F284" s="11"/>
      <c r="G284" s="11"/>
      <c r="H284" s="11" t="s">
        <v>1108</v>
      </c>
      <c r="I284" s="11">
        <f>VLOOKUP($A284, 'ADP Data'!$C$3:$Q$300, 13, FALSE)</f>
        <v>190</v>
      </c>
      <c r="J284" s="11" t="str">
        <f>VLOOKUP($A284, 'ADP Data'!$C$3:$Q$300, 10, FALSE)</f>
        <v>-</v>
      </c>
      <c r="K284" s="11" t="s">
        <v>36</v>
      </c>
    </row>
    <row r="285" ht="14.25" customHeight="1">
      <c r="A285" s="1" t="s">
        <v>796</v>
      </c>
      <c r="B285" s="11" t="str">
        <f>VLOOKUP($A285, 'ADP Data'!$C$3:$R$300, 2, FALSE)</f>
        <v>LV</v>
      </c>
      <c r="C285" s="11" t="str">
        <f>VLOOKUP($A285, 'ADP Data'!$C$3:$R$300, 16, FALSE)</f>
        <v>WR</v>
      </c>
      <c r="D285" s="11"/>
      <c r="E285" s="11"/>
      <c r="F285" s="11"/>
      <c r="G285" s="11"/>
      <c r="H285" s="11"/>
      <c r="I285" s="11">
        <f>VLOOKUP($A285, 'ADP Data'!$C$3:$Q$300, 13, FALSE)</f>
        <v>192</v>
      </c>
      <c r="J285" s="11">
        <f>VLOOKUP($A285, 'ADP Data'!$C$3:$Q$300, 10, FALSE)</f>
        <v>250</v>
      </c>
      <c r="K285" s="11" t="s">
        <v>36</v>
      </c>
    </row>
    <row r="286" ht="14.25" customHeight="1">
      <c r="A286" s="1" t="s">
        <v>1114</v>
      </c>
      <c r="B286" s="11" t="str">
        <f>VLOOKUP($A286, 'ADP Data'!$C$3:$R$300, 2, FALSE)</f>
        <v>ATL</v>
      </c>
      <c r="C286" s="11" t="str">
        <f>VLOOKUP($A286, 'ADP Data'!$C$3:$R$300, 16, FALSE)</f>
        <v>WR</v>
      </c>
      <c r="D286" s="11"/>
      <c r="E286" s="11"/>
      <c r="F286" s="11"/>
      <c r="G286" s="11"/>
      <c r="H286" s="11"/>
      <c r="I286" s="11">
        <f>VLOOKUP($A286, 'ADP Data'!$C$3:$Q$300, 13, FALSE)</f>
        <v>229</v>
      </c>
      <c r="J286" s="11" t="str">
        <f>VLOOKUP($A286, 'ADP Data'!$C$3:$Q$300, 10, FALSE)</f>
        <v>-</v>
      </c>
      <c r="K286" s="11" t="e">
        <v>#N/A</v>
      </c>
    </row>
    <row r="287" ht="14.25" customHeight="1">
      <c r="A287" s="1" t="s">
        <v>413</v>
      </c>
      <c r="B287" s="11" t="str">
        <f>VLOOKUP($A287, 'ADP Data'!$C$3:$R$300, 2, FALSE)</f>
        <v>#N/A</v>
      </c>
      <c r="C287" s="11" t="str">
        <f>VLOOKUP($A287, 'ADP Data'!$C$3:$R$300, 16, FALSE)</f>
        <v>#N/A</v>
      </c>
      <c r="D287" s="11"/>
      <c r="E287" s="11"/>
      <c r="F287" s="11"/>
      <c r="G287" s="11"/>
      <c r="H287" s="11"/>
      <c r="I287" s="11" t="str">
        <f>VLOOKUP($A287, 'ADP Data'!$C$3:$Q$300, 13, FALSE)</f>
        <v>#N/A</v>
      </c>
      <c r="J287" s="11" t="str">
        <f>VLOOKUP($A287, 'ADP Data'!$C$3:$Q$300, 10, FALSE)</f>
        <v>#N/A</v>
      </c>
      <c r="K287" s="11" t="s">
        <v>36</v>
      </c>
    </row>
    <row r="288" ht="14.25" customHeight="1">
      <c r="A288" s="1" t="s">
        <v>630</v>
      </c>
      <c r="B288" s="11" t="str">
        <f>VLOOKUP($A288, 'ADP Data'!$C$3:$R$300, 2, FALSE)</f>
        <v>CHI</v>
      </c>
      <c r="C288" s="11" t="str">
        <f>VLOOKUP($A288, 'ADP Data'!$C$3:$R$300, 16, FALSE)</f>
        <v>DE</v>
      </c>
      <c r="D288" s="11"/>
      <c r="E288" s="11"/>
      <c r="F288" s="11"/>
      <c r="G288" s="11"/>
      <c r="H288" s="11"/>
      <c r="I288" s="11" t="str">
        <f>VLOOKUP($A288, 'ADP Data'!$C$3:$Q$300, 13, FALSE)</f>
        <v>-</v>
      </c>
      <c r="J288" s="11" t="str">
        <f>VLOOKUP($A288, 'ADP Data'!$C$3:$Q$300, 10, FALSE)</f>
        <v>-</v>
      </c>
      <c r="K288" s="11" t="s">
        <v>36</v>
      </c>
    </row>
    <row r="289" ht="14.25" customHeight="1">
      <c r="A289" s="1" t="s">
        <v>454</v>
      </c>
      <c r="B289" s="11" t="str">
        <f>VLOOKUP($A289, 'ADP Data'!$C$3:$R$300, 2, FALSE)</f>
        <v>#N/A</v>
      </c>
      <c r="C289" s="11" t="str">
        <f>VLOOKUP($A289, 'ADP Data'!$C$3:$R$300, 16, FALSE)</f>
        <v>#N/A</v>
      </c>
      <c r="D289" s="11"/>
      <c r="E289" s="11"/>
      <c r="F289" s="11"/>
      <c r="G289" s="11"/>
      <c r="H289" s="11"/>
      <c r="I289" s="11" t="str">
        <f>VLOOKUP($A289, 'ADP Data'!$C$3:$Q$300, 13, FALSE)</f>
        <v>#N/A</v>
      </c>
      <c r="J289" s="11" t="str">
        <f>VLOOKUP($A289, 'ADP Data'!$C$3:$Q$300, 10, FALSE)</f>
        <v>#N/A</v>
      </c>
      <c r="K289" s="11">
        <v>234.0</v>
      </c>
    </row>
    <row r="290" ht="14.25" customHeight="1">
      <c r="A290" s="1" t="s">
        <v>970</v>
      </c>
      <c r="B290" s="11" t="str">
        <f>VLOOKUP($A290, 'ADP Data'!$C$3:$R$300, 2, FALSE)</f>
        <v>#N/A</v>
      </c>
      <c r="C290" s="11" t="str">
        <f>VLOOKUP($A290, 'ADP Data'!$C$3:$R$300, 16, FALSE)</f>
        <v>#N/A</v>
      </c>
      <c r="D290" s="11"/>
      <c r="E290" s="11"/>
      <c r="F290" s="11"/>
      <c r="G290" s="11"/>
      <c r="H290" s="11"/>
      <c r="I290" s="11" t="str">
        <f>VLOOKUP($A290, 'ADP Data'!$C$3:$Q$300, 13, FALSE)</f>
        <v>#N/A</v>
      </c>
      <c r="J290" s="11" t="str">
        <f>VLOOKUP($A290, 'ADP Data'!$C$3:$Q$300, 10, FALSE)</f>
        <v>#N/A</v>
      </c>
      <c r="K290" s="11">
        <v>209.0</v>
      </c>
    </row>
    <row r="291" ht="14.25" customHeight="1">
      <c r="A291" s="1" t="s">
        <v>527</v>
      </c>
      <c r="B291" s="11" t="str">
        <f>VLOOKUP($A291, 'ADP Data'!$C$3:$R$300, 2, FALSE)</f>
        <v>#N/A</v>
      </c>
      <c r="C291" s="11" t="str">
        <f>VLOOKUP($A291, 'ADP Data'!$C$3:$R$300, 16, FALSE)</f>
        <v>#N/A</v>
      </c>
      <c r="D291" s="11"/>
      <c r="E291" s="11"/>
      <c r="F291" s="11"/>
      <c r="G291" s="11"/>
      <c r="H291" s="11"/>
      <c r="I291" s="11" t="str">
        <f>VLOOKUP($A291, 'ADP Data'!$C$3:$Q$300, 13, FALSE)</f>
        <v>#N/A</v>
      </c>
      <c r="J291" s="11" t="str">
        <f>VLOOKUP($A291, 'ADP Data'!$C$3:$Q$300, 10, FALSE)</f>
        <v>#N/A</v>
      </c>
      <c r="K291" s="11" t="e">
        <v>#N/A</v>
      </c>
    </row>
    <row r="292" ht="14.25" customHeight="1">
      <c r="A292" s="1" t="s">
        <v>602</v>
      </c>
      <c r="B292" s="11" t="str">
        <f>VLOOKUP($A292, 'ADP Data'!$C$3:$R$300, 2, FALSE)</f>
        <v>BAL</v>
      </c>
      <c r="C292" s="11" t="str">
        <f>VLOOKUP($A292, 'ADP Data'!$C$3:$R$300, 16, FALSE)</f>
        <v>K-</v>
      </c>
      <c r="D292" s="11"/>
      <c r="E292" s="11"/>
      <c r="F292" s="11"/>
      <c r="G292" s="11"/>
      <c r="H292" s="11"/>
      <c r="I292" s="11" t="str">
        <f>VLOOKUP($A292, 'ADP Data'!$C$3:$Q$300, 13, FALSE)</f>
        <v>-</v>
      </c>
      <c r="J292" s="11" t="str">
        <f>VLOOKUP($A292, 'ADP Data'!$C$3:$Q$300, 10, FALSE)</f>
        <v>-</v>
      </c>
      <c r="K292" s="11" t="e">
        <v>#N/A</v>
      </c>
    </row>
    <row r="293" ht="14.25" customHeight="1">
      <c r="A293" s="1" t="s">
        <v>664</v>
      </c>
      <c r="B293" s="11" t="str">
        <f>VLOOKUP($A293, 'ADP Data'!$C$3:$R$300, 2, FALSE)</f>
        <v>CLE</v>
      </c>
      <c r="C293" s="11" t="str">
        <f>VLOOKUP($A293, 'ADP Data'!$C$3:$R$300, 16, FALSE)</f>
        <v>DE</v>
      </c>
      <c r="D293" s="11"/>
      <c r="E293" s="11"/>
      <c r="F293" s="11"/>
      <c r="G293" s="11"/>
      <c r="H293" s="11"/>
      <c r="I293" s="11" t="str">
        <f>VLOOKUP($A293, 'ADP Data'!$C$3:$Q$300, 13, FALSE)</f>
        <v>-</v>
      </c>
      <c r="J293" s="11">
        <f>VLOOKUP($A293, 'ADP Data'!$C$3:$Q$300, 10, FALSE)</f>
        <v>217</v>
      </c>
      <c r="K293" s="11">
        <v>217.0</v>
      </c>
    </row>
    <row r="294" ht="14.25" customHeight="1">
      <c r="A294" s="1" t="s">
        <v>905</v>
      </c>
      <c r="B294" s="11" t="str">
        <f>VLOOKUP($A294, 'ADP Data'!$C$3:$R$300, 2, FALSE)</f>
        <v>#N/A</v>
      </c>
      <c r="C294" s="11" t="str">
        <f>VLOOKUP($A294, 'ADP Data'!$C$3:$R$300, 16, FALSE)</f>
        <v>#N/A</v>
      </c>
      <c r="D294" s="11"/>
      <c r="E294" s="11"/>
      <c r="F294" s="11"/>
      <c r="G294" s="11"/>
      <c r="H294" s="11"/>
      <c r="I294" s="11" t="str">
        <f>VLOOKUP($A294, 'ADP Data'!$C$3:$Q$300, 13, FALSE)</f>
        <v>#N/A</v>
      </c>
      <c r="J294" s="11" t="str">
        <f>VLOOKUP($A294, 'ADP Data'!$C$3:$Q$300, 10, FALSE)</f>
        <v>#N/A</v>
      </c>
      <c r="K294" s="11" t="s">
        <v>36</v>
      </c>
    </row>
    <row r="295" ht="14.25" customHeight="1">
      <c r="A295" s="1" t="s">
        <v>918</v>
      </c>
      <c r="B295" s="11" t="str">
        <f>VLOOKUP($A295, 'ADP Data'!$C$3:$R$300, 2, FALSE)</f>
        <v>IND</v>
      </c>
      <c r="C295" s="11" t="str">
        <f>VLOOKUP($A295, 'ADP Data'!$C$3:$R$300, 16, FALSE)</f>
        <v>DE</v>
      </c>
      <c r="D295" s="11"/>
      <c r="E295" s="11"/>
      <c r="F295" s="11"/>
      <c r="G295" s="11"/>
      <c r="H295" s="11"/>
      <c r="I295" s="11" t="str">
        <f>VLOOKUP($A295, 'ADP Data'!$C$3:$Q$300, 13, FALSE)</f>
        <v>-</v>
      </c>
      <c r="J295" s="11" t="str">
        <f>VLOOKUP($A295, 'ADP Data'!$C$3:$Q$300, 10, FALSE)</f>
        <v>-</v>
      </c>
      <c r="K295" s="11" t="e">
        <v>#N/A</v>
      </c>
    </row>
    <row r="296" ht="14.25" customHeight="1">
      <c r="A296" s="1" t="s">
        <v>617</v>
      </c>
      <c r="B296" s="11" t="str">
        <f>VLOOKUP($A296, 'ADP Data'!$C$3:$R$300, 2, FALSE)</f>
        <v>#N/A</v>
      </c>
      <c r="C296" s="11" t="str">
        <f>VLOOKUP($A296, 'ADP Data'!$C$3:$R$300, 16, FALSE)</f>
        <v>#N/A</v>
      </c>
      <c r="D296" s="11"/>
      <c r="E296" s="11"/>
      <c r="F296" s="11"/>
      <c r="G296" s="11"/>
      <c r="H296" s="11"/>
      <c r="I296" s="11" t="str">
        <f>VLOOKUP($A296, 'ADP Data'!$C$3:$Q$300, 13, FALSE)</f>
        <v>#N/A</v>
      </c>
      <c r="J296" s="11" t="str">
        <f>VLOOKUP($A296, 'ADP Data'!$C$3:$Q$300, 10, FALSE)</f>
        <v>#N/A</v>
      </c>
      <c r="K296" s="11" t="e">
        <v>#N/A</v>
      </c>
    </row>
    <row r="297" ht="14.25" customHeight="1">
      <c r="A297" s="1" t="s">
        <v>890</v>
      </c>
      <c r="B297" s="11" t="str">
        <f>VLOOKUP($A297, 'ADP Data'!$C$3:$R$300, 2, FALSE)</f>
        <v>#N/A</v>
      </c>
      <c r="C297" s="11" t="str">
        <f>VLOOKUP($A297, 'ADP Data'!$C$3:$R$300, 16, FALSE)</f>
        <v>#N/A</v>
      </c>
      <c r="D297" s="11"/>
      <c r="E297" s="11"/>
      <c r="F297" s="11"/>
      <c r="G297" s="11"/>
      <c r="H297" s="11"/>
      <c r="I297" s="11" t="str">
        <f>VLOOKUP($A297, 'ADP Data'!$C$3:$Q$300, 13, FALSE)</f>
        <v>#N/A</v>
      </c>
      <c r="J297" s="11" t="str">
        <f>VLOOKUP($A297, 'ADP Data'!$C$3:$Q$300, 10, FALSE)</f>
        <v>#N/A</v>
      </c>
      <c r="K297" s="11">
        <v>197.0</v>
      </c>
    </row>
    <row r="298" ht="14.25" customHeight="1">
      <c r="A298" s="1" t="s">
        <v>912</v>
      </c>
      <c r="B298" s="11" t="str">
        <f>VLOOKUP($A298, 'ADP Data'!$C$3:$R$300, 2, FALSE)</f>
        <v>HOU</v>
      </c>
      <c r="C298" s="11" t="str">
        <f>VLOOKUP($A298, 'ADP Data'!$C$3:$R$300, 16, FALSE)</f>
        <v>RB</v>
      </c>
      <c r="D298" s="11"/>
      <c r="E298" s="11"/>
      <c r="F298" s="11"/>
      <c r="G298" s="11"/>
      <c r="H298" s="11"/>
      <c r="I298" s="11">
        <f>VLOOKUP($A298, 'ADP Data'!$C$3:$Q$300, 13, FALSE)</f>
        <v>211</v>
      </c>
      <c r="J298" s="11">
        <f>VLOOKUP($A298, 'ADP Data'!$C$3:$Q$300, 10, FALSE)</f>
        <v>229</v>
      </c>
      <c r="K298" s="11" t="e">
        <v>#N/A</v>
      </c>
    </row>
    <row r="299" ht="14.25" customHeight="1">
      <c r="A299" s="1" t="s">
        <v>722</v>
      </c>
      <c r="B299" s="11" t="str">
        <f>VLOOKUP($A299, 'ADP Data'!$C$3:$R$300, 2, FALSE)</f>
        <v>#N/A</v>
      </c>
      <c r="C299" s="11" t="str">
        <f>VLOOKUP($A299, 'ADP Data'!$C$3:$R$300, 16, FALSE)</f>
        <v>#N/A</v>
      </c>
      <c r="D299" s="11"/>
      <c r="E299" s="11"/>
      <c r="F299" s="11"/>
      <c r="G299" s="11"/>
      <c r="H299" s="11"/>
      <c r="I299" s="11" t="str">
        <f>VLOOKUP($A299, 'ADP Data'!$C$3:$Q$300, 13, FALSE)</f>
        <v>#N/A</v>
      </c>
      <c r="J299" s="11" t="str">
        <f>VLOOKUP($A299, 'ADP Data'!$C$3:$Q$300, 10, FALSE)</f>
        <v>#N/A</v>
      </c>
      <c r="K299" s="11" t="e">
        <v>#N/A</v>
      </c>
    </row>
    <row r="300" ht="14.25" customHeight="1">
      <c r="A300" s="1" t="s">
        <v>1136</v>
      </c>
      <c r="B300" s="11" t="str">
        <f>VLOOKUP($A300, 'ADP Data'!$C$3:$R$300, 2, FALSE)</f>
        <v>NE</v>
      </c>
      <c r="C300" s="11" t="str">
        <f>VLOOKUP($A300, 'ADP Data'!$C$3:$R$300, 16, FALSE)</f>
        <v>WR</v>
      </c>
      <c r="D300" s="11"/>
      <c r="E300" s="11"/>
      <c r="F300" s="11"/>
      <c r="G300" s="11"/>
      <c r="H300" s="11"/>
      <c r="I300" s="11">
        <f>VLOOKUP($A300, 'ADP Data'!$C$3:$Q$300, 13, FALSE)</f>
        <v>258</v>
      </c>
      <c r="J300" s="11" t="str">
        <f>VLOOKUP($A300, 'ADP Data'!$C$3:$Q$300, 10, FALSE)</f>
        <v>-</v>
      </c>
      <c r="K300" s="11" t="e">
        <v>#N/A</v>
      </c>
    </row>
    <row r="301" ht="14.25" customHeight="1">
      <c r="A301" s="1" t="s">
        <v>446</v>
      </c>
      <c r="B301" s="11" t="str">
        <f>VLOOKUP($A301, 'ADP Data'!$C$3:$R$300, 2, FALSE)</f>
        <v>LAR</v>
      </c>
      <c r="C301" s="11" t="str">
        <f>VLOOKUP($A301, 'ADP Data'!$C$3:$R$300, 16, FALSE)</f>
        <v>TE</v>
      </c>
      <c r="D301" s="11"/>
      <c r="E301" s="11"/>
      <c r="F301" s="11"/>
      <c r="G301" s="11"/>
      <c r="H301" s="11"/>
      <c r="I301" s="11">
        <f>VLOOKUP($A301, 'ADP Data'!$C$3:$Q$300, 13, FALSE)</f>
        <v>247</v>
      </c>
      <c r="J301" s="11" t="str">
        <f>VLOOKUP($A301, 'ADP Data'!$C$3:$Q$300, 10, FALSE)</f>
        <v>-</v>
      </c>
      <c r="K301" s="11">
        <v>236.0</v>
      </c>
    </row>
    <row r="302" ht="14.25" customHeight="1">
      <c r="A302" s="1" t="s">
        <v>651</v>
      </c>
      <c r="B302" s="11" t="str">
        <f>VLOOKUP($A302, 'ADP Data'!$C$3:$R$300, 2, FALSE)</f>
        <v>ATL</v>
      </c>
      <c r="C302" s="11" t="str">
        <f>VLOOKUP($A302, 'ADP Data'!$C$3:$R$300, 16, FALSE)</f>
        <v>QB</v>
      </c>
      <c r="D302" s="11"/>
      <c r="E302" s="11"/>
      <c r="F302" s="11"/>
      <c r="G302" s="11"/>
      <c r="H302" s="11"/>
      <c r="I302" s="11">
        <f>VLOOKUP($A302, 'ADP Data'!$C$3:$Q$300, 13, FALSE)</f>
        <v>327</v>
      </c>
      <c r="J302" s="11" t="str">
        <f>VLOOKUP($A302, 'ADP Data'!$C$3:$Q$300, 10, FALSE)</f>
        <v>-</v>
      </c>
      <c r="K302" s="11" t="s">
        <v>36</v>
      </c>
    </row>
    <row r="303" ht="14.25" customHeight="1">
      <c r="A303" s="11"/>
      <c r="B303" s="11" t="str">
        <f>VLOOKUP($A303, 'ADP Data'!$C$3:$R$300, 2, FALSE)</f>
        <v>#N/A</v>
      </c>
      <c r="C303" s="11" t="str">
        <f>VLOOKUP($A303, 'ADP Data'!$C$3:$R$300, 16, FALSE)</f>
        <v>#N/A</v>
      </c>
      <c r="D303" s="11"/>
      <c r="E303" s="11"/>
      <c r="F303" s="11"/>
      <c r="G303" s="11"/>
      <c r="H303" s="11"/>
      <c r="I303" s="11" t="str">
        <f>VLOOKUP($A303, 'ADP Data'!$C$3:$Q$300, 13, FALSE)</f>
        <v>#N/A</v>
      </c>
      <c r="J303" s="11" t="str">
        <f>VLOOKUP($A303, 'ADP Data'!$C$3:$Q$300, 10, FALSE)</f>
        <v>#N/A</v>
      </c>
      <c r="K303" s="11" t="e">
        <v>#N/A</v>
      </c>
    </row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2:$J$303">
    <sortState ref="A2:J303">
      <sortCondition ref="J2:J303"/>
    </sortState>
  </autoFilter>
  <conditionalFormatting sqref="A3:A292">
    <cfRule type="expression" dxfId="0" priority="1">
      <formula>$E3="No"</formula>
    </cfRule>
  </conditionalFormatting>
  <conditionalFormatting sqref="J3:J30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rintOptions/>
  <pageMargins bottom="0.75" footer="0.0" header="0.0" left="0.7" right="0.7" top="0.75"/>
  <pageSetup orientation="landscape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FBFBF"/>
    <pageSetUpPr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4.43" defaultRowHeight="15.0"/>
  <cols>
    <col customWidth="1" min="1" max="1" width="8.71"/>
    <col customWidth="1" min="2" max="2" width="11.71"/>
    <col customWidth="1" min="3" max="3" width="22.43"/>
    <col customWidth="1" min="4" max="26" width="8.71"/>
  </cols>
  <sheetData>
    <row r="1" ht="14.25" customHeight="1">
      <c r="A1" s="1" t="s">
        <v>1</v>
      </c>
    </row>
    <row r="2" ht="14.25" customHeight="1">
      <c r="A2" s="1" t="s">
        <v>2</v>
      </c>
    </row>
    <row r="3" ht="14.25" customHeight="1">
      <c r="A3" s="1">
        <v>0.0</v>
      </c>
      <c r="B3" s="1">
        <v>0.0</v>
      </c>
      <c r="C3" s="1">
        <v>1.0</v>
      </c>
      <c r="D3" s="1">
        <v>2.0</v>
      </c>
      <c r="E3" s="1">
        <v>3.0</v>
      </c>
      <c r="F3" s="1">
        <v>4.0</v>
      </c>
      <c r="G3" s="1">
        <v>5.0</v>
      </c>
      <c r="H3" s="1">
        <v>6.0</v>
      </c>
      <c r="I3" s="1">
        <v>7.0</v>
      </c>
      <c r="J3" s="1">
        <v>8.0</v>
      </c>
      <c r="K3" s="1">
        <v>9.0</v>
      </c>
      <c r="L3" s="1">
        <v>10.0</v>
      </c>
      <c r="M3" s="1">
        <v>11.0</v>
      </c>
      <c r="N3" s="1">
        <v>12.0</v>
      </c>
      <c r="O3" s="1">
        <v>13.0</v>
      </c>
      <c r="P3" s="1">
        <v>14.0</v>
      </c>
      <c r="Q3" s="1">
        <v>15.0</v>
      </c>
      <c r="R3" s="1">
        <v>16.0</v>
      </c>
    </row>
    <row r="4" ht="14.25" customHeight="1">
      <c r="A4" s="8" t="s">
        <v>6</v>
      </c>
      <c r="B4" s="8" t="s">
        <v>8</v>
      </c>
      <c r="C4" s="8" t="s">
        <v>5</v>
      </c>
      <c r="D4" s="8" t="s">
        <v>7</v>
      </c>
      <c r="E4" s="8" t="s">
        <v>13</v>
      </c>
      <c r="F4" s="8" t="s">
        <v>15</v>
      </c>
      <c r="G4" s="8" t="s">
        <v>18</v>
      </c>
      <c r="H4" s="8" t="s">
        <v>20</v>
      </c>
      <c r="I4" s="8" t="s">
        <v>21</v>
      </c>
      <c r="J4" s="8" t="s">
        <v>23</v>
      </c>
      <c r="K4" s="8" t="s">
        <v>24</v>
      </c>
      <c r="L4" s="8" t="s">
        <v>17</v>
      </c>
      <c r="M4" s="8" t="s">
        <v>27</v>
      </c>
      <c r="N4" s="8" t="s">
        <v>29</v>
      </c>
      <c r="O4" s="8" t="s">
        <v>16</v>
      </c>
      <c r="P4" s="8" t="s">
        <v>31</v>
      </c>
      <c r="Q4" s="8" t="s">
        <v>33</v>
      </c>
      <c r="R4" s="12" t="s">
        <v>8</v>
      </c>
    </row>
    <row r="5" ht="14.25" customHeight="1">
      <c r="A5" s="1">
        <v>1.0</v>
      </c>
      <c r="B5" s="1" t="s">
        <v>43</v>
      </c>
      <c r="C5" s="1" t="s">
        <v>44</v>
      </c>
      <c r="D5" s="1" t="s">
        <v>45</v>
      </c>
      <c r="E5" s="1">
        <v>1.0</v>
      </c>
      <c r="F5" s="1">
        <v>1.0</v>
      </c>
      <c r="G5" s="1">
        <v>1.0</v>
      </c>
      <c r="H5" s="1">
        <v>1.0</v>
      </c>
      <c r="I5" s="1">
        <v>1.0</v>
      </c>
      <c r="J5" s="1">
        <v>1.0</v>
      </c>
      <c r="K5" s="1">
        <v>1.0</v>
      </c>
      <c r="L5" s="1">
        <v>1.0</v>
      </c>
      <c r="M5" s="1">
        <v>1.0</v>
      </c>
      <c r="N5" s="1">
        <v>1.0</v>
      </c>
      <c r="O5" s="1">
        <v>1.0</v>
      </c>
      <c r="P5" s="1">
        <v>1.01</v>
      </c>
      <c r="Q5" s="1">
        <v>1.01</v>
      </c>
      <c r="R5" s="11" t="str">
        <f t="shared" ref="R5:R303" si="1">LEFT(B5, 2)</f>
        <v>WR</v>
      </c>
    </row>
    <row r="6" ht="14.25" customHeight="1">
      <c r="A6" s="1">
        <v>2.0</v>
      </c>
      <c r="B6" s="1" t="s">
        <v>34</v>
      </c>
      <c r="C6" s="1" t="s">
        <v>39</v>
      </c>
      <c r="D6" s="1" t="s">
        <v>40</v>
      </c>
      <c r="E6" s="1">
        <v>2.0</v>
      </c>
      <c r="F6" s="1">
        <v>2.0</v>
      </c>
      <c r="G6" s="1">
        <v>2.0</v>
      </c>
      <c r="H6" s="1">
        <v>2.0</v>
      </c>
      <c r="I6" s="1">
        <v>2.0</v>
      </c>
      <c r="J6" s="1">
        <v>2.0</v>
      </c>
      <c r="K6" s="1">
        <v>3.0</v>
      </c>
      <c r="L6" s="1">
        <v>2.0</v>
      </c>
      <c r="M6" s="1">
        <v>2.0</v>
      </c>
      <c r="N6" s="1">
        <v>2.0</v>
      </c>
      <c r="O6" s="1">
        <v>2.0</v>
      </c>
      <c r="P6" s="1">
        <v>1.02</v>
      </c>
      <c r="Q6" s="1">
        <v>1.02</v>
      </c>
      <c r="R6" s="11" t="str">
        <f t="shared" si="1"/>
        <v>RB</v>
      </c>
    </row>
    <row r="7" ht="14.25" customHeight="1">
      <c r="A7" s="1">
        <v>3.0</v>
      </c>
      <c r="B7" s="1" t="s">
        <v>38</v>
      </c>
      <c r="C7" s="1" t="s">
        <v>25</v>
      </c>
      <c r="D7" s="1" t="s">
        <v>35</v>
      </c>
      <c r="E7" s="1">
        <v>4.0</v>
      </c>
      <c r="F7" s="1">
        <v>5.0</v>
      </c>
      <c r="G7" s="1">
        <v>4.0</v>
      </c>
      <c r="H7" s="1">
        <v>3.0</v>
      </c>
      <c r="I7" s="1">
        <v>3.0</v>
      </c>
      <c r="J7" s="1">
        <v>6.0</v>
      </c>
      <c r="K7" s="1">
        <v>4.0</v>
      </c>
      <c r="L7" s="1">
        <v>4.0</v>
      </c>
      <c r="M7" s="1">
        <v>3.0</v>
      </c>
      <c r="N7" s="1">
        <v>4.0</v>
      </c>
      <c r="O7" s="1">
        <v>4.0</v>
      </c>
      <c r="P7" s="1">
        <v>1.03</v>
      </c>
      <c r="Q7" s="1">
        <v>1.03</v>
      </c>
      <c r="R7" s="11" t="str">
        <f t="shared" si="1"/>
        <v>RB</v>
      </c>
    </row>
    <row r="8" ht="14.25" customHeight="1">
      <c r="A8" s="1">
        <v>4.0</v>
      </c>
      <c r="B8" s="1" t="s">
        <v>56</v>
      </c>
      <c r="C8" s="1" t="s">
        <v>84</v>
      </c>
      <c r="D8" s="1" t="s">
        <v>85</v>
      </c>
      <c r="E8" s="1">
        <v>3.0</v>
      </c>
      <c r="F8" s="1">
        <v>3.0</v>
      </c>
      <c r="G8" s="1">
        <v>6.0</v>
      </c>
      <c r="H8" s="1">
        <v>5.0</v>
      </c>
      <c r="I8" s="1">
        <v>5.0</v>
      </c>
      <c r="J8" s="1">
        <v>4.0</v>
      </c>
      <c r="K8" s="1">
        <v>2.0</v>
      </c>
      <c r="L8" s="1">
        <v>3.0</v>
      </c>
      <c r="M8" s="1">
        <v>4.0</v>
      </c>
      <c r="N8" s="1">
        <v>6.0</v>
      </c>
      <c r="O8" s="1">
        <v>5.0</v>
      </c>
      <c r="P8" s="1">
        <v>1.04</v>
      </c>
      <c r="Q8" s="1">
        <v>1.04</v>
      </c>
      <c r="R8" s="11" t="str">
        <f t="shared" si="1"/>
        <v>RB</v>
      </c>
    </row>
    <row r="9" ht="14.25" customHeight="1">
      <c r="A9" s="1">
        <v>5.0</v>
      </c>
      <c r="B9" s="1" t="s">
        <v>47</v>
      </c>
      <c r="C9" s="1" t="s">
        <v>70</v>
      </c>
      <c r="D9" s="1" t="s">
        <v>71</v>
      </c>
      <c r="E9" s="1">
        <v>5.0</v>
      </c>
      <c r="F9" s="1">
        <v>6.0</v>
      </c>
      <c r="G9" s="1">
        <v>5.0</v>
      </c>
      <c r="H9" s="1">
        <v>4.0</v>
      </c>
      <c r="I9" s="1">
        <v>4.0</v>
      </c>
      <c r="J9" s="1">
        <v>3.0</v>
      </c>
      <c r="K9" s="1">
        <v>6.0</v>
      </c>
      <c r="L9" s="1">
        <v>5.0</v>
      </c>
      <c r="M9" s="1">
        <v>5.0</v>
      </c>
      <c r="N9" s="1">
        <v>3.0</v>
      </c>
      <c r="O9" s="1">
        <v>3.0</v>
      </c>
      <c r="P9" s="1">
        <v>1.05</v>
      </c>
      <c r="Q9" s="1">
        <v>1.05</v>
      </c>
      <c r="R9" s="11" t="str">
        <f t="shared" si="1"/>
        <v>WR</v>
      </c>
    </row>
    <row r="10" ht="14.25" customHeight="1">
      <c r="A10" s="1">
        <v>6.0</v>
      </c>
      <c r="B10" s="1" t="s">
        <v>50</v>
      </c>
      <c r="C10" s="1" t="s">
        <v>74</v>
      </c>
      <c r="D10" s="1" t="s">
        <v>75</v>
      </c>
      <c r="E10" s="1">
        <v>6.0</v>
      </c>
      <c r="F10" s="1">
        <v>4.0</v>
      </c>
      <c r="G10" s="1">
        <v>3.0</v>
      </c>
      <c r="H10" s="1">
        <v>6.0</v>
      </c>
      <c r="I10" s="1">
        <v>6.0</v>
      </c>
      <c r="J10" s="1">
        <v>5.0</v>
      </c>
      <c r="K10" s="1">
        <v>5.0</v>
      </c>
      <c r="L10" s="1">
        <v>6.0</v>
      </c>
      <c r="M10" s="1">
        <v>6.0</v>
      </c>
      <c r="N10" s="1">
        <v>5.0</v>
      </c>
      <c r="O10" s="1">
        <v>6.0</v>
      </c>
      <c r="P10" s="1">
        <v>1.06</v>
      </c>
      <c r="Q10" s="1">
        <v>1.06</v>
      </c>
      <c r="R10" s="11" t="str">
        <f t="shared" si="1"/>
        <v>WR</v>
      </c>
    </row>
    <row r="11" ht="14.25" customHeight="1">
      <c r="A11" s="1">
        <v>7.0</v>
      </c>
      <c r="B11" s="1" t="s">
        <v>60</v>
      </c>
      <c r="C11" s="1" t="s">
        <v>57</v>
      </c>
      <c r="D11" s="1" t="s">
        <v>58</v>
      </c>
      <c r="E11" s="1">
        <v>8.0</v>
      </c>
      <c r="F11" s="1">
        <v>7.0</v>
      </c>
      <c r="G11" s="1">
        <v>7.0</v>
      </c>
      <c r="H11" s="1">
        <v>8.0</v>
      </c>
      <c r="I11" s="1">
        <v>7.0</v>
      </c>
      <c r="J11" s="1">
        <v>11.0</v>
      </c>
      <c r="K11" s="1">
        <v>10.0</v>
      </c>
      <c r="L11" s="1">
        <v>9.0</v>
      </c>
      <c r="M11" s="1">
        <v>8.0</v>
      </c>
      <c r="N11" s="1">
        <v>7.0</v>
      </c>
      <c r="O11" s="1">
        <v>7.0</v>
      </c>
      <c r="P11" s="1">
        <v>1.07</v>
      </c>
      <c r="Q11" s="1">
        <v>1.07</v>
      </c>
      <c r="R11" s="11" t="str">
        <f t="shared" si="1"/>
        <v>RB</v>
      </c>
    </row>
    <row r="12" ht="14.25" customHeight="1">
      <c r="A12" s="1">
        <v>8.0</v>
      </c>
      <c r="B12" s="1" t="s">
        <v>63</v>
      </c>
      <c r="C12" s="1" t="s">
        <v>64</v>
      </c>
      <c r="D12" s="1" t="s">
        <v>35</v>
      </c>
      <c r="E12" s="1">
        <v>12.0</v>
      </c>
      <c r="F12" s="1">
        <v>8.0</v>
      </c>
      <c r="G12" s="1">
        <v>11.0</v>
      </c>
      <c r="H12" s="1">
        <v>11.0</v>
      </c>
      <c r="I12" s="1">
        <v>9.0</v>
      </c>
      <c r="J12" s="1">
        <v>8.0</v>
      </c>
      <c r="K12" s="1">
        <v>8.0</v>
      </c>
      <c r="L12" s="1">
        <v>8.0</v>
      </c>
      <c r="M12" s="1">
        <v>7.0</v>
      </c>
      <c r="N12" s="1">
        <v>9.0</v>
      </c>
      <c r="O12" s="1">
        <v>10.0</v>
      </c>
      <c r="P12" s="1">
        <v>1.08</v>
      </c>
      <c r="Q12" s="1">
        <v>1.08</v>
      </c>
      <c r="R12" s="11" t="str">
        <f t="shared" si="1"/>
        <v>WR</v>
      </c>
    </row>
    <row r="13" ht="14.25" customHeight="1">
      <c r="A13" s="1">
        <v>9.0</v>
      </c>
      <c r="B13" s="1" t="s">
        <v>69</v>
      </c>
      <c r="C13" s="1" t="s">
        <v>127</v>
      </c>
      <c r="D13" s="1" t="s">
        <v>128</v>
      </c>
      <c r="E13" s="1">
        <v>11.0</v>
      </c>
      <c r="F13" s="1">
        <v>10.0</v>
      </c>
      <c r="G13" s="1">
        <v>9.0</v>
      </c>
      <c r="H13" s="1">
        <v>10.0</v>
      </c>
      <c r="I13" s="1">
        <v>8.0</v>
      </c>
      <c r="J13" s="1">
        <v>9.0</v>
      </c>
      <c r="K13" s="1">
        <v>12.0</v>
      </c>
      <c r="L13" s="1">
        <v>10.0</v>
      </c>
      <c r="M13" s="1">
        <v>9.0</v>
      </c>
      <c r="N13" s="1">
        <v>10.0</v>
      </c>
      <c r="O13" s="1">
        <v>9.0</v>
      </c>
      <c r="P13" s="1">
        <v>1.09</v>
      </c>
      <c r="Q13" s="1">
        <v>1.09</v>
      </c>
      <c r="R13" s="11" t="str">
        <f t="shared" si="1"/>
        <v>WR</v>
      </c>
    </row>
    <row r="14" ht="14.25" customHeight="1">
      <c r="A14" s="1">
        <v>10.0</v>
      </c>
      <c r="B14" s="1" t="s">
        <v>65</v>
      </c>
      <c r="C14" s="1" t="s">
        <v>97</v>
      </c>
      <c r="D14" s="1" t="s">
        <v>98</v>
      </c>
      <c r="E14" s="1">
        <v>9.0</v>
      </c>
      <c r="F14" s="1">
        <v>11.0</v>
      </c>
      <c r="G14" s="1">
        <v>10.0</v>
      </c>
      <c r="H14" s="1">
        <v>9.0</v>
      </c>
      <c r="I14" s="1">
        <v>10.0</v>
      </c>
      <c r="J14" s="1">
        <v>12.0</v>
      </c>
      <c r="K14" s="1">
        <v>9.0</v>
      </c>
      <c r="L14" s="1">
        <v>14.0</v>
      </c>
      <c r="M14" s="1">
        <v>10.0</v>
      </c>
      <c r="N14" s="1">
        <v>12.0</v>
      </c>
      <c r="O14" s="1">
        <v>13.0</v>
      </c>
      <c r="P14" s="1">
        <v>1.1</v>
      </c>
      <c r="Q14" s="1">
        <v>1.1</v>
      </c>
      <c r="R14" s="11" t="str">
        <f t="shared" si="1"/>
        <v>RB</v>
      </c>
    </row>
    <row r="15" ht="14.25" customHeight="1">
      <c r="A15" s="1">
        <v>11.0</v>
      </c>
      <c r="B15" s="1" t="s">
        <v>79</v>
      </c>
      <c r="C15" s="1" t="s">
        <v>108</v>
      </c>
      <c r="D15" s="1" t="s">
        <v>109</v>
      </c>
      <c r="E15" s="1">
        <v>7.0</v>
      </c>
      <c r="F15" s="1">
        <v>12.0</v>
      </c>
      <c r="G15" s="1">
        <v>13.0</v>
      </c>
      <c r="H15" s="1">
        <v>14.0</v>
      </c>
      <c r="I15" s="1">
        <v>13.0</v>
      </c>
      <c r="J15" s="1">
        <v>10.0</v>
      </c>
      <c r="K15" s="1">
        <v>7.0</v>
      </c>
      <c r="L15" s="1">
        <v>11.0</v>
      </c>
      <c r="M15" s="1">
        <v>11.0</v>
      </c>
      <c r="N15" s="1">
        <v>15.0</v>
      </c>
      <c r="O15" s="1">
        <v>14.0</v>
      </c>
      <c r="P15" s="1">
        <v>2.01</v>
      </c>
      <c r="Q15" s="1">
        <v>1.11</v>
      </c>
      <c r="R15" s="11" t="str">
        <f t="shared" si="1"/>
        <v>RB</v>
      </c>
    </row>
    <row r="16" ht="14.25" customHeight="1">
      <c r="A16" s="1">
        <v>12.0</v>
      </c>
      <c r="B16" s="1" t="s">
        <v>73</v>
      </c>
      <c r="C16" s="1" t="s">
        <v>118</v>
      </c>
      <c r="D16" s="1" t="s">
        <v>119</v>
      </c>
      <c r="E16" s="1">
        <v>13.0</v>
      </c>
      <c r="F16" s="1">
        <v>13.0</v>
      </c>
      <c r="G16" s="1">
        <v>12.0</v>
      </c>
      <c r="H16" s="1">
        <v>12.0</v>
      </c>
      <c r="I16" s="1">
        <v>12.0</v>
      </c>
      <c r="J16" s="1">
        <v>16.0</v>
      </c>
      <c r="K16" s="1">
        <v>13.0</v>
      </c>
      <c r="L16" s="1">
        <v>7.0</v>
      </c>
      <c r="M16" s="1">
        <v>13.0</v>
      </c>
      <c r="N16" s="1">
        <v>8.0</v>
      </c>
      <c r="O16" s="1">
        <v>8.0</v>
      </c>
      <c r="P16" s="1">
        <v>2.02</v>
      </c>
      <c r="Q16" s="1">
        <v>1.12</v>
      </c>
      <c r="R16" s="11" t="str">
        <f t="shared" si="1"/>
        <v>WR</v>
      </c>
    </row>
    <row r="17" ht="14.25" customHeight="1">
      <c r="A17" s="1">
        <v>13.0</v>
      </c>
      <c r="B17" s="1" t="s">
        <v>112</v>
      </c>
      <c r="C17" s="1" t="s">
        <v>48</v>
      </c>
      <c r="D17" s="1" t="s">
        <v>49</v>
      </c>
      <c r="E17" s="1">
        <v>14.0</v>
      </c>
      <c r="F17" s="1">
        <v>9.0</v>
      </c>
      <c r="G17" s="1">
        <v>8.0</v>
      </c>
      <c r="H17" s="1">
        <v>15.0</v>
      </c>
      <c r="I17" s="1">
        <v>14.0</v>
      </c>
      <c r="J17" s="1">
        <v>7.0</v>
      </c>
      <c r="K17" s="1">
        <v>11.0</v>
      </c>
      <c r="L17" s="1">
        <v>16.0</v>
      </c>
      <c r="M17" s="1">
        <v>12.0</v>
      </c>
      <c r="N17" s="1">
        <v>13.0</v>
      </c>
      <c r="O17" s="1">
        <v>11.0</v>
      </c>
      <c r="P17" s="1">
        <v>2.03</v>
      </c>
      <c r="Q17" s="1">
        <v>2.01</v>
      </c>
      <c r="R17" s="11" t="str">
        <f t="shared" si="1"/>
        <v>WR</v>
      </c>
    </row>
    <row r="18" ht="14.25" customHeight="1">
      <c r="A18" s="1">
        <v>14.0</v>
      </c>
      <c r="B18" s="1" t="s">
        <v>115</v>
      </c>
      <c r="C18" s="1" t="s">
        <v>242</v>
      </c>
      <c r="D18" s="1" t="s">
        <v>206</v>
      </c>
      <c r="E18" s="1">
        <v>20.0</v>
      </c>
      <c r="F18" s="1">
        <v>16.0</v>
      </c>
      <c r="G18" s="1">
        <v>14.0</v>
      </c>
      <c r="H18" s="1">
        <v>16.0</v>
      </c>
      <c r="I18" s="1">
        <v>11.0</v>
      </c>
      <c r="J18" s="1">
        <v>13.0</v>
      </c>
      <c r="K18" s="1">
        <v>16.0</v>
      </c>
      <c r="L18" s="1">
        <v>13.0</v>
      </c>
      <c r="M18" s="1">
        <v>14.0</v>
      </c>
      <c r="N18" s="1">
        <v>11.0</v>
      </c>
      <c r="O18" s="1">
        <v>12.0</v>
      </c>
      <c r="P18" s="1">
        <v>2.04</v>
      </c>
      <c r="Q18" s="1">
        <v>2.02</v>
      </c>
      <c r="R18" s="11" t="str">
        <f t="shared" si="1"/>
        <v>WR</v>
      </c>
    </row>
    <row r="19" ht="14.25" customHeight="1">
      <c r="A19" s="1">
        <v>15.0</v>
      </c>
      <c r="B19" s="1" t="s">
        <v>83</v>
      </c>
      <c r="C19" s="1" t="s">
        <v>92</v>
      </c>
      <c r="D19" s="1" t="s">
        <v>94</v>
      </c>
      <c r="E19" s="1">
        <v>16.0</v>
      </c>
      <c r="F19" s="1">
        <v>14.0</v>
      </c>
      <c r="G19" s="1">
        <v>15.0</v>
      </c>
      <c r="H19" s="1">
        <v>18.0</v>
      </c>
      <c r="I19" s="1">
        <v>16.0</v>
      </c>
      <c r="J19" s="1">
        <v>14.0</v>
      </c>
      <c r="K19" s="1">
        <v>14.0</v>
      </c>
      <c r="L19" s="1">
        <v>20.0</v>
      </c>
      <c r="M19" s="1">
        <v>15.0</v>
      </c>
      <c r="N19" s="1">
        <v>18.0</v>
      </c>
      <c r="O19" s="1">
        <v>16.0</v>
      </c>
      <c r="P19" s="1">
        <v>2.05</v>
      </c>
      <c r="Q19" s="1">
        <v>2.03</v>
      </c>
      <c r="R19" s="11" t="str">
        <f t="shared" si="1"/>
        <v>RB</v>
      </c>
    </row>
    <row r="20" ht="14.25" customHeight="1">
      <c r="A20" s="1">
        <v>16.0</v>
      </c>
      <c r="B20" s="1" t="s">
        <v>117</v>
      </c>
      <c r="C20" s="1" t="s">
        <v>114</v>
      </c>
      <c r="D20" s="1" t="s">
        <v>40</v>
      </c>
      <c r="E20" s="1">
        <v>23.0</v>
      </c>
      <c r="F20" s="1">
        <v>21.0</v>
      </c>
      <c r="G20" s="1">
        <v>16.0</v>
      </c>
      <c r="H20" s="1">
        <v>19.0</v>
      </c>
      <c r="I20" s="1">
        <v>15.0</v>
      </c>
      <c r="J20" s="1">
        <v>20.0</v>
      </c>
      <c r="K20" s="1">
        <v>17.0</v>
      </c>
      <c r="L20" s="1">
        <v>12.0</v>
      </c>
      <c r="M20" s="1">
        <v>17.0</v>
      </c>
      <c r="N20" s="1">
        <v>14.0</v>
      </c>
      <c r="O20" s="1">
        <v>15.0</v>
      </c>
      <c r="P20" s="1">
        <v>2.06</v>
      </c>
      <c r="Q20" s="1">
        <v>2.04</v>
      </c>
      <c r="R20" s="11" t="str">
        <f t="shared" si="1"/>
        <v>WR</v>
      </c>
    </row>
    <row r="21" ht="14.25" customHeight="1">
      <c r="A21" s="1">
        <v>17.0</v>
      </c>
      <c r="B21" s="1" t="s">
        <v>110</v>
      </c>
      <c r="C21" s="1" t="s">
        <v>111</v>
      </c>
      <c r="D21" s="1" t="s">
        <v>98</v>
      </c>
      <c r="E21" s="1">
        <v>24.0</v>
      </c>
      <c r="F21" s="1">
        <v>20.0</v>
      </c>
      <c r="G21" s="1">
        <v>19.0</v>
      </c>
      <c r="H21" s="1">
        <v>7.0</v>
      </c>
      <c r="I21" s="1">
        <v>18.0</v>
      </c>
      <c r="J21" s="1">
        <v>17.0</v>
      </c>
      <c r="K21" s="1">
        <v>19.0</v>
      </c>
      <c r="L21" s="1">
        <v>23.0</v>
      </c>
      <c r="M21" s="1">
        <v>16.0</v>
      </c>
      <c r="N21" s="1">
        <v>19.0</v>
      </c>
      <c r="O21" s="1">
        <v>18.0</v>
      </c>
      <c r="P21" s="1">
        <v>2.07</v>
      </c>
      <c r="Q21" s="1">
        <v>2.05</v>
      </c>
      <c r="R21" s="11" t="str">
        <f t="shared" si="1"/>
        <v>TE</v>
      </c>
    </row>
    <row r="22" ht="14.25" customHeight="1">
      <c r="A22" s="1">
        <v>18.0</v>
      </c>
      <c r="B22" s="1" t="s">
        <v>120</v>
      </c>
      <c r="C22" s="1" t="s">
        <v>113</v>
      </c>
      <c r="D22" s="1" t="s">
        <v>85</v>
      </c>
      <c r="E22" s="1">
        <v>27.0</v>
      </c>
      <c r="F22" s="1">
        <v>18.0</v>
      </c>
      <c r="G22" s="1">
        <v>22.0</v>
      </c>
      <c r="H22" s="1">
        <v>23.0</v>
      </c>
      <c r="I22" s="1">
        <v>21.0</v>
      </c>
      <c r="J22" s="1">
        <v>15.0</v>
      </c>
      <c r="K22" s="1">
        <v>18.0</v>
      </c>
      <c r="L22" s="1">
        <v>18.0</v>
      </c>
      <c r="M22" s="1">
        <v>19.0</v>
      </c>
      <c r="N22" s="1">
        <v>17.0</v>
      </c>
      <c r="O22" s="1">
        <v>17.0</v>
      </c>
      <c r="P22" s="1">
        <v>2.08</v>
      </c>
      <c r="Q22" s="1">
        <v>2.06</v>
      </c>
      <c r="R22" s="11" t="str">
        <f t="shared" si="1"/>
        <v>WR</v>
      </c>
    </row>
    <row r="23" ht="14.25" customHeight="1">
      <c r="A23" s="1">
        <v>19.0</v>
      </c>
      <c r="B23" s="1" t="s">
        <v>91</v>
      </c>
      <c r="C23" s="1" t="s">
        <v>153</v>
      </c>
      <c r="D23" s="1" t="s">
        <v>154</v>
      </c>
      <c r="E23" s="1">
        <v>10.0</v>
      </c>
      <c r="F23" s="1">
        <v>17.0</v>
      </c>
      <c r="G23" s="1">
        <v>23.0</v>
      </c>
      <c r="H23" s="1">
        <v>22.0</v>
      </c>
      <c r="I23" s="1">
        <v>22.0</v>
      </c>
      <c r="J23" s="1">
        <v>19.0</v>
      </c>
      <c r="K23" s="1">
        <v>15.0</v>
      </c>
      <c r="L23" s="1">
        <v>15.0</v>
      </c>
      <c r="M23" s="1">
        <v>26.0</v>
      </c>
      <c r="N23" s="1">
        <v>23.0</v>
      </c>
      <c r="O23" s="1">
        <v>23.0</v>
      </c>
      <c r="P23" s="1">
        <v>2.09</v>
      </c>
      <c r="Q23" s="1">
        <v>2.07</v>
      </c>
      <c r="R23" s="11" t="str">
        <f t="shared" si="1"/>
        <v>RB</v>
      </c>
    </row>
    <row r="24" ht="14.25" customHeight="1">
      <c r="A24" s="1">
        <v>20.0</v>
      </c>
      <c r="B24" s="1" t="s">
        <v>96</v>
      </c>
      <c r="C24" s="1" t="s">
        <v>61</v>
      </c>
      <c r="D24" s="1" t="s">
        <v>62</v>
      </c>
      <c r="E24" s="1">
        <v>21.0</v>
      </c>
      <c r="F24" s="1">
        <v>15.0</v>
      </c>
      <c r="G24" s="1">
        <v>20.0</v>
      </c>
      <c r="H24" s="1">
        <v>21.0</v>
      </c>
      <c r="I24" s="1">
        <v>20.0</v>
      </c>
      <c r="J24" s="1">
        <v>22.0</v>
      </c>
      <c r="K24" s="1">
        <v>20.0</v>
      </c>
      <c r="L24" s="1">
        <v>19.0</v>
      </c>
      <c r="M24" s="1">
        <v>18.0</v>
      </c>
      <c r="N24" s="1">
        <v>20.0</v>
      </c>
      <c r="O24" s="1">
        <v>22.0</v>
      </c>
      <c r="P24" s="1">
        <v>2.1</v>
      </c>
      <c r="Q24" s="1">
        <v>2.08</v>
      </c>
      <c r="R24" s="11" t="str">
        <f t="shared" si="1"/>
        <v>RB</v>
      </c>
    </row>
    <row r="25" ht="14.25" customHeight="1">
      <c r="A25" s="1">
        <v>21.0</v>
      </c>
      <c r="B25" s="1" t="s">
        <v>99</v>
      </c>
      <c r="C25" s="1" t="s">
        <v>80</v>
      </c>
      <c r="D25" s="1" t="s">
        <v>45</v>
      </c>
      <c r="E25" s="1">
        <v>19.0</v>
      </c>
      <c r="F25" s="1">
        <v>24.0</v>
      </c>
      <c r="G25" s="1">
        <v>18.0</v>
      </c>
      <c r="H25" s="1">
        <v>17.0</v>
      </c>
      <c r="I25" s="1">
        <v>17.0</v>
      </c>
      <c r="J25" s="1">
        <v>26.0</v>
      </c>
      <c r="K25" s="1">
        <v>28.0</v>
      </c>
      <c r="L25" s="1">
        <v>21.0</v>
      </c>
      <c r="M25" s="1">
        <v>25.0</v>
      </c>
      <c r="N25" s="1">
        <v>16.0</v>
      </c>
      <c r="O25" s="1">
        <v>19.0</v>
      </c>
      <c r="P25" s="1">
        <v>3.01</v>
      </c>
      <c r="Q25" s="1">
        <v>2.09</v>
      </c>
      <c r="R25" s="11" t="str">
        <f t="shared" si="1"/>
        <v>RB</v>
      </c>
    </row>
    <row r="26" ht="14.25" customHeight="1">
      <c r="A26" s="1">
        <v>22.0</v>
      </c>
      <c r="B26" s="1" t="s">
        <v>103</v>
      </c>
      <c r="C26" s="1" t="s">
        <v>199</v>
      </c>
      <c r="D26" s="1" t="s">
        <v>162</v>
      </c>
      <c r="E26" s="1">
        <v>22.0</v>
      </c>
      <c r="F26" s="1">
        <v>22.0</v>
      </c>
      <c r="G26" s="1">
        <v>25.0</v>
      </c>
      <c r="H26" s="1">
        <v>20.0</v>
      </c>
      <c r="I26" s="1">
        <v>19.0</v>
      </c>
      <c r="J26" s="1">
        <v>24.0</v>
      </c>
      <c r="K26" s="1">
        <v>22.0</v>
      </c>
      <c r="L26" s="1">
        <v>17.0</v>
      </c>
      <c r="M26" s="1">
        <v>23.0</v>
      </c>
      <c r="N26" s="1">
        <v>21.0</v>
      </c>
      <c r="O26" s="1">
        <v>20.0</v>
      </c>
      <c r="P26" s="1">
        <v>3.02</v>
      </c>
      <c r="Q26" s="1">
        <v>2.1</v>
      </c>
      <c r="R26" s="11" t="str">
        <f t="shared" si="1"/>
        <v>RB</v>
      </c>
    </row>
    <row r="27" ht="14.25" customHeight="1">
      <c r="A27" s="1">
        <v>23.0</v>
      </c>
      <c r="B27" s="1" t="s">
        <v>135</v>
      </c>
      <c r="C27" s="1" t="s">
        <v>136</v>
      </c>
      <c r="D27" s="1" t="s">
        <v>67</v>
      </c>
      <c r="E27" s="1">
        <v>15.0</v>
      </c>
      <c r="F27" s="1">
        <v>19.0</v>
      </c>
      <c r="G27" s="1">
        <v>27.0</v>
      </c>
      <c r="H27" s="1">
        <v>27.0</v>
      </c>
      <c r="I27" s="1">
        <v>25.0</v>
      </c>
      <c r="J27" s="1">
        <v>21.0</v>
      </c>
      <c r="K27" s="1">
        <v>21.0</v>
      </c>
      <c r="L27" s="1">
        <v>28.0</v>
      </c>
      <c r="M27" s="1">
        <v>22.0</v>
      </c>
      <c r="N27" s="1">
        <v>26.0</v>
      </c>
      <c r="O27" s="1">
        <v>28.0</v>
      </c>
      <c r="P27" s="1">
        <v>3.03</v>
      </c>
      <c r="Q27" s="1">
        <v>2.11</v>
      </c>
      <c r="R27" s="11" t="str">
        <f t="shared" si="1"/>
        <v>QB</v>
      </c>
    </row>
    <row r="28" ht="14.25" customHeight="1">
      <c r="A28" s="1">
        <v>24.0</v>
      </c>
      <c r="B28" s="1" t="s">
        <v>126</v>
      </c>
      <c r="C28" s="1" t="s">
        <v>173</v>
      </c>
      <c r="D28" s="1" t="s">
        <v>105</v>
      </c>
      <c r="E28" s="1">
        <v>29.0</v>
      </c>
      <c r="F28" s="1">
        <v>30.0</v>
      </c>
      <c r="G28" s="1">
        <v>24.0</v>
      </c>
      <c r="H28" s="1">
        <v>25.0</v>
      </c>
      <c r="I28" s="1">
        <v>23.0</v>
      </c>
      <c r="J28" s="1">
        <v>23.0</v>
      </c>
      <c r="K28" s="1">
        <v>24.0</v>
      </c>
      <c r="L28" s="1">
        <v>22.0</v>
      </c>
      <c r="M28" s="1">
        <v>20.0</v>
      </c>
      <c r="N28" s="1">
        <v>22.0</v>
      </c>
      <c r="O28" s="1">
        <v>21.0</v>
      </c>
      <c r="P28" s="1">
        <v>3.04</v>
      </c>
      <c r="Q28" s="1">
        <v>2.12</v>
      </c>
      <c r="R28" s="11" t="str">
        <f t="shared" si="1"/>
        <v>WR</v>
      </c>
    </row>
    <row r="29" ht="14.25" customHeight="1">
      <c r="A29" s="1">
        <v>25.0</v>
      </c>
      <c r="B29" s="1" t="s">
        <v>182</v>
      </c>
      <c r="C29" s="1" t="s">
        <v>183</v>
      </c>
      <c r="D29" s="1" t="s">
        <v>109</v>
      </c>
      <c r="E29" s="1">
        <v>17.0</v>
      </c>
      <c r="F29" s="1">
        <v>23.0</v>
      </c>
      <c r="G29" s="1">
        <v>31.0</v>
      </c>
      <c r="H29" s="1">
        <v>29.0</v>
      </c>
      <c r="I29" s="1">
        <v>24.0</v>
      </c>
      <c r="J29" s="1">
        <v>18.0</v>
      </c>
      <c r="K29" s="1">
        <v>23.0</v>
      </c>
      <c r="L29" s="1">
        <v>26.0</v>
      </c>
      <c r="M29" s="1">
        <v>21.0</v>
      </c>
      <c r="N29" s="1">
        <v>30.0</v>
      </c>
      <c r="O29" s="1">
        <v>29.0</v>
      </c>
      <c r="P29" s="1">
        <v>3.05</v>
      </c>
      <c r="Q29" s="1">
        <v>3.01</v>
      </c>
      <c r="R29" s="11" t="str">
        <f t="shared" si="1"/>
        <v>QB</v>
      </c>
    </row>
    <row r="30" ht="14.25" customHeight="1">
      <c r="A30" s="1">
        <v>26.0</v>
      </c>
      <c r="B30" s="1" t="s">
        <v>123</v>
      </c>
      <c r="C30" s="1" t="s">
        <v>124</v>
      </c>
      <c r="D30" s="1" t="s">
        <v>125</v>
      </c>
      <c r="E30" s="1">
        <v>35.0</v>
      </c>
      <c r="F30" s="1">
        <v>25.0</v>
      </c>
      <c r="G30" s="1">
        <v>28.0</v>
      </c>
      <c r="H30" s="1">
        <v>13.0</v>
      </c>
      <c r="I30" s="1">
        <v>26.0</v>
      </c>
      <c r="J30" s="1">
        <v>27.0</v>
      </c>
      <c r="K30" s="1">
        <v>26.0</v>
      </c>
      <c r="L30" s="1">
        <v>24.0</v>
      </c>
      <c r="M30" s="1">
        <v>24.0</v>
      </c>
      <c r="N30" s="1">
        <v>24.0</v>
      </c>
      <c r="O30" s="1">
        <v>25.0</v>
      </c>
      <c r="P30" s="1">
        <v>3.06</v>
      </c>
      <c r="Q30" s="1">
        <v>3.02</v>
      </c>
      <c r="R30" s="11" t="str">
        <f t="shared" si="1"/>
        <v>TE</v>
      </c>
    </row>
    <row r="31" ht="14.25" customHeight="1">
      <c r="A31" s="1">
        <v>27.0</v>
      </c>
      <c r="B31" s="1" t="s">
        <v>107</v>
      </c>
      <c r="C31" s="1" t="s">
        <v>138</v>
      </c>
      <c r="D31" s="1" t="s">
        <v>49</v>
      </c>
      <c r="E31" s="1">
        <v>18.0</v>
      </c>
      <c r="F31" s="1">
        <v>29.0</v>
      </c>
      <c r="G31" s="1">
        <v>30.0</v>
      </c>
      <c r="H31" s="1">
        <v>26.0</v>
      </c>
      <c r="I31" s="1">
        <v>27.0</v>
      </c>
      <c r="J31" s="1">
        <v>25.0</v>
      </c>
      <c r="K31" s="1">
        <v>25.0</v>
      </c>
      <c r="L31" s="1">
        <v>27.0</v>
      </c>
      <c r="M31" s="1">
        <v>27.0</v>
      </c>
      <c r="N31" s="1">
        <v>31.0</v>
      </c>
      <c r="O31" s="1">
        <v>31.0</v>
      </c>
      <c r="P31" s="1">
        <v>3.07</v>
      </c>
      <c r="Q31" s="1">
        <v>3.03</v>
      </c>
      <c r="R31" s="11" t="str">
        <f t="shared" si="1"/>
        <v>RB</v>
      </c>
    </row>
    <row r="32" ht="14.25" customHeight="1">
      <c r="A32" s="1">
        <v>28.0</v>
      </c>
      <c r="B32" s="1" t="s">
        <v>129</v>
      </c>
      <c r="C32" s="1" t="s">
        <v>158</v>
      </c>
      <c r="D32" s="1" t="s">
        <v>45</v>
      </c>
      <c r="E32" s="1">
        <v>32.0</v>
      </c>
      <c r="F32" s="1">
        <v>26.0</v>
      </c>
      <c r="G32" s="1">
        <v>33.0</v>
      </c>
      <c r="H32" s="1">
        <v>30.0</v>
      </c>
      <c r="I32" s="1">
        <v>29.0</v>
      </c>
      <c r="J32" s="1">
        <v>33.0</v>
      </c>
      <c r="K32" s="1">
        <v>31.0</v>
      </c>
      <c r="L32" s="1">
        <v>29.0</v>
      </c>
      <c r="M32" s="1">
        <v>28.0</v>
      </c>
      <c r="N32" s="1">
        <v>25.0</v>
      </c>
      <c r="O32" s="1">
        <v>24.0</v>
      </c>
      <c r="P32" s="1">
        <v>3.08</v>
      </c>
      <c r="Q32" s="1">
        <v>3.04</v>
      </c>
      <c r="R32" s="11" t="str">
        <f t="shared" si="1"/>
        <v>WR</v>
      </c>
    </row>
    <row r="33" ht="14.25" customHeight="1">
      <c r="A33" s="1">
        <v>29.0</v>
      </c>
      <c r="B33" s="1" t="s">
        <v>133</v>
      </c>
      <c r="C33" s="1" t="s">
        <v>51</v>
      </c>
      <c r="D33" s="1" t="s">
        <v>52</v>
      </c>
      <c r="E33" s="1">
        <v>40.0</v>
      </c>
      <c r="F33" s="1">
        <v>37.0</v>
      </c>
      <c r="G33" s="1">
        <v>32.0</v>
      </c>
      <c r="H33" s="1">
        <v>31.0</v>
      </c>
      <c r="I33" s="1">
        <v>28.0</v>
      </c>
      <c r="J33" s="1">
        <v>39.0</v>
      </c>
      <c r="K33" s="1">
        <v>29.0</v>
      </c>
      <c r="L33" s="1">
        <v>33.0</v>
      </c>
      <c r="M33" s="1">
        <v>29.0</v>
      </c>
      <c r="N33" s="1">
        <v>29.0</v>
      </c>
      <c r="O33" s="1">
        <v>32.0</v>
      </c>
      <c r="P33" s="1">
        <v>3.09</v>
      </c>
      <c r="Q33" s="1">
        <v>3.05</v>
      </c>
      <c r="R33" s="11" t="str">
        <f t="shared" si="1"/>
        <v>WR</v>
      </c>
    </row>
    <row r="34" ht="14.25" customHeight="1">
      <c r="A34" s="1">
        <v>30.0</v>
      </c>
      <c r="B34" s="1" t="s">
        <v>209</v>
      </c>
      <c r="C34" s="1" t="s">
        <v>224</v>
      </c>
      <c r="D34" s="1" t="s">
        <v>192</v>
      </c>
      <c r="E34" s="1">
        <v>30.0</v>
      </c>
      <c r="F34" s="1">
        <v>27.0</v>
      </c>
      <c r="G34" s="1">
        <v>42.0</v>
      </c>
      <c r="H34" s="1">
        <v>35.0</v>
      </c>
      <c r="I34" s="1">
        <v>35.0</v>
      </c>
      <c r="J34" s="1">
        <v>29.0</v>
      </c>
      <c r="K34" s="1">
        <v>33.0</v>
      </c>
      <c r="L34" s="1">
        <v>30.0</v>
      </c>
      <c r="M34" s="1">
        <v>30.0</v>
      </c>
      <c r="N34" s="1">
        <v>36.0</v>
      </c>
      <c r="O34" s="1">
        <v>37.0</v>
      </c>
      <c r="P34" s="1">
        <v>3.1</v>
      </c>
      <c r="Q34" s="1">
        <v>3.06</v>
      </c>
      <c r="R34" s="11" t="str">
        <f t="shared" si="1"/>
        <v>QB</v>
      </c>
    </row>
    <row r="35" ht="14.25" customHeight="1">
      <c r="A35" s="1">
        <v>31.0</v>
      </c>
      <c r="B35" s="1" t="s">
        <v>137</v>
      </c>
      <c r="C35" s="1" t="s">
        <v>104</v>
      </c>
      <c r="D35" s="1" t="s">
        <v>105</v>
      </c>
      <c r="E35" s="1">
        <v>37.0</v>
      </c>
      <c r="F35" s="1">
        <v>39.0</v>
      </c>
      <c r="G35" s="1">
        <v>35.0</v>
      </c>
      <c r="H35" s="1">
        <v>28.0</v>
      </c>
      <c r="I35" s="1">
        <v>31.0</v>
      </c>
      <c r="J35" s="1">
        <v>45.0</v>
      </c>
      <c r="K35" s="1">
        <v>35.0</v>
      </c>
      <c r="L35" s="1">
        <v>31.0</v>
      </c>
      <c r="M35" s="1">
        <v>38.0</v>
      </c>
      <c r="N35" s="1">
        <v>27.0</v>
      </c>
      <c r="O35" s="1">
        <v>27.0</v>
      </c>
      <c r="P35" s="1">
        <v>4.01</v>
      </c>
      <c r="Q35" s="1">
        <v>3.07</v>
      </c>
      <c r="R35" s="11" t="str">
        <f t="shared" si="1"/>
        <v>RB</v>
      </c>
    </row>
    <row r="36" ht="14.25" customHeight="1">
      <c r="A36" s="1">
        <v>32.0</v>
      </c>
      <c r="B36" s="1" t="s">
        <v>141</v>
      </c>
      <c r="C36" s="1" t="s">
        <v>132</v>
      </c>
      <c r="D36" s="1" t="s">
        <v>94</v>
      </c>
      <c r="E36" s="1">
        <v>39.0</v>
      </c>
      <c r="F36" s="1">
        <v>31.0</v>
      </c>
      <c r="G36" s="1">
        <v>36.0</v>
      </c>
      <c r="H36" s="1">
        <v>36.0</v>
      </c>
      <c r="I36" s="1">
        <v>33.0</v>
      </c>
      <c r="J36" s="1">
        <v>36.0</v>
      </c>
      <c r="K36" s="1">
        <v>27.0</v>
      </c>
      <c r="L36" s="1">
        <v>42.0</v>
      </c>
      <c r="M36" s="1">
        <v>36.0</v>
      </c>
      <c r="N36" s="1">
        <v>33.0</v>
      </c>
      <c r="O36" s="1">
        <v>26.0</v>
      </c>
      <c r="P36" s="1">
        <v>4.02</v>
      </c>
      <c r="Q36" s="1">
        <v>3.08</v>
      </c>
      <c r="R36" s="11" t="str">
        <f t="shared" si="1"/>
        <v>WR</v>
      </c>
    </row>
    <row r="37" ht="14.25" customHeight="1">
      <c r="A37" s="1">
        <v>33.0</v>
      </c>
      <c r="B37" s="1" t="s">
        <v>139</v>
      </c>
      <c r="C37" s="1" t="s">
        <v>66</v>
      </c>
      <c r="D37" s="1" t="s">
        <v>67</v>
      </c>
      <c r="E37" s="1">
        <v>26.0</v>
      </c>
      <c r="F37" s="1">
        <v>32.0</v>
      </c>
      <c r="G37" s="1">
        <v>40.0</v>
      </c>
      <c r="H37" s="1">
        <v>33.0</v>
      </c>
      <c r="I37" s="1">
        <v>36.0</v>
      </c>
      <c r="J37" s="1">
        <v>30.0</v>
      </c>
      <c r="K37" s="1">
        <v>30.0</v>
      </c>
      <c r="L37" s="1">
        <v>34.0</v>
      </c>
      <c r="M37" s="1">
        <v>37.0</v>
      </c>
      <c r="N37" s="1">
        <v>44.0</v>
      </c>
      <c r="O37" s="1">
        <v>39.0</v>
      </c>
      <c r="P37" s="1">
        <v>4.03</v>
      </c>
      <c r="Q37" s="1">
        <v>3.09</v>
      </c>
      <c r="R37" s="11" t="str">
        <f t="shared" si="1"/>
        <v>RB</v>
      </c>
    </row>
    <row r="38" ht="14.25" customHeight="1">
      <c r="A38" s="1">
        <v>34.0</v>
      </c>
      <c r="B38" s="1" t="s">
        <v>169</v>
      </c>
      <c r="C38" s="1" t="s">
        <v>284</v>
      </c>
      <c r="D38" s="1" t="s">
        <v>58</v>
      </c>
      <c r="E38" s="1">
        <v>38.0</v>
      </c>
      <c r="F38" s="1">
        <v>35.0</v>
      </c>
      <c r="G38" s="1">
        <v>49.0</v>
      </c>
      <c r="H38" s="1">
        <v>24.0</v>
      </c>
      <c r="I38" s="1">
        <v>40.0</v>
      </c>
      <c r="J38" s="1">
        <v>38.0</v>
      </c>
      <c r="K38" s="1">
        <v>38.0</v>
      </c>
      <c r="L38" s="1">
        <v>25.0</v>
      </c>
      <c r="M38" s="1">
        <v>32.0</v>
      </c>
      <c r="N38" s="1">
        <v>34.0</v>
      </c>
      <c r="O38" s="1">
        <v>34.0</v>
      </c>
      <c r="P38" s="1">
        <v>4.04</v>
      </c>
      <c r="Q38" s="1">
        <v>3.1</v>
      </c>
      <c r="R38" s="11" t="str">
        <f t="shared" si="1"/>
        <v>TE</v>
      </c>
    </row>
    <row r="39" ht="14.25" customHeight="1">
      <c r="A39" s="1">
        <v>35.0</v>
      </c>
      <c r="B39" s="1" t="s">
        <v>149</v>
      </c>
      <c r="C39" s="1" t="s">
        <v>220</v>
      </c>
      <c r="D39" s="1" t="s">
        <v>162</v>
      </c>
      <c r="E39" s="1">
        <v>36.0</v>
      </c>
      <c r="F39" s="1">
        <v>43.0</v>
      </c>
      <c r="G39" s="1">
        <v>44.0</v>
      </c>
      <c r="H39" s="1">
        <v>38.0</v>
      </c>
      <c r="I39" s="1">
        <v>38.0</v>
      </c>
      <c r="J39" s="1">
        <v>32.0</v>
      </c>
      <c r="K39" s="1">
        <v>39.0</v>
      </c>
      <c r="L39" s="1">
        <v>32.0</v>
      </c>
      <c r="M39" s="1">
        <v>35.0</v>
      </c>
      <c r="N39" s="1">
        <v>32.0</v>
      </c>
      <c r="O39" s="1">
        <v>33.0</v>
      </c>
      <c r="P39" s="1">
        <v>4.05</v>
      </c>
      <c r="Q39" s="1">
        <v>3.11</v>
      </c>
      <c r="R39" s="11" t="str">
        <f t="shared" si="1"/>
        <v>WR</v>
      </c>
    </row>
    <row r="40" ht="14.25" customHeight="1">
      <c r="A40" s="1">
        <v>36.0</v>
      </c>
      <c r="B40" s="1" t="s">
        <v>155</v>
      </c>
      <c r="C40" s="1" t="s">
        <v>156</v>
      </c>
      <c r="D40" s="1" t="s">
        <v>148</v>
      </c>
      <c r="E40" s="1">
        <v>51.0</v>
      </c>
      <c r="F40" s="1">
        <v>41.0</v>
      </c>
      <c r="G40" s="1">
        <v>37.0</v>
      </c>
      <c r="H40" s="1">
        <v>39.0</v>
      </c>
      <c r="I40" s="1">
        <v>30.0</v>
      </c>
      <c r="J40" s="1">
        <v>37.0</v>
      </c>
      <c r="K40" s="1">
        <v>34.0</v>
      </c>
      <c r="L40" s="1">
        <v>39.0</v>
      </c>
      <c r="M40" s="1">
        <v>33.0</v>
      </c>
      <c r="N40" s="1">
        <v>28.0</v>
      </c>
      <c r="O40" s="1">
        <v>35.0</v>
      </c>
      <c r="P40" s="1">
        <v>4.06</v>
      </c>
      <c r="Q40" s="1">
        <v>3.12</v>
      </c>
      <c r="R40" s="11" t="str">
        <f t="shared" si="1"/>
        <v>WR</v>
      </c>
    </row>
    <row r="41" ht="14.25" customHeight="1">
      <c r="A41" s="1">
        <v>37.0</v>
      </c>
      <c r="B41" s="1" t="s">
        <v>211</v>
      </c>
      <c r="C41" s="1" t="s">
        <v>234</v>
      </c>
      <c r="D41" s="1" t="s">
        <v>85</v>
      </c>
      <c r="E41" s="1">
        <v>31.0</v>
      </c>
      <c r="F41" s="1">
        <v>28.0</v>
      </c>
      <c r="G41" s="1">
        <v>51.0</v>
      </c>
      <c r="H41" s="1">
        <v>40.0</v>
      </c>
      <c r="I41" s="1">
        <v>43.0</v>
      </c>
      <c r="J41" s="1">
        <v>34.0</v>
      </c>
      <c r="K41" s="1">
        <v>37.0</v>
      </c>
      <c r="L41" s="1">
        <v>35.0</v>
      </c>
      <c r="M41" s="1">
        <v>34.0</v>
      </c>
      <c r="N41" s="1">
        <v>42.0</v>
      </c>
      <c r="O41" s="1">
        <v>44.0</v>
      </c>
      <c r="P41" s="1">
        <v>4.07</v>
      </c>
      <c r="Q41" s="1">
        <v>4.01</v>
      </c>
      <c r="R41" s="11" t="str">
        <f t="shared" si="1"/>
        <v>QB</v>
      </c>
    </row>
    <row r="42" ht="14.25" customHeight="1">
      <c r="A42" s="1">
        <v>38.0</v>
      </c>
      <c r="B42" s="1" t="s">
        <v>157</v>
      </c>
      <c r="C42" s="1" t="s">
        <v>228</v>
      </c>
      <c r="D42" s="1" t="s">
        <v>125</v>
      </c>
      <c r="E42" s="1">
        <v>46.0</v>
      </c>
      <c r="F42" s="1">
        <v>44.0</v>
      </c>
      <c r="G42" s="1">
        <v>39.0</v>
      </c>
      <c r="H42" s="1">
        <v>41.0</v>
      </c>
      <c r="I42" s="1">
        <v>34.0</v>
      </c>
      <c r="J42" s="1">
        <v>41.0</v>
      </c>
      <c r="K42" s="1">
        <v>36.0</v>
      </c>
      <c r="L42" s="1">
        <v>37.0</v>
      </c>
      <c r="M42" s="1">
        <v>39.0</v>
      </c>
      <c r="N42" s="1">
        <v>37.0</v>
      </c>
      <c r="O42" s="1">
        <v>30.0</v>
      </c>
      <c r="P42" s="1">
        <v>4.08</v>
      </c>
      <c r="Q42" s="1">
        <v>4.02</v>
      </c>
      <c r="R42" s="11" t="str">
        <f t="shared" si="1"/>
        <v>WR</v>
      </c>
    </row>
    <row r="43" ht="14.25" customHeight="1">
      <c r="A43" s="1">
        <v>39.0</v>
      </c>
      <c r="B43" s="1" t="s">
        <v>160</v>
      </c>
      <c r="C43" s="1" t="s">
        <v>197</v>
      </c>
      <c r="D43" s="1" t="s">
        <v>49</v>
      </c>
      <c r="E43" s="1">
        <v>34.0</v>
      </c>
      <c r="F43" s="1">
        <v>34.0</v>
      </c>
      <c r="G43" s="1">
        <v>47.0</v>
      </c>
      <c r="H43" s="1">
        <v>43.0</v>
      </c>
      <c r="I43" s="1">
        <v>37.0</v>
      </c>
      <c r="J43" s="1">
        <v>48.0</v>
      </c>
      <c r="K43" s="1">
        <v>44.0</v>
      </c>
      <c r="L43" s="1">
        <v>43.0</v>
      </c>
      <c r="M43" s="1">
        <v>45.0</v>
      </c>
      <c r="N43" s="1">
        <v>41.0</v>
      </c>
      <c r="O43" s="1">
        <v>36.0</v>
      </c>
      <c r="P43" s="1">
        <v>4.09</v>
      </c>
      <c r="Q43" s="1">
        <v>4.03</v>
      </c>
      <c r="R43" s="11" t="str">
        <f t="shared" si="1"/>
        <v>WR</v>
      </c>
    </row>
    <row r="44" ht="14.25" customHeight="1">
      <c r="A44" s="1">
        <v>40.0</v>
      </c>
      <c r="B44" s="1" t="s">
        <v>223</v>
      </c>
      <c r="C44" s="1" t="s">
        <v>212</v>
      </c>
      <c r="D44" s="1" t="s">
        <v>45</v>
      </c>
      <c r="E44" s="1">
        <v>25.0</v>
      </c>
      <c r="F44" s="1">
        <v>33.0</v>
      </c>
      <c r="G44" s="1">
        <v>45.0</v>
      </c>
      <c r="H44" s="1">
        <v>45.0</v>
      </c>
      <c r="I44" s="1">
        <v>32.0</v>
      </c>
      <c r="J44" s="1">
        <v>35.0</v>
      </c>
      <c r="K44" s="1">
        <v>41.0</v>
      </c>
      <c r="L44" s="1">
        <v>53.0</v>
      </c>
      <c r="M44" s="1">
        <v>31.0</v>
      </c>
      <c r="N44" s="1">
        <v>53.0</v>
      </c>
      <c r="O44" s="1">
        <v>63.0</v>
      </c>
      <c r="P44" s="1">
        <v>4.1</v>
      </c>
      <c r="Q44" s="1">
        <v>4.04</v>
      </c>
      <c r="R44" s="11" t="str">
        <f t="shared" si="1"/>
        <v>QB</v>
      </c>
    </row>
    <row r="45" ht="14.25" customHeight="1">
      <c r="A45" s="1">
        <v>41.0</v>
      </c>
      <c r="B45" s="1" t="s">
        <v>163</v>
      </c>
      <c r="C45" s="1" t="s">
        <v>191</v>
      </c>
      <c r="D45" s="1" t="s">
        <v>192</v>
      </c>
      <c r="E45" s="1">
        <v>45.0</v>
      </c>
      <c r="F45" s="1">
        <v>36.0</v>
      </c>
      <c r="G45" s="1">
        <v>56.0</v>
      </c>
      <c r="H45" s="1">
        <v>46.0</v>
      </c>
      <c r="I45" s="1">
        <v>44.0</v>
      </c>
      <c r="J45" s="1">
        <v>28.0</v>
      </c>
      <c r="K45" s="1">
        <v>42.0</v>
      </c>
      <c r="L45" s="1">
        <v>36.0</v>
      </c>
      <c r="M45" s="1">
        <v>42.0</v>
      </c>
      <c r="N45" s="1">
        <v>40.0</v>
      </c>
      <c r="O45" s="1">
        <v>41.0</v>
      </c>
      <c r="P45" s="1">
        <v>5.01</v>
      </c>
      <c r="Q45" s="1">
        <v>4.05</v>
      </c>
      <c r="R45" s="11" t="str">
        <f t="shared" si="1"/>
        <v>WR</v>
      </c>
    </row>
    <row r="46" ht="14.25" customHeight="1">
      <c r="A46" s="1">
        <v>42.0</v>
      </c>
      <c r="B46" s="1" t="s">
        <v>143</v>
      </c>
      <c r="C46" s="1" t="s">
        <v>147</v>
      </c>
      <c r="D46" s="1" t="s">
        <v>148</v>
      </c>
      <c r="E46" s="1">
        <v>41.0</v>
      </c>
      <c r="F46" s="1">
        <v>51.0</v>
      </c>
      <c r="G46" s="1">
        <v>41.0</v>
      </c>
      <c r="H46" s="1">
        <v>42.0</v>
      </c>
      <c r="I46" s="1">
        <v>39.0</v>
      </c>
      <c r="J46" s="1">
        <v>31.0</v>
      </c>
      <c r="K46" s="1">
        <v>32.0</v>
      </c>
      <c r="L46" s="1">
        <v>50.0</v>
      </c>
      <c r="M46" s="1">
        <v>40.0</v>
      </c>
      <c r="N46" s="1">
        <v>47.0</v>
      </c>
      <c r="O46" s="1">
        <v>46.0</v>
      </c>
      <c r="P46" s="1">
        <v>5.02</v>
      </c>
      <c r="Q46" s="1">
        <v>4.06</v>
      </c>
      <c r="R46" s="11" t="str">
        <f t="shared" si="1"/>
        <v>RB</v>
      </c>
    </row>
    <row r="47" ht="14.25" customHeight="1">
      <c r="A47" s="1">
        <v>43.0</v>
      </c>
      <c r="B47" s="1" t="s">
        <v>146</v>
      </c>
      <c r="C47" s="1" t="s">
        <v>101</v>
      </c>
      <c r="D47" s="1" t="s">
        <v>52</v>
      </c>
      <c r="E47" s="1">
        <v>33.0</v>
      </c>
      <c r="F47" s="1">
        <v>47.0</v>
      </c>
      <c r="G47" s="1">
        <v>55.0</v>
      </c>
      <c r="H47" s="1">
        <v>34.0</v>
      </c>
      <c r="I47" s="1">
        <v>41.0</v>
      </c>
      <c r="J47" s="1">
        <v>40.0</v>
      </c>
      <c r="K47" s="1">
        <v>43.0</v>
      </c>
      <c r="L47" s="1">
        <v>38.0</v>
      </c>
      <c r="M47" s="1">
        <v>47.0</v>
      </c>
      <c r="N47" s="1">
        <v>39.0</v>
      </c>
      <c r="O47" s="1">
        <v>47.0</v>
      </c>
      <c r="P47" s="1">
        <v>5.03</v>
      </c>
      <c r="Q47" s="1">
        <v>4.07</v>
      </c>
      <c r="R47" s="11" t="str">
        <f t="shared" si="1"/>
        <v>RB</v>
      </c>
    </row>
    <row r="48" ht="14.25" customHeight="1">
      <c r="A48" s="1">
        <v>44.0</v>
      </c>
      <c r="B48" s="1" t="s">
        <v>152</v>
      </c>
      <c r="C48" s="1" t="s">
        <v>416</v>
      </c>
      <c r="D48" s="1" t="s">
        <v>131</v>
      </c>
      <c r="E48" s="1">
        <v>28.0</v>
      </c>
      <c r="F48" s="1">
        <v>38.0</v>
      </c>
      <c r="G48" s="1">
        <v>53.0</v>
      </c>
      <c r="H48" s="1">
        <v>37.0</v>
      </c>
      <c r="I48" s="1">
        <v>49.0</v>
      </c>
      <c r="J48" s="1">
        <v>44.0</v>
      </c>
      <c r="K48" s="1">
        <v>40.0</v>
      </c>
      <c r="L48" s="1">
        <v>41.0</v>
      </c>
      <c r="M48" s="1">
        <v>41.0</v>
      </c>
      <c r="N48" s="1">
        <v>52.0</v>
      </c>
      <c r="O48" s="1">
        <v>58.0</v>
      </c>
      <c r="P48" s="1">
        <v>5.04</v>
      </c>
      <c r="Q48" s="1">
        <v>4.08</v>
      </c>
      <c r="R48" s="11" t="str">
        <f t="shared" si="1"/>
        <v>RB</v>
      </c>
    </row>
    <row r="49" ht="14.25" customHeight="1">
      <c r="A49" s="1">
        <v>45.0</v>
      </c>
      <c r="B49" s="1" t="s">
        <v>167</v>
      </c>
      <c r="C49" s="1" t="s">
        <v>216</v>
      </c>
      <c r="D49" s="1" t="s">
        <v>116</v>
      </c>
      <c r="E49" s="1">
        <v>43.0</v>
      </c>
      <c r="F49" s="1">
        <v>48.0</v>
      </c>
      <c r="G49" s="1">
        <v>46.0</v>
      </c>
      <c r="H49" s="1">
        <v>32.0</v>
      </c>
      <c r="I49" s="1">
        <v>42.0</v>
      </c>
      <c r="J49" s="1">
        <v>54.0</v>
      </c>
      <c r="K49" s="1">
        <v>54.0</v>
      </c>
      <c r="L49" s="1">
        <v>46.0</v>
      </c>
      <c r="M49" s="1">
        <v>50.0</v>
      </c>
      <c r="N49" s="1">
        <v>35.0</v>
      </c>
      <c r="O49" s="1">
        <v>43.0</v>
      </c>
      <c r="P49" s="1">
        <v>5.05</v>
      </c>
      <c r="Q49" s="1">
        <v>4.09</v>
      </c>
      <c r="R49" s="11" t="str">
        <f t="shared" si="1"/>
        <v>RB</v>
      </c>
    </row>
    <row r="50" ht="14.25" customHeight="1">
      <c r="A50" s="1">
        <v>46.0</v>
      </c>
      <c r="B50" s="1" t="s">
        <v>177</v>
      </c>
      <c r="C50" s="1" t="s">
        <v>288</v>
      </c>
      <c r="D50" s="1" t="s">
        <v>165</v>
      </c>
      <c r="E50" s="1">
        <v>44.0</v>
      </c>
      <c r="F50" s="1">
        <v>40.0</v>
      </c>
      <c r="G50" s="1">
        <v>60.0</v>
      </c>
      <c r="H50" s="1">
        <v>47.0</v>
      </c>
      <c r="I50" s="1">
        <v>51.0</v>
      </c>
      <c r="J50" s="1">
        <v>55.0</v>
      </c>
      <c r="K50" s="1">
        <v>45.0</v>
      </c>
      <c r="L50" s="1">
        <v>40.0</v>
      </c>
      <c r="M50" s="1">
        <v>56.0</v>
      </c>
      <c r="N50" s="1">
        <v>60.0</v>
      </c>
      <c r="O50" s="1">
        <v>54.0</v>
      </c>
      <c r="P50" s="1">
        <v>5.06</v>
      </c>
      <c r="Q50" s="1">
        <v>4.1</v>
      </c>
      <c r="R50" s="11" t="str">
        <f t="shared" si="1"/>
        <v>RB</v>
      </c>
    </row>
    <row r="51" ht="14.25" customHeight="1">
      <c r="A51" s="1">
        <v>47.0</v>
      </c>
      <c r="B51" s="1" t="s">
        <v>172</v>
      </c>
      <c r="C51" s="1" t="s">
        <v>187</v>
      </c>
      <c r="D51" s="1" t="s">
        <v>171</v>
      </c>
      <c r="E51" s="1">
        <v>52.0</v>
      </c>
      <c r="F51" s="1">
        <v>54.0</v>
      </c>
      <c r="G51" s="1">
        <v>54.0</v>
      </c>
      <c r="H51" s="1">
        <v>55.0</v>
      </c>
      <c r="I51" s="1">
        <v>48.0</v>
      </c>
      <c r="J51" s="1">
        <v>46.0</v>
      </c>
      <c r="K51" s="1">
        <v>48.0</v>
      </c>
      <c r="L51" s="1">
        <v>60.0</v>
      </c>
      <c r="M51" s="1">
        <v>48.0</v>
      </c>
      <c r="N51" s="1">
        <v>50.0</v>
      </c>
      <c r="O51" s="1">
        <v>49.0</v>
      </c>
      <c r="P51" s="1">
        <v>5.07</v>
      </c>
      <c r="Q51" s="1">
        <v>4.11</v>
      </c>
      <c r="R51" s="11" t="str">
        <f t="shared" si="1"/>
        <v>WR</v>
      </c>
    </row>
    <row r="52" ht="14.25" customHeight="1">
      <c r="A52" s="1">
        <v>48.0</v>
      </c>
      <c r="B52" s="1" t="s">
        <v>174</v>
      </c>
      <c r="C52" s="1" t="s">
        <v>353</v>
      </c>
      <c r="D52" s="1" t="s">
        <v>102</v>
      </c>
      <c r="E52" s="1">
        <v>50.0</v>
      </c>
      <c r="F52" s="1">
        <v>50.0</v>
      </c>
      <c r="G52" s="1">
        <v>57.0</v>
      </c>
      <c r="H52" s="1">
        <v>48.0</v>
      </c>
      <c r="I52" s="1">
        <v>45.0</v>
      </c>
      <c r="J52" s="1">
        <v>68.0</v>
      </c>
      <c r="K52" s="1">
        <v>58.0</v>
      </c>
      <c r="L52" s="1">
        <v>51.0</v>
      </c>
      <c r="M52" s="1">
        <v>54.0</v>
      </c>
      <c r="N52" s="1">
        <v>43.0</v>
      </c>
      <c r="O52" s="1">
        <v>40.0</v>
      </c>
      <c r="P52" s="1">
        <v>5.08</v>
      </c>
      <c r="Q52" s="1">
        <v>4.12</v>
      </c>
      <c r="R52" s="11" t="str">
        <f t="shared" si="1"/>
        <v>WR</v>
      </c>
    </row>
    <row r="53" ht="14.25" customHeight="1">
      <c r="A53" s="1">
        <v>49.0</v>
      </c>
      <c r="B53" s="1" t="s">
        <v>186</v>
      </c>
      <c r="C53" s="1" t="s">
        <v>250</v>
      </c>
      <c r="D53" s="1" t="s">
        <v>237</v>
      </c>
      <c r="E53" s="1">
        <v>48.0</v>
      </c>
      <c r="F53" s="1">
        <v>45.0</v>
      </c>
      <c r="G53" s="1">
        <v>63.0</v>
      </c>
      <c r="H53" s="1">
        <v>52.0</v>
      </c>
      <c r="I53" s="1">
        <v>50.0</v>
      </c>
      <c r="J53" s="1">
        <v>52.0</v>
      </c>
      <c r="K53" s="1">
        <v>46.0</v>
      </c>
      <c r="L53" s="1">
        <v>49.0</v>
      </c>
      <c r="M53" s="1">
        <v>55.0</v>
      </c>
      <c r="N53" s="1">
        <v>56.0</v>
      </c>
      <c r="O53" s="1">
        <v>50.0</v>
      </c>
      <c r="P53" s="1">
        <v>5.09</v>
      </c>
      <c r="Q53" s="1">
        <v>5.01</v>
      </c>
      <c r="R53" s="11" t="str">
        <f t="shared" si="1"/>
        <v>WR</v>
      </c>
    </row>
    <row r="54" ht="14.25" customHeight="1">
      <c r="A54" s="1">
        <v>50.0</v>
      </c>
      <c r="B54" s="1" t="s">
        <v>188</v>
      </c>
      <c r="C54" s="1" t="s">
        <v>261</v>
      </c>
      <c r="D54" s="1" t="s">
        <v>176</v>
      </c>
      <c r="E54" s="1">
        <v>53.0</v>
      </c>
      <c r="F54" s="1">
        <v>58.0</v>
      </c>
      <c r="G54" s="1">
        <v>59.0</v>
      </c>
      <c r="H54" s="1">
        <v>50.0</v>
      </c>
      <c r="I54" s="1">
        <v>47.0</v>
      </c>
      <c r="J54" s="1">
        <v>56.0</v>
      </c>
      <c r="K54" s="1">
        <v>50.0</v>
      </c>
      <c r="L54" s="1">
        <v>59.0</v>
      </c>
      <c r="M54" s="1">
        <v>46.0</v>
      </c>
      <c r="N54" s="1">
        <v>46.0</v>
      </c>
      <c r="O54" s="1">
        <v>48.0</v>
      </c>
      <c r="P54" s="1">
        <v>5.1</v>
      </c>
      <c r="Q54" s="1">
        <v>5.02</v>
      </c>
      <c r="R54" s="11" t="str">
        <f t="shared" si="1"/>
        <v>WR</v>
      </c>
    </row>
    <row r="55" ht="14.25" customHeight="1">
      <c r="A55" s="1">
        <v>51.0</v>
      </c>
      <c r="B55" s="1" t="s">
        <v>180</v>
      </c>
      <c r="C55" s="1" t="s">
        <v>498</v>
      </c>
      <c r="D55" s="1" t="s">
        <v>125</v>
      </c>
      <c r="E55" s="1">
        <v>42.0</v>
      </c>
      <c r="F55" s="1">
        <v>46.0</v>
      </c>
      <c r="G55" s="1">
        <v>65.0</v>
      </c>
      <c r="H55" s="1">
        <v>49.0</v>
      </c>
      <c r="I55" s="1">
        <v>55.0</v>
      </c>
      <c r="J55" s="1">
        <v>49.0</v>
      </c>
      <c r="K55" s="1">
        <v>47.0</v>
      </c>
      <c r="L55" s="1">
        <v>44.0</v>
      </c>
      <c r="M55" s="1">
        <v>64.0</v>
      </c>
      <c r="N55" s="1">
        <v>61.0</v>
      </c>
      <c r="O55" s="1">
        <v>62.0</v>
      </c>
      <c r="P55" s="1">
        <v>6.01</v>
      </c>
      <c r="Q55" s="1">
        <v>5.03</v>
      </c>
      <c r="R55" s="11" t="str">
        <f t="shared" si="1"/>
        <v>RB</v>
      </c>
    </row>
    <row r="56" ht="14.25" customHeight="1">
      <c r="A56" s="1">
        <v>52.0</v>
      </c>
      <c r="B56" s="1" t="s">
        <v>190</v>
      </c>
      <c r="C56" s="1" t="s">
        <v>164</v>
      </c>
      <c r="D56" s="1" t="s">
        <v>165</v>
      </c>
      <c r="E56" s="1">
        <v>65.0</v>
      </c>
      <c r="F56" s="1">
        <v>62.0</v>
      </c>
      <c r="G56" s="1">
        <v>48.0</v>
      </c>
      <c r="H56" s="1">
        <v>44.0</v>
      </c>
      <c r="I56" s="1">
        <v>46.0</v>
      </c>
      <c r="J56" s="1">
        <v>72.0</v>
      </c>
      <c r="K56" s="1">
        <v>59.0</v>
      </c>
      <c r="L56" s="1">
        <v>55.0</v>
      </c>
      <c r="M56" s="1">
        <v>59.0</v>
      </c>
      <c r="N56" s="1">
        <v>38.0</v>
      </c>
      <c r="O56" s="1">
        <v>38.0</v>
      </c>
      <c r="P56" s="1">
        <v>6.02</v>
      </c>
      <c r="Q56" s="1">
        <v>5.04</v>
      </c>
      <c r="R56" s="11" t="str">
        <f t="shared" si="1"/>
        <v>WR</v>
      </c>
    </row>
    <row r="57" ht="14.25" customHeight="1">
      <c r="A57" s="1">
        <v>53.0</v>
      </c>
      <c r="B57" s="1" t="s">
        <v>196</v>
      </c>
      <c r="C57" s="1" t="s">
        <v>142</v>
      </c>
      <c r="D57" s="1" t="s">
        <v>85</v>
      </c>
      <c r="E57" s="1">
        <v>60.0</v>
      </c>
      <c r="F57" s="1">
        <v>61.0</v>
      </c>
      <c r="G57" s="1">
        <v>62.0</v>
      </c>
      <c r="H57" s="1">
        <v>60.0</v>
      </c>
      <c r="I57" s="1">
        <v>56.0</v>
      </c>
      <c r="J57" s="1">
        <v>60.0</v>
      </c>
      <c r="K57" s="1">
        <v>53.0</v>
      </c>
      <c r="L57" s="1">
        <v>45.0</v>
      </c>
      <c r="M57" s="1">
        <v>53.0</v>
      </c>
      <c r="N57" s="1">
        <v>54.0</v>
      </c>
      <c r="O57" s="1">
        <v>52.0</v>
      </c>
      <c r="P57" s="1">
        <v>6.03</v>
      </c>
      <c r="Q57" s="1">
        <v>5.05</v>
      </c>
      <c r="R57" s="11" t="str">
        <f t="shared" si="1"/>
        <v>WR</v>
      </c>
    </row>
    <row r="58" ht="14.25" customHeight="1">
      <c r="A58" s="1">
        <v>54.0</v>
      </c>
      <c r="B58" s="1" t="s">
        <v>202</v>
      </c>
      <c r="C58" s="1" t="s">
        <v>203</v>
      </c>
      <c r="D58" s="1" t="s">
        <v>35</v>
      </c>
      <c r="E58" s="1">
        <v>64.0</v>
      </c>
      <c r="F58" s="1">
        <v>65.0</v>
      </c>
      <c r="G58" s="1">
        <v>64.0</v>
      </c>
      <c r="H58" s="1">
        <v>57.0</v>
      </c>
      <c r="I58" s="1">
        <v>53.0</v>
      </c>
      <c r="J58" s="1">
        <v>51.0</v>
      </c>
      <c r="K58" s="1">
        <v>60.0</v>
      </c>
      <c r="L58" s="1">
        <v>57.0</v>
      </c>
      <c r="M58" s="1">
        <v>58.0</v>
      </c>
      <c r="N58" s="1">
        <v>48.0</v>
      </c>
      <c r="O58" s="1">
        <v>45.0</v>
      </c>
      <c r="P58" s="1">
        <v>6.04</v>
      </c>
      <c r="Q58" s="1">
        <v>5.06</v>
      </c>
      <c r="R58" s="11" t="str">
        <f t="shared" si="1"/>
        <v>WR</v>
      </c>
    </row>
    <row r="59" ht="14.25" customHeight="1">
      <c r="A59" s="1">
        <v>55.0</v>
      </c>
      <c r="B59" s="1" t="s">
        <v>207</v>
      </c>
      <c r="C59" s="1" t="s">
        <v>121</v>
      </c>
      <c r="D59" s="1" t="s">
        <v>71</v>
      </c>
      <c r="E59" s="1">
        <v>62.0</v>
      </c>
      <c r="F59" s="1">
        <v>67.0</v>
      </c>
      <c r="G59" s="1">
        <v>73.0</v>
      </c>
      <c r="H59" s="1">
        <v>54.0</v>
      </c>
      <c r="I59" s="1">
        <v>52.0</v>
      </c>
      <c r="J59" s="1">
        <v>75.0</v>
      </c>
      <c r="K59" s="1">
        <v>62.0</v>
      </c>
      <c r="L59" s="1">
        <v>47.0</v>
      </c>
      <c r="M59" s="1">
        <v>62.0</v>
      </c>
      <c r="N59" s="1">
        <v>45.0</v>
      </c>
      <c r="O59" s="1">
        <v>42.0</v>
      </c>
      <c r="P59" s="1">
        <v>6.05</v>
      </c>
      <c r="Q59" s="1">
        <v>5.07</v>
      </c>
      <c r="R59" s="11" t="str">
        <f t="shared" si="1"/>
        <v>WR</v>
      </c>
    </row>
    <row r="60" ht="14.25" customHeight="1">
      <c r="A60" s="1">
        <v>56.0</v>
      </c>
      <c r="B60" s="1" t="s">
        <v>200</v>
      </c>
      <c r="C60" s="1" t="s">
        <v>246</v>
      </c>
      <c r="D60" s="1" t="s">
        <v>35</v>
      </c>
      <c r="E60" s="1">
        <v>58.0</v>
      </c>
      <c r="F60" s="1">
        <v>49.0</v>
      </c>
      <c r="G60" s="1">
        <v>67.0</v>
      </c>
      <c r="H60" s="1">
        <v>53.0</v>
      </c>
      <c r="I60" s="1">
        <v>71.0</v>
      </c>
      <c r="J60" s="1">
        <v>43.0</v>
      </c>
      <c r="K60" s="1">
        <v>51.0</v>
      </c>
      <c r="L60" s="1">
        <v>68.0</v>
      </c>
      <c r="M60" s="1">
        <v>43.0</v>
      </c>
      <c r="N60" s="1">
        <v>73.0</v>
      </c>
      <c r="O60" s="1">
        <v>77.0</v>
      </c>
      <c r="P60" s="1">
        <v>6.06</v>
      </c>
      <c r="Q60" s="1">
        <v>5.08</v>
      </c>
      <c r="R60" s="11" t="str">
        <f t="shared" si="1"/>
        <v>TE</v>
      </c>
    </row>
    <row r="61" ht="14.25" customHeight="1">
      <c r="A61" s="1">
        <v>57.0</v>
      </c>
      <c r="B61" s="1" t="s">
        <v>217</v>
      </c>
      <c r="C61" s="1" t="s">
        <v>150</v>
      </c>
      <c r="D61" s="1" t="s">
        <v>109</v>
      </c>
      <c r="E61" s="1">
        <v>63.0</v>
      </c>
      <c r="F61" s="1">
        <v>55.0</v>
      </c>
      <c r="G61" s="1">
        <v>66.0</v>
      </c>
      <c r="H61" s="1">
        <v>65.0</v>
      </c>
      <c r="I61" s="1">
        <v>57.0</v>
      </c>
      <c r="J61" s="1">
        <v>73.0</v>
      </c>
      <c r="K61" s="1">
        <v>55.0</v>
      </c>
      <c r="L61" s="1">
        <v>52.0</v>
      </c>
      <c r="M61" s="1">
        <v>63.0</v>
      </c>
      <c r="N61" s="1">
        <v>59.0</v>
      </c>
      <c r="O61" s="1">
        <v>57.0</v>
      </c>
      <c r="P61" s="1">
        <v>6.07</v>
      </c>
      <c r="Q61" s="1">
        <v>5.09</v>
      </c>
      <c r="R61" s="11" t="str">
        <f t="shared" si="1"/>
        <v>WR</v>
      </c>
    </row>
    <row r="62" ht="14.25" customHeight="1">
      <c r="A62" s="1">
        <v>58.0</v>
      </c>
      <c r="B62" s="1" t="s">
        <v>232</v>
      </c>
      <c r="C62" s="1" t="s">
        <v>319</v>
      </c>
      <c r="D62" s="1" t="s">
        <v>102</v>
      </c>
      <c r="E62" s="1">
        <v>47.0</v>
      </c>
      <c r="F62" s="1">
        <v>42.0</v>
      </c>
      <c r="G62" s="1">
        <v>69.0</v>
      </c>
      <c r="H62" s="1">
        <v>73.0</v>
      </c>
      <c r="I62" s="1">
        <v>66.0</v>
      </c>
      <c r="J62" s="1">
        <v>42.0</v>
      </c>
      <c r="K62" s="1">
        <v>57.0</v>
      </c>
      <c r="L62" s="1">
        <v>76.0</v>
      </c>
      <c r="M62" s="1">
        <v>44.0</v>
      </c>
      <c r="N62" s="1">
        <v>76.0</v>
      </c>
      <c r="O62" s="1">
        <v>80.0</v>
      </c>
      <c r="P62" s="1">
        <v>6.08</v>
      </c>
      <c r="Q62" s="1">
        <v>5.1</v>
      </c>
      <c r="R62" s="11" t="str">
        <f t="shared" si="1"/>
        <v>QB</v>
      </c>
    </row>
    <row r="63" ht="14.25" customHeight="1">
      <c r="A63" s="1">
        <v>59.0</v>
      </c>
      <c r="B63" s="1" t="s">
        <v>219</v>
      </c>
      <c r="C63" s="1" t="s">
        <v>444</v>
      </c>
      <c r="D63" s="1" t="s">
        <v>231</v>
      </c>
      <c r="E63" s="1">
        <v>67.0</v>
      </c>
      <c r="F63" s="1">
        <v>60.0</v>
      </c>
      <c r="G63" s="1">
        <v>72.0</v>
      </c>
      <c r="H63" s="1">
        <v>59.0</v>
      </c>
      <c r="I63" s="1">
        <v>54.0</v>
      </c>
      <c r="J63" s="1">
        <v>66.0</v>
      </c>
      <c r="K63" s="1">
        <v>72.0</v>
      </c>
      <c r="L63" s="1">
        <v>58.0</v>
      </c>
      <c r="M63" s="1">
        <v>65.0</v>
      </c>
      <c r="N63" s="1">
        <v>51.0</v>
      </c>
      <c r="O63" s="1">
        <v>51.0</v>
      </c>
      <c r="P63" s="1">
        <v>6.09</v>
      </c>
      <c r="Q63" s="1">
        <v>5.11</v>
      </c>
      <c r="R63" s="11" t="str">
        <f t="shared" si="1"/>
        <v>WR</v>
      </c>
    </row>
    <row r="64" ht="14.25" customHeight="1">
      <c r="A64" s="1">
        <v>60.0</v>
      </c>
      <c r="B64" s="1" t="s">
        <v>184</v>
      </c>
      <c r="C64" s="1" t="s">
        <v>181</v>
      </c>
      <c r="D64" s="1" t="s">
        <v>171</v>
      </c>
      <c r="E64" s="1">
        <v>49.0</v>
      </c>
      <c r="F64" s="1">
        <v>53.0</v>
      </c>
      <c r="G64" s="1">
        <v>80.0</v>
      </c>
      <c r="H64" s="1">
        <v>56.0</v>
      </c>
      <c r="I64" s="1">
        <v>59.0</v>
      </c>
      <c r="J64" s="1">
        <v>57.0</v>
      </c>
      <c r="K64" s="1">
        <v>68.0</v>
      </c>
      <c r="L64" s="1">
        <v>64.0</v>
      </c>
      <c r="M64" s="1">
        <v>71.0</v>
      </c>
      <c r="N64" s="1">
        <v>58.0</v>
      </c>
      <c r="O64" s="1">
        <v>70.0</v>
      </c>
      <c r="P64" s="1">
        <v>6.1</v>
      </c>
      <c r="Q64" s="1">
        <v>5.12</v>
      </c>
      <c r="R64" s="11" t="str">
        <f t="shared" si="1"/>
        <v>RB</v>
      </c>
    </row>
    <row r="65" ht="14.25" customHeight="1">
      <c r="A65" s="1">
        <v>61.0</v>
      </c>
      <c r="B65" s="1" t="s">
        <v>193</v>
      </c>
      <c r="C65" s="1" t="s">
        <v>275</v>
      </c>
      <c r="D65" s="1" t="s">
        <v>176</v>
      </c>
      <c r="E65" s="1">
        <v>55.0</v>
      </c>
      <c r="F65" s="1">
        <v>75.0</v>
      </c>
      <c r="G65" s="1">
        <v>68.0</v>
      </c>
      <c r="H65" s="1">
        <v>51.0</v>
      </c>
      <c r="I65" s="1">
        <v>61.0</v>
      </c>
      <c r="J65" s="1">
        <v>70.0</v>
      </c>
      <c r="K65" s="1">
        <v>56.0</v>
      </c>
      <c r="L65" s="1">
        <v>56.0</v>
      </c>
      <c r="M65" s="1">
        <v>70.0</v>
      </c>
      <c r="N65" s="1">
        <v>64.0</v>
      </c>
      <c r="O65" s="1">
        <v>61.0</v>
      </c>
      <c r="P65" s="1">
        <v>7.01</v>
      </c>
      <c r="Q65" s="1">
        <v>6.01</v>
      </c>
      <c r="R65" s="11" t="str">
        <f t="shared" si="1"/>
        <v>RB</v>
      </c>
    </row>
    <row r="66" ht="14.25" customHeight="1">
      <c r="A66" s="1">
        <v>62.0</v>
      </c>
      <c r="B66" s="1" t="s">
        <v>221</v>
      </c>
      <c r="C66" s="1" t="s">
        <v>175</v>
      </c>
      <c r="D66" s="1" t="s">
        <v>94</v>
      </c>
      <c r="E66" s="1">
        <v>79.0</v>
      </c>
      <c r="F66" s="1">
        <v>64.0</v>
      </c>
      <c r="G66" s="1">
        <v>70.0</v>
      </c>
      <c r="H66" s="1">
        <v>66.0</v>
      </c>
      <c r="I66" s="1">
        <v>58.0</v>
      </c>
      <c r="J66" s="1">
        <v>84.0</v>
      </c>
      <c r="K66" s="1">
        <v>70.0</v>
      </c>
      <c r="L66" s="1">
        <v>48.0</v>
      </c>
      <c r="M66" s="1">
        <v>66.0</v>
      </c>
      <c r="N66" s="1">
        <v>57.0</v>
      </c>
      <c r="O66" s="1">
        <v>53.0</v>
      </c>
      <c r="P66" s="1">
        <v>7.02</v>
      </c>
      <c r="Q66" s="1">
        <v>6.02</v>
      </c>
      <c r="R66" s="11" t="str">
        <f t="shared" si="1"/>
        <v>WR</v>
      </c>
    </row>
    <row r="67" ht="14.25" customHeight="1">
      <c r="A67" s="1">
        <v>63.0</v>
      </c>
      <c r="B67" s="1" t="s">
        <v>198</v>
      </c>
      <c r="C67" s="1" t="s">
        <v>185</v>
      </c>
      <c r="D67" s="1" t="s">
        <v>35</v>
      </c>
      <c r="E67" s="1">
        <v>57.0</v>
      </c>
      <c r="F67" s="1">
        <v>59.0</v>
      </c>
      <c r="G67" s="1">
        <v>74.0</v>
      </c>
      <c r="H67" s="1">
        <v>68.0</v>
      </c>
      <c r="I67" s="1">
        <v>70.0</v>
      </c>
      <c r="J67" s="1">
        <v>67.0</v>
      </c>
      <c r="K67" s="1">
        <v>52.0</v>
      </c>
      <c r="L67" s="1">
        <v>61.0</v>
      </c>
      <c r="M67" s="1">
        <v>67.0</v>
      </c>
      <c r="N67" s="1">
        <v>74.0</v>
      </c>
      <c r="O67" s="1">
        <v>75.0</v>
      </c>
      <c r="P67" s="1">
        <v>7.03</v>
      </c>
      <c r="Q67" s="1">
        <v>6.03</v>
      </c>
      <c r="R67" s="11" t="str">
        <f t="shared" si="1"/>
        <v>RB</v>
      </c>
    </row>
    <row r="68" ht="14.25" customHeight="1">
      <c r="A68" s="1">
        <v>64.0</v>
      </c>
      <c r="B68" s="1" t="s">
        <v>204</v>
      </c>
      <c r="C68" s="1" t="s">
        <v>418</v>
      </c>
      <c r="D68" s="1" t="s">
        <v>102</v>
      </c>
      <c r="E68" s="1">
        <v>66.0</v>
      </c>
      <c r="F68" s="1">
        <v>63.0</v>
      </c>
      <c r="G68" s="1">
        <v>77.0</v>
      </c>
      <c r="H68" s="1">
        <v>62.0</v>
      </c>
      <c r="I68" s="1">
        <v>67.0</v>
      </c>
      <c r="J68" s="1">
        <v>59.0</v>
      </c>
      <c r="K68" s="1">
        <v>61.0</v>
      </c>
      <c r="L68" s="1">
        <v>65.0</v>
      </c>
      <c r="M68" s="1">
        <v>68.0</v>
      </c>
      <c r="N68" s="1">
        <v>68.0</v>
      </c>
      <c r="O68" s="1">
        <v>71.0</v>
      </c>
      <c r="P68" s="1">
        <v>7.04</v>
      </c>
      <c r="Q68" s="1">
        <v>6.04</v>
      </c>
      <c r="R68" s="11" t="str">
        <f t="shared" si="1"/>
        <v>RB</v>
      </c>
    </row>
    <row r="69" ht="14.25" customHeight="1">
      <c r="A69" s="1">
        <v>65.0</v>
      </c>
      <c r="B69" s="1" t="s">
        <v>213</v>
      </c>
      <c r="C69" s="1" t="s">
        <v>255</v>
      </c>
      <c r="D69" s="1" t="s">
        <v>231</v>
      </c>
      <c r="E69" s="1">
        <v>59.0</v>
      </c>
      <c r="F69" s="1">
        <v>69.0</v>
      </c>
      <c r="G69" s="1">
        <v>79.0</v>
      </c>
      <c r="H69" s="1">
        <v>58.0</v>
      </c>
      <c r="I69" s="1">
        <v>69.0</v>
      </c>
      <c r="J69" s="1">
        <v>78.0</v>
      </c>
      <c r="K69" s="1">
        <v>69.0</v>
      </c>
      <c r="L69" s="1">
        <v>54.0</v>
      </c>
      <c r="M69" s="1">
        <v>74.0</v>
      </c>
      <c r="N69" s="1">
        <v>62.0</v>
      </c>
      <c r="O69" s="1">
        <v>68.0</v>
      </c>
      <c r="P69" s="1">
        <v>7.05</v>
      </c>
      <c r="Q69" s="1">
        <v>6.05</v>
      </c>
      <c r="R69" s="11" t="str">
        <f t="shared" si="1"/>
        <v>RB</v>
      </c>
    </row>
    <row r="70" ht="14.25" customHeight="1">
      <c r="A70" s="1">
        <v>66.0</v>
      </c>
      <c r="B70" s="1" t="s">
        <v>227</v>
      </c>
      <c r="C70" s="1" t="s">
        <v>134</v>
      </c>
      <c r="D70" s="1" t="s">
        <v>102</v>
      </c>
      <c r="E70" s="1">
        <v>84.0</v>
      </c>
      <c r="F70" s="1">
        <v>71.0</v>
      </c>
      <c r="G70" s="1">
        <v>98.0</v>
      </c>
      <c r="H70" s="1">
        <v>72.0</v>
      </c>
      <c r="I70" s="1">
        <v>60.0</v>
      </c>
      <c r="J70" s="1">
        <v>47.0</v>
      </c>
      <c r="K70" s="1">
        <v>49.0</v>
      </c>
      <c r="L70" s="1">
        <v>74.0</v>
      </c>
      <c r="M70" s="1">
        <v>61.0</v>
      </c>
      <c r="N70" s="1">
        <v>70.0</v>
      </c>
      <c r="O70" s="1">
        <v>60.0</v>
      </c>
      <c r="P70" s="1">
        <v>7.06</v>
      </c>
      <c r="Q70" s="1">
        <v>6.06</v>
      </c>
      <c r="R70" s="11" t="str">
        <f t="shared" si="1"/>
        <v>WR</v>
      </c>
    </row>
    <row r="71" ht="14.25" customHeight="1">
      <c r="A71" s="1">
        <v>67.0</v>
      </c>
      <c r="B71" s="1" t="s">
        <v>229</v>
      </c>
      <c r="C71" s="1" t="s">
        <v>465</v>
      </c>
      <c r="D71" s="1" t="s">
        <v>206</v>
      </c>
      <c r="E71" s="1">
        <v>83.0</v>
      </c>
      <c r="F71" s="1">
        <v>74.0</v>
      </c>
      <c r="G71" s="1">
        <v>71.0</v>
      </c>
      <c r="H71" s="1">
        <v>71.0</v>
      </c>
      <c r="I71" s="1">
        <v>68.0</v>
      </c>
      <c r="J71" s="1">
        <v>62.0</v>
      </c>
      <c r="K71" s="1">
        <v>66.0</v>
      </c>
      <c r="L71" s="1">
        <v>62.0</v>
      </c>
      <c r="M71" s="1">
        <v>76.0</v>
      </c>
      <c r="N71" s="1">
        <v>63.0</v>
      </c>
      <c r="O71" s="1">
        <v>55.0</v>
      </c>
      <c r="P71" s="1">
        <v>7.07</v>
      </c>
      <c r="Q71" s="1">
        <v>6.07</v>
      </c>
      <c r="R71" s="11" t="str">
        <f t="shared" si="1"/>
        <v>WR</v>
      </c>
    </row>
    <row r="72" ht="14.25" customHeight="1">
      <c r="A72" s="1">
        <v>68.0</v>
      </c>
      <c r="B72" s="1" t="s">
        <v>238</v>
      </c>
      <c r="C72" s="1" t="s">
        <v>426</v>
      </c>
      <c r="D72" s="1" t="s">
        <v>75</v>
      </c>
      <c r="E72" s="1">
        <v>71.0</v>
      </c>
      <c r="F72" s="1">
        <v>56.0</v>
      </c>
      <c r="G72" s="1">
        <v>82.0</v>
      </c>
      <c r="H72" s="1">
        <v>64.0</v>
      </c>
      <c r="I72" s="1">
        <v>80.0</v>
      </c>
      <c r="J72" s="1">
        <v>50.0</v>
      </c>
      <c r="K72" s="1">
        <v>64.0</v>
      </c>
      <c r="L72" s="1">
        <v>73.0</v>
      </c>
      <c r="M72" s="1">
        <v>51.0</v>
      </c>
      <c r="N72" s="1">
        <v>87.0</v>
      </c>
      <c r="O72" s="1">
        <v>87.0</v>
      </c>
      <c r="P72" s="1">
        <v>7.08</v>
      </c>
      <c r="Q72" s="1">
        <v>6.08</v>
      </c>
      <c r="R72" s="11" t="str">
        <f t="shared" si="1"/>
        <v>TE</v>
      </c>
    </row>
    <row r="73" ht="14.25" customHeight="1">
      <c r="A73" s="1">
        <v>69.0</v>
      </c>
      <c r="B73" s="1" t="s">
        <v>245</v>
      </c>
      <c r="C73" s="1" t="s">
        <v>321</v>
      </c>
      <c r="D73" s="1" t="s">
        <v>102</v>
      </c>
      <c r="E73" s="1">
        <v>61.0</v>
      </c>
      <c r="F73" s="1">
        <v>57.0</v>
      </c>
      <c r="G73" s="1">
        <v>88.0</v>
      </c>
      <c r="H73" s="1">
        <v>63.0</v>
      </c>
      <c r="I73" s="1">
        <v>82.0</v>
      </c>
      <c r="J73" s="1">
        <v>58.0</v>
      </c>
      <c r="K73" s="1">
        <v>67.0</v>
      </c>
      <c r="L73" s="1">
        <v>82.0</v>
      </c>
      <c r="M73" s="1">
        <v>52.0</v>
      </c>
      <c r="N73" s="1">
        <v>79.0</v>
      </c>
      <c r="O73" s="1">
        <v>91.0</v>
      </c>
      <c r="P73" s="1">
        <v>7.09</v>
      </c>
      <c r="Q73" s="1">
        <v>6.09</v>
      </c>
      <c r="R73" s="11" t="str">
        <f t="shared" si="1"/>
        <v>TE</v>
      </c>
    </row>
    <row r="74" ht="14.25" customHeight="1">
      <c r="A74" s="1">
        <v>70.0</v>
      </c>
      <c r="B74" s="1" t="s">
        <v>215</v>
      </c>
      <c r="C74" s="1" t="s">
        <v>350</v>
      </c>
      <c r="D74" s="1" t="s">
        <v>75</v>
      </c>
      <c r="E74" s="1">
        <v>56.0</v>
      </c>
      <c r="F74" s="1">
        <v>70.0</v>
      </c>
      <c r="G74" s="1">
        <v>76.0</v>
      </c>
      <c r="H74" s="1">
        <v>70.0</v>
      </c>
      <c r="I74" s="1">
        <v>74.0</v>
      </c>
      <c r="J74" s="1">
        <v>77.0</v>
      </c>
      <c r="K74" s="1">
        <v>65.0</v>
      </c>
      <c r="L74" s="1">
        <v>70.0</v>
      </c>
      <c r="M74" s="1">
        <v>72.0</v>
      </c>
      <c r="N74" s="1">
        <v>75.0</v>
      </c>
      <c r="O74" s="1">
        <v>78.0</v>
      </c>
      <c r="P74" s="1">
        <v>7.1</v>
      </c>
      <c r="Q74" s="1">
        <v>6.1</v>
      </c>
      <c r="R74" s="11" t="str">
        <f t="shared" si="1"/>
        <v>RB</v>
      </c>
    </row>
    <row r="75" ht="14.25" customHeight="1">
      <c r="A75" s="1">
        <v>71.0</v>
      </c>
      <c r="B75" s="1" t="s">
        <v>241</v>
      </c>
      <c r="C75" s="1" t="s">
        <v>437</v>
      </c>
      <c r="D75" s="1" t="s">
        <v>195</v>
      </c>
      <c r="E75" s="1">
        <v>69.0</v>
      </c>
      <c r="F75" s="1">
        <v>68.0</v>
      </c>
      <c r="G75" s="1">
        <v>81.0</v>
      </c>
      <c r="H75" s="1">
        <v>74.0</v>
      </c>
      <c r="I75" s="1">
        <v>62.0</v>
      </c>
      <c r="J75" s="1">
        <v>98.0</v>
      </c>
      <c r="K75" s="1">
        <v>75.0</v>
      </c>
      <c r="L75" s="1">
        <v>81.0</v>
      </c>
      <c r="M75" s="1">
        <v>69.0</v>
      </c>
      <c r="N75" s="1">
        <v>72.0</v>
      </c>
      <c r="O75" s="1">
        <v>72.0</v>
      </c>
      <c r="P75" s="1">
        <v>8.01</v>
      </c>
      <c r="Q75" s="1">
        <v>6.11</v>
      </c>
      <c r="R75" s="11" t="str">
        <f t="shared" si="1"/>
        <v>WR</v>
      </c>
    </row>
    <row r="76" ht="14.25" customHeight="1">
      <c r="A76" s="1">
        <v>72.0</v>
      </c>
      <c r="B76" s="1" t="s">
        <v>243</v>
      </c>
      <c r="C76" s="1" t="s">
        <v>369</v>
      </c>
      <c r="D76" s="1" t="s">
        <v>162</v>
      </c>
      <c r="E76" s="1">
        <v>54.0</v>
      </c>
      <c r="F76" s="1">
        <v>52.0</v>
      </c>
      <c r="G76" s="1">
        <v>85.0</v>
      </c>
      <c r="H76" s="1">
        <v>92.0</v>
      </c>
      <c r="I76" s="1">
        <v>78.0</v>
      </c>
      <c r="J76" s="1">
        <v>61.0</v>
      </c>
      <c r="K76" s="1">
        <v>71.0</v>
      </c>
      <c r="L76" s="1">
        <v>90.0</v>
      </c>
      <c r="M76" s="1">
        <v>49.0</v>
      </c>
      <c r="N76" s="1">
        <v>99.0</v>
      </c>
      <c r="O76" s="1">
        <v>93.0</v>
      </c>
      <c r="P76" s="1">
        <v>8.02</v>
      </c>
      <c r="Q76" s="1">
        <v>6.12</v>
      </c>
      <c r="R76" s="11" t="str">
        <f t="shared" si="1"/>
        <v>QB</v>
      </c>
    </row>
    <row r="77" ht="14.25" customHeight="1">
      <c r="A77" s="1">
        <v>73.0</v>
      </c>
      <c r="B77" s="1" t="s">
        <v>249</v>
      </c>
      <c r="C77" s="1" t="s">
        <v>208</v>
      </c>
      <c r="D77" s="1" t="s">
        <v>171</v>
      </c>
      <c r="E77" s="1">
        <v>99.0</v>
      </c>
      <c r="F77" s="1">
        <v>76.0</v>
      </c>
      <c r="G77" s="1">
        <v>75.0</v>
      </c>
      <c r="H77" s="1">
        <v>77.0</v>
      </c>
      <c r="I77" s="1">
        <v>64.0</v>
      </c>
      <c r="J77" s="1">
        <v>89.0</v>
      </c>
      <c r="K77" s="1">
        <v>80.0</v>
      </c>
      <c r="L77" s="1">
        <v>63.0</v>
      </c>
      <c r="M77" s="1">
        <v>75.0</v>
      </c>
      <c r="N77" s="1">
        <v>66.0</v>
      </c>
      <c r="O77" s="1">
        <v>64.0</v>
      </c>
      <c r="P77" s="1">
        <v>8.03</v>
      </c>
      <c r="Q77" s="1">
        <v>7.01</v>
      </c>
      <c r="R77" s="11" t="str">
        <f t="shared" si="1"/>
        <v>WR</v>
      </c>
    </row>
    <row r="78" ht="14.25" customHeight="1">
      <c r="A78" s="1">
        <v>74.0</v>
      </c>
      <c r="B78" s="1" t="s">
        <v>260</v>
      </c>
      <c r="C78" s="1" t="s">
        <v>130</v>
      </c>
      <c r="D78" s="1" t="s">
        <v>131</v>
      </c>
      <c r="E78" s="1">
        <v>101.0</v>
      </c>
      <c r="F78" s="1">
        <v>84.0</v>
      </c>
      <c r="G78" s="1">
        <v>78.0</v>
      </c>
      <c r="H78" s="1">
        <v>82.0</v>
      </c>
      <c r="I78" s="1">
        <v>72.0</v>
      </c>
      <c r="J78" s="1">
        <v>87.0</v>
      </c>
      <c r="K78" s="1">
        <v>73.0</v>
      </c>
      <c r="L78" s="1">
        <v>66.0</v>
      </c>
      <c r="M78" s="1">
        <v>80.0</v>
      </c>
      <c r="N78" s="1">
        <v>71.0</v>
      </c>
      <c r="O78" s="1">
        <v>67.0</v>
      </c>
      <c r="P78" s="1">
        <v>8.04</v>
      </c>
      <c r="Q78" s="1">
        <v>7.02</v>
      </c>
      <c r="R78" s="11" t="str">
        <f t="shared" si="1"/>
        <v>WR</v>
      </c>
    </row>
    <row r="79" ht="14.25" customHeight="1">
      <c r="A79" s="1">
        <v>75.0</v>
      </c>
      <c r="B79" s="1" t="s">
        <v>258</v>
      </c>
      <c r="C79" s="1" t="s">
        <v>326</v>
      </c>
      <c r="D79" s="1" t="s">
        <v>176</v>
      </c>
      <c r="E79" s="1">
        <v>68.0</v>
      </c>
      <c r="F79" s="1">
        <v>66.0</v>
      </c>
      <c r="G79" s="1">
        <v>87.0</v>
      </c>
      <c r="H79" s="1">
        <v>89.0</v>
      </c>
      <c r="I79" s="1">
        <v>83.0</v>
      </c>
      <c r="J79" s="1">
        <v>64.0</v>
      </c>
      <c r="K79" s="1">
        <v>79.0</v>
      </c>
      <c r="L79" s="1">
        <v>83.0</v>
      </c>
      <c r="M79" s="1">
        <v>57.0</v>
      </c>
      <c r="N79" s="1">
        <v>91.0</v>
      </c>
      <c r="O79" s="1">
        <v>96.0</v>
      </c>
      <c r="P79" s="1">
        <v>8.05</v>
      </c>
      <c r="Q79" s="1">
        <v>7.03</v>
      </c>
      <c r="R79" s="11" t="str">
        <f t="shared" si="1"/>
        <v>QB</v>
      </c>
    </row>
    <row r="80" ht="14.25" customHeight="1">
      <c r="A80" s="1">
        <v>76.0</v>
      </c>
      <c r="B80" s="1" t="s">
        <v>247</v>
      </c>
      <c r="C80" s="1" t="s">
        <v>357</v>
      </c>
      <c r="D80" s="1" t="s">
        <v>109</v>
      </c>
      <c r="E80" s="1">
        <v>73.0</v>
      </c>
      <c r="F80" s="1">
        <v>73.0</v>
      </c>
      <c r="G80" s="1">
        <v>95.0</v>
      </c>
      <c r="H80" s="1">
        <v>79.0</v>
      </c>
      <c r="I80" s="1">
        <v>93.0</v>
      </c>
      <c r="J80" s="1">
        <v>53.0</v>
      </c>
      <c r="K80" s="1">
        <v>77.0</v>
      </c>
      <c r="L80" s="1">
        <v>79.0</v>
      </c>
      <c r="M80" s="1">
        <v>60.0</v>
      </c>
      <c r="N80" s="1">
        <v>93.0</v>
      </c>
      <c r="O80" s="1">
        <v>95.0</v>
      </c>
      <c r="P80" s="1">
        <v>8.06</v>
      </c>
      <c r="Q80" s="1">
        <v>7.04</v>
      </c>
      <c r="R80" s="11" t="str">
        <f t="shared" si="1"/>
        <v>TE</v>
      </c>
    </row>
    <row r="81" ht="14.25" customHeight="1">
      <c r="A81" s="1">
        <v>77.0</v>
      </c>
      <c r="B81" s="1" t="s">
        <v>269</v>
      </c>
      <c r="C81" s="1" t="s">
        <v>621</v>
      </c>
      <c r="D81" s="1" t="s">
        <v>58</v>
      </c>
      <c r="E81" s="1">
        <v>72.0</v>
      </c>
      <c r="F81" s="1">
        <v>93.0</v>
      </c>
      <c r="G81" s="1">
        <v>106.0</v>
      </c>
      <c r="H81" s="1">
        <v>67.0</v>
      </c>
      <c r="I81" s="1">
        <v>65.0</v>
      </c>
      <c r="J81" s="1">
        <v>110.0</v>
      </c>
      <c r="K81" s="1">
        <v>94.0</v>
      </c>
      <c r="L81" s="1">
        <v>69.0</v>
      </c>
      <c r="M81" s="1">
        <v>81.0</v>
      </c>
      <c r="N81" s="1">
        <v>55.0</v>
      </c>
      <c r="O81" s="1">
        <v>59.0</v>
      </c>
      <c r="P81" s="1">
        <v>8.07</v>
      </c>
      <c r="Q81" s="1">
        <v>7.05</v>
      </c>
      <c r="R81" s="11" t="str">
        <f t="shared" si="1"/>
        <v>WR</v>
      </c>
    </row>
    <row r="82" ht="14.25" customHeight="1">
      <c r="A82" s="1">
        <v>78.0</v>
      </c>
      <c r="B82" s="1" t="s">
        <v>272</v>
      </c>
      <c r="C82" s="1" t="s">
        <v>161</v>
      </c>
      <c r="D82" s="1" t="s">
        <v>162</v>
      </c>
      <c r="E82" s="1">
        <v>80.0</v>
      </c>
      <c r="F82" s="1">
        <v>83.0</v>
      </c>
      <c r="G82" s="1">
        <v>99.0</v>
      </c>
      <c r="H82" s="1">
        <v>61.0</v>
      </c>
      <c r="I82" s="1">
        <v>63.0</v>
      </c>
      <c r="J82" s="1">
        <v>120.0</v>
      </c>
      <c r="K82" s="1">
        <v>101.0</v>
      </c>
      <c r="L82" s="1">
        <v>72.0</v>
      </c>
      <c r="M82" s="1">
        <v>87.0</v>
      </c>
      <c r="N82" s="1">
        <v>49.0</v>
      </c>
      <c r="O82" s="1">
        <v>56.0</v>
      </c>
      <c r="P82" s="1">
        <v>8.08</v>
      </c>
      <c r="Q82" s="1">
        <v>7.06</v>
      </c>
      <c r="R82" s="11" t="str">
        <f t="shared" si="1"/>
        <v>WR</v>
      </c>
    </row>
    <row r="83" ht="14.25" customHeight="1">
      <c r="A83" s="1">
        <v>79.0</v>
      </c>
      <c r="B83" s="1" t="s">
        <v>279</v>
      </c>
      <c r="C83" s="1" t="s">
        <v>364</v>
      </c>
      <c r="D83" s="1" t="s">
        <v>192</v>
      </c>
      <c r="E83" s="1">
        <v>75.0</v>
      </c>
      <c r="F83" s="1">
        <v>95.0</v>
      </c>
      <c r="G83" s="1">
        <v>83.0</v>
      </c>
      <c r="H83" s="1">
        <v>83.0</v>
      </c>
      <c r="I83" s="1">
        <v>75.0</v>
      </c>
      <c r="J83" s="1">
        <v>96.0</v>
      </c>
      <c r="K83" s="1">
        <v>84.0</v>
      </c>
      <c r="L83" s="1">
        <v>94.0</v>
      </c>
      <c r="M83" s="1">
        <v>82.0</v>
      </c>
      <c r="N83" s="1">
        <v>69.0</v>
      </c>
      <c r="O83" s="1">
        <v>65.0</v>
      </c>
      <c r="P83" s="1">
        <v>8.09</v>
      </c>
      <c r="Q83" s="1">
        <v>7.07</v>
      </c>
      <c r="R83" s="11" t="str">
        <f t="shared" si="1"/>
        <v>WR</v>
      </c>
    </row>
    <row r="84" ht="14.25" customHeight="1">
      <c r="A84" s="1">
        <v>80.0</v>
      </c>
      <c r="B84" s="1" t="s">
        <v>225</v>
      </c>
      <c r="C84" s="1" t="s">
        <v>837</v>
      </c>
      <c r="D84" s="1" t="s">
        <v>237</v>
      </c>
      <c r="E84" s="1">
        <v>78.0</v>
      </c>
      <c r="F84" s="1">
        <v>97.0</v>
      </c>
      <c r="G84" s="1">
        <v>84.0</v>
      </c>
      <c r="H84" s="1">
        <v>78.0</v>
      </c>
      <c r="I84" s="1">
        <v>76.0</v>
      </c>
      <c r="J84" s="1">
        <v>80.0</v>
      </c>
      <c r="K84" s="1">
        <v>76.0</v>
      </c>
      <c r="L84" s="1">
        <v>95.0</v>
      </c>
      <c r="M84" s="1">
        <v>78.0</v>
      </c>
      <c r="N84" s="1">
        <v>81.0</v>
      </c>
      <c r="O84" s="1">
        <v>79.0</v>
      </c>
      <c r="P84" s="1">
        <v>8.1</v>
      </c>
      <c r="Q84" s="1">
        <v>7.08</v>
      </c>
      <c r="R84" s="11" t="str">
        <f t="shared" si="1"/>
        <v>RB</v>
      </c>
    </row>
    <row r="85" ht="14.25" customHeight="1">
      <c r="A85" s="1">
        <v>81.0</v>
      </c>
      <c r="B85" s="1" t="s">
        <v>235</v>
      </c>
      <c r="C85" s="1" t="s">
        <v>435</v>
      </c>
      <c r="D85" s="1" t="s">
        <v>128</v>
      </c>
      <c r="E85" s="1">
        <v>70.0</v>
      </c>
      <c r="F85" s="1">
        <v>81.0</v>
      </c>
      <c r="G85" s="1">
        <v>90.0</v>
      </c>
      <c r="H85" s="1">
        <v>80.0</v>
      </c>
      <c r="I85" s="1">
        <v>81.0</v>
      </c>
      <c r="J85" s="1">
        <v>101.0</v>
      </c>
      <c r="K85" s="1">
        <v>82.0</v>
      </c>
      <c r="L85" s="1">
        <v>67.0</v>
      </c>
      <c r="M85" s="1">
        <v>85.0</v>
      </c>
      <c r="N85" s="1">
        <v>88.0</v>
      </c>
      <c r="O85" s="1">
        <v>84.0</v>
      </c>
      <c r="P85" s="1">
        <v>9.01</v>
      </c>
      <c r="Q85" s="1">
        <v>7.09</v>
      </c>
      <c r="R85" s="11" t="str">
        <f t="shared" si="1"/>
        <v>RB</v>
      </c>
    </row>
    <row r="86" ht="14.25" customHeight="1">
      <c r="A86" s="1">
        <v>82.0</v>
      </c>
      <c r="B86" s="1" t="s">
        <v>285</v>
      </c>
      <c r="C86" s="1" t="s">
        <v>299</v>
      </c>
      <c r="D86" s="1" t="s">
        <v>116</v>
      </c>
      <c r="E86" s="1">
        <v>91.0</v>
      </c>
      <c r="F86" s="1">
        <v>88.0</v>
      </c>
      <c r="G86" s="1">
        <v>89.0</v>
      </c>
      <c r="H86" s="1">
        <v>85.0</v>
      </c>
      <c r="I86" s="1">
        <v>77.0</v>
      </c>
      <c r="J86" s="1">
        <v>95.0</v>
      </c>
      <c r="K86" s="1">
        <v>89.0</v>
      </c>
      <c r="L86" s="1">
        <v>77.0</v>
      </c>
      <c r="M86" s="1">
        <v>91.0</v>
      </c>
      <c r="N86" s="1">
        <v>67.0</v>
      </c>
      <c r="O86" s="1">
        <v>69.0</v>
      </c>
      <c r="P86" s="1">
        <v>9.02</v>
      </c>
      <c r="Q86" s="1">
        <v>7.1</v>
      </c>
      <c r="R86" s="11" t="str">
        <f t="shared" si="1"/>
        <v>WR</v>
      </c>
    </row>
    <row r="87" ht="14.25" customHeight="1">
      <c r="A87" s="1">
        <v>83.0</v>
      </c>
      <c r="B87" s="1" t="s">
        <v>289</v>
      </c>
      <c r="C87" s="1" t="s">
        <v>342</v>
      </c>
      <c r="D87" s="1" t="s">
        <v>98</v>
      </c>
      <c r="E87" s="1">
        <v>85.0</v>
      </c>
      <c r="F87" s="1">
        <v>82.0</v>
      </c>
      <c r="G87" s="1">
        <v>86.0</v>
      </c>
      <c r="H87" s="1">
        <v>87.0</v>
      </c>
      <c r="I87" s="1">
        <v>73.0</v>
      </c>
      <c r="J87" s="1">
        <v>119.0</v>
      </c>
      <c r="K87" s="1">
        <v>83.0</v>
      </c>
      <c r="L87" s="1">
        <v>87.0</v>
      </c>
      <c r="M87" s="1">
        <v>84.0</v>
      </c>
      <c r="N87" s="1">
        <v>77.0</v>
      </c>
      <c r="O87" s="1">
        <v>73.0</v>
      </c>
      <c r="P87" s="1">
        <v>9.03</v>
      </c>
      <c r="Q87" s="1">
        <v>7.11</v>
      </c>
      <c r="R87" s="11" t="str">
        <f t="shared" si="1"/>
        <v>WR</v>
      </c>
    </row>
    <row r="88" ht="14.25" customHeight="1">
      <c r="A88" s="1">
        <v>84.0</v>
      </c>
      <c r="B88" s="1" t="s">
        <v>252</v>
      </c>
      <c r="C88" s="1" t="s">
        <v>236</v>
      </c>
      <c r="D88" s="1" t="s">
        <v>237</v>
      </c>
      <c r="E88" s="1">
        <v>88.0</v>
      </c>
      <c r="F88" s="1">
        <v>85.0</v>
      </c>
      <c r="G88" s="1">
        <v>96.0</v>
      </c>
      <c r="H88" s="1">
        <v>84.0</v>
      </c>
      <c r="I88" s="1">
        <v>86.0</v>
      </c>
      <c r="J88" s="1">
        <v>107.0</v>
      </c>
      <c r="K88" s="1">
        <v>86.0</v>
      </c>
      <c r="L88" s="1">
        <v>75.0</v>
      </c>
      <c r="M88" s="1">
        <v>94.0</v>
      </c>
      <c r="N88" s="1">
        <v>86.0</v>
      </c>
      <c r="O88" s="1">
        <v>88.0</v>
      </c>
      <c r="P88" s="1">
        <v>9.04</v>
      </c>
      <c r="Q88" s="1">
        <v>7.12</v>
      </c>
      <c r="R88" s="11" t="str">
        <f t="shared" si="1"/>
        <v>RB</v>
      </c>
    </row>
    <row r="89" ht="14.25" customHeight="1">
      <c r="A89" s="1">
        <v>85.0</v>
      </c>
      <c r="B89" s="1" t="s">
        <v>291</v>
      </c>
      <c r="C89" s="1" t="s">
        <v>330</v>
      </c>
      <c r="D89" s="1" t="s">
        <v>154</v>
      </c>
      <c r="E89" s="1">
        <v>100.0</v>
      </c>
      <c r="F89" s="1">
        <v>80.0</v>
      </c>
      <c r="G89" s="1">
        <v>104.0</v>
      </c>
      <c r="H89" s="1">
        <v>81.0</v>
      </c>
      <c r="I89" s="1">
        <v>79.0</v>
      </c>
      <c r="J89" s="1">
        <v>115.0</v>
      </c>
      <c r="K89" s="1">
        <v>95.0</v>
      </c>
      <c r="L89" s="1">
        <v>91.0</v>
      </c>
      <c r="M89" s="1">
        <v>100.0</v>
      </c>
      <c r="N89" s="1">
        <v>65.0</v>
      </c>
      <c r="O89" s="1">
        <v>66.0</v>
      </c>
      <c r="P89" s="1">
        <v>9.05</v>
      </c>
      <c r="Q89" s="1">
        <v>8.01</v>
      </c>
      <c r="R89" s="11" t="str">
        <f t="shared" si="1"/>
        <v>WR</v>
      </c>
    </row>
    <row r="90" ht="14.25" customHeight="1">
      <c r="A90" s="1">
        <v>86.0</v>
      </c>
      <c r="B90" s="1" t="s">
        <v>256</v>
      </c>
      <c r="C90" s="1" t="s">
        <v>666</v>
      </c>
      <c r="D90" s="1" t="s">
        <v>176</v>
      </c>
      <c r="E90" s="1">
        <v>97.0</v>
      </c>
      <c r="F90" s="1">
        <v>78.0</v>
      </c>
      <c r="G90" s="1">
        <v>103.0</v>
      </c>
      <c r="H90" s="1">
        <v>75.0</v>
      </c>
      <c r="I90" s="1">
        <v>95.0</v>
      </c>
      <c r="J90" s="1">
        <v>74.0</v>
      </c>
      <c r="K90" s="1">
        <v>87.0</v>
      </c>
      <c r="L90" s="1">
        <v>92.0</v>
      </c>
      <c r="M90" s="1">
        <v>79.0</v>
      </c>
      <c r="N90" s="1">
        <v>100.0</v>
      </c>
      <c r="O90" s="1">
        <v>107.0</v>
      </c>
      <c r="P90" s="1">
        <v>9.06</v>
      </c>
      <c r="Q90" s="1">
        <v>8.02</v>
      </c>
      <c r="R90" s="11" t="str">
        <f t="shared" si="1"/>
        <v>TE</v>
      </c>
    </row>
    <row r="91" ht="14.25" customHeight="1">
      <c r="A91" s="1">
        <v>87.0</v>
      </c>
      <c r="B91" s="1" t="s">
        <v>298</v>
      </c>
      <c r="C91" s="1" t="s">
        <v>303</v>
      </c>
      <c r="D91" s="1" t="s">
        <v>75</v>
      </c>
      <c r="E91" s="1">
        <v>103.0</v>
      </c>
      <c r="F91" s="1">
        <v>110.0</v>
      </c>
      <c r="G91" s="1">
        <v>93.0</v>
      </c>
      <c r="H91" s="1">
        <v>95.0</v>
      </c>
      <c r="I91" s="1">
        <v>84.0</v>
      </c>
      <c r="J91" s="1">
        <v>94.0</v>
      </c>
      <c r="K91" s="1">
        <v>81.0</v>
      </c>
      <c r="L91" s="1">
        <v>84.0</v>
      </c>
      <c r="M91" s="1">
        <v>88.0</v>
      </c>
      <c r="N91" s="1">
        <v>82.0</v>
      </c>
      <c r="O91" s="1">
        <v>74.0</v>
      </c>
      <c r="P91" s="1">
        <v>9.07</v>
      </c>
      <c r="Q91" s="1">
        <v>8.03</v>
      </c>
      <c r="R91" s="11" t="str">
        <f t="shared" si="1"/>
        <v>WR</v>
      </c>
    </row>
    <row r="92" ht="14.25" customHeight="1">
      <c r="A92" s="1">
        <v>88.0</v>
      </c>
      <c r="B92" s="1" t="s">
        <v>283</v>
      </c>
      <c r="C92" s="1" t="s">
        <v>201</v>
      </c>
      <c r="D92" s="1" t="s">
        <v>62</v>
      </c>
      <c r="E92" s="1">
        <v>96.0</v>
      </c>
      <c r="F92" s="1">
        <v>89.0</v>
      </c>
      <c r="G92" s="1">
        <v>105.0</v>
      </c>
      <c r="H92" s="1">
        <v>69.0</v>
      </c>
      <c r="I92" s="1">
        <v>94.0</v>
      </c>
      <c r="J92" s="1">
        <v>88.0</v>
      </c>
      <c r="K92" s="1">
        <v>96.0</v>
      </c>
      <c r="L92" s="1">
        <v>117.0</v>
      </c>
      <c r="M92" s="1">
        <v>89.0</v>
      </c>
      <c r="N92" s="1">
        <v>80.0</v>
      </c>
      <c r="O92" s="1">
        <v>89.0</v>
      </c>
      <c r="P92" s="1">
        <v>9.08</v>
      </c>
      <c r="Q92" s="1">
        <v>8.04</v>
      </c>
      <c r="R92" s="11" t="str">
        <f t="shared" si="1"/>
        <v>TE</v>
      </c>
    </row>
    <row r="93" ht="14.25" customHeight="1">
      <c r="A93" s="1">
        <v>89.0</v>
      </c>
      <c r="B93" s="1" t="s">
        <v>264</v>
      </c>
      <c r="C93" s="1" t="s">
        <v>361</v>
      </c>
      <c r="D93" s="1" t="s">
        <v>125</v>
      </c>
      <c r="E93" s="1">
        <v>82.0</v>
      </c>
      <c r="F93" s="1">
        <v>77.0</v>
      </c>
      <c r="G93" s="1">
        <v>101.0</v>
      </c>
      <c r="H93" s="1">
        <v>105.0</v>
      </c>
      <c r="I93" s="1">
        <v>104.0</v>
      </c>
      <c r="J93" s="1">
        <v>81.0</v>
      </c>
      <c r="K93" s="1">
        <v>91.0</v>
      </c>
      <c r="L93" s="1">
        <v>98.0</v>
      </c>
      <c r="M93" s="1">
        <v>73.0</v>
      </c>
      <c r="N93" s="1">
        <v>104.0</v>
      </c>
      <c r="O93" s="1">
        <v>98.0</v>
      </c>
      <c r="P93" s="1">
        <v>9.09</v>
      </c>
      <c r="Q93" s="1">
        <v>8.05</v>
      </c>
      <c r="R93" s="11" t="str">
        <f t="shared" si="1"/>
        <v>QB</v>
      </c>
    </row>
    <row r="94" ht="14.25" customHeight="1">
      <c r="A94" s="1">
        <v>90.0</v>
      </c>
      <c r="B94" s="1" t="s">
        <v>320</v>
      </c>
      <c r="C94" s="1" t="s">
        <v>578</v>
      </c>
      <c r="D94" s="1" t="s">
        <v>195</v>
      </c>
      <c r="E94" s="1">
        <v>74.0</v>
      </c>
      <c r="F94" s="1">
        <v>72.0</v>
      </c>
      <c r="G94" s="1">
        <v>108.0</v>
      </c>
      <c r="H94" s="1">
        <v>76.0</v>
      </c>
      <c r="I94" s="1">
        <v>101.0</v>
      </c>
      <c r="J94" s="1">
        <v>85.0</v>
      </c>
      <c r="K94" s="1">
        <v>92.0</v>
      </c>
      <c r="L94" s="1">
        <v>97.0</v>
      </c>
      <c r="M94" s="1">
        <v>90.0</v>
      </c>
      <c r="N94" s="1">
        <v>105.0</v>
      </c>
      <c r="O94" s="1">
        <v>118.0</v>
      </c>
      <c r="P94" s="1">
        <v>9.1</v>
      </c>
      <c r="Q94" s="1">
        <v>8.06</v>
      </c>
      <c r="R94" s="11" t="str">
        <f t="shared" si="1"/>
        <v>TE</v>
      </c>
    </row>
    <row r="95" ht="14.25" customHeight="1">
      <c r="A95" s="1">
        <v>91.0</v>
      </c>
      <c r="B95" s="1" t="s">
        <v>254</v>
      </c>
      <c r="C95" s="1" t="s">
        <v>313</v>
      </c>
      <c r="D95" s="1" t="s">
        <v>75</v>
      </c>
      <c r="E95" s="1">
        <v>98.0</v>
      </c>
      <c r="F95" s="1">
        <v>122.0</v>
      </c>
      <c r="G95" s="1">
        <v>107.0</v>
      </c>
      <c r="H95" s="1">
        <v>88.0</v>
      </c>
      <c r="I95" s="1">
        <v>89.0</v>
      </c>
      <c r="J95" s="1">
        <v>122.0</v>
      </c>
      <c r="K95" s="1">
        <v>103.0</v>
      </c>
      <c r="L95" s="1">
        <v>71.0</v>
      </c>
      <c r="M95" s="1">
        <v>99.0</v>
      </c>
      <c r="N95" s="1">
        <v>83.0</v>
      </c>
      <c r="O95" s="1">
        <v>82.0</v>
      </c>
      <c r="P95" s="1">
        <v>10.01</v>
      </c>
      <c r="Q95" s="1">
        <v>8.07</v>
      </c>
      <c r="R95" s="11" t="str">
        <f t="shared" si="1"/>
        <v>RB</v>
      </c>
    </row>
    <row r="96" ht="14.25" customHeight="1">
      <c r="A96" s="1">
        <v>92.0</v>
      </c>
      <c r="B96" s="1" t="s">
        <v>300</v>
      </c>
      <c r="C96" s="1" t="s">
        <v>468</v>
      </c>
      <c r="D96" s="1" t="s">
        <v>58</v>
      </c>
      <c r="E96" s="1">
        <v>119.0</v>
      </c>
      <c r="F96" s="1">
        <v>115.0</v>
      </c>
      <c r="G96" s="1">
        <v>110.0</v>
      </c>
      <c r="H96" s="1">
        <v>98.0</v>
      </c>
      <c r="I96" s="1">
        <v>85.0</v>
      </c>
      <c r="J96" s="1">
        <v>111.0</v>
      </c>
      <c r="K96" s="1">
        <v>102.0</v>
      </c>
      <c r="L96" s="1">
        <v>93.0</v>
      </c>
      <c r="M96" s="1">
        <v>93.0</v>
      </c>
      <c r="N96" s="1">
        <v>84.0</v>
      </c>
      <c r="O96" s="1">
        <v>76.0</v>
      </c>
      <c r="P96" s="1">
        <v>10.02</v>
      </c>
      <c r="Q96" s="1">
        <v>8.08</v>
      </c>
      <c r="R96" s="11" t="str">
        <f t="shared" si="1"/>
        <v>WR</v>
      </c>
    </row>
    <row r="97" ht="14.25" customHeight="1">
      <c r="A97" s="1">
        <v>93.0</v>
      </c>
      <c r="B97" s="1" t="s">
        <v>267</v>
      </c>
      <c r="C97" s="1" t="s">
        <v>259</v>
      </c>
      <c r="D97" s="1" t="s">
        <v>71</v>
      </c>
      <c r="E97" s="1">
        <v>77.0</v>
      </c>
      <c r="F97" s="1">
        <v>99.0</v>
      </c>
      <c r="G97" s="1">
        <v>120.0</v>
      </c>
      <c r="H97" s="1">
        <v>97.0</v>
      </c>
      <c r="I97" s="1">
        <v>87.0</v>
      </c>
      <c r="J97" s="1">
        <v>117.0</v>
      </c>
      <c r="K97" s="1">
        <v>117.0</v>
      </c>
      <c r="L97" s="1">
        <v>88.0</v>
      </c>
      <c r="M97" s="1">
        <v>92.0</v>
      </c>
      <c r="N97" s="1">
        <v>94.0</v>
      </c>
      <c r="O97" s="1">
        <v>103.0</v>
      </c>
      <c r="P97" s="1">
        <v>10.03</v>
      </c>
      <c r="Q97" s="1">
        <v>8.09</v>
      </c>
      <c r="R97" s="11" t="str">
        <f t="shared" si="1"/>
        <v>QB</v>
      </c>
    </row>
    <row r="98" ht="14.25" customHeight="1">
      <c r="A98" s="1">
        <v>94.0</v>
      </c>
      <c r="B98" s="1" t="s">
        <v>295</v>
      </c>
      <c r="C98" s="1" t="s">
        <v>315</v>
      </c>
      <c r="D98" s="1" t="s">
        <v>58</v>
      </c>
      <c r="E98" s="1">
        <v>89.0</v>
      </c>
      <c r="F98" s="1">
        <v>79.0</v>
      </c>
      <c r="G98" s="1">
        <v>111.0</v>
      </c>
      <c r="H98" s="1">
        <v>110.0</v>
      </c>
      <c r="I98" s="1">
        <v>107.0</v>
      </c>
      <c r="J98" s="1">
        <v>106.0</v>
      </c>
      <c r="K98" s="1">
        <v>112.0</v>
      </c>
      <c r="L98" s="1">
        <v>86.0</v>
      </c>
      <c r="M98" s="1">
        <v>86.0</v>
      </c>
      <c r="N98" s="1">
        <v>106.0</v>
      </c>
      <c r="O98" s="1">
        <v>101.0</v>
      </c>
      <c r="P98" s="1">
        <v>10.04</v>
      </c>
      <c r="Q98" s="1">
        <v>8.1</v>
      </c>
      <c r="R98" s="11" t="str">
        <f t="shared" si="1"/>
        <v>QB</v>
      </c>
    </row>
    <row r="99" ht="14.25" customHeight="1">
      <c r="A99" s="1">
        <v>95.0</v>
      </c>
      <c r="B99" s="1" t="s">
        <v>302</v>
      </c>
      <c r="C99" s="1" t="s">
        <v>458</v>
      </c>
      <c r="D99" s="1" t="s">
        <v>52</v>
      </c>
      <c r="E99" s="1">
        <v>95.0</v>
      </c>
      <c r="F99" s="1">
        <v>86.0</v>
      </c>
      <c r="G99" s="1">
        <v>97.0</v>
      </c>
      <c r="H99" s="1">
        <v>101.0</v>
      </c>
      <c r="I99" s="1">
        <v>91.0</v>
      </c>
      <c r="J99" s="1">
        <v>109.0</v>
      </c>
      <c r="K99" s="1">
        <v>88.0</v>
      </c>
      <c r="L99" s="1">
        <v>121.0</v>
      </c>
      <c r="M99" s="1">
        <v>108.0</v>
      </c>
      <c r="N99" s="1">
        <v>97.0</v>
      </c>
      <c r="O99" s="1">
        <v>100.0</v>
      </c>
      <c r="P99" s="1">
        <v>10.05</v>
      </c>
      <c r="Q99" s="1">
        <v>8.11</v>
      </c>
      <c r="R99" s="11" t="str">
        <f t="shared" si="1"/>
        <v>WR</v>
      </c>
    </row>
    <row r="100" ht="14.25" customHeight="1">
      <c r="A100" s="1">
        <v>96.0</v>
      </c>
      <c r="B100" s="1" t="s">
        <v>307</v>
      </c>
      <c r="C100" s="1" t="s">
        <v>374</v>
      </c>
      <c r="D100" s="1" t="s">
        <v>67</v>
      </c>
      <c r="E100" s="1">
        <v>118.0</v>
      </c>
      <c r="F100" s="1">
        <v>108.0</v>
      </c>
      <c r="G100" s="1">
        <v>116.0</v>
      </c>
      <c r="H100" s="1">
        <v>103.0</v>
      </c>
      <c r="I100" s="1">
        <v>88.0</v>
      </c>
      <c r="J100" s="1">
        <v>102.0</v>
      </c>
      <c r="K100" s="1">
        <v>93.0</v>
      </c>
      <c r="L100" s="1">
        <v>106.0</v>
      </c>
      <c r="M100" s="1">
        <v>96.0</v>
      </c>
      <c r="N100" s="1">
        <v>92.0</v>
      </c>
      <c r="O100" s="1">
        <v>81.0</v>
      </c>
      <c r="P100" s="1">
        <v>10.06</v>
      </c>
      <c r="Q100" s="1">
        <v>8.12</v>
      </c>
      <c r="R100" s="11" t="str">
        <f t="shared" si="1"/>
        <v>WR</v>
      </c>
    </row>
    <row r="101" ht="14.25" customHeight="1">
      <c r="A101" s="1">
        <v>97.0</v>
      </c>
      <c r="B101" s="1" t="s">
        <v>262</v>
      </c>
      <c r="C101" s="1" t="s">
        <v>168</v>
      </c>
      <c r="D101" s="1" t="s">
        <v>206</v>
      </c>
      <c r="E101" s="1">
        <v>90.0</v>
      </c>
      <c r="F101" s="1">
        <v>116.0</v>
      </c>
      <c r="G101" s="1">
        <v>102.0</v>
      </c>
      <c r="H101" s="1">
        <v>94.0</v>
      </c>
      <c r="I101" s="1">
        <v>90.0</v>
      </c>
      <c r="J101" s="1">
        <v>121.0</v>
      </c>
      <c r="K101" s="1">
        <v>85.0</v>
      </c>
      <c r="L101" s="1">
        <v>96.0</v>
      </c>
      <c r="M101" s="1">
        <v>110.0</v>
      </c>
      <c r="N101" s="1">
        <v>101.0</v>
      </c>
      <c r="O101" s="1">
        <v>106.0</v>
      </c>
      <c r="P101" s="1">
        <v>10.07</v>
      </c>
      <c r="Q101" s="1">
        <v>9.01</v>
      </c>
      <c r="R101" s="11" t="str">
        <f t="shared" si="1"/>
        <v>RB</v>
      </c>
    </row>
    <row r="102" ht="14.25" customHeight="1">
      <c r="A102" s="1">
        <v>98.0</v>
      </c>
      <c r="B102" s="1" t="s">
        <v>274</v>
      </c>
      <c r="C102" s="1" t="s">
        <v>278</v>
      </c>
      <c r="D102" s="1" t="s">
        <v>176</v>
      </c>
      <c r="E102" s="1">
        <v>102.0</v>
      </c>
      <c r="F102" s="1">
        <v>98.0</v>
      </c>
      <c r="G102" s="1">
        <v>119.0</v>
      </c>
      <c r="H102" s="1">
        <v>93.0</v>
      </c>
      <c r="I102" s="1">
        <v>98.0</v>
      </c>
      <c r="J102" s="1">
        <v>136.0</v>
      </c>
      <c r="K102" s="1">
        <v>107.0</v>
      </c>
      <c r="L102" s="1">
        <v>80.0</v>
      </c>
      <c r="M102" s="1">
        <v>104.0</v>
      </c>
      <c r="N102" s="1">
        <v>95.0</v>
      </c>
      <c r="O102" s="1">
        <v>97.0</v>
      </c>
      <c r="P102" s="1">
        <v>10.08</v>
      </c>
      <c r="Q102" s="1">
        <v>9.02</v>
      </c>
      <c r="R102" s="11" t="str">
        <f t="shared" si="1"/>
        <v>RB</v>
      </c>
    </row>
    <row r="103" ht="14.25" customHeight="1">
      <c r="A103" s="1">
        <v>99.0</v>
      </c>
      <c r="B103" s="1" t="s">
        <v>277</v>
      </c>
      <c r="C103" s="1" t="s">
        <v>391</v>
      </c>
      <c r="D103" s="1" t="s">
        <v>52</v>
      </c>
      <c r="E103" s="1">
        <v>92.0</v>
      </c>
      <c r="F103" s="1">
        <v>129.0</v>
      </c>
      <c r="G103" s="1">
        <v>114.0</v>
      </c>
      <c r="H103" s="1">
        <v>86.0</v>
      </c>
      <c r="I103" s="1">
        <v>92.0</v>
      </c>
      <c r="J103" s="1">
        <v>153.0</v>
      </c>
      <c r="K103" s="1">
        <v>104.0</v>
      </c>
      <c r="L103" s="1">
        <v>78.0</v>
      </c>
      <c r="M103" s="1">
        <v>103.0</v>
      </c>
      <c r="N103" s="1">
        <v>90.0</v>
      </c>
      <c r="O103" s="1">
        <v>94.0</v>
      </c>
      <c r="P103" s="1">
        <v>10.09</v>
      </c>
      <c r="Q103" s="1">
        <v>9.03</v>
      </c>
      <c r="R103" s="11" t="str">
        <f t="shared" si="1"/>
        <v>RB</v>
      </c>
    </row>
    <row r="104" ht="14.25" customHeight="1">
      <c r="A104" s="1">
        <v>100.0</v>
      </c>
      <c r="B104" s="1" t="s">
        <v>316</v>
      </c>
      <c r="C104" s="1" t="s">
        <v>286</v>
      </c>
      <c r="D104" s="1" t="s">
        <v>62</v>
      </c>
      <c r="E104" s="1">
        <v>94.0</v>
      </c>
      <c r="F104" s="1">
        <v>92.0</v>
      </c>
      <c r="G104" s="1">
        <v>113.0</v>
      </c>
      <c r="H104" s="1">
        <v>99.0</v>
      </c>
      <c r="I104" s="1">
        <v>97.0</v>
      </c>
      <c r="J104" s="1">
        <v>164.0</v>
      </c>
      <c r="K104" s="1">
        <v>114.0</v>
      </c>
      <c r="L104" s="1">
        <v>114.0</v>
      </c>
      <c r="M104" s="1">
        <v>113.0</v>
      </c>
      <c r="N104" s="1">
        <v>85.0</v>
      </c>
      <c r="O104" s="1">
        <v>90.0</v>
      </c>
      <c r="P104" s="1">
        <v>10.1</v>
      </c>
      <c r="Q104" s="1">
        <v>9.04</v>
      </c>
      <c r="R104" s="11" t="str">
        <f t="shared" si="1"/>
        <v>WR</v>
      </c>
    </row>
    <row r="105" ht="14.25" customHeight="1">
      <c r="A105" s="1">
        <v>101.0</v>
      </c>
      <c r="B105" s="1" t="s">
        <v>329</v>
      </c>
      <c r="C105" s="1" t="s">
        <v>270</v>
      </c>
      <c r="D105" s="1" t="s">
        <v>162</v>
      </c>
      <c r="E105" s="1">
        <v>107.0</v>
      </c>
      <c r="F105" s="1">
        <v>102.0</v>
      </c>
      <c r="G105" s="1">
        <v>127.0</v>
      </c>
      <c r="H105" s="1">
        <v>118.0</v>
      </c>
      <c r="I105" s="1">
        <v>100.0</v>
      </c>
      <c r="J105" s="1">
        <v>90.0</v>
      </c>
      <c r="K105" s="1">
        <v>90.0</v>
      </c>
      <c r="L105" s="1">
        <v>127.0</v>
      </c>
      <c r="M105" s="1">
        <v>97.0</v>
      </c>
      <c r="N105" s="1">
        <v>117.0</v>
      </c>
      <c r="O105" s="1">
        <v>104.0</v>
      </c>
      <c r="P105" s="1">
        <v>11.01</v>
      </c>
      <c r="Q105" s="1">
        <v>9.05</v>
      </c>
      <c r="R105" s="11" t="str">
        <f t="shared" si="1"/>
        <v>WR</v>
      </c>
    </row>
    <row r="106" ht="14.25" customHeight="1">
      <c r="A106" s="1">
        <v>102.0</v>
      </c>
      <c r="B106" s="1" t="s">
        <v>327</v>
      </c>
      <c r="C106" s="1" t="s">
        <v>239</v>
      </c>
      <c r="D106" s="1" t="s">
        <v>154</v>
      </c>
      <c r="E106" s="1">
        <v>114.0</v>
      </c>
      <c r="F106" s="1">
        <v>106.0</v>
      </c>
      <c r="G106" s="1">
        <v>123.0</v>
      </c>
      <c r="H106" s="1">
        <v>91.0</v>
      </c>
      <c r="I106" s="1">
        <v>111.0</v>
      </c>
      <c r="J106" s="1">
        <v>116.0</v>
      </c>
      <c r="K106" s="1">
        <v>105.0</v>
      </c>
      <c r="L106" s="1">
        <v>85.0</v>
      </c>
      <c r="M106" s="1">
        <v>107.0</v>
      </c>
      <c r="N106" s="1">
        <v>112.0</v>
      </c>
      <c r="O106" s="1">
        <v>112.0</v>
      </c>
      <c r="P106" s="1">
        <v>11.02</v>
      </c>
      <c r="Q106" s="1">
        <v>9.06</v>
      </c>
      <c r="R106" s="11" t="str">
        <f t="shared" si="1"/>
        <v>TE</v>
      </c>
    </row>
    <row r="107" ht="14.25" customHeight="1">
      <c r="A107" s="1">
        <v>103.0</v>
      </c>
      <c r="B107" s="1" t="s">
        <v>309</v>
      </c>
      <c r="C107" s="1" t="s">
        <v>812</v>
      </c>
      <c r="D107" s="1" t="s">
        <v>148</v>
      </c>
      <c r="E107" s="1">
        <v>116.0</v>
      </c>
      <c r="F107" s="1">
        <v>120.0</v>
      </c>
      <c r="G107" s="1">
        <v>121.0</v>
      </c>
      <c r="H107" s="1">
        <v>119.0</v>
      </c>
      <c r="I107" s="1">
        <v>112.0</v>
      </c>
      <c r="J107" s="1">
        <v>63.0</v>
      </c>
      <c r="K107" s="1">
        <v>136.0</v>
      </c>
      <c r="L107" s="1">
        <v>102.0</v>
      </c>
      <c r="M107" s="1">
        <v>95.0</v>
      </c>
      <c r="N107" s="1">
        <v>98.0</v>
      </c>
      <c r="O107" s="1">
        <v>109.0</v>
      </c>
      <c r="P107" s="1">
        <v>11.03</v>
      </c>
      <c r="Q107" s="1">
        <v>9.07</v>
      </c>
      <c r="R107" s="11" t="str">
        <f t="shared" si="1"/>
        <v>QB</v>
      </c>
    </row>
    <row r="108" ht="14.25" customHeight="1">
      <c r="A108" s="1">
        <v>104.0</v>
      </c>
      <c r="B108" s="1" t="s">
        <v>314</v>
      </c>
      <c r="C108" s="1" t="s">
        <v>346</v>
      </c>
      <c r="D108" s="1" t="s">
        <v>35</v>
      </c>
      <c r="E108" s="1">
        <v>93.0</v>
      </c>
      <c r="F108" s="1">
        <v>123.0</v>
      </c>
      <c r="G108" s="1">
        <v>115.0</v>
      </c>
      <c r="H108" s="1">
        <v>132.0</v>
      </c>
      <c r="I108" s="1">
        <v>103.0</v>
      </c>
      <c r="J108" s="1">
        <v>105.0</v>
      </c>
      <c r="K108" s="1">
        <v>97.0</v>
      </c>
      <c r="L108" s="1">
        <v>113.0</v>
      </c>
      <c r="M108" s="1">
        <v>77.0</v>
      </c>
      <c r="N108" s="1">
        <v>119.0</v>
      </c>
      <c r="O108" s="1">
        <v>120.0</v>
      </c>
      <c r="P108" s="1">
        <v>11.04</v>
      </c>
      <c r="Q108" s="1">
        <v>9.08</v>
      </c>
      <c r="R108" s="11" t="str">
        <f t="shared" si="1"/>
        <v>QB</v>
      </c>
    </row>
    <row r="109" ht="14.25" customHeight="1">
      <c r="A109" s="1">
        <v>105.0</v>
      </c>
      <c r="B109" s="1" t="s">
        <v>338</v>
      </c>
      <c r="C109" s="1" t="s">
        <v>672</v>
      </c>
      <c r="D109" s="1" t="s">
        <v>67</v>
      </c>
      <c r="E109" s="1">
        <v>113.0</v>
      </c>
      <c r="F109" s="1">
        <v>111.0</v>
      </c>
      <c r="G109" s="1">
        <v>126.0</v>
      </c>
      <c r="H109" s="1">
        <v>102.0</v>
      </c>
      <c r="I109" s="1">
        <v>99.0</v>
      </c>
      <c r="J109" s="1">
        <v>139.0</v>
      </c>
      <c r="K109" s="1">
        <v>118.0</v>
      </c>
      <c r="L109" s="1">
        <v>122.0</v>
      </c>
      <c r="M109" s="1">
        <v>115.0</v>
      </c>
      <c r="N109" s="1">
        <v>78.0</v>
      </c>
      <c r="O109" s="1">
        <v>85.0</v>
      </c>
      <c r="P109" s="1">
        <v>11.05</v>
      </c>
      <c r="Q109" s="1">
        <v>9.09</v>
      </c>
      <c r="R109" s="11" t="str">
        <f t="shared" si="1"/>
        <v>WR</v>
      </c>
    </row>
    <row r="110" ht="14.25" customHeight="1">
      <c r="A110" s="1">
        <v>106.0</v>
      </c>
      <c r="B110" s="1" t="s">
        <v>281</v>
      </c>
      <c r="C110" s="1" t="s">
        <v>178</v>
      </c>
      <c r="D110" s="1" t="s">
        <v>128</v>
      </c>
      <c r="E110" s="1">
        <v>117.0</v>
      </c>
      <c r="F110" s="1">
        <v>105.0</v>
      </c>
      <c r="G110" s="1">
        <v>112.0</v>
      </c>
      <c r="H110" s="1">
        <v>104.0</v>
      </c>
      <c r="I110" s="1">
        <v>115.0</v>
      </c>
      <c r="J110" s="1">
        <v>100.0</v>
      </c>
      <c r="K110" s="1">
        <v>98.0</v>
      </c>
      <c r="L110" s="1">
        <v>135.0</v>
      </c>
      <c r="M110" s="1">
        <v>116.0</v>
      </c>
      <c r="N110" s="1">
        <v>120.0</v>
      </c>
      <c r="O110" s="1">
        <v>116.0</v>
      </c>
      <c r="P110" s="1">
        <v>11.06</v>
      </c>
      <c r="Q110" s="1">
        <v>9.1</v>
      </c>
      <c r="R110" s="11" t="str">
        <f t="shared" si="1"/>
        <v>RB</v>
      </c>
    </row>
    <row r="111" ht="14.25" customHeight="1">
      <c r="A111" s="1">
        <v>107.0</v>
      </c>
      <c r="B111" s="1" t="s">
        <v>341</v>
      </c>
      <c r="C111" s="1" t="s">
        <v>292</v>
      </c>
      <c r="D111" s="1" t="s">
        <v>62</v>
      </c>
      <c r="E111" s="1">
        <v>129.0</v>
      </c>
      <c r="F111" s="1">
        <v>135.0</v>
      </c>
      <c r="G111" s="1">
        <v>128.0</v>
      </c>
      <c r="H111" s="1">
        <v>112.0</v>
      </c>
      <c r="I111" s="1">
        <v>96.0</v>
      </c>
      <c r="J111" s="1">
        <v>141.0</v>
      </c>
      <c r="K111" s="1">
        <v>106.0</v>
      </c>
      <c r="L111" s="1">
        <v>107.0</v>
      </c>
      <c r="M111" s="1">
        <v>109.0</v>
      </c>
      <c r="N111" s="1">
        <v>96.0</v>
      </c>
      <c r="O111" s="1">
        <v>83.0</v>
      </c>
      <c r="P111" s="1">
        <v>11.07</v>
      </c>
      <c r="Q111" s="1">
        <v>9.11</v>
      </c>
      <c r="R111" s="11" t="str">
        <f t="shared" si="1"/>
        <v>WR</v>
      </c>
    </row>
    <row r="112" ht="14.25" customHeight="1">
      <c r="A112" s="1">
        <v>108.0</v>
      </c>
      <c r="B112" s="1" t="s">
        <v>287</v>
      </c>
      <c r="C112" s="1" t="s">
        <v>306</v>
      </c>
      <c r="D112" s="1" t="s">
        <v>192</v>
      </c>
      <c r="E112" s="1">
        <v>76.0</v>
      </c>
      <c r="F112" s="1">
        <v>87.0</v>
      </c>
      <c r="G112" s="1">
        <v>100.0</v>
      </c>
      <c r="H112" s="1">
        <v>90.0</v>
      </c>
      <c r="I112" s="1">
        <v>125.0</v>
      </c>
      <c r="J112" s="1">
        <v>148.0</v>
      </c>
      <c r="K112" s="1">
        <v>179.0</v>
      </c>
      <c r="L112" s="1">
        <v>100.0</v>
      </c>
      <c r="M112" s="1">
        <v>156.0</v>
      </c>
      <c r="N112" s="1">
        <v>89.0</v>
      </c>
      <c r="O112" s="1">
        <v>99.0</v>
      </c>
      <c r="P112" s="1">
        <v>11.08</v>
      </c>
      <c r="Q112" s="1">
        <v>9.12</v>
      </c>
      <c r="R112" s="11" t="str">
        <f t="shared" si="1"/>
        <v>RB</v>
      </c>
    </row>
    <row r="113" ht="14.25" customHeight="1">
      <c r="A113" s="1">
        <v>109.0</v>
      </c>
      <c r="B113" s="1" t="s">
        <v>343</v>
      </c>
      <c r="C113" s="1" t="s">
        <v>301</v>
      </c>
      <c r="D113" s="1" t="s">
        <v>154</v>
      </c>
      <c r="E113" s="1">
        <v>134.0</v>
      </c>
      <c r="F113" s="1">
        <v>128.0</v>
      </c>
      <c r="G113" s="1">
        <v>145.0</v>
      </c>
      <c r="H113" s="1">
        <v>116.0</v>
      </c>
      <c r="I113" s="1">
        <v>105.0</v>
      </c>
      <c r="J113" s="1">
        <v>134.0</v>
      </c>
      <c r="K113" s="1">
        <v>99.0</v>
      </c>
      <c r="L113" s="1">
        <v>110.0</v>
      </c>
      <c r="M113" s="1">
        <v>106.0</v>
      </c>
      <c r="N113" s="1">
        <v>107.0</v>
      </c>
      <c r="O113" s="1">
        <v>86.0</v>
      </c>
      <c r="P113" s="1">
        <v>11.09</v>
      </c>
      <c r="Q113" s="1">
        <v>10.01</v>
      </c>
      <c r="R113" s="11" t="str">
        <f t="shared" si="1"/>
        <v>WR</v>
      </c>
    </row>
    <row r="114" ht="14.25" customHeight="1">
      <c r="A114" s="1">
        <v>110.0</v>
      </c>
      <c r="B114" s="1" t="s">
        <v>293</v>
      </c>
      <c r="C114" s="1" t="s">
        <v>144</v>
      </c>
      <c r="D114" s="1" t="s">
        <v>71</v>
      </c>
      <c r="E114" s="1">
        <v>108.0</v>
      </c>
      <c r="F114" s="1">
        <v>103.0</v>
      </c>
      <c r="G114" s="1">
        <v>117.0</v>
      </c>
      <c r="H114" s="1">
        <v>106.0</v>
      </c>
      <c r="I114" s="1">
        <v>106.0</v>
      </c>
      <c r="J114" s="1">
        <v>150.0</v>
      </c>
      <c r="K114" s="1">
        <v>100.0</v>
      </c>
      <c r="L114" s="1">
        <v>112.0</v>
      </c>
      <c r="M114" s="1">
        <v>118.0</v>
      </c>
      <c r="N114" s="1">
        <v>122.0</v>
      </c>
      <c r="O114" s="1">
        <v>128.0</v>
      </c>
      <c r="P114" s="1">
        <v>11.1</v>
      </c>
      <c r="Q114" s="1">
        <v>10.02</v>
      </c>
      <c r="R114" s="11" t="str">
        <f t="shared" si="1"/>
        <v>RB</v>
      </c>
    </row>
    <row r="115" ht="14.25" customHeight="1">
      <c r="A115" s="1">
        <v>111.0</v>
      </c>
      <c r="B115" s="1" t="s">
        <v>318</v>
      </c>
      <c r="C115" s="1" t="s">
        <v>266</v>
      </c>
      <c r="D115" s="1" t="s">
        <v>105</v>
      </c>
      <c r="E115" s="1">
        <v>122.0</v>
      </c>
      <c r="F115" s="1">
        <v>91.0</v>
      </c>
      <c r="G115" s="1">
        <v>122.0</v>
      </c>
      <c r="H115" s="1">
        <v>135.0</v>
      </c>
      <c r="I115" s="1">
        <v>120.0</v>
      </c>
      <c r="J115" s="1">
        <v>124.0</v>
      </c>
      <c r="K115" s="1">
        <v>109.0</v>
      </c>
      <c r="L115" s="1">
        <v>105.0</v>
      </c>
      <c r="M115" s="1">
        <v>102.0</v>
      </c>
      <c r="N115" s="1">
        <v>128.0</v>
      </c>
      <c r="O115" s="1">
        <v>126.0</v>
      </c>
      <c r="P115" s="1">
        <v>12.01</v>
      </c>
      <c r="Q115" s="1">
        <v>10.03</v>
      </c>
      <c r="R115" s="11" t="str">
        <f t="shared" si="1"/>
        <v>QB</v>
      </c>
    </row>
    <row r="116" ht="14.25" customHeight="1">
      <c r="A116" s="1">
        <v>112.0</v>
      </c>
      <c r="B116" s="1" t="s">
        <v>325</v>
      </c>
      <c r="C116" s="1" t="s">
        <v>244</v>
      </c>
      <c r="D116" s="1" t="s">
        <v>171</v>
      </c>
      <c r="E116" s="1">
        <v>120.0</v>
      </c>
      <c r="F116" s="1">
        <v>112.0</v>
      </c>
      <c r="G116" s="1">
        <v>155.0</v>
      </c>
      <c r="H116" s="1">
        <v>124.0</v>
      </c>
      <c r="I116" s="1">
        <v>109.0</v>
      </c>
      <c r="J116" s="1">
        <v>114.0</v>
      </c>
      <c r="K116" s="1">
        <v>126.0</v>
      </c>
      <c r="L116" s="1">
        <v>103.0</v>
      </c>
      <c r="M116" s="1">
        <v>101.0</v>
      </c>
      <c r="N116" s="1">
        <v>108.0</v>
      </c>
      <c r="O116" s="1">
        <v>113.0</v>
      </c>
      <c r="P116" s="1">
        <v>12.02</v>
      </c>
      <c r="Q116" s="1">
        <v>10.04</v>
      </c>
      <c r="R116" s="11" t="str">
        <f t="shared" si="1"/>
        <v>QB</v>
      </c>
    </row>
    <row r="117" ht="14.25" customHeight="1">
      <c r="A117" s="1">
        <v>113.0</v>
      </c>
      <c r="B117" s="1" t="s">
        <v>333</v>
      </c>
      <c r="C117" s="1" t="s">
        <v>170</v>
      </c>
      <c r="D117" s="1" t="s">
        <v>171</v>
      </c>
      <c r="E117" s="1">
        <v>131.0</v>
      </c>
      <c r="F117" s="1">
        <v>113.0</v>
      </c>
      <c r="G117" s="1">
        <v>137.0</v>
      </c>
      <c r="H117" s="1">
        <v>96.0</v>
      </c>
      <c r="I117" s="1">
        <v>124.0</v>
      </c>
      <c r="J117" s="1">
        <v>113.0</v>
      </c>
      <c r="K117" s="1">
        <v>113.0</v>
      </c>
      <c r="L117" s="1">
        <v>128.0</v>
      </c>
      <c r="M117" s="1">
        <v>124.0</v>
      </c>
      <c r="N117" s="1">
        <v>111.0</v>
      </c>
      <c r="O117" s="1">
        <v>108.0</v>
      </c>
      <c r="P117" s="1">
        <v>12.03</v>
      </c>
      <c r="Q117" s="1">
        <v>10.05</v>
      </c>
      <c r="R117" s="11" t="str">
        <f t="shared" si="1"/>
        <v>TE</v>
      </c>
    </row>
    <row r="118" ht="14.25" customHeight="1">
      <c r="A118" s="1">
        <v>114.0</v>
      </c>
      <c r="B118" s="1" t="s">
        <v>345</v>
      </c>
      <c r="C118" s="1" t="s">
        <v>210</v>
      </c>
      <c r="D118" s="1" t="s">
        <v>116</v>
      </c>
      <c r="E118" s="1">
        <v>130.0</v>
      </c>
      <c r="F118" s="1">
        <v>124.0</v>
      </c>
      <c r="G118" s="1">
        <v>130.0</v>
      </c>
      <c r="H118" s="1">
        <v>117.0</v>
      </c>
      <c r="I118" s="1">
        <v>114.0</v>
      </c>
      <c r="J118" s="1">
        <v>144.0</v>
      </c>
      <c r="K118" s="1">
        <v>127.0</v>
      </c>
      <c r="L118" s="1">
        <v>99.0</v>
      </c>
      <c r="M118" s="1">
        <v>111.0</v>
      </c>
      <c r="N118" s="1">
        <v>110.0</v>
      </c>
      <c r="O118" s="1">
        <v>110.0</v>
      </c>
      <c r="P118" s="1">
        <v>12.04</v>
      </c>
      <c r="Q118" s="1">
        <v>10.06</v>
      </c>
      <c r="R118" s="11" t="str">
        <f t="shared" si="1"/>
        <v>QB</v>
      </c>
    </row>
    <row r="119" ht="14.25" customHeight="1">
      <c r="A119" s="1">
        <v>115.0</v>
      </c>
      <c r="B119" s="1" t="s">
        <v>305</v>
      </c>
      <c r="C119" s="1" t="s">
        <v>226</v>
      </c>
      <c r="D119" s="1" t="s">
        <v>116</v>
      </c>
      <c r="E119" s="1">
        <v>109.0</v>
      </c>
      <c r="F119" s="1">
        <v>107.0</v>
      </c>
      <c r="G119" s="1">
        <v>118.0</v>
      </c>
      <c r="H119" s="1">
        <v>126.0</v>
      </c>
      <c r="I119" s="1">
        <v>121.0</v>
      </c>
      <c r="J119" s="1">
        <v>130.0</v>
      </c>
      <c r="K119" s="1">
        <v>111.0</v>
      </c>
      <c r="L119" s="1">
        <v>116.0</v>
      </c>
      <c r="M119" s="1">
        <v>121.0</v>
      </c>
      <c r="N119" s="1">
        <v>135.0</v>
      </c>
      <c r="O119" s="1">
        <v>125.0</v>
      </c>
      <c r="P119" s="1">
        <v>12.05</v>
      </c>
      <c r="Q119" s="1">
        <v>10.07</v>
      </c>
      <c r="R119" s="11" t="str">
        <f t="shared" si="1"/>
        <v>RB</v>
      </c>
    </row>
    <row r="120" ht="14.25" customHeight="1">
      <c r="A120" s="1">
        <v>116.0</v>
      </c>
      <c r="B120" s="1" t="s">
        <v>312</v>
      </c>
      <c r="C120" s="1" t="s">
        <v>789</v>
      </c>
      <c r="D120" s="1" t="s">
        <v>119</v>
      </c>
      <c r="E120" s="1">
        <v>81.0</v>
      </c>
      <c r="F120" s="1">
        <v>121.0</v>
      </c>
      <c r="G120" s="1">
        <v>262.0</v>
      </c>
      <c r="H120" s="1">
        <v>115.0</v>
      </c>
      <c r="I120" s="1">
        <v>110.0</v>
      </c>
      <c r="J120" s="1">
        <v>65.0</v>
      </c>
      <c r="K120" s="1">
        <v>63.0</v>
      </c>
      <c r="L120" s="1">
        <v>161.0</v>
      </c>
      <c r="M120" s="1">
        <v>83.0</v>
      </c>
      <c r="N120" s="1">
        <v>162.0</v>
      </c>
      <c r="O120" s="1">
        <v>122.0</v>
      </c>
      <c r="P120" s="1">
        <v>12.06</v>
      </c>
      <c r="Q120" s="1">
        <v>10.08</v>
      </c>
      <c r="R120" s="11" t="str">
        <f t="shared" si="1"/>
        <v>RB</v>
      </c>
    </row>
    <row r="121" ht="14.25" customHeight="1">
      <c r="A121" s="1">
        <v>117.0</v>
      </c>
      <c r="B121" s="1" t="s">
        <v>322</v>
      </c>
      <c r="C121" s="1" t="s">
        <v>848</v>
      </c>
      <c r="D121" s="1" t="s">
        <v>192</v>
      </c>
      <c r="E121" s="1">
        <v>86.0</v>
      </c>
      <c r="F121" s="1">
        <v>96.0</v>
      </c>
      <c r="G121" s="1">
        <v>172.0</v>
      </c>
      <c r="H121" s="1">
        <v>109.0</v>
      </c>
      <c r="I121" s="1">
        <v>142.0</v>
      </c>
      <c r="J121" s="1">
        <v>143.0</v>
      </c>
      <c r="K121" s="1">
        <v>130.0</v>
      </c>
      <c r="L121" s="1">
        <v>104.0</v>
      </c>
      <c r="M121" s="1">
        <v>148.0</v>
      </c>
      <c r="N121" s="1">
        <v>124.0</v>
      </c>
      <c r="O121" s="1">
        <v>135.0</v>
      </c>
      <c r="P121" s="1">
        <v>12.07</v>
      </c>
      <c r="Q121" s="1">
        <v>10.09</v>
      </c>
      <c r="R121" s="11" t="str">
        <f t="shared" si="1"/>
        <v>RB</v>
      </c>
    </row>
    <row r="122" ht="14.25" customHeight="1">
      <c r="A122" s="1">
        <v>118.0</v>
      </c>
      <c r="B122" s="1" t="s">
        <v>331</v>
      </c>
      <c r="C122" s="1" t="s">
        <v>422</v>
      </c>
      <c r="D122" s="1" t="s">
        <v>58</v>
      </c>
      <c r="E122" s="1">
        <v>125.0</v>
      </c>
      <c r="F122" s="1">
        <v>168.0</v>
      </c>
      <c r="G122" s="1">
        <v>177.0</v>
      </c>
      <c r="H122" s="1">
        <v>125.0</v>
      </c>
      <c r="I122" s="1">
        <v>102.0</v>
      </c>
      <c r="J122" s="1">
        <v>103.0</v>
      </c>
      <c r="K122" s="1">
        <v>78.0</v>
      </c>
      <c r="L122" s="1">
        <v>147.0</v>
      </c>
      <c r="M122" s="1">
        <v>98.0</v>
      </c>
      <c r="N122" s="1">
        <v>148.0</v>
      </c>
      <c r="O122" s="1">
        <v>133.0</v>
      </c>
      <c r="P122" s="1">
        <v>12.08</v>
      </c>
      <c r="Q122" s="1">
        <v>10.1</v>
      </c>
      <c r="R122" s="11" t="str">
        <f t="shared" si="1"/>
        <v>RB</v>
      </c>
    </row>
    <row r="123" ht="14.25" customHeight="1">
      <c r="A123" s="1">
        <v>119.0</v>
      </c>
      <c r="B123" s="1" t="s">
        <v>336</v>
      </c>
      <c r="C123" s="1" t="s">
        <v>334</v>
      </c>
      <c r="D123" s="1" t="s">
        <v>67</v>
      </c>
      <c r="E123" s="1">
        <v>142.0</v>
      </c>
      <c r="F123" s="1">
        <v>126.0</v>
      </c>
      <c r="G123" s="1">
        <v>142.0</v>
      </c>
      <c r="H123" s="1">
        <v>107.0</v>
      </c>
      <c r="I123" s="1">
        <v>133.0</v>
      </c>
      <c r="J123" s="1">
        <v>128.0</v>
      </c>
      <c r="K123" s="1">
        <v>119.0</v>
      </c>
      <c r="L123" s="1">
        <v>120.0</v>
      </c>
      <c r="M123" s="1">
        <v>132.0</v>
      </c>
      <c r="N123" s="1">
        <v>131.0</v>
      </c>
      <c r="O123" s="1">
        <v>132.0</v>
      </c>
      <c r="P123" s="1">
        <v>12.09</v>
      </c>
      <c r="Q123" s="1">
        <v>10.11</v>
      </c>
      <c r="R123" s="11" t="str">
        <f t="shared" si="1"/>
        <v>TE</v>
      </c>
    </row>
    <row r="124" ht="14.25" customHeight="1">
      <c r="A124" s="1">
        <v>120.0</v>
      </c>
      <c r="B124" s="1" t="s">
        <v>352</v>
      </c>
      <c r="C124" s="1" t="s">
        <v>385</v>
      </c>
      <c r="D124" s="1" t="s">
        <v>131</v>
      </c>
      <c r="E124" s="1">
        <v>161.0</v>
      </c>
      <c r="F124" s="1">
        <v>134.0</v>
      </c>
      <c r="G124" s="1">
        <v>133.0</v>
      </c>
      <c r="H124" s="1">
        <v>127.0</v>
      </c>
      <c r="I124" s="1">
        <v>117.0</v>
      </c>
      <c r="J124" s="1">
        <v>177.0</v>
      </c>
      <c r="K124" s="1">
        <v>124.0</v>
      </c>
      <c r="L124" s="1">
        <v>108.0</v>
      </c>
      <c r="M124" s="1">
        <v>128.0</v>
      </c>
      <c r="N124" s="1">
        <v>102.0</v>
      </c>
      <c r="O124" s="1">
        <v>102.0</v>
      </c>
      <c r="P124" s="1">
        <v>12.1</v>
      </c>
      <c r="Q124" s="1">
        <v>10.12</v>
      </c>
      <c r="R124" s="11" t="str">
        <f t="shared" si="1"/>
        <v>WR</v>
      </c>
    </row>
    <row r="125" ht="14.25" customHeight="1">
      <c r="A125" s="1">
        <v>121.0</v>
      </c>
      <c r="B125" s="1" t="s">
        <v>349</v>
      </c>
      <c r="C125" s="1" t="s">
        <v>407</v>
      </c>
      <c r="D125" s="1" t="s">
        <v>206</v>
      </c>
      <c r="E125" s="1">
        <v>105.0</v>
      </c>
      <c r="F125" s="1">
        <v>132.0</v>
      </c>
      <c r="G125" s="1">
        <v>139.0</v>
      </c>
      <c r="H125" s="1">
        <v>120.0</v>
      </c>
      <c r="I125" s="1">
        <v>118.0</v>
      </c>
      <c r="J125" s="1">
        <v>209.0</v>
      </c>
      <c r="K125" s="1">
        <v>122.0</v>
      </c>
      <c r="L125" s="1">
        <v>101.0</v>
      </c>
      <c r="M125" s="1">
        <v>123.0</v>
      </c>
      <c r="N125" s="1">
        <v>126.0</v>
      </c>
      <c r="O125" s="1">
        <v>121.0</v>
      </c>
      <c r="P125" s="1">
        <v>13.01</v>
      </c>
      <c r="Q125" s="1">
        <v>11.01</v>
      </c>
      <c r="R125" s="11" t="str">
        <f t="shared" si="1"/>
        <v>RB</v>
      </c>
    </row>
    <row r="126" ht="14.25" customHeight="1">
      <c r="A126" s="1">
        <v>122.0</v>
      </c>
      <c r="B126" s="1" t="s">
        <v>354</v>
      </c>
      <c r="C126" s="1" t="s">
        <v>590</v>
      </c>
      <c r="D126" s="1" t="s">
        <v>40</v>
      </c>
      <c r="E126" s="1">
        <v>121.0</v>
      </c>
      <c r="F126" s="1">
        <v>139.0</v>
      </c>
      <c r="G126" s="1">
        <v>132.0</v>
      </c>
      <c r="H126" s="1">
        <v>137.0</v>
      </c>
      <c r="I126" s="1">
        <v>119.0</v>
      </c>
      <c r="J126" s="1">
        <v>183.0</v>
      </c>
      <c r="K126" s="1">
        <v>120.0</v>
      </c>
      <c r="L126" s="1">
        <v>130.0</v>
      </c>
      <c r="M126" s="1">
        <v>127.0</v>
      </c>
      <c r="N126" s="1">
        <v>118.0</v>
      </c>
      <c r="O126" s="1">
        <v>105.0</v>
      </c>
      <c r="P126" s="1">
        <v>13.02</v>
      </c>
      <c r="Q126" s="1">
        <v>11.02</v>
      </c>
      <c r="R126" s="11" t="str">
        <f t="shared" si="1"/>
        <v>WR</v>
      </c>
    </row>
    <row r="127" ht="14.25" customHeight="1">
      <c r="A127" s="1">
        <v>123.0</v>
      </c>
      <c r="B127" s="1" t="s">
        <v>365</v>
      </c>
      <c r="C127" s="1" t="s">
        <v>194</v>
      </c>
      <c r="D127" s="1" t="s">
        <v>195</v>
      </c>
      <c r="E127" s="1">
        <v>110.0</v>
      </c>
      <c r="F127" s="1">
        <v>146.0</v>
      </c>
      <c r="G127" s="1">
        <v>189.0</v>
      </c>
      <c r="H127" s="1">
        <v>111.0</v>
      </c>
      <c r="I127" s="1">
        <v>129.0</v>
      </c>
      <c r="J127" s="1">
        <v>99.0</v>
      </c>
      <c r="K127" s="1">
        <v>74.0</v>
      </c>
      <c r="L127" s="1">
        <v>175.0</v>
      </c>
      <c r="M127" s="1">
        <v>112.0</v>
      </c>
      <c r="N127" s="1">
        <v>149.0</v>
      </c>
      <c r="O127" s="1">
        <v>144.0</v>
      </c>
      <c r="P127" s="1">
        <v>13.03</v>
      </c>
      <c r="Q127" s="1">
        <v>11.03</v>
      </c>
      <c r="R127" s="11" t="str">
        <f t="shared" si="1"/>
        <v>RB</v>
      </c>
    </row>
    <row r="128" ht="14.25" customHeight="1">
      <c r="A128" s="1">
        <v>124.0</v>
      </c>
      <c r="B128" s="1" t="s">
        <v>360</v>
      </c>
      <c r="C128" s="1" t="s">
        <v>424</v>
      </c>
      <c r="D128" s="1" t="s">
        <v>119</v>
      </c>
      <c r="E128" s="1">
        <v>135.0</v>
      </c>
      <c r="F128" s="1">
        <v>127.0</v>
      </c>
      <c r="G128" s="1">
        <v>141.0</v>
      </c>
      <c r="H128" s="1">
        <v>142.0</v>
      </c>
      <c r="I128" s="1">
        <v>131.0</v>
      </c>
      <c r="J128" s="1">
        <v>132.0</v>
      </c>
      <c r="K128" s="1">
        <v>125.0</v>
      </c>
      <c r="L128" s="1">
        <v>129.0</v>
      </c>
      <c r="M128" s="1">
        <v>117.0</v>
      </c>
      <c r="N128" s="1">
        <v>129.0</v>
      </c>
      <c r="O128" s="1">
        <v>134.0</v>
      </c>
      <c r="P128" s="1">
        <v>13.04</v>
      </c>
      <c r="Q128" s="1">
        <v>11.04</v>
      </c>
      <c r="R128" s="11" t="str">
        <f t="shared" si="1"/>
        <v>QB</v>
      </c>
    </row>
    <row r="129" ht="14.25" customHeight="1">
      <c r="A129" s="1">
        <v>125.0</v>
      </c>
      <c r="B129" s="1" t="s">
        <v>368</v>
      </c>
      <c r="C129" s="1" t="s">
        <v>376</v>
      </c>
      <c r="D129" s="1" t="s">
        <v>154</v>
      </c>
      <c r="E129" s="1">
        <v>123.0</v>
      </c>
      <c r="F129" s="1">
        <v>125.0</v>
      </c>
      <c r="G129" s="1">
        <v>160.0</v>
      </c>
      <c r="H129" s="1">
        <v>147.0</v>
      </c>
      <c r="I129" s="1">
        <v>127.0</v>
      </c>
      <c r="J129" s="1">
        <v>140.0</v>
      </c>
      <c r="K129" s="1">
        <v>142.0</v>
      </c>
      <c r="L129" s="1">
        <v>111.0</v>
      </c>
      <c r="M129" s="1">
        <v>114.0</v>
      </c>
      <c r="N129" s="1">
        <v>133.0</v>
      </c>
      <c r="O129" s="1">
        <v>127.0</v>
      </c>
      <c r="P129" s="1">
        <v>13.05</v>
      </c>
      <c r="Q129" s="1">
        <v>11.05</v>
      </c>
      <c r="R129" s="11" t="str">
        <f t="shared" si="1"/>
        <v>QB</v>
      </c>
    </row>
    <row r="130" ht="14.25" customHeight="1">
      <c r="A130" s="1">
        <v>126.0</v>
      </c>
      <c r="B130" s="1" t="s">
        <v>377</v>
      </c>
      <c r="C130" s="1" t="s">
        <v>460</v>
      </c>
      <c r="D130" s="1" t="s">
        <v>148</v>
      </c>
      <c r="E130" s="1">
        <v>127.0</v>
      </c>
      <c r="F130" s="1">
        <v>156.0</v>
      </c>
      <c r="G130" s="1">
        <v>109.0</v>
      </c>
      <c r="H130" s="1">
        <v>108.0</v>
      </c>
      <c r="I130" s="1">
        <v>132.0</v>
      </c>
      <c r="J130" s="1">
        <v>197.0</v>
      </c>
      <c r="K130" s="1">
        <v>153.0</v>
      </c>
      <c r="L130" s="1">
        <v>89.0</v>
      </c>
      <c r="M130" s="1">
        <v>146.0</v>
      </c>
      <c r="N130" s="1">
        <v>109.0</v>
      </c>
      <c r="O130" s="1">
        <v>129.0</v>
      </c>
      <c r="P130" s="1">
        <v>13.06</v>
      </c>
      <c r="Q130" s="1">
        <v>11.06</v>
      </c>
      <c r="R130" s="11" t="str">
        <f t="shared" si="1"/>
        <v>RB</v>
      </c>
    </row>
    <row r="131" ht="14.25" customHeight="1">
      <c r="A131" s="1">
        <v>127.0</v>
      </c>
      <c r="B131" s="1" t="s">
        <v>358</v>
      </c>
      <c r="C131" s="1" t="s">
        <v>653</v>
      </c>
      <c r="D131" s="1" t="s">
        <v>119</v>
      </c>
      <c r="E131" s="1">
        <v>137.0</v>
      </c>
      <c r="F131" s="1">
        <v>178.0</v>
      </c>
      <c r="G131" s="1">
        <v>124.0</v>
      </c>
      <c r="H131" s="1">
        <v>131.0</v>
      </c>
      <c r="I131" s="1">
        <v>108.0</v>
      </c>
      <c r="J131" s="1">
        <v>172.0</v>
      </c>
      <c r="K131" s="1">
        <v>148.0</v>
      </c>
      <c r="L131" s="1">
        <v>133.0</v>
      </c>
      <c r="M131" s="1">
        <v>129.0</v>
      </c>
      <c r="N131" s="1">
        <v>103.0</v>
      </c>
      <c r="O131" s="1">
        <v>115.0</v>
      </c>
      <c r="P131" s="1">
        <v>13.07</v>
      </c>
      <c r="Q131" s="1">
        <v>11.07</v>
      </c>
      <c r="R131" s="11" t="str">
        <f t="shared" si="1"/>
        <v>WR</v>
      </c>
    </row>
    <row r="132" ht="14.25" customHeight="1">
      <c r="A132" s="1">
        <v>128.0</v>
      </c>
      <c r="B132" s="1" t="s">
        <v>347</v>
      </c>
      <c r="C132" s="1" t="s">
        <v>348</v>
      </c>
      <c r="D132" s="1" t="s">
        <v>71</v>
      </c>
      <c r="E132" s="1">
        <v>139.0</v>
      </c>
      <c r="F132" s="1">
        <v>137.0</v>
      </c>
      <c r="G132" s="1">
        <v>163.0</v>
      </c>
      <c r="H132" s="1">
        <v>100.0</v>
      </c>
      <c r="I132" s="1">
        <v>130.0</v>
      </c>
      <c r="J132" s="1">
        <v>159.0</v>
      </c>
      <c r="K132" s="1">
        <v>137.0</v>
      </c>
      <c r="L132" s="1">
        <v>115.0</v>
      </c>
      <c r="M132" s="1">
        <v>131.0</v>
      </c>
      <c r="N132" s="1">
        <v>138.0</v>
      </c>
      <c r="O132" s="1">
        <v>137.0</v>
      </c>
      <c r="P132" s="1">
        <v>13.08</v>
      </c>
      <c r="Q132" s="1">
        <v>11.08</v>
      </c>
      <c r="R132" s="11" t="str">
        <f t="shared" si="1"/>
        <v>TE</v>
      </c>
    </row>
    <row r="133" ht="14.25" customHeight="1">
      <c r="A133" s="1">
        <v>129.0</v>
      </c>
      <c r="B133" s="1" t="s">
        <v>363</v>
      </c>
      <c r="C133" s="1" t="s">
        <v>699</v>
      </c>
      <c r="D133" s="1" t="s">
        <v>119</v>
      </c>
      <c r="E133" s="1">
        <v>166.0</v>
      </c>
      <c r="F133" s="1">
        <v>144.0</v>
      </c>
      <c r="G133" s="1">
        <v>135.0</v>
      </c>
      <c r="H133" s="1">
        <v>129.0</v>
      </c>
      <c r="I133" s="1">
        <v>116.0</v>
      </c>
      <c r="J133" s="1">
        <v>207.0</v>
      </c>
      <c r="K133" s="1">
        <v>116.0</v>
      </c>
      <c r="L133" s="1">
        <v>148.0</v>
      </c>
      <c r="M133" s="1">
        <v>140.0</v>
      </c>
      <c r="N133" s="1">
        <v>114.0</v>
      </c>
      <c r="O133" s="1">
        <v>92.0</v>
      </c>
      <c r="P133" s="1">
        <v>13.09</v>
      </c>
      <c r="Q133" s="1">
        <v>11.09</v>
      </c>
      <c r="R133" s="11" t="str">
        <f t="shared" si="1"/>
        <v>WR</v>
      </c>
    </row>
    <row r="134" ht="14.25" customHeight="1">
      <c r="A134" s="1">
        <v>130.0</v>
      </c>
      <c r="B134" s="1" t="s">
        <v>375</v>
      </c>
      <c r="C134" s="1" t="s">
        <v>810</v>
      </c>
      <c r="D134" s="1" t="s">
        <v>75</v>
      </c>
      <c r="E134" s="1">
        <v>152.0</v>
      </c>
      <c r="F134" s="1">
        <v>138.0</v>
      </c>
      <c r="G134" s="1">
        <v>157.0</v>
      </c>
      <c r="H134" s="1">
        <v>139.0</v>
      </c>
      <c r="I134" s="1">
        <v>135.0</v>
      </c>
      <c r="J134" s="1">
        <v>154.0</v>
      </c>
      <c r="K134" s="1">
        <v>146.0</v>
      </c>
      <c r="L134" s="1">
        <v>125.0</v>
      </c>
      <c r="M134" s="1">
        <v>119.0</v>
      </c>
      <c r="N134" s="1">
        <v>125.0</v>
      </c>
      <c r="O134" s="1">
        <v>123.0</v>
      </c>
      <c r="P134" s="1">
        <v>13.1</v>
      </c>
      <c r="Q134" s="1">
        <v>11.1</v>
      </c>
      <c r="R134" s="11" t="str">
        <f t="shared" si="1"/>
        <v>QB</v>
      </c>
    </row>
    <row r="135" ht="14.25" customHeight="1">
      <c r="A135" s="1">
        <v>131.0</v>
      </c>
      <c r="B135" s="1" t="s">
        <v>356</v>
      </c>
      <c r="C135" s="1" t="s">
        <v>328</v>
      </c>
      <c r="D135" s="1" t="s">
        <v>85</v>
      </c>
      <c r="E135" s="1">
        <v>124.0</v>
      </c>
      <c r="F135" s="1">
        <v>131.0</v>
      </c>
      <c r="G135" s="1">
        <v>170.0</v>
      </c>
      <c r="H135" s="1">
        <v>123.0</v>
      </c>
      <c r="I135" s="1">
        <v>152.0</v>
      </c>
      <c r="J135" s="1">
        <v>142.0</v>
      </c>
      <c r="K135" s="1">
        <v>138.0</v>
      </c>
      <c r="L135" s="1">
        <v>118.0</v>
      </c>
      <c r="M135" s="1">
        <v>138.0</v>
      </c>
      <c r="N135" s="1">
        <v>144.0</v>
      </c>
      <c r="O135" s="1">
        <v>141.0</v>
      </c>
      <c r="P135" s="1">
        <v>14.01</v>
      </c>
      <c r="Q135" s="1">
        <v>11.11</v>
      </c>
      <c r="R135" s="11" t="str">
        <f t="shared" si="1"/>
        <v>TE</v>
      </c>
    </row>
    <row r="136" ht="14.25" customHeight="1">
      <c r="A136" s="1">
        <v>132.0</v>
      </c>
      <c r="B136" s="1" t="s">
        <v>388</v>
      </c>
      <c r="C136" s="1" t="s">
        <v>248</v>
      </c>
      <c r="D136" s="1" t="s">
        <v>40</v>
      </c>
      <c r="E136" s="1">
        <v>148.0</v>
      </c>
      <c r="F136" s="1">
        <v>141.0</v>
      </c>
      <c r="G136" s="1">
        <v>166.0</v>
      </c>
      <c r="H136" s="1">
        <v>114.0</v>
      </c>
      <c r="I136" s="1">
        <v>136.0</v>
      </c>
      <c r="J136" s="1">
        <v>129.0</v>
      </c>
      <c r="K136" s="1">
        <v>121.0</v>
      </c>
      <c r="L136" s="1">
        <v>159.0</v>
      </c>
      <c r="M136" s="1">
        <v>135.0</v>
      </c>
      <c r="N136" s="1">
        <v>137.0</v>
      </c>
      <c r="O136" s="1">
        <v>140.0</v>
      </c>
      <c r="P136" s="1">
        <v>14.02</v>
      </c>
      <c r="Q136" s="1">
        <v>11.12</v>
      </c>
      <c r="R136" s="11" t="str">
        <f t="shared" si="1"/>
        <v>TE</v>
      </c>
    </row>
    <row r="137" ht="14.25" customHeight="1">
      <c r="A137" s="1">
        <v>133.0</v>
      </c>
      <c r="B137" s="1" t="s">
        <v>379</v>
      </c>
      <c r="C137" s="1" t="s">
        <v>525</v>
      </c>
      <c r="D137" s="1" t="s">
        <v>71</v>
      </c>
      <c r="E137" s="1">
        <v>140.0</v>
      </c>
      <c r="F137" s="1">
        <v>158.0</v>
      </c>
      <c r="G137" s="1">
        <v>168.0</v>
      </c>
      <c r="H137" s="1">
        <v>113.0</v>
      </c>
      <c r="I137" s="1">
        <v>134.0</v>
      </c>
      <c r="J137" s="1">
        <v>155.0</v>
      </c>
      <c r="K137" s="1">
        <v>128.0</v>
      </c>
      <c r="L137" s="1">
        <v>143.0</v>
      </c>
      <c r="M137" s="1">
        <v>142.0</v>
      </c>
      <c r="N137" s="1">
        <v>116.0</v>
      </c>
      <c r="O137" s="1">
        <v>146.0</v>
      </c>
      <c r="P137" s="1">
        <v>14.03</v>
      </c>
      <c r="Q137" s="1">
        <v>12.01</v>
      </c>
      <c r="R137" s="11" t="str">
        <f t="shared" si="1"/>
        <v>RB</v>
      </c>
    </row>
    <row r="138" ht="14.25" customHeight="1">
      <c r="A138" s="1">
        <v>134.0</v>
      </c>
      <c r="B138" s="1" t="s">
        <v>370</v>
      </c>
      <c r="C138" s="1" t="s">
        <v>906</v>
      </c>
      <c r="D138" s="1" t="s">
        <v>176</v>
      </c>
      <c r="E138" s="1">
        <v>171.0</v>
      </c>
      <c r="F138" s="1">
        <v>167.0</v>
      </c>
      <c r="G138" s="1">
        <v>131.0</v>
      </c>
      <c r="H138" s="1">
        <v>136.0</v>
      </c>
      <c r="I138" s="1">
        <v>113.0</v>
      </c>
      <c r="J138" s="1">
        <v>174.0</v>
      </c>
      <c r="K138" s="1">
        <v>140.0</v>
      </c>
      <c r="L138" s="1">
        <v>154.0</v>
      </c>
      <c r="M138" s="1">
        <v>133.0</v>
      </c>
      <c r="N138" s="1">
        <v>115.0</v>
      </c>
      <c r="O138" s="1">
        <v>117.0</v>
      </c>
      <c r="P138" s="1">
        <v>14.04</v>
      </c>
      <c r="Q138" s="1">
        <v>12.02</v>
      </c>
      <c r="R138" s="11" t="str">
        <f t="shared" si="1"/>
        <v>WR</v>
      </c>
    </row>
    <row r="139" ht="14.25" customHeight="1">
      <c r="A139" s="1">
        <v>135.0</v>
      </c>
      <c r="B139" s="1" t="s">
        <v>386</v>
      </c>
      <c r="C139" s="1" t="s">
        <v>205</v>
      </c>
      <c r="D139" s="1" t="s">
        <v>206</v>
      </c>
      <c r="E139" s="1">
        <v>146.0</v>
      </c>
      <c r="F139" s="1">
        <v>157.0</v>
      </c>
      <c r="G139" s="1">
        <v>158.0</v>
      </c>
      <c r="H139" s="1">
        <v>122.0</v>
      </c>
      <c r="I139" s="1">
        <v>143.0</v>
      </c>
      <c r="J139" s="1">
        <v>163.0</v>
      </c>
      <c r="K139" s="1">
        <v>155.0</v>
      </c>
      <c r="L139" s="1">
        <v>109.0</v>
      </c>
      <c r="M139" s="1">
        <v>151.0</v>
      </c>
      <c r="N139" s="1">
        <v>130.0</v>
      </c>
      <c r="O139" s="1">
        <v>124.0</v>
      </c>
      <c r="P139" s="1">
        <v>14.05</v>
      </c>
      <c r="Q139" s="1">
        <v>12.03</v>
      </c>
      <c r="R139" s="11" t="str">
        <f t="shared" si="1"/>
        <v>RB</v>
      </c>
    </row>
    <row r="140" ht="14.25" customHeight="1">
      <c r="A140" s="1">
        <v>136.0</v>
      </c>
      <c r="B140" s="1" t="s">
        <v>390</v>
      </c>
      <c r="C140" s="1" t="s">
        <v>661</v>
      </c>
      <c r="D140" s="1" t="s">
        <v>105</v>
      </c>
      <c r="E140" s="1">
        <v>138.0</v>
      </c>
      <c r="F140" s="1">
        <v>162.0</v>
      </c>
      <c r="G140" s="1">
        <v>150.0</v>
      </c>
      <c r="H140" s="1">
        <v>148.0</v>
      </c>
      <c r="I140" s="1">
        <v>137.0</v>
      </c>
      <c r="J140" s="1">
        <v>118.0</v>
      </c>
      <c r="K140" s="1">
        <v>108.0</v>
      </c>
      <c r="L140" s="1">
        <v>155.0</v>
      </c>
      <c r="M140" s="1">
        <v>126.0</v>
      </c>
      <c r="N140" s="1">
        <v>157.0</v>
      </c>
      <c r="O140" s="1">
        <v>160.0</v>
      </c>
      <c r="P140" s="1">
        <v>14.06</v>
      </c>
      <c r="Q140" s="1">
        <v>12.04</v>
      </c>
      <c r="R140" s="11" t="str">
        <f t="shared" si="1"/>
        <v>RB</v>
      </c>
    </row>
    <row r="141" ht="14.25" customHeight="1">
      <c r="A141" s="1">
        <v>137.0</v>
      </c>
      <c r="B141" s="1" t="s">
        <v>373</v>
      </c>
      <c r="C141" s="1" t="s">
        <v>428</v>
      </c>
      <c r="D141" s="1" t="s">
        <v>105</v>
      </c>
      <c r="E141" s="1">
        <v>150.0</v>
      </c>
      <c r="F141" s="1">
        <v>118.0</v>
      </c>
      <c r="G141" s="1">
        <v>136.0</v>
      </c>
      <c r="H141" s="1">
        <v>134.0</v>
      </c>
      <c r="I141" s="1">
        <v>122.0</v>
      </c>
      <c r="J141" s="1">
        <v>222.0</v>
      </c>
      <c r="K141" s="1">
        <v>164.0</v>
      </c>
      <c r="L141" s="1">
        <v>140.0</v>
      </c>
      <c r="M141" s="1">
        <v>144.0</v>
      </c>
      <c r="N141" s="1">
        <v>113.0</v>
      </c>
      <c r="O141" s="1">
        <v>119.0</v>
      </c>
      <c r="P141" s="1">
        <v>14.07</v>
      </c>
      <c r="Q141" s="1">
        <v>12.05</v>
      </c>
      <c r="R141" s="11" t="str">
        <f t="shared" si="1"/>
        <v>WR</v>
      </c>
    </row>
    <row r="142" ht="14.25" customHeight="1">
      <c r="A142" s="1">
        <v>138.0</v>
      </c>
      <c r="B142" s="1" t="s">
        <v>384</v>
      </c>
      <c r="C142" s="1" t="s">
        <v>624</v>
      </c>
      <c r="D142" s="1" t="s">
        <v>58</v>
      </c>
      <c r="E142" s="1">
        <v>162.0</v>
      </c>
      <c r="F142" s="1">
        <v>169.0</v>
      </c>
      <c r="G142" s="1">
        <v>165.0</v>
      </c>
      <c r="H142" s="1">
        <v>154.0</v>
      </c>
      <c r="I142" s="1">
        <v>148.0</v>
      </c>
      <c r="J142" s="1">
        <v>127.0</v>
      </c>
      <c r="K142" s="1">
        <v>115.0</v>
      </c>
      <c r="L142" s="1">
        <v>141.0</v>
      </c>
      <c r="M142" s="1">
        <v>145.0</v>
      </c>
      <c r="N142" s="1">
        <v>152.0</v>
      </c>
      <c r="O142" s="1">
        <v>131.0</v>
      </c>
      <c r="P142" s="1">
        <v>14.08</v>
      </c>
      <c r="Q142" s="1">
        <v>12.06</v>
      </c>
      <c r="R142" s="11" t="str">
        <f t="shared" si="1"/>
        <v>WR</v>
      </c>
    </row>
    <row r="143" ht="14.25" customHeight="1">
      <c r="A143" s="1">
        <v>139.0</v>
      </c>
      <c r="B143" s="1" t="s">
        <v>392</v>
      </c>
      <c r="C143" s="1" t="s">
        <v>829</v>
      </c>
      <c r="D143" s="1" t="s">
        <v>125</v>
      </c>
      <c r="E143" s="1">
        <v>149.0</v>
      </c>
      <c r="F143" s="1">
        <v>151.0</v>
      </c>
      <c r="G143" s="1">
        <v>159.0</v>
      </c>
      <c r="H143" s="1">
        <v>121.0</v>
      </c>
      <c r="I143" s="1">
        <v>123.0</v>
      </c>
      <c r="J143" s="1">
        <v>227.0</v>
      </c>
      <c r="K143" s="1">
        <v>143.0</v>
      </c>
      <c r="L143" s="1">
        <v>137.0</v>
      </c>
      <c r="M143" s="1">
        <v>130.0</v>
      </c>
      <c r="N143" s="1">
        <v>139.0</v>
      </c>
      <c r="O143" s="1">
        <v>139.0</v>
      </c>
      <c r="P143" s="1">
        <v>14.09</v>
      </c>
      <c r="Q143" s="1">
        <v>12.07</v>
      </c>
      <c r="R143" s="11" t="str">
        <f t="shared" si="1"/>
        <v>RB</v>
      </c>
    </row>
    <row r="144" ht="14.25" customHeight="1">
      <c r="A144" s="1">
        <v>140.0</v>
      </c>
      <c r="B144" s="1" t="s">
        <v>381</v>
      </c>
      <c r="C144" s="1" t="s">
        <v>268</v>
      </c>
      <c r="D144" s="1" t="s">
        <v>206</v>
      </c>
      <c r="E144" s="1">
        <v>151.0</v>
      </c>
      <c r="F144" s="1">
        <v>172.0</v>
      </c>
      <c r="G144" s="1">
        <v>162.0</v>
      </c>
      <c r="H144" s="1">
        <v>144.0</v>
      </c>
      <c r="I144" s="1">
        <v>138.0</v>
      </c>
      <c r="J144" s="1">
        <v>178.0</v>
      </c>
      <c r="K144" s="1">
        <v>168.0</v>
      </c>
      <c r="L144" s="1">
        <v>132.0</v>
      </c>
      <c r="M144" s="1">
        <v>122.0</v>
      </c>
      <c r="N144" s="1">
        <v>132.0</v>
      </c>
      <c r="O144" s="1">
        <v>130.0</v>
      </c>
      <c r="P144" s="1">
        <v>14.1</v>
      </c>
      <c r="Q144" s="1">
        <v>12.08</v>
      </c>
      <c r="R144" s="11" t="str">
        <f t="shared" si="1"/>
        <v>QB</v>
      </c>
    </row>
    <row r="145" ht="14.25" customHeight="1">
      <c r="A145" s="1">
        <v>141.0</v>
      </c>
      <c r="B145" s="1" t="s">
        <v>394</v>
      </c>
      <c r="C145" s="1" t="s">
        <v>874</v>
      </c>
      <c r="D145" s="1" t="s">
        <v>119</v>
      </c>
      <c r="E145" s="1">
        <v>111.0</v>
      </c>
      <c r="F145" s="1">
        <v>133.0</v>
      </c>
      <c r="G145" s="1">
        <v>194.0</v>
      </c>
      <c r="H145" s="1">
        <v>128.0</v>
      </c>
      <c r="I145" s="1">
        <v>147.0</v>
      </c>
      <c r="J145" s="1">
        <v>175.0</v>
      </c>
      <c r="K145" s="1">
        <v>141.0</v>
      </c>
      <c r="L145" s="1">
        <v>139.0</v>
      </c>
      <c r="M145" s="1">
        <v>167.0</v>
      </c>
      <c r="N145" s="1">
        <v>145.0</v>
      </c>
      <c r="O145" s="1">
        <v>154.0</v>
      </c>
      <c r="P145" s="1">
        <v>15.01</v>
      </c>
      <c r="Q145" s="1">
        <v>12.09</v>
      </c>
      <c r="R145" s="11" t="str">
        <f t="shared" si="1"/>
        <v>RB</v>
      </c>
    </row>
    <row r="146" ht="14.25" customHeight="1">
      <c r="A146" s="1">
        <v>142.0</v>
      </c>
      <c r="B146" s="1" t="s">
        <v>400</v>
      </c>
      <c r="C146" s="1" t="s">
        <v>584</v>
      </c>
      <c r="D146" s="1" t="s">
        <v>109</v>
      </c>
      <c r="E146" s="1">
        <v>144.0</v>
      </c>
      <c r="F146" s="1">
        <v>176.0</v>
      </c>
      <c r="G146" s="1">
        <v>198.0</v>
      </c>
      <c r="H146" s="1">
        <v>153.0</v>
      </c>
      <c r="I146" s="1">
        <v>128.0</v>
      </c>
      <c r="J146" s="1">
        <v>185.0</v>
      </c>
      <c r="K146" s="1">
        <v>152.0</v>
      </c>
      <c r="L146" s="1">
        <v>126.0</v>
      </c>
      <c r="M146" s="1">
        <v>141.0</v>
      </c>
      <c r="N146" s="1">
        <v>123.0</v>
      </c>
      <c r="O146" s="1">
        <v>114.0</v>
      </c>
      <c r="P146" s="1">
        <v>15.02</v>
      </c>
      <c r="Q146" s="1">
        <v>12.1</v>
      </c>
      <c r="R146" s="11" t="str">
        <f t="shared" si="1"/>
        <v>WR</v>
      </c>
    </row>
    <row r="147" ht="14.25" customHeight="1">
      <c r="A147" s="1">
        <v>143.0</v>
      </c>
      <c r="B147" s="1" t="s">
        <v>402</v>
      </c>
      <c r="C147" s="1" t="s">
        <v>332</v>
      </c>
      <c r="D147" s="1" t="s">
        <v>162</v>
      </c>
      <c r="E147" s="1">
        <v>133.0</v>
      </c>
      <c r="F147" s="1">
        <v>150.0</v>
      </c>
      <c r="G147" s="1">
        <v>167.0</v>
      </c>
      <c r="H147" s="1">
        <v>149.0</v>
      </c>
      <c r="I147" s="1">
        <v>153.0</v>
      </c>
      <c r="J147" s="1">
        <v>149.0</v>
      </c>
      <c r="K147" s="1">
        <v>129.0</v>
      </c>
      <c r="L147" s="1">
        <v>124.0</v>
      </c>
      <c r="M147" s="1">
        <v>153.0</v>
      </c>
      <c r="N147" s="1">
        <v>169.0</v>
      </c>
      <c r="O147" s="1">
        <v>167.0</v>
      </c>
      <c r="P147" s="1">
        <v>15.03</v>
      </c>
      <c r="Q147" s="1">
        <v>12.11</v>
      </c>
      <c r="R147" s="11" t="str">
        <f t="shared" si="1"/>
        <v>RB</v>
      </c>
    </row>
    <row r="148" ht="14.25" customHeight="1">
      <c r="A148" s="1">
        <v>144.0</v>
      </c>
      <c r="B148" s="1" t="s">
        <v>412</v>
      </c>
      <c r="C148" s="1" t="s">
        <v>189</v>
      </c>
      <c r="D148" s="1" t="s">
        <v>171</v>
      </c>
      <c r="E148" s="1">
        <v>175.0</v>
      </c>
      <c r="F148" s="1">
        <v>195.0</v>
      </c>
      <c r="G148" s="1">
        <v>169.0</v>
      </c>
      <c r="H148" s="1">
        <v>141.0</v>
      </c>
      <c r="I148" s="1">
        <v>126.0</v>
      </c>
      <c r="J148" s="1">
        <v>210.0</v>
      </c>
      <c r="K148" s="1">
        <v>145.0</v>
      </c>
      <c r="L148" s="1">
        <v>162.0</v>
      </c>
      <c r="M148" s="1">
        <v>137.0</v>
      </c>
      <c r="N148" s="1">
        <v>121.0</v>
      </c>
      <c r="O148" s="1">
        <v>111.0</v>
      </c>
      <c r="P148" s="1">
        <v>15.04</v>
      </c>
      <c r="Q148" s="1">
        <v>12.12</v>
      </c>
      <c r="R148" s="11" t="str">
        <f t="shared" si="1"/>
        <v>WR</v>
      </c>
    </row>
    <row r="149" ht="14.25" customHeight="1">
      <c r="A149" s="1">
        <v>145.0</v>
      </c>
      <c r="B149" s="1" t="s">
        <v>398</v>
      </c>
      <c r="C149" s="1" t="s">
        <v>919</v>
      </c>
      <c r="D149" s="1" t="s">
        <v>192</v>
      </c>
      <c r="E149" s="1">
        <v>115.0</v>
      </c>
      <c r="F149" s="1">
        <v>154.0</v>
      </c>
      <c r="G149" s="1">
        <v>207.0</v>
      </c>
      <c r="H149" s="1">
        <v>133.0</v>
      </c>
      <c r="I149" s="1">
        <v>165.0</v>
      </c>
      <c r="J149" s="1">
        <v>162.0</v>
      </c>
      <c r="K149" s="1">
        <v>165.0</v>
      </c>
      <c r="L149" s="1">
        <v>153.0</v>
      </c>
      <c r="M149" s="1">
        <v>158.0</v>
      </c>
      <c r="N149" s="1">
        <v>158.0</v>
      </c>
      <c r="O149" s="1">
        <v>165.0</v>
      </c>
      <c r="P149" s="1">
        <v>15.05</v>
      </c>
      <c r="Q149" s="1">
        <v>13.01</v>
      </c>
      <c r="R149" s="11" t="str">
        <f t="shared" si="1"/>
        <v>TE</v>
      </c>
    </row>
    <row r="150" ht="14.25" customHeight="1">
      <c r="A150" s="1">
        <v>146.0</v>
      </c>
      <c r="B150" s="1" t="s">
        <v>406</v>
      </c>
      <c r="C150" s="1" t="s">
        <v>448</v>
      </c>
      <c r="D150" s="1" t="s">
        <v>195</v>
      </c>
      <c r="E150" s="1">
        <v>159.0</v>
      </c>
      <c r="F150" s="1">
        <v>191.0</v>
      </c>
      <c r="G150" s="1">
        <v>147.0</v>
      </c>
      <c r="H150" s="1">
        <v>130.0</v>
      </c>
      <c r="I150" s="1">
        <v>139.0</v>
      </c>
      <c r="J150" s="1">
        <v>255.0</v>
      </c>
      <c r="K150" s="1">
        <v>173.0</v>
      </c>
      <c r="L150" s="1">
        <v>119.0</v>
      </c>
      <c r="M150" s="1">
        <v>154.0</v>
      </c>
      <c r="N150" s="1">
        <v>134.0</v>
      </c>
      <c r="O150" s="1">
        <v>138.0</v>
      </c>
      <c r="P150" s="1">
        <v>15.06</v>
      </c>
      <c r="Q150" s="1">
        <v>13.02</v>
      </c>
      <c r="R150" s="11" t="str">
        <f t="shared" si="1"/>
        <v>RB</v>
      </c>
    </row>
    <row r="151" ht="14.25" customHeight="1">
      <c r="A151" s="1">
        <v>147.0</v>
      </c>
      <c r="B151" s="1" t="s">
        <v>415</v>
      </c>
      <c r="C151" s="1" t="s">
        <v>521</v>
      </c>
      <c r="D151" s="1" t="s">
        <v>67</v>
      </c>
      <c r="E151" s="1">
        <v>164.0</v>
      </c>
      <c r="F151" s="1">
        <v>190.0</v>
      </c>
      <c r="G151" s="1">
        <v>171.0</v>
      </c>
      <c r="H151" s="1">
        <v>143.0</v>
      </c>
      <c r="I151" s="1">
        <v>141.0</v>
      </c>
      <c r="J151" s="1">
        <v>215.0</v>
      </c>
      <c r="K151" s="1">
        <v>149.0</v>
      </c>
      <c r="L151" s="1">
        <v>138.0</v>
      </c>
      <c r="M151" s="1">
        <v>152.0</v>
      </c>
      <c r="N151" s="1">
        <v>150.0</v>
      </c>
      <c r="O151" s="1">
        <v>142.0</v>
      </c>
      <c r="P151" s="1">
        <v>15.07</v>
      </c>
      <c r="Q151" s="1">
        <v>13.03</v>
      </c>
      <c r="R151" s="11" t="str">
        <f t="shared" si="1"/>
        <v>RB</v>
      </c>
    </row>
    <row r="152" ht="14.25" customHeight="1">
      <c r="A152" s="1">
        <v>148.0</v>
      </c>
      <c r="B152" s="1" t="s">
        <v>404</v>
      </c>
      <c r="C152" s="1" t="s">
        <v>910</v>
      </c>
      <c r="D152" s="1" t="s">
        <v>237</v>
      </c>
      <c r="E152" s="1">
        <v>183.0</v>
      </c>
      <c r="F152" s="1">
        <v>186.0</v>
      </c>
      <c r="G152" s="1">
        <v>203.0</v>
      </c>
      <c r="H152" s="1">
        <v>161.0</v>
      </c>
      <c r="I152" s="1">
        <v>169.0</v>
      </c>
      <c r="J152" s="1">
        <v>91.0</v>
      </c>
      <c r="K152" s="1">
        <v>110.0</v>
      </c>
      <c r="L152" s="1">
        <v>160.0</v>
      </c>
      <c r="M152" s="1">
        <v>150.0</v>
      </c>
      <c r="N152" s="1">
        <v>189.0</v>
      </c>
      <c r="O152" s="1">
        <v>187.0</v>
      </c>
      <c r="P152" s="1">
        <v>15.08</v>
      </c>
      <c r="Q152" s="1">
        <v>13.04</v>
      </c>
      <c r="R152" s="11" t="str">
        <f t="shared" si="1"/>
        <v>TE</v>
      </c>
    </row>
    <row r="153" ht="14.25" customHeight="1">
      <c r="A153" s="1">
        <v>149.0</v>
      </c>
      <c r="B153" s="1" t="s">
        <v>417</v>
      </c>
      <c r="C153" s="1" t="s">
        <v>876</v>
      </c>
      <c r="D153" s="1" t="s">
        <v>195</v>
      </c>
      <c r="E153" s="1">
        <v>147.0</v>
      </c>
      <c r="F153" s="1">
        <v>147.0</v>
      </c>
      <c r="G153" s="1">
        <v>181.0</v>
      </c>
      <c r="H153" s="1">
        <v>146.0</v>
      </c>
      <c r="I153" s="1">
        <v>151.0</v>
      </c>
      <c r="J153" s="1">
        <v>244.0</v>
      </c>
      <c r="K153" s="1">
        <v>157.0</v>
      </c>
      <c r="L153" s="1">
        <v>123.0</v>
      </c>
      <c r="M153" s="1">
        <v>160.0</v>
      </c>
      <c r="N153" s="1">
        <v>168.0</v>
      </c>
      <c r="O153" s="1">
        <v>171.0</v>
      </c>
      <c r="P153" s="1">
        <v>15.09</v>
      </c>
      <c r="Q153" s="1">
        <v>13.05</v>
      </c>
      <c r="R153" s="11" t="str">
        <f t="shared" si="1"/>
        <v>RB</v>
      </c>
    </row>
    <row r="154" ht="14.25" customHeight="1">
      <c r="A154" s="1">
        <v>150.0</v>
      </c>
      <c r="B154" s="1" t="s">
        <v>408</v>
      </c>
      <c r="C154" s="1" t="s">
        <v>405</v>
      </c>
      <c r="D154" s="1" t="s">
        <v>116</v>
      </c>
      <c r="E154" s="1">
        <v>155.0</v>
      </c>
      <c r="F154" s="1">
        <v>155.0</v>
      </c>
      <c r="G154" s="1">
        <v>225.0</v>
      </c>
      <c r="H154" s="1">
        <v>140.0</v>
      </c>
      <c r="I154" s="1">
        <v>168.0</v>
      </c>
      <c r="J154" s="1">
        <v>173.0</v>
      </c>
      <c r="K154" s="1">
        <v>169.0</v>
      </c>
      <c r="L154" s="1">
        <v>134.0</v>
      </c>
      <c r="M154" s="1">
        <v>168.0</v>
      </c>
      <c r="N154" s="1">
        <v>160.0</v>
      </c>
      <c r="O154" s="1">
        <v>162.0</v>
      </c>
      <c r="P154" s="1">
        <v>15.1</v>
      </c>
      <c r="Q154" s="1">
        <v>13.06</v>
      </c>
      <c r="R154" s="11" t="str">
        <f t="shared" si="1"/>
        <v>TE</v>
      </c>
    </row>
    <row r="155" ht="14.25" customHeight="1">
      <c r="A155" s="1">
        <v>151.0</v>
      </c>
      <c r="B155" s="1" t="s">
        <v>421</v>
      </c>
      <c r="C155" s="1" t="s">
        <v>380</v>
      </c>
      <c r="D155" s="1" t="s">
        <v>40</v>
      </c>
      <c r="E155" s="1">
        <v>172.0</v>
      </c>
      <c r="F155" s="1">
        <v>161.0</v>
      </c>
      <c r="G155" s="1">
        <v>199.0</v>
      </c>
      <c r="H155" s="1">
        <v>151.0</v>
      </c>
      <c r="I155" s="1">
        <v>154.0</v>
      </c>
      <c r="J155" s="1">
        <v>184.0</v>
      </c>
      <c r="K155" s="1">
        <v>167.0</v>
      </c>
      <c r="L155" s="1">
        <v>146.0</v>
      </c>
      <c r="M155" s="1">
        <v>174.0</v>
      </c>
      <c r="N155" s="1">
        <v>156.0</v>
      </c>
      <c r="O155" s="1">
        <v>156.0</v>
      </c>
      <c r="P155" s="1">
        <v>16.01</v>
      </c>
      <c r="Q155" s="1">
        <v>13.07</v>
      </c>
      <c r="R155" s="11" t="str">
        <f t="shared" si="1"/>
        <v>RB</v>
      </c>
    </row>
    <row r="156" ht="14.25" customHeight="1">
      <c r="A156" s="1">
        <v>152.0</v>
      </c>
      <c r="B156" s="1" t="s">
        <v>434</v>
      </c>
      <c r="C156" s="1" t="s">
        <v>393</v>
      </c>
      <c r="D156" s="1" t="s">
        <v>231</v>
      </c>
      <c r="E156" s="1">
        <v>163.0</v>
      </c>
      <c r="F156" s="1">
        <v>165.0</v>
      </c>
      <c r="G156" s="1">
        <v>253.0</v>
      </c>
      <c r="H156" s="1">
        <v>152.0</v>
      </c>
      <c r="I156" s="1">
        <v>149.0</v>
      </c>
      <c r="J156" s="1">
        <v>198.0</v>
      </c>
      <c r="K156" s="1">
        <v>123.0</v>
      </c>
      <c r="L156" s="1">
        <v>131.0</v>
      </c>
      <c r="M156" s="1">
        <v>149.0</v>
      </c>
      <c r="N156" s="1">
        <v>181.0</v>
      </c>
      <c r="O156" s="1">
        <v>172.0</v>
      </c>
      <c r="P156" s="1">
        <v>16.02</v>
      </c>
      <c r="Q156" s="1">
        <v>13.08</v>
      </c>
      <c r="R156" s="11" t="str">
        <f t="shared" si="1"/>
        <v>RB</v>
      </c>
    </row>
    <row r="157" ht="14.25" customHeight="1">
      <c r="A157" s="1">
        <v>153.0</v>
      </c>
      <c r="B157" s="1" t="s">
        <v>427</v>
      </c>
      <c r="C157" s="1" t="s">
        <v>826</v>
      </c>
      <c r="D157" s="1" t="s">
        <v>102</v>
      </c>
      <c r="E157" s="1">
        <v>214.0</v>
      </c>
      <c r="F157" s="1">
        <v>170.0</v>
      </c>
      <c r="G157" s="1">
        <v>211.0</v>
      </c>
      <c r="H157" s="1">
        <v>162.0</v>
      </c>
      <c r="I157" s="1">
        <v>150.0</v>
      </c>
      <c r="J157" s="1">
        <v>126.0</v>
      </c>
      <c r="K157" s="1">
        <v>190.0</v>
      </c>
      <c r="L157" s="1">
        <v>174.0</v>
      </c>
      <c r="M157" s="1">
        <v>159.0</v>
      </c>
      <c r="N157" s="1">
        <v>151.0</v>
      </c>
      <c r="O157" s="1">
        <v>145.0</v>
      </c>
      <c r="P157" s="1">
        <v>16.03</v>
      </c>
      <c r="Q157" s="1">
        <v>13.09</v>
      </c>
      <c r="R157" s="11" t="str">
        <f t="shared" si="1"/>
        <v>WR</v>
      </c>
    </row>
    <row r="158" ht="14.25" customHeight="1">
      <c r="A158" s="1">
        <v>154.0</v>
      </c>
      <c r="B158" s="1" t="s">
        <v>396</v>
      </c>
      <c r="C158" s="1" t="s">
        <v>682</v>
      </c>
      <c r="D158" s="1" t="s">
        <v>40</v>
      </c>
      <c r="E158" s="1">
        <v>177.0</v>
      </c>
      <c r="F158" s="1">
        <v>181.0</v>
      </c>
      <c r="G158" s="1">
        <v>236.0</v>
      </c>
      <c r="H158" s="1">
        <v>164.0</v>
      </c>
      <c r="I158" s="1">
        <v>159.0</v>
      </c>
      <c r="J158" s="1">
        <v>189.0</v>
      </c>
      <c r="K158" s="1">
        <v>189.0</v>
      </c>
      <c r="L158" s="1">
        <v>142.0</v>
      </c>
      <c r="M158" s="1">
        <v>139.0</v>
      </c>
      <c r="N158" s="1">
        <v>143.0</v>
      </c>
      <c r="O158" s="1">
        <v>143.0</v>
      </c>
      <c r="P158" s="1">
        <v>16.04</v>
      </c>
      <c r="Q158" s="1">
        <v>13.1</v>
      </c>
      <c r="R158" s="11" t="str">
        <f t="shared" si="1"/>
        <v>QB</v>
      </c>
    </row>
    <row r="159" ht="14.25" customHeight="1">
      <c r="A159" s="1">
        <v>155.0</v>
      </c>
      <c r="B159" s="1" t="s">
        <v>410</v>
      </c>
      <c r="C159" s="1" t="s">
        <v>481</v>
      </c>
      <c r="D159" s="1" t="s">
        <v>165</v>
      </c>
      <c r="E159" s="1">
        <v>190.0</v>
      </c>
      <c r="F159" s="1">
        <v>193.0</v>
      </c>
      <c r="G159" s="1">
        <v>187.0</v>
      </c>
      <c r="H159" s="1">
        <v>170.0</v>
      </c>
      <c r="I159" s="1">
        <v>157.0</v>
      </c>
      <c r="J159" s="1">
        <v>194.0</v>
      </c>
      <c r="K159" s="1">
        <v>201.0</v>
      </c>
      <c r="L159" s="1">
        <v>136.0</v>
      </c>
      <c r="M159" s="1">
        <v>147.0</v>
      </c>
      <c r="N159" s="1">
        <v>146.0</v>
      </c>
      <c r="O159" s="1">
        <v>150.0</v>
      </c>
      <c r="P159" s="1">
        <v>16.05</v>
      </c>
      <c r="Q159" s="1">
        <v>13.11</v>
      </c>
      <c r="R159" s="11" t="str">
        <f t="shared" si="1"/>
        <v>QB</v>
      </c>
    </row>
    <row r="160" ht="14.25" customHeight="1">
      <c r="A160" s="1">
        <v>156.0</v>
      </c>
      <c r="B160" s="1" t="s">
        <v>423</v>
      </c>
      <c r="C160" s="1" t="s">
        <v>639</v>
      </c>
      <c r="D160" s="1" t="s">
        <v>94</v>
      </c>
      <c r="E160" s="1">
        <v>154.0</v>
      </c>
      <c r="F160" s="1">
        <v>166.0</v>
      </c>
      <c r="G160" s="1">
        <v>217.0</v>
      </c>
      <c r="H160" s="1">
        <v>183.0</v>
      </c>
      <c r="I160" s="1">
        <v>174.0</v>
      </c>
      <c r="J160" s="1">
        <v>193.0</v>
      </c>
      <c r="K160" s="1">
        <v>198.0</v>
      </c>
      <c r="L160" s="1">
        <v>152.0</v>
      </c>
      <c r="M160" s="1">
        <v>134.0</v>
      </c>
      <c r="N160" s="1">
        <v>153.0</v>
      </c>
      <c r="O160" s="1">
        <v>158.0</v>
      </c>
      <c r="P160" s="1">
        <v>16.06</v>
      </c>
      <c r="Q160" s="1">
        <v>13.12</v>
      </c>
      <c r="R160" s="11" t="str">
        <f t="shared" si="1"/>
        <v>QB</v>
      </c>
    </row>
    <row r="161" ht="14.25" customHeight="1">
      <c r="A161" s="1">
        <v>157.0</v>
      </c>
      <c r="B161" s="1" t="s">
        <v>441</v>
      </c>
      <c r="C161" s="1" t="s">
        <v>470</v>
      </c>
      <c r="D161" s="1" t="s">
        <v>231</v>
      </c>
      <c r="E161" s="1">
        <v>184.0</v>
      </c>
      <c r="F161" s="1">
        <v>173.0</v>
      </c>
      <c r="G161" s="1">
        <v>196.0</v>
      </c>
      <c r="H161" s="1">
        <v>175.0</v>
      </c>
      <c r="I161" s="1">
        <v>183.0</v>
      </c>
      <c r="J161" s="1">
        <v>166.0</v>
      </c>
      <c r="K161" s="1">
        <v>170.0</v>
      </c>
      <c r="L161" s="1">
        <v>177.0</v>
      </c>
      <c r="M161" s="1">
        <v>162.0</v>
      </c>
      <c r="N161" s="1">
        <v>147.0</v>
      </c>
      <c r="O161" s="1">
        <v>151.0</v>
      </c>
      <c r="P161" s="1">
        <v>16.07</v>
      </c>
      <c r="Q161" s="1">
        <v>14.01</v>
      </c>
      <c r="R161" s="11" t="str">
        <f t="shared" si="1"/>
        <v>QB</v>
      </c>
    </row>
    <row r="162" ht="14.25" customHeight="1">
      <c r="A162" s="1">
        <v>158.0</v>
      </c>
      <c r="B162" s="1" t="s">
        <v>436</v>
      </c>
      <c r="C162" s="1" t="s">
        <v>892</v>
      </c>
      <c r="D162" s="1" t="s">
        <v>75</v>
      </c>
      <c r="E162" s="1">
        <v>167.0</v>
      </c>
      <c r="F162" s="1">
        <v>159.0</v>
      </c>
      <c r="G162" s="1">
        <v>175.0</v>
      </c>
      <c r="H162" s="1">
        <v>168.0</v>
      </c>
      <c r="I162" s="1">
        <v>156.0</v>
      </c>
      <c r="J162" s="1">
        <v>203.0</v>
      </c>
      <c r="K162" s="1">
        <v>171.0</v>
      </c>
      <c r="L162" s="1">
        <v>191.0</v>
      </c>
      <c r="M162" s="1">
        <v>169.0</v>
      </c>
      <c r="N162" s="1">
        <v>164.0</v>
      </c>
      <c r="O162" s="1">
        <v>169.0</v>
      </c>
      <c r="P162" s="1">
        <v>16.08</v>
      </c>
      <c r="Q162" s="1">
        <v>14.02</v>
      </c>
      <c r="R162" s="11" t="str">
        <f t="shared" si="1"/>
        <v>WR</v>
      </c>
    </row>
    <row r="163" ht="14.25" customHeight="1">
      <c r="A163" s="1">
        <v>159.0</v>
      </c>
      <c r="B163" s="1" t="s">
        <v>438</v>
      </c>
      <c r="C163" s="1" t="s">
        <v>678</v>
      </c>
      <c r="D163" s="1" t="s">
        <v>94</v>
      </c>
      <c r="E163" s="1">
        <v>126.0</v>
      </c>
      <c r="F163" s="1">
        <v>182.0</v>
      </c>
      <c r="G163" s="1">
        <v>185.0</v>
      </c>
      <c r="H163" s="1">
        <v>145.0</v>
      </c>
      <c r="I163" s="1">
        <v>178.0</v>
      </c>
      <c r="J163" s="1">
        <v>243.0</v>
      </c>
      <c r="K163" s="1">
        <v>218.0</v>
      </c>
      <c r="L163" s="1">
        <v>176.0</v>
      </c>
      <c r="M163" s="1">
        <v>188.0</v>
      </c>
      <c r="N163" s="1">
        <v>140.0</v>
      </c>
      <c r="O163" s="1">
        <v>147.0</v>
      </c>
      <c r="P163" s="1">
        <v>16.09</v>
      </c>
      <c r="Q163" s="1">
        <v>14.03</v>
      </c>
      <c r="R163" s="11" t="str">
        <f t="shared" si="1"/>
        <v>RB</v>
      </c>
    </row>
    <row r="164" ht="14.25" customHeight="1">
      <c r="A164" s="1">
        <v>160.0</v>
      </c>
      <c r="B164" s="1" t="s">
        <v>443</v>
      </c>
      <c r="C164" s="1" t="s">
        <v>899</v>
      </c>
      <c r="D164" s="1" t="s">
        <v>165</v>
      </c>
      <c r="E164" s="1">
        <v>203.0</v>
      </c>
      <c r="F164" s="1">
        <v>148.0</v>
      </c>
      <c r="G164" s="1">
        <v>197.0</v>
      </c>
      <c r="H164" s="1">
        <v>171.0</v>
      </c>
      <c r="I164" s="1">
        <v>161.0</v>
      </c>
      <c r="J164" s="1">
        <v>208.0</v>
      </c>
      <c r="K164" s="1">
        <v>196.0</v>
      </c>
      <c r="L164" s="1">
        <v>170.0</v>
      </c>
      <c r="M164" s="1">
        <v>179.0</v>
      </c>
      <c r="N164" s="1">
        <v>161.0</v>
      </c>
      <c r="O164" s="1">
        <v>161.0</v>
      </c>
      <c r="P164" s="1">
        <v>16.1</v>
      </c>
      <c r="Q164" s="1">
        <v>14.04</v>
      </c>
      <c r="R164" s="11" t="str">
        <f t="shared" si="1"/>
        <v>WR</v>
      </c>
    </row>
    <row r="165" ht="14.25" customHeight="1">
      <c r="A165" s="1">
        <v>161.0</v>
      </c>
      <c r="B165" s="1" t="s">
        <v>449</v>
      </c>
      <c r="C165" s="1" t="s">
        <v>1079</v>
      </c>
      <c r="D165" s="1" t="s">
        <v>195</v>
      </c>
      <c r="E165" s="1">
        <v>204.0</v>
      </c>
      <c r="F165" s="1">
        <v>163.0</v>
      </c>
      <c r="G165" s="1">
        <v>195.0</v>
      </c>
      <c r="H165" s="1">
        <v>155.0</v>
      </c>
      <c r="I165" s="1">
        <v>144.0</v>
      </c>
      <c r="J165" s="1">
        <v>309.0</v>
      </c>
      <c r="K165" s="1">
        <v>192.0</v>
      </c>
      <c r="L165" s="1">
        <v>149.0</v>
      </c>
      <c r="M165" s="1">
        <v>157.0</v>
      </c>
      <c r="N165" s="1">
        <v>136.0</v>
      </c>
      <c r="O165" s="1">
        <v>152.0</v>
      </c>
      <c r="P165" s="1">
        <v>17.01</v>
      </c>
      <c r="Q165" s="1">
        <v>14.05</v>
      </c>
      <c r="R165" s="11" t="str">
        <f t="shared" si="1"/>
        <v>WR</v>
      </c>
    </row>
    <row r="166" ht="14.25" customHeight="1">
      <c r="A166" s="1">
        <v>162.0</v>
      </c>
      <c r="B166" s="1" t="s">
        <v>453</v>
      </c>
      <c r="C166" s="1" t="s">
        <v>308</v>
      </c>
      <c r="D166" s="1" t="s">
        <v>128</v>
      </c>
      <c r="E166" s="1">
        <v>165.0</v>
      </c>
      <c r="F166" s="1">
        <v>174.0</v>
      </c>
      <c r="G166" s="1">
        <v>206.0</v>
      </c>
      <c r="H166" s="1">
        <v>169.0</v>
      </c>
      <c r="I166" s="1">
        <v>146.0</v>
      </c>
      <c r="J166" s="1">
        <v>249.0</v>
      </c>
      <c r="K166" s="1">
        <v>206.0</v>
      </c>
      <c r="L166" s="1">
        <v>168.0</v>
      </c>
      <c r="M166" s="1">
        <v>171.0</v>
      </c>
      <c r="N166" s="1">
        <v>166.0</v>
      </c>
      <c r="O166" s="1">
        <v>170.0</v>
      </c>
      <c r="P166" s="1">
        <v>17.02</v>
      </c>
      <c r="Q166" s="1">
        <v>14.06</v>
      </c>
      <c r="R166" s="11" t="str">
        <f t="shared" si="1"/>
        <v>WR</v>
      </c>
    </row>
    <row r="167" ht="14.25" customHeight="1">
      <c r="A167" s="1">
        <v>163.0</v>
      </c>
      <c r="B167" s="1" t="s">
        <v>469</v>
      </c>
      <c r="C167" s="1" t="s">
        <v>310</v>
      </c>
      <c r="D167" s="1" t="s">
        <v>49</v>
      </c>
      <c r="E167" s="1">
        <v>168.0</v>
      </c>
      <c r="F167" s="1">
        <v>160.0</v>
      </c>
      <c r="G167" s="1">
        <v>232.0</v>
      </c>
      <c r="H167" s="1">
        <v>197.0</v>
      </c>
      <c r="I167" s="1">
        <v>195.0</v>
      </c>
      <c r="J167" s="1">
        <v>167.0</v>
      </c>
      <c r="K167" s="1">
        <v>207.0</v>
      </c>
      <c r="L167" s="1">
        <v>151.0</v>
      </c>
      <c r="M167" s="1">
        <v>161.0</v>
      </c>
      <c r="N167" s="1">
        <v>176.0</v>
      </c>
      <c r="O167" s="1">
        <v>177.0</v>
      </c>
      <c r="P167" s="1">
        <v>17.03</v>
      </c>
      <c r="Q167" s="1">
        <v>14.07</v>
      </c>
      <c r="R167" s="11" t="str">
        <f t="shared" si="1"/>
        <v>QB</v>
      </c>
    </row>
    <row r="168" ht="14.25" customHeight="1">
      <c r="A168" s="1">
        <v>164.0</v>
      </c>
      <c r="B168" s="1" t="s">
        <v>419</v>
      </c>
      <c r="C168" s="1" t="s">
        <v>399</v>
      </c>
      <c r="D168" s="1" t="s">
        <v>206</v>
      </c>
      <c r="E168" s="1">
        <v>186.0</v>
      </c>
      <c r="F168" s="1">
        <v>205.0</v>
      </c>
      <c r="G168" s="1">
        <v>224.0</v>
      </c>
      <c r="H168" s="1">
        <v>138.0</v>
      </c>
      <c r="I168" s="1">
        <v>171.0</v>
      </c>
      <c r="J168" s="1">
        <v>254.0</v>
      </c>
      <c r="K168" s="1">
        <v>195.0</v>
      </c>
      <c r="L168" s="1">
        <v>163.0</v>
      </c>
      <c r="M168" s="1">
        <v>176.0</v>
      </c>
      <c r="N168" s="1">
        <v>154.0</v>
      </c>
      <c r="O168" s="1">
        <v>155.0</v>
      </c>
      <c r="P168" s="1">
        <v>17.04</v>
      </c>
      <c r="Q168" s="1">
        <v>14.08</v>
      </c>
      <c r="R168" s="11" t="str">
        <f t="shared" si="1"/>
        <v>TE</v>
      </c>
    </row>
    <row r="169" ht="14.25" customHeight="1">
      <c r="A169" s="1">
        <v>165.0</v>
      </c>
      <c r="B169" s="1" t="s">
        <v>455</v>
      </c>
      <c r="C169" s="1" t="s">
        <v>901</v>
      </c>
      <c r="D169" s="1" t="s">
        <v>116</v>
      </c>
      <c r="E169" s="1">
        <v>199.0</v>
      </c>
      <c r="F169" s="1">
        <v>224.0</v>
      </c>
      <c r="G169" s="1">
        <v>231.0</v>
      </c>
      <c r="H169" s="1">
        <v>159.0</v>
      </c>
      <c r="I169" s="1">
        <v>145.0</v>
      </c>
      <c r="J169" s="1">
        <v>263.0</v>
      </c>
      <c r="K169" s="1">
        <v>199.0</v>
      </c>
      <c r="L169" s="1">
        <v>156.0</v>
      </c>
      <c r="M169" s="1">
        <v>166.0</v>
      </c>
      <c r="N169" s="1">
        <v>141.0</v>
      </c>
      <c r="O169" s="1">
        <v>148.0</v>
      </c>
      <c r="P169" s="1">
        <v>17.05</v>
      </c>
      <c r="Q169" s="1">
        <v>14.09</v>
      </c>
      <c r="R169" s="11" t="str">
        <f t="shared" si="1"/>
        <v>WR</v>
      </c>
    </row>
    <row r="170" ht="14.25" customHeight="1">
      <c r="A170" s="1">
        <v>166.0</v>
      </c>
      <c r="B170" s="1" t="s">
        <v>480</v>
      </c>
      <c r="C170" s="1" t="s">
        <v>623</v>
      </c>
      <c r="D170" s="1" t="s">
        <v>98</v>
      </c>
      <c r="E170" s="1">
        <v>176.0</v>
      </c>
      <c r="F170" s="1">
        <v>207.0</v>
      </c>
      <c r="G170" s="1">
        <v>238.0</v>
      </c>
      <c r="H170" s="1">
        <v>198.0</v>
      </c>
      <c r="I170" s="1">
        <v>191.0</v>
      </c>
      <c r="J170" s="1">
        <v>205.0</v>
      </c>
      <c r="K170" s="1">
        <v>228.0</v>
      </c>
      <c r="L170" s="1">
        <v>145.0</v>
      </c>
      <c r="M170" s="1">
        <v>155.0</v>
      </c>
      <c r="N170" s="1">
        <v>163.0</v>
      </c>
      <c r="O170" s="1">
        <v>164.0</v>
      </c>
      <c r="P170" s="1">
        <v>17.06</v>
      </c>
      <c r="Q170" s="1">
        <v>14.1</v>
      </c>
      <c r="R170" s="11" t="str">
        <f t="shared" si="1"/>
        <v>QB</v>
      </c>
    </row>
    <row r="171" ht="14.25" customHeight="1">
      <c r="A171" s="1">
        <v>167.0</v>
      </c>
      <c r="B171" s="1" t="s">
        <v>425</v>
      </c>
      <c r="C171" s="1" t="s">
        <v>337</v>
      </c>
      <c r="D171" s="1" t="s">
        <v>109</v>
      </c>
      <c r="E171" s="1">
        <v>187.0</v>
      </c>
      <c r="F171" s="1">
        <v>203.0</v>
      </c>
      <c r="G171" s="1">
        <v>261.0</v>
      </c>
      <c r="H171" s="1">
        <v>157.0</v>
      </c>
      <c r="I171" s="1">
        <v>182.0</v>
      </c>
      <c r="J171" s="1">
        <v>160.0</v>
      </c>
      <c r="K171" s="1">
        <v>175.0</v>
      </c>
      <c r="L171" s="1">
        <v>242.0</v>
      </c>
      <c r="M171" s="1">
        <v>177.0</v>
      </c>
      <c r="N171" s="1">
        <v>186.0</v>
      </c>
      <c r="O171" s="1">
        <v>176.0</v>
      </c>
      <c r="P171" s="1">
        <v>17.07</v>
      </c>
      <c r="Q171" s="1">
        <v>14.11</v>
      </c>
      <c r="R171" s="11" t="str">
        <f t="shared" si="1"/>
        <v>TE</v>
      </c>
    </row>
    <row r="172" ht="14.25" customHeight="1">
      <c r="A172" s="1">
        <v>168.0</v>
      </c>
      <c r="B172" s="1" t="s">
        <v>474</v>
      </c>
      <c r="C172" s="1" t="s">
        <v>485</v>
      </c>
      <c r="D172" s="1" t="s">
        <v>176</v>
      </c>
      <c r="E172" s="1">
        <v>106.0</v>
      </c>
      <c r="F172" s="1">
        <v>94.0</v>
      </c>
      <c r="G172" s="1">
        <v>134.0</v>
      </c>
      <c r="H172" s="1">
        <v>203.0</v>
      </c>
      <c r="I172" s="1">
        <v>140.0</v>
      </c>
      <c r="J172" s="1">
        <v>82.0</v>
      </c>
      <c r="K172" s="1">
        <v>147.0</v>
      </c>
      <c r="L172" s="1">
        <v>158.0</v>
      </c>
      <c r="M172" s="1">
        <v>105.0</v>
      </c>
      <c r="N172" s="1" t="s">
        <v>36</v>
      </c>
      <c r="O172" s="1" t="s">
        <v>36</v>
      </c>
      <c r="P172" s="1">
        <v>17.08</v>
      </c>
      <c r="Q172" s="1">
        <v>14.12</v>
      </c>
      <c r="R172" s="11" t="str">
        <f t="shared" si="1"/>
        <v>DE</v>
      </c>
    </row>
    <row r="173" ht="14.25" customHeight="1">
      <c r="A173" s="1">
        <v>169.0</v>
      </c>
      <c r="B173" s="1" t="s">
        <v>447</v>
      </c>
      <c r="C173" s="1" t="s">
        <v>951</v>
      </c>
      <c r="D173" s="1" t="s">
        <v>85</v>
      </c>
      <c r="E173" s="1">
        <v>211.0</v>
      </c>
      <c r="F173" s="1">
        <v>213.0</v>
      </c>
      <c r="G173" s="1">
        <v>258.0</v>
      </c>
      <c r="H173" s="1">
        <v>163.0</v>
      </c>
      <c r="I173" s="1">
        <v>173.0</v>
      </c>
      <c r="J173" s="1">
        <v>302.0</v>
      </c>
      <c r="K173" s="1">
        <v>204.0</v>
      </c>
      <c r="L173" s="1">
        <v>167.0</v>
      </c>
      <c r="M173" s="1">
        <v>196.0</v>
      </c>
      <c r="N173" s="1">
        <v>167.0</v>
      </c>
      <c r="O173" s="1">
        <v>173.0</v>
      </c>
      <c r="P173" s="1">
        <v>17.09</v>
      </c>
      <c r="Q173" s="1">
        <v>15.01</v>
      </c>
      <c r="R173" s="11" t="str">
        <f t="shared" si="1"/>
        <v>RB</v>
      </c>
    </row>
    <row r="174" ht="14.25" customHeight="1">
      <c r="A174" s="1">
        <v>170.0</v>
      </c>
      <c r="B174" s="1" t="s">
        <v>483</v>
      </c>
      <c r="C174" s="1" t="s">
        <v>495</v>
      </c>
      <c r="D174" s="1" t="s">
        <v>85</v>
      </c>
      <c r="E174" s="1">
        <v>87.0</v>
      </c>
      <c r="F174" s="1">
        <v>130.0</v>
      </c>
      <c r="G174" s="1">
        <v>164.0</v>
      </c>
      <c r="H174" s="1">
        <v>214.0</v>
      </c>
      <c r="I174" s="1">
        <v>160.0</v>
      </c>
      <c r="J174" s="1">
        <v>93.0</v>
      </c>
      <c r="K174" s="1">
        <v>144.0</v>
      </c>
      <c r="L174" s="1">
        <v>165.0</v>
      </c>
      <c r="M174" s="1">
        <v>120.0</v>
      </c>
      <c r="N174" s="1" t="s">
        <v>36</v>
      </c>
      <c r="O174" s="1" t="s">
        <v>36</v>
      </c>
      <c r="P174" s="1">
        <v>17.1</v>
      </c>
      <c r="Q174" s="1">
        <v>15.02</v>
      </c>
      <c r="R174" s="11" t="str">
        <f t="shared" si="1"/>
        <v>DE</v>
      </c>
    </row>
    <row r="175" ht="14.25" customHeight="1">
      <c r="A175" s="1">
        <v>171.0</v>
      </c>
      <c r="B175" s="1" t="s">
        <v>459</v>
      </c>
      <c r="C175" s="1" t="s">
        <v>263</v>
      </c>
      <c r="D175" s="1" t="s">
        <v>165</v>
      </c>
      <c r="E175" s="1">
        <v>210.0</v>
      </c>
      <c r="F175" s="1" t="s">
        <v>36</v>
      </c>
      <c r="G175" s="1">
        <v>201.0</v>
      </c>
      <c r="H175" s="1">
        <v>165.0</v>
      </c>
      <c r="I175" s="1">
        <v>164.0</v>
      </c>
      <c r="J175" s="1">
        <v>220.0</v>
      </c>
      <c r="K175" s="1">
        <v>158.0</v>
      </c>
      <c r="L175" s="1">
        <v>157.0</v>
      </c>
      <c r="M175" s="1">
        <v>172.0</v>
      </c>
      <c r="N175" s="1">
        <v>178.0</v>
      </c>
      <c r="O175" s="1">
        <v>179.0</v>
      </c>
      <c r="P175" s="1">
        <v>18.01</v>
      </c>
      <c r="Q175" s="1">
        <v>15.03</v>
      </c>
      <c r="R175" s="11" t="str">
        <f t="shared" si="1"/>
        <v>RB</v>
      </c>
    </row>
    <row r="176" ht="14.25" customHeight="1">
      <c r="A176" s="1">
        <v>172.0</v>
      </c>
      <c r="B176" s="1" t="s">
        <v>457</v>
      </c>
      <c r="C176" s="1" t="s">
        <v>359</v>
      </c>
      <c r="D176" s="1" t="s">
        <v>154</v>
      </c>
      <c r="E176" s="1">
        <v>205.0</v>
      </c>
      <c r="F176" s="1" t="s">
        <v>36</v>
      </c>
      <c r="G176" s="1">
        <v>219.0</v>
      </c>
      <c r="H176" s="1">
        <v>172.0</v>
      </c>
      <c r="I176" s="1">
        <v>163.0</v>
      </c>
      <c r="J176" s="1">
        <v>223.0</v>
      </c>
      <c r="K176" s="1">
        <v>210.0</v>
      </c>
      <c r="L176" s="1">
        <v>178.0</v>
      </c>
      <c r="M176" s="1">
        <v>173.0</v>
      </c>
      <c r="N176" s="1">
        <v>142.0</v>
      </c>
      <c r="O176" s="1">
        <v>149.0</v>
      </c>
      <c r="P176" s="1">
        <v>18.02</v>
      </c>
      <c r="Q176" s="1">
        <v>15.04</v>
      </c>
      <c r="R176" s="11" t="str">
        <f t="shared" si="1"/>
        <v>WR</v>
      </c>
    </row>
    <row r="177" ht="14.25" customHeight="1">
      <c r="A177" s="1">
        <v>173.0</v>
      </c>
      <c r="B177" s="1" t="s">
        <v>486</v>
      </c>
      <c r="C177" s="1" t="s">
        <v>513</v>
      </c>
      <c r="D177" s="1" t="s">
        <v>109</v>
      </c>
      <c r="E177" s="1">
        <v>112.0</v>
      </c>
      <c r="F177" s="1">
        <v>109.0</v>
      </c>
      <c r="G177" s="1">
        <v>129.0</v>
      </c>
      <c r="H177" s="1">
        <v>212.0</v>
      </c>
      <c r="I177" s="1">
        <v>166.0</v>
      </c>
      <c r="J177" s="1">
        <v>123.0</v>
      </c>
      <c r="K177" s="1">
        <v>181.0</v>
      </c>
      <c r="L177" s="1">
        <v>169.0</v>
      </c>
      <c r="M177" s="1">
        <v>125.0</v>
      </c>
      <c r="N177" s="1" t="s">
        <v>36</v>
      </c>
      <c r="O177" s="1" t="s">
        <v>36</v>
      </c>
      <c r="P177" s="1">
        <v>18.03</v>
      </c>
      <c r="Q177" s="1">
        <v>15.05</v>
      </c>
      <c r="R177" s="11" t="str">
        <f t="shared" si="1"/>
        <v>DE</v>
      </c>
    </row>
    <row r="178" ht="14.25" customHeight="1">
      <c r="A178" s="1">
        <v>174.0</v>
      </c>
      <c r="B178" s="1" t="s">
        <v>430</v>
      </c>
      <c r="C178" s="1" t="s">
        <v>701</v>
      </c>
      <c r="D178" s="1" t="s">
        <v>94</v>
      </c>
      <c r="E178" s="1">
        <v>194.0</v>
      </c>
      <c r="F178" s="1">
        <v>185.0</v>
      </c>
      <c r="G178" s="1">
        <v>268.0</v>
      </c>
      <c r="H178" s="1">
        <v>188.0</v>
      </c>
      <c r="I178" s="1">
        <v>251.0</v>
      </c>
      <c r="J178" s="1">
        <v>186.0</v>
      </c>
      <c r="K178" s="1">
        <v>217.0</v>
      </c>
      <c r="L178" s="1">
        <v>225.0</v>
      </c>
      <c r="M178" s="1">
        <v>257.0</v>
      </c>
      <c r="N178" s="1">
        <v>234.0</v>
      </c>
      <c r="O178" s="1">
        <v>217.0</v>
      </c>
      <c r="P178" s="1">
        <v>18.04</v>
      </c>
      <c r="Q178" s="1">
        <v>15.06</v>
      </c>
      <c r="R178" s="11" t="str">
        <f t="shared" si="1"/>
        <v>TE</v>
      </c>
    </row>
    <row r="179" ht="14.25" customHeight="1">
      <c r="A179" s="1">
        <v>175.0</v>
      </c>
      <c r="B179" s="1" t="s">
        <v>490</v>
      </c>
      <c r="C179" s="1" t="s">
        <v>502</v>
      </c>
      <c r="D179" s="1" t="s">
        <v>237</v>
      </c>
      <c r="E179" s="1">
        <v>132.0</v>
      </c>
      <c r="F179" s="1">
        <v>90.0</v>
      </c>
      <c r="G179" s="1">
        <v>213.0</v>
      </c>
      <c r="H179" s="1">
        <v>215.0</v>
      </c>
      <c r="I179" s="1">
        <v>167.0</v>
      </c>
      <c r="J179" s="1">
        <v>131.0</v>
      </c>
      <c r="K179" s="1">
        <v>154.0</v>
      </c>
      <c r="L179" s="1">
        <v>166.0</v>
      </c>
      <c r="M179" s="1">
        <v>136.0</v>
      </c>
      <c r="N179" s="1" t="s">
        <v>36</v>
      </c>
      <c r="O179" s="1" t="s">
        <v>36</v>
      </c>
      <c r="P179" s="1">
        <v>18.05</v>
      </c>
      <c r="Q179" s="1">
        <v>15.07</v>
      </c>
      <c r="R179" s="11" t="str">
        <f t="shared" si="1"/>
        <v>DE</v>
      </c>
    </row>
    <row r="180" ht="14.25" customHeight="1">
      <c r="A180" s="1">
        <v>176.0</v>
      </c>
      <c r="B180" s="1" t="s">
        <v>478</v>
      </c>
      <c r="C180" s="1" t="s">
        <v>1086</v>
      </c>
      <c r="D180" s="1" t="s">
        <v>58</v>
      </c>
      <c r="E180" s="1">
        <v>180.0</v>
      </c>
      <c r="F180" s="1" t="s">
        <v>36</v>
      </c>
      <c r="G180" s="1">
        <v>294.0</v>
      </c>
      <c r="H180" s="1">
        <v>182.0</v>
      </c>
      <c r="I180" s="1">
        <v>162.0</v>
      </c>
      <c r="J180" s="1">
        <v>199.0</v>
      </c>
      <c r="K180" s="1">
        <v>151.0</v>
      </c>
      <c r="L180" s="1">
        <v>180.0</v>
      </c>
      <c r="M180" s="1">
        <v>170.0</v>
      </c>
      <c r="N180" s="1">
        <v>211.0</v>
      </c>
      <c r="O180" s="1">
        <v>218.0</v>
      </c>
      <c r="P180" s="1">
        <v>18.06</v>
      </c>
      <c r="Q180" s="1">
        <v>15.08</v>
      </c>
      <c r="R180" s="11" t="str">
        <f t="shared" si="1"/>
        <v>RB</v>
      </c>
    </row>
    <row r="181" ht="14.25" customHeight="1">
      <c r="A181" s="1">
        <v>177.0</v>
      </c>
      <c r="B181" s="1" t="s">
        <v>462</v>
      </c>
      <c r="C181" s="1" t="s">
        <v>796</v>
      </c>
      <c r="D181" s="1" t="s">
        <v>98</v>
      </c>
      <c r="E181" s="1">
        <v>143.0</v>
      </c>
      <c r="F181" s="1">
        <v>189.0</v>
      </c>
      <c r="G181" s="1">
        <v>308.0</v>
      </c>
      <c r="H181" s="1">
        <v>227.0</v>
      </c>
      <c r="I181" s="1">
        <v>229.0</v>
      </c>
      <c r="J181" s="1">
        <v>290.0</v>
      </c>
      <c r="K181" s="1">
        <v>250.0</v>
      </c>
      <c r="L181" s="1">
        <v>250.0</v>
      </c>
      <c r="M181" s="1">
        <v>222.0</v>
      </c>
      <c r="N181" s="1">
        <v>197.0</v>
      </c>
      <c r="O181" s="1">
        <v>192.0</v>
      </c>
      <c r="P181" s="1">
        <v>18.07</v>
      </c>
      <c r="Q181" s="1">
        <v>15.09</v>
      </c>
      <c r="R181" s="11" t="str">
        <f t="shared" si="1"/>
        <v>WR</v>
      </c>
    </row>
    <row r="182" ht="14.25" customHeight="1">
      <c r="A182" s="1">
        <v>178.0</v>
      </c>
      <c r="B182" s="1" t="s">
        <v>494</v>
      </c>
      <c r="C182" s="1" t="s">
        <v>515</v>
      </c>
      <c r="D182" s="1" t="s">
        <v>75</v>
      </c>
      <c r="E182" s="1">
        <v>141.0</v>
      </c>
      <c r="F182" s="1">
        <v>119.0</v>
      </c>
      <c r="G182" s="1">
        <v>193.0</v>
      </c>
      <c r="H182" s="1">
        <v>220.0</v>
      </c>
      <c r="I182" s="1">
        <v>172.0</v>
      </c>
      <c r="J182" s="1">
        <v>151.0</v>
      </c>
      <c r="K182" s="1">
        <v>160.0</v>
      </c>
      <c r="L182" s="1">
        <v>172.0</v>
      </c>
      <c r="M182" s="1">
        <v>143.0</v>
      </c>
      <c r="N182" s="1" t="s">
        <v>36</v>
      </c>
      <c r="O182" s="1" t="s">
        <v>36</v>
      </c>
      <c r="P182" s="1">
        <v>18.08</v>
      </c>
      <c r="Q182" s="1">
        <v>15.1</v>
      </c>
      <c r="R182" s="11" t="str">
        <f t="shared" si="1"/>
        <v>DE</v>
      </c>
    </row>
    <row r="183" ht="14.25" customHeight="1">
      <c r="A183" s="1">
        <v>179.0</v>
      </c>
      <c r="B183" s="1" t="s">
        <v>492</v>
      </c>
      <c r="C183" s="1" t="s">
        <v>442</v>
      </c>
      <c r="D183" s="1" t="s">
        <v>52</v>
      </c>
      <c r="E183" s="1" t="s">
        <v>36</v>
      </c>
      <c r="F183" s="1">
        <v>204.0</v>
      </c>
      <c r="G183" s="1">
        <v>222.0</v>
      </c>
      <c r="H183" s="1">
        <v>213.0</v>
      </c>
      <c r="I183" s="1">
        <v>196.0</v>
      </c>
      <c r="J183" s="1">
        <v>201.0</v>
      </c>
      <c r="K183" s="1">
        <v>226.0</v>
      </c>
      <c r="L183" s="1">
        <v>222.0</v>
      </c>
      <c r="M183" s="1">
        <v>165.0</v>
      </c>
      <c r="N183" s="1">
        <v>173.0</v>
      </c>
      <c r="O183" s="1">
        <v>181.0</v>
      </c>
      <c r="P183" s="1">
        <v>18.09</v>
      </c>
      <c r="Q183" s="1">
        <v>15.11</v>
      </c>
      <c r="R183" s="11" t="str">
        <f t="shared" si="1"/>
        <v>QB</v>
      </c>
    </row>
    <row r="184" ht="14.25" customHeight="1">
      <c r="A184" s="1">
        <v>180.0</v>
      </c>
      <c r="B184" s="1" t="s">
        <v>497</v>
      </c>
      <c r="C184" s="1" t="s">
        <v>634</v>
      </c>
      <c r="D184" s="1" t="s">
        <v>94</v>
      </c>
      <c r="E184" s="1" t="s">
        <v>36</v>
      </c>
      <c r="F184" s="1">
        <v>194.0</v>
      </c>
      <c r="G184" s="1">
        <v>226.0</v>
      </c>
      <c r="H184" s="1">
        <v>185.0</v>
      </c>
      <c r="I184" s="1">
        <v>175.0</v>
      </c>
      <c r="J184" s="1">
        <v>241.0</v>
      </c>
      <c r="K184" s="1">
        <v>172.0</v>
      </c>
      <c r="L184" s="1">
        <v>189.0</v>
      </c>
      <c r="M184" s="1">
        <v>182.0</v>
      </c>
      <c r="N184" s="1">
        <v>230.0</v>
      </c>
      <c r="O184" s="1">
        <v>237.0</v>
      </c>
      <c r="P184" s="1">
        <v>18.1</v>
      </c>
      <c r="Q184" s="1">
        <v>15.12</v>
      </c>
      <c r="R184" s="11" t="str">
        <f t="shared" si="1"/>
        <v>RB</v>
      </c>
    </row>
    <row r="185" ht="14.25" customHeight="1">
      <c r="A185" s="1">
        <v>181.0</v>
      </c>
      <c r="B185" s="1" t="s">
        <v>501</v>
      </c>
      <c r="C185" s="1" t="s">
        <v>475</v>
      </c>
      <c r="D185" s="1" t="s">
        <v>119</v>
      </c>
      <c r="E185" s="1">
        <v>145.0</v>
      </c>
      <c r="F185" s="1">
        <v>100.0</v>
      </c>
      <c r="G185" s="1">
        <v>190.0</v>
      </c>
      <c r="H185" s="1">
        <v>216.0</v>
      </c>
      <c r="I185" s="1">
        <v>176.0</v>
      </c>
      <c r="J185" s="1">
        <v>145.0</v>
      </c>
      <c r="K185" s="1">
        <v>188.0</v>
      </c>
      <c r="L185" s="1">
        <v>188.0</v>
      </c>
      <c r="M185" s="1">
        <v>164.0</v>
      </c>
      <c r="N185" s="1" t="s">
        <v>36</v>
      </c>
      <c r="O185" s="1" t="s">
        <v>36</v>
      </c>
      <c r="P185" s="1">
        <v>19.01</v>
      </c>
      <c r="Q185" s="1">
        <v>16.01</v>
      </c>
      <c r="R185" s="11" t="str">
        <f t="shared" si="1"/>
        <v>DE</v>
      </c>
    </row>
    <row r="186" ht="14.25" customHeight="1">
      <c r="A186" s="1">
        <v>182.0</v>
      </c>
      <c r="B186" s="1" t="s">
        <v>549</v>
      </c>
      <c r="C186" s="1" t="s">
        <v>550</v>
      </c>
      <c r="D186" s="1" t="s">
        <v>237</v>
      </c>
      <c r="E186" s="1" t="s">
        <v>36</v>
      </c>
      <c r="F186" s="1">
        <v>192.0</v>
      </c>
      <c r="G186" s="1">
        <v>240.0</v>
      </c>
      <c r="H186" s="1">
        <v>222.0</v>
      </c>
      <c r="I186" s="1">
        <v>222.0</v>
      </c>
      <c r="J186" s="1">
        <v>192.0</v>
      </c>
      <c r="K186" s="1">
        <v>229.0</v>
      </c>
      <c r="L186" s="1">
        <v>198.0</v>
      </c>
      <c r="M186" s="1">
        <v>180.0</v>
      </c>
      <c r="N186" s="1">
        <v>191.0</v>
      </c>
      <c r="O186" s="1">
        <v>198.0</v>
      </c>
      <c r="P186" s="1">
        <v>19.02</v>
      </c>
      <c r="Q186" s="1">
        <v>16.02</v>
      </c>
      <c r="R186" s="11" t="str">
        <f t="shared" si="1"/>
        <v>QB</v>
      </c>
    </row>
    <row r="187" ht="14.25" customHeight="1">
      <c r="A187" s="1">
        <v>183.0</v>
      </c>
      <c r="B187" s="1" t="s">
        <v>464</v>
      </c>
      <c r="C187" s="1" t="s">
        <v>883</v>
      </c>
      <c r="D187" s="1" t="s">
        <v>67</v>
      </c>
      <c r="E187" s="1" t="s">
        <v>36</v>
      </c>
      <c r="F187" s="1" t="s">
        <v>36</v>
      </c>
      <c r="G187" s="1">
        <v>221.0</v>
      </c>
      <c r="H187" s="1">
        <v>158.0</v>
      </c>
      <c r="I187" s="1">
        <v>155.0</v>
      </c>
      <c r="J187" s="1">
        <v>235.0</v>
      </c>
      <c r="K187" s="1">
        <v>174.0</v>
      </c>
      <c r="L187" s="1">
        <v>150.0</v>
      </c>
      <c r="M187" s="1">
        <v>175.0</v>
      </c>
      <c r="N187" s="1">
        <v>127.0</v>
      </c>
      <c r="O187" s="1">
        <v>136.0</v>
      </c>
      <c r="P187" s="1">
        <v>19.03</v>
      </c>
      <c r="Q187" s="1">
        <v>16.03</v>
      </c>
      <c r="R187" s="11" t="str">
        <f t="shared" si="1"/>
        <v>WR</v>
      </c>
    </row>
    <row r="188" ht="14.25" customHeight="1">
      <c r="A188" s="1">
        <v>184.0</v>
      </c>
      <c r="B188" s="1" t="s">
        <v>467</v>
      </c>
      <c r="C188" s="1" t="s">
        <v>506</v>
      </c>
      <c r="D188" s="1" t="s">
        <v>105</v>
      </c>
      <c r="E188" s="1" t="s">
        <v>36</v>
      </c>
      <c r="F188" s="1" t="s">
        <v>36</v>
      </c>
      <c r="G188" s="1">
        <v>202.0</v>
      </c>
      <c r="H188" s="1">
        <v>181.0</v>
      </c>
      <c r="I188" s="1">
        <v>158.0</v>
      </c>
      <c r="J188" s="1">
        <v>169.0</v>
      </c>
      <c r="K188" s="1">
        <v>139.0</v>
      </c>
      <c r="L188" s="1">
        <v>185.0</v>
      </c>
      <c r="M188" s="1">
        <v>178.0</v>
      </c>
      <c r="N188" s="1">
        <v>180.0</v>
      </c>
      <c r="O188" s="1">
        <v>159.0</v>
      </c>
      <c r="P188" s="1">
        <v>19.04</v>
      </c>
      <c r="Q188" s="1">
        <v>16.04</v>
      </c>
      <c r="R188" s="11" t="str">
        <f t="shared" si="1"/>
        <v>WR</v>
      </c>
    </row>
    <row r="189" ht="14.25" customHeight="1">
      <c r="A189" s="1">
        <v>185.0</v>
      </c>
      <c r="B189" s="1" t="s">
        <v>432</v>
      </c>
      <c r="C189" s="1" t="s">
        <v>552</v>
      </c>
      <c r="D189" s="1" t="s">
        <v>237</v>
      </c>
      <c r="E189" s="1" t="s">
        <v>36</v>
      </c>
      <c r="F189" s="1">
        <v>198.0</v>
      </c>
      <c r="G189" s="1">
        <v>239.0</v>
      </c>
      <c r="H189" s="1">
        <v>196.0</v>
      </c>
      <c r="I189" s="1">
        <v>221.0</v>
      </c>
      <c r="J189" s="1">
        <v>176.0</v>
      </c>
      <c r="K189" s="1">
        <v>202.0</v>
      </c>
      <c r="L189" s="1">
        <v>228.0</v>
      </c>
      <c r="M189" s="1">
        <v>185.0</v>
      </c>
      <c r="N189" s="1">
        <v>228.0</v>
      </c>
      <c r="O189" s="1">
        <v>226.0</v>
      </c>
      <c r="P189" s="1">
        <v>19.05</v>
      </c>
      <c r="Q189" s="1">
        <v>16.05</v>
      </c>
      <c r="R189" s="11" t="str">
        <f t="shared" si="1"/>
        <v>TE</v>
      </c>
    </row>
    <row r="190" ht="14.25" customHeight="1">
      <c r="A190" s="1">
        <v>186.0</v>
      </c>
      <c r="B190" s="1" t="s">
        <v>503</v>
      </c>
      <c r="C190" s="1" t="s">
        <v>626</v>
      </c>
      <c r="D190" s="1" t="s">
        <v>67</v>
      </c>
      <c r="E190" s="1">
        <v>128.0</v>
      </c>
      <c r="F190" s="1">
        <v>153.0</v>
      </c>
      <c r="G190" s="1">
        <v>218.0</v>
      </c>
      <c r="H190" s="1">
        <v>224.0</v>
      </c>
      <c r="I190" s="1">
        <v>179.0</v>
      </c>
      <c r="J190" s="1">
        <v>92.0</v>
      </c>
      <c r="K190" s="1">
        <v>231.0</v>
      </c>
      <c r="L190" s="1">
        <v>190.0</v>
      </c>
      <c r="M190" s="1">
        <v>163.0</v>
      </c>
      <c r="N190" s="1" t="s">
        <v>36</v>
      </c>
      <c r="O190" s="1" t="s">
        <v>36</v>
      </c>
      <c r="P190" s="1">
        <v>19.06</v>
      </c>
      <c r="Q190" s="1">
        <v>16.06</v>
      </c>
      <c r="R190" s="11" t="str">
        <f t="shared" si="1"/>
        <v>DE</v>
      </c>
    </row>
    <row r="191" ht="14.25" customHeight="1">
      <c r="A191" s="1">
        <v>187.0</v>
      </c>
      <c r="B191" s="1" t="s">
        <v>471</v>
      </c>
      <c r="C191" s="1" t="s">
        <v>280</v>
      </c>
      <c r="D191" s="1" t="s">
        <v>105</v>
      </c>
      <c r="E191" s="1">
        <v>197.0</v>
      </c>
      <c r="F191" s="1" t="s">
        <v>36</v>
      </c>
      <c r="G191" s="1">
        <v>227.0</v>
      </c>
      <c r="H191" s="1">
        <v>226.0</v>
      </c>
      <c r="I191" s="1">
        <v>180.0</v>
      </c>
      <c r="J191" s="1">
        <v>278.0</v>
      </c>
      <c r="K191" s="1">
        <v>212.0</v>
      </c>
      <c r="L191" s="1">
        <v>236.0</v>
      </c>
      <c r="M191" s="1">
        <v>181.0</v>
      </c>
      <c r="N191" s="1">
        <v>204.0</v>
      </c>
      <c r="O191" s="1">
        <v>191.0</v>
      </c>
      <c r="P191" s="1">
        <v>19.07</v>
      </c>
      <c r="Q191" s="1">
        <v>16.07</v>
      </c>
      <c r="R191" s="11" t="str">
        <f t="shared" si="1"/>
        <v>WR</v>
      </c>
    </row>
    <row r="192" ht="14.25" customHeight="1">
      <c r="A192" s="1">
        <v>188.0</v>
      </c>
      <c r="B192" s="1" t="s">
        <v>520</v>
      </c>
      <c r="C192" s="1" t="s">
        <v>1053</v>
      </c>
      <c r="D192" s="1" t="s">
        <v>102</v>
      </c>
      <c r="E192" s="1">
        <v>215.0</v>
      </c>
      <c r="F192" s="1">
        <v>255.0</v>
      </c>
      <c r="G192" s="1">
        <v>271.0</v>
      </c>
      <c r="H192" s="1">
        <v>191.0</v>
      </c>
      <c r="I192" s="1">
        <v>194.0</v>
      </c>
      <c r="J192" s="1">
        <v>204.0</v>
      </c>
      <c r="K192" s="1">
        <v>193.0</v>
      </c>
      <c r="L192" s="1" t="s">
        <v>36</v>
      </c>
      <c r="M192" s="1">
        <v>213.0</v>
      </c>
      <c r="N192" s="1">
        <v>215.0</v>
      </c>
      <c r="O192" s="1">
        <v>209.0</v>
      </c>
      <c r="P192" s="1">
        <v>19.08</v>
      </c>
      <c r="Q192" s="1">
        <v>16.08</v>
      </c>
      <c r="R192" s="11" t="str">
        <f t="shared" si="1"/>
        <v>RB</v>
      </c>
    </row>
    <row r="193" ht="14.25" customHeight="1">
      <c r="A193" s="1">
        <v>189.0</v>
      </c>
      <c r="B193" s="1" t="s">
        <v>522</v>
      </c>
      <c r="C193" s="1" t="s">
        <v>917</v>
      </c>
      <c r="D193" s="1" t="s">
        <v>171</v>
      </c>
      <c r="E193" s="1">
        <v>213.0</v>
      </c>
      <c r="F193" s="1" t="s">
        <v>36</v>
      </c>
      <c r="G193" s="1">
        <v>275.0</v>
      </c>
      <c r="H193" s="1">
        <v>186.0</v>
      </c>
      <c r="I193" s="1">
        <v>188.0</v>
      </c>
      <c r="J193" s="1">
        <v>304.0</v>
      </c>
      <c r="K193" s="1">
        <v>203.0</v>
      </c>
      <c r="L193" s="1">
        <v>171.0</v>
      </c>
      <c r="M193" s="1">
        <v>198.0</v>
      </c>
      <c r="N193" s="1">
        <v>220.0</v>
      </c>
      <c r="O193" s="1">
        <v>219.0</v>
      </c>
      <c r="P193" s="1">
        <v>19.09</v>
      </c>
      <c r="Q193" s="1">
        <v>16.09</v>
      </c>
      <c r="R193" s="11" t="str">
        <f t="shared" si="1"/>
        <v>RB</v>
      </c>
    </row>
    <row r="194" ht="14.25" customHeight="1">
      <c r="A194" s="1">
        <v>190.0</v>
      </c>
      <c r="B194" s="1" t="s">
        <v>476</v>
      </c>
      <c r="C194" s="1" t="s">
        <v>545</v>
      </c>
      <c r="D194" s="1" t="s">
        <v>35</v>
      </c>
      <c r="E194" s="1" t="s">
        <v>36</v>
      </c>
      <c r="F194" s="1">
        <v>214.0</v>
      </c>
      <c r="G194" s="1">
        <v>350.0</v>
      </c>
      <c r="H194" s="1">
        <v>190.0</v>
      </c>
      <c r="I194" s="1">
        <v>210.0</v>
      </c>
      <c r="J194" s="1">
        <v>221.0</v>
      </c>
      <c r="K194" s="1">
        <v>216.0</v>
      </c>
      <c r="L194" s="1">
        <v>216.0</v>
      </c>
      <c r="M194" s="1">
        <v>229.0</v>
      </c>
      <c r="N194" s="1">
        <v>170.0</v>
      </c>
      <c r="O194" s="1">
        <v>163.0</v>
      </c>
      <c r="P194" s="1">
        <v>19.1</v>
      </c>
      <c r="Q194" s="1">
        <v>16.1</v>
      </c>
      <c r="R194" s="11" t="str">
        <f t="shared" si="1"/>
        <v>WR</v>
      </c>
    </row>
    <row r="195" ht="14.25" customHeight="1">
      <c r="A195" s="1">
        <v>191.0</v>
      </c>
      <c r="B195" s="1" t="s">
        <v>505</v>
      </c>
      <c r="C195" s="1" t="s">
        <v>1088</v>
      </c>
      <c r="D195" s="1" t="s">
        <v>116</v>
      </c>
      <c r="E195" s="1" t="s">
        <v>36</v>
      </c>
      <c r="F195" s="1" t="s">
        <v>36</v>
      </c>
      <c r="G195" s="1">
        <v>220.0</v>
      </c>
      <c r="H195" s="1">
        <v>179.0</v>
      </c>
      <c r="I195" s="1">
        <v>170.0</v>
      </c>
      <c r="J195" s="1">
        <v>226.0</v>
      </c>
      <c r="K195" s="1">
        <v>166.0</v>
      </c>
      <c r="L195" s="1">
        <v>192.0</v>
      </c>
      <c r="M195" s="1">
        <v>184.0</v>
      </c>
      <c r="N195" s="1">
        <v>175.0</v>
      </c>
      <c r="O195" s="1">
        <v>153.0</v>
      </c>
      <c r="P195" s="1">
        <v>20.01</v>
      </c>
      <c r="Q195" s="1">
        <v>16.11</v>
      </c>
      <c r="R195" s="11" t="str">
        <f t="shared" si="1"/>
        <v>WR</v>
      </c>
    </row>
    <row r="196" ht="14.25" customHeight="1">
      <c r="A196" s="1">
        <v>192.0</v>
      </c>
      <c r="B196" s="1" t="s">
        <v>445</v>
      </c>
      <c r="C196" s="1" t="s">
        <v>409</v>
      </c>
      <c r="D196" s="1" t="s">
        <v>231</v>
      </c>
      <c r="E196" s="1" t="s">
        <v>36</v>
      </c>
      <c r="F196" s="1" t="s">
        <v>36</v>
      </c>
      <c r="G196" s="1">
        <v>249.0</v>
      </c>
      <c r="H196" s="1">
        <v>150.0</v>
      </c>
      <c r="I196" s="1">
        <v>187.0</v>
      </c>
      <c r="J196" s="1">
        <v>218.0</v>
      </c>
      <c r="K196" s="1">
        <v>208.0</v>
      </c>
      <c r="L196" s="1">
        <v>144.0</v>
      </c>
      <c r="M196" s="1">
        <v>183.0</v>
      </c>
      <c r="N196" s="1">
        <v>165.0</v>
      </c>
      <c r="O196" s="1">
        <v>166.0</v>
      </c>
      <c r="P196" s="1">
        <v>20.02</v>
      </c>
      <c r="Q196" s="1">
        <v>16.12</v>
      </c>
      <c r="R196" s="11" t="str">
        <f t="shared" si="1"/>
        <v>TE</v>
      </c>
    </row>
    <row r="197" ht="14.25" customHeight="1">
      <c r="A197" s="1">
        <v>193.0</v>
      </c>
      <c r="B197" s="1" t="s">
        <v>512</v>
      </c>
      <c r="C197" s="1" t="s">
        <v>572</v>
      </c>
      <c r="D197" s="1" t="s">
        <v>102</v>
      </c>
      <c r="E197" s="1">
        <v>179.0</v>
      </c>
      <c r="F197" s="1">
        <v>187.0</v>
      </c>
      <c r="G197" s="1">
        <v>235.0</v>
      </c>
      <c r="H197" s="1">
        <v>239.0</v>
      </c>
      <c r="I197" s="1">
        <v>202.0</v>
      </c>
      <c r="J197" s="1">
        <v>137.0</v>
      </c>
      <c r="K197" s="1">
        <v>191.0</v>
      </c>
      <c r="L197" s="1">
        <v>173.0</v>
      </c>
      <c r="M197" s="1">
        <v>191.0</v>
      </c>
      <c r="N197" s="1" t="s">
        <v>36</v>
      </c>
      <c r="O197" s="1" t="s">
        <v>36</v>
      </c>
      <c r="P197" s="1">
        <v>20.03</v>
      </c>
      <c r="Q197" s="1">
        <v>17.01</v>
      </c>
      <c r="R197" s="11" t="str">
        <f t="shared" si="1"/>
        <v>DE</v>
      </c>
    </row>
    <row r="198" ht="14.25" customHeight="1">
      <c r="A198" s="1">
        <v>194.0</v>
      </c>
      <c r="B198" s="1" t="s">
        <v>514</v>
      </c>
      <c r="C198" s="1" t="s">
        <v>538</v>
      </c>
      <c r="D198" s="1" t="s">
        <v>35</v>
      </c>
      <c r="E198" s="1">
        <v>178.0</v>
      </c>
      <c r="F198" s="1">
        <v>136.0</v>
      </c>
      <c r="G198" s="1">
        <v>257.0</v>
      </c>
      <c r="H198" s="1">
        <v>254.0</v>
      </c>
      <c r="I198" s="1">
        <v>201.0</v>
      </c>
      <c r="J198" s="1">
        <v>152.0</v>
      </c>
      <c r="K198" s="1">
        <v>187.0</v>
      </c>
      <c r="L198" s="1">
        <v>186.0</v>
      </c>
      <c r="M198" s="1">
        <v>199.0</v>
      </c>
      <c r="N198" s="1" t="s">
        <v>36</v>
      </c>
      <c r="O198" s="1" t="s">
        <v>36</v>
      </c>
      <c r="P198" s="1">
        <v>20.04</v>
      </c>
      <c r="Q198" s="1">
        <v>17.02</v>
      </c>
      <c r="R198" s="11" t="str">
        <f t="shared" si="1"/>
        <v>DE</v>
      </c>
    </row>
    <row r="199" ht="14.25" customHeight="1">
      <c r="A199" s="1">
        <v>195.0</v>
      </c>
      <c r="B199" s="1" t="s">
        <v>553</v>
      </c>
      <c r="C199" s="1" t="s">
        <v>411</v>
      </c>
      <c r="D199" s="1" t="s">
        <v>62</v>
      </c>
      <c r="E199" s="1">
        <v>156.0</v>
      </c>
      <c r="F199" s="1" t="s">
        <v>36</v>
      </c>
      <c r="G199" s="1">
        <v>310.0</v>
      </c>
      <c r="H199" s="1">
        <v>231.0</v>
      </c>
      <c r="I199" s="1">
        <v>236.0</v>
      </c>
      <c r="J199" s="1">
        <v>310.0</v>
      </c>
      <c r="K199" s="1">
        <v>277.0</v>
      </c>
      <c r="L199" s="1">
        <v>245.0</v>
      </c>
      <c r="M199" s="1">
        <v>200.0</v>
      </c>
      <c r="N199" s="1">
        <v>188.0</v>
      </c>
      <c r="O199" s="1">
        <v>201.0</v>
      </c>
      <c r="P199" s="1">
        <v>20.05</v>
      </c>
      <c r="Q199" s="1">
        <v>17.03</v>
      </c>
      <c r="R199" s="11" t="str">
        <f t="shared" si="1"/>
        <v>QB</v>
      </c>
    </row>
    <row r="200" ht="14.25" customHeight="1">
      <c r="A200" s="1">
        <v>196.0</v>
      </c>
      <c r="B200" s="1" t="s">
        <v>524</v>
      </c>
      <c r="C200" s="1" t="s">
        <v>378</v>
      </c>
      <c r="D200" s="1" t="s">
        <v>119</v>
      </c>
      <c r="E200" s="1" t="s">
        <v>36</v>
      </c>
      <c r="F200" s="1" t="s">
        <v>36</v>
      </c>
      <c r="G200" s="1">
        <v>215.0</v>
      </c>
      <c r="H200" s="1">
        <v>156.0</v>
      </c>
      <c r="I200" s="1">
        <v>177.0</v>
      </c>
      <c r="J200" s="1">
        <v>336.0</v>
      </c>
      <c r="K200" s="1">
        <v>194.0</v>
      </c>
      <c r="L200" s="1">
        <v>182.0</v>
      </c>
      <c r="M200" s="1">
        <v>192.0</v>
      </c>
      <c r="N200" s="1">
        <v>174.0</v>
      </c>
      <c r="O200" s="1">
        <v>175.0</v>
      </c>
      <c r="P200" s="1">
        <v>20.06</v>
      </c>
      <c r="Q200" s="1">
        <v>17.04</v>
      </c>
      <c r="R200" s="11" t="str">
        <f t="shared" si="1"/>
        <v>RB</v>
      </c>
    </row>
    <row r="201" ht="14.25" customHeight="1">
      <c r="A201" s="1">
        <v>197.0</v>
      </c>
      <c r="B201" s="1" t="s">
        <v>488</v>
      </c>
      <c r="C201" s="1" t="s">
        <v>420</v>
      </c>
      <c r="D201" s="1" t="s">
        <v>119</v>
      </c>
      <c r="E201" s="1" t="s">
        <v>36</v>
      </c>
      <c r="F201" s="1">
        <v>267.0</v>
      </c>
      <c r="G201" s="1">
        <v>287.0</v>
      </c>
      <c r="H201" s="1">
        <v>210.0</v>
      </c>
      <c r="I201" s="1">
        <v>248.0</v>
      </c>
      <c r="J201" s="1">
        <v>216.0</v>
      </c>
      <c r="K201" s="1">
        <v>241.0</v>
      </c>
      <c r="L201" s="1">
        <v>230.0</v>
      </c>
      <c r="M201" s="1">
        <v>221.0</v>
      </c>
      <c r="N201" s="1">
        <v>226.0</v>
      </c>
      <c r="O201" s="1">
        <v>223.0</v>
      </c>
      <c r="P201" s="1">
        <v>20.07</v>
      </c>
      <c r="Q201" s="1">
        <v>17.05</v>
      </c>
      <c r="R201" s="11" t="str">
        <f t="shared" si="1"/>
        <v>TE</v>
      </c>
    </row>
    <row r="202" ht="14.25" customHeight="1">
      <c r="A202" s="1">
        <v>198.0</v>
      </c>
      <c r="B202" s="1" t="s">
        <v>499</v>
      </c>
      <c r="C202" s="1" t="s">
        <v>556</v>
      </c>
      <c r="D202" s="1" t="s">
        <v>162</v>
      </c>
      <c r="E202" s="1" t="s">
        <v>36</v>
      </c>
      <c r="F202" s="1">
        <v>200.0</v>
      </c>
      <c r="G202" s="1">
        <v>242.0</v>
      </c>
      <c r="H202" s="1">
        <v>167.0</v>
      </c>
      <c r="I202" s="1">
        <v>215.0</v>
      </c>
      <c r="J202" s="1">
        <v>211.0</v>
      </c>
      <c r="K202" s="1">
        <v>227.0</v>
      </c>
      <c r="L202" s="1" t="s">
        <v>36</v>
      </c>
      <c r="M202" s="1">
        <v>186.0</v>
      </c>
      <c r="N202" s="1">
        <v>190.0</v>
      </c>
      <c r="O202" s="1">
        <v>182.0</v>
      </c>
      <c r="P202" s="1">
        <v>20.08</v>
      </c>
      <c r="Q202" s="1">
        <v>17.06</v>
      </c>
      <c r="R202" s="11" t="str">
        <f t="shared" si="1"/>
        <v>TE</v>
      </c>
    </row>
    <row r="203" ht="14.25" customHeight="1">
      <c r="A203" s="1">
        <v>199.0</v>
      </c>
      <c r="B203" s="1" t="s">
        <v>528</v>
      </c>
      <c r="C203" s="1" t="s">
        <v>564</v>
      </c>
      <c r="D203" s="1" t="s">
        <v>154</v>
      </c>
      <c r="E203" s="1">
        <v>136.0</v>
      </c>
      <c r="F203" s="1">
        <v>171.0</v>
      </c>
      <c r="G203" s="1">
        <v>247.0</v>
      </c>
      <c r="H203" s="1">
        <v>258.0</v>
      </c>
      <c r="I203" s="1">
        <v>199.0</v>
      </c>
      <c r="J203" s="1">
        <v>170.0</v>
      </c>
      <c r="K203" s="1">
        <v>243.0</v>
      </c>
      <c r="L203" s="1">
        <v>220.0</v>
      </c>
      <c r="M203" s="1">
        <v>194.0</v>
      </c>
      <c r="N203" s="1" t="s">
        <v>36</v>
      </c>
      <c r="O203" s="1" t="s">
        <v>36</v>
      </c>
      <c r="P203" s="1">
        <v>20.09</v>
      </c>
      <c r="Q203" s="1">
        <v>17.07</v>
      </c>
      <c r="R203" s="11" t="str">
        <f t="shared" si="1"/>
        <v>DE</v>
      </c>
    </row>
    <row r="204" ht="14.25" customHeight="1">
      <c r="A204" s="1">
        <v>200.0</v>
      </c>
      <c r="B204" s="1" t="s">
        <v>507</v>
      </c>
      <c r="C204" s="1" t="s">
        <v>1099</v>
      </c>
      <c r="D204" s="1" t="s">
        <v>98</v>
      </c>
      <c r="E204" s="1" t="s">
        <v>36</v>
      </c>
      <c r="F204" s="1" t="s">
        <v>36</v>
      </c>
      <c r="G204" s="1">
        <v>314.0</v>
      </c>
      <c r="H204" s="1">
        <v>174.0</v>
      </c>
      <c r="I204" s="1">
        <v>186.0</v>
      </c>
      <c r="J204" s="1">
        <v>264.0</v>
      </c>
      <c r="K204" s="1">
        <v>186.0</v>
      </c>
      <c r="L204" s="1">
        <v>211.0</v>
      </c>
      <c r="M204" s="1">
        <v>204.0</v>
      </c>
      <c r="N204" s="1">
        <v>155.0</v>
      </c>
      <c r="O204" s="1">
        <v>157.0</v>
      </c>
      <c r="P204" s="1">
        <v>20.1</v>
      </c>
      <c r="Q204" s="1">
        <v>17.08</v>
      </c>
      <c r="R204" s="11" t="str">
        <f t="shared" si="1"/>
        <v>WR</v>
      </c>
    </row>
    <row r="205" ht="14.25" customHeight="1">
      <c r="A205" s="1">
        <v>201.0</v>
      </c>
      <c r="B205" s="1" t="s">
        <v>539</v>
      </c>
      <c r="C205" s="1" t="s">
        <v>282</v>
      </c>
      <c r="D205" s="1" t="s">
        <v>49</v>
      </c>
      <c r="E205" s="1" t="s">
        <v>36</v>
      </c>
      <c r="F205" s="1" t="s">
        <v>36</v>
      </c>
      <c r="G205" s="1">
        <v>248.0</v>
      </c>
      <c r="H205" s="1">
        <v>176.0</v>
      </c>
      <c r="I205" s="1">
        <v>181.0</v>
      </c>
      <c r="J205" s="1">
        <v>245.0</v>
      </c>
      <c r="K205" s="1">
        <v>200.0</v>
      </c>
      <c r="L205" s="1">
        <v>179.0</v>
      </c>
      <c r="M205" s="1">
        <v>202.0</v>
      </c>
      <c r="N205" s="1">
        <v>216.0</v>
      </c>
      <c r="O205" s="1">
        <v>210.0</v>
      </c>
      <c r="P205" s="1">
        <v>21.01</v>
      </c>
      <c r="Q205" s="1">
        <v>17.09</v>
      </c>
      <c r="R205" s="11" t="str">
        <f t="shared" si="1"/>
        <v>RB</v>
      </c>
    </row>
    <row r="206" ht="14.25" customHeight="1">
      <c r="A206" s="1">
        <v>202.0</v>
      </c>
      <c r="B206" s="1" t="s">
        <v>531</v>
      </c>
      <c r="C206" s="1" t="s">
        <v>491</v>
      </c>
      <c r="D206" s="1" t="s">
        <v>52</v>
      </c>
      <c r="E206" s="1">
        <v>196.0</v>
      </c>
      <c r="F206" s="1">
        <v>142.0</v>
      </c>
      <c r="G206" s="1">
        <v>273.0</v>
      </c>
      <c r="H206" s="1">
        <v>268.0</v>
      </c>
      <c r="I206" s="1">
        <v>225.0</v>
      </c>
      <c r="J206" s="1">
        <v>179.0</v>
      </c>
      <c r="K206" s="1">
        <v>183.0</v>
      </c>
      <c r="L206" s="1">
        <v>197.0</v>
      </c>
      <c r="M206" s="1">
        <v>209.0</v>
      </c>
      <c r="N206" s="1" t="s">
        <v>36</v>
      </c>
      <c r="O206" s="1" t="s">
        <v>36</v>
      </c>
      <c r="P206" s="1">
        <v>21.02</v>
      </c>
      <c r="Q206" s="1">
        <v>17.1</v>
      </c>
      <c r="R206" s="11" t="str">
        <f t="shared" si="1"/>
        <v>DE</v>
      </c>
    </row>
    <row r="207" ht="14.25" customHeight="1">
      <c r="A207" s="1">
        <v>203.0</v>
      </c>
      <c r="B207" s="1" t="s">
        <v>551</v>
      </c>
      <c r="C207" s="1" t="s">
        <v>692</v>
      </c>
      <c r="D207" s="1" t="s">
        <v>148</v>
      </c>
      <c r="E207" s="1" t="s">
        <v>36</v>
      </c>
      <c r="F207" s="1" t="s">
        <v>36</v>
      </c>
      <c r="G207" s="1">
        <v>282.0</v>
      </c>
      <c r="H207" s="1">
        <v>160.0</v>
      </c>
      <c r="I207" s="1">
        <v>198.0</v>
      </c>
      <c r="J207" s="1">
        <v>271.0</v>
      </c>
      <c r="K207" s="1">
        <v>197.0</v>
      </c>
      <c r="L207" s="1">
        <v>219.0</v>
      </c>
      <c r="M207" s="1">
        <v>190.0</v>
      </c>
      <c r="N207" s="1">
        <v>177.0</v>
      </c>
      <c r="O207" s="1">
        <v>184.0</v>
      </c>
      <c r="P207" s="1">
        <v>21.03</v>
      </c>
      <c r="Q207" s="1">
        <v>17.11</v>
      </c>
      <c r="R207" s="11" t="str">
        <f t="shared" si="1"/>
        <v>TE</v>
      </c>
    </row>
    <row r="208" ht="14.25" customHeight="1">
      <c r="A208" s="1">
        <v>204.0</v>
      </c>
      <c r="B208" s="1" t="s">
        <v>537</v>
      </c>
      <c r="C208" s="1" t="s">
        <v>532</v>
      </c>
      <c r="D208" s="1" t="s">
        <v>105</v>
      </c>
      <c r="E208" s="1">
        <v>174.0</v>
      </c>
      <c r="F208" s="1">
        <v>244.0</v>
      </c>
      <c r="G208" s="1">
        <v>251.0</v>
      </c>
      <c r="H208" s="1">
        <v>273.0</v>
      </c>
      <c r="I208" s="1">
        <v>197.0</v>
      </c>
      <c r="J208" s="1">
        <v>158.0</v>
      </c>
      <c r="K208" s="1">
        <v>246.0</v>
      </c>
      <c r="L208" s="1">
        <v>187.0</v>
      </c>
      <c r="M208" s="1">
        <v>195.0</v>
      </c>
      <c r="N208" s="1" t="s">
        <v>36</v>
      </c>
      <c r="O208" s="1" t="s">
        <v>36</v>
      </c>
      <c r="P208" s="1">
        <v>21.04</v>
      </c>
      <c r="Q208" s="1">
        <v>17.12</v>
      </c>
      <c r="R208" s="11" t="str">
        <f t="shared" si="1"/>
        <v>DE</v>
      </c>
    </row>
    <row r="209" ht="14.25" customHeight="1">
      <c r="A209" s="1">
        <v>205.0</v>
      </c>
      <c r="B209" s="1" t="s">
        <v>555</v>
      </c>
      <c r="C209" s="1" t="s">
        <v>645</v>
      </c>
      <c r="D209" s="1" t="s">
        <v>45</v>
      </c>
      <c r="E209" s="1" t="s">
        <v>36</v>
      </c>
      <c r="F209" s="1" t="s">
        <v>36</v>
      </c>
      <c r="G209" s="1">
        <v>237.0</v>
      </c>
      <c r="H209" s="1">
        <v>180.0</v>
      </c>
      <c r="I209" s="1">
        <v>220.0</v>
      </c>
      <c r="J209" s="1">
        <v>265.0</v>
      </c>
      <c r="K209" s="1">
        <v>209.0</v>
      </c>
      <c r="L209" s="1">
        <v>233.0</v>
      </c>
      <c r="M209" s="1">
        <v>189.0</v>
      </c>
      <c r="N209" s="1">
        <v>206.0</v>
      </c>
      <c r="O209" s="1">
        <v>194.0</v>
      </c>
      <c r="P209" s="1">
        <v>21.05</v>
      </c>
      <c r="Q209" s="1">
        <v>18.01</v>
      </c>
      <c r="R209" s="11" t="str">
        <f t="shared" si="1"/>
        <v>TE</v>
      </c>
    </row>
    <row r="210" ht="14.25" customHeight="1">
      <c r="A210" s="1">
        <v>206.0</v>
      </c>
      <c r="B210" s="1" t="s">
        <v>559</v>
      </c>
      <c r="C210" s="1" t="s">
        <v>834</v>
      </c>
      <c r="D210" s="1" t="s">
        <v>45</v>
      </c>
      <c r="E210" s="1">
        <v>200.0</v>
      </c>
      <c r="F210" s="1" t="s">
        <v>36</v>
      </c>
      <c r="G210" s="1">
        <v>317.0</v>
      </c>
      <c r="H210" s="1">
        <v>173.0</v>
      </c>
      <c r="I210" s="1">
        <v>193.0</v>
      </c>
      <c r="J210" s="1" t="s">
        <v>36</v>
      </c>
      <c r="K210" s="1">
        <v>232.0</v>
      </c>
      <c r="L210" s="1">
        <v>204.0</v>
      </c>
      <c r="M210" s="1">
        <v>234.0</v>
      </c>
      <c r="N210" s="1">
        <v>193.0</v>
      </c>
      <c r="O210" s="1">
        <v>199.0</v>
      </c>
      <c r="P210" s="1">
        <v>21.06</v>
      </c>
      <c r="Q210" s="1">
        <v>18.02</v>
      </c>
      <c r="R210" s="11" t="str">
        <f t="shared" si="1"/>
        <v>RB</v>
      </c>
    </row>
    <row r="211" ht="14.25" customHeight="1">
      <c r="A211" s="1">
        <v>207.0</v>
      </c>
      <c r="B211" s="1" t="s">
        <v>561</v>
      </c>
      <c r="C211" s="1" t="s">
        <v>387</v>
      </c>
      <c r="D211" s="1" t="s">
        <v>109</v>
      </c>
      <c r="E211" s="1" t="s">
        <v>36</v>
      </c>
      <c r="F211" s="1" t="s">
        <v>36</v>
      </c>
      <c r="G211" s="1">
        <v>312.0</v>
      </c>
      <c r="H211" s="1">
        <v>166.0</v>
      </c>
      <c r="I211" s="1">
        <v>184.0</v>
      </c>
      <c r="J211" s="1">
        <v>283.0</v>
      </c>
      <c r="K211" s="1">
        <v>223.0</v>
      </c>
      <c r="L211" s="1">
        <v>205.0</v>
      </c>
      <c r="M211" s="1">
        <v>228.0</v>
      </c>
      <c r="N211" s="1">
        <v>184.0</v>
      </c>
      <c r="O211" s="1">
        <v>183.0</v>
      </c>
      <c r="P211" s="1">
        <v>21.07</v>
      </c>
      <c r="Q211" s="1">
        <v>18.03</v>
      </c>
      <c r="R211" s="11" t="str">
        <f t="shared" si="1"/>
        <v>RB</v>
      </c>
    </row>
    <row r="212" ht="14.25" customHeight="1">
      <c r="A212" s="1">
        <v>208.0</v>
      </c>
      <c r="B212" s="1" t="s">
        <v>565</v>
      </c>
      <c r="C212" s="1" t="s">
        <v>808</v>
      </c>
      <c r="D212" s="1" t="s">
        <v>62</v>
      </c>
      <c r="E212" s="1" t="s">
        <v>36</v>
      </c>
      <c r="F212" s="1" t="s">
        <v>36</v>
      </c>
      <c r="G212" s="1">
        <v>255.0</v>
      </c>
      <c r="H212" s="1">
        <v>178.0</v>
      </c>
      <c r="I212" s="1">
        <v>192.0</v>
      </c>
      <c r="J212" s="1">
        <v>316.0</v>
      </c>
      <c r="K212" s="1">
        <v>237.0</v>
      </c>
      <c r="L212" s="1">
        <v>202.0</v>
      </c>
      <c r="M212" s="1">
        <v>230.0</v>
      </c>
      <c r="N212" s="1">
        <v>192.0</v>
      </c>
      <c r="O212" s="1">
        <v>189.0</v>
      </c>
      <c r="P212" s="1">
        <v>21.08</v>
      </c>
      <c r="Q212" s="1">
        <v>18.04</v>
      </c>
      <c r="R212" s="11" t="str">
        <f t="shared" si="1"/>
        <v>RB</v>
      </c>
    </row>
    <row r="213" ht="14.25" customHeight="1">
      <c r="A213" s="1">
        <v>209.0</v>
      </c>
      <c r="B213" s="1" t="s">
        <v>575</v>
      </c>
      <c r="C213" s="1" t="s">
        <v>925</v>
      </c>
      <c r="D213" s="1" t="s">
        <v>131</v>
      </c>
      <c r="E213" s="1">
        <v>202.0</v>
      </c>
      <c r="F213" s="1" t="s">
        <v>36</v>
      </c>
      <c r="G213" s="1">
        <v>233.0</v>
      </c>
      <c r="H213" s="1">
        <v>189.0</v>
      </c>
      <c r="I213" s="1">
        <v>206.0</v>
      </c>
      <c r="J213" s="1" t="s">
        <v>36</v>
      </c>
      <c r="K213" s="1">
        <v>266.0</v>
      </c>
      <c r="L213" s="1">
        <v>227.0</v>
      </c>
      <c r="M213" s="1">
        <v>259.0</v>
      </c>
      <c r="N213" s="1">
        <v>209.0</v>
      </c>
      <c r="O213" s="1">
        <v>205.0</v>
      </c>
      <c r="P213" s="1">
        <v>21.09</v>
      </c>
      <c r="Q213" s="1">
        <v>18.05</v>
      </c>
      <c r="R213" s="11" t="str">
        <f t="shared" si="1"/>
        <v>RB</v>
      </c>
    </row>
    <row r="214" ht="14.25" customHeight="1">
      <c r="A214" s="1">
        <v>210.0</v>
      </c>
      <c r="B214" s="1" t="s">
        <v>509</v>
      </c>
      <c r="C214" s="1" t="s">
        <v>371</v>
      </c>
      <c r="D214" s="1" t="s">
        <v>165</v>
      </c>
      <c r="E214" s="1" t="s">
        <v>36</v>
      </c>
      <c r="F214" s="1" t="s">
        <v>36</v>
      </c>
      <c r="G214" s="1">
        <v>272.0</v>
      </c>
      <c r="H214" s="1">
        <v>207.0</v>
      </c>
      <c r="I214" s="1">
        <v>219.0</v>
      </c>
      <c r="J214" s="1">
        <v>329.0</v>
      </c>
      <c r="K214" s="1">
        <v>264.0</v>
      </c>
      <c r="L214" s="1">
        <v>183.0</v>
      </c>
      <c r="M214" s="1">
        <v>208.0</v>
      </c>
      <c r="N214" s="1">
        <v>171.0</v>
      </c>
      <c r="O214" s="1">
        <v>168.0</v>
      </c>
      <c r="P214" s="1">
        <v>21.1</v>
      </c>
      <c r="Q214" s="1">
        <v>18.06</v>
      </c>
      <c r="R214" s="11" t="str">
        <f t="shared" si="1"/>
        <v>WR</v>
      </c>
    </row>
    <row r="215" ht="14.25" customHeight="1">
      <c r="A215" s="1">
        <v>211.0</v>
      </c>
      <c r="B215" s="1" t="s">
        <v>516</v>
      </c>
      <c r="C215" s="1" t="s">
        <v>820</v>
      </c>
      <c r="D215" s="1" t="s">
        <v>231</v>
      </c>
      <c r="E215" s="1" t="s">
        <v>36</v>
      </c>
      <c r="F215" s="1" t="s">
        <v>36</v>
      </c>
      <c r="G215" s="1">
        <v>274.0</v>
      </c>
      <c r="H215" s="1">
        <v>211.0</v>
      </c>
      <c r="I215" s="1">
        <v>204.0</v>
      </c>
      <c r="J215" s="1">
        <v>330.0</v>
      </c>
      <c r="K215" s="1">
        <v>221.0</v>
      </c>
      <c r="L215" s="1">
        <v>209.0</v>
      </c>
      <c r="M215" s="1">
        <v>223.0</v>
      </c>
      <c r="N215" s="1">
        <v>183.0</v>
      </c>
      <c r="O215" s="1">
        <v>180.0</v>
      </c>
      <c r="P215" s="1">
        <v>22.01</v>
      </c>
      <c r="Q215" s="1">
        <v>18.07</v>
      </c>
      <c r="R215" s="11" t="str">
        <f t="shared" si="1"/>
        <v>WR</v>
      </c>
    </row>
    <row r="216" ht="14.25" customHeight="1">
      <c r="A216" s="1">
        <v>212.0</v>
      </c>
      <c r="B216" s="1" t="s">
        <v>563</v>
      </c>
      <c r="C216" s="1" t="s">
        <v>676</v>
      </c>
      <c r="D216" s="1" t="s">
        <v>58</v>
      </c>
      <c r="E216" s="1">
        <v>181.0</v>
      </c>
      <c r="F216" s="1">
        <v>188.0</v>
      </c>
      <c r="G216" s="1">
        <v>229.0</v>
      </c>
      <c r="H216" s="1">
        <v>230.0</v>
      </c>
      <c r="I216" s="1">
        <v>185.0</v>
      </c>
      <c r="J216" s="1">
        <v>76.0</v>
      </c>
      <c r="K216" s="1">
        <v>156.0</v>
      </c>
      <c r="L216" s="1" t="s">
        <v>36</v>
      </c>
      <c r="M216" s="1">
        <v>201.0</v>
      </c>
      <c r="N216" s="1" t="s">
        <v>36</v>
      </c>
      <c r="O216" s="1" t="s">
        <v>36</v>
      </c>
      <c r="P216" s="1">
        <v>22.02</v>
      </c>
      <c r="Q216" s="1">
        <v>18.08</v>
      </c>
      <c r="R216" s="11" t="str">
        <f t="shared" si="1"/>
        <v>DE</v>
      </c>
    </row>
    <row r="217" ht="14.25" customHeight="1">
      <c r="A217" s="1">
        <v>213.0</v>
      </c>
      <c r="B217" s="1" t="s">
        <v>594</v>
      </c>
      <c r="C217" s="1" t="s">
        <v>296</v>
      </c>
      <c r="D217" s="1" t="s">
        <v>128</v>
      </c>
      <c r="E217" s="1" t="s">
        <v>36</v>
      </c>
      <c r="F217" s="1">
        <v>209.0</v>
      </c>
      <c r="G217" s="1">
        <v>295.0</v>
      </c>
      <c r="H217" s="1">
        <v>219.0</v>
      </c>
      <c r="I217" s="1">
        <v>241.0</v>
      </c>
      <c r="J217" s="1">
        <v>237.0</v>
      </c>
      <c r="K217" s="1">
        <v>238.0</v>
      </c>
      <c r="L217" s="1" t="s">
        <v>36</v>
      </c>
      <c r="M217" s="1">
        <v>207.0</v>
      </c>
      <c r="N217" s="1">
        <v>196.0</v>
      </c>
      <c r="O217" s="1">
        <v>202.0</v>
      </c>
      <c r="P217" s="1">
        <v>22.03</v>
      </c>
      <c r="Q217" s="1">
        <v>18.09</v>
      </c>
      <c r="R217" s="11" t="str">
        <f t="shared" si="1"/>
        <v>QB</v>
      </c>
    </row>
    <row r="218" ht="14.25" customHeight="1">
      <c r="A218" s="1">
        <v>214.0</v>
      </c>
      <c r="B218" s="1" t="s">
        <v>518</v>
      </c>
      <c r="C218" s="1" t="s">
        <v>290</v>
      </c>
      <c r="D218" s="1" t="s">
        <v>62</v>
      </c>
      <c r="E218" s="1" t="s">
        <v>36</v>
      </c>
      <c r="F218" s="1" t="s">
        <v>36</v>
      </c>
      <c r="G218" s="1">
        <v>259.0</v>
      </c>
      <c r="H218" s="1">
        <v>260.0</v>
      </c>
      <c r="I218" s="1">
        <v>212.0</v>
      </c>
      <c r="J218" s="1">
        <v>256.0</v>
      </c>
      <c r="K218" s="1">
        <v>242.0</v>
      </c>
      <c r="L218" s="1">
        <v>210.0</v>
      </c>
      <c r="M218" s="1">
        <v>205.0</v>
      </c>
      <c r="N218" s="1">
        <v>200.0</v>
      </c>
      <c r="O218" s="1">
        <v>204.0</v>
      </c>
      <c r="P218" s="1">
        <v>22.04</v>
      </c>
      <c r="Q218" s="1">
        <v>18.1</v>
      </c>
      <c r="R218" s="11" t="str">
        <f t="shared" si="1"/>
        <v>WR</v>
      </c>
    </row>
    <row r="219" ht="14.25" customHeight="1">
      <c r="A219" s="1">
        <v>215.0</v>
      </c>
      <c r="B219" s="1" t="s">
        <v>526</v>
      </c>
      <c r="C219" s="1" t="s">
        <v>869</v>
      </c>
      <c r="D219" s="1" t="s">
        <v>109</v>
      </c>
      <c r="E219" s="1" t="s">
        <v>36</v>
      </c>
      <c r="F219" s="1" t="s">
        <v>36</v>
      </c>
      <c r="G219" s="1">
        <v>319.0</v>
      </c>
      <c r="H219" s="1">
        <v>229.0</v>
      </c>
      <c r="I219" s="1">
        <v>218.0</v>
      </c>
      <c r="J219" s="1">
        <v>191.0</v>
      </c>
      <c r="K219" s="1">
        <v>205.0</v>
      </c>
      <c r="L219" s="1">
        <v>243.0</v>
      </c>
      <c r="M219" s="1">
        <v>214.0</v>
      </c>
      <c r="N219" s="1">
        <v>225.0</v>
      </c>
      <c r="O219" s="1">
        <v>206.0</v>
      </c>
      <c r="P219" s="1">
        <v>22.05</v>
      </c>
      <c r="Q219" s="1">
        <v>18.11</v>
      </c>
      <c r="R219" s="11" t="str">
        <f t="shared" si="1"/>
        <v>WR</v>
      </c>
    </row>
    <row r="220" ht="14.25" customHeight="1">
      <c r="A220" s="1">
        <v>216.0</v>
      </c>
      <c r="B220" s="1" t="s">
        <v>571</v>
      </c>
      <c r="C220" s="1" t="s">
        <v>487</v>
      </c>
      <c r="D220" s="1" t="s">
        <v>49</v>
      </c>
      <c r="E220" s="1">
        <v>216.0</v>
      </c>
      <c r="F220" s="1">
        <v>238.0</v>
      </c>
      <c r="G220" s="1">
        <v>289.0</v>
      </c>
      <c r="H220" s="1">
        <v>253.0</v>
      </c>
      <c r="I220" s="1">
        <v>211.0</v>
      </c>
      <c r="J220" s="1">
        <v>195.0</v>
      </c>
      <c r="K220" s="1">
        <v>248.0</v>
      </c>
      <c r="L220" s="1">
        <v>212.0</v>
      </c>
      <c r="M220" s="1">
        <v>203.0</v>
      </c>
      <c r="N220" s="1" t="s">
        <v>36</v>
      </c>
      <c r="O220" s="1" t="s">
        <v>36</v>
      </c>
      <c r="P220" s="1">
        <v>22.06</v>
      </c>
      <c r="Q220" s="1">
        <v>18.12</v>
      </c>
      <c r="R220" s="11" t="str">
        <f t="shared" si="1"/>
        <v>DE</v>
      </c>
    </row>
    <row r="221" ht="14.25" customHeight="1">
      <c r="A221" s="1">
        <v>217.0</v>
      </c>
      <c r="B221" s="1" t="s">
        <v>557</v>
      </c>
      <c r="C221" s="1" t="s">
        <v>720</v>
      </c>
      <c r="D221" s="1" t="s">
        <v>52</v>
      </c>
      <c r="E221" s="1" t="s">
        <v>36</v>
      </c>
      <c r="F221" s="1" t="s">
        <v>36</v>
      </c>
      <c r="G221" s="1">
        <v>263.0</v>
      </c>
      <c r="H221" s="1">
        <v>187.0</v>
      </c>
      <c r="I221" s="1">
        <v>240.0</v>
      </c>
      <c r="J221" s="1">
        <v>272.0</v>
      </c>
      <c r="K221" s="1">
        <v>219.0</v>
      </c>
      <c r="L221" s="1">
        <v>235.0</v>
      </c>
      <c r="M221" s="1">
        <v>231.0</v>
      </c>
      <c r="N221" s="1">
        <v>208.0</v>
      </c>
      <c r="O221" s="1">
        <v>213.0</v>
      </c>
      <c r="P221" s="1">
        <v>22.07</v>
      </c>
      <c r="Q221" s="1">
        <v>19.01</v>
      </c>
      <c r="R221" s="11" t="str">
        <f t="shared" si="1"/>
        <v>TE</v>
      </c>
    </row>
    <row r="222" ht="14.25" customHeight="1">
      <c r="A222" s="1">
        <v>218.0</v>
      </c>
      <c r="B222" s="1" t="s">
        <v>533</v>
      </c>
      <c r="C222" s="1" t="s">
        <v>684</v>
      </c>
      <c r="D222" s="1" t="s">
        <v>52</v>
      </c>
      <c r="E222" s="1" t="s">
        <v>36</v>
      </c>
      <c r="F222" s="1" t="s">
        <v>36</v>
      </c>
      <c r="G222" s="1">
        <v>333.0</v>
      </c>
      <c r="H222" s="1">
        <v>200.0</v>
      </c>
      <c r="I222" s="1">
        <v>224.0</v>
      </c>
      <c r="J222" s="1">
        <v>331.0</v>
      </c>
      <c r="K222" s="1">
        <v>225.0</v>
      </c>
      <c r="L222" s="1">
        <v>195.0</v>
      </c>
      <c r="M222" s="1">
        <v>220.0</v>
      </c>
      <c r="N222" s="1">
        <v>182.0</v>
      </c>
      <c r="O222" s="1">
        <v>174.0</v>
      </c>
      <c r="P222" s="1">
        <v>22.08</v>
      </c>
      <c r="Q222" s="1">
        <v>19.02</v>
      </c>
      <c r="R222" s="11" t="str">
        <f t="shared" si="1"/>
        <v>WR</v>
      </c>
    </row>
    <row r="223" ht="14.25" customHeight="1">
      <c r="A223" s="1">
        <v>219.0</v>
      </c>
      <c r="B223" s="1" t="s">
        <v>587</v>
      </c>
      <c r="C223" s="1" t="s">
        <v>886</v>
      </c>
      <c r="D223" s="1" t="s">
        <v>148</v>
      </c>
      <c r="E223" s="1">
        <v>192.0</v>
      </c>
      <c r="F223" s="1">
        <v>206.0</v>
      </c>
      <c r="G223" s="1">
        <v>329.0</v>
      </c>
      <c r="H223" s="1">
        <v>272.0</v>
      </c>
      <c r="I223" s="1">
        <v>234.0</v>
      </c>
      <c r="J223" s="1">
        <v>213.0</v>
      </c>
      <c r="K223" s="1">
        <v>236.0</v>
      </c>
      <c r="L223" s="1">
        <v>194.0</v>
      </c>
      <c r="M223" s="1">
        <v>224.0</v>
      </c>
      <c r="N223" s="1" t="s">
        <v>36</v>
      </c>
      <c r="O223" s="1" t="s">
        <v>36</v>
      </c>
      <c r="P223" s="1">
        <v>22.09</v>
      </c>
      <c r="Q223" s="1">
        <v>19.03</v>
      </c>
      <c r="R223" s="11" t="str">
        <f t="shared" si="1"/>
        <v>DE</v>
      </c>
    </row>
    <row r="224" ht="14.25" customHeight="1">
      <c r="A224" s="1">
        <v>220.0</v>
      </c>
      <c r="B224" s="1" t="s">
        <v>622</v>
      </c>
      <c r="C224" s="1" t="s">
        <v>798</v>
      </c>
      <c r="D224" s="1" t="s">
        <v>62</v>
      </c>
      <c r="E224" s="1" t="s">
        <v>36</v>
      </c>
      <c r="F224" s="1">
        <v>241.0</v>
      </c>
      <c r="G224" s="1">
        <v>284.0</v>
      </c>
      <c r="H224" s="1">
        <v>248.0</v>
      </c>
      <c r="I224" s="1">
        <v>230.0</v>
      </c>
      <c r="J224" s="1">
        <v>228.0</v>
      </c>
      <c r="K224" s="1">
        <v>224.0</v>
      </c>
      <c r="L224" s="1" t="s">
        <v>36</v>
      </c>
      <c r="M224" s="1">
        <v>193.0</v>
      </c>
      <c r="N224" s="1">
        <v>227.0</v>
      </c>
      <c r="O224" s="1">
        <v>231.0</v>
      </c>
      <c r="P224" s="1">
        <v>22.1</v>
      </c>
      <c r="Q224" s="1">
        <v>19.04</v>
      </c>
      <c r="R224" s="11" t="str">
        <f t="shared" si="1"/>
        <v>QB</v>
      </c>
    </row>
    <row r="225" ht="14.25" customHeight="1">
      <c r="A225" s="1">
        <v>221.0</v>
      </c>
      <c r="B225" s="1" t="s">
        <v>638</v>
      </c>
      <c r="C225" s="1" t="s">
        <v>921</v>
      </c>
      <c r="D225" s="1" t="s">
        <v>128</v>
      </c>
      <c r="E225" s="1" t="s">
        <v>36</v>
      </c>
      <c r="F225" s="1">
        <v>239.0</v>
      </c>
      <c r="G225" s="1">
        <v>264.0</v>
      </c>
      <c r="H225" s="1">
        <v>243.0</v>
      </c>
      <c r="I225" s="1">
        <v>238.0</v>
      </c>
      <c r="J225" s="1">
        <v>225.0</v>
      </c>
      <c r="K225" s="1">
        <v>265.0</v>
      </c>
      <c r="L225" s="1" t="s">
        <v>36</v>
      </c>
      <c r="M225" s="1">
        <v>206.0</v>
      </c>
      <c r="N225" s="1">
        <v>217.0</v>
      </c>
      <c r="O225" s="1">
        <v>232.0</v>
      </c>
      <c r="P225" s="1">
        <v>23.01</v>
      </c>
      <c r="Q225" s="1">
        <v>19.05</v>
      </c>
      <c r="R225" s="11" t="str">
        <f t="shared" si="1"/>
        <v>QB</v>
      </c>
    </row>
    <row r="226" ht="14.25" customHeight="1">
      <c r="A226" s="1">
        <v>222.0</v>
      </c>
      <c r="B226" s="1" t="s">
        <v>625</v>
      </c>
      <c r="C226" s="1" t="s">
        <v>588</v>
      </c>
      <c r="D226" s="1" t="s">
        <v>71</v>
      </c>
      <c r="E226" s="1">
        <v>173.0</v>
      </c>
      <c r="F226" s="1">
        <v>201.0</v>
      </c>
      <c r="G226" s="1">
        <v>344.0</v>
      </c>
      <c r="H226" s="1">
        <v>278.0</v>
      </c>
      <c r="I226" s="1">
        <v>239.0</v>
      </c>
      <c r="J226" s="1">
        <v>165.0</v>
      </c>
      <c r="K226" s="1">
        <v>285.0</v>
      </c>
      <c r="L226" s="1">
        <v>240.0</v>
      </c>
      <c r="M226" s="1">
        <v>217.0</v>
      </c>
      <c r="N226" s="1" t="s">
        <v>36</v>
      </c>
      <c r="O226" s="1" t="s">
        <v>36</v>
      </c>
      <c r="P226" s="1">
        <v>23.02</v>
      </c>
      <c r="Q226" s="1">
        <v>19.06</v>
      </c>
      <c r="R226" s="11" t="str">
        <f t="shared" si="1"/>
        <v>DE</v>
      </c>
    </row>
    <row r="227" ht="14.25" customHeight="1">
      <c r="A227" s="1">
        <v>223.0</v>
      </c>
      <c r="B227" s="1" t="s">
        <v>577</v>
      </c>
      <c r="C227" s="1" t="s">
        <v>827</v>
      </c>
      <c r="D227" s="1" t="s">
        <v>128</v>
      </c>
      <c r="E227" s="1" t="s">
        <v>36</v>
      </c>
      <c r="F227" s="1" t="s">
        <v>36</v>
      </c>
      <c r="G227" s="1">
        <v>328.0</v>
      </c>
      <c r="H227" s="1">
        <v>201.0</v>
      </c>
      <c r="I227" s="1">
        <v>243.0</v>
      </c>
      <c r="J227" s="1">
        <v>294.0</v>
      </c>
      <c r="K227" s="1">
        <v>267.0</v>
      </c>
      <c r="L227" s="1">
        <v>200.0</v>
      </c>
      <c r="M227" s="1">
        <v>215.0</v>
      </c>
      <c r="N227" s="1">
        <v>207.0</v>
      </c>
      <c r="O227" s="1">
        <v>203.0</v>
      </c>
      <c r="P227" s="1">
        <v>23.03</v>
      </c>
      <c r="Q227" s="1">
        <v>19.07</v>
      </c>
      <c r="R227" s="11" t="str">
        <f t="shared" si="1"/>
        <v>TE</v>
      </c>
    </row>
    <row r="228" ht="14.25" customHeight="1">
      <c r="A228" s="1">
        <v>224.0</v>
      </c>
      <c r="B228" s="1" t="s">
        <v>542</v>
      </c>
      <c r="C228" s="1" t="s">
        <v>543</v>
      </c>
      <c r="D228" s="1" t="s">
        <v>71</v>
      </c>
      <c r="E228" s="1">
        <v>104.0</v>
      </c>
      <c r="F228" s="1">
        <v>104.0</v>
      </c>
      <c r="G228" s="1">
        <v>154.0</v>
      </c>
      <c r="H228" s="1">
        <v>205.0</v>
      </c>
      <c r="I228" s="1" t="s">
        <v>36</v>
      </c>
      <c r="J228" s="1">
        <v>71.0</v>
      </c>
      <c r="K228" s="1">
        <v>131.0</v>
      </c>
      <c r="L228" s="1">
        <v>181.0</v>
      </c>
      <c r="M228" s="1" t="s">
        <v>36</v>
      </c>
      <c r="N228" s="1" t="s">
        <v>36</v>
      </c>
      <c r="O228" s="1" t="s">
        <v>36</v>
      </c>
      <c r="P228" s="1">
        <v>23.04</v>
      </c>
      <c r="Q228" s="1">
        <v>19.08</v>
      </c>
      <c r="R228" s="11" t="str">
        <f t="shared" si="1"/>
        <v>K-</v>
      </c>
    </row>
    <row r="229" ht="14.25" customHeight="1">
      <c r="A229" s="1">
        <v>225.0</v>
      </c>
      <c r="B229" s="1" t="s">
        <v>535</v>
      </c>
      <c r="C229" s="1" t="s">
        <v>273</v>
      </c>
      <c r="D229" s="1" t="s">
        <v>125</v>
      </c>
      <c r="E229" s="1" t="s">
        <v>36</v>
      </c>
      <c r="F229" s="1" t="s">
        <v>36</v>
      </c>
      <c r="G229" s="1">
        <v>304.0</v>
      </c>
      <c r="H229" s="1">
        <v>218.0</v>
      </c>
      <c r="I229" s="1">
        <v>213.0</v>
      </c>
      <c r="J229" s="1">
        <v>335.0</v>
      </c>
      <c r="K229" s="1">
        <v>252.0</v>
      </c>
      <c r="L229" s="1">
        <v>241.0</v>
      </c>
      <c r="M229" s="1">
        <v>210.0</v>
      </c>
      <c r="N229" s="1">
        <v>219.0</v>
      </c>
      <c r="O229" s="1">
        <v>195.0</v>
      </c>
      <c r="P229" s="1">
        <v>23.05</v>
      </c>
      <c r="Q229" s="1">
        <v>19.09</v>
      </c>
      <c r="R229" s="11" t="str">
        <f t="shared" si="1"/>
        <v>WR</v>
      </c>
    </row>
    <row r="230" ht="14.25" customHeight="1">
      <c r="A230" s="1">
        <v>226.0</v>
      </c>
      <c r="B230" s="1" t="s">
        <v>605</v>
      </c>
      <c r="C230" s="1" t="s">
        <v>819</v>
      </c>
      <c r="D230" s="1" t="s">
        <v>98</v>
      </c>
      <c r="E230" s="1">
        <v>191.0</v>
      </c>
      <c r="F230" s="1" t="s">
        <v>36</v>
      </c>
      <c r="G230" s="1">
        <v>288.0</v>
      </c>
      <c r="H230" s="1">
        <v>221.0</v>
      </c>
      <c r="I230" s="1">
        <v>242.0</v>
      </c>
      <c r="J230" s="1">
        <v>247.0</v>
      </c>
      <c r="K230" s="1">
        <v>260.0</v>
      </c>
      <c r="L230" s="1" t="s">
        <v>36</v>
      </c>
      <c r="M230" s="1">
        <v>272.0</v>
      </c>
      <c r="N230" s="1">
        <v>245.0</v>
      </c>
      <c r="O230" s="1">
        <v>252.0</v>
      </c>
      <c r="P230" s="1">
        <v>23.06</v>
      </c>
      <c r="Q230" s="1">
        <v>19.1</v>
      </c>
      <c r="R230" s="11" t="str">
        <f t="shared" si="1"/>
        <v>RB</v>
      </c>
    </row>
    <row r="231" ht="14.25" customHeight="1">
      <c r="A231" s="1">
        <v>227.0</v>
      </c>
      <c r="B231" s="1" t="s">
        <v>599</v>
      </c>
      <c r="C231" s="1" t="s">
        <v>966</v>
      </c>
      <c r="D231" s="1" t="s">
        <v>165</v>
      </c>
      <c r="E231" s="1" t="s">
        <v>36</v>
      </c>
      <c r="F231" s="1">
        <v>347.0</v>
      </c>
      <c r="G231" s="1">
        <v>318.0</v>
      </c>
      <c r="H231" s="1">
        <v>204.0</v>
      </c>
      <c r="I231" s="1">
        <v>247.0</v>
      </c>
      <c r="J231" s="1" t="s">
        <v>36</v>
      </c>
      <c r="K231" s="1">
        <v>254.0</v>
      </c>
      <c r="L231" s="1">
        <v>231.0</v>
      </c>
      <c r="M231" s="1">
        <v>233.0</v>
      </c>
      <c r="N231" s="1">
        <v>198.0</v>
      </c>
      <c r="O231" s="1">
        <v>193.0</v>
      </c>
      <c r="P231" s="1">
        <v>23.07</v>
      </c>
      <c r="Q231" s="1">
        <v>19.11</v>
      </c>
      <c r="R231" s="11" t="str">
        <f t="shared" si="1"/>
        <v>TE</v>
      </c>
    </row>
    <row r="232" ht="14.25" customHeight="1">
      <c r="A232" s="1">
        <v>228.0</v>
      </c>
      <c r="B232" s="1" t="s">
        <v>608</v>
      </c>
      <c r="C232" s="1" t="s">
        <v>969</v>
      </c>
      <c r="D232" s="1" t="s">
        <v>71</v>
      </c>
      <c r="E232" s="1" t="s">
        <v>36</v>
      </c>
      <c r="F232" s="1" t="s">
        <v>36</v>
      </c>
      <c r="G232" s="1">
        <v>276.0</v>
      </c>
      <c r="H232" s="1">
        <v>256.0</v>
      </c>
      <c r="I232" s="1">
        <v>233.0</v>
      </c>
      <c r="J232" s="1">
        <v>276.0</v>
      </c>
      <c r="K232" s="1">
        <v>222.0</v>
      </c>
      <c r="L232" s="1">
        <v>215.0</v>
      </c>
      <c r="M232" s="1">
        <v>261.0</v>
      </c>
      <c r="N232" s="1">
        <v>249.0</v>
      </c>
      <c r="O232" s="1">
        <v>245.0</v>
      </c>
      <c r="P232" s="1">
        <v>23.08</v>
      </c>
      <c r="Q232" s="1">
        <v>19.12</v>
      </c>
      <c r="R232" s="11" t="str">
        <f t="shared" si="1"/>
        <v>RB</v>
      </c>
    </row>
    <row r="233" ht="14.25" customHeight="1">
      <c r="A233" s="1">
        <v>229.0</v>
      </c>
      <c r="B233" s="1" t="s">
        <v>627</v>
      </c>
      <c r="C233" s="1" t="s">
        <v>811</v>
      </c>
      <c r="D233" s="1" t="s">
        <v>171</v>
      </c>
      <c r="E233" s="1" t="s">
        <v>36</v>
      </c>
      <c r="F233" s="1">
        <v>225.0</v>
      </c>
      <c r="G233" s="1">
        <v>290.0</v>
      </c>
      <c r="H233" s="1">
        <v>259.0</v>
      </c>
      <c r="I233" s="1">
        <v>266.0</v>
      </c>
      <c r="J233" s="1">
        <v>229.0</v>
      </c>
      <c r="K233" s="1">
        <v>271.0</v>
      </c>
      <c r="L233" s="1" t="s">
        <v>36</v>
      </c>
      <c r="M233" s="1">
        <v>244.0</v>
      </c>
      <c r="N233" s="1">
        <v>258.0</v>
      </c>
      <c r="O233" s="1">
        <v>249.0</v>
      </c>
      <c r="P233" s="1">
        <v>23.09</v>
      </c>
      <c r="Q233" s="1">
        <v>20.01</v>
      </c>
      <c r="R233" s="11" t="str">
        <f t="shared" si="1"/>
        <v>TE</v>
      </c>
    </row>
    <row r="234" ht="14.25" customHeight="1">
      <c r="A234" s="1">
        <v>230.0</v>
      </c>
      <c r="B234" s="1" t="s">
        <v>544</v>
      </c>
      <c r="C234" s="1" t="s">
        <v>536</v>
      </c>
      <c r="D234" s="1" t="s">
        <v>176</v>
      </c>
      <c r="E234" s="1" t="s">
        <v>36</v>
      </c>
      <c r="F234" s="1" t="s">
        <v>36</v>
      </c>
      <c r="G234" s="1">
        <v>321.0</v>
      </c>
      <c r="H234" s="1">
        <v>192.0</v>
      </c>
      <c r="I234" s="1">
        <v>189.0</v>
      </c>
      <c r="J234" s="1" t="s">
        <v>36</v>
      </c>
      <c r="K234" s="1">
        <v>230.0</v>
      </c>
      <c r="L234" s="1">
        <v>208.0</v>
      </c>
      <c r="M234" s="1">
        <v>211.0</v>
      </c>
      <c r="N234" s="1">
        <v>159.0</v>
      </c>
      <c r="O234" s="1">
        <v>178.0</v>
      </c>
      <c r="P234" s="1">
        <v>23.1</v>
      </c>
      <c r="Q234" s="1">
        <v>20.02</v>
      </c>
      <c r="R234" s="11" t="str">
        <f t="shared" si="1"/>
        <v>WR</v>
      </c>
    </row>
    <row r="235" ht="14.25" customHeight="1">
      <c r="A235" s="1">
        <v>231.0</v>
      </c>
      <c r="B235" s="1" t="s">
        <v>579</v>
      </c>
      <c r="C235" s="1" t="s">
        <v>598</v>
      </c>
      <c r="D235" s="1" t="s">
        <v>35</v>
      </c>
      <c r="E235" s="1">
        <v>170.0</v>
      </c>
      <c r="F235" s="1">
        <v>101.0</v>
      </c>
      <c r="G235" s="1">
        <v>152.0</v>
      </c>
      <c r="H235" s="1">
        <v>225.0</v>
      </c>
      <c r="I235" s="1" t="s">
        <v>36</v>
      </c>
      <c r="J235" s="1">
        <v>104.0</v>
      </c>
      <c r="K235" s="1">
        <v>133.0</v>
      </c>
      <c r="L235" s="1">
        <v>196.0</v>
      </c>
      <c r="M235" s="1" t="s">
        <v>36</v>
      </c>
      <c r="N235" s="1" t="s">
        <v>36</v>
      </c>
      <c r="O235" s="1" t="s">
        <v>36</v>
      </c>
      <c r="P235" s="1">
        <v>24.01</v>
      </c>
      <c r="Q235" s="1">
        <v>20.03</v>
      </c>
      <c r="R235" s="11" t="str">
        <f t="shared" si="1"/>
        <v>K-</v>
      </c>
    </row>
    <row r="236" ht="14.25" customHeight="1">
      <c r="A236" s="1">
        <v>232.0</v>
      </c>
      <c r="B236" s="1" t="s">
        <v>610</v>
      </c>
      <c r="C236" s="1" t="s">
        <v>606</v>
      </c>
      <c r="D236" s="1" t="s">
        <v>109</v>
      </c>
      <c r="E236" s="1" t="s">
        <v>36</v>
      </c>
      <c r="F236" s="1" t="s">
        <v>36</v>
      </c>
      <c r="G236" s="1">
        <v>278.0</v>
      </c>
      <c r="H236" s="1">
        <v>193.0</v>
      </c>
      <c r="I236" s="1">
        <v>190.0</v>
      </c>
      <c r="J236" s="1">
        <v>232.0</v>
      </c>
      <c r="K236" s="1">
        <v>213.0</v>
      </c>
      <c r="L236" s="1" t="s">
        <v>36</v>
      </c>
      <c r="M236" s="1">
        <v>197.0</v>
      </c>
      <c r="N236" s="1">
        <v>205.0</v>
      </c>
      <c r="O236" s="1">
        <v>221.0</v>
      </c>
      <c r="P236" s="1">
        <v>24.02</v>
      </c>
      <c r="Q236" s="1">
        <v>20.04</v>
      </c>
      <c r="R236" s="11" t="str">
        <f t="shared" si="1"/>
        <v>RB</v>
      </c>
    </row>
    <row r="237" ht="14.25" customHeight="1">
      <c r="A237" s="1">
        <v>233.0</v>
      </c>
      <c r="B237" s="1" t="s">
        <v>633</v>
      </c>
      <c r="C237" s="1" t="s">
        <v>323</v>
      </c>
      <c r="D237" s="1" t="s">
        <v>171</v>
      </c>
      <c r="E237" s="1" t="s">
        <v>36</v>
      </c>
      <c r="F237" s="1" t="s">
        <v>36</v>
      </c>
      <c r="G237" s="1" t="s">
        <v>36</v>
      </c>
      <c r="H237" s="1">
        <v>184.0</v>
      </c>
      <c r="I237" s="1">
        <v>203.0</v>
      </c>
      <c r="J237" s="1">
        <v>324.0</v>
      </c>
      <c r="K237" s="1">
        <v>211.0</v>
      </c>
      <c r="L237" s="1">
        <v>184.0</v>
      </c>
      <c r="M237" s="1">
        <v>232.0</v>
      </c>
      <c r="N237" s="1">
        <v>201.0</v>
      </c>
      <c r="O237" s="1">
        <v>200.0</v>
      </c>
      <c r="P237" s="1">
        <v>24.03</v>
      </c>
      <c r="Q237" s="1">
        <v>20.05</v>
      </c>
      <c r="R237" s="11" t="str">
        <f t="shared" si="1"/>
        <v>RB</v>
      </c>
    </row>
    <row r="238" ht="14.25" customHeight="1">
      <c r="A238" s="1">
        <v>234.0</v>
      </c>
      <c r="B238" s="1" t="s">
        <v>581</v>
      </c>
      <c r="C238" s="1" t="s">
        <v>586</v>
      </c>
      <c r="D238" s="1" t="s">
        <v>105</v>
      </c>
      <c r="E238" s="1">
        <v>157.0</v>
      </c>
      <c r="F238" s="1">
        <v>117.0</v>
      </c>
      <c r="G238" s="1">
        <v>214.0</v>
      </c>
      <c r="H238" s="1">
        <v>217.0</v>
      </c>
      <c r="I238" s="1" t="s">
        <v>36</v>
      </c>
      <c r="J238" s="1">
        <v>79.0</v>
      </c>
      <c r="K238" s="1">
        <v>132.0</v>
      </c>
      <c r="L238" s="1">
        <v>193.0</v>
      </c>
      <c r="M238" s="1" t="s">
        <v>36</v>
      </c>
      <c r="N238" s="1" t="s">
        <v>36</v>
      </c>
      <c r="O238" s="1" t="s">
        <v>36</v>
      </c>
      <c r="P238" s="1">
        <v>24.04</v>
      </c>
      <c r="Q238" s="1">
        <v>20.06</v>
      </c>
      <c r="R238" s="11" t="str">
        <f t="shared" si="1"/>
        <v>K-</v>
      </c>
    </row>
    <row r="239" ht="14.25" customHeight="1">
      <c r="A239" s="1">
        <v>235.0</v>
      </c>
      <c r="B239" s="1" t="s">
        <v>646</v>
      </c>
      <c r="C239" s="1" t="s">
        <v>439</v>
      </c>
      <c r="D239" s="1" t="s">
        <v>154</v>
      </c>
      <c r="E239" s="1" t="s">
        <v>36</v>
      </c>
      <c r="F239" s="1" t="s">
        <v>36</v>
      </c>
      <c r="G239" s="1">
        <v>296.0</v>
      </c>
      <c r="H239" s="1">
        <v>255.0</v>
      </c>
      <c r="I239" s="1">
        <v>235.0</v>
      </c>
      <c r="J239" s="1">
        <v>315.0</v>
      </c>
      <c r="K239" s="1">
        <v>247.0</v>
      </c>
      <c r="L239" s="1">
        <v>207.0</v>
      </c>
      <c r="M239" s="1">
        <v>245.0</v>
      </c>
      <c r="N239" s="1">
        <v>280.0</v>
      </c>
      <c r="O239" s="1">
        <v>304.0</v>
      </c>
      <c r="P239" s="1">
        <v>24.05</v>
      </c>
      <c r="Q239" s="1">
        <v>20.07</v>
      </c>
      <c r="R239" s="11" t="str">
        <f t="shared" si="1"/>
        <v>RB</v>
      </c>
    </row>
    <row r="240" ht="14.25" customHeight="1">
      <c r="A240" s="1">
        <v>236.0</v>
      </c>
      <c r="B240" s="1" t="s">
        <v>585</v>
      </c>
      <c r="C240" s="1" t="s">
        <v>724</v>
      </c>
      <c r="D240" s="1" t="s">
        <v>162</v>
      </c>
      <c r="E240" s="1">
        <v>160.0</v>
      </c>
      <c r="F240" s="1">
        <v>114.0</v>
      </c>
      <c r="G240" s="1">
        <v>212.0</v>
      </c>
      <c r="H240" s="1">
        <v>228.0</v>
      </c>
      <c r="I240" s="1" t="s">
        <v>36</v>
      </c>
      <c r="J240" s="1">
        <v>112.0</v>
      </c>
      <c r="K240" s="1">
        <v>135.0</v>
      </c>
      <c r="L240" s="1">
        <v>221.0</v>
      </c>
      <c r="M240" s="1" t="s">
        <v>36</v>
      </c>
      <c r="N240" s="1" t="s">
        <v>36</v>
      </c>
      <c r="O240" s="1" t="s">
        <v>36</v>
      </c>
      <c r="P240" s="1">
        <v>24.06</v>
      </c>
      <c r="Q240" s="1">
        <v>20.08</v>
      </c>
      <c r="R240" s="11" t="str">
        <f t="shared" si="1"/>
        <v>K-</v>
      </c>
    </row>
    <row r="241" ht="14.25" customHeight="1">
      <c r="A241" s="1">
        <v>237.0</v>
      </c>
      <c r="B241" s="1" t="s">
        <v>660</v>
      </c>
      <c r="C241" s="1" t="s">
        <v>1048</v>
      </c>
      <c r="D241" s="1" t="s">
        <v>102</v>
      </c>
      <c r="E241" s="1" t="s">
        <v>36</v>
      </c>
      <c r="F241" s="1" t="s">
        <v>36</v>
      </c>
      <c r="G241" s="1">
        <v>286.0</v>
      </c>
      <c r="H241" s="1">
        <v>194.0</v>
      </c>
      <c r="I241" s="1">
        <v>200.0</v>
      </c>
      <c r="J241" s="1" t="s">
        <v>36</v>
      </c>
      <c r="K241" s="1">
        <v>234.0</v>
      </c>
      <c r="L241" s="1">
        <v>232.0</v>
      </c>
      <c r="M241" s="1">
        <v>247.0</v>
      </c>
      <c r="N241" s="1">
        <v>221.0</v>
      </c>
      <c r="O241" s="1">
        <v>212.0</v>
      </c>
      <c r="P241" s="1">
        <v>24.07</v>
      </c>
      <c r="Q241" s="1">
        <v>20.09</v>
      </c>
      <c r="R241" s="11" t="str">
        <f t="shared" si="1"/>
        <v>RB</v>
      </c>
    </row>
    <row r="242" ht="14.25" customHeight="1">
      <c r="A242" s="1">
        <v>238.0</v>
      </c>
      <c r="B242" s="1" t="s">
        <v>547</v>
      </c>
      <c r="C242" s="1" t="s">
        <v>643</v>
      </c>
      <c r="D242" s="1" t="s">
        <v>176</v>
      </c>
      <c r="E242" s="1" t="s">
        <v>36</v>
      </c>
      <c r="F242" s="1" t="s">
        <v>36</v>
      </c>
      <c r="G242" s="1" t="s">
        <v>36</v>
      </c>
      <c r="H242" s="1">
        <v>206.0</v>
      </c>
      <c r="I242" s="1">
        <v>227.0</v>
      </c>
      <c r="J242" s="1">
        <v>289.0</v>
      </c>
      <c r="K242" s="1">
        <v>259.0</v>
      </c>
      <c r="L242" s="1">
        <v>238.0</v>
      </c>
      <c r="M242" s="1">
        <v>240.0</v>
      </c>
      <c r="N242" s="1">
        <v>187.0</v>
      </c>
      <c r="O242" s="1">
        <v>185.0</v>
      </c>
      <c r="P242" s="1">
        <v>24.08</v>
      </c>
      <c r="Q242" s="1">
        <v>20.1</v>
      </c>
      <c r="R242" s="11" t="str">
        <f t="shared" si="1"/>
        <v>WR</v>
      </c>
    </row>
    <row r="243" ht="14.25" customHeight="1">
      <c r="A243" s="1">
        <v>239.0</v>
      </c>
      <c r="B243" s="1" t="s">
        <v>567</v>
      </c>
      <c r="C243" s="1" t="s">
        <v>649</v>
      </c>
      <c r="D243" s="1" t="s">
        <v>98</v>
      </c>
      <c r="E243" s="1" t="s">
        <v>36</v>
      </c>
      <c r="F243" s="1" t="s">
        <v>36</v>
      </c>
      <c r="G243" s="1">
        <v>280.0</v>
      </c>
      <c r="H243" s="1">
        <v>238.0</v>
      </c>
      <c r="I243" s="1">
        <v>216.0</v>
      </c>
      <c r="J243" s="1">
        <v>239.0</v>
      </c>
      <c r="K243" s="1">
        <v>176.0</v>
      </c>
      <c r="L243" s="1" t="s">
        <v>36</v>
      </c>
      <c r="M243" s="1">
        <v>212.0</v>
      </c>
      <c r="N243" s="1">
        <v>251.0</v>
      </c>
      <c r="O243" s="1">
        <v>235.0</v>
      </c>
      <c r="P243" s="1">
        <v>24.09</v>
      </c>
      <c r="Q243" s="1">
        <v>20.11</v>
      </c>
      <c r="R243" s="11" t="str">
        <f t="shared" si="1"/>
        <v>WR</v>
      </c>
    </row>
    <row r="244" ht="14.25" customHeight="1">
      <c r="A244" s="1">
        <v>240.0</v>
      </c>
      <c r="B244" s="1" t="s">
        <v>592</v>
      </c>
      <c r="C244" s="1" t="s">
        <v>668</v>
      </c>
      <c r="D244" s="1" t="s">
        <v>237</v>
      </c>
      <c r="E244" s="1">
        <v>201.0</v>
      </c>
      <c r="F244" s="1">
        <v>145.0</v>
      </c>
      <c r="G244" s="1">
        <v>243.0</v>
      </c>
      <c r="H244" s="1">
        <v>247.0</v>
      </c>
      <c r="I244" s="1" t="s">
        <v>36</v>
      </c>
      <c r="J244" s="1">
        <v>69.0</v>
      </c>
      <c r="K244" s="1">
        <v>134.0</v>
      </c>
      <c r="L244" s="1">
        <v>203.0</v>
      </c>
      <c r="M244" s="1" t="s">
        <v>36</v>
      </c>
      <c r="N244" s="1" t="s">
        <v>36</v>
      </c>
      <c r="O244" s="1" t="s">
        <v>36</v>
      </c>
      <c r="P244" s="1">
        <v>24.1</v>
      </c>
      <c r="Q244" s="1">
        <v>20.12</v>
      </c>
      <c r="R244" s="11" t="str">
        <f t="shared" si="1"/>
        <v>K-</v>
      </c>
    </row>
    <row r="245" ht="14.25" customHeight="1">
      <c r="A245" s="1">
        <v>241.0</v>
      </c>
      <c r="B245" s="1" t="s">
        <v>669</v>
      </c>
      <c r="C245" s="1" t="s">
        <v>1044</v>
      </c>
      <c r="D245" s="1" t="s">
        <v>49</v>
      </c>
      <c r="E245" s="1" t="s">
        <v>36</v>
      </c>
      <c r="F245" s="1" t="s">
        <v>36</v>
      </c>
      <c r="G245" s="1">
        <v>301.0</v>
      </c>
      <c r="H245" s="1">
        <v>208.0</v>
      </c>
      <c r="I245" s="1">
        <v>207.0</v>
      </c>
      <c r="J245" s="1" t="s">
        <v>36</v>
      </c>
      <c r="K245" s="1">
        <v>263.0</v>
      </c>
      <c r="L245" s="1">
        <v>199.0</v>
      </c>
      <c r="M245" s="1">
        <v>254.0</v>
      </c>
      <c r="N245" s="1">
        <v>229.0</v>
      </c>
      <c r="O245" s="1">
        <v>236.0</v>
      </c>
      <c r="P245" s="1">
        <v>25.01</v>
      </c>
      <c r="Q245" s="1">
        <v>21.01</v>
      </c>
      <c r="R245" s="11" t="str">
        <f t="shared" si="1"/>
        <v>RB</v>
      </c>
    </row>
    <row r="246" ht="14.25" customHeight="1">
      <c r="A246" s="1">
        <v>242.0</v>
      </c>
      <c r="B246" s="1" t="s">
        <v>569</v>
      </c>
      <c r="C246" s="1" t="s">
        <v>880</v>
      </c>
      <c r="D246" s="1" t="s">
        <v>231</v>
      </c>
      <c r="E246" s="1" t="s">
        <v>36</v>
      </c>
      <c r="F246" s="1" t="s">
        <v>36</v>
      </c>
      <c r="G246" s="1">
        <v>316.0</v>
      </c>
      <c r="H246" s="1">
        <v>202.0</v>
      </c>
      <c r="I246" s="1">
        <v>228.0</v>
      </c>
      <c r="J246" s="1">
        <v>238.0</v>
      </c>
      <c r="K246" s="1">
        <v>235.0</v>
      </c>
      <c r="L246" s="1" t="s">
        <v>36</v>
      </c>
      <c r="M246" s="1">
        <v>239.0</v>
      </c>
      <c r="N246" s="1">
        <v>223.0</v>
      </c>
      <c r="O246" s="1">
        <v>227.0</v>
      </c>
      <c r="P246" s="1">
        <v>25.02</v>
      </c>
      <c r="Q246" s="1">
        <v>21.02</v>
      </c>
      <c r="R246" s="11" t="str">
        <f t="shared" si="1"/>
        <v>WR</v>
      </c>
    </row>
    <row r="247" ht="14.25" customHeight="1">
      <c r="A247" s="1">
        <v>243.0</v>
      </c>
      <c r="B247" s="1" t="s">
        <v>573</v>
      </c>
      <c r="C247" s="1" t="s">
        <v>613</v>
      </c>
      <c r="D247" s="1" t="s">
        <v>119</v>
      </c>
      <c r="E247" s="1" t="s">
        <v>36</v>
      </c>
      <c r="F247" s="1" t="s">
        <v>36</v>
      </c>
      <c r="G247" s="1">
        <v>265.0</v>
      </c>
      <c r="H247" s="1">
        <v>270.0</v>
      </c>
      <c r="I247" s="1">
        <v>223.0</v>
      </c>
      <c r="J247" s="1" t="s">
        <v>36</v>
      </c>
      <c r="K247" s="1">
        <v>253.0</v>
      </c>
      <c r="L247" s="1">
        <v>248.0</v>
      </c>
      <c r="M247" s="1">
        <v>249.0</v>
      </c>
      <c r="N247" s="1">
        <v>214.0</v>
      </c>
      <c r="O247" s="1">
        <v>208.0</v>
      </c>
      <c r="P247" s="1">
        <v>25.03</v>
      </c>
      <c r="Q247" s="1">
        <v>21.03</v>
      </c>
      <c r="R247" s="11" t="str">
        <f t="shared" si="1"/>
        <v>WR</v>
      </c>
    </row>
    <row r="248" ht="14.25" customHeight="1">
      <c r="A248" s="1">
        <v>244.0</v>
      </c>
      <c r="B248" s="1" t="s">
        <v>677</v>
      </c>
      <c r="C248" s="1" t="s">
        <v>566</v>
      </c>
      <c r="D248" s="1" t="s">
        <v>162</v>
      </c>
      <c r="E248" s="1" t="s">
        <v>36</v>
      </c>
      <c r="F248" s="1" t="s">
        <v>36</v>
      </c>
      <c r="G248" s="1">
        <v>348.0</v>
      </c>
      <c r="H248" s="1">
        <v>195.0</v>
      </c>
      <c r="I248" s="1">
        <v>214.0</v>
      </c>
      <c r="J248" s="1">
        <v>318.0</v>
      </c>
      <c r="K248" s="1" t="s">
        <v>36</v>
      </c>
      <c r="L248" s="1">
        <v>206.0</v>
      </c>
      <c r="M248" s="1">
        <v>237.0</v>
      </c>
      <c r="N248" s="1">
        <v>210.0</v>
      </c>
      <c r="O248" s="1">
        <v>222.0</v>
      </c>
      <c r="P248" s="1">
        <v>25.04</v>
      </c>
      <c r="Q248" s="1">
        <v>21.04</v>
      </c>
      <c r="R248" s="11" t="str">
        <f t="shared" si="1"/>
        <v>RB</v>
      </c>
    </row>
    <row r="249" ht="14.25" customHeight="1">
      <c r="A249" s="1">
        <v>245.0</v>
      </c>
      <c r="B249" s="1" t="s">
        <v>583</v>
      </c>
      <c r="C249" s="1" t="s">
        <v>830</v>
      </c>
      <c r="D249" s="1" t="s">
        <v>128</v>
      </c>
      <c r="E249" s="1" t="s">
        <v>36</v>
      </c>
      <c r="F249" s="1" t="s">
        <v>36</v>
      </c>
      <c r="G249" s="1">
        <v>309.0</v>
      </c>
      <c r="H249" s="1">
        <v>237.0</v>
      </c>
      <c r="I249" s="1">
        <v>231.0</v>
      </c>
      <c r="J249" s="1">
        <v>311.0</v>
      </c>
      <c r="K249" s="1">
        <v>268.0</v>
      </c>
      <c r="L249" s="1" t="s">
        <v>36</v>
      </c>
      <c r="M249" s="1">
        <v>226.0</v>
      </c>
      <c r="N249" s="1">
        <v>185.0</v>
      </c>
      <c r="O249" s="1">
        <v>188.0</v>
      </c>
      <c r="P249" s="1">
        <v>25.05</v>
      </c>
      <c r="Q249" s="1">
        <v>21.05</v>
      </c>
      <c r="R249" s="11" t="str">
        <f t="shared" si="1"/>
        <v>WR</v>
      </c>
    </row>
    <row r="250" ht="14.25" customHeight="1">
      <c r="A250" s="1">
        <v>246.0</v>
      </c>
      <c r="B250" s="1" t="s">
        <v>589</v>
      </c>
      <c r="C250" s="1" t="s">
        <v>832</v>
      </c>
      <c r="D250" s="1" t="s">
        <v>45</v>
      </c>
      <c r="E250" s="1" t="s">
        <v>36</v>
      </c>
      <c r="F250" s="1" t="s">
        <v>36</v>
      </c>
      <c r="G250" s="1">
        <v>324.0</v>
      </c>
      <c r="H250" s="1">
        <v>245.0</v>
      </c>
      <c r="I250" s="1">
        <v>217.0</v>
      </c>
      <c r="J250" s="1">
        <v>267.0</v>
      </c>
      <c r="K250" s="1">
        <v>262.0</v>
      </c>
      <c r="L250" s="1" t="s">
        <v>36</v>
      </c>
      <c r="M250" s="1">
        <v>241.0</v>
      </c>
      <c r="N250" s="1">
        <v>199.0</v>
      </c>
      <c r="O250" s="1">
        <v>207.0</v>
      </c>
      <c r="P250" s="1">
        <v>25.06</v>
      </c>
      <c r="Q250" s="1">
        <v>21.06</v>
      </c>
      <c r="R250" s="11" t="str">
        <f t="shared" si="1"/>
        <v>WR</v>
      </c>
    </row>
    <row r="251" ht="14.25" customHeight="1">
      <c r="A251" s="1">
        <v>247.0</v>
      </c>
      <c r="B251" s="1" t="s">
        <v>650</v>
      </c>
      <c r="C251" s="1" t="s">
        <v>836</v>
      </c>
      <c r="D251" s="1" t="s">
        <v>195</v>
      </c>
      <c r="E251" s="1" t="s">
        <v>36</v>
      </c>
      <c r="F251" s="1">
        <v>249.0</v>
      </c>
      <c r="G251" s="1" t="s">
        <v>36</v>
      </c>
      <c r="H251" s="1">
        <v>251.0</v>
      </c>
      <c r="I251" s="1">
        <v>255.0</v>
      </c>
      <c r="J251" s="1">
        <v>261.0</v>
      </c>
      <c r="K251" s="1">
        <v>283.0</v>
      </c>
      <c r="L251" s="1" t="s">
        <v>36</v>
      </c>
      <c r="M251" s="1">
        <v>236.0</v>
      </c>
      <c r="N251" s="1">
        <v>213.0</v>
      </c>
      <c r="O251" s="1">
        <v>224.0</v>
      </c>
      <c r="P251" s="1">
        <v>25.07</v>
      </c>
      <c r="Q251" s="1">
        <v>21.07</v>
      </c>
      <c r="R251" s="11" t="str">
        <f t="shared" si="1"/>
        <v>QB</v>
      </c>
    </row>
    <row r="252" ht="14.25" customHeight="1">
      <c r="A252" s="1">
        <v>248.0</v>
      </c>
      <c r="B252" s="1" t="s">
        <v>597</v>
      </c>
      <c r="C252" s="1" t="s">
        <v>580</v>
      </c>
      <c r="D252" s="1" t="s">
        <v>119</v>
      </c>
      <c r="E252" s="1">
        <v>198.0</v>
      </c>
      <c r="F252" s="1">
        <v>184.0</v>
      </c>
      <c r="G252" s="1">
        <v>250.0</v>
      </c>
      <c r="H252" s="1">
        <v>234.0</v>
      </c>
      <c r="I252" s="1" t="s">
        <v>36</v>
      </c>
      <c r="J252" s="1">
        <v>86.0</v>
      </c>
      <c r="K252" s="1">
        <v>162.0</v>
      </c>
      <c r="L252" s="1">
        <v>201.0</v>
      </c>
      <c r="M252" s="1" t="s">
        <v>36</v>
      </c>
      <c r="N252" s="1" t="s">
        <v>36</v>
      </c>
      <c r="O252" s="1" t="s">
        <v>36</v>
      </c>
      <c r="P252" s="1">
        <v>25.08</v>
      </c>
      <c r="Q252" s="1">
        <v>21.08</v>
      </c>
      <c r="R252" s="11" t="str">
        <f t="shared" si="1"/>
        <v>K-</v>
      </c>
    </row>
    <row r="253" ht="14.25" customHeight="1">
      <c r="A253" s="1">
        <v>249.0</v>
      </c>
      <c r="B253" s="1" t="s">
        <v>596</v>
      </c>
      <c r="C253" s="1" t="s">
        <v>477</v>
      </c>
      <c r="D253" s="1" t="s">
        <v>62</v>
      </c>
      <c r="E253" s="1" t="s">
        <v>36</v>
      </c>
      <c r="F253" s="1" t="s">
        <v>36</v>
      </c>
      <c r="G253" s="1">
        <v>307.0</v>
      </c>
      <c r="H253" s="1">
        <v>252.0</v>
      </c>
      <c r="I253" s="1">
        <v>252.0</v>
      </c>
      <c r="J253" s="1" t="s">
        <v>36</v>
      </c>
      <c r="K253" s="1">
        <v>251.0</v>
      </c>
      <c r="L253" s="1">
        <v>247.0</v>
      </c>
      <c r="M253" s="1">
        <v>238.0</v>
      </c>
      <c r="N253" s="1">
        <v>224.0</v>
      </c>
      <c r="O253" s="1">
        <v>215.0</v>
      </c>
      <c r="P253" s="1">
        <v>25.09</v>
      </c>
      <c r="Q253" s="1">
        <v>21.09</v>
      </c>
      <c r="R253" s="11" t="str">
        <f t="shared" si="1"/>
        <v>WR</v>
      </c>
    </row>
    <row r="254" ht="14.25" customHeight="1">
      <c r="A254" s="1">
        <v>250.0</v>
      </c>
      <c r="B254" s="1" t="s">
        <v>640</v>
      </c>
      <c r="C254" s="1" t="s">
        <v>389</v>
      </c>
      <c r="D254" s="1" t="s">
        <v>131</v>
      </c>
      <c r="E254" s="1" t="s">
        <v>36</v>
      </c>
      <c r="F254" s="1" t="s">
        <v>36</v>
      </c>
      <c r="G254" s="1">
        <v>311.0</v>
      </c>
      <c r="H254" s="1">
        <v>223.0</v>
      </c>
      <c r="I254" s="1">
        <v>256.0</v>
      </c>
      <c r="J254" s="1">
        <v>279.0</v>
      </c>
      <c r="K254" s="1">
        <v>273.0</v>
      </c>
      <c r="L254" s="1" t="s">
        <v>36</v>
      </c>
      <c r="M254" s="1">
        <v>218.0</v>
      </c>
      <c r="N254" s="1">
        <v>212.0</v>
      </c>
      <c r="O254" s="1">
        <v>216.0</v>
      </c>
      <c r="P254" s="1">
        <v>25.1</v>
      </c>
      <c r="Q254" s="1">
        <v>21.1</v>
      </c>
      <c r="R254" s="11" t="str">
        <f t="shared" si="1"/>
        <v>TE</v>
      </c>
    </row>
    <row r="255" ht="14.25" customHeight="1">
      <c r="A255" s="1">
        <v>251.0</v>
      </c>
      <c r="B255" s="1" t="s">
        <v>612</v>
      </c>
      <c r="C255" s="1" t="s">
        <v>1093</v>
      </c>
      <c r="D255" s="1" t="s">
        <v>102</v>
      </c>
      <c r="E255" s="1" t="s">
        <v>36</v>
      </c>
      <c r="F255" s="1" t="s">
        <v>36</v>
      </c>
      <c r="G255" s="1">
        <v>297.0</v>
      </c>
      <c r="H255" s="1">
        <v>279.0</v>
      </c>
      <c r="I255" s="1">
        <v>253.0</v>
      </c>
      <c r="J255" s="1" t="s">
        <v>36</v>
      </c>
      <c r="K255" s="1">
        <v>244.0</v>
      </c>
      <c r="L255" s="1">
        <v>213.0</v>
      </c>
      <c r="M255" s="1">
        <v>263.0</v>
      </c>
      <c r="N255" s="1">
        <v>240.0</v>
      </c>
      <c r="O255" s="1">
        <v>239.0</v>
      </c>
      <c r="P255" s="1">
        <v>26.01</v>
      </c>
      <c r="Q255" s="1">
        <v>21.11</v>
      </c>
      <c r="R255" s="11" t="str">
        <f t="shared" si="1"/>
        <v>WR</v>
      </c>
    </row>
    <row r="256" ht="14.25" customHeight="1">
      <c r="A256" s="1">
        <v>252.0</v>
      </c>
      <c r="B256" s="1" t="s">
        <v>601</v>
      </c>
      <c r="C256" s="1" t="s">
        <v>659</v>
      </c>
      <c r="D256" s="1" t="s">
        <v>102</v>
      </c>
      <c r="E256" s="1">
        <v>185.0</v>
      </c>
      <c r="F256" s="1">
        <v>149.0</v>
      </c>
      <c r="G256" s="1">
        <v>266.0</v>
      </c>
      <c r="H256" s="1">
        <v>232.0</v>
      </c>
      <c r="I256" s="1" t="s">
        <v>36</v>
      </c>
      <c r="J256" s="1">
        <v>146.0</v>
      </c>
      <c r="K256" s="1">
        <v>161.0</v>
      </c>
      <c r="L256" s="1">
        <v>226.0</v>
      </c>
      <c r="M256" s="1" t="s">
        <v>36</v>
      </c>
      <c r="N256" s="1" t="s">
        <v>36</v>
      </c>
      <c r="O256" s="1" t="s">
        <v>36</v>
      </c>
      <c r="P256" s="1">
        <v>26.02</v>
      </c>
      <c r="Q256" s="1">
        <v>21.12</v>
      </c>
      <c r="R256" s="11" t="str">
        <f t="shared" si="1"/>
        <v>K-</v>
      </c>
    </row>
    <row r="257" ht="14.25" customHeight="1">
      <c r="A257" s="1">
        <v>253.0</v>
      </c>
      <c r="B257" s="1" t="s">
        <v>681</v>
      </c>
      <c r="C257" s="1" t="s">
        <v>595</v>
      </c>
      <c r="D257" s="1" t="s">
        <v>195</v>
      </c>
      <c r="E257" s="1" t="s">
        <v>36</v>
      </c>
      <c r="F257" s="1">
        <v>210.0</v>
      </c>
      <c r="G257" s="1" t="s">
        <v>36</v>
      </c>
      <c r="H257" s="1">
        <v>292.0</v>
      </c>
      <c r="I257" s="1">
        <v>337.0</v>
      </c>
      <c r="J257" s="1">
        <v>214.0</v>
      </c>
      <c r="K257" s="1">
        <v>220.0</v>
      </c>
      <c r="L257" s="1" t="s">
        <v>36</v>
      </c>
      <c r="M257" s="1">
        <v>255.0</v>
      </c>
      <c r="N257" s="1">
        <v>236.0</v>
      </c>
      <c r="O257" s="1">
        <v>276.0</v>
      </c>
      <c r="P257" s="1">
        <v>26.03</v>
      </c>
      <c r="Q257" s="1">
        <v>22.01</v>
      </c>
      <c r="R257" s="11" t="str">
        <f t="shared" si="1"/>
        <v>QB</v>
      </c>
    </row>
    <row r="258" ht="14.25" customHeight="1">
      <c r="A258" s="1">
        <v>254.0</v>
      </c>
      <c r="B258" s="1" t="s">
        <v>644</v>
      </c>
      <c r="C258" s="1" t="s">
        <v>974</v>
      </c>
      <c r="D258" s="1" t="s">
        <v>102</v>
      </c>
      <c r="E258" s="1" t="s">
        <v>36</v>
      </c>
      <c r="F258" s="1">
        <v>233.0</v>
      </c>
      <c r="G258" s="1" t="s">
        <v>36</v>
      </c>
      <c r="H258" s="1">
        <v>249.0</v>
      </c>
      <c r="I258" s="1">
        <v>263.0</v>
      </c>
      <c r="J258" s="1">
        <v>240.0</v>
      </c>
      <c r="K258" s="1">
        <v>276.0</v>
      </c>
      <c r="L258" s="1" t="s">
        <v>36</v>
      </c>
      <c r="M258" s="1">
        <v>258.0</v>
      </c>
      <c r="N258" s="1">
        <v>279.0</v>
      </c>
      <c r="O258" s="1">
        <v>246.0</v>
      </c>
      <c r="P258" s="1">
        <v>26.04</v>
      </c>
      <c r="Q258" s="1">
        <v>22.02</v>
      </c>
      <c r="R258" s="11" t="str">
        <f t="shared" si="1"/>
        <v>TE</v>
      </c>
    </row>
    <row r="259" ht="14.25" customHeight="1">
      <c r="A259" s="1">
        <v>255.0</v>
      </c>
      <c r="B259" s="1" t="s">
        <v>603</v>
      </c>
      <c r="C259" s="1" t="s">
        <v>952</v>
      </c>
      <c r="D259" s="1" t="s">
        <v>67</v>
      </c>
      <c r="E259" s="1">
        <v>158.0</v>
      </c>
      <c r="F259" s="1">
        <v>140.0</v>
      </c>
      <c r="G259" s="1">
        <v>241.0</v>
      </c>
      <c r="H259" s="1">
        <v>271.0</v>
      </c>
      <c r="I259" s="1" t="s">
        <v>36</v>
      </c>
      <c r="J259" s="1">
        <v>147.0</v>
      </c>
      <c r="K259" s="1">
        <v>185.0</v>
      </c>
      <c r="L259" s="1">
        <v>239.0</v>
      </c>
      <c r="M259" s="1" t="s">
        <v>36</v>
      </c>
      <c r="N259" s="1" t="s">
        <v>36</v>
      </c>
      <c r="O259" s="1" t="s">
        <v>36</v>
      </c>
      <c r="P259" s="1">
        <v>26.05</v>
      </c>
      <c r="Q259" s="1">
        <v>22.03</v>
      </c>
      <c r="R259" s="11" t="str">
        <f t="shared" si="1"/>
        <v>K-</v>
      </c>
    </row>
    <row r="260" ht="14.25" customHeight="1">
      <c r="A260" s="1">
        <v>256.0</v>
      </c>
      <c r="B260" s="1" t="s">
        <v>616</v>
      </c>
      <c r="C260" s="1" t="s">
        <v>922</v>
      </c>
      <c r="D260" s="1" t="s">
        <v>85</v>
      </c>
      <c r="E260" s="1">
        <v>182.0</v>
      </c>
      <c r="F260" s="1">
        <v>143.0</v>
      </c>
      <c r="G260" s="1">
        <v>260.0</v>
      </c>
      <c r="H260" s="1">
        <v>244.0</v>
      </c>
      <c r="I260" s="1" t="s">
        <v>36</v>
      </c>
      <c r="J260" s="1">
        <v>135.0</v>
      </c>
      <c r="K260" s="1">
        <v>214.0</v>
      </c>
      <c r="L260" s="1">
        <v>234.0</v>
      </c>
      <c r="M260" s="1" t="s">
        <v>36</v>
      </c>
      <c r="N260" s="1" t="s">
        <v>36</v>
      </c>
      <c r="O260" s="1" t="s">
        <v>36</v>
      </c>
      <c r="P260" s="1">
        <v>26.06</v>
      </c>
      <c r="Q260" s="1">
        <v>22.04</v>
      </c>
      <c r="R260" s="11" t="str">
        <f t="shared" si="1"/>
        <v>K-</v>
      </c>
    </row>
    <row r="261" ht="14.25" customHeight="1">
      <c r="A261" s="1">
        <v>257.0</v>
      </c>
      <c r="B261" s="1" t="s">
        <v>614</v>
      </c>
      <c r="C261" s="1" t="s">
        <v>989</v>
      </c>
      <c r="D261" s="1" t="s">
        <v>237</v>
      </c>
      <c r="E261" s="1" t="s">
        <v>36</v>
      </c>
      <c r="F261" s="1" t="s">
        <v>36</v>
      </c>
      <c r="G261" s="1">
        <v>302.0</v>
      </c>
      <c r="H261" s="1">
        <v>262.0</v>
      </c>
      <c r="I261" s="1">
        <v>250.0</v>
      </c>
      <c r="J261" s="1">
        <v>277.0</v>
      </c>
      <c r="K261" s="1">
        <v>274.0</v>
      </c>
      <c r="L261" s="1" t="s">
        <v>36</v>
      </c>
      <c r="M261" s="1">
        <v>250.0</v>
      </c>
      <c r="N261" s="1">
        <v>250.0</v>
      </c>
      <c r="O261" s="1">
        <v>238.0</v>
      </c>
      <c r="P261" s="1">
        <v>26.07</v>
      </c>
      <c r="Q261" s="1">
        <v>22.05</v>
      </c>
      <c r="R261" s="11" t="str">
        <f t="shared" si="1"/>
        <v>WR</v>
      </c>
    </row>
    <row r="262" ht="14.25" customHeight="1">
      <c r="A262" s="1">
        <v>258.0</v>
      </c>
      <c r="B262" s="1" t="s">
        <v>619</v>
      </c>
      <c r="C262" s="1" t="s">
        <v>705</v>
      </c>
      <c r="D262" s="1" t="s">
        <v>176</v>
      </c>
      <c r="E262" s="1">
        <v>209.0</v>
      </c>
      <c r="F262" s="1">
        <v>218.0</v>
      </c>
      <c r="G262" s="1">
        <v>277.0</v>
      </c>
      <c r="H262" s="1">
        <v>235.0</v>
      </c>
      <c r="I262" s="1" t="s">
        <v>36</v>
      </c>
      <c r="J262" s="1">
        <v>133.0</v>
      </c>
      <c r="K262" s="1">
        <v>180.0</v>
      </c>
      <c r="L262" s="1">
        <v>214.0</v>
      </c>
      <c r="M262" s="1" t="s">
        <v>36</v>
      </c>
      <c r="N262" s="1" t="s">
        <v>36</v>
      </c>
      <c r="O262" s="1" t="s">
        <v>36</v>
      </c>
      <c r="P262" s="1">
        <v>26.08</v>
      </c>
      <c r="Q262" s="1">
        <v>22.06</v>
      </c>
      <c r="R262" s="11" t="str">
        <f t="shared" si="1"/>
        <v>K-</v>
      </c>
    </row>
    <row r="263" ht="14.25" customHeight="1">
      <c r="A263" s="1">
        <v>259.0</v>
      </c>
      <c r="B263" s="1" t="s">
        <v>629</v>
      </c>
      <c r="C263" s="1" t="s">
        <v>1104</v>
      </c>
      <c r="D263" s="1" t="s">
        <v>192</v>
      </c>
      <c r="E263" s="1">
        <v>206.0</v>
      </c>
      <c r="F263" s="1">
        <v>211.0</v>
      </c>
      <c r="G263" s="1" t="s">
        <v>36</v>
      </c>
      <c r="H263" s="1">
        <v>275.0</v>
      </c>
      <c r="I263" s="1">
        <v>244.0</v>
      </c>
      <c r="J263" s="1">
        <v>168.0</v>
      </c>
      <c r="K263" s="1">
        <v>150.0</v>
      </c>
      <c r="L263" s="1" t="s">
        <v>36</v>
      </c>
      <c r="M263" s="1">
        <v>243.0</v>
      </c>
      <c r="N263" s="1" t="s">
        <v>36</v>
      </c>
      <c r="O263" s="1" t="s">
        <v>36</v>
      </c>
      <c r="P263" s="1">
        <v>26.09</v>
      </c>
      <c r="Q263" s="1">
        <v>22.07</v>
      </c>
      <c r="R263" s="11" t="str">
        <f t="shared" si="1"/>
        <v>DE</v>
      </c>
    </row>
    <row r="264" ht="14.25" customHeight="1">
      <c r="A264" s="1">
        <v>260.0</v>
      </c>
      <c r="B264" s="1" t="s">
        <v>631</v>
      </c>
      <c r="C264" s="1" t="s">
        <v>620</v>
      </c>
      <c r="D264" s="1" t="s">
        <v>45</v>
      </c>
      <c r="E264" s="1">
        <v>189.0</v>
      </c>
      <c r="F264" s="1">
        <v>197.0</v>
      </c>
      <c r="G264" s="1">
        <v>292.0</v>
      </c>
      <c r="H264" s="1">
        <v>261.0</v>
      </c>
      <c r="I264" s="1" t="s">
        <v>36</v>
      </c>
      <c r="J264" s="1">
        <v>188.0</v>
      </c>
      <c r="K264" s="1">
        <v>163.0</v>
      </c>
      <c r="L264" s="1">
        <v>218.0</v>
      </c>
      <c r="M264" s="1" t="s">
        <v>36</v>
      </c>
      <c r="N264" s="1" t="s">
        <v>36</v>
      </c>
      <c r="O264" s="1" t="s">
        <v>36</v>
      </c>
      <c r="P264" s="1">
        <v>26.1</v>
      </c>
      <c r="Q264" s="1">
        <v>22.08</v>
      </c>
      <c r="R264" s="11" t="str">
        <f t="shared" si="1"/>
        <v>K-</v>
      </c>
    </row>
    <row r="265" ht="14.25" customHeight="1">
      <c r="A265" s="1">
        <v>261.0</v>
      </c>
      <c r="B265" s="1" t="s">
        <v>663</v>
      </c>
      <c r="C265" s="1" t="s">
        <v>504</v>
      </c>
      <c r="D265" s="1" t="s">
        <v>116</v>
      </c>
      <c r="E265" s="1" t="s">
        <v>36</v>
      </c>
      <c r="F265" s="1">
        <v>152.0</v>
      </c>
      <c r="G265" s="1" t="s">
        <v>36</v>
      </c>
      <c r="H265" s="1">
        <v>265.0</v>
      </c>
      <c r="I265" s="1">
        <v>226.0</v>
      </c>
      <c r="J265" s="1">
        <v>190.0</v>
      </c>
      <c r="K265" s="1">
        <v>240.0</v>
      </c>
      <c r="L265" s="1">
        <v>244.0</v>
      </c>
      <c r="M265" s="1">
        <v>216.0</v>
      </c>
      <c r="N265" s="1" t="s">
        <v>36</v>
      </c>
      <c r="O265" s="1" t="s">
        <v>36</v>
      </c>
      <c r="P265" s="1">
        <v>27.01</v>
      </c>
      <c r="Q265" s="1">
        <v>22.09</v>
      </c>
      <c r="R265" s="11" t="str">
        <f t="shared" si="1"/>
        <v>DE</v>
      </c>
    </row>
    <row r="266" ht="14.25" customHeight="1">
      <c r="A266" s="1">
        <v>262.0</v>
      </c>
      <c r="B266" s="1" t="s">
        <v>636</v>
      </c>
      <c r="C266" s="1" t="s">
        <v>451</v>
      </c>
      <c r="D266" s="1" t="s">
        <v>162</v>
      </c>
      <c r="E266" s="1" t="s">
        <v>36</v>
      </c>
      <c r="F266" s="1" t="s">
        <v>36</v>
      </c>
      <c r="G266" s="1" t="s">
        <v>36</v>
      </c>
      <c r="H266" s="1">
        <v>277.0</v>
      </c>
      <c r="I266" s="1">
        <v>205.0</v>
      </c>
      <c r="J266" s="1">
        <v>231.0</v>
      </c>
      <c r="K266" s="1">
        <v>177.0</v>
      </c>
      <c r="L266" s="1" t="s">
        <v>36</v>
      </c>
      <c r="M266" s="1">
        <v>187.0</v>
      </c>
      <c r="N266" s="1">
        <v>237.0</v>
      </c>
      <c r="O266" s="1">
        <v>234.0</v>
      </c>
      <c r="P266" s="1">
        <v>27.02</v>
      </c>
      <c r="Q266" s="1">
        <v>22.1</v>
      </c>
      <c r="R266" s="11" t="str">
        <f t="shared" si="1"/>
        <v>WR</v>
      </c>
    </row>
    <row r="267" ht="14.25" customHeight="1">
      <c r="A267" s="1">
        <v>263.0</v>
      </c>
      <c r="B267" s="1" t="s">
        <v>675</v>
      </c>
      <c r="C267" s="1" t="s">
        <v>915</v>
      </c>
      <c r="D267" s="1" t="s">
        <v>162</v>
      </c>
      <c r="E267" s="1" t="s">
        <v>36</v>
      </c>
      <c r="F267" s="1">
        <v>202.0</v>
      </c>
      <c r="G267" s="1">
        <v>228.0</v>
      </c>
      <c r="H267" s="1">
        <v>317.0</v>
      </c>
      <c r="I267" s="1">
        <v>254.0</v>
      </c>
      <c r="J267" s="1">
        <v>138.0</v>
      </c>
      <c r="K267" s="1">
        <v>184.0</v>
      </c>
      <c r="L267" s="1" t="s">
        <v>36</v>
      </c>
      <c r="M267" s="1">
        <v>225.0</v>
      </c>
      <c r="N267" s="1" t="s">
        <v>36</v>
      </c>
      <c r="O267" s="1" t="s">
        <v>36</v>
      </c>
      <c r="P267" s="1">
        <v>27.03</v>
      </c>
      <c r="Q267" s="1">
        <v>22.11</v>
      </c>
      <c r="R267" s="11" t="str">
        <f t="shared" si="1"/>
        <v>DE</v>
      </c>
    </row>
    <row r="268" ht="14.25" customHeight="1">
      <c r="A268" s="1">
        <v>264.0</v>
      </c>
      <c r="B268" s="1" t="s">
        <v>642</v>
      </c>
      <c r="C268" s="1" t="s">
        <v>508</v>
      </c>
      <c r="D268" s="1" t="s">
        <v>154</v>
      </c>
      <c r="E268" s="1" t="s">
        <v>36</v>
      </c>
      <c r="F268" s="1" t="s">
        <v>36</v>
      </c>
      <c r="G268" s="1">
        <v>291.0</v>
      </c>
      <c r="H268" s="1">
        <v>322.0</v>
      </c>
      <c r="I268" s="1">
        <v>277.0</v>
      </c>
      <c r="J268" s="1">
        <v>326.0</v>
      </c>
      <c r="K268" s="1">
        <v>284.0</v>
      </c>
      <c r="L268" s="1" t="s">
        <v>36</v>
      </c>
      <c r="M268" s="1">
        <v>271.0</v>
      </c>
      <c r="N268" s="1">
        <v>246.0</v>
      </c>
      <c r="O268" s="1">
        <v>228.0</v>
      </c>
      <c r="P268" s="1">
        <v>27.04</v>
      </c>
      <c r="Q268" s="1">
        <v>22.12</v>
      </c>
      <c r="R268" s="11" t="str">
        <f t="shared" si="1"/>
        <v>WR</v>
      </c>
    </row>
    <row r="269" ht="14.25" customHeight="1">
      <c r="A269" s="1">
        <v>265.0</v>
      </c>
      <c r="B269" s="1" t="s">
        <v>687</v>
      </c>
      <c r="C269" s="1" t="s">
        <v>688</v>
      </c>
      <c r="D269" s="1" t="s">
        <v>128</v>
      </c>
      <c r="E269" s="1">
        <v>169.0</v>
      </c>
      <c r="F269" s="1">
        <v>199.0</v>
      </c>
      <c r="G269" s="1" t="s">
        <v>36</v>
      </c>
      <c r="H269" s="1">
        <v>281.0</v>
      </c>
      <c r="I269" s="1">
        <v>249.0</v>
      </c>
      <c r="J269" s="1">
        <v>187.0</v>
      </c>
      <c r="K269" s="1">
        <v>239.0</v>
      </c>
      <c r="L269" s="1" t="s">
        <v>36</v>
      </c>
      <c r="M269" s="1">
        <v>235.0</v>
      </c>
      <c r="N269" s="1" t="s">
        <v>36</v>
      </c>
      <c r="O269" s="1" t="s">
        <v>36</v>
      </c>
      <c r="P269" s="1">
        <v>27.05</v>
      </c>
      <c r="Q269" s="1">
        <v>23.01</v>
      </c>
      <c r="R269" s="11" t="str">
        <f t="shared" si="1"/>
        <v>DE</v>
      </c>
    </row>
    <row r="270" ht="14.25" customHeight="1">
      <c r="A270" s="1">
        <v>266.0</v>
      </c>
      <c r="B270" s="1" t="s">
        <v>721</v>
      </c>
      <c r="C270" s="1" t="s">
        <v>1105</v>
      </c>
      <c r="D270" s="1" t="s">
        <v>125</v>
      </c>
      <c r="E270" s="1">
        <v>217.0</v>
      </c>
      <c r="F270" s="1">
        <v>208.0</v>
      </c>
      <c r="G270" s="1">
        <v>299.0</v>
      </c>
      <c r="H270" s="1">
        <v>233.0</v>
      </c>
      <c r="I270" s="1">
        <v>209.0</v>
      </c>
      <c r="J270" s="1">
        <v>157.0</v>
      </c>
      <c r="K270" s="1" t="s">
        <v>36</v>
      </c>
      <c r="L270" s="1" t="s">
        <v>36</v>
      </c>
      <c r="M270" s="1">
        <v>242.0</v>
      </c>
      <c r="N270" s="1" t="s">
        <v>36</v>
      </c>
      <c r="O270" s="1" t="s">
        <v>36</v>
      </c>
      <c r="P270" s="1">
        <v>27.06</v>
      </c>
      <c r="Q270" s="1">
        <v>23.02</v>
      </c>
      <c r="R270" s="11" t="str">
        <f t="shared" si="1"/>
        <v>DE</v>
      </c>
    </row>
    <row r="271" ht="14.25" customHeight="1">
      <c r="A271" s="1">
        <v>267.0</v>
      </c>
      <c r="B271" s="1" t="s">
        <v>679</v>
      </c>
      <c r="C271" s="1" t="s">
        <v>912</v>
      </c>
      <c r="D271" s="1" t="s">
        <v>119</v>
      </c>
      <c r="E271" s="1" t="s">
        <v>36</v>
      </c>
      <c r="F271" s="1" t="s">
        <v>36</v>
      </c>
      <c r="G271" s="1" t="s">
        <v>36</v>
      </c>
      <c r="H271" s="1">
        <v>209.0</v>
      </c>
      <c r="I271" s="1">
        <v>237.0</v>
      </c>
      <c r="J271" s="1">
        <v>295.0</v>
      </c>
      <c r="K271" s="1" t="s">
        <v>36</v>
      </c>
      <c r="L271" s="1">
        <v>229.0</v>
      </c>
      <c r="M271" s="1">
        <v>252.0</v>
      </c>
      <c r="N271" s="1">
        <v>202.0</v>
      </c>
      <c r="O271" s="1">
        <v>211.0</v>
      </c>
      <c r="P271" s="1">
        <v>27.07</v>
      </c>
      <c r="Q271" s="1">
        <v>23.03</v>
      </c>
      <c r="R271" s="11" t="str">
        <f t="shared" si="1"/>
        <v>RB</v>
      </c>
    </row>
    <row r="272" ht="14.25" customHeight="1">
      <c r="A272" s="1">
        <v>268.0</v>
      </c>
      <c r="B272" s="1" t="s">
        <v>665</v>
      </c>
      <c r="C272" s="1" t="s">
        <v>257</v>
      </c>
      <c r="D272" s="1" t="s">
        <v>195</v>
      </c>
      <c r="E272" s="1" t="s">
        <v>36</v>
      </c>
      <c r="F272" s="1">
        <v>269.0</v>
      </c>
      <c r="G272" s="1" t="s">
        <v>36</v>
      </c>
      <c r="H272" s="1">
        <v>199.0</v>
      </c>
      <c r="I272" s="1">
        <v>264.0</v>
      </c>
      <c r="J272" s="1" t="s">
        <v>36</v>
      </c>
      <c r="K272" s="1">
        <v>272.0</v>
      </c>
      <c r="L272" s="1" t="s">
        <v>36</v>
      </c>
      <c r="M272" s="1">
        <v>256.0</v>
      </c>
      <c r="N272" s="1">
        <v>195.0</v>
      </c>
      <c r="O272" s="1">
        <v>190.0</v>
      </c>
      <c r="P272" s="1">
        <v>27.08</v>
      </c>
      <c r="Q272" s="1">
        <v>23.04</v>
      </c>
      <c r="R272" s="11" t="str">
        <f t="shared" si="1"/>
        <v>TE</v>
      </c>
    </row>
    <row r="273" ht="14.25" customHeight="1">
      <c r="A273" s="1">
        <v>269.0</v>
      </c>
      <c r="B273" s="1" t="s">
        <v>648</v>
      </c>
      <c r="C273" s="1" t="s">
        <v>926</v>
      </c>
      <c r="D273" s="1" t="s">
        <v>237</v>
      </c>
      <c r="E273" s="1" t="s">
        <v>36</v>
      </c>
      <c r="F273" s="1" t="s">
        <v>36</v>
      </c>
      <c r="G273" s="1" t="s">
        <v>36</v>
      </c>
      <c r="H273" s="1">
        <v>242.0</v>
      </c>
      <c r="I273" s="1">
        <v>245.0</v>
      </c>
      <c r="J273" s="1" t="s">
        <v>36</v>
      </c>
      <c r="K273" s="1">
        <v>269.0</v>
      </c>
      <c r="L273" s="1">
        <v>237.0</v>
      </c>
      <c r="M273" s="1">
        <v>260.0</v>
      </c>
      <c r="N273" s="1">
        <v>179.0</v>
      </c>
      <c r="O273" s="1">
        <v>220.0</v>
      </c>
      <c r="P273" s="1">
        <v>27.09</v>
      </c>
      <c r="Q273" s="1">
        <v>23.05</v>
      </c>
      <c r="R273" s="11" t="str">
        <f t="shared" si="1"/>
        <v>WR</v>
      </c>
    </row>
    <row r="274" ht="14.25" customHeight="1">
      <c r="A274" s="1">
        <v>270.0</v>
      </c>
      <c r="B274" s="1" t="s">
        <v>652</v>
      </c>
      <c r="C274" s="1" t="s">
        <v>1098</v>
      </c>
      <c r="D274" s="1" t="s">
        <v>206</v>
      </c>
      <c r="E274" s="1" t="s">
        <v>36</v>
      </c>
      <c r="F274" s="1" t="s">
        <v>36</v>
      </c>
      <c r="G274" s="1">
        <v>305.0</v>
      </c>
      <c r="H274" s="1">
        <v>250.0</v>
      </c>
      <c r="I274" s="1">
        <v>232.0</v>
      </c>
      <c r="J274" s="1" t="s">
        <v>36</v>
      </c>
      <c r="K274" s="1">
        <v>261.0</v>
      </c>
      <c r="L274" s="1" t="s">
        <v>36</v>
      </c>
      <c r="M274" s="1">
        <v>246.0</v>
      </c>
      <c r="N274" s="1">
        <v>203.0</v>
      </c>
      <c r="O274" s="1">
        <v>197.0</v>
      </c>
      <c r="P274" s="1">
        <v>27.1</v>
      </c>
      <c r="Q274" s="1">
        <v>23.06</v>
      </c>
      <c r="R274" s="11" t="str">
        <f t="shared" si="1"/>
        <v>WR</v>
      </c>
    </row>
    <row r="275" ht="14.25" customHeight="1">
      <c r="A275" s="1">
        <v>271.0</v>
      </c>
      <c r="B275" s="1" t="s">
        <v>691</v>
      </c>
      <c r="C275" s="1" t="s">
        <v>993</v>
      </c>
      <c r="D275" s="1" t="s">
        <v>49</v>
      </c>
      <c r="E275" s="1" t="s">
        <v>36</v>
      </c>
      <c r="F275" s="1" t="s">
        <v>36</v>
      </c>
      <c r="G275" s="1" t="s">
        <v>36</v>
      </c>
      <c r="H275" s="1">
        <v>241.0</v>
      </c>
      <c r="I275" s="1">
        <v>274.0</v>
      </c>
      <c r="J275" s="1">
        <v>282.0</v>
      </c>
      <c r="K275" s="1">
        <v>270.0</v>
      </c>
      <c r="L275" s="1" t="s">
        <v>36</v>
      </c>
      <c r="M275" s="1">
        <v>286.0</v>
      </c>
      <c r="N275" s="1">
        <v>238.0</v>
      </c>
      <c r="O275" s="1">
        <v>242.0</v>
      </c>
      <c r="P275" s="1">
        <v>28.01</v>
      </c>
      <c r="Q275" s="1">
        <v>23.07</v>
      </c>
      <c r="R275" s="11" t="str">
        <f t="shared" si="1"/>
        <v>TE</v>
      </c>
    </row>
    <row r="276" ht="14.25" customHeight="1">
      <c r="A276" s="1">
        <v>272.0</v>
      </c>
      <c r="B276" s="1" t="s">
        <v>685</v>
      </c>
      <c r="C276" s="1" t="s">
        <v>382</v>
      </c>
      <c r="D276" s="1" t="s">
        <v>131</v>
      </c>
      <c r="E276" s="1" t="s">
        <v>36</v>
      </c>
      <c r="F276" s="1" t="s">
        <v>36</v>
      </c>
      <c r="G276" s="1">
        <v>298.0</v>
      </c>
      <c r="H276" s="1">
        <v>274.0</v>
      </c>
      <c r="I276" s="1">
        <v>269.0</v>
      </c>
      <c r="J276" s="1" t="s">
        <v>36</v>
      </c>
      <c r="K276" s="1">
        <v>275.0</v>
      </c>
      <c r="L276" s="1" t="s">
        <v>36</v>
      </c>
      <c r="M276" s="1">
        <v>251.0</v>
      </c>
      <c r="N276" s="1">
        <v>231.0</v>
      </c>
      <c r="O276" s="1">
        <v>264.0</v>
      </c>
      <c r="P276" s="1">
        <v>28.02</v>
      </c>
      <c r="Q276" s="1">
        <v>23.08</v>
      </c>
      <c r="R276" s="11" t="str">
        <f t="shared" si="1"/>
        <v>QB</v>
      </c>
    </row>
    <row r="277" ht="14.25" customHeight="1">
      <c r="A277" s="1">
        <v>273.0</v>
      </c>
      <c r="B277" s="1" t="s">
        <v>689</v>
      </c>
      <c r="C277" s="1" t="s">
        <v>366</v>
      </c>
      <c r="D277" s="1" t="s">
        <v>192</v>
      </c>
      <c r="E277" s="1" t="s">
        <v>36</v>
      </c>
      <c r="F277" s="1" t="s">
        <v>36</v>
      </c>
      <c r="G277" s="1" t="s">
        <v>36</v>
      </c>
      <c r="H277" s="1">
        <v>177.0</v>
      </c>
      <c r="I277" s="1">
        <v>208.0</v>
      </c>
      <c r="J277" s="1" t="s">
        <v>36</v>
      </c>
      <c r="K277" s="1" t="s">
        <v>36</v>
      </c>
      <c r="L277" s="1">
        <v>164.0</v>
      </c>
      <c r="M277" s="1">
        <v>219.0</v>
      </c>
      <c r="N277" s="1">
        <v>172.0</v>
      </c>
      <c r="O277" s="1">
        <v>186.0</v>
      </c>
      <c r="P277" s="1">
        <v>28.03</v>
      </c>
      <c r="Q277" s="1">
        <v>23.09</v>
      </c>
      <c r="R277" s="11" t="str">
        <f t="shared" si="1"/>
        <v>RB</v>
      </c>
    </row>
    <row r="278" ht="14.25" customHeight="1">
      <c r="A278" s="1">
        <v>274.0</v>
      </c>
      <c r="B278" s="1" t="s">
        <v>656</v>
      </c>
      <c r="C278" s="1" t="s">
        <v>1136</v>
      </c>
      <c r="D278" s="1" t="s">
        <v>116</v>
      </c>
      <c r="E278" s="1" t="s">
        <v>36</v>
      </c>
      <c r="F278" s="1">
        <v>245.0</v>
      </c>
      <c r="G278" s="1" t="s">
        <v>36</v>
      </c>
      <c r="H278" s="1">
        <v>303.0</v>
      </c>
      <c r="I278" s="1">
        <v>278.0</v>
      </c>
      <c r="J278" s="1">
        <v>307.0</v>
      </c>
      <c r="K278" s="1" t="s">
        <v>36</v>
      </c>
      <c r="L278" s="1" t="s">
        <v>36</v>
      </c>
      <c r="M278" s="1">
        <v>283.0</v>
      </c>
      <c r="N278" s="1">
        <v>254.0</v>
      </c>
      <c r="O278" s="1">
        <v>258.0</v>
      </c>
      <c r="P278" s="1">
        <v>28.04</v>
      </c>
      <c r="Q278" s="1">
        <v>23.1</v>
      </c>
      <c r="R278" s="11" t="str">
        <f t="shared" si="1"/>
        <v>WR</v>
      </c>
    </row>
    <row r="279" ht="14.25" customHeight="1">
      <c r="A279" s="1">
        <v>275.0</v>
      </c>
      <c r="B279" s="1" t="s">
        <v>733</v>
      </c>
      <c r="C279" s="1" t="s">
        <v>1115</v>
      </c>
      <c r="D279" s="1" t="s">
        <v>52</v>
      </c>
      <c r="E279" s="1" t="s">
        <v>36</v>
      </c>
      <c r="F279" s="1">
        <v>279.0</v>
      </c>
      <c r="G279" s="1" t="s">
        <v>36</v>
      </c>
      <c r="H279" s="1">
        <v>295.0</v>
      </c>
      <c r="I279" s="1" t="s">
        <v>36</v>
      </c>
      <c r="J279" s="1">
        <v>305.0</v>
      </c>
      <c r="K279" s="1">
        <v>278.0</v>
      </c>
      <c r="L279" s="1" t="s">
        <v>36</v>
      </c>
      <c r="M279" s="1">
        <v>276.0</v>
      </c>
      <c r="N279" s="1">
        <v>241.0</v>
      </c>
      <c r="O279" s="1">
        <v>257.0</v>
      </c>
      <c r="P279" s="1">
        <v>28.05</v>
      </c>
      <c r="Q279" s="1">
        <v>23.11</v>
      </c>
      <c r="R279" s="11" t="str">
        <f t="shared" si="1"/>
        <v>QB</v>
      </c>
    </row>
    <row r="280" ht="14.25" customHeight="1">
      <c r="A280" s="1">
        <v>276.0</v>
      </c>
      <c r="B280" s="1" t="s">
        <v>654</v>
      </c>
      <c r="C280" s="1" t="s">
        <v>593</v>
      </c>
      <c r="D280" s="1" t="s">
        <v>206</v>
      </c>
      <c r="E280" s="1">
        <v>195.0</v>
      </c>
      <c r="F280" s="1">
        <v>164.0</v>
      </c>
      <c r="G280" s="1">
        <v>256.0</v>
      </c>
      <c r="H280" s="1">
        <v>240.0</v>
      </c>
      <c r="I280" s="1" t="s">
        <v>36</v>
      </c>
      <c r="J280" s="1">
        <v>156.0</v>
      </c>
      <c r="K280" s="1">
        <v>178.0</v>
      </c>
      <c r="L280" s="1" t="s">
        <v>36</v>
      </c>
      <c r="M280" s="1" t="s">
        <v>36</v>
      </c>
      <c r="N280" s="1" t="s">
        <v>36</v>
      </c>
      <c r="O280" s="1" t="s">
        <v>36</v>
      </c>
      <c r="P280" s="1">
        <v>28.06</v>
      </c>
      <c r="Q280" s="1">
        <v>23.12</v>
      </c>
      <c r="R280" s="11" t="str">
        <f t="shared" si="1"/>
        <v>K-</v>
      </c>
    </row>
    <row r="281" ht="14.25" customHeight="1">
      <c r="A281" s="1">
        <v>277.0</v>
      </c>
      <c r="B281" s="1" t="s">
        <v>731</v>
      </c>
      <c r="C281" s="1" t="s">
        <v>902</v>
      </c>
      <c r="D281" s="1" t="s">
        <v>94</v>
      </c>
      <c r="E281" s="1" t="s">
        <v>36</v>
      </c>
      <c r="F281" s="1">
        <v>248.0</v>
      </c>
      <c r="G281" s="1">
        <v>343.0</v>
      </c>
      <c r="H281" s="1">
        <v>333.0</v>
      </c>
      <c r="I281" s="1">
        <v>273.0</v>
      </c>
      <c r="J281" s="1">
        <v>217.0</v>
      </c>
      <c r="K281" s="1">
        <v>245.0</v>
      </c>
      <c r="L281" s="1" t="s">
        <v>36</v>
      </c>
      <c r="M281" s="1">
        <v>282.0</v>
      </c>
      <c r="N281" s="1" t="s">
        <v>36</v>
      </c>
      <c r="O281" s="1" t="s">
        <v>36</v>
      </c>
      <c r="P281" s="1">
        <v>28.07</v>
      </c>
      <c r="Q281" s="1">
        <v>24.01</v>
      </c>
      <c r="R281" s="11" t="str">
        <f t="shared" si="1"/>
        <v>DE</v>
      </c>
    </row>
    <row r="282" ht="14.25" customHeight="1">
      <c r="A282" s="1">
        <v>278.0</v>
      </c>
      <c r="B282" s="1" t="s">
        <v>658</v>
      </c>
      <c r="C282" s="1" t="s">
        <v>954</v>
      </c>
      <c r="D282" s="1" t="s">
        <v>40</v>
      </c>
      <c r="E282" s="1">
        <v>193.0</v>
      </c>
      <c r="F282" s="1">
        <v>196.0</v>
      </c>
      <c r="G282" s="1" t="s">
        <v>36</v>
      </c>
      <c r="H282" s="1">
        <v>269.0</v>
      </c>
      <c r="I282" s="1" t="s">
        <v>36</v>
      </c>
      <c r="J282" s="1">
        <v>171.0</v>
      </c>
      <c r="K282" s="1">
        <v>159.0</v>
      </c>
      <c r="L282" s="1">
        <v>246.0</v>
      </c>
      <c r="M282" s="1" t="s">
        <v>36</v>
      </c>
      <c r="N282" s="1" t="s">
        <v>36</v>
      </c>
      <c r="O282" s="1" t="s">
        <v>36</v>
      </c>
      <c r="P282" s="1">
        <v>28.08</v>
      </c>
      <c r="Q282" s="1">
        <v>24.02</v>
      </c>
      <c r="R282" s="11" t="str">
        <f t="shared" si="1"/>
        <v>K-</v>
      </c>
    </row>
    <row r="283" ht="14.25" customHeight="1">
      <c r="A283" s="1">
        <v>279.0</v>
      </c>
      <c r="B283" s="1" t="s">
        <v>693</v>
      </c>
      <c r="C283" s="1" t="s">
        <v>920</v>
      </c>
      <c r="D283" s="1" t="s">
        <v>102</v>
      </c>
      <c r="E283" s="1" t="s">
        <v>36</v>
      </c>
      <c r="F283" s="1" t="s">
        <v>36</v>
      </c>
      <c r="G283" s="1">
        <v>313.0</v>
      </c>
      <c r="H283" s="1">
        <v>293.0</v>
      </c>
      <c r="I283" s="1">
        <v>268.0</v>
      </c>
      <c r="J283" s="1">
        <v>252.0</v>
      </c>
      <c r="K283" s="1">
        <v>287.0</v>
      </c>
      <c r="L283" s="1" t="s">
        <v>36</v>
      </c>
      <c r="M283" s="1" t="s">
        <v>36</v>
      </c>
      <c r="N283" s="1">
        <v>283.0</v>
      </c>
      <c r="O283" s="1">
        <v>300.0</v>
      </c>
      <c r="P283" s="1">
        <v>28.09</v>
      </c>
      <c r="Q283" s="1">
        <v>24.03</v>
      </c>
      <c r="R283" s="11" t="str">
        <f t="shared" si="1"/>
        <v>RB</v>
      </c>
    </row>
    <row r="284" ht="14.25" customHeight="1">
      <c r="A284" s="1">
        <v>280.0</v>
      </c>
      <c r="B284" s="1" t="s">
        <v>667</v>
      </c>
      <c r="C284" s="1" t="s">
        <v>602</v>
      </c>
      <c r="D284" s="1" t="s">
        <v>109</v>
      </c>
      <c r="E284" s="1">
        <v>208.0</v>
      </c>
      <c r="F284" s="1">
        <v>177.0</v>
      </c>
      <c r="G284" s="1">
        <v>230.0</v>
      </c>
      <c r="H284" s="1">
        <v>257.0</v>
      </c>
      <c r="I284" s="1" t="s">
        <v>36</v>
      </c>
      <c r="J284" s="1">
        <v>200.0</v>
      </c>
      <c r="K284" s="1">
        <v>182.0</v>
      </c>
      <c r="L284" s="1" t="s">
        <v>36</v>
      </c>
      <c r="M284" s="1" t="s">
        <v>36</v>
      </c>
      <c r="N284" s="1" t="s">
        <v>36</v>
      </c>
      <c r="O284" s="1" t="s">
        <v>36</v>
      </c>
      <c r="P284" s="1">
        <v>28.1</v>
      </c>
      <c r="Q284" s="1">
        <v>24.04</v>
      </c>
      <c r="R284" s="11" t="str">
        <f t="shared" si="1"/>
        <v>K-</v>
      </c>
    </row>
    <row r="285" ht="14.25" customHeight="1">
      <c r="A285" s="1">
        <v>281.0</v>
      </c>
      <c r="B285" s="1" t="s">
        <v>671</v>
      </c>
      <c r="C285" s="1" t="s">
        <v>913</v>
      </c>
      <c r="D285" s="1" t="s">
        <v>71</v>
      </c>
      <c r="E285" s="1" t="s">
        <v>36</v>
      </c>
      <c r="F285" s="1" t="s">
        <v>36</v>
      </c>
      <c r="G285" s="1" t="s">
        <v>36</v>
      </c>
      <c r="H285" s="1">
        <v>340.0</v>
      </c>
      <c r="I285" s="1">
        <v>270.0</v>
      </c>
      <c r="J285" s="1">
        <v>284.0</v>
      </c>
      <c r="K285" s="1">
        <v>319.0</v>
      </c>
      <c r="L285" s="1" t="s">
        <v>36</v>
      </c>
      <c r="M285" s="1">
        <v>268.0</v>
      </c>
      <c r="N285" s="1">
        <v>284.0</v>
      </c>
      <c r="O285" s="1">
        <v>260.0</v>
      </c>
      <c r="P285" s="1">
        <v>29.01</v>
      </c>
      <c r="Q285" s="1">
        <v>24.05</v>
      </c>
      <c r="R285" s="11" t="str">
        <f t="shared" si="1"/>
        <v>WR</v>
      </c>
    </row>
    <row r="286" ht="14.25" customHeight="1">
      <c r="A286" s="1">
        <v>282.0</v>
      </c>
      <c r="B286" s="1" t="s">
        <v>704</v>
      </c>
      <c r="C286" s="1" t="s">
        <v>984</v>
      </c>
      <c r="D286" s="1" t="s">
        <v>192</v>
      </c>
      <c r="E286" s="1">
        <v>153.0</v>
      </c>
      <c r="F286" s="1">
        <v>183.0</v>
      </c>
      <c r="G286" s="1">
        <v>269.0</v>
      </c>
      <c r="H286" s="1">
        <v>236.0</v>
      </c>
      <c r="I286" s="1" t="s">
        <v>36</v>
      </c>
      <c r="J286" s="1">
        <v>181.0</v>
      </c>
      <c r="K286" s="1">
        <v>257.0</v>
      </c>
      <c r="L286" s="1" t="s">
        <v>36</v>
      </c>
      <c r="M286" s="1" t="s">
        <v>36</v>
      </c>
      <c r="N286" s="1" t="s">
        <v>36</v>
      </c>
      <c r="O286" s="1" t="s">
        <v>36</v>
      </c>
      <c r="P286" s="1">
        <v>29.02</v>
      </c>
      <c r="Q286" s="1">
        <v>24.06</v>
      </c>
      <c r="R286" s="11" t="str">
        <f t="shared" si="1"/>
        <v>K-</v>
      </c>
    </row>
    <row r="287" ht="14.25" customHeight="1">
      <c r="A287" s="1">
        <v>283.0</v>
      </c>
      <c r="B287" s="1" t="s">
        <v>711</v>
      </c>
      <c r="C287" s="1" t="s">
        <v>923</v>
      </c>
      <c r="D287" s="1" t="s">
        <v>94</v>
      </c>
      <c r="E287" s="1">
        <v>188.0</v>
      </c>
      <c r="F287" s="1">
        <v>175.0</v>
      </c>
      <c r="G287" s="1">
        <v>270.0</v>
      </c>
      <c r="H287" s="1">
        <v>316.0</v>
      </c>
      <c r="I287" s="1" t="s">
        <v>36</v>
      </c>
      <c r="J287" s="1">
        <v>108.0</v>
      </c>
      <c r="K287" s="1" t="s">
        <v>36</v>
      </c>
      <c r="L287" s="1">
        <v>224.0</v>
      </c>
      <c r="M287" s="1" t="s">
        <v>36</v>
      </c>
      <c r="N287" s="1" t="s">
        <v>36</v>
      </c>
      <c r="O287" s="1" t="s">
        <v>36</v>
      </c>
      <c r="P287" s="1">
        <v>29.03</v>
      </c>
      <c r="Q287" s="1">
        <v>24.07</v>
      </c>
      <c r="R287" s="11" t="str">
        <f t="shared" si="1"/>
        <v>K-</v>
      </c>
    </row>
    <row r="288" ht="14.25" customHeight="1">
      <c r="A288" s="1">
        <v>284.0</v>
      </c>
      <c r="B288" s="1" t="s">
        <v>1137</v>
      </c>
      <c r="C288" s="1" t="s">
        <v>630</v>
      </c>
      <c r="D288" s="1" t="s">
        <v>171</v>
      </c>
      <c r="E288" s="1">
        <v>212.0</v>
      </c>
      <c r="F288" s="1">
        <v>220.0</v>
      </c>
      <c r="G288" s="1" t="s">
        <v>36</v>
      </c>
      <c r="H288" s="1">
        <v>296.0</v>
      </c>
      <c r="I288" s="1">
        <v>246.0</v>
      </c>
      <c r="J288" s="1">
        <v>83.0</v>
      </c>
      <c r="K288" s="1" t="s">
        <v>36</v>
      </c>
      <c r="L288" s="1" t="s">
        <v>36</v>
      </c>
      <c r="M288" s="1">
        <v>227.0</v>
      </c>
      <c r="N288" s="1" t="s">
        <v>36</v>
      </c>
      <c r="O288" s="1" t="s">
        <v>36</v>
      </c>
      <c r="P288" s="1">
        <v>29.04</v>
      </c>
      <c r="Q288" s="1">
        <v>24.08</v>
      </c>
      <c r="R288" s="11" t="str">
        <f t="shared" si="1"/>
        <v>DE</v>
      </c>
    </row>
    <row r="289" ht="14.25" customHeight="1">
      <c r="A289" s="1">
        <v>285.0</v>
      </c>
      <c r="B289" s="1" t="s">
        <v>1138</v>
      </c>
      <c r="C289" s="1" t="s">
        <v>664</v>
      </c>
      <c r="D289" s="1" t="s">
        <v>195</v>
      </c>
      <c r="E289" s="1" t="s">
        <v>36</v>
      </c>
      <c r="F289" s="1">
        <v>215.0</v>
      </c>
      <c r="G289" s="1" t="s">
        <v>36</v>
      </c>
      <c r="H289" s="1">
        <v>318.0</v>
      </c>
      <c r="I289" s="1">
        <v>261.0</v>
      </c>
      <c r="J289" s="1">
        <v>125.0</v>
      </c>
      <c r="K289" s="1" t="s">
        <v>36</v>
      </c>
      <c r="L289" s="1">
        <v>217.0</v>
      </c>
      <c r="M289" s="1">
        <v>253.0</v>
      </c>
      <c r="N289" s="1" t="s">
        <v>36</v>
      </c>
      <c r="O289" s="1" t="s">
        <v>36</v>
      </c>
      <c r="P289" s="1">
        <v>29.05</v>
      </c>
      <c r="Q289" s="1">
        <v>24.09</v>
      </c>
      <c r="R289" s="11" t="str">
        <f t="shared" si="1"/>
        <v>DE</v>
      </c>
    </row>
    <row r="290" ht="14.25" customHeight="1">
      <c r="A290" s="1">
        <v>286.0</v>
      </c>
      <c r="B290" s="1" t="s">
        <v>673</v>
      </c>
      <c r="C290" s="1" t="s">
        <v>517</v>
      </c>
      <c r="D290" s="1" t="s">
        <v>94</v>
      </c>
      <c r="E290" s="1" t="s">
        <v>36</v>
      </c>
      <c r="F290" s="1" t="s">
        <v>36</v>
      </c>
      <c r="G290" s="1" t="s">
        <v>36</v>
      </c>
      <c r="H290" s="1">
        <v>246.0</v>
      </c>
      <c r="I290" s="1">
        <v>259.0</v>
      </c>
      <c r="J290" s="1" t="s">
        <v>36</v>
      </c>
      <c r="K290" s="1" t="s">
        <v>36</v>
      </c>
      <c r="L290" s="1">
        <v>249.0</v>
      </c>
      <c r="M290" s="1">
        <v>277.0</v>
      </c>
      <c r="N290" s="1">
        <v>194.0</v>
      </c>
      <c r="O290" s="1">
        <v>196.0</v>
      </c>
      <c r="P290" s="1">
        <v>29.06</v>
      </c>
      <c r="Q290" s="1">
        <v>24.1</v>
      </c>
      <c r="R290" s="11" t="str">
        <f t="shared" si="1"/>
        <v>WR</v>
      </c>
    </row>
    <row r="291" ht="14.25" customHeight="1">
      <c r="A291" s="1">
        <v>287.0</v>
      </c>
      <c r="B291" s="1" t="s">
        <v>1139</v>
      </c>
      <c r="C291" s="1" t="s">
        <v>918</v>
      </c>
      <c r="D291" s="1" t="s">
        <v>62</v>
      </c>
      <c r="E291" s="1" t="s">
        <v>36</v>
      </c>
      <c r="F291" s="1">
        <v>180.0</v>
      </c>
      <c r="G291" s="1" t="s">
        <v>36</v>
      </c>
      <c r="H291" s="1">
        <v>331.0</v>
      </c>
      <c r="I291" s="1">
        <v>271.0</v>
      </c>
      <c r="J291" s="1">
        <v>234.0</v>
      </c>
      <c r="K291" s="1">
        <v>290.0</v>
      </c>
      <c r="L291" s="1" t="s">
        <v>36</v>
      </c>
      <c r="M291" s="1">
        <v>264.0</v>
      </c>
      <c r="N291" s="1" t="s">
        <v>36</v>
      </c>
      <c r="O291" s="1" t="s">
        <v>36</v>
      </c>
      <c r="P291" s="1">
        <v>29.07</v>
      </c>
      <c r="Q291" s="1">
        <v>24.11</v>
      </c>
      <c r="R291" s="11" t="str">
        <f t="shared" si="1"/>
        <v>DE</v>
      </c>
    </row>
    <row r="292" ht="14.25" customHeight="1">
      <c r="A292" s="1">
        <v>288.0</v>
      </c>
      <c r="B292" s="1" t="s">
        <v>683</v>
      </c>
      <c r="C292" s="1" t="s">
        <v>1114</v>
      </c>
      <c r="D292" s="1" t="s">
        <v>40</v>
      </c>
      <c r="E292" s="1" t="s">
        <v>36</v>
      </c>
      <c r="F292" s="1" t="s">
        <v>36</v>
      </c>
      <c r="G292" s="1" t="s">
        <v>36</v>
      </c>
      <c r="H292" s="1">
        <v>263.0</v>
      </c>
      <c r="I292" s="1">
        <v>258.0</v>
      </c>
      <c r="J292" s="1">
        <v>345.0</v>
      </c>
      <c r="K292" s="1" t="s">
        <v>36</v>
      </c>
      <c r="L292" s="1" t="s">
        <v>36</v>
      </c>
      <c r="M292" s="1">
        <v>265.0</v>
      </c>
      <c r="N292" s="1">
        <v>218.0</v>
      </c>
      <c r="O292" s="1">
        <v>229.0</v>
      </c>
      <c r="P292" s="1">
        <v>29.08</v>
      </c>
      <c r="Q292" s="1">
        <v>24.12</v>
      </c>
      <c r="R292" s="11" t="str">
        <f t="shared" si="1"/>
        <v>WR</v>
      </c>
    </row>
    <row r="293" ht="14.25" customHeight="1">
      <c r="A293" s="1">
        <v>289.0</v>
      </c>
      <c r="B293" s="1" t="s">
        <v>700</v>
      </c>
      <c r="C293" s="1" t="s">
        <v>446</v>
      </c>
      <c r="D293" s="1" t="s">
        <v>49</v>
      </c>
      <c r="E293" s="1" t="s">
        <v>36</v>
      </c>
      <c r="F293" s="1">
        <v>259.0</v>
      </c>
      <c r="G293" s="1" t="s">
        <v>36</v>
      </c>
      <c r="H293" s="1">
        <v>264.0</v>
      </c>
      <c r="I293" s="1" t="s">
        <v>36</v>
      </c>
      <c r="J293" s="1" t="s">
        <v>36</v>
      </c>
      <c r="K293" s="1">
        <v>256.0</v>
      </c>
      <c r="L293" s="1" t="s">
        <v>36</v>
      </c>
      <c r="M293" s="1">
        <v>292.0</v>
      </c>
      <c r="N293" s="1">
        <v>263.0</v>
      </c>
      <c r="O293" s="1">
        <v>247.0</v>
      </c>
      <c r="P293" s="1">
        <v>29.09</v>
      </c>
      <c r="Q293" s="1">
        <v>25.01</v>
      </c>
      <c r="R293" s="11" t="str">
        <f t="shared" si="1"/>
        <v>TE</v>
      </c>
    </row>
    <row r="294" ht="14.25" customHeight="1">
      <c r="A294" s="1">
        <v>290.0</v>
      </c>
      <c r="B294" s="1" t="s">
        <v>697</v>
      </c>
      <c r="C294" s="1" t="s">
        <v>1118</v>
      </c>
      <c r="D294" s="1" t="s">
        <v>105</v>
      </c>
      <c r="E294" s="1" t="s">
        <v>36</v>
      </c>
      <c r="F294" s="1">
        <v>271.0</v>
      </c>
      <c r="G294" s="1" t="s">
        <v>36</v>
      </c>
      <c r="H294" s="1">
        <v>284.0</v>
      </c>
      <c r="I294" s="1">
        <v>276.0</v>
      </c>
      <c r="J294" s="1" t="s">
        <v>36</v>
      </c>
      <c r="K294" s="1" t="s">
        <v>36</v>
      </c>
      <c r="L294" s="1" t="s">
        <v>36</v>
      </c>
      <c r="M294" s="1">
        <v>284.0</v>
      </c>
      <c r="N294" s="1">
        <v>243.0</v>
      </c>
      <c r="O294" s="1">
        <v>225.0</v>
      </c>
      <c r="P294" s="1">
        <v>29.1</v>
      </c>
      <c r="Q294" s="1">
        <v>25.02</v>
      </c>
      <c r="R294" s="11" t="str">
        <f t="shared" si="1"/>
        <v>WR</v>
      </c>
    </row>
    <row r="295" ht="14.25" customHeight="1">
      <c r="A295" s="1">
        <v>291.0</v>
      </c>
      <c r="B295" s="1" t="s">
        <v>695</v>
      </c>
      <c r="C295" s="1" t="s">
        <v>835</v>
      </c>
      <c r="D295" s="1" t="s">
        <v>131</v>
      </c>
      <c r="E295" s="1" t="s">
        <v>36</v>
      </c>
      <c r="F295" s="1" t="s">
        <v>36</v>
      </c>
      <c r="G295" s="1" t="s">
        <v>36</v>
      </c>
      <c r="H295" s="1">
        <v>299.0</v>
      </c>
      <c r="I295" s="1">
        <v>265.0</v>
      </c>
      <c r="J295" s="1" t="s">
        <v>36</v>
      </c>
      <c r="K295" s="1">
        <v>249.0</v>
      </c>
      <c r="L295" s="1" t="s">
        <v>36</v>
      </c>
      <c r="M295" s="1">
        <v>248.0</v>
      </c>
      <c r="N295" s="1">
        <v>253.0</v>
      </c>
      <c r="O295" s="1">
        <v>282.0</v>
      </c>
      <c r="P295" s="1">
        <v>30.01</v>
      </c>
      <c r="Q295" s="1">
        <v>25.03</v>
      </c>
      <c r="R295" s="11" t="str">
        <f t="shared" si="1"/>
        <v>RB</v>
      </c>
    </row>
    <row r="296" ht="14.25" customHeight="1">
      <c r="A296" s="1">
        <v>292.0</v>
      </c>
      <c r="B296" s="1" t="s">
        <v>1140</v>
      </c>
      <c r="C296" s="1" t="s">
        <v>651</v>
      </c>
      <c r="D296" s="1" t="s">
        <v>40</v>
      </c>
      <c r="E296" s="1" t="s">
        <v>36</v>
      </c>
      <c r="F296" s="1">
        <v>231.0</v>
      </c>
      <c r="G296" s="1" t="s">
        <v>36</v>
      </c>
      <c r="H296" s="1">
        <v>312.0</v>
      </c>
      <c r="I296" s="1" t="s">
        <v>36</v>
      </c>
      <c r="J296" s="1">
        <v>281.0</v>
      </c>
      <c r="K296" s="1" t="s">
        <v>36</v>
      </c>
      <c r="L296" s="1" t="s">
        <v>36</v>
      </c>
      <c r="M296" s="1">
        <v>274.0</v>
      </c>
      <c r="N296" s="1">
        <v>248.0</v>
      </c>
      <c r="O296" s="1">
        <v>327.0</v>
      </c>
      <c r="P296" s="1">
        <v>30.02</v>
      </c>
      <c r="Q296" s="1">
        <v>25.04</v>
      </c>
      <c r="R296" s="11" t="str">
        <f t="shared" si="1"/>
        <v>QB</v>
      </c>
    </row>
    <row r="297" ht="14.25" customHeight="1">
      <c r="A297" s="1">
        <v>293.0</v>
      </c>
      <c r="B297" s="1" t="s">
        <v>702</v>
      </c>
      <c r="C297" s="1" t="s">
        <v>823</v>
      </c>
      <c r="D297" s="1" t="s">
        <v>67</v>
      </c>
      <c r="E297" s="1" t="s">
        <v>36</v>
      </c>
      <c r="F297" s="1" t="s">
        <v>36</v>
      </c>
      <c r="G297" s="1" t="s">
        <v>36</v>
      </c>
      <c r="H297" s="1">
        <v>276.0</v>
      </c>
      <c r="I297" s="1">
        <v>318.0</v>
      </c>
      <c r="J297" s="1">
        <v>317.0</v>
      </c>
      <c r="K297" s="1" t="s">
        <v>36</v>
      </c>
      <c r="L297" s="1" t="s">
        <v>36</v>
      </c>
      <c r="M297" s="1">
        <v>275.0</v>
      </c>
      <c r="N297" s="1">
        <v>266.0</v>
      </c>
      <c r="O297" s="1">
        <v>269.0</v>
      </c>
      <c r="P297" s="1">
        <v>30.03</v>
      </c>
      <c r="Q297" s="1">
        <v>25.05</v>
      </c>
      <c r="R297" s="11" t="str">
        <f t="shared" si="1"/>
        <v>RB</v>
      </c>
    </row>
    <row r="298" ht="14.25" customHeight="1">
      <c r="A298" s="1">
        <v>294.0</v>
      </c>
      <c r="B298" s="1" t="s">
        <v>698</v>
      </c>
      <c r="C298" s="1" t="s">
        <v>1116</v>
      </c>
      <c r="D298" s="1" t="s">
        <v>49</v>
      </c>
      <c r="E298" s="1" t="s">
        <v>36</v>
      </c>
      <c r="F298" s="1" t="s">
        <v>36</v>
      </c>
      <c r="G298" s="1">
        <v>327.0</v>
      </c>
      <c r="H298" s="1">
        <v>288.0</v>
      </c>
      <c r="I298" s="1" t="s">
        <v>36</v>
      </c>
      <c r="J298" s="1">
        <v>337.0</v>
      </c>
      <c r="K298" s="1" t="s">
        <v>36</v>
      </c>
      <c r="L298" s="1" t="s">
        <v>36</v>
      </c>
      <c r="M298" s="1">
        <v>270.0</v>
      </c>
      <c r="N298" s="1">
        <v>278.0</v>
      </c>
      <c r="O298" s="1">
        <v>243.0</v>
      </c>
      <c r="P298" s="1">
        <v>30.04</v>
      </c>
      <c r="Q298" s="1">
        <v>25.06</v>
      </c>
      <c r="R298" s="11" t="str">
        <f t="shared" si="1"/>
        <v>WR</v>
      </c>
    </row>
    <row r="299" ht="14.25" customHeight="1">
      <c r="A299" s="1">
        <v>295.0</v>
      </c>
      <c r="B299" s="1" t="s">
        <v>706</v>
      </c>
      <c r="C299" s="1" t="s">
        <v>895</v>
      </c>
      <c r="D299" s="1" t="s">
        <v>105</v>
      </c>
      <c r="E299" s="1" t="s">
        <v>36</v>
      </c>
      <c r="F299" s="1">
        <v>326.0</v>
      </c>
      <c r="G299" s="1" t="s">
        <v>36</v>
      </c>
      <c r="H299" s="1">
        <v>291.0</v>
      </c>
      <c r="I299" s="1" t="s">
        <v>36</v>
      </c>
      <c r="J299" s="1">
        <v>262.0</v>
      </c>
      <c r="K299" s="1">
        <v>311.0</v>
      </c>
      <c r="L299" s="1" t="s">
        <v>36</v>
      </c>
      <c r="M299" s="1" t="s">
        <v>36</v>
      </c>
      <c r="N299" s="1">
        <v>270.0</v>
      </c>
      <c r="O299" s="1">
        <v>284.0</v>
      </c>
      <c r="P299" s="1">
        <v>30.05</v>
      </c>
      <c r="Q299" s="1">
        <v>25.07</v>
      </c>
      <c r="R299" s="11" t="str">
        <f t="shared" si="1"/>
        <v>TE</v>
      </c>
    </row>
    <row r="300" ht="14.25" customHeight="1">
      <c r="A300" s="1">
        <v>296.0</v>
      </c>
      <c r="B300" s="1" t="s">
        <v>1141</v>
      </c>
      <c r="C300" s="1" t="s">
        <v>904</v>
      </c>
      <c r="D300" s="1" t="s">
        <v>45</v>
      </c>
      <c r="E300" s="1" t="s">
        <v>36</v>
      </c>
      <c r="F300" s="1">
        <v>223.0</v>
      </c>
      <c r="G300" s="1" t="s">
        <v>36</v>
      </c>
      <c r="H300" s="1">
        <v>323.0</v>
      </c>
      <c r="I300" s="1">
        <v>267.0</v>
      </c>
      <c r="J300" s="1">
        <v>97.0</v>
      </c>
      <c r="K300" s="1" t="s">
        <v>36</v>
      </c>
      <c r="L300" s="1" t="s">
        <v>36</v>
      </c>
      <c r="M300" s="1">
        <v>281.0</v>
      </c>
      <c r="N300" s="1" t="s">
        <v>36</v>
      </c>
      <c r="O300" s="1" t="s">
        <v>36</v>
      </c>
      <c r="P300" s="1">
        <v>30.06</v>
      </c>
      <c r="Q300" s="1">
        <v>25.08</v>
      </c>
      <c r="R300" s="11" t="str">
        <f t="shared" si="1"/>
        <v>DE</v>
      </c>
    </row>
    <row r="301" ht="14.25" customHeight="1">
      <c r="A301" s="1">
        <v>297.0</v>
      </c>
      <c r="B301" s="1" t="s">
        <v>723</v>
      </c>
      <c r="C301" s="1" t="s">
        <v>1142</v>
      </c>
      <c r="D301" s="1" t="s">
        <v>98</v>
      </c>
      <c r="E301" s="1" t="s">
        <v>36</v>
      </c>
      <c r="F301" s="1">
        <v>217.0</v>
      </c>
      <c r="G301" s="1">
        <v>315.0</v>
      </c>
      <c r="H301" s="1">
        <v>305.0</v>
      </c>
      <c r="I301" s="1" t="s">
        <v>36</v>
      </c>
      <c r="J301" s="1">
        <v>161.0</v>
      </c>
      <c r="K301" s="1">
        <v>215.0</v>
      </c>
      <c r="L301" s="1" t="s">
        <v>36</v>
      </c>
      <c r="M301" s="1" t="s">
        <v>36</v>
      </c>
      <c r="N301" s="1" t="s">
        <v>36</v>
      </c>
      <c r="O301" s="1" t="s">
        <v>36</v>
      </c>
      <c r="P301" s="1">
        <v>30.07</v>
      </c>
      <c r="Q301" s="1">
        <v>25.09</v>
      </c>
      <c r="R301" s="11" t="str">
        <f t="shared" si="1"/>
        <v>K-</v>
      </c>
    </row>
    <row r="302" ht="14.25" customHeight="1">
      <c r="A302" s="1">
        <v>298.0</v>
      </c>
      <c r="B302" s="1" t="s">
        <v>1143</v>
      </c>
      <c r="C302" s="1" t="s">
        <v>617</v>
      </c>
      <c r="D302" s="1" t="s">
        <v>75</v>
      </c>
      <c r="E302" s="1" t="s">
        <v>36</v>
      </c>
      <c r="F302" s="1">
        <v>221.0</v>
      </c>
      <c r="G302" s="1">
        <v>334.0</v>
      </c>
      <c r="H302" s="1">
        <v>285.0</v>
      </c>
      <c r="I302" s="1" t="s">
        <v>36</v>
      </c>
      <c r="J302" s="1">
        <v>196.0</v>
      </c>
      <c r="K302" s="1">
        <v>258.0</v>
      </c>
      <c r="L302" s="1" t="s">
        <v>36</v>
      </c>
      <c r="M302" s="1" t="s">
        <v>36</v>
      </c>
      <c r="N302" s="1" t="s">
        <v>36</v>
      </c>
      <c r="O302" s="1" t="s">
        <v>36</v>
      </c>
      <c r="P302" s="1">
        <v>30.08</v>
      </c>
      <c r="Q302" s="1">
        <v>25.1</v>
      </c>
      <c r="R302" s="11" t="str">
        <f t="shared" si="1"/>
        <v>K-</v>
      </c>
    </row>
    <row r="303" ht="14.25" customHeight="1">
      <c r="A303" s="1">
        <v>299.0</v>
      </c>
      <c r="B303" s="1" t="s">
        <v>1144</v>
      </c>
      <c r="C303" s="1" t="s">
        <v>722</v>
      </c>
      <c r="D303" s="1" t="s">
        <v>40</v>
      </c>
      <c r="E303" s="1" t="s">
        <v>36</v>
      </c>
      <c r="F303" s="1">
        <v>236.0</v>
      </c>
      <c r="G303" s="1">
        <v>293.0</v>
      </c>
      <c r="H303" s="1" t="s">
        <v>36</v>
      </c>
      <c r="I303" s="1">
        <v>272.0</v>
      </c>
      <c r="J303" s="1">
        <v>224.0</v>
      </c>
      <c r="K303" s="1" t="s">
        <v>36</v>
      </c>
      <c r="L303" s="1" t="s">
        <v>36</v>
      </c>
      <c r="M303" s="1">
        <v>273.0</v>
      </c>
      <c r="N303" s="1" t="s">
        <v>36</v>
      </c>
      <c r="O303" s="1" t="s">
        <v>36</v>
      </c>
      <c r="P303" s="1">
        <v>30.09</v>
      </c>
      <c r="Q303" s="1">
        <v>25.11</v>
      </c>
      <c r="R303" s="11" t="str">
        <f t="shared" si="1"/>
        <v>DE</v>
      </c>
    </row>
    <row r="304" ht="14.25" customHeight="1">
      <c r="A304" s="1">
        <v>300.0</v>
      </c>
      <c r="B304" s="1" t="s">
        <v>713</v>
      </c>
      <c r="C304" s="1" t="s">
        <v>413</v>
      </c>
      <c r="D304" s="1" t="s">
        <v>98</v>
      </c>
      <c r="E304" s="1" t="s">
        <v>36</v>
      </c>
      <c r="F304" s="1" t="s">
        <v>36</v>
      </c>
      <c r="G304" s="1" t="s">
        <v>36</v>
      </c>
      <c r="H304" s="1">
        <v>313.0</v>
      </c>
      <c r="I304" s="1">
        <v>257.0</v>
      </c>
      <c r="J304" s="1" t="s">
        <v>36</v>
      </c>
      <c r="K304" s="1" t="s">
        <v>36</v>
      </c>
      <c r="L304" s="1" t="s">
        <v>36</v>
      </c>
      <c r="M304" s="1">
        <v>266.0</v>
      </c>
      <c r="N304" s="1">
        <v>244.0</v>
      </c>
      <c r="O304" s="1">
        <v>233.0</v>
      </c>
      <c r="P304" s="1">
        <v>30.1</v>
      </c>
      <c r="Q304" s="1">
        <v>25.12</v>
      </c>
    </row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4:$R$302">
    <sortState ref="A4:R302">
      <sortCondition ref="F4:F302"/>
    </sortState>
  </autoFilter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2" width="8.71"/>
    <col customWidth="1" min="3" max="5" width="9.71"/>
    <col customWidth="1" min="6" max="6" width="8.71"/>
    <col customWidth="1" min="7" max="7" width="21.14"/>
    <col customWidth="1" min="8" max="9" width="8.71"/>
    <col customWidth="1" min="10" max="10" width="21.0"/>
    <col customWidth="1" min="11" max="14" width="8.71"/>
    <col customWidth="1" min="15" max="21" width="8.86"/>
    <col customWidth="1" min="22" max="32" width="8.71"/>
  </cols>
  <sheetData>
    <row r="1" ht="14.25" customHeight="1">
      <c r="A1" s="2" t="s">
        <v>0</v>
      </c>
      <c r="D1" s="3"/>
      <c r="E1" s="3"/>
      <c r="F1" s="3"/>
      <c r="G1" s="3"/>
      <c r="H1" s="4"/>
      <c r="I1" s="3"/>
      <c r="J1" s="3" t="s">
        <v>4</v>
      </c>
      <c r="K1" s="6">
        <v>1.0</v>
      </c>
      <c r="L1" s="6">
        <v>2.0</v>
      </c>
      <c r="M1" s="6">
        <v>3.0</v>
      </c>
      <c r="N1" s="6">
        <v>4.0</v>
      </c>
      <c r="O1" s="6">
        <v>5.0</v>
      </c>
      <c r="P1" s="6">
        <v>6.0</v>
      </c>
      <c r="Q1" s="6">
        <v>7.0</v>
      </c>
      <c r="R1" s="6">
        <v>8.0</v>
      </c>
      <c r="S1" s="6">
        <v>9.0</v>
      </c>
      <c r="T1" s="6">
        <v>10.0</v>
      </c>
      <c r="U1" s="6">
        <v>11.0</v>
      </c>
      <c r="V1" s="6">
        <v>12.0</v>
      </c>
      <c r="W1" s="6">
        <v>13.0</v>
      </c>
      <c r="X1" s="6">
        <v>14.0</v>
      </c>
      <c r="Y1" s="6">
        <v>15.0</v>
      </c>
      <c r="Z1" s="6">
        <v>16.0</v>
      </c>
      <c r="AB1" s="6"/>
      <c r="AC1" s="6"/>
      <c r="AD1" s="6"/>
      <c r="AF1" s="3"/>
    </row>
    <row r="2" ht="14.25" customHeight="1">
      <c r="A2" s="1" t="s">
        <v>26</v>
      </c>
      <c r="B2" s="3" t="s">
        <v>28</v>
      </c>
      <c r="C2" s="3"/>
      <c r="D2" s="3"/>
      <c r="E2" s="3"/>
      <c r="F2" s="3"/>
      <c r="G2" s="3"/>
      <c r="H2" s="4" t="s">
        <v>30</v>
      </c>
      <c r="I2" s="3">
        <v>3.0</v>
      </c>
      <c r="J2" s="3" t="s">
        <v>32</v>
      </c>
      <c r="K2" s="3">
        <f t="shared" ref="K2:Z2" si="1">COUNTIF($D$7:$D$301, K1)</f>
        <v>3</v>
      </c>
      <c r="L2" s="3">
        <f t="shared" si="1"/>
        <v>19</v>
      </c>
      <c r="M2" s="3">
        <f t="shared" si="1"/>
        <v>5</v>
      </c>
      <c r="N2" s="3">
        <f t="shared" si="1"/>
        <v>19</v>
      </c>
      <c r="O2" s="3">
        <f t="shared" si="1"/>
        <v>5</v>
      </c>
      <c r="P2" s="3">
        <f t="shared" si="1"/>
        <v>17</v>
      </c>
      <c r="Q2" s="3">
        <f t="shared" si="1"/>
        <v>8</v>
      </c>
      <c r="R2" s="15">
        <f t="shared" si="1"/>
        <v>0</v>
      </c>
      <c r="S2" s="3">
        <f t="shared" si="1"/>
        <v>21</v>
      </c>
      <c r="T2" s="3">
        <f t="shared" si="1"/>
        <v>3</v>
      </c>
      <c r="U2" s="3">
        <f t="shared" si="1"/>
        <v>4</v>
      </c>
      <c r="V2" s="3">
        <f t="shared" si="1"/>
        <v>1</v>
      </c>
      <c r="W2" s="3">
        <f t="shared" si="1"/>
        <v>1</v>
      </c>
      <c r="X2" s="15">
        <f t="shared" si="1"/>
        <v>0</v>
      </c>
      <c r="Y2" s="3">
        <f t="shared" si="1"/>
        <v>0</v>
      </c>
      <c r="Z2" s="3">
        <f t="shared" si="1"/>
        <v>0</v>
      </c>
      <c r="AD2" s="3"/>
      <c r="AF2" s="3"/>
    </row>
    <row r="3" ht="14.25" customHeight="1">
      <c r="B3" s="3" t="s">
        <v>41</v>
      </c>
      <c r="C3" s="3"/>
      <c r="D3" s="3"/>
      <c r="E3" s="3"/>
      <c r="F3" s="3"/>
      <c r="G3" s="3"/>
      <c r="H3" s="4" t="s">
        <v>42</v>
      </c>
      <c r="I3" s="3">
        <f>24-I2+1</f>
        <v>22</v>
      </c>
      <c r="J3" s="3" t="s">
        <v>46</v>
      </c>
      <c r="K3" s="3">
        <f>K2</f>
        <v>3</v>
      </c>
      <c r="L3" s="3">
        <f t="shared" ref="L3:Z3" si="2">K3+L2</f>
        <v>22</v>
      </c>
      <c r="M3" s="3">
        <f t="shared" si="2"/>
        <v>27</v>
      </c>
      <c r="N3" s="3">
        <f t="shared" si="2"/>
        <v>46</v>
      </c>
      <c r="O3" s="3">
        <f t="shared" si="2"/>
        <v>51</v>
      </c>
      <c r="P3" s="3">
        <f t="shared" si="2"/>
        <v>68</v>
      </c>
      <c r="Q3" s="3">
        <f t="shared" si="2"/>
        <v>76</v>
      </c>
      <c r="R3" s="3">
        <f t="shared" si="2"/>
        <v>76</v>
      </c>
      <c r="S3" s="3">
        <f t="shared" si="2"/>
        <v>97</v>
      </c>
      <c r="T3" s="3">
        <f t="shared" si="2"/>
        <v>100</v>
      </c>
      <c r="U3" s="3">
        <f t="shared" si="2"/>
        <v>104</v>
      </c>
      <c r="V3" s="3">
        <f t="shared" si="2"/>
        <v>105</v>
      </c>
      <c r="W3" s="3">
        <f t="shared" si="2"/>
        <v>106</v>
      </c>
      <c r="X3" s="3">
        <f t="shared" si="2"/>
        <v>106</v>
      </c>
      <c r="Y3" s="3">
        <f t="shared" si="2"/>
        <v>106</v>
      </c>
      <c r="Z3" s="3">
        <f t="shared" si="2"/>
        <v>106</v>
      </c>
      <c r="AD3" s="3"/>
      <c r="AF3" s="3"/>
    </row>
    <row r="4" ht="14.25" customHeight="1">
      <c r="B4" s="1" t="s">
        <v>53</v>
      </c>
      <c r="C4" s="3"/>
      <c r="D4" s="3"/>
      <c r="E4" s="3"/>
      <c r="G4" s="3"/>
      <c r="H4" s="4"/>
      <c r="I4" s="3"/>
      <c r="J4" s="3" t="s">
        <v>54</v>
      </c>
      <c r="K4" s="3">
        <f>I2</f>
        <v>3</v>
      </c>
      <c r="L4" s="3">
        <f>I3</f>
        <v>22</v>
      </c>
      <c r="M4" s="3">
        <f>L4+5</f>
        <v>27</v>
      </c>
      <c r="N4" s="3">
        <f>M4+19</f>
        <v>46</v>
      </c>
      <c r="O4" s="3">
        <f>N4+5</f>
        <v>51</v>
      </c>
      <c r="P4" s="3">
        <f>O4+19</f>
        <v>70</v>
      </c>
      <c r="Q4" s="3">
        <f>P4+5</f>
        <v>75</v>
      </c>
      <c r="R4" s="3">
        <f>Q4+19</f>
        <v>94</v>
      </c>
      <c r="S4" s="3">
        <f>R4+5</f>
        <v>99</v>
      </c>
      <c r="T4" s="3">
        <f>S4+19</f>
        <v>118</v>
      </c>
      <c r="U4" s="3">
        <f>T4+5</f>
        <v>123</v>
      </c>
      <c r="V4" s="3">
        <f>U4+19</f>
        <v>142</v>
      </c>
      <c r="W4" s="3">
        <f>V4+5</f>
        <v>147</v>
      </c>
      <c r="X4" s="3">
        <f>W4+19</f>
        <v>166</v>
      </c>
      <c r="Y4" s="3">
        <f>X4+5</f>
        <v>171</v>
      </c>
      <c r="Z4" s="3">
        <f>Y4+19</f>
        <v>190</v>
      </c>
      <c r="AD4" s="3"/>
      <c r="AF4" s="3"/>
    </row>
    <row r="5" ht="14.25" customHeight="1">
      <c r="C5" s="3"/>
      <c r="D5" s="3"/>
      <c r="E5" s="3"/>
      <c r="F5" s="3"/>
      <c r="G5" s="3"/>
      <c r="H5" s="4"/>
      <c r="I5" s="3"/>
      <c r="J5" s="3" t="s">
        <v>68</v>
      </c>
      <c r="K5" s="3">
        <f t="shared" ref="K5:Z5" si="3">K3-K4</f>
        <v>0</v>
      </c>
      <c r="L5" s="3">
        <f t="shared" si="3"/>
        <v>0</v>
      </c>
      <c r="M5" s="3">
        <f t="shared" si="3"/>
        <v>0</v>
      </c>
      <c r="N5" s="3">
        <f t="shared" si="3"/>
        <v>0</v>
      </c>
      <c r="O5" s="3">
        <f t="shared" si="3"/>
        <v>0</v>
      </c>
      <c r="P5" s="3">
        <f t="shared" si="3"/>
        <v>-2</v>
      </c>
      <c r="Q5" s="3">
        <f t="shared" si="3"/>
        <v>1</v>
      </c>
      <c r="R5" s="3">
        <f t="shared" si="3"/>
        <v>-18</v>
      </c>
      <c r="S5" s="3">
        <f t="shared" si="3"/>
        <v>-2</v>
      </c>
      <c r="T5" s="3">
        <f t="shared" si="3"/>
        <v>-18</v>
      </c>
      <c r="U5" s="3">
        <f t="shared" si="3"/>
        <v>-19</v>
      </c>
      <c r="V5" s="3">
        <f t="shared" si="3"/>
        <v>-37</v>
      </c>
      <c r="W5" s="3">
        <f t="shared" si="3"/>
        <v>-41</v>
      </c>
      <c r="X5" s="3">
        <f t="shared" si="3"/>
        <v>-60</v>
      </c>
      <c r="Y5" s="3">
        <f t="shared" si="3"/>
        <v>-65</v>
      </c>
      <c r="Z5" s="3">
        <f t="shared" si="3"/>
        <v>-84</v>
      </c>
      <c r="AD5" s="3"/>
      <c r="AF5" s="3"/>
    </row>
    <row r="6" ht="14.25" customHeight="1">
      <c r="A6" s="20" t="s">
        <v>72</v>
      </c>
      <c r="B6" s="21" t="s">
        <v>76</v>
      </c>
      <c r="C6" s="22" t="s">
        <v>77</v>
      </c>
      <c r="D6" s="22" t="s">
        <v>9</v>
      </c>
      <c r="E6" s="22" t="s">
        <v>78</v>
      </c>
      <c r="F6" s="22" t="s">
        <v>10</v>
      </c>
      <c r="G6" s="6" t="s">
        <v>5</v>
      </c>
      <c r="H6" s="6" t="s">
        <v>7</v>
      </c>
      <c r="I6" s="6" t="s">
        <v>8</v>
      </c>
      <c r="J6" s="6" t="s">
        <v>11</v>
      </c>
      <c r="K6" s="6" t="s">
        <v>12</v>
      </c>
      <c r="L6" s="23" t="s">
        <v>81</v>
      </c>
      <c r="M6" s="23" t="s">
        <v>17</v>
      </c>
      <c r="N6" s="21" t="s">
        <v>82</v>
      </c>
      <c r="O6" s="20" t="s">
        <v>16</v>
      </c>
      <c r="P6" s="24" t="s">
        <v>86</v>
      </c>
      <c r="Q6" s="20" t="s">
        <v>13</v>
      </c>
      <c r="R6" s="20" t="s">
        <v>15</v>
      </c>
      <c r="S6" s="20" t="s">
        <v>20</v>
      </c>
      <c r="T6" s="20" t="s">
        <v>27</v>
      </c>
      <c r="U6" s="20" t="s">
        <v>23</v>
      </c>
      <c r="V6" s="21" t="s">
        <v>87</v>
      </c>
      <c r="W6" s="21" t="s">
        <v>88</v>
      </c>
      <c r="X6" s="21" t="s">
        <v>89</v>
      </c>
      <c r="Y6" s="21" t="s">
        <v>90</v>
      </c>
      <c r="Z6" s="6" t="s">
        <v>14</v>
      </c>
    </row>
    <row r="7" ht="14.25" customHeight="1">
      <c r="A7" s="11"/>
      <c r="B7" s="11">
        <f t="shared" ref="B7:B266" si="4">IFERROR(INT(AVERAGE(Q7:U7)/12)+1, INT(AVERAGE(M7)/12)+1)</f>
        <v>1</v>
      </c>
      <c r="C7" s="11" t="s">
        <v>95</v>
      </c>
      <c r="D7" s="11">
        <v>1.0</v>
      </c>
      <c r="E7" s="11"/>
      <c r="F7" s="11" t="str">
        <f>VLOOKUP(G7, SeanRanks!$A$2:$E$302, 4, FALSE)</f>
        <v/>
      </c>
      <c r="G7" s="11" t="s">
        <v>57</v>
      </c>
      <c r="H7" s="11" t="str">
        <f>VLOOKUP($G7, 'ADP Data'!$C$4:$Q$300, 2, FALSE)</f>
        <v>SF</v>
      </c>
      <c r="I7" s="11">
        <f>VLOOKUP(G7, 'ADP Data'!$C$4:$R$498, 12, FALSE)</f>
        <v>7</v>
      </c>
      <c r="J7" s="26" t="str">
        <f>VLOOKUP($G7, SeanRanks!$A$2:$H$303, 5, FALSE)</f>
        <v/>
      </c>
      <c r="K7" s="11" t="str">
        <f>VLOOKUP($G7, SeanRanks!$A$2:$H$303, 6, FALSE)</f>
        <v>RB1 - 1 - Elite floor/ceiling</v>
      </c>
      <c r="L7" s="11">
        <f t="shared" ref="L7:L306" si="5">IFERROR(INT(M7/12)+1, 16)</f>
        <v>1</v>
      </c>
      <c r="M7" s="11">
        <f>VLOOKUP($G7, 'ADP Data'!$C$4:$Q$300, 9, FALSE)</f>
        <v>10</v>
      </c>
      <c r="N7" s="11">
        <f t="shared" ref="N7:N306" si="6">M7-V7</f>
        <v>2</v>
      </c>
      <c r="O7" s="11">
        <f>VLOOKUP($G7, 'ADP Data'!$C$4:$Q$300, 3, FALSE)</f>
        <v>8</v>
      </c>
      <c r="P7" s="11">
        <f t="shared" ref="P7:P306" si="7">M7-O7</f>
        <v>2</v>
      </c>
      <c r="Q7" s="11">
        <f>VLOOKUP($G7, 'ADP Data'!$C$4:$Q$300, 4, FALSE)</f>
        <v>7</v>
      </c>
      <c r="R7" s="11">
        <f>VLOOKUP($G7, 'ADP Data'!$C$4:$Q$300, 5, FALSE)</f>
        <v>7</v>
      </c>
      <c r="S7" s="11">
        <f>VLOOKUP($G7, 'ADP Data'!$C$4:$Q$300, 6, FALSE)</f>
        <v>8</v>
      </c>
      <c r="T7" s="11">
        <f>VLOOKUP($G7, 'ADP Data'!$C$4:$Q$300, 7, FALSE)</f>
        <v>7</v>
      </c>
      <c r="U7" s="11">
        <f>VLOOKUP($G7, 'ADP Data'!$C$4:$Q$300, 8, FALSE)</f>
        <v>11</v>
      </c>
      <c r="V7" s="11">
        <f t="shared" ref="V7:V306" si="8">INT(AVERAGE(M7, O7,Q7:U7))</f>
        <v>8</v>
      </c>
      <c r="W7" s="11">
        <f t="shared" ref="W7:W306" si="9">IFERROR(INT(V7/12)+1, 16)</f>
        <v>1</v>
      </c>
      <c r="X7" s="11">
        <f t="shared" ref="X7:X306" si="10">D7-W7</f>
        <v>0</v>
      </c>
      <c r="Y7" s="11">
        <f>VLOOKUP($G7, SeanRanks!$A$2:$K$303, 10, FALSE)-V7</f>
        <v>1</v>
      </c>
      <c r="Z7" s="29">
        <f>IF(VLOOKUP($G7, SeanRanks!$A$2:$H$303, 7, FALSE)=0, "", VLOOKUP($G7, SeanRanks!$A$2:$H$303, 7, FALSE))</f>
        <v>4</v>
      </c>
    </row>
    <row r="8" ht="14.25" customHeight="1">
      <c r="A8" s="11"/>
      <c r="B8" s="11">
        <f t="shared" si="4"/>
        <v>3</v>
      </c>
      <c r="C8" s="11" t="s">
        <v>95</v>
      </c>
      <c r="D8" s="11">
        <v>1.0</v>
      </c>
      <c r="E8" s="11"/>
      <c r="F8" s="11" t="str">
        <f>VLOOKUP(G8, SeanRanks!$A$2:$E$302, 4, FALSE)</f>
        <v/>
      </c>
      <c r="G8" s="11" t="s">
        <v>132</v>
      </c>
      <c r="H8" s="11" t="str">
        <f>VLOOKUP($G8, 'ADP Data'!$C$4:$Q$300, 2, FALSE)</f>
        <v>MIA</v>
      </c>
      <c r="I8" s="11">
        <f>VLOOKUP(G8, 'ADP Data'!$C$4:$R$498, 12, FALSE)</f>
        <v>33</v>
      </c>
      <c r="J8" s="30" t="str">
        <f>VLOOKUP($G8, SeanRanks!$A$2:$H$303, 5, FALSE)</f>
        <v>Yes</v>
      </c>
      <c r="K8" s="11" t="str">
        <f>IF(VLOOKUP($G8, SeanRanks!$A$2:$H$303, 6, FALSE)=0, "", VLOOKUP($G8, SeanRanks!$A$2:$H$303, 6, FALSE))</f>
        <v>WR2 - 1 - WR1 upside</v>
      </c>
      <c r="L8" s="11">
        <f t="shared" si="5"/>
        <v>3</v>
      </c>
      <c r="M8" s="11">
        <f>VLOOKUP($G8, 'ADP Data'!$C$4:$Q$300, 9, FALSE)</f>
        <v>27</v>
      </c>
      <c r="N8" s="11">
        <f t="shared" si="6"/>
        <v>-7</v>
      </c>
      <c r="O8" s="11">
        <f>VLOOKUP($G8, 'ADP Data'!$C$4:$Q$300, 3, FALSE)</f>
        <v>39</v>
      </c>
      <c r="P8" s="11">
        <f t="shared" si="7"/>
        <v>-12</v>
      </c>
      <c r="Q8" s="11">
        <f>VLOOKUP($G8, 'ADP Data'!$C$4:$Q$300, 4, FALSE)</f>
        <v>31</v>
      </c>
      <c r="R8" s="11">
        <f>VLOOKUP($G8, 'ADP Data'!$C$4:$Q$300, 5, FALSE)</f>
        <v>36</v>
      </c>
      <c r="S8" s="11">
        <f>VLOOKUP($G8, 'ADP Data'!$C$4:$Q$300, 6, FALSE)</f>
        <v>36</v>
      </c>
      <c r="T8" s="11">
        <f>VLOOKUP($G8, 'ADP Data'!$C$4:$Q$300, 7, FALSE)</f>
        <v>33</v>
      </c>
      <c r="U8" s="11">
        <f>VLOOKUP($G8, 'ADP Data'!$C$4:$Q$300, 8, FALSE)</f>
        <v>36</v>
      </c>
      <c r="V8" s="11">
        <f t="shared" si="8"/>
        <v>34</v>
      </c>
      <c r="W8" s="11">
        <f t="shared" si="9"/>
        <v>3</v>
      </c>
      <c r="X8" s="11">
        <f t="shared" si="10"/>
        <v>-2</v>
      </c>
      <c r="Y8" s="11">
        <f>VLOOKUP($G8, SeanRanks!$A$2:$K$303, 10, FALSE)-V8</f>
        <v>8</v>
      </c>
      <c r="Z8" s="29">
        <f>IF(VLOOKUP($G8, SeanRanks!$A$2:$H$303, 7, FALSE)=0, "", VLOOKUP($G8, SeanRanks!$A$2:$H$303, 7, FALSE))</f>
        <v>16</v>
      </c>
    </row>
    <row r="9" ht="14.25" customHeight="1">
      <c r="A9" s="11" t="s">
        <v>106</v>
      </c>
      <c r="B9" s="11">
        <f t="shared" si="4"/>
        <v>1</v>
      </c>
      <c r="C9" s="11" t="s">
        <v>95</v>
      </c>
      <c r="D9" s="11">
        <v>1.0</v>
      </c>
      <c r="E9" s="11" t="s">
        <v>151</v>
      </c>
      <c r="F9" s="11" t="str">
        <f>VLOOKUP(G9, SeanRanks!$A$2:$E$302, 4, FALSE)</f>
        <v/>
      </c>
      <c r="G9" s="11" t="s">
        <v>70</v>
      </c>
      <c r="H9" s="11" t="str">
        <f>VLOOKUP($G9, 'ADP Data'!$C$4:$Q$300, 2, FALSE)</f>
        <v>DAL</v>
      </c>
      <c r="I9" s="11">
        <f>VLOOKUP(G9, 'ADP Data'!$C$4:$R$498, 12, FALSE)</f>
        <v>3</v>
      </c>
      <c r="J9" s="30" t="str">
        <f>VLOOKUP($G9, SeanRanks!$A$2:$H$303, 5, FALSE)</f>
        <v/>
      </c>
      <c r="K9" s="11" t="str">
        <f>IF(VLOOKUP($G9, SeanRanks!$A$2:$H$303, 6, FALSE)=0, "", VLOOKUP($G9, SeanRanks!$A$2:$H$303, 6, FALSE))</f>
        <v>WR1 - 1 - Elite</v>
      </c>
      <c r="L9" s="11">
        <f t="shared" si="5"/>
        <v>1</v>
      </c>
      <c r="M9" s="11">
        <f>VLOOKUP($G9, 'ADP Data'!$C$4:$Q$300, 9, FALSE)</f>
        <v>6</v>
      </c>
      <c r="N9" s="11">
        <f t="shared" si="6"/>
        <v>2</v>
      </c>
      <c r="O9" s="11">
        <f>VLOOKUP($G9, 'ADP Data'!$C$4:$Q$300, 3, FALSE)</f>
        <v>5</v>
      </c>
      <c r="P9" s="11">
        <f t="shared" si="7"/>
        <v>1</v>
      </c>
      <c r="Q9" s="11">
        <f>VLOOKUP($G9, 'ADP Data'!$C$4:$Q$300, 4, FALSE)</f>
        <v>6</v>
      </c>
      <c r="R9" s="11">
        <f>VLOOKUP($G9, 'ADP Data'!$C$4:$Q$300, 5, FALSE)</f>
        <v>5</v>
      </c>
      <c r="S9" s="11">
        <f>VLOOKUP($G9, 'ADP Data'!$C$4:$Q$300, 6, FALSE)</f>
        <v>4</v>
      </c>
      <c r="T9" s="11">
        <f>VLOOKUP($G9, 'ADP Data'!$C$4:$Q$300, 7, FALSE)</f>
        <v>4</v>
      </c>
      <c r="U9" s="11">
        <f>VLOOKUP($G9, 'ADP Data'!$C$4:$Q$300, 8, FALSE)</f>
        <v>3</v>
      </c>
      <c r="V9" s="11">
        <f t="shared" si="8"/>
        <v>4</v>
      </c>
      <c r="W9" s="11">
        <f t="shared" si="9"/>
        <v>1</v>
      </c>
      <c r="X9" s="11">
        <f t="shared" si="10"/>
        <v>0</v>
      </c>
      <c r="Y9" s="11">
        <f>VLOOKUP($G9, SeanRanks!$A$2:$K$303, 10, FALSE)-V9</f>
        <v>1</v>
      </c>
      <c r="Z9" s="29">
        <f>IF(VLOOKUP($G9, SeanRanks!$A$2:$H$303, 7, FALSE)=0, "", VLOOKUP($G9, SeanRanks!$A$2:$H$303, 7, FALSE))</f>
        <v>3</v>
      </c>
    </row>
    <row r="10" ht="14.25" customHeight="1">
      <c r="A10" s="11"/>
      <c r="B10" s="11">
        <f t="shared" si="4"/>
        <v>4</v>
      </c>
      <c r="C10" s="11" t="s">
        <v>95</v>
      </c>
      <c r="D10" s="11">
        <v>2.0</v>
      </c>
      <c r="E10" s="11"/>
      <c r="F10" s="11" t="str">
        <f>VLOOKUP(G10, SeanRanks!$A$2:$E$302, 4, FALSE)</f>
        <v/>
      </c>
      <c r="G10" s="11" t="s">
        <v>147</v>
      </c>
      <c r="H10" s="11" t="str">
        <f>VLOOKUP($G10, 'ADP Data'!$C$4:$Q$300, 2, FALSE)</f>
        <v>NYJ</v>
      </c>
      <c r="I10" s="11">
        <f>VLOOKUP(G10, 'ADP Data'!$C$4:$R$498, 12, FALSE)</f>
        <v>47</v>
      </c>
      <c r="J10" s="26" t="str">
        <f>VLOOKUP($G10, SeanRanks!$A$2:$H$303, 5, FALSE)</f>
        <v/>
      </c>
      <c r="K10" s="11" t="str">
        <f>IF(VLOOKUP($G10, SeanRanks!$A$2:$H$303, 6, FALSE)=0, "", VLOOKUP($G10, SeanRanks!$A$2:$H$303, 6, FALSE))</f>
        <v>RB2 - 1 - Clear path to spikes</v>
      </c>
      <c r="L10" s="11">
        <f t="shared" si="5"/>
        <v>3</v>
      </c>
      <c r="M10" s="11">
        <f>VLOOKUP($G10, 'ADP Data'!$C$4:$Q$300, 9, FALSE)</f>
        <v>32</v>
      </c>
      <c r="N10" s="11">
        <f t="shared" si="6"/>
        <v>-7</v>
      </c>
      <c r="O10" s="11">
        <f>VLOOKUP($G10, 'ADP Data'!$C$4:$Q$300, 3, FALSE)</f>
        <v>41</v>
      </c>
      <c r="P10" s="11">
        <f t="shared" si="7"/>
        <v>-9</v>
      </c>
      <c r="Q10" s="11">
        <f>VLOOKUP($G10, 'ADP Data'!$C$4:$Q$300, 4, FALSE)</f>
        <v>51</v>
      </c>
      <c r="R10" s="11">
        <f>VLOOKUP($G10, 'ADP Data'!$C$4:$Q$300, 5, FALSE)</f>
        <v>41</v>
      </c>
      <c r="S10" s="11">
        <f>VLOOKUP($G10, 'ADP Data'!$C$4:$Q$300, 6, FALSE)</f>
        <v>42</v>
      </c>
      <c r="T10" s="11">
        <f>VLOOKUP($G10, 'ADP Data'!$C$4:$Q$300, 7, FALSE)</f>
        <v>39</v>
      </c>
      <c r="U10" s="11">
        <f>VLOOKUP($G10, 'ADP Data'!$C$4:$Q$300, 8, FALSE)</f>
        <v>31</v>
      </c>
      <c r="V10" s="11">
        <f t="shared" si="8"/>
        <v>39</v>
      </c>
      <c r="W10" s="11">
        <f t="shared" si="9"/>
        <v>4</v>
      </c>
      <c r="X10" s="11">
        <f t="shared" si="10"/>
        <v>-2</v>
      </c>
      <c r="Y10" s="11">
        <f>VLOOKUP($G10, SeanRanks!$A$2:$K$303, 10, FALSE)-V10</f>
        <v>11</v>
      </c>
      <c r="Z10" s="29">
        <f>IF(VLOOKUP($G10, SeanRanks!$A$2:$H$303, 7, FALSE)=0, "", VLOOKUP($G10, SeanRanks!$A$2:$H$303, 7, FALSE))</f>
        <v>16</v>
      </c>
    </row>
    <row r="11" ht="14.25" customHeight="1">
      <c r="A11" s="11"/>
      <c r="B11" s="11">
        <f t="shared" si="4"/>
        <v>1</v>
      </c>
      <c r="C11" s="11" t="s">
        <v>95</v>
      </c>
      <c r="D11" s="11">
        <v>2.0</v>
      </c>
      <c r="E11" s="11"/>
      <c r="F11" s="11" t="str">
        <f>VLOOKUP(G11, SeanRanks!$A$2:$E$302, 4, FALSE)</f>
        <v/>
      </c>
      <c r="G11" s="11" t="s">
        <v>39</v>
      </c>
      <c r="H11" s="11" t="str">
        <f>VLOOKUP($G11, 'ADP Data'!$C$4:$Q$300, 2, FALSE)</f>
        <v>ATL</v>
      </c>
      <c r="I11" s="11">
        <f>VLOOKUP(G11, 'ADP Data'!$C$4:$R$498, 12, FALSE)</f>
        <v>2</v>
      </c>
      <c r="J11" s="26" t="str">
        <f>VLOOKUP($G11, SeanRanks!$A$2:$H$303, 5, FALSE)</f>
        <v/>
      </c>
      <c r="K11" s="11" t="str">
        <f>IF(VLOOKUP($G11, SeanRanks!$A$2:$H$303, 6, FALSE)=0, "", VLOOKUP($G11, SeanRanks!$A$2:$H$303, 6, FALSE))</f>
        <v>RB1 - 1 - Elite floor/ceiling</v>
      </c>
      <c r="L11" s="11">
        <f t="shared" si="5"/>
        <v>1</v>
      </c>
      <c r="M11" s="11">
        <f>VLOOKUP($G11, 'ADP Data'!$C$4:$Q$300, 9, FALSE)</f>
        <v>3</v>
      </c>
      <c r="N11" s="11">
        <f t="shared" si="6"/>
        <v>1</v>
      </c>
      <c r="O11" s="11">
        <f>VLOOKUP($G11, 'ADP Data'!$C$4:$Q$300, 3, FALSE)</f>
        <v>2</v>
      </c>
      <c r="P11" s="11">
        <f t="shared" si="7"/>
        <v>1</v>
      </c>
      <c r="Q11" s="11">
        <f>VLOOKUP($G11, 'ADP Data'!$C$4:$Q$300, 4, FALSE)</f>
        <v>2</v>
      </c>
      <c r="R11" s="11">
        <f>VLOOKUP($G11, 'ADP Data'!$C$4:$Q$300, 5, FALSE)</f>
        <v>2</v>
      </c>
      <c r="S11" s="11">
        <f>VLOOKUP($G11, 'ADP Data'!$C$4:$Q$300, 6, FALSE)</f>
        <v>2</v>
      </c>
      <c r="T11" s="11">
        <f>VLOOKUP($G11, 'ADP Data'!$C$4:$Q$300, 7, FALSE)</f>
        <v>2</v>
      </c>
      <c r="U11" s="11">
        <f>VLOOKUP($G11, 'ADP Data'!$C$4:$Q$300, 8, FALSE)</f>
        <v>2</v>
      </c>
      <c r="V11" s="11">
        <f t="shared" si="8"/>
        <v>2</v>
      </c>
      <c r="W11" s="11">
        <f t="shared" si="9"/>
        <v>1</v>
      </c>
      <c r="X11" s="11">
        <f t="shared" si="10"/>
        <v>1</v>
      </c>
      <c r="Y11" s="11">
        <f>VLOOKUP($G11, SeanRanks!$A$2:$K$303, 10, FALSE)-V11</f>
        <v>0</v>
      </c>
      <c r="Z11" s="29">
        <f>IF(VLOOKUP($G11, SeanRanks!$A$2:$H$303, 7, FALSE)=0, "", VLOOKUP($G11, SeanRanks!$A$2:$H$303, 7, FALSE))</f>
        <v>1</v>
      </c>
    </row>
    <row r="12" ht="14.25" customHeight="1">
      <c r="A12" s="11"/>
      <c r="B12" s="11">
        <f t="shared" si="4"/>
        <v>1</v>
      </c>
      <c r="C12" s="11" t="s">
        <v>95</v>
      </c>
      <c r="D12" s="11">
        <v>2.0</v>
      </c>
      <c r="E12" s="11"/>
      <c r="F12" s="11" t="str">
        <f>VLOOKUP(G12, SeanRanks!$A$2:$E$302, 4, FALSE)</f>
        <v/>
      </c>
      <c r="G12" s="11" t="s">
        <v>44</v>
      </c>
      <c r="H12" s="11" t="str">
        <f>VLOOKUP($G12, 'ADP Data'!$C$4:$Q$300, 2, FALSE)</f>
        <v>CIN</v>
      </c>
      <c r="I12" s="11">
        <f>VLOOKUP(G12, 'ADP Data'!$C$4:$R$498, 12, FALSE)</f>
        <v>1</v>
      </c>
      <c r="J12" s="30" t="str">
        <f>VLOOKUP($G12, SeanRanks!$A$2:$H$303, 5, FALSE)</f>
        <v/>
      </c>
      <c r="K12" s="11" t="str">
        <f>IF(VLOOKUP($G12, SeanRanks!$A$2:$H$303, 6, FALSE)=0, "", VLOOKUP($G12, SeanRanks!$A$2:$H$303, 6, FALSE))</f>
        <v>WR1 - 1 - Elite</v>
      </c>
      <c r="L12" s="11">
        <f t="shared" si="5"/>
        <v>1</v>
      </c>
      <c r="M12" s="11">
        <f>VLOOKUP($G12, 'ADP Data'!$C$4:$Q$300, 9, FALSE)</f>
        <v>1</v>
      </c>
      <c r="N12" s="11">
        <f t="shared" si="6"/>
        <v>0</v>
      </c>
      <c r="O12" s="11">
        <f>VLOOKUP($G12, 'ADP Data'!$C$4:$Q$300, 3, FALSE)</f>
        <v>1</v>
      </c>
      <c r="P12" s="11">
        <f t="shared" si="7"/>
        <v>0</v>
      </c>
      <c r="Q12" s="11">
        <f>VLOOKUP($G12, 'ADP Data'!$C$4:$Q$300, 4, FALSE)</f>
        <v>1</v>
      </c>
      <c r="R12" s="11">
        <f>VLOOKUP($G12, 'ADP Data'!$C$4:$Q$300, 5, FALSE)</f>
        <v>1</v>
      </c>
      <c r="S12" s="11">
        <f>VLOOKUP($G12, 'ADP Data'!$C$4:$Q$300, 6, FALSE)</f>
        <v>1</v>
      </c>
      <c r="T12" s="11">
        <f>VLOOKUP($G12, 'ADP Data'!$C$4:$Q$300, 7, FALSE)</f>
        <v>1</v>
      </c>
      <c r="U12" s="11">
        <f>VLOOKUP($G12, 'ADP Data'!$C$4:$Q$300, 8, FALSE)</f>
        <v>1</v>
      </c>
      <c r="V12" s="11">
        <f t="shared" si="8"/>
        <v>1</v>
      </c>
      <c r="W12" s="11">
        <f t="shared" si="9"/>
        <v>1</v>
      </c>
      <c r="X12" s="11">
        <f t="shared" si="10"/>
        <v>1</v>
      </c>
      <c r="Y12" s="11">
        <f>VLOOKUP($G12, SeanRanks!$A$2:$K$303, 10, FALSE)-V12</f>
        <v>0</v>
      </c>
      <c r="Z12" s="29">
        <f>IF(VLOOKUP($G12, SeanRanks!$A$2:$H$303, 7, FALSE)=0, "", VLOOKUP($G12, SeanRanks!$A$2:$H$303, 7, FALSE))</f>
        <v>1</v>
      </c>
    </row>
    <row r="13" ht="14.25" customHeight="1">
      <c r="A13" s="11"/>
      <c r="B13" s="11">
        <f t="shared" si="4"/>
        <v>1</v>
      </c>
      <c r="C13" s="11" t="s">
        <v>95</v>
      </c>
      <c r="D13" s="11">
        <v>2.0</v>
      </c>
      <c r="E13" s="11"/>
      <c r="F13" s="11" t="str">
        <f>VLOOKUP(G13, SeanRanks!$A$2:$E$302, 4, FALSE)</f>
        <v/>
      </c>
      <c r="G13" s="11" t="s">
        <v>64</v>
      </c>
      <c r="H13" s="11" t="str">
        <f>VLOOKUP($G13, 'ADP Data'!$C$4:$Q$300, 2, FALSE)</f>
        <v>DET</v>
      </c>
      <c r="I13" s="11">
        <f>VLOOKUP(G13, 'ADP Data'!$C$4:$R$498, 12, FALSE)</f>
        <v>9</v>
      </c>
      <c r="J13" s="30" t="str">
        <f>VLOOKUP($G13, SeanRanks!$A$2:$H$303, 5, FALSE)</f>
        <v/>
      </c>
      <c r="K13" s="11" t="str">
        <f>IF(VLOOKUP($G13, SeanRanks!$A$2:$H$303, 6, FALSE)=0, "", VLOOKUP($G13, SeanRanks!$A$2:$H$303, 6, FALSE))</f>
        <v>WR1 - 2 - High Floor</v>
      </c>
      <c r="L13" s="11">
        <f t="shared" si="5"/>
        <v>1</v>
      </c>
      <c r="M13" s="11">
        <f>VLOOKUP($G13, 'ADP Data'!$C$4:$Q$300, 9, FALSE)</f>
        <v>8</v>
      </c>
      <c r="N13" s="11">
        <f t="shared" si="6"/>
        <v>-1</v>
      </c>
      <c r="O13" s="11">
        <f>VLOOKUP($G13, 'ADP Data'!$C$4:$Q$300, 3, FALSE)</f>
        <v>12</v>
      </c>
      <c r="P13" s="11">
        <f t="shared" si="7"/>
        <v>-4</v>
      </c>
      <c r="Q13" s="11">
        <f>VLOOKUP($G13, 'ADP Data'!$C$4:$Q$300, 4, FALSE)</f>
        <v>8</v>
      </c>
      <c r="R13" s="11">
        <f>VLOOKUP($G13, 'ADP Data'!$C$4:$Q$300, 5, FALSE)</f>
        <v>11</v>
      </c>
      <c r="S13" s="11">
        <f>VLOOKUP($G13, 'ADP Data'!$C$4:$Q$300, 6, FALSE)</f>
        <v>11</v>
      </c>
      <c r="T13" s="11">
        <f>VLOOKUP($G13, 'ADP Data'!$C$4:$Q$300, 7, FALSE)</f>
        <v>9</v>
      </c>
      <c r="U13" s="11">
        <f>VLOOKUP($G13, 'ADP Data'!$C$4:$Q$300, 8, FALSE)</f>
        <v>8</v>
      </c>
      <c r="V13" s="11">
        <f t="shared" si="8"/>
        <v>9</v>
      </c>
      <c r="W13" s="11">
        <f t="shared" si="9"/>
        <v>1</v>
      </c>
      <c r="X13" s="11">
        <f t="shared" si="10"/>
        <v>1</v>
      </c>
      <c r="Y13" s="11">
        <f>VLOOKUP($G13, SeanRanks!$A$2:$K$303, 10, FALSE)-V13</f>
        <v>-1</v>
      </c>
      <c r="Z13" s="29">
        <f>IF(VLOOKUP($G13, SeanRanks!$A$2:$H$303, 7, FALSE)=0, "", VLOOKUP($G13, SeanRanks!$A$2:$H$303, 7, FALSE))</f>
        <v>6</v>
      </c>
    </row>
    <row r="14" ht="14.25" customHeight="1">
      <c r="A14" s="11"/>
      <c r="B14" s="11">
        <f t="shared" si="4"/>
        <v>1</v>
      </c>
      <c r="C14" s="11" t="s">
        <v>95</v>
      </c>
      <c r="D14" s="11"/>
      <c r="E14" s="11"/>
      <c r="F14" s="11" t="str">
        <f>VLOOKUP(G14, SeanRanks!$A$2:$E$302, 4, FALSE)</f>
        <v/>
      </c>
      <c r="G14" s="11" t="s">
        <v>74</v>
      </c>
      <c r="H14" s="11" t="str">
        <f>VLOOKUP($G14, 'ADP Data'!$C$4:$Q$300, 2, FALSE)</f>
        <v>MIN</v>
      </c>
      <c r="I14" s="11">
        <f>VLOOKUP(G14, 'ADP Data'!$C$4:$R$498, 12, FALSE)</f>
        <v>5</v>
      </c>
      <c r="J14" s="30" t="str">
        <f>VLOOKUP($G14, SeanRanks!$A$2:$H$303, 5, FALSE)</f>
        <v/>
      </c>
      <c r="K14" s="11" t="str">
        <f>IF(VLOOKUP($G14, SeanRanks!$A$2:$H$303, 6, FALSE)=0, "", VLOOKUP($G14, SeanRanks!$A$2:$H$303, 6, FALSE))</f>
        <v>WR1 - 1 - Elite</v>
      </c>
      <c r="L14" s="11">
        <f t="shared" si="5"/>
        <v>1</v>
      </c>
      <c r="M14" s="11">
        <f>VLOOKUP($G14, 'ADP Data'!$C$4:$Q$300, 9, FALSE)</f>
        <v>5</v>
      </c>
      <c r="N14" s="11">
        <f t="shared" si="6"/>
        <v>0</v>
      </c>
      <c r="O14" s="11">
        <f>VLOOKUP($G14, 'ADP Data'!$C$4:$Q$300, 3, FALSE)</f>
        <v>6</v>
      </c>
      <c r="P14" s="11">
        <f t="shared" si="7"/>
        <v>-1</v>
      </c>
      <c r="Q14" s="11">
        <f>VLOOKUP($G14, 'ADP Data'!$C$4:$Q$300, 4, FALSE)</f>
        <v>4</v>
      </c>
      <c r="R14" s="11">
        <f>VLOOKUP($G14, 'ADP Data'!$C$4:$Q$300, 5, FALSE)</f>
        <v>3</v>
      </c>
      <c r="S14" s="11">
        <f>VLOOKUP($G14, 'ADP Data'!$C$4:$Q$300, 6, FALSE)</f>
        <v>6</v>
      </c>
      <c r="T14" s="11">
        <f>VLOOKUP($G14, 'ADP Data'!$C$4:$Q$300, 7, FALSE)</f>
        <v>6</v>
      </c>
      <c r="U14" s="11">
        <f>VLOOKUP($G14, 'ADP Data'!$C$4:$Q$300, 8, FALSE)</f>
        <v>5</v>
      </c>
      <c r="V14" s="11">
        <f t="shared" si="8"/>
        <v>5</v>
      </c>
      <c r="W14" s="11">
        <f t="shared" si="9"/>
        <v>1</v>
      </c>
      <c r="X14" s="11">
        <f t="shared" si="10"/>
        <v>-1</v>
      </c>
      <c r="Y14" s="11">
        <f>VLOOKUP($G14, SeanRanks!$A$2:$K$303, 10, FALSE)-V14</f>
        <v>1</v>
      </c>
      <c r="Z14" s="29">
        <f>IF(VLOOKUP($G14, SeanRanks!$A$2:$H$303, 7, FALSE)=0, "", VLOOKUP($G14, SeanRanks!$A$2:$H$303, 7, FALSE))</f>
        <v>2</v>
      </c>
    </row>
    <row r="15" ht="14.25" customHeight="1">
      <c r="A15" s="11"/>
      <c r="B15" s="11">
        <f t="shared" si="4"/>
        <v>2</v>
      </c>
      <c r="C15" s="11" t="s">
        <v>95</v>
      </c>
      <c r="D15" s="11"/>
      <c r="E15" s="11"/>
      <c r="F15" s="11" t="str">
        <f>VLOOKUP(G15, SeanRanks!$A$2:$E$302, 4, FALSE)</f>
        <v/>
      </c>
      <c r="G15" s="11" t="s">
        <v>113</v>
      </c>
      <c r="H15" s="11" t="str">
        <f>VLOOKUP($G15, 'ADP Data'!$C$4:$Q$300, 2, FALSE)</f>
        <v>PHI</v>
      </c>
      <c r="I15" s="11">
        <f>VLOOKUP(G15, 'ADP Data'!$C$4:$R$498, 12, FALSE)</f>
        <v>17</v>
      </c>
      <c r="J15" s="30" t="str">
        <f>VLOOKUP($G15, SeanRanks!$A$2:$H$303, 5, FALSE)</f>
        <v/>
      </c>
      <c r="K15" s="11" t="str">
        <f>IF(VLOOKUP($G15, SeanRanks!$A$2:$H$303, 6, FALSE)=0, "", VLOOKUP($G15, SeanRanks!$A$2:$H$303, 6, FALSE))</f>
        <v>WR1 - 3 - Inconsistent</v>
      </c>
      <c r="L15" s="11">
        <f t="shared" si="5"/>
        <v>2</v>
      </c>
      <c r="M15" s="11">
        <f>VLOOKUP($G15, 'ADP Data'!$C$4:$Q$300, 9, FALSE)</f>
        <v>18</v>
      </c>
      <c r="N15" s="11">
        <f t="shared" si="6"/>
        <v>-2</v>
      </c>
      <c r="O15" s="11">
        <f>VLOOKUP($G15, 'ADP Data'!$C$4:$Q$300, 3, FALSE)</f>
        <v>27</v>
      </c>
      <c r="P15" s="11">
        <f t="shared" si="7"/>
        <v>-9</v>
      </c>
      <c r="Q15" s="11">
        <f>VLOOKUP($G15, 'ADP Data'!$C$4:$Q$300, 4, FALSE)</f>
        <v>18</v>
      </c>
      <c r="R15" s="11">
        <f>VLOOKUP($G15, 'ADP Data'!$C$4:$Q$300, 5, FALSE)</f>
        <v>22</v>
      </c>
      <c r="S15" s="11">
        <f>VLOOKUP($G15, 'ADP Data'!$C$4:$Q$300, 6, FALSE)</f>
        <v>23</v>
      </c>
      <c r="T15" s="11">
        <f>VLOOKUP($G15, 'ADP Data'!$C$4:$Q$300, 7, FALSE)</f>
        <v>21</v>
      </c>
      <c r="U15" s="11">
        <f>VLOOKUP($G15, 'ADP Data'!$C$4:$Q$300, 8, FALSE)</f>
        <v>15</v>
      </c>
      <c r="V15" s="11">
        <f t="shared" si="8"/>
        <v>20</v>
      </c>
      <c r="W15" s="11">
        <f t="shared" si="9"/>
        <v>2</v>
      </c>
      <c r="X15" s="11">
        <f t="shared" si="10"/>
        <v>-2</v>
      </c>
      <c r="Y15" s="11">
        <f>VLOOKUP($G15, SeanRanks!$A$2:$K$303, 10, FALSE)-V15</f>
        <v>-2</v>
      </c>
      <c r="Z15" s="29">
        <f>IF(VLOOKUP($G15, SeanRanks!$A$2:$H$303, 7, FALSE)=0, "", VLOOKUP($G15, SeanRanks!$A$2:$H$303, 7, FALSE))</f>
        <v>11</v>
      </c>
    </row>
    <row r="16" ht="14.25" customHeight="1">
      <c r="A16" s="11"/>
      <c r="B16" s="11">
        <f t="shared" si="4"/>
        <v>2</v>
      </c>
      <c r="C16" s="11" t="s">
        <v>95</v>
      </c>
      <c r="D16" s="11"/>
      <c r="E16" s="11"/>
      <c r="F16" s="11" t="str">
        <f>VLOOKUP(G16, SeanRanks!$A$2:$E$302, 4, FALSE)</f>
        <v/>
      </c>
      <c r="G16" s="11" t="s">
        <v>61</v>
      </c>
      <c r="H16" s="11" t="str">
        <f>VLOOKUP($G16, 'ADP Data'!$C$4:$Q$300, 2, FALSE)</f>
        <v>IND</v>
      </c>
      <c r="I16" s="11">
        <f>VLOOKUP(G16, 'ADP Data'!$C$4:$R$498, 12, FALSE)</f>
        <v>20</v>
      </c>
      <c r="J16" s="26" t="str">
        <f>VLOOKUP($G16, SeanRanks!$A$2:$H$303, 5, FALSE)</f>
        <v>No</v>
      </c>
      <c r="K16" s="11" t="str">
        <f>IF(VLOOKUP($G16, SeanRanks!$A$2:$H$303, 6, FALSE)=0, "", VLOOKUP($G16, SeanRanks!$A$2:$H$303, 6, FALSE))</f>
        <v>RB1 - 2 - Elite ceiling/questions</v>
      </c>
      <c r="L16" s="11">
        <f t="shared" si="5"/>
        <v>2</v>
      </c>
      <c r="M16" s="11">
        <f>VLOOKUP($G16, 'ADP Data'!$C$4:$Q$300, 9, FALSE)</f>
        <v>20</v>
      </c>
      <c r="N16" s="11">
        <f t="shared" si="6"/>
        <v>1</v>
      </c>
      <c r="O16" s="11">
        <f>VLOOKUP($G16, 'ADP Data'!$C$4:$Q$300, 3, FALSE)</f>
        <v>21</v>
      </c>
      <c r="P16" s="11">
        <f t="shared" si="7"/>
        <v>-1</v>
      </c>
      <c r="Q16" s="11">
        <f>VLOOKUP($G16, 'ADP Data'!$C$4:$Q$300, 4, FALSE)</f>
        <v>15</v>
      </c>
      <c r="R16" s="11">
        <f>VLOOKUP($G16, 'ADP Data'!$C$4:$Q$300, 5, FALSE)</f>
        <v>20</v>
      </c>
      <c r="S16" s="11">
        <f>VLOOKUP($G16, 'ADP Data'!$C$4:$Q$300, 6, FALSE)</f>
        <v>21</v>
      </c>
      <c r="T16" s="11">
        <f>VLOOKUP($G16, 'ADP Data'!$C$4:$Q$300, 7, FALSE)</f>
        <v>20</v>
      </c>
      <c r="U16" s="11">
        <f>VLOOKUP($G16, 'ADP Data'!$C$4:$Q$300, 8, FALSE)</f>
        <v>22</v>
      </c>
      <c r="V16" s="11">
        <f t="shared" si="8"/>
        <v>19</v>
      </c>
      <c r="W16" s="11">
        <f t="shared" si="9"/>
        <v>2</v>
      </c>
      <c r="X16" s="11">
        <f t="shared" si="10"/>
        <v>-2</v>
      </c>
      <c r="Y16" s="11">
        <f>VLOOKUP($G16, SeanRanks!$A$2:$K$303, 10, FALSE)-V16</f>
        <v>0</v>
      </c>
      <c r="Z16" s="29">
        <f>IF(VLOOKUP($G16, SeanRanks!$A$2:$H$303, 7, FALSE)=0, "", VLOOKUP($G16, SeanRanks!$A$2:$H$303, 7, FALSE))</f>
        <v>12</v>
      </c>
    </row>
    <row r="17" ht="14.25" customHeight="1">
      <c r="A17" s="11"/>
      <c r="B17" s="11">
        <f t="shared" si="4"/>
        <v>4</v>
      </c>
      <c r="C17" s="11" t="s">
        <v>95</v>
      </c>
      <c r="D17" s="11"/>
      <c r="E17" s="11"/>
      <c r="F17" s="11" t="str">
        <f>VLOOKUP(G17, SeanRanks!$A$2:$E$302, 4, FALSE)</f>
        <v/>
      </c>
      <c r="G17" s="11" t="s">
        <v>156</v>
      </c>
      <c r="H17" s="11" t="str">
        <f>VLOOKUP($G17, 'ADP Data'!$C$4:$Q$300, 2, FALSE)</f>
        <v>NYJ</v>
      </c>
      <c r="I17" s="11">
        <f>VLOOKUP(G17, 'ADP Data'!$C$4:$R$498, 12, FALSE)</f>
        <v>28</v>
      </c>
      <c r="J17" s="33" t="str">
        <f>VLOOKUP($G17, SeanRanks!$A$2:$H$303, 5, FALSE)</f>
        <v/>
      </c>
      <c r="K17" s="11" t="str">
        <f>IF(VLOOKUP($G17, SeanRanks!$A$2:$H$303, 6, FALSE)=0, "", VLOOKUP($G17, SeanRanks!$A$2:$H$303, 6, FALSE))</f>
        <v>WR2 - 1 - WR1 upside</v>
      </c>
      <c r="L17" s="11">
        <f t="shared" si="5"/>
        <v>3</v>
      </c>
      <c r="M17" s="11">
        <f>VLOOKUP($G17, 'ADP Data'!$C$4:$Q$300, 9, FALSE)</f>
        <v>34</v>
      </c>
      <c r="N17" s="11">
        <f t="shared" si="6"/>
        <v>-4</v>
      </c>
      <c r="O17" s="11">
        <f>VLOOKUP($G17, 'ADP Data'!$C$4:$Q$300, 3, FALSE)</f>
        <v>51</v>
      </c>
      <c r="P17" s="11">
        <f t="shared" si="7"/>
        <v>-17</v>
      </c>
      <c r="Q17" s="11">
        <f>VLOOKUP($G17, 'ADP Data'!$C$4:$Q$300, 4, FALSE)</f>
        <v>41</v>
      </c>
      <c r="R17" s="11">
        <f>VLOOKUP($G17, 'ADP Data'!$C$4:$Q$300, 5, FALSE)</f>
        <v>37</v>
      </c>
      <c r="S17" s="11">
        <f>VLOOKUP($G17, 'ADP Data'!$C$4:$Q$300, 6, FALSE)</f>
        <v>39</v>
      </c>
      <c r="T17" s="11">
        <f>VLOOKUP($G17, 'ADP Data'!$C$4:$Q$300, 7, FALSE)</f>
        <v>30</v>
      </c>
      <c r="U17" s="11">
        <f>VLOOKUP($G17, 'ADP Data'!$C$4:$Q$300, 8, FALSE)</f>
        <v>37</v>
      </c>
      <c r="V17" s="11">
        <f t="shared" si="8"/>
        <v>38</v>
      </c>
      <c r="W17" s="11">
        <f t="shared" si="9"/>
        <v>4</v>
      </c>
      <c r="X17" s="11">
        <f t="shared" si="10"/>
        <v>-4</v>
      </c>
      <c r="Y17" s="11">
        <f>VLOOKUP($G17, SeanRanks!$A$2:$K$303, 10, FALSE)-V17</f>
        <v>1</v>
      </c>
      <c r="Z17" s="29">
        <f>IF(VLOOKUP($G17, SeanRanks!$A$2:$H$303, 7, FALSE)=0, "", VLOOKUP($G17, SeanRanks!$A$2:$H$303, 7, FALSE))</f>
        <v>17</v>
      </c>
    </row>
    <row r="18" ht="14.25" customHeight="1">
      <c r="A18" s="11"/>
      <c r="B18" s="11">
        <f t="shared" si="4"/>
        <v>1</v>
      </c>
      <c r="C18" s="11" t="s">
        <v>95</v>
      </c>
      <c r="D18" s="11">
        <v>2.0</v>
      </c>
      <c r="E18" s="27"/>
      <c r="F18" s="11" t="str">
        <f>VLOOKUP(G18, SeanRanks!$A$2:$E$302, 4, FALSE)</f>
        <v/>
      </c>
      <c r="G18" s="11" t="s">
        <v>48</v>
      </c>
      <c r="H18" s="11" t="str">
        <f>VLOOKUP($G18, 'ADP Data'!$C$4:$Q$300, 2, FALSE)</f>
        <v>LAR</v>
      </c>
      <c r="I18" s="11">
        <f>VLOOKUP(G18, 'ADP Data'!$C$4:$R$498, 12, FALSE)</f>
        <v>13</v>
      </c>
      <c r="J18" s="33" t="str">
        <f>VLOOKUP($G18, SeanRanks!$A$2:$H$303, 5, FALSE)</f>
        <v/>
      </c>
      <c r="K18" s="11" t="str">
        <f>IF(VLOOKUP($G18, SeanRanks!$A$2:$H$303, 6, FALSE)=0, "", VLOOKUP($G18, SeanRanks!$A$2:$H$303, 6, FALSE))</f>
        <v>WR1 - 2 - High Floor</v>
      </c>
      <c r="L18" s="11">
        <f t="shared" si="5"/>
        <v>1</v>
      </c>
      <c r="M18" s="11">
        <f>VLOOKUP($G18, 'ADP Data'!$C$4:$Q$300, 9, FALSE)</f>
        <v>11</v>
      </c>
      <c r="N18" s="11">
        <f t="shared" si="6"/>
        <v>0</v>
      </c>
      <c r="O18" s="11">
        <f>VLOOKUP($G18, 'ADP Data'!$C$4:$Q$300, 3, FALSE)</f>
        <v>14</v>
      </c>
      <c r="P18" s="11">
        <f t="shared" si="7"/>
        <v>-3</v>
      </c>
      <c r="Q18" s="11">
        <f>VLOOKUP($G18, 'ADP Data'!$C$4:$Q$300, 4, FALSE)</f>
        <v>9</v>
      </c>
      <c r="R18" s="11">
        <f>VLOOKUP($G18, 'ADP Data'!$C$4:$Q$300, 5, FALSE)</f>
        <v>8</v>
      </c>
      <c r="S18" s="11">
        <f>VLOOKUP($G18, 'ADP Data'!$C$4:$Q$300, 6, FALSE)</f>
        <v>15</v>
      </c>
      <c r="T18" s="11">
        <f>VLOOKUP($G18, 'ADP Data'!$C$4:$Q$300, 7, FALSE)</f>
        <v>14</v>
      </c>
      <c r="U18" s="11">
        <f>VLOOKUP($G18, 'ADP Data'!$C$4:$Q$300, 8, FALSE)</f>
        <v>7</v>
      </c>
      <c r="V18" s="11">
        <f t="shared" si="8"/>
        <v>11</v>
      </c>
      <c r="W18" s="11">
        <f t="shared" si="9"/>
        <v>1</v>
      </c>
      <c r="X18" s="11">
        <f t="shared" si="10"/>
        <v>1</v>
      </c>
      <c r="Y18" s="11">
        <f>VLOOKUP($G18, SeanRanks!$A$2:$K$303, 10, FALSE)-V18</f>
        <v>5</v>
      </c>
      <c r="Z18" s="29">
        <f>IF(VLOOKUP($G18, SeanRanks!$A$2:$H$303, 7, FALSE)=0, "", VLOOKUP($G18, SeanRanks!$A$2:$H$303, 7, FALSE))</f>
        <v>9</v>
      </c>
    </row>
    <row r="19" ht="14.25" customHeight="1">
      <c r="A19" s="11"/>
      <c r="B19" s="11">
        <f t="shared" si="4"/>
        <v>1</v>
      </c>
      <c r="C19" s="11" t="s">
        <v>95</v>
      </c>
      <c r="D19" s="11">
        <v>2.0</v>
      </c>
      <c r="E19" s="11"/>
      <c r="F19" s="11" t="str">
        <f>VLOOKUP(G19, SeanRanks!$A$2:$E$302, 4, FALSE)</f>
        <v/>
      </c>
      <c r="G19" s="11" t="s">
        <v>84</v>
      </c>
      <c r="H19" s="11" t="str">
        <f>VLOOKUP($G19, 'ADP Data'!$C$4:$Q$300, 2, FALSE)</f>
        <v>PHI</v>
      </c>
      <c r="I19" s="11">
        <f>VLOOKUP(G19, 'ADP Data'!$C$4:$R$498, 12, FALSE)</f>
        <v>6</v>
      </c>
      <c r="J19" s="26" t="str">
        <f>VLOOKUP($G19, SeanRanks!$A$2:$H$303, 5, FALSE)</f>
        <v/>
      </c>
      <c r="K19" s="11" t="str">
        <f>IF(VLOOKUP($G19, SeanRanks!$A$2:$H$303, 6, FALSE)=0, "", VLOOKUP($G19, SeanRanks!$A$2:$H$303, 6, FALSE))</f>
        <v>RB1 - 1 - Elite floor/ceiling</v>
      </c>
      <c r="L19" s="11">
        <f t="shared" si="5"/>
        <v>1</v>
      </c>
      <c r="M19" s="11">
        <f>VLOOKUP($G19, 'ADP Data'!$C$4:$Q$300, 9, FALSE)</f>
        <v>2</v>
      </c>
      <c r="N19" s="11">
        <f t="shared" si="6"/>
        <v>-2</v>
      </c>
      <c r="O19" s="11">
        <f>VLOOKUP($G19, 'ADP Data'!$C$4:$Q$300, 3, FALSE)</f>
        <v>3</v>
      </c>
      <c r="P19" s="11">
        <f t="shared" si="7"/>
        <v>-1</v>
      </c>
      <c r="Q19" s="11">
        <f>VLOOKUP($G19, 'ADP Data'!$C$4:$Q$300, 4, FALSE)</f>
        <v>3</v>
      </c>
      <c r="R19" s="11">
        <f>VLOOKUP($G19, 'ADP Data'!$C$4:$Q$300, 5, FALSE)</f>
        <v>6</v>
      </c>
      <c r="S19" s="11">
        <f>VLOOKUP($G19, 'ADP Data'!$C$4:$Q$300, 6, FALSE)</f>
        <v>5</v>
      </c>
      <c r="T19" s="11">
        <f>VLOOKUP($G19, 'ADP Data'!$C$4:$Q$300, 7, FALSE)</f>
        <v>5</v>
      </c>
      <c r="U19" s="11">
        <f>VLOOKUP($G19, 'ADP Data'!$C$4:$Q$300, 8, FALSE)</f>
        <v>4</v>
      </c>
      <c r="V19" s="11">
        <f t="shared" si="8"/>
        <v>4</v>
      </c>
      <c r="W19" s="11">
        <f t="shared" si="9"/>
        <v>1</v>
      </c>
      <c r="X19" s="11">
        <f t="shared" si="10"/>
        <v>1</v>
      </c>
      <c r="Y19" s="11">
        <f>VLOOKUP($G19, SeanRanks!$A$2:$K$303, 10, FALSE)-V19</f>
        <v>-1</v>
      </c>
      <c r="Z19" s="29">
        <f>IF(VLOOKUP($G19, SeanRanks!$A$2:$H$303, 7, FALSE)=0, "", VLOOKUP($G19, SeanRanks!$A$2:$H$303, 7, FALSE))</f>
        <v>2</v>
      </c>
    </row>
    <row r="20" ht="14.25" customHeight="1">
      <c r="A20" s="11"/>
      <c r="B20" s="11">
        <f t="shared" si="4"/>
        <v>1</v>
      </c>
      <c r="C20" s="11" t="s">
        <v>95</v>
      </c>
      <c r="D20" s="11">
        <v>2.0</v>
      </c>
      <c r="E20" s="11"/>
      <c r="F20" s="11" t="str">
        <f>VLOOKUP(G20, SeanRanks!$A$2:$E$302, 4, FALSE)</f>
        <v/>
      </c>
      <c r="G20" s="11" t="s">
        <v>25</v>
      </c>
      <c r="H20" s="11" t="str">
        <f>VLOOKUP($G20, 'ADP Data'!$C$4:$Q$300, 2, FALSE)</f>
        <v>DET</v>
      </c>
      <c r="I20" s="11">
        <f>VLOOKUP(G20, 'ADP Data'!$C$4:$R$498, 12, FALSE)</f>
        <v>4</v>
      </c>
      <c r="J20" s="26" t="str">
        <f>VLOOKUP($G20, SeanRanks!$A$2:$H$303, 5, FALSE)</f>
        <v/>
      </c>
      <c r="K20" s="11" t="str">
        <f>IF(VLOOKUP($G20, SeanRanks!$A$2:$H$303, 6, FALSE)=0, "", VLOOKUP($G20, SeanRanks!$A$2:$H$303, 6, FALSE))</f>
        <v>RB1 - 1 - Elite floor/ceiling</v>
      </c>
      <c r="L20" s="11">
        <f t="shared" si="5"/>
        <v>1</v>
      </c>
      <c r="M20" s="11">
        <f>VLOOKUP($G20, 'ADP Data'!$C$4:$Q$300, 9, FALSE)</f>
        <v>4</v>
      </c>
      <c r="N20" s="11">
        <f t="shared" si="6"/>
        <v>0</v>
      </c>
      <c r="O20" s="11">
        <f>VLOOKUP($G20, 'ADP Data'!$C$4:$Q$300, 3, FALSE)</f>
        <v>4</v>
      </c>
      <c r="P20" s="11">
        <f t="shared" si="7"/>
        <v>0</v>
      </c>
      <c r="Q20" s="11">
        <f>VLOOKUP($G20, 'ADP Data'!$C$4:$Q$300, 4, FALSE)</f>
        <v>5</v>
      </c>
      <c r="R20" s="11">
        <f>VLOOKUP($G20, 'ADP Data'!$C$4:$Q$300, 5, FALSE)</f>
        <v>4</v>
      </c>
      <c r="S20" s="11">
        <f>VLOOKUP($G20, 'ADP Data'!$C$4:$Q$300, 6, FALSE)</f>
        <v>3</v>
      </c>
      <c r="T20" s="11">
        <f>VLOOKUP($G20, 'ADP Data'!$C$4:$Q$300, 7, FALSE)</f>
        <v>3</v>
      </c>
      <c r="U20" s="11">
        <f>VLOOKUP($G20, 'ADP Data'!$C$4:$Q$300, 8, FALSE)</f>
        <v>6</v>
      </c>
      <c r="V20" s="11">
        <f t="shared" si="8"/>
        <v>4</v>
      </c>
      <c r="W20" s="11">
        <f t="shared" si="9"/>
        <v>1</v>
      </c>
      <c r="X20" s="11">
        <f t="shared" si="10"/>
        <v>1</v>
      </c>
      <c r="Y20" s="11">
        <f>VLOOKUP($G20, SeanRanks!$A$2:$K$303, 10, FALSE)-V20</f>
        <v>0</v>
      </c>
      <c r="Z20" s="29">
        <f>IF(VLOOKUP($G20, SeanRanks!$A$2:$H$303, 7, FALSE)=0, "", VLOOKUP($G20, SeanRanks!$A$2:$H$303, 7, FALSE))</f>
        <v>3</v>
      </c>
    </row>
    <row r="21" ht="14.25" customHeight="1">
      <c r="A21" s="11"/>
      <c r="B21" s="11">
        <f t="shared" si="4"/>
        <v>4</v>
      </c>
      <c r="C21" s="11" t="s">
        <v>95</v>
      </c>
      <c r="D21" s="11">
        <v>2.0</v>
      </c>
      <c r="E21" s="11"/>
      <c r="F21" s="11" t="str">
        <f>VLOOKUP(G21, SeanRanks!$A$2:$E$302, 4, FALSE)</f>
        <v/>
      </c>
      <c r="G21" s="11" t="s">
        <v>228</v>
      </c>
      <c r="H21" s="11" t="str">
        <f>VLOOKUP($G21, 'ADP Data'!$C$4:$Q$300, 2, FALSE)</f>
        <v>ARI</v>
      </c>
      <c r="I21" s="11">
        <f>VLOOKUP(G21, 'ADP Data'!$C$4:$R$498, 12, FALSE)</f>
        <v>37</v>
      </c>
      <c r="J21" s="33" t="str">
        <f>VLOOKUP($G21, SeanRanks!$A$2:$H$303, 5, FALSE)</f>
        <v>Yes</v>
      </c>
      <c r="K21" s="11" t="str">
        <f>IF(VLOOKUP($G21, SeanRanks!$A$2:$H$303, 6, FALSE)=0, "", VLOOKUP($G21, SeanRanks!$A$2:$H$303, 6, FALSE))</f>
        <v>WR2 - 1 - WR1 upside</v>
      </c>
      <c r="L21" s="11">
        <f t="shared" si="5"/>
        <v>4</v>
      </c>
      <c r="M21" s="11">
        <f>VLOOKUP($G21, 'ADP Data'!$C$4:$Q$300, 9, FALSE)</f>
        <v>36</v>
      </c>
      <c r="N21" s="11">
        <f t="shared" si="6"/>
        <v>-4</v>
      </c>
      <c r="O21" s="11">
        <f>VLOOKUP($G21, 'ADP Data'!$C$4:$Q$300, 3, FALSE)</f>
        <v>46</v>
      </c>
      <c r="P21" s="11">
        <f t="shared" si="7"/>
        <v>-10</v>
      </c>
      <c r="Q21" s="11">
        <f>VLOOKUP($G21, 'ADP Data'!$C$4:$Q$300, 4, FALSE)</f>
        <v>44</v>
      </c>
      <c r="R21" s="11">
        <f>VLOOKUP($G21, 'ADP Data'!$C$4:$Q$300, 5, FALSE)</f>
        <v>39</v>
      </c>
      <c r="S21" s="11">
        <f>VLOOKUP($G21, 'ADP Data'!$C$4:$Q$300, 6, FALSE)</f>
        <v>41</v>
      </c>
      <c r="T21" s="11">
        <f>VLOOKUP($G21, 'ADP Data'!$C$4:$Q$300, 7, FALSE)</f>
        <v>34</v>
      </c>
      <c r="U21" s="11">
        <f>VLOOKUP($G21, 'ADP Data'!$C$4:$Q$300, 8, FALSE)</f>
        <v>41</v>
      </c>
      <c r="V21" s="11">
        <f t="shared" si="8"/>
        <v>40</v>
      </c>
      <c r="W21" s="11">
        <f t="shared" si="9"/>
        <v>4</v>
      </c>
      <c r="X21" s="11">
        <f t="shared" si="10"/>
        <v>-2</v>
      </c>
      <c r="Y21" s="11">
        <f>VLOOKUP($G21, SeanRanks!$A$2:$K$303, 10, FALSE)-V21</f>
        <v>-3</v>
      </c>
      <c r="Z21" s="29">
        <f>IF(VLOOKUP($G21, SeanRanks!$A$2:$H$303, 7, FALSE)=0, "", VLOOKUP($G21, SeanRanks!$A$2:$H$303, 7, FALSE))</f>
        <v>14</v>
      </c>
    </row>
    <row r="22" ht="14.25" customHeight="1">
      <c r="A22" s="11"/>
      <c r="B22" s="11">
        <f t="shared" si="4"/>
        <v>3</v>
      </c>
      <c r="C22" s="11" t="s">
        <v>95</v>
      </c>
      <c r="D22" s="11">
        <v>2.0</v>
      </c>
      <c r="E22" s="11"/>
      <c r="F22" s="11" t="str">
        <f>VLOOKUP(G22, SeanRanks!$A$2:$E$302, 4, FALSE)</f>
        <v/>
      </c>
      <c r="G22" s="11" t="s">
        <v>138</v>
      </c>
      <c r="H22" s="11" t="str">
        <f>VLOOKUP($G22, 'ADP Data'!$C$4:$Q$300, 2, FALSE)</f>
        <v>LAR</v>
      </c>
      <c r="I22" s="11">
        <f>VLOOKUP(G22, 'ADP Data'!$C$4:$R$498, 12, FALSE)</f>
        <v>31</v>
      </c>
      <c r="J22" s="26" t="str">
        <f>VLOOKUP($G22, SeanRanks!$A$2:$H$303, 5, FALSE)</f>
        <v/>
      </c>
      <c r="K22" s="11" t="str">
        <f>IF(VLOOKUP($G22, SeanRanks!$A$2:$H$303, 6, FALSE)=0, "", VLOOKUP($G22, SeanRanks!$A$2:$H$303, 6, FALSE))</f>
        <v>RB1 - 2 - Elite ceiling/questions</v>
      </c>
      <c r="L22" s="11">
        <f t="shared" si="5"/>
        <v>3</v>
      </c>
      <c r="M22" s="11">
        <f>VLOOKUP($G22, 'ADP Data'!$C$4:$Q$300, 9, FALSE)</f>
        <v>25</v>
      </c>
      <c r="N22" s="11">
        <f t="shared" si="6"/>
        <v>0</v>
      </c>
      <c r="O22" s="11">
        <f>VLOOKUP($G22, 'ADP Data'!$C$4:$Q$300, 3, FALSE)</f>
        <v>18</v>
      </c>
      <c r="P22" s="11">
        <f t="shared" si="7"/>
        <v>7</v>
      </c>
      <c r="Q22" s="11">
        <f>VLOOKUP($G22, 'ADP Data'!$C$4:$Q$300, 4, FALSE)</f>
        <v>29</v>
      </c>
      <c r="R22" s="11">
        <f>VLOOKUP($G22, 'ADP Data'!$C$4:$Q$300, 5, FALSE)</f>
        <v>30</v>
      </c>
      <c r="S22" s="11">
        <f>VLOOKUP($G22, 'ADP Data'!$C$4:$Q$300, 6, FALSE)</f>
        <v>26</v>
      </c>
      <c r="T22" s="11">
        <f>VLOOKUP($G22, 'ADP Data'!$C$4:$Q$300, 7, FALSE)</f>
        <v>27</v>
      </c>
      <c r="U22" s="11">
        <f>VLOOKUP($G22, 'ADP Data'!$C$4:$Q$300, 8, FALSE)</f>
        <v>25</v>
      </c>
      <c r="V22" s="11">
        <f t="shared" si="8"/>
        <v>25</v>
      </c>
      <c r="W22" s="11">
        <f t="shared" si="9"/>
        <v>3</v>
      </c>
      <c r="X22" s="11">
        <f t="shared" si="10"/>
        <v>-1</v>
      </c>
      <c r="Y22" s="11">
        <f>VLOOKUP($G22, SeanRanks!$A$2:$K$303, 10, FALSE)-V22</f>
        <v>2</v>
      </c>
      <c r="Z22" s="29">
        <f>IF(VLOOKUP($G22, SeanRanks!$A$2:$H$303, 7, FALSE)=0, "", VLOOKUP($G22, SeanRanks!$A$2:$H$303, 7, FALSE))</f>
        <v>11</v>
      </c>
    </row>
    <row r="23" ht="14.25" customHeight="1">
      <c r="A23" s="11"/>
      <c r="B23" s="11">
        <f t="shared" si="4"/>
        <v>2</v>
      </c>
      <c r="C23" s="11" t="s">
        <v>95</v>
      </c>
      <c r="D23" s="11">
        <v>2.0</v>
      </c>
      <c r="E23" s="11"/>
      <c r="F23" s="11" t="str">
        <f>VLOOKUP(G23, SeanRanks!$A$2:$E$302, 4, FALSE)</f>
        <v/>
      </c>
      <c r="G23" s="11" t="s">
        <v>108</v>
      </c>
      <c r="H23" s="11" t="str">
        <f>VLOOKUP($G23, 'ADP Data'!$C$4:$Q$300, 2, FALSE)</f>
        <v>BAL</v>
      </c>
      <c r="I23" s="11">
        <f>VLOOKUP(G23, 'ADP Data'!$C$4:$R$498, 12, FALSE)</f>
        <v>15</v>
      </c>
      <c r="J23" s="26" t="str">
        <f>VLOOKUP($G23, SeanRanks!$A$2:$H$303, 5, FALSE)</f>
        <v/>
      </c>
      <c r="K23" s="11" t="str">
        <f>IF(VLOOKUP($G23, SeanRanks!$A$2:$H$303, 6, FALSE)=0, "", VLOOKUP($G23, SeanRanks!$A$2:$H$303, 6, FALSE))</f>
        <v>RB1 - 2 - Elite ceiling/questions</v>
      </c>
      <c r="L23" s="11">
        <f t="shared" si="5"/>
        <v>1</v>
      </c>
      <c r="M23" s="11">
        <f>VLOOKUP($G23, 'ADP Data'!$C$4:$Q$300, 9, FALSE)</f>
        <v>7</v>
      </c>
      <c r="N23" s="11">
        <f t="shared" si="6"/>
        <v>-3</v>
      </c>
      <c r="O23" s="11">
        <f>VLOOKUP($G23, 'ADP Data'!$C$4:$Q$300, 3, FALSE)</f>
        <v>7</v>
      </c>
      <c r="P23" s="11">
        <f t="shared" si="7"/>
        <v>0</v>
      </c>
      <c r="Q23" s="11">
        <f>VLOOKUP($G23, 'ADP Data'!$C$4:$Q$300, 4, FALSE)</f>
        <v>12</v>
      </c>
      <c r="R23" s="11">
        <f>VLOOKUP($G23, 'ADP Data'!$C$4:$Q$300, 5, FALSE)</f>
        <v>13</v>
      </c>
      <c r="S23" s="11">
        <f>VLOOKUP($G23, 'ADP Data'!$C$4:$Q$300, 6, FALSE)</f>
        <v>14</v>
      </c>
      <c r="T23" s="11">
        <f>VLOOKUP($G23, 'ADP Data'!$C$4:$Q$300, 7, FALSE)</f>
        <v>13</v>
      </c>
      <c r="U23" s="11">
        <f>VLOOKUP($G23, 'ADP Data'!$C$4:$Q$300, 8, FALSE)</f>
        <v>10</v>
      </c>
      <c r="V23" s="11">
        <f t="shared" si="8"/>
        <v>10</v>
      </c>
      <c r="W23" s="11">
        <f t="shared" si="9"/>
        <v>1</v>
      </c>
      <c r="X23" s="11">
        <f t="shared" si="10"/>
        <v>1</v>
      </c>
      <c r="Y23" s="11">
        <f>VLOOKUP($G23, SeanRanks!$A$2:$K$303, 10, FALSE)-V23</f>
        <v>1</v>
      </c>
      <c r="Z23" s="29">
        <f>IF(VLOOKUP($G23, SeanRanks!$A$2:$H$303, 7, FALSE)=0, "", VLOOKUP($G23, SeanRanks!$A$2:$H$303, 7, FALSE))</f>
        <v>8</v>
      </c>
    </row>
    <row r="24" ht="14.25" customHeight="1">
      <c r="A24" s="11"/>
      <c r="B24" s="11">
        <f t="shared" si="4"/>
        <v>4</v>
      </c>
      <c r="C24" s="11" t="s">
        <v>95</v>
      </c>
      <c r="D24" s="11">
        <v>2.0</v>
      </c>
      <c r="E24" s="11"/>
      <c r="F24" s="11" t="str">
        <f>VLOOKUP(G24, SeanRanks!$A$2:$E$302, 4, FALSE)</f>
        <v/>
      </c>
      <c r="G24" s="11" t="s">
        <v>197</v>
      </c>
      <c r="H24" s="11" t="str">
        <f>VLOOKUP($G24, 'ADP Data'!$C$4:$Q$300, 2, FALSE)</f>
        <v>LAR</v>
      </c>
      <c r="I24" s="11">
        <f>VLOOKUP(G24, 'ADP Data'!$C$4:$R$498, 12, FALSE)</f>
        <v>41</v>
      </c>
      <c r="J24" s="33" t="str">
        <f>VLOOKUP($G24, SeanRanks!$A$2:$H$303, 5, FALSE)</f>
        <v/>
      </c>
      <c r="K24" s="11" t="str">
        <f>IF(VLOOKUP($G24, SeanRanks!$A$2:$H$303, 6, FALSE)=0, "", VLOOKUP($G24, SeanRanks!$A$2:$H$303, 6, FALSE))</f>
        <v>WR2 - 2 - Upside with risk</v>
      </c>
      <c r="L24" s="11">
        <f t="shared" si="5"/>
        <v>4</v>
      </c>
      <c r="M24" s="11">
        <f>VLOOKUP($G24, 'ADP Data'!$C$4:$Q$300, 9, FALSE)</f>
        <v>44</v>
      </c>
      <c r="N24" s="11">
        <f t="shared" si="6"/>
        <v>3</v>
      </c>
      <c r="O24" s="11">
        <f>VLOOKUP($G24, 'ADP Data'!$C$4:$Q$300, 3, FALSE)</f>
        <v>34</v>
      </c>
      <c r="P24" s="11">
        <f t="shared" si="7"/>
        <v>10</v>
      </c>
      <c r="Q24" s="11">
        <f>VLOOKUP($G24, 'ADP Data'!$C$4:$Q$300, 4, FALSE)</f>
        <v>34</v>
      </c>
      <c r="R24" s="11">
        <f>VLOOKUP($G24, 'ADP Data'!$C$4:$Q$300, 5, FALSE)</f>
        <v>47</v>
      </c>
      <c r="S24" s="11">
        <f>VLOOKUP($G24, 'ADP Data'!$C$4:$Q$300, 6, FALSE)</f>
        <v>43</v>
      </c>
      <c r="T24" s="11">
        <f>VLOOKUP($G24, 'ADP Data'!$C$4:$Q$300, 7, FALSE)</f>
        <v>37</v>
      </c>
      <c r="U24" s="11">
        <f>VLOOKUP($G24, 'ADP Data'!$C$4:$Q$300, 8, FALSE)</f>
        <v>48</v>
      </c>
      <c r="V24" s="11">
        <f t="shared" si="8"/>
        <v>41</v>
      </c>
      <c r="W24" s="11">
        <f t="shared" si="9"/>
        <v>4</v>
      </c>
      <c r="X24" s="11">
        <f t="shared" si="10"/>
        <v>-2</v>
      </c>
      <c r="Y24" s="11">
        <f>VLOOKUP($G24, SeanRanks!$A$2:$K$303, 10, FALSE)-V24</f>
        <v>2</v>
      </c>
      <c r="Z24" s="29">
        <f>IF(VLOOKUP($G24, SeanRanks!$A$2:$H$303, 7, FALSE)=0, "", VLOOKUP($G24, SeanRanks!$A$2:$H$303, 7, FALSE))</f>
        <v>19</v>
      </c>
    </row>
    <row r="25" ht="14.25" customHeight="1">
      <c r="A25" s="11"/>
      <c r="B25" s="11">
        <f t="shared" si="4"/>
        <v>6</v>
      </c>
      <c r="C25" s="11" t="s">
        <v>95</v>
      </c>
      <c r="D25" s="11">
        <v>2.0</v>
      </c>
      <c r="E25" s="11"/>
      <c r="F25" s="11" t="str">
        <f>VLOOKUP(G25, SeanRanks!$A$2:$E$302, 4, FALSE)</f>
        <v/>
      </c>
      <c r="G25" s="11" t="s">
        <v>418</v>
      </c>
      <c r="H25" s="11" t="str">
        <f>VLOOKUP($G25, 'ADP Data'!$C$4:$Q$300, 2, FALSE)</f>
        <v>KC</v>
      </c>
      <c r="I25" s="11">
        <f>VLOOKUP(G25, 'ADP Data'!$C$4:$R$498, 12, FALSE)</f>
        <v>68</v>
      </c>
      <c r="J25" s="26" t="str">
        <f>VLOOKUP($G25, SeanRanks!$A$2:$H$303, 5, FALSE)</f>
        <v/>
      </c>
      <c r="K25" s="11" t="str">
        <f>IF(VLOOKUP($G25, SeanRanks!$A$2:$H$303, 6, FALSE)=0, "", VLOOKUP($G25, SeanRanks!$A$2:$H$303, 6, FALSE))</f>
        <v>RB2 - 2 - Path to spikes</v>
      </c>
      <c r="L25" s="11">
        <f t="shared" si="5"/>
        <v>6</v>
      </c>
      <c r="M25" s="11">
        <f>VLOOKUP($G25, 'ADP Data'!$C$4:$Q$300, 9, FALSE)</f>
        <v>61</v>
      </c>
      <c r="N25" s="11">
        <f t="shared" si="6"/>
        <v>-4</v>
      </c>
      <c r="O25" s="11">
        <f>VLOOKUP($G25, 'ADP Data'!$C$4:$Q$300, 3, FALSE)</f>
        <v>66</v>
      </c>
      <c r="P25" s="11">
        <f t="shared" si="7"/>
        <v>-5</v>
      </c>
      <c r="Q25" s="11">
        <f>VLOOKUP($G25, 'ADP Data'!$C$4:$Q$300, 4, FALSE)</f>
        <v>63</v>
      </c>
      <c r="R25" s="11">
        <f>VLOOKUP($G25, 'ADP Data'!$C$4:$Q$300, 5, FALSE)</f>
        <v>77</v>
      </c>
      <c r="S25" s="11">
        <f>VLOOKUP($G25, 'ADP Data'!$C$4:$Q$300, 6, FALSE)</f>
        <v>62</v>
      </c>
      <c r="T25" s="11">
        <f>VLOOKUP($G25, 'ADP Data'!$C$4:$Q$300, 7, FALSE)</f>
        <v>67</v>
      </c>
      <c r="U25" s="11">
        <f>VLOOKUP($G25, 'ADP Data'!$C$4:$Q$300, 8, FALSE)</f>
        <v>59</v>
      </c>
      <c r="V25" s="11">
        <f t="shared" si="8"/>
        <v>65</v>
      </c>
      <c r="W25" s="11">
        <f t="shared" si="9"/>
        <v>6</v>
      </c>
      <c r="X25" s="11">
        <f t="shared" si="10"/>
        <v>-4</v>
      </c>
      <c r="Y25" s="11">
        <f>VLOOKUP($G25, SeanRanks!$A$2:$K$303, 10, FALSE)-V25</f>
        <v>0</v>
      </c>
      <c r="Z25" s="29">
        <f>IF(VLOOKUP($G25, SeanRanks!$A$2:$H$303, 7, FALSE)=0, "", VLOOKUP($G25, SeanRanks!$A$2:$H$303, 7, FALSE))</f>
        <v>23</v>
      </c>
    </row>
    <row r="26" ht="14.25" customHeight="1">
      <c r="A26" s="11"/>
      <c r="B26" s="11">
        <f t="shared" si="4"/>
        <v>2</v>
      </c>
      <c r="C26" s="11" t="s">
        <v>95</v>
      </c>
      <c r="D26" s="11"/>
      <c r="E26" s="11"/>
      <c r="F26" s="11" t="str">
        <f>VLOOKUP(G26, SeanRanks!$A$2:$E$302, 4, FALSE)</f>
        <v/>
      </c>
      <c r="G26" s="11" t="s">
        <v>114</v>
      </c>
      <c r="H26" s="11" t="str">
        <f>VLOOKUP($G26, 'ADP Data'!$C$4:$Q$300, 2, FALSE)</f>
        <v>ATL</v>
      </c>
      <c r="I26" s="11">
        <f>VLOOKUP(G26, 'ADP Data'!$C$4:$R$498, 12, FALSE)</f>
        <v>14</v>
      </c>
      <c r="J26" s="37" t="str">
        <f>VLOOKUP($G26, SeanRanks!$A$2:$H$303, 5, FALSE)</f>
        <v/>
      </c>
      <c r="K26" s="11" t="str">
        <f>IF(VLOOKUP($G26, SeanRanks!$A$2:$H$303, 6, FALSE)=0, "", VLOOKUP($G26, SeanRanks!$A$2:$H$303, 6, FALSE))</f>
        <v>WR1 - 2 - High Floor</v>
      </c>
      <c r="L26" s="11">
        <f t="shared" si="5"/>
        <v>2</v>
      </c>
      <c r="M26" s="11">
        <f>VLOOKUP($G26, 'ADP Data'!$C$4:$Q$300, 9, FALSE)</f>
        <v>17</v>
      </c>
      <c r="N26" s="11">
        <f t="shared" si="6"/>
        <v>-1</v>
      </c>
      <c r="O26" s="11">
        <f>VLOOKUP($G26, 'ADP Data'!$C$4:$Q$300, 3, FALSE)</f>
        <v>23</v>
      </c>
      <c r="P26" s="11">
        <f t="shared" si="7"/>
        <v>-6</v>
      </c>
      <c r="Q26" s="11">
        <f>VLOOKUP($G26, 'ADP Data'!$C$4:$Q$300, 4, FALSE)</f>
        <v>21</v>
      </c>
      <c r="R26" s="11">
        <f>VLOOKUP($G26, 'ADP Data'!$C$4:$Q$300, 5, FALSE)</f>
        <v>16</v>
      </c>
      <c r="S26" s="11">
        <f>VLOOKUP($G26, 'ADP Data'!$C$4:$Q$300, 6, FALSE)</f>
        <v>19</v>
      </c>
      <c r="T26" s="11">
        <f>VLOOKUP($G26, 'ADP Data'!$C$4:$Q$300, 7, FALSE)</f>
        <v>15</v>
      </c>
      <c r="U26" s="11">
        <f>VLOOKUP($G26, 'ADP Data'!$C$4:$Q$300, 8, FALSE)</f>
        <v>20</v>
      </c>
      <c r="V26" s="11">
        <f t="shared" si="8"/>
        <v>18</v>
      </c>
      <c r="W26" s="11">
        <f t="shared" si="9"/>
        <v>2</v>
      </c>
      <c r="X26" s="11">
        <f t="shared" si="10"/>
        <v>-2</v>
      </c>
      <c r="Y26" s="11">
        <f>VLOOKUP($G26, SeanRanks!$A$2:$K$303, 10, FALSE)-V26</f>
        <v>-6</v>
      </c>
      <c r="Z26" s="29">
        <f>IF(VLOOKUP($G26, SeanRanks!$A$2:$H$303, 7, FALSE)=0, "", VLOOKUP($G26, SeanRanks!$A$2:$H$303, 7, FALSE))</f>
        <v>7</v>
      </c>
    </row>
    <row r="27" ht="14.25" customHeight="1">
      <c r="A27" s="11"/>
      <c r="B27" s="11">
        <f t="shared" si="4"/>
        <v>9</v>
      </c>
      <c r="C27" s="11" t="s">
        <v>95</v>
      </c>
      <c r="D27" s="11">
        <v>2.0</v>
      </c>
      <c r="E27" s="27"/>
      <c r="F27" s="11" t="str">
        <f>VLOOKUP(G27, SeanRanks!$A$2:$E$302, 4, FALSE)</f>
        <v/>
      </c>
      <c r="G27" s="11" t="s">
        <v>168</v>
      </c>
      <c r="H27" s="11" t="str">
        <f>VLOOKUP($G27, 'ADP Data'!$C$4:$Q$300, 2, FALSE)</f>
        <v>JAX</v>
      </c>
      <c r="I27" s="11">
        <f>VLOOKUP(G27, 'ADP Data'!$C$4:$R$498, 12, FALSE)</f>
        <v>101</v>
      </c>
      <c r="J27" s="36" t="str">
        <f>VLOOKUP($G27, SeanRanks!$A$2:$H$303, 5, FALSE)</f>
        <v/>
      </c>
      <c r="K27" s="11" t="str">
        <f>IF(VLOOKUP($G27, SeanRanks!$A$2:$H$303, 6, FALSE)=0, "", VLOOKUP($G27, SeanRanks!$A$2:$H$303, 6, FALSE))</f>
        <v>RB3 - 2 - low ceiling</v>
      </c>
      <c r="L27" s="11">
        <f t="shared" si="5"/>
        <v>8</v>
      </c>
      <c r="M27" s="11">
        <f>VLOOKUP($G27, 'ADP Data'!$C$4:$Q$300, 9, FALSE)</f>
        <v>85</v>
      </c>
      <c r="N27" s="11">
        <f t="shared" si="6"/>
        <v>-14</v>
      </c>
      <c r="O27" s="11">
        <f>VLOOKUP($G27, 'ADP Data'!$C$4:$Q$300, 3, FALSE)</f>
        <v>90</v>
      </c>
      <c r="P27" s="11">
        <f t="shared" si="7"/>
        <v>-5</v>
      </c>
      <c r="Q27" s="11">
        <f>VLOOKUP($G27, 'ADP Data'!$C$4:$Q$300, 4, FALSE)</f>
        <v>116</v>
      </c>
      <c r="R27" s="11">
        <f>VLOOKUP($G27, 'ADP Data'!$C$4:$Q$300, 5, FALSE)</f>
        <v>102</v>
      </c>
      <c r="S27" s="11">
        <f>VLOOKUP($G27, 'ADP Data'!$C$4:$Q$300, 6, FALSE)</f>
        <v>94</v>
      </c>
      <c r="T27" s="11">
        <f>VLOOKUP($G27, 'ADP Data'!$C$4:$Q$300, 7, FALSE)</f>
        <v>90</v>
      </c>
      <c r="U27" s="11">
        <f>VLOOKUP($G27, 'ADP Data'!$C$4:$Q$300, 8, FALSE)</f>
        <v>121</v>
      </c>
      <c r="V27" s="11">
        <f t="shared" si="8"/>
        <v>99</v>
      </c>
      <c r="W27" s="11">
        <f t="shared" si="9"/>
        <v>9</v>
      </c>
      <c r="X27" s="11">
        <f t="shared" si="10"/>
        <v>-7</v>
      </c>
      <c r="Y27" s="11">
        <f>VLOOKUP($G27, SeanRanks!$A$2:$K$303, 10, FALSE)-V27</f>
        <v>-3</v>
      </c>
      <c r="Z27" s="29">
        <f>IF(VLOOKUP($G27, SeanRanks!$A$2:$H$303, 7, FALSE)=0, "", VLOOKUP($G27, SeanRanks!$A$2:$H$303, 7, FALSE))</f>
        <v>33</v>
      </c>
    </row>
    <row r="28" ht="14.25" customHeight="1">
      <c r="A28" s="11"/>
      <c r="B28" s="11">
        <f t="shared" si="4"/>
        <v>7</v>
      </c>
      <c r="C28" s="11" t="s">
        <v>95</v>
      </c>
      <c r="D28" s="11"/>
      <c r="E28" s="11"/>
      <c r="F28" s="11" t="str">
        <f>VLOOKUP(G28, SeanRanks!$A$2:$E$302, 4, FALSE)</f>
        <v/>
      </c>
      <c r="G28" s="11" t="s">
        <v>130</v>
      </c>
      <c r="H28" s="11" t="str">
        <f>VLOOKUP($G28, 'ADP Data'!$C$4:$Q$300, 2, FALSE)</f>
        <v>NO</v>
      </c>
      <c r="I28" s="11">
        <f>VLOOKUP(G28, 'ADP Data'!$C$4:$R$498, 12, FALSE)</f>
        <v>71</v>
      </c>
      <c r="J28" s="33" t="str">
        <f>VLOOKUP($G28, SeanRanks!$A$2:$H$303, 5, FALSE)</f>
        <v/>
      </c>
      <c r="K28" s="11" t="str">
        <f>IF(VLOOKUP($G28, SeanRanks!$A$2:$H$303, 6, FALSE)=0, "", VLOOKUP($G28, SeanRanks!$A$2:$H$303, 6, FALSE))</f>
        <v>WR3 - 2 - mid, but path to big upside</v>
      </c>
      <c r="L28" s="11">
        <f t="shared" si="5"/>
        <v>7</v>
      </c>
      <c r="M28" s="11">
        <f>VLOOKUP($G28, 'ADP Data'!$C$4:$Q$300, 9, FALSE)</f>
        <v>73</v>
      </c>
      <c r="N28" s="11">
        <f t="shared" si="6"/>
        <v>-9</v>
      </c>
      <c r="O28" s="11">
        <f>VLOOKUP($G28, 'ADP Data'!$C$4:$Q$300, 3, FALSE)</f>
        <v>101</v>
      </c>
      <c r="P28" s="11">
        <f t="shared" si="7"/>
        <v>-28</v>
      </c>
      <c r="Q28" s="11">
        <f>VLOOKUP($G28, 'ADP Data'!$C$4:$Q$300, 4, FALSE)</f>
        <v>84</v>
      </c>
      <c r="R28" s="11">
        <f>VLOOKUP($G28, 'ADP Data'!$C$4:$Q$300, 5, FALSE)</f>
        <v>78</v>
      </c>
      <c r="S28" s="11">
        <f>VLOOKUP($G28, 'ADP Data'!$C$4:$Q$300, 6, FALSE)</f>
        <v>82</v>
      </c>
      <c r="T28" s="11">
        <f>VLOOKUP($G28, 'ADP Data'!$C$4:$Q$300, 7, FALSE)</f>
        <v>72</v>
      </c>
      <c r="U28" s="11">
        <f>VLOOKUP($G28, 'ADP Data'!$C$4:$Q$300, 8, FALSE)</f>
        <v>87</v>
      </c>
      <c r="V28" s="11">
        <f t="shared" si="8"/>
        <v>82</v>
      </c>
      <c r="W28" s="11">
        <f t="shared" si="9"/>
        <v>7</v>
      </c>
      <c r="X28" s="11">
        <f t="shared" si="10"/>
        <v>-7</v>
      </c>
      <c r="Y28" s="11">
        <f>VLOOKUP($G28, SeanRanks!$A$2:$K$303, 10, FALSE)-V28</f>
        <v>-16</v>
      </c>
      <c r="Z28" s="29">
        <f>IF(VLOOKUP($G28, SeanRanks!$A$2:$H$303, 7, FALSE)=0, "", VLOOKUP($G28, SeanRanks!$A$2:$H$303, 7, FALSE))</f>
        <v>32</v>
      </c>
    </row>
    <row r="29" ht="14.25" customHeight="1">
      <c r="A29" s="11"/>
      <c r="B29" s="11">
        <f t="shared" si="4"/>
        <v>2</v>
      </c>
      <c r="C29" s="11" t="s">
        <v>95</v>
      </c>
      <c r="D29" s="11"/>
      <c r="E29" s="11"/>
      <c r="F29" s="11" t="str">
        <f>VLOOKUP(G29, SeanRanks!$A$2:$E$302, 4, FALSE)</f>
        <v/>
      </c>
      <c r="G29" s="11" t="s">
        <v>92</v>
      </c>
      <c r="H29" s="11" t="str">
        <f>VLOOKUP($G29, 'ADP Data'!$C$4:$Q$300, 2, FALSE)</f>
        <v>MIA</v>
      </c>
      <c r="I29" s="11">
        <f>VLOOKUP(G29, 'ADP Data'!$C$4:$R$498, 12, FALSE)</f>
        <v>18</v>
      </c>
      <c r="J29" s="26" t="str">
        <f>VLOOKUP($G29, SeanRanks!$A$2:$H$303, 5, FALSE)</f>
        <v/>
      </c>
      <c r="K29" s="11" t="str">
        <f>IF(VLOOKUP($G29, SeanRanks!$A$2:$H$303, 6, FALSE)=0, "", VLOOKUP($G29, SeanRanks!$A$2:$H$303, 6, FALSE))</f>
        <v>RB1 - 2 - Elite ceiling/questions</v>
      </c>
      <c r="L29" s="11">
        <f t="shared" si="5"/>
        <v>2</v>
      </c>
      <c r="M29" s="11">
        <f>VLOOKUP($G29, 'ADP Data'!$C$4:$Q$300, 9, FALSE)</f>
        <v>14</v>
      </c>
      <c r="N29" s="11">
        <f t="shared" si="6"/>
        <v>-1</v>
      </c>
      <c r="O29" s="11">
        <f>VLOOKUP($G29, 'ADP Data'!$C$4:$Q$300, 3, FALSE)</f>
        <v>16</v>
      </c>
      <c r="P29" s="11">
        <f t="shared" si="7"/>
        <v>-2</v>
      </c>
      <c r="Q29" s="11">
        <f>VLOOKUP($G29, 'ADP Data'!$C$4:$Q$300, 4, FALSE)</f>
        <v>14</v>
      </c>
      <c r="R29" s="11">
        <f>VLOOKUP($G29, 'ADP Data'!$C$4:$Q$300, 5, FALSE)</f>
        <v>15</v>
      </c>
      <c r="S29" s="11">
        <f>VLOOKUP($G29, 'ADP Data'!$C$4:$Q$300, 6, FALSE)</f>
        <v>18</v>
      </c>
      <c r="T29" s="11">
        <f>VLOOKUP($G29, 'ADP Data'!$C$4:$Q$300, 7, FALSE)</f>
        <v>16</v>
      </c>
      <c r="U29" s="11">
        <f>VLOOKUP($G29, 'ADP Data'!$C$4:$Q$300, 8, FALSE)</f>
        <v>14</v>
      </c>
      <c r="V29" s="11">
        <f t="shared" si="8"/>
        <v>15</v>
      </c>
      <c r="W29" s="11">
        <f t="shared" si="9"/>
        <v>2</v>
      </c>
      <c r="X29" s="11">
        <f t="shared" si="10"/>
        <v>-2</v>
      </c>
      <c r="Y29" s="11">
        <f>VLOOKUP($G29, SeanRanks!$A$2:$K$303, 10, FALSE)-V29</f>
        <v>5</v>
      </c>
      <c r="Z29" s="29">
        <f>IF(VLOOKUP($G29, SeanRanks!$A$2:$H$303, 7, FALSE)=0, "", VLOOKUP($G29, SeanRanks!$A$2:$H$303, 7, FALSE))</f>
        <v>6</v>
      </c>
    </row>
    <row r="30" ht="14.25" customHeight="1">
      <c r="A30" s="11"/>
      <c r="B30" s="11">
        <f t="shared" si="4"/>
        <v>6</v>
      </c>
      <c r="C30" s="11" t="s">
        <v>95</v>
      </c>
      <c r="D30" s="11">
        <v>3.0</v>
      </c>
      <c r="E30" s="11"/>
      <c r="F30" s="11" t="str">
        <f>VLOOKUP(G30, SeanRanks!$A$2:$E$302, 4, FALSE)</f>
        <v/>
      </c>
      <c r="G30" s="11" t="s">
        <v>321</v>
      </c>
      <c r="H30" s="11" t="str">
        <f>VLOOKUP($G30, 'ADP Data'!$C$4:$Q$300, 2, FALSE)</f>
        <v>KC</v>
      </c>
      <c r="I30" s="11">
        <f>VLOOKUP(G30, 'ADP Data'!$C$4:$R$498, 12, FALSE)</f>
        <v>79</v>
      </c>
      <c r="J30" s="38" t="str">
        <f>VLOOKUP($G30, SeanRanks!$A$2:$H$303, 5, FALSE)</f>
        <v>No</v>
      </c>
      <c r="K30" s="11" t="str">
        <f>IF(VLOOKUP($G30, SeanRanks!$A$2:$H$303, 6, FALSE)=0, "", VLOOKUP($G30, SeanRanks!$A$2:$H$303, 6, FALSE))</f>
        <v>TE1 - 3 - Weekly Start</v>
      </c>
      <c r="L30" s="11">
        <f t="shared" si="5"/>
        <v>6</v>
      </c>
      <c r="M30" s="11">
        <f>VLOOKUP($G30, 'ADP Data'!$C$4:$Q$300, 9, FALSE)</f>
        <v>67</v>
      </c>
      <c r="N30" s="11">
        <f t="shared" si="6"/>
        <v>-1</v>
      </c>
      <c r="O30" s="11">
        <f>VLOOKUP($G30, 'ADP Data'!$C$4:$Q$300, 3, FALSE)</f>
        <v>61</v>
      </c>
      <c r="P30" s="11">
        <f t="shared" si="7"/>
        <v>6</v>
      </c>
      <c r="Q30" s="11">
        <f>VLOOKUP($G30, 'ADP Data'!$C$4:$Q$300, 4, FALSE)</f>
        <v>57</v>
      </c>
      <c r="R30" s="11">
        <f>VLOOKUP($G30, 'ADP Data'!$C$4:$Q$300, 5, FALSE)</f>
        <v>88</v>
      </c>
      <c r="S30" s="11">
        <f>VLOOKUP($G30, 'ADP Data'!$C$4:$Q$300, 6, FALSE)</f>
        <v>63</v>
      </c>
      <c r="T30" s="11">
        <f>VLOOKUP($G30, 'ADP Data'!$C$4:$Q$300, 7, FALSE)</f>
        <v>82</v>
      </c>
      <c r="U30" s="11">
        <f>VLOOKUP($G30, 'ADP Data'!$C$4:$Q$300, 8, FALSE)</f>
        <v>58</v>
      </c>
      <c r="V30" s="11">
        <f t="shared" si="8"/>
        <v>68</v>
      </c>
      <c r="W30" s="11">
        <f t="shared" si="9"/>
        <v>6</v>
      </c>
      <c r="X30" s="11">
        <f t="shared" si="10"/>
        <v>-3</v>
      </c>
      <c r="Y30" s="11">
        <f>VLOOKUP($G30, SeanRanks!$A$2:$K$303, 10, FALSE)-V30</f>
        <v>14</v>
      </c>
      <c r="Z30" s="29">
        <f>IF(VLOOKUP($G30, SeanRanks!$A$2:$H$303, 7, FALSE)=0, "", VLOOKUP($G30, SeanRanks!$A$2:$H$303, 7, FALSE))</f>
        <v>9</v>
      </c>
    </row>
    <row r="31" ht="14.25" customHeight="1">
      <c r="A31" s="11"/>
      <c r="B31" s="11">
        <f t="shared" si="4"/>
        <v>2</v>
      </c>
      <c r="C31" s="11" t="s">
        <v>95</v>
      </c>
      <c r="D31" s="11"/>
      <c r="E31" s="27"/>
      <c r="F31" s="11" t="str">
        <f>VLOOKUP(G31, SeanRanks!$A$2:$E$302, 4, FALSE)</f>
        <v/>
      </c>
      <c r="G31" s="11" t="s">
        <v>118</v>
      </c>
      <c r="H31" s="11" t="str">
        <f>VLOOKUP($G31, 'ADP Data'!$C$4:$Q$300, 2, FALSE)</f>
        <v>HOU</v>
      </c>
      <c r="I31" s="11">
        <f>VLOOKUP(G31, 'ADP Data'!$C$4:$R$498, 12, FALSE)</f>
        <v>8</v>
      </c>
      <c r="J31" s="37" t="str">
        <f>VLOOKUP($G31, SeanRanks!$A$2:$H$303, 5, FALSE)</f>
        <v/>
      </c>
      <c r="K31" s="11" t="str">
        <f>IF(VLOOKUP($G31, SeanRanks!$A$2:$H$303, 6, FALSE)=0, "", VLOOKUP($G31, SeanRanks!$A$2:$H$303, 6, FALSE))</f>
        <v>WR1 - 2 - High Floor</v>
      </c>
      <c r="L31" s="11">
        <f t="shared" si="5"/>
        <v>2</v>
      </c>
      <c r="M31" s="11">
        <f>VLOOKUP($G31, 'ADP Data'!$C$4:$Q$300, 9, FALSE)</f>
        <v>13</v>
      </c>
      <c r="N31" s="11">
        <f t="shared" si="6"/>
        <v>0</v>
      </c>
      <c r="O31" s="11">
        <f>VLOOKUP($G31, 'ADP Data'!$C$4:$Q$300, 3, FALSE)</f>
        <v>13</v>
      </c>
      <c r="P31" s="11">
        <f t="shared" si="7"/>
        <v>0</v>
      </c>
      <c r="Q31" s="11">
        <f>VLOOKUP($G31, 'ADP Data'!$C$4:$Q$300, 4, FALSE)</f>
        <v>13</v>
      </c>
      <c r="R31" s="11">
        <f>VLOOKUP($G31, 'ADP Data'!$C$4:$Q$300, 5, FALSE)</f>
        <v>12</v>
      </c>
      <c r="S31" s="11">
        <f>VLOOKUP($G31, 'ADP Data'!$C$4:$Q$300, 6, FALSE)</f>
        <v>12</v>
      </c>
      <c r="T31" s="11">
        <f>VLOOKUP($G31, 'ADP Data'!$C$4:$Q$300, 7, FALSE)</f>
        <v>12</v>
      </c>
      <c r="U31" s="11">
        <f>VLOOKUP($G31, 'ADP Data'!$C$4:$Q$300, 8, FALSE)</f>
        <v>16</v>
      </c>
      <c r="V31" s="11">
        <f t="shared" si="8"/>
        <v>13</v>
      </c>
      <c r="W31" s="11">
        <f t="shared" si="9"/>
        <v>2</v>
      </c>
      <c r="X31" s="11">
        <f t="shared" si="10"/>
        <v>-2</v>
      </c>
      <c r="Y31" s="11">
        <f>VLOOKUP($G31, SeanRanks!$A$2:$K$303, 10, FALSE)-V31</f>
        <v>-6</v>
      </c>
      <c r="Z31" s="29">
        <f>IF(VLOOKUP($G31, SeanRanks!$A$2:$H$303, 7, FALSE)=0, "", VLOOKUP($G31, SeanRanks!$A$2:$H$303, 7, FALSE))</f>
        <v>4</v>
      </c>
    </row>
    <row r="32" ht="14.25" customHeight="1">
      <c r="A32" s="11"/>
      <c r="B32" s="11">
        <f t="shared" si="4"/>
        <v>4</v>
      </c>
      <c r="C32" s="11" t="s">
        <v>95</v>
      </c>
      <c r="D32" s="11">
        <v>2.0</v>
      </c>
      <c r="E32" s="11"/>
      <c r="F32" s="11" t="str">
        <f>VLOOKUP(G32, SeanRanks!$A$2:$E$302, 4, FALSE)</f>
        <v/>
      </c>
      <c r="G32" s="11" t="s">
        <v>220</v>
      </c>
      <c r="H32" s="11" t="str">
        <f>VLOOKUP($G32, 'ADP Data'!$C$4:$Q$300, 2, FALSE)</f>
        <v>TB</v>
      </c>
      <c r="I32" s="11">
        <f>VLOOKUP(G32, 'ADP Data'!$C$4:$R$498, 12, FALSE)</f>
        <v>32</v>
      </c>
      <c r="J32" s="37" t="str">
        <f>VLOOKUP($G32, SeanRanks!$A$2:$H$303, 5, FALSE)</f>
        <v/>
      </c>
      <c r="K32" s="11" t="str">
        <f>IF(VLOOKUP($G32, SeanRanks!$A$2:$H$303, 6, FALSE)=0, "", VLOOKUP($G32, SeanRanks!$A$2:$H$303, 6, FALSE))</f>
        <v>WR2 - 1 - WR1 upside</v>
      </c>
      <c r="L32" s="11">
        <f t="shared" si="5"/>
        <v>4</v>
      </c>
      <c r="M32" s="11">
        <f>VLOOKUP($G32, 'ADP Data'!$C$4:$Q$300, 9, FALSE)</f>
        <v>39</v>
      </c>
      <c r="N32" s="11">
        <f t="shared" si="6"/>
        <v>1</v>
      </c>
      <c r="O32" s="11">
        <f>VLOOKUP($G32, 'ADP Data'!$C$4:$Q$300, 3, FALSE)</f>
        <v>36</v>
      </c>
      <c r="P32" s="11">
        <f t="shared" si="7"/>
        <v>3</v>
      </c>
      <c r="Q32" s="11">
        <f>VLOOKUP($G32, 'ADP Data'!$C$4:$Q$300, 4, FALSE)</f>
        <v>43</v>
      </c>
      <c r="R32" s="11">
        <f>VLOOKUP($G32, 'ADP Data'!$C$4:$Q$300, 5, FALSE)</f>
        <v>44</v>
      </c>
      <c r="S32" s="11">
        <f>VLOOKUP($G32, 'ADP Data'!$C$4:$Q$300, 6, FALSE)</f>
        <v>38</v>
      </c>
      <c r="T32" s="11">
        <f>VLOOKUP($G32, 'ADP Data'!$C$4:$Q$300, 7, FALSE)</f>
        <v>38</v>
      </c>
      <c r="U32" s="11">
        <f>VLOOKUP($G32, 'ADP Data'!$C$4:$Q$300, 8, FALSE)</f>
        <v>32</v>
      </c>
      <c r="V32" s="11">
        <f t="shared" si="8"/>
        <v>38</v>
      </c>
      <c r="W32" s="11">
        <f t="shared" si="9"/>
        <v>4</v>
      </c>
      <c r="X32" s="11">
        <f t="shared" si="10"/>
        <v>-2</v>
      </c>
      <c r="Y32" s="11">
        <f>VLOOKUP($G32, SeanRanks!$A$2:$K$303, 10, FALSE)-V32</f>
        <v>-6</v>
      </c>
      <c r="Z32" s="29">
        <f>IF(VLOOKUP($G32, SeanRanks!$A$2:$H$303, 7, FALSE)=0, "", VLOOKUP($G32, SeanRanks!$A$2:$H$303, 7, FALSE))</f>
        <v>15</v>
      </c>
    </row>
    <row r="33" ht="14.25" customHeight="1">
      <c r="A33" s="11"/>
      <c r="B33" s="11">
        <f t="shared" si="4"/>
        <v>8</v>
      </c>
      <c r="C33" s="11" t="s">
        <v>95</v>
      </c>
      <c r="D33" s="11">
        <v>2.0</v>
      </c>
      <c r="E33" s="11"/>
      <c r="F33" s="11" t="str">
        <f>VLOOKUP(G33, SeanRanks!$A$2:$E$302, 4, FALSE)</f>
        <v/>
      </c>
      <c r="G33" s="11" t="s">
        <v>364</v>
      </c>
      <c r="H33" s="11" t="str">
        <f>VLOOKUP($G33, 'ADP Data'!$C$4:$Q$300, 2, FALSE)</f>
        <v>WAS</v>
      </c>
      <c r="I33" s="11">
        <f>VLOOKUP(G33, 'ADP Data'!$C$4:$R$498, 12, FALSE)</f>
        <v>69</v>
      </c>
      <c r="J33" s="37" t="str">
        <f>VLOOKUP($G33, SeanRanks!$A$2:$H$303, 5, FALSE)</f>
        <v>Yes</v>
      </c>
      <c r="K33" s="11" t="str">
        <f>IF(VLOOKUP($G33, SeanRanks!$A$2:$H$303, 6, FALSE)=0, "", VLOOKUP($G33, SeanRanks!$A$2:$H$303, 6, FALSE))</f>
        <v>WR4 - 1 - path to WR2</v>
      </c>
      <c r="L33" s="11">
        <f t="shared" si="5"/>
        <v>8</v>
      </c>
      <c r="M33" s="11">
        <f>VLOOKUP($G33, 'ADP Data'!$C$4:$Q$300, 9, FALSE)</f>
        <v>84</v>
      </c>
      <c r="N33" s="11">
        <f t="shared" si="6"/>
        <v>0</v>
      </c>
      <c r="O33" s="11">
        <f>VLOOKUP($G33, 'ADP Data'!$C$4:$Q$300, 3, FALSE)</f>
        <v>75</v>
      </c>
      <c r="P33" s="11">
        <f t="shared" si="7"/>
        <v>9</v>
      </c>
      <c r="Q33" s="11">
        <f>VLOOKUP($G33, 'ADP Data'!$C$4:$Q$300, 4, FALSE)</f>
        <v>95</v>
      </c>
      <c r="R33" s="11">
        <f>VLOOKUP($G33, 'ADP Data'!$C$4:$Q$300, 5, FALSE)</f>
        <v>83</v>
      </c>
      <c r="S33" s="11">
        <f>VLOOKUP($G33, 'ADP Data'!$C$4:$Q$300, 6, FALSE)</f>
        <v>83</v>
      </c>
      <c r="T33" s="11">
        <f>VLOOKUP($G33, 'ADP Data'!$C$4:$Q$300, 7, FALSE)</f>
        <v>75</v>
      </c>
      <c r="U33" s="11">
        <f>VLOOKUP($G33, 'ADP Data'!$C$4:$Q$300, 8, FALSE)</f>
        <v>96</v>
      </c>
      <c r="V33" s="11">
        <f t="shared" si="8"/>
        <v>84</v>
      </c>
      <c r="W33" s="11">
        <f t="shared" si="9"/>
        <v>8</v>
      </c>
      <c r="X33" s="11">
        <f t="shared" si="10"/>
        <v>-6</v>
      </c>
      <c r="Y33" s="11">
        <f>VLOOKUP($G33, SeanRanks!$A$2:$K$303, 10, FALSE)-V33</f>
        <v>10</v>
      </c>
      <c r="Z33" s="29">
        <f>IF(VLOOKUP($G33, SeanRanks!$A$2:$H$303, 7, FALSE)=0, "", VLOOKUP($G33, SeanRanks!$A$2:$H$303, 7, FALSE))</f>
        <v>41</v>
      </c>
    </row>
    <row r="34" ht="14.25" customHeight="1">
      <c r="A34" s="11"/>
      <c r="B34" s="11">
        <f t="shared" si="4"/>
        <v>2</v>
      </c>
      <c r="C34" s="11" t="s">
        <v>95</v>
      </c>
      <c r="D34" s="11">
        <v>4.0</v>
      </c>
      <c r="E34" s="11"/>
      <c r="F34" s="11" t="str">
        <f>VLOOKUP(G34, SeanRanks!$A$2:$E$302, 4, FALSE)</f>
        <v/>
      </c>
      <c r="G34" s="11" t="s">
        <v>136</v>
      </c>
      <c r="H34" s="11" t="str">
        <f>VLOOKUP($G34, 'ADP Data'!$C$4:$Q$300, 2, FALSE)</f>
        <v>BUF</v>
      </c>
      <c r="I34" s="11">
        <f>VLOOKUP(G34, 'ADP Data'!$C$4:$R$498, 12, FALSE)</f>
        <v>26</v>
      </c>
      <c r="J34" s="39" t="str">
        <f>VLOOKUP($G34, SeanRanks!$A$2:$H$303, 5, FALSE)</f>
        <v/>
      </c>
      <c r="K34" s="11" t="str">
        <f>IF(VLOOKUP($G34, SeanRanks!$A$2:$H$303, 6, FALSE)=0, "", VLOOKUP($G34, SeanRanks!$A$2:$H$303, 6, FALSE))</f>
        <v>QB1 - 1 - Elite</v>
      </c>
      <c r="L34" s="11">
        <f t="shared" si="5"/>
        <v>2</v>
      </c>
      <c r="M34" s="11">
        <f>VLOOKUP($G34, 'ADP Data'!$C$4:$Q$300, 9, FALSE)</f>
        <v>21</v>
      </c>
      <c r="N34" s="11">
        <f t="shared" si="6"/>
        <v>-1</v>
      </c>
      <c r="O34" s="11">
        <f>VLOOKUP($G34, 'ADP Data'!$C$4:$Q$300, 3, FALSE)</f>
        <v>15</v>
      </c>
      <c r="P34" s="11">
        <f t="shared" si="7"/>
        <v>6</v>
      </c>
      <c r="Q34" s="11">
        <f>VLOOKUP($G34, 'ADP Data'!$C$4:$Q$300, 4, FALSE)</f>
        <v>19</v>
      </c>
      <c r="R34" s="11">
        <f>VLOOKUP($G34, 'ADP Data'!$C$4:$Q$300, 5, FALSE)</f>
        <v>27</v>
      </c>
      <c r="S34" s="11">
        <f>VLOOKUP($G34, 'ADP Data'!$C$4:$Q$300, 6, FALSE)</f>
        <v>27</v>
      </c>
      <c r="T34" s="11">
        <f>VLOOKUP($G34, 'ADP Data'!$C$4:$Q$300, 7, FALSE)</f>
        <v>25</v>
      </c>
      <c r="U34" s="11">
        <f>VLOOKUP($G34, 'ADP Data'!$C$4:$Q$300, 8, FALSE)</f>
        <v>21</v>
      </c>
      <c r="V34" s="11">
        <f t="shared" si="8"/>
        <v>22</v>
      </c>
      <c r="W34" s="11">
        <f t="shared" si="9"/>
        <v>2</v>
      </c>
      <c r="X34" s="11">
        <f t="shared" si="10"/>
        <v>2</v>
      </c>
      <c r="Y34" s="11">
        <f>VLOOKUP($G34, SeanRanks!$A$2:$K$303, 10, FALSE)-V34</f>
        <v>6</v>
      </c>
      <c r="Z34" s="29">
        <f>IF(VLOOKUP($G34, SeanRanks!$A$2:$H$303, 7, FALSE)=0, "", VLOOKUP($G34, SeanRanks!$A$2:$H$303, 7, FALSE))</f>
        <v>2</v>
      </c>
    </row>
    <row r="35" ht="14.25" customHeight="1">
      <c r="A35" s="11"/>
      <c r="B35" s="11">
        <f t="shared" si="4"/>
        <v>9</v>
      </c>
      <c r="C35" s="11" t="s">
        <v>95</v>
      </c>
      <c r="D35" s="11">
        <v>2.0</v>
      </c>
      <c r="E35" s="11"/>
      <c r="F35" s="11" t="str">
        <f>VLOOKUP(G35, SeanRanks!$A$2:$E$302, 4, FALSE)</f>
        <v/>
      </c>
      <c r="G35" s="11" t="s">
        <v>458</v>
      </c>
      <c r="H35" s="11" t="str">
        <f>VLOOKUP($G35, 'ADP Data'!$C$4:$Q$300, 2, FALSE)</f>
        <v>SEA</v>
      </c>
      <c r="I35" s="11">
        <f>VLOOKUP(G35, 'ADP Data'!$C$4:$R$498, 12, FALSE)</f>
        <v>97</v>
      </c>
      <c r="J35" s="40" t="str">
        <f>VLOOKUP($G35, SeanRanks!$A$2:$H$303, 5, FALSE)</f>
        <v/>
      </c>
      <c r="K35" s="11" t="str">
        <f>IF(VLOOKUP($G35, SeanRanks!$A$2:$H$303, 6, FALSE)=0, "", VLOOKUP($G35, SeanRanks!$A$2:$H$303, 6, FALSE))</f>
        <v>WR5 - 2 - floor play not league winner</v>
      </c>
      <c r="L35" s="11">
        <f t="shared" si="5"/>
        <v>8</v>
      </c>
      <c r="M35" s="11">
        <f>VLOOKUP($G35, 'ADP Data'!$C$4:$Q$300, 9, FALSE)</f>
        <v>88</v>
      </c>
      <c r="N35" s="11">
        <f t="shared" si="6"/>
        <v>-7</v>
      </c>
      <c r="O35" s="11">
        <f>VLOOKUP($G35, 'ADP Data'!$C$4:$Q$300, 3, FALSE)</f>
        <v>95</v>
      </c>
      <c r="P35" s="11">
        <f t="shared" si="7"/>
        <v>-7</v>
      </c>
      <c r="Q35" s="11">
        <f>VLOOKUP($G35, 'ADP Data'!$C$4:$Q$300, 4, FALSE)</f>
        <v>86</v>
      </c>
      <c r="R35" s="11">
        <f>VLOOKUP($G35, 'ADP Data'!$C$4:$Q$300, 5, FALSE)</f>
        <v>97</v>
      </c>
      <c r="S35" s="11">
        <f>VLOOKUP($G35, 'ADP Data'!$C$4:$Q$300, 6, FALSE)</f>
        <v>101</v>
      </c>
      <c r="T35" s="11">
        <f>VLOOKUP($G35, 'ADP Data'!$C$4:$Q$300, 7, FALSE)</f>
        <v>91</v>
      </c>
      <c r="U35" s="11">
        <f>VLOOKUP($G35, 'ADP Data'!$C$4:$Q$300, 8, FALSE)</f>
        <v>109</v>
      </c>
      <c r="V35" s="11">
        <f t="shared" si="8"/>
        <v>95</v>
      </c>
      <c r="W35" s="11">
        <f t="shared" si="9"/>
        <v>8</v>
      </c>
      <c r="X35" s="11">
        <f t="shared" si="10"/>
        <v>-6</v>
      </c>
      <c r="Y35" s="11">
        <f>VLOOKUP($G35, SeanRanks!$A$2:$K$303, 10, FALSE)-V35</f>
        <v>26</v>
      </c>
      <c r="Z35" s="29">
        <f>IF(VLOOKUP($G35, SeanRanks!$A$2:$H$303, 7, FALSE)=0, "", VLOOKUP($G35, SeanRanks!$A$2:$H$303, 7, FALSE))</f>
        <v>55</v>
      </c>
    </row>
    <row r="36" ht="14.25" customHeight="1">
      <c r="A36" s="11"/>
      <c r="B36" s="11">
        <f t="shared" si="4"/>
        <v>5</v>
      </c>
      <c r="C36" s="11" t="s">
        <v>95</v>
      </c>
      <c r="D36" s="11"/>
      <c r="E36" s="11"/>
      <c r="F36" s="11" t="str">
        <f>VLOOKUP(G36, SeanRanks!$A$2:$E$302, 4, FALSE)</f>
        <v/>
      </c>
      <c r="G36" s="11" t="s">
        <v>246</v>
      </c>
      <c r="H36" s="11" t="str">
        <f>VLOOKUP($G36, 'ADP Data'!$C$4:$Q$300, 2, FALSE)</f>
        <v>DET</v>
      </c>
      <c r="I36" s="11">
        <f>VLOOKUP(G36, 'ADP Data'!$C$4:$R$498, 12, FALSE)</f>
        <v>73</v>
      </c>
      <c r="J36" s="38" t="str">
        <f>VLOOKUP($G36, SeanRanks!$A$2:$H$303, 5, FALSE)</f>
        <v/>
      </c>
      <c r="K36" s="11" t="str">
        <f>IF(VLOOKUP($G36, SeanRanks!$A$2:$H$303, 6, FALSE)=0, "", VLOOKUP($G36, SeanRanks!$A$2:$H$303, 6, FALSE))</f>
        <v>TE1 - 2 - Very Good</v>
      </c>
      <c r="L36" s="11">
        <f t="shared" si="5"/>
        <v>5</v>
      </c>
      <c r="M36" s="11">
        <f>VLOOKUP($G36, 'ADP Data'!$C$4:$Q$300, 9, FALSE)</f>
        <v>51</v>
      </c>
      <c r="N36" s="11">
        <f t="shared" si="6"/>
        <v>-5</v>
      </c>
      <c r="O36" s="11">
        <f>VLOOKUP($G36, 'ADP Data'!$C$4:$Q$300, 3, FALSE)</f>
        <v>58</v>
      </c>
      <c r="P36" s="11">
        <f t="shared" si="7"/>
        <v>-7</v>
      </c>
      <c r="Q36" s="11">
        <f>VLOOKUP($G36, 'ADP Data'!$C$4:$Q$300, 4, FALSE)</f>
        <v>49</v>
      </c>
      <c r="R36" s="11">
        <f>VLOOKUP($G36, 'ADP Data'!$C$4:$Q$300, 5, FALSE)</f>
        <v>67</v>
      </c>
      <c r="S36" s="11">
        <f>VLOOKUP($G36, 'ADP Data'!$C$4:$Q$300, 6, FALSE)</f>
        <v>53</v>
      </c>
      <c r="T36" s="11">
        <f>VLOOKUP($G36, 'ADP Data'!$C$4:$Q$300, 7, FALSE)</f>
        <v>71</v>
      </c>
      <c r="U36" s="11">
        <f>VLOOKUP($G36, 'ADP Data'!$C$4:$Q$300, 8, FALSE)</f>
        <v>43</v>
      </c>
      <c r="V36" s="11">
        <f t="shared" si="8"/>
        <v>56</v>
      </c>
      <c r="W36" s="11">
        <f t="shared" si="9"/>
        <v>5</v>
      </c>
      <c r="X36" s="11">
        <f t="shared" si="10"/>
        <v>-5</v>
      </c>
      <c r="Y36" s="11">
        <f>VLOOKUP($G36, SeanRanks!$A$2:$K$303, 10, FALSE)-V36</f>
        <v>12</v>
      </c>
      <c r="Z36" s="29">
        <f>IF(VLOOKUP($G36, SeanRanks!$A$2:$H$303, 7, FALSE)=0, "", VLOOKUP($G36, SeanRanks!$A$2:$H$303, 7, FALSE))</f>
        <v>4</v>
      </c>
    </row>
    <row r="37" ht="14.25" customHeight="1">
      <c r="A37" s="11"/>
      <c r="B37" s="11">
        <f t="shared" si="4"/>
        <v>5</v>
      </c>
      <c r="C37" s="11" t="s">
        <v>95</v>
      </c>
      <c r="D37" s="11">
        <v>4.0</v>
      </c>
      <c r="E37" s="11"/>
      <c r="F37" s="11" t="str">
        <f>VLOOKUP(G37, SeanRanks!$A$2:$E$302, 4, FALSE)</f>
        <v/>
      </c>
      <c r="G37" s="11" t="s">
        <v>319</v>
      </c>
      <c r="H37" s="11" t="str">
        <f>VLOOKUP($G37, 'ADP Data'!$C$4:$Q$300, 2, FALSE)</f>
        <v>KC</v>
      </c>
      <c r="I37" s="11">
        <f>VLOOKUP(G37, 'ADP Data'!$C$4:$R$498, 12, FALSE)</f>
        <v>76</v>
      </c>
      <c r="J37" s="39" t="str">
        <f>VLOOKUP($G37, SeanRanks!$A$2:$H$303, 5, FALSE)</f>
        <v/>
      </c>
      <c r="K37" s="11" t="str">
        <f>IF(VLOOKUP($G37, SeanRanks!$A$2:$H$303, 6, FALSE)=0, "", VLOOKUP($G37, SeanRanks!$A$2:$H$303, 6, FALSE))</f>
        <v>QB1 - 4 - Weekly Start</v>
      </c>
      <c r="L37" s="11">
        <f t="shared" si="5"/>
        <v>5</v>
      </c>
      <c r="M37" s="11">
        <f>VLOOKUP($G37, 'ADP Data'!$C$4:$Q$300, 9, FALSE)</f>
        <v>57</v>
      </c>
      <c r="N37" s="11">
        <f t="shared" si="6"/>
        <v>1</v>
      </c>
      <c r="O37" s="11">
        <f>VLOOKUP($G37, 'ADP Data'!$C$4:$Q$300, 3, FALSE)</f>
        <v>47</v>
      </c>
      <c r="P37" s="11">
        <f t="shared" si="7"/>
        <v>10</v>
      </c>
      <c r="Q37" s="11">
        <f>VLOOKUP($G37, 'ADP Data'!$C$4:$Q$300, 4, FALSE)</f>
        <v>42</v>
      </c>
      <c r="R37" s="11">
        <f>VLOOKUP($G37, 'ADP Data'!$C$4:$Q$300, 5, FALSE)</f>
        <v>69</v>
      </c>
      <c r="S37" s="11">
        <f>VLOOKUP($G37, 'ADP Data'!$C$4:$Q$300, 6, FALSE)</f>
        <v>73</v>
      </c>
      <c r="T37" s="11">
        <f>VLOOKUP($G37, 'ADP Data'!$C$4:$Q$300, 7, FALSE)</f>
        <v>66</v>
      </c>
      <c r="U37" s="11">
        <f>VLOOKUP($G37, 'ADP Data'!$C$4:$Q$300, 8, FALSE)</f>
        <v>42</v>
      </c>
      <c r="V37" s="11">
        <f t="shared" si="8"/>
        <v>56</v>
      </c>
      <c r="W37" s="11">
        <f t="shared" si="9"/>
        <v>5</v>
      </c>
      <c r="X37" s="11">
        <f t="shared" si="10"/>
        <v>-1</v>
      </c>
      <c r="Y37" s="11">
        <f>VLOOKUP($G37, SeanRanks!$A$2:$K$303, 10, FALSE)-V37</f>
        <v>20</v>
      </c>
      <c r="Z37" s="29">
        <f>IF(VLOOKUP($G37, SeanRanks!$A$2:$H$303, 7, FALSE)=0, "", VLOOKUP($G37, SeanRanks!$A$2:$H$303, 7, FALSE))</f>
        <v>9</v>
      </c>
    </row>
    <row r="38" ht="14.25" customHeight="1">
      <c r="A38" s="11"/>
      <c r="B38" s="11">
        <f t="shared" si="4"/>
        <v>13</v>
      </c>
      <c r="C38" s="11" t="s">
        <v>95</v>
      </c>
      <c r="D38" s="11">
        <v>2.0</v>
      </c>
      <c r="E38" s="11"/>
      <c r="F38" s="11" t="str">
        <f>VLOOKUP(G38, SeanRanks!$A$2:$E$302, 4, FALSE)</f>
        <v/>
      </c>
      <c r="G38" s="11" t="s">
        <v>624</v>
      </c>
      <c r="H38" s="11" t="str">
        <f>VLOOKUP($G38, 'ADP Data'!$C$4:$Q$300, 2, FALSE)</f>
        <v>SF</v>
      </c>
      <c r="I38" s="11">
        <f>VLOOKUP(G38, 'ADP Data'!$C$4:$R$498, 12, FALSE)</f>
        <v>152</v>
      </c>
      <c r="J38" s="37" t="str">
        <f>VLOOKUP($G38, SeanRanks!$A$2:$H$303, 5, FALSE)</f>
        <v>Yes</v>
      </c>
      <c r="K38" s="11" t="str">
        <f>IF(VLOOKUP($G38, SeanRanks!$A$2:$H$303, 6, FALSE)=0, "", VLOOKUP($G38, SeanRanks!$A$2:$H$303, 6, FALSE))</f>
        <v>WR5 - 1 - upside path</v>
      </c>
      <c r="L38" s="11">
        <f t="shared" si="5"/>
        <v>10</v>
      </c>
      <c r="M38" s="11">
        <f>VLOOKUP($G38, 'ADP Data'!$C$4:$Q$300, 9, FALSE)</f>
        <v>115</v>
      </c>
      <c r="N38" s="11">
        <f t="shared" si="6"/>
        <v>-33</v>
      </c>
      <c r="O38" s="11">
        <f>VLOOKUP($G38, 'ADP Data'!$C$4:$Q$300, 3, FALSE)</f>
        <v>162</v>
      </c>
      <c r="P38" s="11">
        <f t="shared" si="7"/>
        <v>-47</v>
      </c>
      <c r="Q38" s="11">
        <f>VLOOKUP($G38, 'ADP Data'!$C$4:$Q$300, 4, FALSE)</f>
        <v>169</v>
      </c>
      <c r="R38" s="11">
        <f>VLOOKUP($G38, 'ADP Data'!$C$4:$Q$300, 5, FALSE)</f>
        <v>165</v>
      </c>
      <c r="S38" s="11">
        <f>VLOOKUP($G38, 'ADP Data'!$C$4:$Q$300, 6, FALSE)</f>
        <v>154</v>
      </c>
      <c r="T38" s="11">
        <f>VLOOKUP($G38, 'ADP Data'!$C$4:$Q$300, 7, FALSE)</f>
        <v>148</v>
      </c>
      <c r="U38" s="11">
        <f>VLOOKUP($G38, 'ADP Data'!$C$4:$Q$300, 8, FALSE)</f>
        <v>127</v>
      </c>
      <c r="V38" s="11">
        <f t="shared" si="8"/>
        <v>148</v>
      </c>
      <c r="W38" s="11">
        <f t="shared" si="9"/>
        <v>13</v>
      </c>
      <c r="X38" s="11">
        <f t="shared" si="10"/>
        <v>-11</v>
      </c>
      <c r="Y38" s="11">
        <f>VLOOKUP($G38, SeanRanks!$A$2:$K$303, 10, FALSE)-V38</f>
        <v>-7</v>
      </c>
      <c r="Z38" s="29">
        <f>IF(VLOOKUP($G38, SeanRanks!$A$2:$H$303, 7, FALSE)=0, "", VLOOKUP($G38, SeanRanks!$A$2:$H$303, 7, FALSE))</f>
        <v>48</v>
      </c>
    </row>
    <row r="39" ht="14.25" customHeight="1">
      <c r="A39" s="11"/>
      <c r="B39" s="11">
        <f t="shared" si="4"/>
        <v>4</v>
      </c>
      <c r="C39" s="11" t="s">
        <v>95</v>
      </c>
      <c r="D39" s="11">
        <v>4.0</v>
      </c>
      <c r="E39" s="11"/>
      <c r="F39" s="11" t="str">
        <f>VLOOKUP(G39, SeanRanks!$A$2:$E$302, 4, FALSE)</f>
        <v/>
      </c>
      <c r="G39" s="11" t="s">
        <v>234</v>
      </c>
      <c r="H39" s="11" t="str">
        <f>VLOOKUP($G39, 'ADP Data'!$C$4:$Q$300, 2, FALSE)</f>
        <v>PHI</v>
      </c>
      <c r="I39" s="11">
        <f>VLOOKUP(G39, 'ADP Data'!$C$4:$R$498, 12, FALSE)</f>
        <v>42</v>
      </c>
      <c r="J39" s="39" t="str">
        <f>VLOOKUP($G39, SeanRanks!$A$2:$H$303, 5, FALSE)</f>
        <v/>
      </c>
      <c r="K39" s="11" t="str">
        <f>IF(VLOOKUP($G39, SeanRanks!$A$2:$H$303, 6, FALSE)=0, "", VLOOKUP($G39, SeanRanks!$A$2:$H$303, 6, FALSE))</f>
        <v>QB1 - 2 - QB1 Upside</v>
      </c>
      <c r="L39" s="11">
        <f t="shared" si="5"/>
        <v>4</v>
      </c>
      <c r="M39" s="11">
        <f>VLOOKUP($G39, 'ADP Data'!$C$4:$Q$300, 9, FALSE)</f>
        <v>37</v>
      </c>
      <c r="N39" s="11">
        <f t="shared" si="6"/>
        <v>0</v>
      </c>
      <c r="O39" s="11">
        <f>VLOOKUP($G39, 'ADP Data'!$C$4:$Q$300, 3, FALSE)</f>
        <v>31</v>
      </c>
      <c r="P39" s="11">
        <f t="shared" si="7"/>
        <v>6</v>
      </c>
      <c r="Q39" s="11">
        <f>VLOOKUP($G39, 'ADP Data'!$C$4:$Q$300, 4, FALSE)</f>
        <v>28</v>
      </c>
      <c r="R39" s="11">
        <f>VLOOKUP($G39, 'ADP Data'!$C$4:$Q$300, 5, FALSE)</f>
        <v>51</v>
      </c>
      <c r="S39" s="11">
        <f>VLOOKUP($G39, 'ADP Data'!$C$4:$Q$300, 6, FALSE)</f>
        <v>40</v>
      </c>
      <c r="T39" s="11">
        <f>VLOOKUP($G39, 'ADP Data'!$C$4:$Q$300, 7, FALSE)</f>
        <v>43</v>
      </c>
      <c r="U39" s="11">
        <f>VLOOKUP($G39, 'ADP Data'!$C$4:$Q$300, 8, FALSE)</f>
        <v>34</v>
      </c>
      <c r="V39" s="11">
        <f t="shared" si="8"/>
        <v>37</v>
      </c>
      <c r="W39" s="11">
        <f t="shared" si="9"/>
        <v>4</v>
      </c>
      <c r="X39" s="11">
        <f t="shared" si="10"/>
        <v>0</v>
      </c>
      <c r="Y39" s="11">
        <f>VLOOKUP($G39, SeanRanks!$A$2:$K$303, 10, FALSE)-V39</f>
        <v>-2</v>
      </c>
      <c r="Z39" s="29">
        <f>IF(VLOOKUP($G39, SeanRanks!$A$2:$H$303, 7, FALSE)=0, "", VLOOKUP($G39, SeanRanks!$A$2:$H$303, 7, FALSE))</f>
        <v>3</v>
      </c>
    </row>
    <row r="40" ht="14.25" customHeight="1">
      <c r="A40" s="11" t="s">
        <v>106</v>
      </c>
      <c r="B40" s="11">
        <f t="shared" si="4"/>
        <v>6</v>
      </c>
      <c r="C40" s="11" t="s">
        <v>95</v>
      </c>
      <c r="D40" s="11">
        <v>2.0</v>
      </c>
      <c r="E40" s="11" t="s">
        <v>151</v>
      </c>
      <c r="F40" s="11" t="str">
        <f>VLOOKUP(G40, SeanRanks!$A$2:$E$302, 4, FALSE)</f>
        <v/>
      </c>
      <c r="G40" s="11" t="s">
        <v>175</v>
      </c>
      <c r="H40" s="11" t="str">
        <f>VLOOKUP($G40, 'ADP Data'!$C$4:$Q$300, 2, FALSE)</f>
        <v>MIA</v>
      </c>
      <c r="I40" s="11">
        <f>VLOOKUP(G40, 'ADP Data'!$C$4:$R$498, 12, FALSE)</f>
        <v>57</v>
      </c>
      <c r="J40" s="37" t="str">
        <f>VLOOKUP($G40, SeanRanks!$A$2:$H$303, 5, FALSE)</f>
        <v>No</v>
      </c>
      <c r="K40" s="11" t="str">
        <f>IF(VLOOKUP($G40, SeanRanks!$A$2:$H$303, 6, FALSE)=0, "", VLOOKUP($G40, SeanRanks!$A$2:$H$303, 6, FALSE))</f>
        <v>WR3 - 2 - mid, but path to big upside</v>
      </c>
      <c r="L40" s="11">
        <f t="shared" si="5"/>
        <v>6</v>
      </c>
      <c r="M40" s="11">
        <f>VLOOKUP($G40, 'ADP Data'!$C$4:$Q$300, 9, FALSE)</f>
        <v>70</v>
      </c>
      <c r="N40" s="11">
        <f t="shared" si="6"/>
        <v>0</v>
      </c>
      <c r="O40" s="11">
        <f>VLOOKUP($G40, 'ADP Data'!$C$4:$Q$300, 3, FALSE)</f>
        <v>79</v>
      </c>
      <c r="P40" s="11">
        <f t="shared" si="7"/>
        <v>-9</v>
      </c>
      <c r="Q40" s="11">
        <f>VLOOKUP($G40, 'ADP Data'!$C$4:$Q$300, 4, FALSE)</f>
        <v>64</v>
      </c>
      <c r="R40" s="11">
        <f>VLOOKUP($G40, 'ADP Data'!$C$4:$Q$300, 5, FALSE)</f>
        <v>70</v>
      </c>
      <c r="S40" s="11">
        <f>VLOOKUP($G40, 'ADP Data'!$C$4:$Q$300, 6, FALSE)</f>
        <v>66</v>
      </c>
      <c r="T40" s="11">
        <f>VLOOKUP($G40, 'ADP Data'!$C$4:$Q$300, 7, FALSE)</f>
        <v>58</v>
      </c>
      <c r="U40" s="11">
        <f>VLOOKUP($G40, 'ADP Data'!$C$4:$Q$300, 8, FALSE)</f>
        <v>84</v>
      </c>
      <c r="V40" s="11">
        <f t="shared" si="8"/>
        <v>70</v>
      </c>
      <c r="W40" s="11">
        <f t="shared" si="9"/>
        <v>6</v>
      </c>
      <c r="X40" s="11">
        <f t="shared" si="10"/>
        <v>-4</v>
      </c>
      <c r="Y40" s="11">
        <f>VLOOKUP($G40, SeanRanks!$A$2:$K$303, 10, FALSE)-V40</f>
        <v>-22</v>
      </c>
      <c r="Z40" s="29">
        <f>IF(VLOOKUP($G40, SeanRanks!$A$2:$H$303, 7, FALSE)=0, "", VLOOKUP($G40, SeanRanks!$A$2:$H$303, 7, FALSE))</f>
        <v>31</v>
      </c>
    </row>
    <row r="41" ht="14.25" customHeight="1">
      <c r="A41" s="11"/>
      <c r="B41" s="11">
        <f t="shared" si="4"/>
        <v>2</v>
      </c>
      <c r="C41" s="11" t="s">
        <v>95</v>
      </c>
      <c r="D41" s="11">
        <v>4.0</v>
      </c>
      <c r="E41" s="11"/>
      <c r="F41" s="11" t="str">
        <f>VLOOKUP(G41, SeanRanks!$A$2:$E$302, 4, FALSE)</f>
        <v/>
      </c>
      <c r="G41" s="11" t="s">
        <v>153</v>
      </c>
      <c r="H41" s="11" t="str">
        <f>VLOOKUP($G41, 'ADP Data'!$C$4:$Q$300, 2, FALSE)</f>
        <v>GB</v>
      </c>
      <c r="I41" s="11">
        <f>VLOOKUP(G41, 'ADP Data'!$C$4:$R$498, 12, FALSE)</f>
        <v>23</v>
      </c>
      <c r="J41" s="36" t="str">
        <f>VLOOKUP($G41, SeanRanks!$A$2:$H$303, 5, FALSE)</f>
        <v/>
      </c>
      <c r="K41" s="11" t="str">
        <f>IF(VLOOKUP($G41, SeanRanks!$A$2:$H$303, 6, FALSE)=0, "", VLOOKUP($G41, SeanRanks!$A$2:$H$303, 6, FALSE))</f>
        <v>RB1 - 2 - Elite ceiling/questions</v>
      </c>
      <c r="L41" s="11">
        <f t="shared" si="5"/>
        <v>2</v>
      </c>
      <c r="M41" s="11">
        <f>VLOOKUP($G41, 'ADP Data'!$C$4:$Q$300, 9, FALSE)</f>
        <v>15</v>
      </c>
      <c r="N41" s="11">
        <f t="shared" si="6"/>
        <v>-3</v>
      </c>
      <c r="O41" s="11">
        <f>VLOOKUP($G41, 'ADP Data'!$C$4:$Q$300, 3, FALSE)</f>
        <v>10</v>
      </c>
      <c r="P41" s="11">
        <f t="shared" si="7"/>
        <v>5</v>
      </c>
      <c r="Q41" s="11">
        <f>VLOOKUP($G41, 'ADP Data'!$C$4:$Q$300, 4, FALSE)</f>
        <v>17</v>
      </c>
      <c r="R41" s="11">
        <f>VLOOKUP($G41, 'ADP Data'!$C$4:$Q$300, 5, FALSE)</f>
        <v>23</v>
      </c>
      <c r="S41" s="11">
        <f>VLOOKUP($G41, 'ADP Data'!$C$4:$Q$300, 6, FALSE)</f>
        <v>22</v>
      </c>
      <c r="T41" s="11">
        <f>VLOOKUP($G41, 'ADP Data'!$C$4:$Q$300, 7, FALSE)</f>
        <v>22</v>
      </c>
      <c r="U41" s="11">
        <f>VLOOKUP($G41, 'ADP Data'!$C$4:$Q$300, 8, FALSE)</f>
        <v>19</v>
      </c>
      <c r="V41" s="11">
        <f t="shared" si="8"/>
        <v>18</v>
      </c>
      <c r="W41" s="11">
        <f t="shared" si="9"/>
        <v>2</v>
      </c>
      <c r="X41" s="11">
        <f t="shared" si="10"/>
        <v>2</v>
      </c>
      <c r="Y41" s="11">
        <f>VLOOKUP($G41, SeanRanks!$A$2:$K$303, 10, FALSE)-V41</f>
        <v>-3</v>
      </c>
      <c r="Z41" s="29">
        <f>IF(VLOOKUP($G41, SeanRanks!$A$2:$H$303, 7, FALSE)=0, "", VLOOKUP($G41, SeanRanks!$A$2:$H$303, 7, FALSE))</f>
        <v>7</v>
      </c>
    </row>
    <row r="42" ht="14.25" customHeight="1">
      <c r="A42" s="11"/>
      <c r="B42" s="11">
        <f t="shared" si="4"/>
        <v>10</v>
      </c>
      <c r="C42" s="11" t="s">
        <v>95</v>
      </c>
      <c r="D42" s="11">
        <v>3.0</v>
      </c>
      <c r="E42" s="11" t="s">
        <v>151</v>
      </c>
      <c r="F42" s="11" t="str">
        <f>VLOOKUP(G42, SeanRanks!$A$2:$E$302, 4, FALSE)</f>
        <v/>
      </c>
      <c r="G42" s="11" t="s">
        <v>286</v>
      </c>
      <c r="H42" s="11" t="str">
        <f>VLOOKUP($G42, 'ADP Data'!$C$4:$Q$300, 2, FALSE)</f>
        <v>IND</v>
      </c>
      <c r="I42" s="11">
        <f>VLOOKUP(G42, 'ADP Data'!$C$4:$R$498, 12, FALSE)</f>
        <v>85</v>
      </c>
      <c r="J42" s="40" t="str">
        <f>VLOOKUP($G42, SeanRanks!$A$2:$H$303, 5, FALSE)</f>
        <v>No</v>
      </c>
      <c r="K42" s="11" t="str">
        <f>IF(VLOOKUP($G42, SeanRanks!$A$2:$H$303, 6, FALSE)=0, "", VLOOKUP($G42, SeanRanks!$A$2:$H$303, 6, FALSE))</f>
        <v>WR4 - 2 - unclear path to WR2</v>
      </c>
      <c r="L42" s="11">
        <f t="shared" si="5"/>
        <v>10</v>
      </c>
      <c r="M42" s="11">
        <f>VLOOKUP($G42, 'ADP Data'!$C$4:$Q$300, 9, FALSE)</f>
        <v>114</v>
      </c>
      <c r="N42" s="11">
        <f t="shared" si="6"/>
        <v>4</v>
      </c>
      <c r="O42" s="11">
        <f>VLOOKUP($G42, 'ADP Data'!$C$4:$Q$300, 3, FALSE)</f>
        <v>94</v>
      </c>
      <c r="P42" s="11">
        <f t="shared" si="7"/>
        <v>20</v>
      </c>
      <c r="Q42" s="11">
        <f>VLOOKUP($G42, 'ADP Data'!$C$4:$Q$300, 4, FALSE)</f>
        <v>92</v>
      </c>
      <c r="R42" s="11">
        <f>VLOOKUP($G42, 'ADP Data'!$C$4:$Q$300, 5, FALSE)</f>
        <v>113</v>
      </c>
      <c r="S42" s="11">
        <f>VLOOKUP($G42, 'ADP Data'!$C$4:$Q$300, 6, FALSE)</f>
        <v>99</v>
      </c>
      <c r="T42" s="11">
        <f>VLOOKUP($G42, 'ADP Data'!$C$4:$Q$300, 7, FALSE)</f>
        <v>97</v>
      </c>
      <c r="U42" s="11">
        <f>VLOOKUP($G42, 'ADP Data'!$C$4:$Q$300, 8, FALSE)</f>
        <v>164</v>
      </c>
      <c r="V42" s="11">
        <f t="shared" si="8"/>
        <v>110</v>
      </c>
      <c r="W42" s="11">
        <f t="shared" si="9"/>
        <v>10</v>
      </c>
      <c r="X42" s="11">
        <f t="shared" si="10"/>
        <v>-7</v>
      </c>
      <c r="Y42" s="11">
        <f>VLOOKUP($G42, SeanRanks!$A$2:$K$303, 10, FALSE)-V42</f>
        <v>4</v>
      </c>
      <c r="Z42" s="29">
        <f>IF(VLOOKUP($G42, SeanRanks!$A$2:$H$303, 7, FALSE)=0, "", VLOOKUP($G42, SeanRanks!$A$2:$H$303, 7, FALSE))</f>
        <v>47</v>
      </c>
    </row>
    <row r="43" ht="14.25" customHeight="1">
      <c r="A43" s="11"/>
      <c r="B43" s="11">
        <f t="shared" si="4"/>
        <v>5</v>
      </c>
      <c r="C43" s="11" t="s">
        <v>95</v>
      </c>
      <c r="D43" s="11">
        <v>3.0</v>
      </c>
      <c r="E43" s="11"/>
      <c r="F43" s="11" t="str">
        <f>VLOOKUP(G43, SeanRanks!$A$2:$E$302, 4, FALSE)</f>
        <v/>
      </c>
      <c r="G43" s="11" t="s">
        <v>142</v>
      </c>
      <c r="H43" s="11" t="str">
        <f>VLOOKUP($G43, 'ADP Data'!$C$4:$Q$300, 2, FALSE)</f>
        <v>PHI</v>
      </c>
      <c r="I43" s="11">
        <f>VLOOKUP(G43, 'ADP Data'!$C$4:$R$498, 12, FALSE)</f>
        <v>54</v>
      </c>
      <c r="J43" s="40" t="str">
        <f>VLOOKUP($G43, SeanRanks!$A$2:$H$303, 5, FALSE)</f>
        <v/>
      </c>
      <c r="K43" s="11" t="str">
        <f>IF(VLOOKUP($G43, SeanRanks!$A$2:$H$303, 6, FALSE)=0, "", VLOOKUP($G43, SeanRanks!$A$2:$H$303, 6, FALSE))</f>
        <v>WR2 - 2 - Upside with risk</v>
      </c>
      <c r="L43" s="11">
        <f t="shared" si="5"/>
        <v>5</v>
      </c>
      <c r="M43" s="11">
        <f>VLOOKUP($G43, 'ADP Data'!$C$4:$Q$300, 9, FALSE)</f>
        <v>53</v>
      </c>
      <c r="N43" s="11">
        <f t="shared" si="6"/>
        <v>-5</v>
      </c>
      <c r="O43" s="11">
        <f>VLOOKUP($G43, 'ADP Data'!$C$4:$Q$300, 3, FALSE)</f>
        <v>60</v>
      </c>
      <c r="P43" s="11">
        <f t="shared" si="7"/>
        <v>-7</v>
      </c>
      <c r="Q43" s="11">
        <f>VLOOKUP($G43, 'ADP Data'!$C$4:$Q$300, 4, FALSE)</f>
        <v>61</v>
      </c>
      <c r="R43" s="11">
        <f>VLOOKUP($G43, 'ADP Data'!$C$4:$Q$300, 5, FALSE)</f>
        <v>62</v>
      </c>
      <c r="S43" s="11">
        <f>VLOOKUP($G43, 'ADP Data'!$C$4:$Q$300, 6, FALSE)</f>
        <v>60</v>
      </c>
      <c r="T43" s="11">
        <f>VLOOKUP($G43, 'ADP Data'!$C$4:$Q$300, 7, FALSE)</f>
        <v>56</v>
      </c>
      <c r="U43" s="11">
        <f>VLOOKUP($G43, 'ADP Data'!$C$4:$Q$300, 8, FALSE)</f>
        <v>60</v>
      </c>
      <c r="V43" s="11">
        <f t="shared" si="8"/>
        <v>58</v>
      </c>
      <c r="W43" s="11">
        <f t="shared" si="9"/>
        <v>5</v>
      </c>
      <c r="X43" s="11">
        <f t="shared" si="10"/>
        <v>-2</v>
      </c>
      <c r="Y43" s="11">
        <f>VLOOKUP($G43, SeanRanks!$A$2:$K$303, 10, FALSE)-V43</f>
        <v>-13</v>
      </c>
      <c r="Z43" s="29">
        <f>IF(VLOOKUP($G43, SeanRanks!$A$2:$H$303, 7, FALSE)=0, "", VLOOKUP($G43, SeanRanks!$A$2:$H$303, 7, FALSE))</f>
        <v>18</v>
      </c>
    </row>
    <row r="44" ht="14.25" customHeight="1">
      <c r="A44" s="11"/>
      <c r="B44" s="11">
        <f t="shared" si="4"/>
        <v>3</v>
      </c>
      <c r="C44" s="11" t="s">
        <v>95</v>
      </c>
      <c r="D44" s="11"/>
      <c r="E44" s="11"/>
      <c r="F44" s="11" t="str">
        <f>VLOOKUP(G44, SeanRanks!$A$2:$E$302, 4, FALSE)</f>
        <v/>
      </c>
      <c r="G44" s="11" t="s">
        <v>66</v>
      </c>
      <c r="H44" s="11" t="str">
        <f>VLOOKUP($G44, 'ADP Data'!$C$4:$Q$300, 2, FALSE)</f>
        <v>BUF</v>
      </c>
      <c r="I44" s="11">
        <f>VLOOKUP(G44, 'ADP Data'!$C$4:$R$498, 12, FALSE)</f>
        <v>44</v>
      </c>
      <c r="J44" s="36" t="str">
        <f>VLOOKUP($G44, SeanRanks!$A$2:$H$303, 5, FALSE)</f>
        <v/>
      </c>
      <c r="K44" s="11" t="str">
        <f>IF(VLOOKUP($G44, SeanRanks!$A$2:$H$303, 6, FALSE)=0, "", VLOOKUP($G44, SeanRanks!$A$2:$H$303, 6, FALSE))</f>
        <v>RB2 - 1 - Clear path to spikes</v>
      </c>
      <c r="L44" s="11">
        <f t="shared" si="5"/>
        <v>3</v>
      </c>
      <c r="M44" s="11">
        <f>VLOOKUP($G44, 'ADP Data'!$C$4:$Q$300, 9, FALSE)</f>
        <v>30</v>
      </c>
      <c r="N44" s="11">
        <f t="shared" si="6"/>
        <v>-2</v>
      </c>
      <c r="O44" s="11">
        <f>VLOOKUP($G44, 'ADP Data'!$C$4:$Q$300, 3, FALSE)</f>
        <v>26</v>
      </c>
      <c r="P44" s="11">
        <f t="shared" si="7"/>
        <v>4</v>
      </c>
      <c r="Q44" s="11">
        <f>VLOOKUP($G44, 'ADP Data'!$C$4:$Q$300, 4, FALSE)</f>
        <v>32</v>
      </c>
      <c r="R44" s="11">
        <f>VLOOKUP($G44, 'ADP Data'!$C$4:$Q$300, 5, FALSE)</f>
        <v>40</v>
      </c>
      <c r="S44" s="11">
        <f>VLOOKUP($G44, 'ADP Data'!$C$4:$Q$300, 6, FALSE)</f>
        <v>33</v>
      </c>
      <c r="T44" s="11">
        <f>VLOOKUP($G44, 'ADP Data'!$C$4:$Q$300, 7, FALSE)</f>
        <v>36</v>
      </c>
      <c r="U44" s="11">
        <f>VLOOKUP($G44, 'ADP Data'!$C$4:$Q$300, 8, FALSE)</f>
        <v>30</v>
      </c>
      <c r="V44" s="11">
        <f t="shared" si="8"/>
        <v>32</v>
      </c>
      <c r="W44" s="11">
        <f t="shared" si="9"/>
        <v>3</v>
      </c>
      <c r="X44" s="11">
        <f t="shared" si="10"/>
        <v>-3</v>
      </c>
      <c r="Y44" s="11">
        <f>VLOOKUP($G44, SeanRanks!$A$2:$K$303, 10, FALSE)-V44</f>
        <v>2</v>
      </c>
      <c r="Z44" s="29">
        <f>IF(VLOOKUP($G44, SeanRanks!$A$2:$H$303, 7, FALSE)=0, "", VLOOKUP($G44, SeanRanks!$A$2:$H$303, 7, FALSE))</f>
        <v>15</v>
      </c>
    </row>
    <row r="45" ht="14.25" customHeight="1">
      <c r="A45" s="11"/>
      <c r="B45" s="11">
        <f t="shared" si="4"/>
        <v>5</v>
      </c>
      <c r="C45" s="11" t="s">
        <v>95</v>
      </c>
      <c r="D45" s="11">
        <v>2.0</v>
      </c>
      <c r="E45" s="11" t="s">
        <v>151</v>
      </c>
      <c r="F45" s="11" t="str">
        <f>VLOOKUP(G45, SeanRanks!$A$2:$E$302, 4, FALSE)</f>
        <v/>
      </c>
      <c r="G45" s="11" t="s">
        <v>250</v>
      </c>
      <c r="H45" s="11" t="str">
        <f>VLOOKUP($G45, 'ADP Data'!$C$4:$Q$300, 2, FALSE)</f>
        <v>PIT</v>
      </c>
      <c r="I45" s="11">
        <f>VLOOKUP(G45, 'ADP Data'!$C$4:$R$498, 12, FALSE)</f>
        <v>56</v>
      </c>
      <c r="J45" s="37" t="str">
        <f>VLOOKUP($G45, SeanRanks!$A$2:$H$303, 5, FALSE)</f>
        <v/>
      </c>
      <c r="K45" s="11" t="str">
        <f>IF(VLOOKUP($G45, SeanRanks!$A$2:$H$303, 6, FALSE)=0, "", VLOOKUP($G45, SeanRanks!$A$2:$H$303, 6, FALSE))</f>
        <v>WR2 - 2 - Upside with risk</v>
      </c>
      <c r="L45" s="11">
        <f t="shared" si="5"/>
        <v>4</v>
      </c>
      <c r="M45" s="11">
        <f>VLOOKUP($G45, 'ADP Data'!$C$4:$Q$300, 9, FALSE)</f>
        <v>46</v>
      </c>
      <c r="N45" s="11">
        <f t="shared" si="6"/>
        <v>-4</v>
      </c>
      <c r="O45" s="11">
        <f>VLOOKUP($G45, 'ADP Data'!$C$4:$Q$300, 3, FALSE)</f>
        <v>48</v>
      </c>
      <c r="P45" s="11">
        <f t="shared" si="7"/>
        <v>-2</v>
      </c>
      <c r="Q45" s="11">
        <f>VLOOKUP($G45, 'ADP Data'!$C$4:$Q$300, 4, FALSE)</f>
        <v>45</v>
      </c>
      <c r="R45" s="11">
        <f>VLOOKUP($G45, 'ADP Data'!$C$4:$Q$300, 5, FALSE)</f>
        <v>63</v>
      </c>
      <c r="S45" s="11">
        <f>VLOOKUP($G45, 'ADP Data'!$C$4:$Q$300, 6, FALSE)</f>
        <v>52</v>
      </c>
      <c r="T45" s="11">
        <f>VLOOKUP($G45, 'ADP Data'!$C$4:$Q$300, 7, FALSE)</f>
        <v>50</v>
      </c>
      <c r="U45" s="11">
        <f>VLOOKUP($G45, 'ADP Data'!$C$4:$Q$300, 8, FALSE)</f>
        <v>52</v>
      </c>
      <c r="V45" s="11">
        <f t="shared" si="8"/>
        <v>50</v>
      </c>
      <c r="W45" s="11">
        <f t="shared" si="9"/>
        <v>5</v>
      </c>
      <c r="X45" s="11">
        <f t="shared" si="10"/>
        <v>-3</v>
      </c>
      <c r="Y45" s="11">
        <f>VLOOKUP($G45, SeanRanks!$A$2:$K$303, 10, FALSE)-V45</f>
        <v>-1</v>
      </c>
      <c r="Z45" s="29">
        <f>IF(VLOOKUP($G45, SeanRanks!$A$2:$H$303, 7, FALSE)=0, "", VLOOKUP($G45, SeanRanks!$A$2:$H$303, 7, FALSE))</f>
        <v>20</v>
      </c>
    </row>
    <row r="46" ht="14.25" customHeight="1">
      <c r="A46" s="11"/>
      <c r="B46" s="11">
        <f t="shared" si="4"/>
        <v>13</v>
      </c>
      <c r="C46" s="11" t="s">
        <v>95</v>
      </c>
      <c r="D46" s="11">
        <v>4.0</v>
      </c>
      <c r="E46" s="11"/>
      <c r="F46" s="11" t="str">
        <f>VLOOKUP(G46, SeanRanks!$A$2:$E$302, 4, FALSE)</f>
        <v/>
      </c>
      <c r="G46" s="11" t="s">
        <v>332</v>
      </c>
      <c r="H46" s="11" t="str">
        <f>VLOOKUP($G46, 'ADP Data'!$C$4:$Q$300, 2, FALSE)</f>
        <v>TB</v>
      </c>
      <c r="I46" s="11">
        <f>VLOOKUP(G46, 'ADP Data'!$C$4:$R$498, 12, FALSE)</f>
        <v>169</v>
      </c>
      <c r="J46" s="48" t="str">
        <f>VLOOKUP($G46, SeanRanks!$A$2:$H$303, 5, FALSE)</f>
        <v/>
      </c>
      <c r="K46" s="11" t="str">
        <f>IF(VLOOKUP($G46, SeanRanks!$A$2:$H$303, 6, FALSE)=0, "", VLOOKUP($G46, SeanRanks!$A$2:$H$303, 6, FALSE))</f>
        <v>RB4 - 2 - low ceiling</v>
      </c>
      <c r="L46" s="11">
        <f t="shared" si="5"/>
        <v>11</v>
      </c>
      <c r="M46" s="11">
        <f>VLOOKUP($G46, 'ADP Data'!$C$4:$Q$300, 9, FALSE)</f>
        <v>129</v>
      </c>
      <c r="N46" s="11">
        <f t="shared" si="6"/>
        <v>-18</v>
      </c>
      <c r="O46" s="11">
        <f>VLOOKUP($G46, 'ADP Data'!$C$4:$Q$300, 3, FALSE)</f>
        <v>133</v>
      </c>
      <c r="P46" s="11">
        <f t="shared" si="7"/>
        <v>-4</v>
      </c>
      <c r="Q46" s="11">
        <f>VLOOKUP($G46, 'ADP Data'!$C$4:$Q$300, 4, FALSE)</f>
        <v>150</v>
      </c>
      <c r="R46" s="11">
        <f>VLOOKUP($G46, 'ADP Data'!$C$4:$Q$300, 5, FALSE)</f>
        <v>167</v>
      </c>
      <c r="S46" s="11">
        <f>VLOOKUP($G46, 'ADP Data'!$C$4:$Q$300, 6, FALSE)</f>
        <v>149</v>
      </c>
      <c r="T46" s="11">
        <f>VLOOKUP($G46, 'ADP Data'!$C$4:$Q$300, 7, FALSE)</f>
        <v>153</v>
      </c>
      <c r="U46" s="11">
        <f>VLOOKUP($G46, 'ADP Data'!$C$4:$Q$300, 8, FALSE)</f>
        <v>149</v>
      </c>
      <c r="V46" s="11">
        <f t="shared" si="8"/>
        <v>147</v>
      </c>
      <c r="W46" s="11">
        <f t="shared" si="9"/>
        <v>13</v>
      </c>
      <c r="X46" s="11">
        <f t="shared" si="10"/>
        <v>-9</v>
      </c>
      <c r="Y46" s="11">
        <f>VLOOKUP($G46, SeanRanks!$A$2:$K$303, 10, FALSE)-V46</f>
        <v>-23</v>
      </c>
      <c r="Z46" s="29">
        <f>IF(VLOOKUP($G46, SeanRanks!$A$2:$H$303, 7, FALSE)=0, "", VLOOKUP($G46, SeanRanks!$A$2:$H$303, 7, FALSE))</f>
        <v>48</v>
      </c>
    </row>
    <row r="47" ht="14.25" customHeight="1">
      <c r="A47" s="11"/>
      <c r="B47" s="11">
        <f t="shared" si="4"/>
        <v>5</v>
      </c>
      <c r="C47" s="11" t="s">
        <v>95</v>
      </c>
      <c r="D47" s="11">
        <v>4.0</v>
      </c>
      <c r="E47" s="11"/>
      <c r="F47" s="11" t="str">
        <f>VLOOKUP(G47, SeanRanks!$A$2:$E$302, 4, FALSE)</f>
        <v/>
      </c>
      <c r="G47" s="11" t="s">
        <v>187</v>
      </c>
      <c r="H47" s="11" t="str">
        <f>VLOOKUP($G47, 'ADP Data'!$C$4:$Q$300, 2, FALSE)</f>
        <v>CHI</v>
      </c>
      <c r="I47" s="11">
        <f>VLOOKUP(G47, 'ADP Data'!$C$4:$R$498, 12, FALSE)</f>
        <v>50</v>
      </c>
      <c r="J47" s="49" t="str">
        <f>VLOOKUP($G47, SeanRanks!$A$2:$H$303, 5, FALSE)</f>
        <v/>
      </c>
      <c r="K47" s="11" t="str">
        <f>IF(VLOOKUP($G47, SeanRanks!$A$2:$H$303, 6, FALSE)=0, "", VLOOKUP($G47, SeanRanks!$A$2:$H$303, 6, FALSE))</f>
        <v>WR3 - 1 - </v>
      </c>
      <c r="L47" s="11">
        <f t="shared" si="5"/>
        <v>5</v>
      </c>
      <c r="M47" s="11">
        <f>VLOOKUP($G47, 'ADP Data'!$C$4:$Q$300, 9, FALSE)</f>
        <v>48</v>
      </c>
      <c r="N47" s="11">
        <f t="shared" si="6"/>
        <v>-3</v>
      </c>
      <c r="O47" s="11">
        <f>VLOOKUP($G47, 'ADP Data'!$C$4:$Q$300, 3, FALSE)</f>
        <v>52</v>
      </c>
      <c r="P47" s="11">
        <f t="shared" si="7"/>
        <v>-4</v>
      </c>
      <c r="Q47" s="11">
        <f>VLOOKUP($G47, 'ADP Data'!$C$4:$Q$300, 4, FALSE)</f>
        <v>54</v>
      </c>
      <c r="R47" s="11">
        <f>VLOOKUP($G47, 'ADP Data'!$C$4:$Q$300, 5, FALSE)</f>
        <v>54</v>
      </c>
      <c r="S47" s="11">
        <f>VLOOKUP($G47, 'ADP Data'!$C$4:$Q$300, 6, FALSE)</f>
        <v>55</v>
      </c>
      <c r="T47" s="11">
        <f>VLOOKUP($G47, 'ADP Data'!$C$4:$Q$300, 7, FALSE)</f>
        <v>48</v>
      </c>
      <c r="U47" s="11">
        <f>VLOOKUP($G47, 'ADP Data'!$C$4:$Q$300, 8, FALSE)</f>
        <v>46</v>
      </c>
      <c r="V47" s="11">
        <f t="shared" si="8"/>
        <v>51</v>
      </c>
      <c r="W47" s="11">
        <f t="shared" si="9"/>
        <v>5</v>
      </c>
      <c r="X47" s="11">
        <f t="shared" si="10"/>
        <v>-1</v>
      </c>
      <c r="Y47" s="11">
        <f>VLOOKUP($G47, SeanRanks!$A$2:$K$303, 10, FALSE)-V47</f>
        <v>9</v>
      </c>
      <c r="Z47" s="29">
        <f>IF(VLOOKUP($G47, SeanRanks!$A$2:$H$303, 7, FALSE)=0, "", VLOOKUP($G47, SeanRanks!$A$2:$H$303, 7, FALSE))</f>
        <v>28</v>
      </c>
    </row>
    <row r="48" ht="14.25" customHeight="1">
      <c r="A48" s="11"/>
      <c r="B48" s="11">
        <f t="shared" si="4"/>
        <v>3</v>
      </c>
      <c r="C48" s="11" t="s">
        <v>95</v>
      </c>
      <c r="D48" s="11">
        <v>4.0</v>
      </c>
      <c r="E48" s="11"/>
      <c r="F48" s="11" t="str">
        <f>VLOOKUP(G48, SeanRanks!$A$2:$E$302, 4, FALSE)</f>
        <v/>
      </c>
      <c r="G48" s="11" t="s">
        <v>183</v>
      </c>
      <c r="H48" s="11" t="str">
        <f>VLOOKUP($G48, 'ADP Data'!$C$4:$Q$300, 2, FALSE)</f>
        <v>BAL</v>
      </c>
      <c r="I48" s="11">
        <f>VLOOKUP(G48, 'ADP Data'!$C$4:$R$498, 12, FALSE)</f>
        <v>30</v>
      </c>
      <c r="J48" s="39" t="str">
        <f>VLOOKUP($G48, SeanRanks!$A$2:$H$303, 5, FALSE)</f>
        <v/>
      </c>
      <c r="K48" s="11" t="str">
        <f>IF(VLOOKUP($G48, SeanRanks!$A$2:$H$303, 6, FALSE)=0, "", VLOOKUP($G48, SeanRanks!$A$2:$H$303, 6, FALSE))</f>
        <v>QB1 - 1 - Elite</v>
      </c>
      <c r="L48" s="11">
        <f t="shared" si="5"/>
        <v>2</v>
      </c>
      <c r="M48" s="11">
        <f>VLOOKUP($G48, 'ADP Data'!$C$4:$Q$300, 9, FALSE)</f>
        <v>23</v>
      </c>
      <c r="N48" s="11">
        <f t="shared" si="6"/>
        <v>0</v>
      </c>
      <c r="O48" s="11">
        <f>VLOOKUP($G48, 'ADP Data'!$C$4:$Q$300, 3, FALSE)</f>
        <v>17</v>
      </c>
      <c r="P48" s="11">
        <f t="shared" si="7"/>
        <v>6</v>
      </c>
      <c r="Q48" s="11">
        <f>VLOOKUP($G48, 'ADP Data'!$C$4:$Q$300, 4, FALSE)</f>
        <v>23</v>
      </c>
      <c r="R48" s="11">
        <f>VLOOKUP($G48, 'ADP Data'!$C$4:$Q$300, 5, FALSE)</f>
        <v>31</v>
      </c>
      <c r="S48" s="11">
        <f>VLOOKUP($G48, 'ADP Data'!$C$4:$Q$300, 6, FALSE)</f>
        <v>29</v>
      </c>
      <c r="T48" s="11">
        <f>VLOOKUP($G48, 'ADP Data'!$C$4:$Q$300, 7, FALSE)</f>
        <v>24</v>
      </c>
      <c r="U48" s="11">
        <f>VLOOKUP($G48, 'ADP Data'!$C$4:$Q$300, 8, FALSE)</f>
        <v>18</v>
      </c>
      <c r="V48" s="11">
        <f t="shared" si="8"/>
        <v>23</v>
      </c>
      <c r="W48" s="11">
        <f t="shared" si="9"/>
        <v>2</v>
      </c>
      <c r="X48" s="11">
        <f t="shared" si="10"/>
        <v>2</v>
      </c>
      <c r="Y48" s="11">
        <f>VLOOKUP($G48, SeanRanks!$A$2:$K$303, 10, FALSE)-V48</f>
        <v>3</v>
      </c>
      <c r="Z48" s="29">
        <f>IF(VLOOKUP($G48, SeanRanks!$A$2:$H$303, 7, FALSE)=0, "", VLOOKUP($G48, SeanRanks!$A$2:$H$303, 7, FALSE))</f>
        <v>1</v>
      </c>
    </row>
    <row r="49" ht="14.25" customHeight="1">
      <c r="A49" s="11"/>
      <c r="B49" s="11">
        <f t="shared" si="4"/>
        <v>2</v>
      </c>
      <c r="C49" s="11" t="s">
        <v>95</v>
      </c>
      <c r="D49" s="11">
        <v>4.0</v>
      </c>
      <c r="E49" s="11"/>
      <c r="F49" s="11" t="str">
        <f>VLOOKUP(G49, SeanRanks!$A$2:$E$302, 4, FALSE)</f>
        <v/>
      </c>
      <c r="G49" s="11" t="s">
        <v>124</v>
      </c>
      <c r="H49" s="11" t="str">
        <f>VLOOKUP($G49, 'ADP Data'!$C$4:$Q$300, 2, FALSE)</f>
        <v>ARI</v>
      </c>
      <c r="I49" s="11">
        <f>VLOOKUP(G49, 'ADP Data'!$C$4:$R$498, 12, FALSE)</f>
        <v>24</v>
      </c>
      <c r="J49" s="38" t="str">
        <f>VLOOKUP($G49, SeanRanks!$A$2:$H$303, 5, FALSE)</f>
        <v/>
      </c>
      <c r="K49" s="11" t="str">
        <f>IF(VLOOKUP($G49, SeanRanks!$A$2:$H$303, 6, FALSE)=0, "", VLOOKUP($G49, SeanRanks!$A$2:$H$303, 6, FALSE))</f>
        <v>TE1 - 1 - Elite</v>
      </c>
      <c r="L49" s="11">
        <f t="shared" si="5"/>
        <v>3</v>
      </c>
      <c r="M49" s="11">
        <f>VLOOKUP($G49, 'ADP Data'!$C$4:$Q$300, 9, FALSE)</f>
        <v>26</v>
      </c>
      <c r="N49" s="11">
        <f t="shared" si="6"/>
        <v>1</v>
      </c>
      <c r="O49" s="11">
        <f>VLOOKUP($G49, 'ADP Data'!$C$4:$Q$300, 3, FALSE)</f>
        <v>35</v>
      </c>
      <c r="P49" s="11">
        <f t="shared" si="7"/>
        <v>-9</v>
      </c>
      <c r="Q49" s="11">
        <f>VLOOKUP($G49, 'ADP Data'!$C$4:$Q$300, 4, FALSE)</f>
        <v>25</v>
      </c>
      <c r="R49" s="11">
        <f>VLOOKUP($G49, 'ADP Data'!$C$4:$Q$300, 5, FALSE)</f>
        <v>28</v>
      </c>
      <c r="S49" s="11">
        <f>VLOOKUP($G49, 'ADP Data'!$C$4:$Q$300, 6, FALSE)</f>
        <v>13</v>
      </c>
      <c r="T49" s="11">
        <f>VLOOKUP($G49, 'ADP Data'!$C$4:$Q$300, 7, FALSE)</f>
        <v>26</v>
      </c>
      <c r="U49" s="11">
        <f>VLOOKUP($G49, 'ADP Data'!$C$4:$Q$300, 8, FALSE)</f>
        <v>27</v>
      </c>
      <c r="V49" s="11">
        <f t="shared" si="8"/>
        <v>25</v>
      </c>
      <c r="W49" s="11">
        <f t="shared" si="9"/>
        <v>3</v>
      </c>
      <c r="X49" s="11">
        <f t="shared" si="10"/>
        <v>1</v>
      </c>
      <c r="Y49" s="11">
        <f>VLOOKUP($G49, SeanRanks!$A$2:$K$303, 10, FALSE)-V49</f>
        <v>-1</v>
      </c>
      <c r="Z49" s="29">
        <f>IF(VLOOKUP($G49, SeanRanks!$A$2:$H$303, 7, FALSE)=0, "", VLOOKUP($G49, SeanRanks!$A$2:$H$303, 7, FALSE))</f>
        <v>2</v>
      </c>
    </row>
    <row r="50" ht="14.25" customHeight="1">
      <c r="A50" s="11"/>
      <c r="B50" s="11">
        <f t="shared" si="4"/>
        <v>12</v>
      </c>
      <c r="C50" s="11" t="s">
        <v>95</v>
      </c>
      <c r="D50" s="11">
        <v>4.0</v>
      </c>
      <c r="E50" s="11"/>
      <c r="F50" s="11" t="str">
        <f>VLOOKUP(G50, SeanRanks!$A$2:$E$302, 4, FALSE)</f>
        <v/>
      </c>
      <c r="G50" s="11" t="s">
        <v>789</v>
      </c>
      <c r="H50" s="11" t="str">
        <f>VLOOKUP($G50, 'ADP Data'!$C$4:$Q$300, 2, FALSE)</f>
        <v>HOU</v>
      </c>
      <c r="I50" s="11">
        <f>VLOOKUP(G50, 'ADP Data'!$C$4:$R$498, 12, FALSE)</f>
        <v>162</v>
      </c>
      <c r="J50" s="48" t="str">
        <f>VLOOKUP($G50, SeanRanks!$A$2:$H$303, 5, FALSE)</f>
        <v/>
      </c>
      <c r="K50" s="11" t="str">
        <f>IF(VLOOKUP($G50, SeanRanks!$A$2:$H$303, 6, FALSE)=0, "", VLOOKUP($G50, SeanRanks!$A$2:$H$303, 6, FALSE))</f>
        <v>RB2 - 2 - Path to spikes</v>
      </c>
      <c r="L50" s="11">
        <f t="shared" si="5"/>
        <v>6</v>
      </c>
      <c r="M50" s="11">
        <f>VLOOKUP($G50, 'ADP Data'!$C$4:$Q$300, 9, FALSE)</f>
        <v>63</v>
      </c>
      <c r="N50" s="11">
        <f t="shared" si="6"/>
        <v>-53</v>
      </c>
      <c r="O50" s="11">
        <f>VLOOKUP($G50, 'ADP Data'!$C$4:$Q$300, 3, FALSE)</f>
        <v>81</v>
      </c>
      <c r="P50" s="11">
        <f t="shared" si="7"/>
        <v>-18</v>
      </c>
      <c r="Q50" s="11">
        <f>VLOOKUP($G50, 'ADP Data'!$C$4:$Q$300, 4, FALSE)</f>
        <v>121</v>
      </c>
      <c r="R50" s="11">
        <f>VLOOKUP($G50, 'ADP Data'!$C$4:$Q$300, 5, FALSE)</f>
        <v>262</v>
      </c>
      <c r="S50" s="11">
        <f>VLOOKUP($G50, 'ADP Data'!$C$4:$Q$300, 6, FALSE)</f>
        <v>115</v>
      </c>
      <c r="T50" s="11">
        <f>VLOOKUP($G50, 'ADP Data'!$C$4:$Q$300, 7, FALSE)</f>
        <v>110</v>
      </c>
      <c r="U50" s="11">
        <f>VLOOKUP($G50, 'ADP Data'!$C$4:$Q$300, 8, FALSE)</f>
        <v>65</v>
      </c>
      <c r="V50" s="11">
        <f t="shared" si="8"/>
        <v>116</v>
      </c>
      <c r="W50" s="11">
        <f t="shared" si="9"/>
        <v>10</v>
      </c>
      <c r="X50" s="11">
        <f t="shared" si="10"/>
        <v>-6</v>
      </c>
      <c r="Y50" s="11">
        <f>VLOOKUP($G50, SeanRanks!$A$2:$K$303, 10, FALSE)-V50</f>
        <v>45</v>
      </c>
      <c r="Z50" s="29">
        <f>IF(VLOOKUP($G50, SeanRanks!$A$2:$H$303, 7, FALSE)=0, "", VLOOKUP($G50, SeanRanks!$A$2:$H$303, 7, FALSE))</f>
        <v>22</v>
      </c>
    </row>
    <row r="51" ht="14.25" customHeight="1">
      <c r="A51" s="11" t="s">
        <v>106</v>
      </c>
      <c r="B51" s="11">
        <f t="shared" si="4"/>
        <v>7</v>
      </c>
      <c r="C51" s="11" t="s">
        <v>95</v>
      </c>
      <c r="D51" s="11">
        <v>4.0</v>
      </c>
      <c r="E51" s="11"/>
      <c r="F51" s="11" t="str">
        <f>VLOOKUP(G51, SeanRanks!$A$2:$E$302, 4, FALSE)</f>
        <v/>
      </c>
      <c r="G51" s="11" t="s">
        <v>357</v>
      </c>
      <c r="H51" s="11" t="str">
        <f>VLOOKUP($G51, 'ADP Data'!$C$4:$Q$300, 2, FALSE)</f>
        <v>BAL</v>
      </c>
      <c r="I51" s="11">
        <f>VLOOKUP(G51, 'ADP Data'!$C$4:$R$498, 12, FALSE)</f>
        <v>93</v>
      </c>
      <c r="J51" s="38" t="str">
        <f>VLOOKUP($G51, SeanRanks!$A$2:$H$303, 5, FALSE)</f>
        <v>No</v>
      </c>
      <c r="K51" s="11" t="str">
        <f>IF(VLOOKUP($G51, SeanRanks!$A$2:$H$303, 6, FALSE)=0, "", VLOOKUP($G51, SeanRanks!$A$2:$H$303, 6, FALSE))</f>
        <v>TE1 - 3 - Weekly Start</v>
      </c>
      <c r="L51" s="11">
        <f t="shared" si="5"/>
        <v>7</v>
      </c>
      <c r="M51" s="11">
        <f>VLOOKUP($G51, 'ADP Data'!$C$4:$Q$300, 9, FALSE)</f>
        <v>77</v>
      </c>
      <c r="N51" s="11">
        <f t="shared" si="6"/>
        <v>0</v>
      </c>
      <c r="O51" s="11">
        <f>VLOOKUP($G51, 'ADP Data'!$C$4:$Q$300, 3, FALSE)</f>
        <v>73</v>
      </c>
      <c r="P51" s="11">
        <f t="shared" si="7"/>
        <v>4</v>
      </c>
      <c r="Q51" s="11">
        <f>VLOOKUP($G51, 'ADP Data'!$C$4:$Q$300, 4, FALSE)</f>
        <v>73</v>
      </c>
      <c r="R51" s="11">
        <f>VLOOKUP($G51, 'ADP Data'!$C$4:$Q$300, 5, FALSE)</f>
        <v>95</v>
      </c>
      <c r="S51" s="11">
        <f>VLOOKUP($G51, 'ADP Data'!$C$4:$Q$300, 6, FALSE)</f>
        <v>79</v>
      </c>
      <c r="T51" s="11">
        <f>VLOOKUP($G51, 'ADP Data'!$C$4:$Q$300, 7, FALSE)</f>
        <v>93</v>
      </c>
      <c r="U51" s="11">
        <f>VLOOKUP($G51, 'ADP Data'!$C$4:$Q$300, 8, FALSE)</f>
        <v>53</v>
      </c>
      <c r="V51" s="11">
        <f t="shared" si="8"/>
        <v>77</v>
      </c>
      <c r="W51" s="11">
        <f t="shared" si="9"/>
        <v>7</v>
      </c>
      <c r="X51" s="11">
        <f t="shared" si="10"/>
        <v>-3</v>
      </c>
      <c r="Y51" s="11">
        <f>VLOOKUP($G51, SeanRanks!$A$2:$K$303, 10, FALSE)-V51</f>
        <v>2</v>
      </c>
      <c r="Z51" s="29">
        <f>IF(VLOOKUP($G51, SeanRanks!$A$2:$H$303, 7, FALSE)=0, "", VLOOKUP($G51, SeanRanks!$A$2:$H$303, 7, FALSE))</f>
        <v>7</v>
      </c>
    </row>
    <row r="52" ht="14.25" customHeight="1">
      <c r="A52" s="11"/>
      <c r="B52" s="11">
        <f t="shared" si="4"/>
        <v>8</v>
      </c>
      <c r="C52" s="11" t="s">
        <v>95</v>
      </c>
      <c r="D52" s="11">
        <v>4.0</v>
      </c>
      <c r="E52" s="11"/>
      <c r="F52" s="11" t="str">
        <f>VLOOKUP(G52, SeanRanks!$A$2:$E$302, 4, FALSE)</f>
        <v/>
      </c>
      <c r="G52" s="11" t="s">
        <v>299</v>
      </c>
      <c r="H52" s="11" t="str">
        <f>VLOOKUP($G52, 'ADP Data'!$C$4:$Q$300, 2, FALSE)</f>
        <v>NE</v>
      </c>
      <c r="I52" s="11">
        <f>VLOOKUP(G52, 'ADP Data'!$C$4:$R$498, 12, FALSE)</f>
        <v>67</v>
      </c>
      <c r="J52" s="49" t="str">
        <f>VLOOKUP($G52, SeanRanks!$A$2:$H$303, 5, FALSE)</f>
        <v/>
      </c>
      <c r="K52" s="11" t="str">
        <f>IF(VLOOKUP($G52, SeanRanks!$A$2:$H$303, 6, FALSE)=0, "", VLOOKUP($G52, SeanRanks!$A$2:$H$303, 6, FALSE))</f>
        <v>WR3 - 3 - lower ceiling</v>
      </c>
      <c r="L52" s="11">
        <f t="shared" si="5"/>
        <v>8</v>
      </c>
      <c r="M52" s="11">
        <f>VLOOKUP($G52, 'ADP Data'!$C$4:$Q$300, 9, FALSE)</f>
        <v>89</v>
      </c>
      <c r="N52" s="11">
        <f t="shared" si="6"/>
        <v>2</v>
      </c>
      <c r="O52" s="11">
        <f>VLOOKUP($G52, 'ADP Data'!$C$4:$Q$300, 3, FALSE)</f>
        <v>91</v>
      </c>
      <c r="P52" s="11">
        <f t="shared" si="7"/>
        <v>-2</v>
      </c>
      <c r="Q52" s="11">
        <f>VLOOKUP($G52, 'ADP Data'!$C$4:$Q$300, 4, FALSE)</f>
        <v>88</v>
      </c>
      <c r="R52" s="11">
        <f>VLOOKUP($G52, 'ADP Data'!$C$4:$Q$300, 5, FALSE)</f>
        <v>89</v>
      </c>
      <c r="S52" s="11">
        <f>VLOOKUP($G52, 'ADP Data'!$C$4:$Q$300, 6, FALSE)</f>
        <v>85</v>
      </c>
      <c r="T52" s="11">
        <f>VLOOKUP($G52, 'ADP Data'!$C$4:$Q$300, 7, FALSE)</f>
        <v>77</v>
      </c>
      <c r="U52" s="11">
        <f>VLOOKUP($G52, 'ADP Data'!$C$4:$Q$300, 8, FALSE)</f>
        <v>95</v>
      </c>
      <c r="V52" s="11">
        <f t="shared" si="8"/>
        <v>87</v>
      </c>
      <c r="W52" s="11">
        <f t="shared" si="9"/>
        <v>8</v>
      </c>
      <c r="X52" s="11">
        <f t="shared" si="10"/>
        <v>-4</v>
      </c>
      <c r="Y52" s="11">
        <f>VLOOKUP($G52, SeanRanks!$A$2:$K$303, 10, FALSE)-V52</f>
        <v>-10</v>
      </c>
      <c r="Z52" s="29">
        <f>IF(VLOOKUP($G52, SeanRanks!$A$2:$H$303, 7, FALSE)=0, "", VLOOKUP($G52, SeanRanks!$A$2:$H$303, 7, FALSE))</f>
        <v>38</v>
      </c>
    </row>
    <row r="53" ht="14.25" customHeight="1">
      <c r="A53" s="11"/>
      <c r="B53" s="11">
        <f t="shared" si="4"/>
        <v>1</v>
      </c>
      <c r="C53" s="11" t="s">
        <v>95</v>
      </c>
      <c r="D53" s="11">
        <v>3.0</v>
      </c>
      <c r="E53" s="11" t="s">
        <v>151</v>
      </c>
      <c r="F53" s="11" t="str">
        <f>VLOOKUP(G53, SeanRanks!$A$2:$E$302, 4, FALSE)</f>
        <v/>
      </c>
      <c r="G53" s="11" t="s">
        <v>127</v>
      </c>
      <c r="H53" s="11" t="str">
        <f>VLOOKUP($G53, 'ADP Data'!$C$4:$Q$300, 2, FALSE)</f>
        <v>NYG</v>
      </c>
      <c r="I53" s="11">
        <f>VLOOKUP(G53, 'ADP Data'!$C$4:$R$498, 12, FALSE)</f>
        <v>10</v>
      </c>
      <c r="J53" s="37" t="str">
        <f>VLOOKUP($G53, SeanRanks!$A$2:$H$303, 5, FALSE)</f>
        <v/>
      </c>
      <c r="K53" s="11" t="str">
        <f>IF(VLOOKUP($G53, SeanRanks!$A$2:$H$303, 6, FALSE)=0, "", VLOOKUP($G53, SeanRanks!$A$2:$H$303, 6, FALSE))</f>
        <v>WR1 - 2 - High Floor</v>
      </c>
      <c r="L53" s="11">
        <f t="shared" si="5"/>
        <v>2</v>
      </c>
      <c r="M53" s="11">
        <f>VLOOKUP($G53, 'ADP Data'!$C$4:$Q$300, 9, FALSE)</f>
        <v>12</v>
      </c>
      <c r="N53" s="11">
        <f t="shared" si="6"/>
        <v>3</v>
      </c>
      <c r="O53" s="11">
        <f>VLOOKUP($G53, 'ADP Data'!$C$4:$Q$300, 3, FALSE)</f>
        <v>11</v>
      </c>
      <c r="P53" s="11">
        <f t="shared" si="7"/>
        <v>1</v>
      </c>
      <c r="Q53" s="11">
        <f>VLOOKUP($G53, 'ADP Data'!$C$4:$Q$300, 4, FALSE)</f>
        <v>10</v>
      </c>
      <c r="R53" s="11">
        <f>VLOOKUP($G53, 'ADP Data'!$C$4:$Q$300, 5, FALSE)</f>
        <v>9</v>
      </c>
      <c r="S53" s="11">
        <f>VLOOKUP($G53, 'ADP Data'!$C$4:$Q$300, 6, FALSE)</f>
        <v>10</v>
      </c>
      <c r="T53" s="11">
        <f>VLOOKUP($G53, 'ADP Data'!$C$4:$Q$300, 7, FALSE)</f>
        <v>8</v>
      </c>
      <c r="U53" s="11">
        <f>VLOOKUP($G53, 'ADP Data'!$C$4:$Q$300, 8, FALSE)</f>
        <v>9</v>
      </c>
      <c r="V53" s="11">
        <f t="shared" si="8"/>
        <v>9</v>
      </c>
      <c r="W53" s="11">
        <f t="shared" si="9"/>
        <v>1</v>
      </c>
      <c r="X53" s="11">
        <f t="shared" si="10"/>
        <v>2</v>
      </c>
      <c r="Y53" s="11">
        <f>VLOOKUP($G53, SeanRanks!$A$2:$K$303, 10, FALSE)-V53</f>
        <v>1</v>
      </c>
      <c r="Z53" s="29">
        <f>IF(VLOOKUP($G53, SeanRanks!$A$2:$H$303, 7, FALSE)=0, "", VLOOKUP($G53, SeanRanks!$A$2:$H$303, 7, FALSE))</f>
        <v>5</v>
      </c>
    </row>
    <row r="54" ht="14.25" customHeight="1">
      <c r="A54" s="11" t="s">
        <v>106</v>
      </c>
      <c r="B54" s="11">
        <f t="shared" si="4"/>
        <v>4</v>
      </c>
      <c r="C54" s="11" t="s">
        <v>95</v>
      </c>
      <c r="D54" s="11">
        <v>4.0</v>
      </c>
      <c r="E54" s="11" t="s">
        <v>151</v>
      </c>
      <c r="F54" s="11" t="str">
        <f>VLOOKUP(G54, SeanRanks!$A$2:$E$302, 4, FALSE)</f>
        <v/>
      </c>
      <c r="G54" s="11" t="s">
        <v>101</v>
      </c>
      <c r="H54" s="11" t="str">
        <f>VLOOKUP($G54, 'ADP Data'!$C$4:$Q$300, 2, FALSE)</f>
        <v>SEA</v>
      </c>
      <c r="I54" s="11">
        <f>VLOOKUP(G54, 'ADP Data'!$C$4:$R$498, 12, FALSE)</f>
        <v>39</v>
      </c>
      <c r="J54" s="52" t="str">
        <f>VLOOKUP($G54, SeanRanks!$A$2:$H$303, 5, FALSE)</f>
        <v/>
      </c>
      <c r="K54" s="11" t="str">
        <f>IF(VLOOKUP($G54, SeanRanks!$A$2:$H$303, 6, FALSE)=0, "", VLOOKUP($G54, SeanRanks!$A$2:$H$303, 6, FALSE))</f>
        <v>RB2 - 1 - Clear path to spikes</v>
      </c>
      <c r="L54" s="11">
        <f t="shared" si="5"/>
        <v>4</v>
      </c>
      <c r="M54" s="11">
        <f>VLOOKUP($G54, 'ADP Data'!$C$4:$Q$300, 9, FALSE)</f>
        <v>43</v>
      </c>
      <c r="N54" s="11">
        <f t="shared" si="6"/>
        <v>2</v>
      </c>
      <c r="O54" s="11">
        <f>VLOOKUP($G54, 'ADP Data'!$C$4:$Q$300, 3, FALSE)</f>
        <v>33</v>
      </c>
      <c r="P54" s="11">
        <f t="shared" si="7"/>
        <v>10</v>
      </c>
      <c r="Q54" s="11">
        <f>VLOOKUP($G54, 'ADP Data'!$C$4:$Q$300, 4, FALSE)</f>
        <v>47</v>
      </c>
      <c r="R54" s="11">
        <f>VLOOKUP($G54, 'ADP Data'!$C$4:$Q$300, 5, FALSE)</f>
        <v>55</v>
      </c>
      <c r="S54" s="11">
        <f>VLOOKUP($G54, 'ADP Data'!$C$4:$Q$300, 6, FALSE)</f>
        <v>34</v>
      </c>
      <c r="T54" s="11">
        <f>VLOOKUP($G54, 'ADP Data'!$C$4:$Q$300, 7, FALSE)</f>
        <v>41</v>
      </c>
      <c r="U54" s="11">
        <f>VLOOKUP($G54, 'ADP Data'!$C$4:$Q$300, 8, FALSE)</f>
        <v>40</v>
      </c>
      <c r="V54" s="11">
        <f t="shared" si="8"/>
        <v>41</v>
      </c>
      <c r="W54" s="11">
        <f t="shared" si="9"/>
        <v>4</v>
      </c>
      <c r="X54" s="11">
        <f t="shared" si="10"/>
        <v>0</v>
      </c>
      <c r="Y54" s="11">
        <f>VLOOKUP($G54, SeanRanks!$A$2:$K$303, 10, FALSE)-V54</f>
        <v>-3</v>
      </c>
      <c r="Z54" s="29">
        <f>IF(VLOOKUP($G54, SeanRanks!$A$2:$H$303, 7, FALSE)=0, "", VLOOKUP($G54, SeanRanks!$A$2:$H$303, 7, FALSE))</f>
        <v>13</v>
      </c>
    </row>
    <row r="55" ht="14.25" customHeight="1">
      <c r="A55" s="11"/>
      <c r="B55" s="11">
        <f t="shared" si="4"/>
        <v>4</v>
      </c>
      <c r="C55" s="11" t="s">
        <v>95</v>
      </c>
      <c r="D55" s="11">
        <v>4.0</v>
      </c>
      <c r="E55" s="11" t="s">
        <v>151</v>
      </c>
      <c r="F55" s="11" t="str">
        <f>VLOOKUP(G55, SeanRanks!$A$2:$E$302, 4, FALSE)</f>
        <v/>
      </c>
      <c r="G55" s="11" t="s">
        <v>416</v>
      </c>
      <c r="H55" s="11" t="str">
        <f>VLOOKUP($G55, 'ADP Data'!$C$4:$Q$300, 2, FALSE)</f>
        <v>NO</v>
      </c>
      <c r="I55" s="11">
        <f>VLOOKUP(G55, 'ADP Data'!$C$4:$R$498, 12, FALSE)</f>
        <v>52</v>
      </c>
      <c r="J55" s="52" t="str">
        <f>VLOOKUP($G55, SeanRanks!$A$2:$H$303, 5, FALSE)</f>
        <v/>
      </c>
      <c r="K55" s="11" t="str">
        <f>IF(VLOOKUP($G55, SeanRanks!$A$2:$H$303, 6, FALSE)=0, "", VLOOKUP($G55, SeanRanks!$A$2:$H$303, 6, FALSE))</f>
        <v>RB2 - 1 - Clear path to spikes</v>
      </c>
      <c r="L55" s="11">
        <f t="shared" si="5"/>
        <v>4</v>
      </c>
      <c r="M55" s="11">
        <f>VLOOKUP($G55, 'ADP Data'!$C$4:$Q$300, 9, FALSE)</f>
        <v>40</v>
      </c>
      <c r="N55" s="11">
        <f t="shared" si="6"/>
        <v>-1</v>
      </c>
      <c r="O55" s="11">
        <f>VLOOKUP($G55, 'ADP Data'!$C$4:$Q$300, 3, FALSE)</f>
        <v>28</v>
      </c>
      <c r="P55" s="11">
        <f t="shared" si="7"/>
        <v>12</v>
      </c>
      <c r="Q55" s="11">
        <f>VLOOKUP($G55, 'ADP Data'!$C$4:$Q$300, 4, FALSE)</f>
        <v>38</v>
      </c>
      <c r="R55" s="11">
        <f>VLOOKUP($G55, 'ADP Data'!$C$4:$Q$300, 5, FALSE)</f>
        <v>53</v>
      </c>
      <c r="S55" s="11">
        <f>VLOOKUP($G55, 'ADP Data'!$C$4:$Q$300, 6, FALSE)</f>
        <v>37</v>
      </c>
      <c r="T55" s="11">
        <f>VLOOKUP($G55, 'ADP Data'!$C$4:$Q$300, 7, FALSE)</f>
        <v>49</v>
      </c>
      <c r="U55" s="11">
        <f>VLOOKUP($G55, 'ADP Data'!$C$4:$Q$300, 8, FALSE)</f>
        <v>44</v>
      </c>
      <c r="V55" s="11">
        <f t="shared" si="8"/>
        <v>41</v>
      </c>
      <c r="W55" s="11">
        <f t="shared" si="9"/>
        <v>4</v>
      </c>
      <c r="X55" s="11">
        <f t="shared" si="10"/>
        <v>0</v>
      </c>
      <c r="Y55" s="11">
        <f>VLOOKUP($G55, SeanRanks!$A$2:$K$303, 10, FALSE)-V55</f>
        <v>0</v>
      </c>
      <c r="Z55" s="29">
        <f>IF(VLOOKUP($G55, SeanRanks!$A$2:$H$303, 7, FALSE)=0, "", VLOOKUP($G55, SeanRanks!$A$2:$H$303, 7, FALSE))</f>
        <v>18</v>
      </c>
    </row>
    <row r="56" ht="14.25" customHeight="1">
      <c r="A56" s="11"/>
      <c r="B56" s="11">
        <f t="shared" si="4"/>
        <v>11</v>
      </c>
      <c r="C56" s="11" t="s">
        <v>95</v>
      </c>
      <c r="D56" s="11">
        <v>5.0</v>
      </c>
      <c r="E56" s="11"/>
      <c r="F56" s="11" t="str">
        <f>VLOOKUP(G56, SeanRanks!$A$2:$E$302, 4, FALSE)</f>
        <v/>
      </c>
      <c r="G56" s="11" t="s">
        <v>334</v>
      </c>
      <c r="H56" s="11" t="str">
        <f>VLOOKUP($G56, 'ADP Data'!$C$4:$Q$300, 2, FALSE)</f>
        <v>BUF</v>
      </c>
      <c r="I56" s="11">
        <f>VLOOKUP(G56, 'ADP Data'!$C$4:$R$498, 12, FALSE)</f>
        <v>131</v>
      </c>
      <c r="J56" s="53" t="str">
        <f>VLOOKUP($G56, SeanRanks!$A$2:$H$303, 5, FALSE)</f>
        <v/>
      </c>
      <c r="K56" s="11" t="str">
        <f>IF(VLOOKUP($G56, SeanRanks!$A$2:$H$303, 6, FALSE)=0, "", VLOOKUP($G56, SeanRanks!$A$2:$H$303, 6, FALSE))</f>
        <v/>
      </c>
      <c r="L56" s="11">
        <f t="shared" si="5"/>
        <v>10</v>
      </c>
      <c r="M56" s="11">
        <f>VLOOKUP($G56, 'ADP Data'!$C$4:$Q$300, 9, FALSE)</f>
        <v>119</v>
      </c>
      <c r="N56" s="11">
        <f t="shared" si="6"/>
        <v>-9</v>
      </c>
      <c r="O56" s="11">
        <f>VLOOKUP($G56, 'ADP Data'!$C$4:$Q$300, 3, FALSE)</f>
        <v>142</v>
      </c>
      <c r="P56" s="11">
        <f t="shared" si="7"/>
        <v>-23</v>
      </c>
      <c r="Q56" s="11">
        <f>VLOOKUP($G56, 'ADP Data'!$C$4:$Q$300, 4, FALSE)</f>
        <v>126</v>
      </c>
      <c r="R56" s="11">
        <f>VLOOKUP($G56, 'ADP Data'!$C$4:$Q$300, 5, FALSE)</f>
        <v>142</v>
      </c>
      <c r="S56" s="11">
        <f>VLOOKUP($G56, 'ADP Data'!$C$4:$Q$300, 6, FALSE)</f>
        <v>107</v>
      </c>
      <c r="T56" s="11">
        <f>VLOOKUP($G56, 'ADP Data'!$C$4:$Q$300, 7, FALSE)</f>
        <v>133</v>
      </c>
      <c r="U56" s="11">
        <f>VLOOKUP($G56, 'ADP Data'!$C$4:$Q$300, 8, FALSE)</f>
        <v>128</v>
      </c>
      <c r="V56" s="11">
        <f t="shared" si="8"/>
        <v>128</v>
      </c>
      <c r="W56" s="11">
        <f t="shared" si="9"/>
        <v>11</v>
      </c>
      <c r="X56" s="11">
        <f t="shared" si="10"/>
        <v>-6</v>
      </c>
      <c r="Y56" s="11">
        <f>VLOOKUP($G56, SeanRanks!$A$2:$K$303, 10, FALSE)-V56</f>
        <v>-8</v>
      </c>
      <c r="Z56" s="29" t="str">
        <f>IF(VLOOKUP($G56, SeanRanks!$A$2:$H$303, 7, FALSE)=0, "", VLOOKUP($G56, SeanRanks!$A$2:$H$303, 7, FALSE))</f>
        <v/>
      </c>
    </row>
    <row r="57" ht="14.25" customHeight="1">
      <c r="A57" s="11"/>
      <c r="B57" s="11">
        <f t="shared" si="4"/>
        <v>12</v>
      </c>
      <c r="C57" s="11" t="s">
        <v>95</v>
      </c>
      <c r="D57" s="11">
        <v>6.0</v>
      </c>
      <c r="E57" s="11"/>
      <c r="F57" s="11" t="str">
        <f>VLOOKUP(G57, SeanRanks!$A$2:$E$302, 4, FALSE)</f>
        <v/>
      </c>
      <c r="G57" s="11" t="s">
        <v>424</v>
      </c>
      <c r="H57" s="11" t="str">
        <f>VLOOKUP($G57, 'ADP Data'!$C$4:$Q$300, 2, FALSE)</f>
        <v>HOU</v>
      </c>
      <c r="I57" s="11">
        <f>VLOOKUP(G57, 'ADP Data'!$C$4:$R$498, 12, FALSE)</f>
        <v>129</v>
      </c>
      <c r="J57" s="54" t="str">
        <f>VLOOKUP($G57, SeanRanks!$A$2:$H$303, 5, FALSE)</f>
        <v/>
      </c>
      <c r="K57" s="11" t="str">
        <f>IF(VLOOKUP($G57, SeanRanks!$A$2:$H$303, 6, FALSE)=0, "", VLOOKUP($G57, SeanRanks!$A$2:$H$303, 6, FALSE))</f>
        <v>QB2 - 2 - Not League Winner</v>
      </c>
      <c r="L57" s="11">
        <f t="shared" si="5"/>
        <v>11</v>
      </c>
      <c r="M57" s="11">
        <f>VLOOKUP($G57, 'ADP Data'!$C$4:$Q$300, 9, FALSE)</f>
        <v>125</v>
      </c>
      <c r="N57" s="11">
        <f t="shared" si="6"/>
        <v>-8</v>
      </c>
      <c r="O57" s="11">
        <f>VLOOKUP($G57, 'ADP Data'!$C$4:$Q$300, 3, FALSE)</f>
        <v>135</v>
      </c>
      <c r="P57" s="11">
        <f t="shared" si="7"/>
        <v>-10</v>
      </c>
      <c r="Q57" s="11">
        <f>VLOOKUP($G57, 'ADP Data'!$C$4:$Q$300, 4, FALSE)</f>
        <v>127</v>
      </c>
      <c r="R57" s="11">
        <f>VLOOKUP($G57, 'ADP Data'!$C$4:$Q$300, 5, FALSE)</f>
        <v>141</v>
      </c>
      <c r="S57" s="11">
        <f>VLOOKUP($G57, 'ADP Data'!$C$4:$Q$300, 6, FALSE)</f>
        <v>142</v>
      </c>
      <c r="T57" s="11">
        <f>VLOOKUP($G57, 'ADP Data'!$C$4:$Q$300, 7, FALSE)</f>
        <v>131</v>
      </c>
      <c r="U57" s="11">
        <f>VLOOKUP($G57, 'ADP Data'!$C$4:$Q$300, 8, FALSE)</f>
        <v>132</v>
      </c>
      <c r="V57" s="11">
        <f t="shared" si="8"/>
        <v>133</v>
      </c>
      <c r="W57" s="11">
        <f t="shared" si="9"/>
        <v>12</v>
      </c>
      <c r="X57" s="11">
        <f t="shared" si="10"/>
        <v>-6</v>
      </c>
      <c r="Y57" s="11">
        <f>VLOOKUP($G57, SeanRanks!$A$2:$K$303, 10, FALSE)-V57</f>
        <v>-4</v>
      </c>
      <c r="Z57" s="29">
        <f>IF(VLOOKUP($G57, SeanRanks!$A$2:$H$303, 7, FALSE)=0, "", VLOOKUP($G57, SeanRanks!$A$2:$H$303, 7, FALSE))</f>
        <v>18</v>
      </c>
    </row>
    <row r="58" ht="14.25" customHeight="1">
      <c r="A58" s="11"/>
      <c r="B58" s="11">
        <f t="shared" si="4"/>
        <v>21</v>
      </c>
      <c r="C58" s="11" t="s">
        <v>95</v>
      </c>
      <c r="D58" s="11">
        <v>3.0</v>
      </c>
      <c r="E58" s="11"/>
      <c r="F58" s="11" t="str">
        <f>VLOOKUP(G58, SeanRanks!$A$2:$E$302, 4, FALSE)</f>
        <v/>
      </c>
      <c r="G58" s="11" t="s">
        <v>796</v>
      </c>
      <c r="H58" s="11" t="str">
        <f>VLOOKUP($G58, 'ADP Data'!$C$4:$Q$300, 2, FALSE)</f>
        <v>LV</v>
      </c>
      <c r="I58" s="11">
        <f>VLOOKUP(G58, 'ADP Data'!$C$4:$R$498, 12, FALSE)</f>
        <v>197</v>
      </c>
      <c r="J58" s="40" t="str">
        <f>VLOOKUP($G58, SeanRanks!$A$2:$H$303, 5, FALSE)</f>
        <v/>
      </c>
      <c r="K58" s="11" t="str">
        <f>IF(VLOOKUP($G58, SeanRanks!$A$2:$H$303, 6, FALSE)=0, "", VLOOKUP($G58, SeanRanks!$A$2:$H$303, 6, FALSE))</f>
        <v/>
      </c>
      <c r="L58" s="11">
        <f t="shared" si="5"/>
        <v>21</v>
      </c>
      <c r="M58" s="11">
        <f>VLOOKUP($G58, 'ADP Data'!$C$4:$Q$300, 9, FALSE)</f>
        <v>250</v>
      </c>
      <c r="N58" s="11">
        <f t="shared" si="6"/>
        <v>17</v>
      </c>
      <c r="O58" s="11">
        <f>VLOOKUP($G58, 'ADP Data'!$C$4:$Q$300, 3, FALSE)</f>
        <v>143</v>
      </c>
      <c r="P58" s="11">
        <f t="shared" si="7"/>
        <v>107</v>
      </c>
      <c r="Q58" s="11">
        <f>VLOOKUP($G58, 'ADP Data'!$C$4:$Q$300, 4, FALSE)</f>
        <v>189</v>
      </c>
      <c r="R58" s="11">
        <f>VLOOKUP($G58, 'ADP Data'!$C$4:$Q$300, 5, FALSE)</f>
        <v>308</v>
      </c>
      <c r="S58" s="11">
        <f>VLOOKUP($G58, 'ADP Data'!$C$4:$Q$300, 6, FALSE)</f>
        <v>227</v>
      </c>
      <c r="T58" s="11">
        <f>VLOOKUP($G58, 'ADP Data'!$C$4:$Q$300, 7, FALSE)</f>
        <v>229</v>
      </c>
      <c r="U58" s="11">
        <f>VLOOKUP($G58, 'ADP Data'!$C$4:$Q$300, 8, FALSE)</f>
        <v>290</v>
      </c>
      <c r="V58" s="11">
        <f t="shared" si="8"/>
        <v>233</v>
      </c>
      <c r="W58" s="11">
        <f t="shared" si="9"/>
        <v>20</v>
      </c>
      <c r="X58" s="11">
        <f t="shared" si="10"/>
        <v>-17</v>
      </c>
      <c r="Y58" s="11">
        <f>VLOOKUP($G58, SeanRanks!$A$2:$K$303, 10, FALSE)-V58</f>
        <v>17</v>
      </c>
      <c r="Z58" s="29" t="str">
        <f>IF(VLOOKUP($G58, SeanRanks!$A$2:$H$303, 7, FALSE)=0, "", VLOOKUP($G58, SeanRanks!$A$2:$H$303, 7, FALSE))</f>
        <v/>
      </c>
    </row>
    <row r="59" ht="14.25" customHeight="1">
      <c r="A59" s="11" t="s">
        <v>106</v>
      </c>
      <c r="B59" s="11">
        <f t="shared" si="4"/>
        <v>21</v>
      </c>
      <c r="C59" s="11" t="s">
        <v>95</v>
      </c>
      <c r="D59" s="11"/>
      <c r="E59" s="27"/>
      <c r="F59" s="11" t="str">
        <f>VLOOKUP(G59, SeanRanks!$A$2:$E$302, 4, FALSE)</f>
        <v/>
      </c>
      <c r="G59" s="11" t="s">
        <v>798</v>
      </c>
      <c r="H59" s="11" t="str">
        <f>VLOOKUP($G59, 'ADP Data'!$C$4:$Q$300, 2, FALSE)</f>
        <v>IND</v>
      </c>
      <c r="I59" s="11">
        <f>VLOOKUP(G59, 'ADP Data'!$C$4:$R$498, 12, FALSE)</f>
        <v>227</v>
      </c>
      <c r="J59" s="54" t="str">
        <f>VLOOKUP($G59, SeanRanks!$A$2:$H$303, 5, FALSE)</f>
        <v/>
      </c>
      <c r="K59" s="11" t="str">
        <f>IF(VLOOKUP($G59, SeanRanks!$A$2:$H$303, 6, FALSE)=0, "", VLOOKUP($G59, SeanRanks!$A$2:$H$303, 6, FALSE))</f>
        <v>QB3 - League Winner?</v>
      </c>
      <c r="L59" s="11">
        <f t="shared" si="5"/>
        <v>19</v>
      </c>
      <c r="M59" s="11">
        <f>VLOOKUP($G59, 'ADP Data'!$C$4:$Q$300, 9, FALSE)</f>
        <v>224</v>
      </c>
      <c r="N59" s="11">
        <f t="shared" si="6"/>
        <v>-18</v>
      </c>
      <c r="O59" s="11" t="str">
        <f>VLOOKUP($G59, 'ADP Data'!$C$4:$Q$300, 3, FALSE)</f>
        <v>-</v>
      </c>
      <c r="P59" s="11" t="str">
        <f t="shared" si="7"/>
        <v>#VALUE!</v>
      </c>
      <c r="Q59" s="11">
        <f>VLOOKUP($G59, 'ADP Data'!$C$4:$Q$300, 4, FALSE)</f>
        <v>241</v>
      </c>
      <c r="R59" s="11">
        <f>VLOOKUP($G59, 'ADP Data'!$C$4:$Q$300, 5, FALSE)</f>
        <v>284</v>
      </c>
      <c r="S59" s="11">
        <f>VLOOKUP($G59, 'ADP Data'!$C$4:$Q$300, 6, FALSE)</f>
        <v>248</v>
      </c>
      <c r="T59" s="11">
        <f>VLOOKUP($G59, 'ADP Data'!$C$4:$Q$300, 7, FALSE)</f>
        <v>230</v>
      </c>
      <c r="U59" s="11">
        <f>VLOOKUP($G59, 'ADP Data'!$C$4:$Q$300, 8, FALSE)</f>
        <v>228</v>
      </c>
      <c r="V59" s="11">
        <f t="shared" si="8"/>
        <v>242</v>
      </c>
      <c r="W59" s="11">
        <f t="shared" si="9"/>
        <v>21</v>
      </c>
      <c r="X59" s="11">
        <f t="shared" si="10"/>
        <v>-21</v>
      </c>
      <c r="Y59" s="11" t="str">
        <f>VLOOKUP($G59, SeanRanks!$A$2:$K$303, 10, FALSE)-V59</f>
        <v>#VALUE!</v>
      </c>
      <c r="Z59" s="29" t="str">
        <f>IF(VLOOKUP($G59, SeanRanks!$A$2:$H$303, 7, FALSE)=0, "", VLOOKUP($G59, SeanRanks!$A$2:$H$303, 7, FALSE))</f>
        <v/>
      </c>
    </row>
    <row r="60" ht="14.25" customHeight="1">
      <c r="A60" s="11"/>
      <c r="B60" s="11" t="str">
        <f t="shared" si="4"/>
        <v>#N/A</v>
      </c>
      <c r="C60" s="11" t="s">
        <v>95</v>
      </c>
      <c r="D60" s="11"/>
      <c r="E60" s="11"/>
      <c r="F60" s="11" t="str">
        <f>VLOOKUP(G60, SeanRanks!$A$2:$E$302, 4, FALSE)</f>
        <v>#N/A</v>
      </c>
      <c r="G60" s="11" t="s">
        <v>472</v>
      </c>
      <c r="H60" s="11" t="str">
        <f>VLOOKUP($G60, 'ADP Data'!$C$4:$Q$300, 2, FALSE)</f>
        <v>#N/A</v>
      </c>
      <c r="I60" s="11" t="str">
        <f>VLOOKUP(G60, 'ADP Data'!$C$4:$R$498, 12, FALSE)</f>
        <v>#N/A</v>
      </c>
      <c r="J60" s="49" t="str">
        <f>VLOOKUP($G60, SeanRanks!$A$2:$H$303, 5, FALSE)</f>
        <v>#N/A</v>
      </c>
      <c r="K60" s="11" t="str">
        <f>IF(VLOOKUP($G60, SeanRanks!$A$2:$H$303, 6, FALSE)=0, "", VLOOKUP($G60, SeanRanks!$A$2:$H$303, 6, FALSE))</f>
        <v>#N/A</v>
      </c>
      <c r="L60" s="11">
        <f t="shared" si="5"/>
        <v>16</v>
      </c>
      <c r="M60" s="11" t="str">
        <f>VLOOKUP($G60, 'ADP Data'!$C$4:$Q$300, 9, FALSE)</f>
        <v>#N/A</v>
      </c>
      <c r="N60" s="11" t="str">
        <f t="shared" si="6"/>
        <v>#N/A</v>
      </c>
      <c r="O60" s="11" t="str">
        <f>VLOOKUP($G60, 'ADP Data'!$C$4:$Q$300, 3, FALSE)</f>
        <v>#N/A</v>
      </c>
      <c r="P60" s="11" t="str">
        <f t="shared" si="7"/>
        <v>#N/A</v>
      </c>
      <c r="Q60" s="11" t="str">
        <f>VLOOKUP($G60, 'ADP Data'!$C$4:$Q$300, 4, FALSE)</f>
        <v>#N/A</v>
      </c>
      <c r="R60" s="11" t="str">
        <f>VLOOKUP($G60, 'ADP Data'!$C$4:$Q$300, 5, FALSE)</f>
        <v>#N/A</v>
      </c>
      <c r="S60" s="11" t="str">
        <f>VLOOKUP($G60, 'ADP Data'!$C$4:$Q$300, 6, FALSE)</f>
        <v>#N/A</v>
      </c>
      <c r="T60" s="11" t="str">
        <f>VLOOKUP($G60, 'ADP Data'!$C$4:$Q$300, 7, FALSE)</f>
        <v>#N/A</v>
      </c>
      <c r="U60" s="11" t="str">
        <f>VLOOKUP($G60, 'ADP Data'!$C$4:$Q$300, 8, FALSE)</f>
        <v>#N/A</v>
      </c>
      <c r="V60" s="11" t="str">
        <f t="shared" si="8"/>
        <v>#N/A</v>
      </c>
      <c r="W60" s="11">
        <f t="shared" si="9"/>
        <v>16</v>
      </c>
      <c r="X60" s="11">
        <f t="shared" si="10"/>
        <v>-16</v>
      </c>
      <c r="Y60" s="11" t="str">
        <f>VLOOKUP($G60, SeanRanks!$A$2:$K$303, 10, FALSE)-V60</f>
        <v>#N/A</v>
      </c>
      <c r="Z60" s="29" t="str">
        <f>IF(VLOOKUP($G60, SeanRanks!$A$2:$H$303, 7, FALSE)=0, "", VLOOKUP($G60, SeanRanks!$A$2:$H$303, 7, FALSE))</f>
        <v>#N/A</v>
      </c>
    </row>
    <row r="61" ht="14.25" customHeight="1">
      <c r="A61" s="11"/>
      <c r="B61" s="11">
        <f t="shared" si="4"/>
        <v>6</v>
      </c>
      <c r="C61" s="11" t="s">
        <v>95</v>
      </c>
      <c r="D61" s="11">
        <v>4.0</v>
      </c>
      <c r="E61" s="11"/>
      <c r="F61" s="11" t="str">
        <f>VLOOKUP(G61, SeanRanks!$A$2:$E$302, 4, FALSE)</f>
        <v/>
      </c>
      <c r="G61" s="11" t="s">
        <v>150</v>
      </c>
      <c r="H61" s="11" t="str">
        <f>VLOOKUP($G61, 'ADP Data'!$C$4:$Q$300, 2, FALSE)</f>
        <v>BAL</v>
      </c>
      <c r="I61" s="11">
        <f>VLOOKUP(G61, 'ADP Data'!$C$4:$R$498, 12, FALSE)</f>
        <v>59</v>
      </c>
      <c r="J61" s="49" t="str">
        <f>VLOOKUP($G61, SeanRanks!$A$2:$H$303, 5, FALSE)</f>
        <v/>
      </c>
      <c r="K61" s="11" t="str">
        <f>IF(VLOOKUP($G61, SeanRanks!$A$2:$H$303, 6, FALSE)=0, "", VLOOKUP($G61, SeanRanks!$A$2:$H$303, 6, FALSE))</f>
        <v>WR3 - 1 - </v>
      </c>
      <c r="L61" s="11">
        <f t="shared" si="5"/>
        <v>5</v>
      </c>
      <c r="M61" s="11">
        <f>VLOOKUP($G61, 'ADP Data'!$C$4:$Q$300, 9, FALSE)</f>
        <v>55</v>
      </c>
      <c r="N61" s="11">
        <f t="shared" si="6"/>
        <v>-7</v>
      </c>
      <c r="O61" s="11">
        <f>VLOOKUP($G61, 'ADP Data'!$C$4:$Q$300, 3, FALSE)</f>
        <v>63</v>
      </c>
      <c r="P61" s="11">
        <f t="shared" si="7"/>
        <v>-8</v>
      </c>
      <c r="Q61" s="11">
        <f>VLOOKUP($G61, 'ADP Data'!$C$4:$Q$300, 4, FALSE)</f>
        <v>55</v>
      </c>
      <c r="R61" s="11">
        <f>VLOOKUP($G61, 'ADP Data'!$C$4:$Q$300, 5, FALSE)</f>
        <v>66</v>
      </c>
      <c r="S61" s="11">
        <f>VLOOKUP($G61, 'ADP Data'!$C$4:$Q$300, 6, FALSE)</f>
        <v>65</v>
      </c>
      <c r="T61" s="11">
        <f>VLOOKUP($G61, 'ADP Data'!$C$4:$Q$300, 7, FALSE)</f>
        <v>57</v>
      </c>
      <c r="U61" s="11">
        <f>VLOOKUP($G61, 'ADP Data'!$C$4:$Q$300, 8, FALSE)</f>
        <v>73</v>
      </c>
      <c r="V61" s="11">
        <f t="shared" si="8"/>
        <v>62</v>
      </c>
      <c r="W61" s="11">
        <f t="shared" si="9"/>
        <v>6</v>
      </c>
      <c r="X61" s="11">
        <f t="shared" si="10"/>
        <v>-2</v>
      </c>
      <c r="Y61" s="11">
        <f>VLOOKUP($G61, SeanRanks!$A$2:$K$303, 10, FALSE)-V61</f>
        <v>-10</v>
      </c>
      <c r="Z61" s="29">
        <f>IF(VLOOKUP($G61, SeanRanks!$A$2:$H$303, 7, FALSE)=0, "", VLOOKUP($G61, SeanRanks!$A$2:$H$303, 7, FALSE))</f>
        <v>27</v>
      </c>
    </row>
    <row r="62" ht="14.25" customHeight="1">
      <c r="A62" s="11"/>
      <c r="B62" s="11">
        <f t="shared" si="4"/>
        <v>4</v>
      </c>
      <c r="C62" s="11" t="s">
        <v>95</v>
      </c>
      <c r="D62" s="11">
        <v>5.0</v>
      </c>
      <c r="E62" s="11"/>
      <c r="F62" s="11" t="str">
        <f>VLOOKUP(G62, SeanRanks!$A$2:$E$302, 4, FALSE)</f>
        <v/>
      </c>
      <c r="G62" s="11" t="s">
        <v>284</v>
      </c>
      <c r="H62" s="11" t="str">
        <f>VLOOKUP($G62, 'ADP Data'!$C$4:$Q$300, 2, FALSE)</f>
        <v>SF</v>
      </c>
      <c r="I62" s="11">
        <f>VLOOKUP(G62, 'ADP Data'!$C$4:$R$498, 12, FALSE)</f>
        <v>34</v>
      </c>
      <c r="J62" s="53" t="str">
        <f>VLOOKUP($G62, SeanRanks!$A$2:$H$303, 5, FALSE)</f>
        <v/>
      </c>
      <c r="K62" s="11" t="str">
        <f>IF(VLOOKUP($G62, SeanRanks!$A$2:$H$303, 6, FALSE)=0, "", VLOOKUP($G62, SeanRanks!$A$2:$H$303, 6, FALSE))</f>
        <v>TE1 - 1 - Elite</v>
      </c>
      <c r="L62" s="11">
        <f t="shared" si="5"/>
        <v>4</v>
      </c>
      <c r="M62" s="11">
        <f>VLOOKUP($G62, 'ADP Data'!$C$4:$Q$300, 9, FALSE)</f>
        <v>38</v>
      </c>
      <c r="N62" s="11">
        <f t="shared" si="6"/>
        <v>1</v>
      </c>
      <c r="O62" s="11">
        <f>VLOOKUP($G62, 'ADP Data'!$C$4:$Q$300, 3, FALSE)</f>
        <v>38</v>
      </c>
      <c r="P62" s="11">
        <f t="shared" si="7"/>
        <v>0</v>
      </c>
      <c r="Q62" s="11">
        <f>VLOOKUP($G62, 'ADP Data'!$C$4:$Q$300, 4, FALSE)</f>
        <v>35</v>
      </c>
      <c r="R62" s="11">
        <f>VLOOKUP($G62, 'ADP Data'!$C$4:$Q$300, 5, FALSE)</f>
        <v>49</v>
      </c>
      <c r="S62" s="11">
        <f>VLOOKUP($G62, 'ADP Data'!$C$4:$Q$300, 6, FALSE)</f>
        <v>24</v>
      </c>
      <c r="T62" s="11">
        <f>VLOOKUP($G62, 'ADP Data'!$C$4:$Q$300, 7, FALSE)</f>
        <v>40</v>
      </c>
      <c r="U62" s="11">
        <f>VLOOKUP($G62, 'ADP Data'!$C$4:$Q$300, 8, FALSE)</f>
        <v>38</v>
      </c>
      <c r="V62" s="11">
        <f t="shared" si="8"/>
        <v>37</v>
      </c>
      <c r="W62" s="11">
        <f t="shared" si="9"/>
        <v>4</v>
      </c>
      <c r="X62" s="11">
        <f t="shared" si="10"/>
        <v>1</v>
      </c>
      <c r="Y62" s="11">
        <f>VLOOKUP($G62, SeanRanks!$A$2:$K$303, 10, FALSE)-V62</f>
        <v>-12</v>
      </c>
      <c r="Z62" s="29">
        <f>IF(VLOOKUP($G62, SeanRanks!$A$2:$H$303, 7, FALSE)=0, "", VLOOKUP($G62, SeanRanks!$A$2:$H$303, 7, FALSE))</f>
        <v>3</v>
      </c>
    </row>
    <row r="63" ht="14.25" customHeight="1">
      <c r="A63" s="11"/>
      <c r="B63" s="11">
        <f t="shared" si="4"/>
        <v>6</v>
      </c>
      <c r="C63" s="11" t="s">
        <v>95</v>
      </c>
      <c r="D63" s="11">
        <v>4.0</v>
      </c>
      <c r="E63" s="11"/>
      <c r="F63" s="11" t="str">
        <f>VLOOKUP(G63, SeanRanks!$A$2:$E$302, 4, FALSE)</f>
        <v/>
      </c>
      <c r="G63" s="11" t="s">
        <v>121</v>
      </c>
      <c r="H63" s="11" t="str">
        <f>VLOOKUP($G63, 'ADP Data'!$C$4:$Q$300, 2, FALSE)</f>
        <v>DAL</v>
      </c>
      <c r="I63" s="11">
        <f>VLOOKUP(G63, 'ADP Data'!$C$4:$R$498, 12, FALSE)</f>
        <v>45</v>
      </c>
      <c r="J63" s="49" t="str">
        <f>VLOOKUP($G63, SeanRanks!$A$2:$H$303, 5, FALSE)</f>
        <v>Yes</v>
      </c>
      <c r="K63" s="11" t="str">
        <f>IF(VLOOKUP($G63, SeanRanks!$A$2:$H$303, 6, FALSE)=0, "", VLOOKUP($G63, SeanRanks!$A$2:$H$303, 6, FALSE))</f>
        <v>WR2 - 2 - Upside with risk</v>
      </c>
      <c r="L63" s="11">
        <f t="shared" si="5"/>
        <v>6</v>
      </c>
      <c r="M63" s="11">
        <f>VLOOKUP($G63, 'ADP Data'!$C$4:$Q$300, 9, FALSE)</f>
        <v>62</v>
      </c>
      <c r="N63" s="11">
        <f t="shared" si="6"/>
        <v>-1</v>
      </c>
      <c r="O63" s="11">
        <f>VLOOKUP($G63, 'ADP Data'!$C$4:$Q$300, 3, FALSE)</f>
        <v>62</v>
      </c>
      <c r="P63" s="11">
        <f t="shared" si="7"/>
        <v>0</v>
      </c>
      <c r="Q63" s="11">
        <f>VLOOKUP($G63, 'ADP Data'!$C$4:$Q$300, 4, FALSE)</f>
        <v>67</v>
      </c>
      <c r="R63" s="11">
        <f>VLOOKUP($G63, 'ADP Data'!$C$4:$Q$300, 5, FALSE)</f>
        <v>73</v>
      </c>
      <c r="S63" s="11">
        <f>VLOOKUP($G63, 'ADP Data'!$C$4:$Q$300, 6, FALSE)</f>
        <v>54</v>
      </c>
      <c r="T63" s="11">
        <f>VLOOKUP($G63, 'ADP Data'!$C$4:$Q$300, 7, FALSE)</f>
        <v>52</v>
      </c>
      <c r="U63" s="11">
        <f>VLOOKUP($G63, 'ADP Data'!$C$4:$Q$300, 8, FALSE)</f>
        <v>75</v>
      </c>
      <c r="V63" s="11">
        <f t="shared" si="8"/>
        <v>63</v>
      </c>
      <c r="W63" s="11">
        <f t="shared" si="9"/>
        <v>6</v>
      </c>
      <c r="X63" s="11">
        <f t="shared" si="10"/>
        <v>-2</v>
      </c>
      <c r="Y63" s="11">
        <f>VLOOKUP($G63, SeanRanks!$A$2:$K$303, 10, FALSE)-V63</f>
        <v>-16</v>
      </c>
      <c r="Z63" s="29">
        <f>IF(VLOOKUP($G63, SeanRanks!$A$2:$H$303, 7, FALSE)=0, "", VLOOKUP($G63, SeanRanks!$A$2:$H$303, 7, FALSE))</f>
        <v>21</v>
      </c>
    </row>
    <row r="64" ht="14.25" customHeight="1">
      <c r="A64" s="11"/>
      <c r="B64" s="11">
        <f t="shared" si="4"/>
        <v>3</v>
      </c>
      <c r="C64" s="11" t="s">
        <v>95</v>
      </c>
      <c r="D64" s="11">
        <v>4.0</v>
      </c>
      <c r="E64" s="11"/>
      <c r="F64" s="11" t="str">
        <f>VLOOKUP(G64, SeanRanks!$A$2:$E$302, 4, FALSE)</f>
        <v/>
      </c>
      <c r="G64" s="11" t="s">
        <v>158</v>
      </c>
      <c r="H64" s="11" t="str">
        <f>VLOOKUP($G64, 'ADP Data'!$C$4:$Q$300, 2, FALSE)</f>
        <v>CIN</v>
      </c>
      <c r="I64" s="11">
        <f>VLOOKUP(G64, 'ADP Data'!$C$4:$R$498, 12, FALSE)</f>
        <v>25</v>
      </c>
      <c r="J64" s="30" t="str">
        <f>VLOOKUP($G64, SeanRanks!$A$2:$H$303, 5, FALSE)</f>
        <v/>
      </c>
      <c r="K64" s="11" t="str">
        <f>IF(VLOOKUP($G64, SeanRanks!$A$2:$H$303, 6, FALSE)=0, "", VLOOKUP($G64, SeanRanks!$A$2:$H$303, 6, FALSE))</f>
        <v>WR1 - 3 - Inconsistent</v>
      </c>
      <c r="L64" s="11">
        <f t="shared" si="5"/>
        <v>3</v>
      </c>
      <c r="M64" s="11">
        <f>VLOOKUP($G64, 'ADP Data'!$C$4:$Q$300, 9, FALSE)</f>
        <v>31</v>
      </c>
      <c r="N64" s="11">
        <f t="shared" si="6"/>
        <v>1</v>
      </c>
      <c r="O64" s="11">
        <f>VLOOKUP($G64, 'ADP Data'!$C$4:$Q$300, 3, FALSE)</f>
        <v>32</v>
      </c>
      <c r="P64" s="11">
        <f t="shared" si="7"/>
        <v>-1</v>
      </c>
      <c r="Q64" s="11">
        <f>VLOOKUP($G64, 'ADP Data'!$C$4:$Q$300, 4, FALSE)</f>
        <v>26</v>
      </c>
      <c r="R64" s="11">
        <f>VLOOKUP($G64, 'ADP Data'!$C$4:$Q$300, 5, FALSE)</f>
        <v>33</v>
      </c>
      <c r="S64" s="11">
        <f>VLOOKUP($G64, 'ADP Data'!$C$4:$Q$300, 6, FALSE)</f>
        <v>30</v>
      </c>
      <c r="T64" s="11">
        <f>VLOOKUP($G64, 'ADP Data'!$C$4:$Q$300, 7, FALSE)</f>
        <v>29</v>
      </c>
      <c r="U64" s="11">
        <f>VLOOKUP($G64, 'ADP Data'!$C$4:$Q$300, 8, FALSE)</f>
        <v>33</v>
      </c>
      <c r="V64" s="11">
        <f t="shared" si="8"/>
        <v>30</v>
      </c>
      <c r="W64" s="11">
        <f t="shared" si="9"/>
        <v>3</v>
      </c>
      <c r="X64" s="11">
        <f t="shared" si="10"/>
        <v>1</v>
      </c>
      <c r="Y64" s="11">
        <f>VLOOKUP($G64, SeanRanks!$A$2:$K$303, 10, FALSE)-V64</f>
        <v>-1</v>
      </c>
      <c r="Z64" s="29">
        <f>IF(VLOOKUP($G64, SeanRanks!$A$2:$H$303, 7, FALSE)=0, "", VLOOKUP($G64, SeanRanks!$A$2:$H$303, 7, FALSE))</f>
        <v>12</v>
      </c>
    </row>
    <row r="65" ht="14.25" customHeight="1">
      <c r="A65" s="11"/>
      <c r="B65" s="11">
        <f t="shared" si="4"/>
        <v>12</v>
      </c>
      <c r="C65" s="11" t="s">
        <v>95</v>
      </c>
      <c r="D65" s="11">
        <v>6.0</v>
      </c>
      <c r="E65" s="11"/>
      <c r="F65" s="11" t="str">
        <f>VLOOKUP(G65, SeanRanks!$A$2:$E$302, 4, FALSE)</f>
        <v/>
      </c>
      <c r="G65" s="11" t="s">
        <v>248</v>
      </c>
      <c r="H65" s="11" t="str">
        <f>VLOOKUP($G65, 'ADP Data'!$C$4:$Q$300, 2, FALSE)</f>
        <v>ATL</v>
      </c>
      <c r="I65" s="11">
        <f>VLOOKUP(G65, 'ADP Data'!$C$4:$R$498, 12, FALSE)</f>
        <v>137</v>
      </c>
      <c r="J65" s="55" t="str">
        <f>VLOOKUP($G65, SeanRanks!$A$2:$H$303, 5, FALSE)</f>
        <v>Yes</v>
      </c>
      <c r="K65" s="11" t="str">
        <f>IF(VLOOKUP($G65, SeanRanks!$A$2:$H$303, 6, FALSE)=0, "", VLOOKUP($G65, SeanRanks!$A$2:$H$303, 6, FALSE))</f>
        <v>TE2 - 1 - Big Upside</v>
      </c>
      <c r="L65" s="11">
        <f t="shared" si="5"/>
        <v>11</v>
      </c>
      <c r="M65" s="11">
        <f>VLOOKUP($G65, 'ADP Data'!$C$4:$Q$300, 9, FALSE)</f>
        <v>121</v>
      </c>
      <c r="N65" s="11">
        <f t="shared" si="6"/>
        <v>-15</v>
      </c>
      <c r="O65" s="11">
        <f>VLOOKUP($G65, 'ADP Data'!$C$4:$Q$300, 3, FALSE)</f>
        <v>148</v>
      </c>
      <c r="P65" s="11">
        <f t="shared" si="7"/>
        <v>-27</v>
      </c>
      <c r="Q65" s="11">
        <f>VLOOKUP($G65, 'ADP Data'!$C$4:$Q$300, 4, FALSE)</f>
        <v>141</v>
      </c>
      <c r="R65" s="11">
        <f>VLOOKUP($G65, 'ADP Data'!$C$4:$Q$300, 5, FALSE)</f>
        <v>166</v>
      </c>
      <c r="S65" s="11">
        <f>VLOOKUP($G65, 'ADP Data'!$C$4:$Q$300, 6, FALSE)</f>
        <v>114</v>
      </c>
      <c r="T65" s="11">
        <f>VLOOKUP($G65, 'ADP Data'!$C$4:$Q$300, 7, FALSE)</f>
        <v>136</v>
      </c>
      <c r="U65" s="11">
        <f>VLOOKUP($G65, 'ADP Data'!$C$4:$Q$300, 8, FALSE)</f>
        <v>129</v>
      </c>
      <c r="V65" s="11">
        <f t="shared" si="8"/>
        <v>136</v>
      </c>
      <c r="W65" s="11">
        <f t="shared" si="9"/>
        <v>12</v>
      </c>
      <c r="X65" s="11">
        <f t="shared" si="10"/>
        <v>-6</v>
      </c>
      <c r="Y65" s="11">
        <f>VLOOKUP($G65, SeanRanks!$A$2:$K$303, 10, FALSE)-V65</f>
        <v>23</v>
      </c>
      <c r="Z65" s="29">
        <f>IF(VLOOKUP($G65, SeanRanks!$A$2:$H$303, 7, FALSE)=0, "", VLOOKUP($G65, SeanRanks!$A$2:$H$303, 7, FALSE))</f>
        <v>15</v>
      </c>
    </row>
    <row r="66" ht="14.25" customHeight="1">
      <c r="A66" s="11"/>
      <c r="B66" s="11">
        <f t="shared" si="4"/>
        <v>6</v>
      </c>
      <c r="C66" s="11" t="s">
        <v>95</v>
      </c>
      <c r="D66" s="11">
        <v>4.0</v>
      </c>
      <c r="E66" s="11"/>
      <c r="F66" s="11" t="str">
        <f>VLOOKUP(G66, SeanRanks!$A$2:$E$302, 4, FALSE)</f>
        <v/>
      </c>
      <c r="G66" s="11" t="s">
        <v>185</v>
      </c>
      <c r="H66" s="11" t="str">
        <f>VLOOKUP($G66, 'ADP Data'!$C$4:$Q$300, 2, FALSE)</f>
        <v>DET</v>
      </c>
      <c r="I66" s="11">
        <f>VLOOKUP(G66, 'ADP Data'!$C$4:$R$498, 12, FALSE)</f>
        <v>74</v>
      </c>
      <c r="J66" s="52" t="str">
        <f>VLOOKUP($G66, SeanRanks!$A$2:$H$303, 5, FALSE)</f>
        <v/>
      </c>
      <c r="K66" s="11" t="str">
        <f>IF(VLOOKUP($G66, SeanRanks!$A$2:$H$303, 6, FALSE)=0, "", VLOOKUP($G66, SeanRanks!$A$2:$H$303, 6, FALSE))</f>
        <v>RB2 - 2 - Path to spikes</v>
      </c>
      <c r="L66" s="11">
        <f t="shared" si="5"/>
        <v>5</v>
      </c>
      <c r="M66" s="11">
        <f>VLOOKUP($G66, 'ADP Data'!$C$4:$Q$300, 9, FALSE)</f>
        <v>52</v>
      </c>
      <c r="N66" s="11">
        <f t="shared" si="6"/>
        <v>-11</v>
      </c>
      <c r="O66" s="11">
        <f>VLOOKUP($G66, 'ADP Data'!$C$4:$Q$300, 3, FALSE)</f>
        <v>57</v>
      </c>
      <c r="P66" s="11">
        <f t="shared" si="7"/>
        <v>-5</v>
      </c>
      <c r="Q66" s="11">
        <f>VLOOKUP($G66, 'ADP Data'!$C$4:$Q$300, 4, FALSE)</f>
        <v>59</v>
      </c>
      <c r="R66" s="11">
        <f>VLOOKUP($G66, 'ADP Data'!$C$4:$Q$300, 5, FALSE)</f>
        <v>74</v>
      </c>
      <c r="S66" s="11">
        <f>VLOOKUP($G66, 'ADP Data'!$C$4:$Q$300, 6, FALSE)</f>
        <v>68</v>
      </c>
      <c r="T66" s="11">
        <f>VLOOKUP($G66, 'ADP Data'!$C$4:$Q$300, 7, FALSE)</f>
        <v>70</v>
      </c>
      <c r="U66" s="11">
        <f>VLOOKUP($G66, 'ADP Data'!$C$4:$Q$300, 8, FALSE)</f>
        <v>67</v>
      </c>
      <c r="V66" s="11">
        <f t="shared" si="8"/>
        <v>63</v>
      </c>
      <c r="W66" s="11">
        <f t="shared" si="9"/>
        <v>6</v>
      </c>
      <c r="X66" s="11">
        <f t="shared" si="10"/>
        <v>-2</v>
      </c>
      <c r="Y66" s="11">
        <f>VLOOKUP($G66, SeanRanks!$A$2:$K$303, 10, FALSE)-V66</f>
        <v>-2</v>
      </c>
      <c r="Z66" s="29">
        <f>IF(VLOOKUP($G66, SeanRanks!$A$2:$H$303, 7, FALSE)=0, "", VLOOKUP($G66, SeanRanks!$A$2:$H$303, 7, FALSE))</f>
        <v>21</v>
      </c>
    </row>
    <row r="67" ht="14.25" customHeight="1">
      <c r="A67" s="11"/>
      <c r="B67" s="11">
        <f t="shared" si="4"/>
        <v>5</v>
      </c>
      <c r="C67" s="11" t="s">
        <v>95</v>
      </c>
      <c r="D67" s="11">
        <v>5.0</v>
      </c>
      <c r="E67" s="11" t="s">
        <v>151</v>
      </c>
      <c r="F67" s="11" t="str">
        <f>VLOOKUP(G67, SeanRanks!$A$2:$E$302, 4, FALSE)</f>
        <v/>
      </c>
      <c r="G67" s="11" t="s">
        <v>498</v>
      </c>
      <c r="H67" s="11" t="str">
        <f>VLOOKUP($G67, 'ADP Data'!$C$4:$Q$300, 2, FALSE)</f>
        <v>ARI</v>
      </c>
      <c r="I67" s="11">
        <f>VLOOKUP(G67, 'ADP Data'!$C$4:$R$498, 12, FALSE)</f>
        <v>61</v>
      </c>
      <c r="J67" s="52" t="str">
        <f>VLOOKUP($G67, SeanRanks!$A$2:$H$303, 5, FALSE)</f>
        <v/>
      </c>
      <c r="K67" s="11" t="str">
        <f>IF(VLOOKUP($G67, SeanRanks!$A$2:$H$303, 6, FALSE)=0, "", VLOOKUP($G67, SeanRanks!$A$2:$H$303, 6, FALSE))</f>
        <v>RB2 - 1 - Clear path to spikes</v>
      </c>
      <c r="L67" s="11">
        <f t="shared" si="5"/>
        <v>4</v>
      </c>
      <c r="M67" s="11">
        <f>VLOOKUP($G67, 'ADP Data'!$C$4:$Q$300, 9, FALSE)</f>
        <v>47</v>
      </c>
      <c r="N67" s="11">
        <f t="shared" si="6"/>
        <v>-3</v>
      </c>
      <c r="O67" s="11">
        <f>VLOOKUP($G67, 'ADP Data'!$C$4:$Q$300, 3, FALSE)</f>
        <v>42</v>
      </c>
      <c r="P67" s="11">
        <f t="shared" si="7"/>
        <v>5</v>
      </c>
      <c r="Q67" s="11">
        <f>VLOOKUP($G67, 'ADP Data'!$C$4:$Q$300, 4, FALSE)</f>
        <v>46</v>
      </c>
      <c r="R67" s="11">
        <f>VLOOKUP($G67, 'ADP Data'!$C$4:$Q$300, 5, FALSE)</f>
        <v>65</v>
      </c>
      <c r="S67" s="11">
        <f>VLOOKUP($G67, 'ADP Data'!$C$4:$Q$300, 6, FALSE)</f>
        <v>49</v>
      </c>
      <c r="T67" s="11">
        <f>VLOOKUP($G67, 'ADP Data'!$C$4:$Q$300, 7, FALSE)</f>
        <v>55</v>
      </c>
      <c r="U67" s="11">
        <f>VLOOKUP($G67, 'ADP Data'!$C$4:$Q$300, 8, FALSE)</f>
        <v>49</v>
      </c>
      <c r="V67" s="11">
        <f t="shared" si="8"/>
        <v>50</v>
      </c>
      <c r="W67" s="11">
        <f t="shared" si="9"/>
        <v>5</v>
      </c>
      <c r="X67" s="11">
        <f t="shared" si="10"/>
        <v>0</v>
      </c>
      <c r="Y67" s="11">
        <f>VLOOKUP($G67, SeanRanks!$A$2:$K$303, 10, FALSE)-V67</f>
        <v>-6</v>
      </c>
      <c r="Z67" s="29">
        <f>IF(VLOOKUP($G67, SeanRanks!$A$2:$H$303, 7, FALSE)=0, "", VLOOKUP($G67, SeanRanks!$A$2:$H$303, 7, FALSE))</f>
        <v>19</v>
      </c>
    </row>
    <row r="68" ht="14.25" customHeight="1">
      <c r="A68" s="11"/>
      <c r="B68" s="11">
        <f t="shared" si="4"/>
        <v>7</v>
      </c>
      <c r="C68" s="11" t="s">
        <v>95</v>
      </c>
      <c r="D68" s="11">
        <v>5.0</v>
      </c>
      <c r="E68" s="11"/>
      <c r="F68" s="11" t="str">
        <f>VLOOKUP(G68, SeanRanks!$A$2:$E$302, 4, FALSE)</f>
        <v/>
      </c>
      <c r="G68" s="11" t="s">
        <v>350</v>
      </c>
      <c r="H68" s="11" t="str">
        <f>VLOOKUP($G68, 'ADP Data'!$C$4:$Q$300, 2, FALSE)</f>
        <v>MIN</v>
      </c>
      <c r="I68" s="11">
        <f>VLOOKUP(G68, 'ADP Data'!$C$4:$R$498, 12, FALSE)</f>
        <v>75</v>
      </c>
      <c r="J68" s="48" t="str">
        <f>VLOOKUP($G68, SeanRanks!$A$2:$H$303, 5, FALSE)</f>
        <v/>
      </c>
      <c r="K68" s="11" t="str">
        <f>IF(VLOOKUP($G68, SeanRanks!$A$2:$H$303, 6, FALSE)=0, "", VLOOKUP($G68, SeanRanks!$A$2:$H$303, 6, FALSE))</f>
        <v>RB2 - 2 - Path to spikes</v>
      </c>
      <c r="L68" s="11">
        <f t="shared" si="5"/>
        <v>6</v>
      </c>
      <c r="M68" s="11">
        <f>VLOOKUP($G68, 'ADP Data'!$C$4:$Q$300, 9, FALSE)</f>
        <v>65</v>
      </c>
      <c r="N68" s="11">
        <f t="shared" si="6"/>
        <v>-4</v>
      </c>
      <c r="O68" s="11">
        <f>VLOOKUP($G68, 'ADP Data'!$C$4:$Q$300, 3, FALSE)</f>
        <v>56</v>
      </c>
      <c r="P68" s="11">
        <f t="shared" si="7"/>
        <v>9</v>
      </c>
      <c r="Q68" s="11">
        <f>VLOOKUP($G68, 'ADP Data'!$C$4:$Q$300, 4, FALSE)</f>
        <v>70</v>
      </c>
      <c r="R68" s="11">
        <f>VLOOKUP($G68, 'ADP Data'!$C$4:$Q$300, 5, FALSE)</f>
        <v>76</v>
      </c>
      <c r="S68" s="11">
        <f>VLOOKUP($G68, 'ADP Data'!$C$4:$Q$300, 6, FALSE)</f>
        <v>70</v>
      </c>
      <c r="T68" s="11">
        <f>VLOOKUP($G68, 'ADP Data'!$C$4:$Q$300, 7, FALSE)</f>
        <v>74</v>
      </c>
      <c r="U68" s="11">
        <f>VLOOKUP($G68, 'ADP Data'!$C$4:$Q$300, 8, FALSE)</f>
        <v>77</v>
      </c>
      <c r="V68" s="11">
        <f t="shared" si="8"/>
        <v>69</v>
      </c>
      <c r="W68" s="11">
        <f t="shared" si="9"/>
        <v>6</v>
      </c>
      <c r="X68" s="11">
        <f t="shared" si="10"/>
        <v>-1</v>
      </c>
      <c r="Y68" s="11">
        <f>VLOOKUP($G68, SeanRanks!$A$2:$K$303, 10, FALSE)-V68</f>
        <v>1</v>
      </c>
      <c r="Z68" s="29">
        <f>IF(VLOOKUP($G68, SeanRanks!$A$2:$H$303, 7, FALSE)=0, "", VLOOKUP($G68, SeanRanks!$A$2:$H$303, 7, FALSE))</f>
        <v>25</v>
      </c>
    </row>
    <row r="69" ht="14.25" customHeight="1">
      <c r="A69" s="11"/>
      <c r="B69" s="11">
        <f t="shared" si="4"/>
        <v>4</v>
      </c>
      <c r="C69" s="11" t="s">
        <v>95</v>
      </c>
      <c r="D69" s="11">
        <v>6.0</v>
      </c>
      <c r="E69" s="11"/>
      <c r="F69" s="11" t="str">
        <f>VLOOKUP(G69, SeanRanks!$A$2:$E$302, 4, FALSE)</f>
        <v/>
      </c>
      <c r="G69" s="11" t="s">
        <v>212</v>
      </c>
      <c r="H69" s="11" t="str">
        <f>VLOOKUP($G69, 'ADP Data'!$C$4:$Q$300, 2, FALSE)</f>
        <v>CIN</v>
      </c>
      <c r="I69" s="11">
        <f>VLOOKUP(G69, 'ADP Data'!$C$4:$R$498, 12, FALSE)</f>
        <v>53</v>
      </c>
      <c r="J69" s="54" t="str">
        <f>VLOOKUP($G69, SeanRanks!$A$2:$H$303, 5, FALSE)</f>
        <v/>
      </c>
      <c r="K69" s="11" t="str">
        <f>IF(VLOOKUP($G69, SeanRanks!$A$2:$H$303, 6, FALSE)=0, "", VLOOKUP($G69, SeanRanks!$A$2:$H$303, 6, FALSE))</f>
        <v>QB1 - 2 - QB1 Upside</v>
      </c>
      <c r="L69" s="11">
        <f t="shared" si="5"/>
        <v>4</v>
      </c>
      <c r="M69" s="11">
        <f>VLOOKUP($G69, 'ADP Data'!$C$4:$Q$300, 9, FALSE)</f>
        <v>41</v>
      </c>
      <c r="N69" s="11">
        <f t="shared" si="6"/>
        <v>5</v>
      </c>
      <c r="O69" s="11">
        <f>VLOOKUP($G69, 'ADP Data'!$C$4:$Q$300, 3, FALSE)</f>
        <v>25</v>
      </c>
      <c r="P69" s="11">
        <f t="shared" si="7"/>
        <v>16</v>
      </c>
      <c r="Q69" s="11">
        <f>VLOOKUP($G69, 'ADP Data'!$C$4:$Q$300, 4, FALSE)</f>
        <v>33</v>
      </c>
      <c r="R69" s="11">
        <f>VLOOKUP($G69, 'ADP Data'!$C$4:$Q$300, 5, FALSE)</f>
        <v>45</v>
      </c>
      <c r="S69" s="11">
        <f>VLOOKUP($G69, 'ADP Data'!$C$4:$Q$300, 6, FALSE)</f>
        <v>45</v>
      </c>
      <c r="T69" s="11">
        <f>VLOOKUP($G69, 'ADP Data'!$C$4:$Q$300, 7, FALSE)</f>
        <v>32</v>
      </c>
      <c r="U69" s="11">
        <f>VLOOKUP($G69, 'ADP Data'!$C$4:$Q$300, 8, FALSE)</f>
        <v>35</v>
      </c>
      <c r="V69" s="11">
        <f t="shared" si="8"/>
        <v>36</v>
      </c>
      <c r="W69" s="11">
        <f t="shared" si="9"/>
        <v>4</v>
      </c>
      <c r="X69" s="11">
        <f t="shared" si="10"/>
        <v>2</v>
      </c>
      <c r="Y69" s="11">
        <f>VLOOKUP($G69, SeanRanks!$A$2:$K$303, 10, FALSE)-V69</f>
        <v>17</v>
      </c>
      <c r="Z69" s="29">
        <f>IF(VLOOKUP($G69, SeanRanks!$A$2:$H$303, 7, FALSE)=0, "", VLOOKUP($G69, SeanRanks!$A$2:$H$303, 7, FALSE))</f>
        <v>5</v>
      </c>
    </row>
    <row r="70" ht="14.25" customHeight="1">
      <c r="A70" s="11"/>
      <c r="B70" s="11">
        <f t="shared" si="4"/>
        <v>6</v>
      </c>
      <c r="C70" s="11" t="s">
        <v>95</v>
      </c>
      <c r="D70" s="11">
        <v>4.0</v>
      </c>
      <c r="E70" s="11"/>
      <c r="F70" s="11" t="str">
        <f>VLOOKUP(G70, SeanRanks!$A$2:$E$302, 4, FALSE)</f>
        <v/>
      </c>
      <c r="G70" s="11" t="s">
        <v>134</v>
      </c>
      <c r="H70" s="11" t="str">
        <f>VLOOKUP($G70, 'ADP Data'!$C$4:$Q$300, 2, FALSE)</f>
        <v>KC</v>
      </c>
      <c r="I70" s="11">
        <f>VLOOKUP(G70, 'ADP Data'!$C$4:$R$498, 12, FALSE)</f>
        <v>70</v>
      </c>
      <c r="J70" s="49" t="str">
        <f>VLOOKUP($G70, SeanRanks!$A$2:$H$303, 5, FALSE)</f>
        <v>Yes</v>
      </c>
      <c r="K70" s="11" t="str">
        <f>IF(VLOOKUP($G70, SeanRanks!$A$2:$H$303, 6, FALSE)=0, "", VLOOKUP($G70, SeanRanks!$A$2:$H$303, 6, FALSE))</f>
        <v>WR3 - 1 - </v>
      </c>
      <c r="L70" s="11">
        <f t="shared" si="5"/>
        <v>5</v>
      </c>
      <c r="M70" s="11">
        <f>VLOOKUP($G70, 'ADP Data'!$C$4:$Q$300, 9, FALSE)</f>
        <v>49</v>
      </c>
      <c r="N70" s="11">
        <f t="shared" si="6"/>
        <v>-19</v>
      </c>
      <c r="O70" s="11">
        <f>VLOOKUP($G70, 'ADP Data'!$C$4:$Q$300, 3, FALSE)</f>
        <v>84</v>
      </c>
      <c r="P70" s="11">
        <f t="shared" si="7"/>
        <v>-35</v>
      </c>
      <c r="Q70" s="11">
        <f>VLOOKUP($G70, 'ADP Data'!$C$4:$Q$300, 4, FALSE)</f>
        <v>71</v>
      </c>
      <c r="R70" s="11">
        <f>VLOOKUP($G70, 'ADP Data'!$C$4:$Q$300, 5, FALSE)</f>
        <v>98</v>
      </c>
      <c r="S70" s="11">
        <f>VLOOKUP($G70, 'ADP Data'!$C$4:$Q$300, 6, FALSE)</f>
        <v>72</v>
      </c>
      <c r="T70" s="11">
        <f>VLOOKUP($G70, 'ADP Data'!$C$4:$Q$300, 7, FALSE)</f>
        <v>60</v>
      </c>
      <c r="U70" s="11">
        <f>VLOOKUP($G70, 'ADP Data'!$C$4:$Q$300, 8, FALSE)</f>
        <v>47</v>
      </c>
      <c r="V70" s="11">
        <f t="shared" si="8"/>
        <v>68</v>
      </c>
      <c r="W70" s="11">
        <f t="shared" si="9"/>
        <v>6</v>
      </c>
      <c r="X70" s="11">
        <f t="shared" si="10"/>
        <v>-2</v>
      </c>
      <c r="Y70" s="11">
        <f>VLOOKUP($G70, SeanRanks!$A$2:$K$303, 10, FALSE)-V70</f>
        <v>6</v>
      </c>
      <c r="Z70" s="29">
        <f>IF(VLOOKUP($G70, SeanRanks!$A$2:$H$303, 7, FALSE)=0, "", VLOOKUP($G70, SeanRanks!$A$2:$H$303, 7, FALSE))</f>
        <v>29</v>
      </c>
    </row>
    <row r="71" ht="14.25" customHeight="1">
      <c r="A71" s="11"/>
      <c r="B71" s="11">
        <f t="shared" si="4"/>
        <v>8</v>
      </c>
      <c r="C71" s="11" t="s">
        <v>95</v>
      </c>
      <c r="D71" s="11">
        <v>5.0</v>
      </c>
      <c r="E71" s="11"/>
      <c r="F71" s="11" t="str">
        <f>VLOOKUP(G71, SeanRanks!$A$2:$E$302, 4, FALSE)</f>
        <v/>
      </c>
      <c r="G71" s="11" t="s">
        <v>361</v>
      </c>
      <c r="H71" s="11" t="str">
        <f>VLOOKUP($G71, 'ADP Data'!$C$4:$Q$300, 2, FALSE)</f>
        <v>ARI</v>
      </c>
      <c r="I71" s="11">
        <f>VLOOKUP(G71, 'ADP Data'!$C$4:$R$498, 12, FALSE)</f>
        <v>104</v>
      </c>
      <c r="J71" s="54" t="str">
        <f>VLOOKUP($G71, SeanRanks!$A$2:$H$303, 5, FALSE)</f>
        <v/>
      </c>
      <c r="K71" s="11" t="str">
        <f>IF(VLOOKUP($G71, SeanRanks!$A$2:$H$303, 6, FALSE)=0, "", VLOOKUP($G71, SeanRanks!$A$2:$H$303, 6, FALSE))</f>
        <v>QB1 - 3 - Top 5 Ceiling</v>
      </c>
      <c r="L71" s="11">
        <f t="shared" si="5"/>
        <v>8</v>
      </c>
      <c r="M71" s="11">
        <f>VLOOKUP($G71, 'ADP Data'!$C$4:$Q$300, 9, FALSE)</f>
        <v>91</v>
      </c>
      <c r="N71" s="11">
        <f t="shared" si="6"/>
        <v>0</v>
      </c>
      <c r="O71" s="11">
        <f>VLOOKUP($G71, 'ADP Data'!$C$4:$Q$300, 3, FALSE)</f>
        <v>82</v>
      </c>
      <c r="P71" s="11">
        <f t="shared" si="7"/>
        <v>9</v>
      </c>
      <c r="Q71" s="11">
        <f>VLOOKUP($G71, 'ADP Data'!$C$4:$Q$300, 4, FALSE)</f>
        <v>77</v>
      </c>
      <c r="R71" s="11">
        <f>VLOOKUP($G71, 'ADP Data'!$C$4:$Q$300, 5, FALSE)</f>
        <v>101</v>
      </c>
      <c r="S71" s="11">
        <f>VLOOKUP($G71, 'ADP Data'!$C$4:$Q$300, 6, FALSE)</f>
        <v>105</v>
      </c>
      <c r="T71" s="11">
        <f>VLOOKUP($G71, 'ADP Data'!$C$4:$Q$300, 7, FALSE)</f>
        <v>104</v>
      </c>
      <c r="U71" s="11">
        <f>VLOOKUP($G71, 'ADP Data'!$C$4:$Q$300, 8, FALSE)</f>
        <v>81</v>
      </c>
      <c r="V71" s="11">
        <f t="shared" si="8"/>
        <v>91</v>
      </c>
      <c r="W71" s="11">
        <f t="shared" si="9"/>
        <v>8</v>
      </c>
      <c r="X71" s="11">
        <f t="shared" si="10"/>
        <v>-3</v>
      </c>
      <c r="Y71" s="11">
        <f>VLOOKUP($G71, SeanRanks!$A$2:$K$303, 10, FALSE)-V71</f>
        <v>7</v>
      </c>
      <c r="Z71" s="29">
        <f>IF(VLOOKUP($G71, SeanRanks!$A$2:$H$303, 7, FALSE)=0, "", VLOOKUP($G71, SeanRanks!$A$2:$H$303, 7, FALSE))</f>
        <v>8</v>
      </c>
    </row>
    <row r="72" ht="14.25" customHeight="1">
      <c r="A72" s="11"/>
      <c r="B72" s="11">
        <f t="shared" si="4"/>
        <v>8</v>
      </c>
      <c r="C72" s="11" t="s">
        <v>95</v>
      </c>
      <c r="D72" s="11">
        <v>7.0</v>
      </c>
      <c r="E72" s="11"/>
      <c r="F72" s="11" t="str">
        <f>VLOOKUP(G72, SeanRanks!$A$2:$E$302, 4, FALSE)</f>
        <v/>
      </c>
      <c r="G72" s="11" t="s">
        <v>666</v>
      </c>
      <c r="H72" s="11" t="str">
        <f>VLOOKUP($G72, 'ADP Data'!$C$4:$Q$300, 2, FALSE)</f>
        <v>DEN</v>
      </c>
      <c r="I72" s="11">
        <f>VLOOKUP(G72, 'ADP Data'!$C$4:$R$498, 12, FALSE)</f>
        <v>100</v>
      </c>
      <c r="J72" s="55" t="str">
        <f>VLOOKUP($G72, SeanRanks!$A$2:$H$303, 5, FALSE)</f>
        <v>No</v>
      </c>
      <c r="K72" s="11" t="str">
        <f>IF(VLOOKUP($G72, SeanRanks!$A$2:$H$303, 6, FALSE)=0, "", VLOOKUP($G72, SeanRanks!$A$2:$H$303, 6, FALSE))</f>
        <v>TE1 - 3 - Weekly Start</v>
      </c>
      <c r="L72" s="11">
        <f t="shared" si="5"/>
        <v>8</v>
      </c>
      <c r="M72" s="11">
        <f>VLOOKUP($G72, 'ADP Data'!$C$4:$Q$300, 9, FALSE)</f>
        <v>87</v>
      </c>
      <c r="N72" s="11">
        <f t="shared" si="6"/>
        <v>0</v>
      </c>
      <c r="O72" s="11">
        <f>VLOOKUP($G72, 'ADP Data'!$C$4:$Q$300, 3, FALSE)</f>
        <v>97</v>
      </c>
      <c r="P72" s="11">
        <f t="shared" si="7"/>
        <v>-10</v>
      </c>
      <c r="Q72" s="11">
        <f>VLOOKUP($G72, 'ADP Data'!$C$4:$Q$300, 4, FALSE)</f>
        <v>78</v>
      </c>
      <c r="R72" s="11">
        <f>VLOOKUP($G72, 'ADP Data'!$C$4:$Q$300, 5, FALSE)</f>
        <v>103</v>
      </c>
      <c r="S72" s="11">
        <f>VLOOKUP($G72, 'ADP Data'!$C$4:$Q$300, 6, FALSE)</f>
        <v>75</v>
      </c>
      <c r="T72" s="11">
        <f>VLOOKUP($G72, 'ADP Data'!$C$4:$Q$300, 7, FALSE)</f>
        <v>95</v>
      </c>
      <c r="U72" s="11">
        <f>VLOOKUP($G72, 'ADP Data'!$C$4:$Q$300, 8, FALSE)</f>
        <v>74</v>
      </c>
      <c r="V72" s="11">
        <f t="shared" si="8"/>
        <v>87</v>
      </c>
      <c r="W72" s="11">
        <f t="shared" si="9"/>
        <v>8</v>
      </c>
      <c r="X72" s="11">
        <f t="shared" si="10"/>
        <v>-1</v>
      </c>
      <c r="Y72" s="11">
        <f>VLOOKUP($G72, SeanRanks!$A$2:$K$303, 10, FALSE)-V72</f>
        <v>5</v>
      </c>
      <c r="Z72" s="29">
        <f>IF(VLOOKUP($G72, SeanRanks!$A$2:$H$303, 7, FALSE)=0, "", VLOOKUP($G72, SeanRanks!$A$2:$H$303, 7, FALSE))</f>
        <v>8</v>
      </c>
    </row>
    <row r="73" ht="14.25" customHeight="1">
      <c r="A73" s="11" t="s">
        <v>106</v>
      </c>
      <c r="B73" s="11">
        <f t="shared" si="4"/>
        <v>4</v>
      </c>
      <c r="C73" s="11" t="s">
        <v>95</v>
      </c>
      <c r="D73" s="11">
        <v>4.0</v>
      </c>
      <c r="E73" s="11"/>
      <c r="F73" s="11" t="str">
        <f>VLOOKUP(G73, SeanRanks!$A$2:$E$302, 4, FALSE)</f>
        <v/>
      </c>
      <c r="G73" s="11" t="s">
        <v>191</v>
      </c>
      <c r="H73" s="11" t="str">
        <f>VLOOKUP($G73, 'ADP Data'!$C$4:$Q$300, 2, FALSE)</f>
        <v>WAS</v>
      </c>
      <c r="I73" s="11">
        <f>VLOOKUP(G73, 'ADP Data'!$C$4:$R$498, 12, FALSE)</f>
        <v>40</v>
      </c>
      <c r="J73" s="49" t="str">
        <f>VLOOKUP($G73, SeanRanks!$A$2:$H$303, 5, FALSE)</f>
        <v/>
      </c>
      <c r="K73" s="11" t="str">
        <f>IF(VLOOKUP($G73, SeanRanks!$A$2:$H$303, 6, FALSE)=0, "", VLOOKUP($G73, SeanRanks!$A$2:$H$303, 6, FALSE))</f>
        <v>WR2 - 2 - Upside with risk</v>
      </c>
      <c r="L73" s="11">
        <f t="shared" si="5"/>
        <v>4</v>
      </c>
      <c r="M73" s="11">
        <f>VLOOKUP($G73, 'ADP Data'!$C$4:$Q$300, 9, FALSE)</f>
        <v>42</v>
      </c>
      <c r="N73" s="11">
        <f t="shared" si="6"/>
        <v>0</v>
      </c>
      <c r="O73" s="11">
        <f>VLOOKUP($G73, 'ADP Data'!$C$4:$Q$300, 3, FALSE)</f>
        <v>45</v>
      </c>
      <c r="P73" s="11">
        <f t="shared" si="7"/>
        <v>-3</v>
      </c>
      <c r="Q73" s="11">
        <f>VLOOKUP($G73, 'ADP Data'!$C$4:$Q$300, 4, FALSE)</f>
        <v>36</v>
      </c>
      <c r="R73" s="11">
        <f>VLOOKUP($G73, 'ADP Data'!$C$4:$Q$300, 5, FALSE)</f>
        <v>56</v>
      </c>
      <c r="S73" s="11">
        <f>VLOOKUP($G73, 'ADP Data'!$C$4:$Q$300, 6, FALSE)</f>
        <v>46</v>
      </c>
      <c r="T73" s="11">
        <f>VLOOKUP($G73, 'ADP Data'!$C$4:$Q$300, 7, FALSE)</f>
        <v>44</v>
      </c>
      <c r="U73" s="11">
        <f>VLOOKUP($G73, 'ADP Data'!$C$4:$Q$300, 8, FALSE)</f>
        <v>28</v>
      </c>
      <c r="V73" s="11">
        <f t="shared" si="8"/>
        <v>42</v>
      </c>
      <c r="W73" s="11">
        <f t="shared" si="9"/>
        <v>4</v>
      </c>
      <c r="X73" s="11">
        <f t="shared" si="10"/>
        <v>0</v>
      </c>
      <c r="Y73" s="11">
        <f>VLOOKUP($G73, SeanRanks!$A$2:$K$303, 10, FALSE)-V73</f>
        <v>-6</v>
      </c>
      <c r="Z73" s="29">
        <f>IF(VLOOKUP($G73, SeanRanks!$A$2:$H$303, 7, FALSE)=0, "", VLOOKUP($G73, SeanRanks!$A$2:$H$303, 7, FALSE))</f>
        <v>17</v>
      </c>
    </row>
    <row r="74" ht="14.25" customHeight="1">
      <c r="A74" s="11"/>
      <c r="B74" s="11">
        <f t="shared" si="4"/>
        <v>6</v>
      </c>
      <c r="C74" s="11" t="s">
        <v>95</v>
      </c>
      <c r="D74" s="11">
        <v>6.0</v>
      </c>
      <c r="E74" s="11"/>
      <c r="F74" s="11" t="str">
        <f>VLOOKUP(G74, SeanRanks!$A$2:$E$302, 4, FALSE)</f>
        <v/>
      </c>
      <c r="G74" s="11" t="s">
        <v>444</v>
      </c>
      <c r="H74" s="11" t="str">
        <f>VLOOKUP($G74, 'ADP Data'!$C$4:$Q$300, 2, FALSE)</f>
        <v>TEN</v>
      </c>
      <c r="I74" s="11">
        <f>VLOOKUP(G74, 'ADP Data'!$C$4:$R$498, 12, FALSE)</f>
        <v>51</v>
      </c>
      <c r="J74" s="49" t="str">
        <f>VLOOKUP($G74, SeanRanks!$A$2:$H$303, 5, FALSE)</f>
        <v>Yes</v>
      </c>
      <c r="K74" s="11" t="str">
        <f>IF(VLOOKUP($G74, SeanRanks!$A$2:$H$303, 6, FALSE)=0, "", VLOOKUP($G74, SeanRanks!$A$2:$H$303, 6, FALSE))</f>
        <v>WR3 - 1 - </v>
      </c>
      <c r="L74" s="11">
        <f t="shared" si="5"/>
        <v>7</v>
      </c>
      <c r="M74" s="11">
        <f>VLOOKUP($G74, 'ADP Data'!$C$4:$Q$300, 9, FALSE)</f>
        <v>72</v>
      </c>
      <c r="N74" s="11">
        <f t="shared" si="6"/>
        <v>8</v>
      </c>
      <c r="O74" s="11">
        <f>VLOOKUP($G74, 'ADP Data'!$C$4:$Q$300, 3, FALSE)</f>
        <v>67</v>
      </c>
      <c r="P74" s="11">
        <f t="shared" si="7"/>
        <v>5</v>
      </c>
      <c r="Q74" s="11">
        <f>VLOOKUP($G74, 'ADP Data'!$C$4:$Q$300, 4, FALSE)</f>
        <v>60</v>
      </c>
      <c r="R74" s="11">
        <f>VLOOKUP($G74, 'ADP Data'!$C$4:$Q$300, 5, FALSE)</f>
        <v>72</v>
      </c>
      <c r="S74" s="11">
        <f>VLOOKUP($G74, 'ADP Data'!$C$4:$Q$300, 6, FALSE)</f>
        <v>59</v>
      </c>
      <c r="T74" s="11">
        <f>VLOOKUP($G74, 'ADP Data'!$C$4:$Q$300, 7, FALSE)</f>
        <v>54</v>
      </c>
      <c r="U74" s="11">
        <f>VLOOKUP($G74, 'ADP Data'!$C$4:$Q$300, 8, FALSE)</f>
        <v>66</v>
      </c>
      <c r="V74" s="11">
        <f t="shared" si="8"/>
        <v>64</v>
      </c>
      <c r="W74" s="11">
        <f t="shared" si="9"/>
        <v>6</v>
      </c>
      <c r="X74" s="11">
        <f t="shared" si="10"/>
        <v>0</v>
      </c>
      <c r="Y74" s="11">
        <f>VLOOKUP($G74, SeanRanks!$A$2:$K$303, 10, FALSE)-V74</f>
        <v>-6</v>
      </c>
      <c r="Z74" s="29">
        <f>IF(VLOOKUP($G74, SeanRanks!$A$2:$H$303, 7, FALSE)=0, "", VLOOKUP($G74, SeanRanks!$A$2:$H$303, 7, FALSE))</f>
        <v>25</v>
      </c>
    </row>
    <row r="75" ht="14.25" customHeight="1">
      <c r="A75" s="11"/>
      <c r="B75" s="11">
        <f t="shared" si="4"/>
        <v>11</v>
      </c>
      <c r="C75" s="11" t="s">
        <v>95</v>
      </c>
      <c r="D75" s="11">
        <v>6.0</v>
      </c>
      <c r="E75" s="11"/>
      <c r="F75" s="11" t="str">
        <f>VLOOKUP(G75, SeanRanks!$A$2:$E$302, 4, FALSE)</f>
        <v/>
      </c>
      <c r="G75" s="11" t="s">
        <v>226</v>
      </c>
      <c r="H75" s="11" t="str">
        <f>VLOOKUP($G75, 'ADP Data'!$C$4:$Q$300, 2, FALSE)</f>
        <v>NE</v>
      </c>
      <c r="I75" s="11">
        <f>VLOOKUP(G75, 'ADP Data'!$C$4:$R$498, 12, FALSE)</f>
        <v>135</v>
      </c>
      <c r="J75" s="48" t="str">
        <f>VLOOKUP($G75, SeanRanks!$A$2:$H$303, 5, FALSE)</f>
        <v/>
      </c>
      <c r="K75" s="11" t="str">
        <f>IF(VLOOKUP($G75, SeanRanks!$A$2:$H$303, 6, FALSE)=0, "", VLOOKUP($G75, SeanRanks!$A$2:$H$303, 6, FALSE))</f>
        <v>RB3 - 2 - low ceiling</v>
      </c>
      <c r="L75" s="11">
        <f t="shared" si="5"/>
        <v>10</v>
      </c>
      <c r="M75" s="11">
        <f>VLOOKUP($G75, 'ADP Data'!$C$4:$Q$300, 9, FALSE)</f>
        <v>111</v>
      </c>
      <c r="N75" s="11">
        <f t="shared" si="6"/>
        <v>-6</v>
      </c>
      <c r="O75" s="11">
        <f>VLOOKUP($G75, 'ADP Data'!$C$4:$Q$300, 3, FALSE)</f>
        <v>109</v>
      </c>
      <c r="P75" s="11">
        <f t="shared" si="7"/>
        <v>2</v>
      </c>
      <c r="Q75" s="11">
        <f>VLOOKUP($G75, 'ADP Data'!$C$4:$Q$300, 4, FALSE)</f>
        <v>107</v>
      </c>
      <c r="R75" s="11">
        <f>VLOOKUP($G75, 'ADP Data'!$C$4:$Q$300, 5, FALSE)</f>
        <v>118</v>
      </c>
      <c r="S75" s="11">
        <f>VLOOKUP($G75, 'ADP Data'!$C$4:$Q$300, 6, FALSE)</f>
        <v>126</v>
      </c>
      <c r="T75" s="11">
        <f>VLOOKUP($G75, 'ADP Data'!$C$4:$Q$300, 7, FALSE)</f>
        <v>121</v>
      </c>
      <c r="U75" s="11">
        <f>VLOOKUP($G75, 'ADP Data'!$C$4:$Q$300, 8, FALSE)</f>
        <v>130</v>
      </c>
      <c r="V75" s="11">
        <f t="shared" si="8"/>
        <v>117</v>
      </c>
      <c r="W75" s="11">
        <f t="shared" si="9"/>
        <v>10</v>
      </c>
      <c r="X75" s="11">
        <f t="shared" si="10"/>
        <v>-4</v>
      </c>
      <c r="Y75" s="11">
        <f>VLOOKUP($G75, SeanRanks!$A$2:$K$303, 10, FALSE)-V75</f>
        <v>-1</v>
      </c>
      <c r="Z75" s="29">
        <f>IF(VLOOKUP($G75, SeanRanks!$A$2:$H$303, 7, FALSE)=0, "", VLOOKUP($G75, SeanRanks!$A$2:$H$303, 7, FALSE))</f>
        <v>37</v>
      </c>
    </row>
    <row r="76" ht="14.25" customHeight="1">
      <c r="A76" s="11"/>
      <c r="B76" s="11" t="str">
        <f t="shared" si="4"/>
        <v>#N/A</v>
      </c>
      <c r="C76" s="11" t="s">
        <v>95</v>
      </c>
      <c r="D76" s="11">
        <v>7.0</v>
      </c>
      <c r="E76" s="11"/>
      <c r="F76" s="11" t="str">
        <f>VLOOKUP(G76, SeanRanks!$A$2:$E$302, 4, FALSE)</f>
        <v>#N/A</v>
      </c>
      <c r="G76" s="11" t="s">
        <v>816</v>
      </c>
      <c r="H76" s="11" t="str">
        <f>VLOOKUP($G76, 'ADP Data'!$C$4:$Q$300, 2, FALSE)</f>
        <v>#N/A</v>
      </c>
      <c r="I76" s="11" t="str">
        <f>VLOOKUP(G76, 'ADP Data'!$C$4:$R$498, 12, FALSE)</f>
        <v>#N/A</v>
      </c>
      <c r="J76" s="48" t="str">
        <f>VLOOKUP($G76, SeanRanks!$A$2:$H$303, 5, FALSE)</f>
        <v>#N/A</v>
      </c>
      <c r="K76" s="11" t="str">
        <f>IF(VLOOKUP($G76, SeanRanks!$A$2:$H$303, 6, FALSE)=0, "", VLOOKUP($G76, SeanRanks!$A$2:$H$303, 6, FALSE))</f>
        <v>#N/A</v>
      </c>
      <c r="L76" s="11">
        <f t="shared" si="5"/>
        <v>16</v>
      </c>
      <c r="M76" s="11" t="str">
        <f>VLOOKUP($G76, 'ADP Data'!$C$4:$Q$300, 9, FALSE)</f>
        <v>#N/A</v>
      </c>
      <c r="N76" s="11" t="str">
        <f t="shared" si="6"/>
        <v>#N/A</v>
      </c>
      <c r="O76" s="11" t="str">
        <f>VLOOKUP($G76, 'ADP Data'!$C$4:$Q$300, 3, FALSE)</f>
        <v>#N/A</v>
      </c>
      <c r="P76" s="11" t="str">
        <f t="shared" si="7"/>
        <v>#N/A</v>
      </c>
      <c r="Q76" s="11" t="str">
        <f>VLOOKUP($G76, 'ADP Data'!$C$4:$Q$300, 4, FALSE)</f>
        <v>#N/A</v>
      </c>
      <c r="R76" s="11" t="str">
        <f>VLOOKUP($G76, 'ADP Data'!$C$4:$Q$300, 5, FALSE)</f>
        <v>#N/A</v>
      </c>
      <c r="S76" s="11" t="str">
        <f>VLOOKUP($G76, 'ADP Data'!$C$4:$Q$300, 6, FALSE)</f>
        <v>#N/A</v>
      </c>
      <c r="T76" s="11" t="str">
        <f>VLOOKUP($G76, 'ADP Data'!$C$4:$Q$300, 7, FALSE)</f>
        <v>#N/A</v>
      </c>
      <c r="U76" s="11" t="str">
        <f>VLOOKUP($G76, 'ADP Data'!$C$4:$Q$300, 8, FALSE)</f>
        <v>#N/A</v>
      </c>
      <c r="V76" s="11" t="str">
        <f t="shared" si="8"/>
        <v>#N/A</v>
      </c>
      <c r="W76" s="11">
        <f t="shared" si="9"/>
        <v>16</v>
      </c>
      <c r="X76" s="11">
        <f t="shared" si="10"/>
        <v>-9</v>
      </c>
      <c r="Y76" s="11" t="str">
        <f>VLOOKUP($G76, SeanRanks!$A$2:$K$303, 10, FALSE)-V76</f>
        <v>#N/A</v>
      </c>
      <c r="Z76" s="29" t="str">
        <f>IF(VLOOKUP($G76, SeanRanks!$A$2:$H$303, 7, FALSE)=0, "", VLOOKUP($G76, SeanRanks!$A$2:$H$303, 7, FALSE))</f>
        <v>#N/A</v>
      </c>
    </row>
    <row r="77" ht="14.25" customHeight="1">
      <c r="A77" s="11"/>
      <c r="B77" s="11">
        <f t="shared" si="4"/>
        <v>9</v>
      </c>
      <c r="C77" s="11" t="s">
        <v>95</v>
      </c>
      <c r="D77" s="11">
        <v>7.0</v>
      </c>
      <c r="E77" s="11"/>
      <c r="F77" s="11" t="str">
        <f>VLOOKUP(G77, SeanRanks!$A$2:$E$302, 4, FALSE)</f>
        <v/>
      </c>
      <c r="G77" s="11" t="s">
        <v>259</v>
      </c>
      <c r="H77" s="11" t="str">
        <f>VLOOKUP($G77, 'ADP Data'!$C$4:$Q$300, 2, FALSE)</f>
        <v>DAL</v>
      </c>
      <c r="I77" s="11">
        <f>VLOOKUP(G77, 'ADP Data'!$C$4:$R$498, 12, FALSE)</f>
        <v>94</v>
      </c>
      <c r="J77" s="56" t="str">
        <f>VLOOKUP($G77, SeanRanks!$A$2:$H$303, 5, FALSE)</f>
        <v/>
      </c>
      <c r="K77" s="11" t="str">
        <f>IF(VLOOKUP($G77, SeanRanks!$A$2:$H$303, 6, FALSE)=0, "", VLOOKUP($G77, SeanRanks!$A$2:$H$303, 6, FALSE))</f>
        <v>QB1 - 4 - Weekly Start</v>
      </c>
      <c r="L77" s="11">
        <f t="shared" si="5"/>
        <v>10</v>
      </c>
      <c r="M77" s="11">
        <f>VLOOKUP($G77, 'ADP Data'!$C$4:$Q$300, 9, FALSE)</f>
        <v>117</v>
      </c>
      <c r="N77" s="11">
        <f t="shared" si="6"/>
        <v>15</v>
      </c>
      <c r="O77" s="11">
        <f>VLOOKUP($G77, 'ADP Data'!$C$4:$Q$300, 3, FALSE)</f>
        <v>77</v>
      </c>
      <c r="P77" s="11">
        <f t="shared" si="7"/>
        <v>40</v>
      </c>
      <c r="Q77" s="11">
        <f>VLOOKUP($G77, 'ADP Data'!$C$4:$Q$300, 4, FALSE)</f>
        <v>99</v>
      </c>
      <c r="R77" s="11">
        <f>VLOOKUP($G77, 'ADP Data'!$C$4:$Q$300, 5, FALSE)</f>
        <v>120</v>
      </c>
      <c r="S77" s="11">
        <f>VLOOKUP($G77, 'ADP Data'!$C$4:$Q$300, 6, FALSE)</f>
        <v>97</v>
      </c>
      <c r="T77" s="11">
        <f>VLOOKUP($G77, 'ADP Data'!$C$4:$Q$300, 7, FALSE)</f>
        <v>87</v>
      </c>
      <c r="U77" s="11">
        <f>VLOOKUP($G77, 'ADP Data'!$C$4:$Q$300, 8, FALSE)</f>
        <v>117</v>
      </c>
      <c r="V77" s="11">
        <f t="shared" si="8"/>
        <v>102</v>
      </c>
      <c r="W77" s="11">
        <f t="shared" si="9"/>
        <v>9</v>
      </c>
      <c r="X77" s="11">
        <f t="shared" si="10"/>
        <v>-2</v>
      </c>
      <c r="Y77" s="11">
        <f>VLOOKUP($G77, SeanRanks!$A$2:$K$303, 10, FALSE)-V77</f>
        <v>-14</v>
      </c>
      <c r="Z77" s="29">
        <f>IF(VLOOKUP($G77, SeanRanks!$A$2:$H$303, 7, FALSE)=0, "", VLOOKUP($G77, SeanRanks!$A$2:$H$303, 7, FALSE))</f>
        <v>11</v>
      </c>
    </row>
    <row r="78" ht="14.25" customHeight="1">
      <c r="A78" s="11"/>
      <c r="B78" s="11">
        <f t="shared" si="4"/>
        <v>13</v>
      </c>
      <c r="C78" s="11" t="s">
        <v>95</v>
      </c>
      <c r="D78" s="11">
        <v>6.0</v>
      </c>
      <c r="E78" s="11"/>
      <c r="F78" s="11" t="str">
        <f>VLOOKUP(G78, SeanRanks!$A$2:$E$302, 4, FALSE)</f>
        <v/>
      </c>
      <c r="G78" s="11" t="s">
        <v>428</v>
      </c>
      <c r="H78" s="11" t="str">
        <f>VLOOKUP($G78, 'ADP Data'!$C$4:$Q$300, 2, FALSE)</f>
        <v>LAC</v>
      </c>
      <c r="I78" s="11">
        <f>VLOOKUP(G78, 'ADP Data'!$C$4:$R$498, 12, FALSE)</f>
        <v>113</v>
      </c>
      <c r="J78" s="30" t="str">
        <f>VLOOKUP($G78, SeanRanks!$A$2:$H$303, 5, FALSE)</f>
        <v/>
      </c>
      <c r="K78" s="11" t="str">
        <f>IF(VLOOKUP($G78, SeanRanks!$A$2:$H$303, 6, FALSE)=0, "", VLOOKUP($G78, SeanRanks!$A$2:$H$303, 6, FALSE))</f>
        <v>WR5 - 2 - floor play not league winner</v>
      </c>
      <c r="L78" s="11">
        <f t="shared" si="5"/>
        <v>14</v>
      </c>
      <c r="M78" s="11">
        <f>VLOOKUP($G78, 'ADP Data'!$C$4:$Q$300, 9, FALSE)</f>
        <v>164</v>
      </c>
      <c r="N78" s="11">
        <f t="shared" si="6"/>
        <v>15</v>
      </c>
      <c r="O78" s="11">
        <f>VLOOKUP($G78, 'ADP Data'!$C$4:$Q$300, 3, FALSE)</f>
        <v>150</v>
      </c>
      <c r="P78" s="11">
        <f t="shared" si="7"/>
        <v>14</v>
      </c>
      <c r="Q78" s="11">
        <f>VLOOKUP($G78, 'ADP Data'!$C$4:$Q$300, 4, FALSE)</f>
        <v>118</v>
      </c>
      <c r="R78" s="11">
        <f>VLOOKUP($G78, 'ADP Data'!$C$4:$Q$300, 5, FALSE)</f>
        <v>136</v>
      </c>
      <c r="S78" s="11">
        <f>VLOOKUP($G78, 'ADP Data'!$C$4:$Q$300, 6, FALSE)</f>
        <v>134</v>
      </c>
      <c r="T78" s="11">
        <f>VLOOKUP($G78, 'ADP Data'!$C$4:$Q$300, 7, FALSE)</f>
        <v>122</v>
      </c>
      <c r="U78" s="11">
        <f>VLOOKUP($G78, 'ADP Data'!$C$4:$Q$300, 8, FALSE)</f>
        <v>222</v>
      </c>
      <c r="V78" s="11">
        <f t="shared" si="8"/>
        <v>149</v>
      </c>
      <c r="W78" s="11">
        <f t="shared" si="9"/>
        <v>13</v>
      </c>
      <c r="X78" s="11">
        <f t="shared" si="10"/>
        <v>-7</v>
      </c>
      <c r="Y78" s="11">
        <f>VLOOKUP($G78, SeanRanks!$A$2:$K$303, 10, FALSE)-V78</f>
        <v>-9</v>
      </c>
      <c r="Z78" s="29">
        <f>IF(VLOOKUP($G78, SeanRanks!$A$2:$H$303, 7, FALSE)=0, "", VLOOKUP($G78, SeanRanks!$A$2:$H$303, 7, FALSE))</f>
        <v>58</v>
      </c>
    </row>
    <row r="79" ht="14.25" customHeight="1">
      <c r="A79" s="11"/>
      <c r="B79" s="11">
        <f t="shared" si="4"/>
        <v>12</v>
      </c>
      <c r="C79" s="11" t="s">
        <v>95</v>
      </c>
      <c r="D79" s="11">
        <v>6.0</v>
      </c>
      <c r="E79" s="11"/>
      <c r="F79" s="11" t="str">
        <f>VLOOKUP(G79, SeanRanks!$A$2:$E$302, 4, FALSE)</f>
        <v/>
      </c>
      <c r="G79" s="11" t="s">
        <v>653</v>
      </c>
      <c r="H79" s="11" t="str">
        <f>VLOOKUP($G79, 'ADP Data'!$C$4:$Q$300, 2, FALSE)</f>
        <v>HOU</v>
      </c>
      <c r="I79" s="11">
        <f>VLOOKUP(G79, 'ADP Data'!$C$4:$R$498, 12, FALSE)</f>
        <v>103</v>
      </c>
      <c r="J79" s="30" t="str">
        <f>VLOOKUP($G79, SeanRanks!$A$2:$H$303, 5, FALSE)</f>
        <v/>
      </c>
      <c r="K79" s="11" t="str">
        <f>IF(VLOOKUP($G79, SeanRanks!$A$2:$H$303, 6, FALSE)=0, "", VLOOKUP($G79, SeanRanks!$A$2:$H$303, 6, FALSE))</f>
        <v>WR5 - 2 - floor play not league winner</v>
      </c>
      <c r="L79" s="11">
        <f t="shared" si="5"/>
        <v>13</v>
      </c>
      <c r="M79" s="11">
        <f>VLOOKUP($G79, 'ADP Data'!$C$4:$Q$300, 9, FALSE)</f>
        <v>148</v>
      </c>
      <c r="N79" s="11">
        <f t="shared" si="6"/>
        <v>6</v>
      </c>
      <c r="O79" s="11">
        <f>VLOOKUP($G79, 'ADP Data'!$C$4:$Q$300, 3, FALSE)</f>
        <v>137</v>
      </c>
      <c r="P79" s="11">
        <f t="shared" si="7"/>
        <v>11</v>
      </c>
      <c r="Q79" s="11">
        <f>VLOOKUP($G79, 'ADP Data'!$C$4:$Q$300, 4, FALSE)</f>
        <v>178</v>
      </c>
      <c r="R79" s="11">
        <f>VLOOKUP($G79, 'ADP Data'!$C$4:$Q$300, 5, FALSE)</f>
        <v>124</v>
      </c>
      <c r="S79" s="11">
        <f>VLOOKUP($G79, 'ADP Data'!$C$4:$Q$300, 6, FALSE)</f>
        <v>131</v>
      </c>
      <c r="T79" s="11">
        <f>VLOOKUP($G79, 'ADP Data'!$C$4:$Q$300, 7, FALSE)</f>
        <v>108</v>
      </c>
      <c r="U79" s="11">
        <f>VLOOKUP($G79, 'ADP Data'!$C$4:$Q$300, 8, FALSE)</f>
        <v>172</v>
      </c>
      <c r="V79" s="11">
        <f t="shared" si="8"/>
        <v>142</v>
      </c>
      <c r="W79" s="11">
        <f t="shared" si="9"/>
        <v>12</v>
      </c>
      <c r="X79" s="11">
        <f t="shared" si="10"/>
        <v>-6</v>
      </c>
      <c r="Y79" s="11">
        <f>VLOOKUP($G79, SeanRanks!$A$2:$K$303, 10, FALSE)-V79</f>
        <v>-9</v>
      </c>
      <c r="Z79" s="29">
        <f>IF(VLOOKUP($G79, SeanRanks!$A$2:$H$303, 7, FALSE)=0, "", VLOOKUP($G79, SeanRanks!$A$2:$H$303, 7, FALSE))</f>
        <v>57</v>
      </c>
    </row>
    <row r="80" ht="14.25" customHeight="1">
      <c r="A80" s="11"/>
      <c r="B80" s="11">
        <f t="shared" si="4"/>
        <v>12</v>
      </c>
      <c r="C80" s="11" t="s">
        <v>95</v>
      </c>
      <c r="D80" s="11" t="s">
        <v>817</v>
      </c>
      <c r="E80" s="11"/>
      <c r="F80" s="11" t="str">
        <f>VLOOKUP(G80, SeanRanks!$A$2:$E$302, 4, FALSE)</f>
        <v/>
      </c>
      <c r="G80" s="11" t="s">
        <v>661</v>
      </c>
      <c r="H80" s="11" t="str">
        <f>VLOOKUP($G80, 'ADP Data'!$C$4:$Q$300, 2, FALSE)</f>
        <v>LAC</v>
      </c>
      <c r="I80" s="11">
        <f>VLOOKUP(G80, 'ADP Data'!$C$4:$R$498, 12, FALSE)</f>
        <v>157</v>
      </c>
      <c r="J80" s="48" t="str">
        <f>VLOOKUP($G80, SeanRanks!$A$2:$H$303, 5, FALSE)</f>
        <v/>
      </c>
      <c r="K80" s="11" t="str">
        <f>IF(VLOOKUP($G80, SeanRanks!$A$2:$H$303, 6, FALSE)=0, "", VLOOKUP($G80, SeanRanks!$A$2:$H$303, 6, FALSE))</f>
        <v>RB4 - 1 - Path to spikes</v>
      </c>
      <c r="L80" s="11">
        <f t="shared" si="5"/>
        <v>10</v>
      </c>
      <c r="M80" s="11">
        <f>VLOOKUP($G80, 'ADP Data'!$C$4:$Q$300, 9, FALSE)</f>
        <v>108</v>
      </c>
      <c r="N80" s="11">
        <f t="shared" si="6"/>
        <v>-29</v>
      </c>
      <c r="O80" s="11">
        <f>VLOOKUP($G80, 'ADP Data'!$C$4:$Q$300, 3, FALSE)</f>
        <v>138</v>
      </c>
      <c r="P80" s="11">
        <f t="shared" si="7"/>
        <v>-30</v>
      </c>
      <c r="Q80" s="11">
        <f>VLOOKUP($G80, 'ADP Data'!$C$4:$Q$300, 4, FALSE)</f>
        <v>162</v>
      </c>
      <c r="R80" s="11">
        <f>VLOOKUP($G80, 'ADP Data'!$C$4:$Q$300, 5, FALSE)</f>
        <v>150</v>
      </c>
      <c r="S80" s="11">
        <f>VLOOKUP($G80, 'ADP Data'!$C$4:$Q$300, 6, FALSE)</f>
        <v>148</v>
      </c>
      <c r="T80" s="11">
        <f>VLOOKUP($G80, 'ADP Data'!$C$4:$Q$300, 7, FALSE)</f>
        <v>137</v>
      </c>
      <c r="U80" s="11">
        <f>VLOOKUP($G80, 'ADP Data'!$C$4:$Q$300, 8, FALSE)</f>
        <v>118</v>
      </c>
      <c r="V80" s="11">
        <f t="shared" si="8"/>
        <v>137</v>
      </c>
      <c r="W80" s="11">
        <f t="shared" si="9"/>
        <v>12</v>
      </c>
      <c r="X80" s="11" t="str">
        <f t="shared" si="10"/>
        <v>#VALUE!</v>
      </c>
      <c r="Y80" s="11">
        <f>VLOOKUP($G80, SeanRanks!$A$2:$K$303, 10, FALSE)-V80</f>
        <v>18</v>
      </c>
      <c r="Z80" s="29">
        <f>IF(VLOOKUP($G80, SeanRanks!$A$2:$H$303, 7, FALSE)=0, "", VLOOKUP($G80, SeanRanks!$A$2:$H$303, 7, FALSE))</f>
        <v>39</v>
      </c>
    </row>
    <row r="81" ht="14.25" customHeight="1">
      <c r="A81" s="11"/>
      <c r="B81" s="11">
        <f t="shared" si="4"/>
        <v>12</v>
      </c>
      <c r="C81" s="11" t="s">
        <v>95</v>
      </c>
      <c r="D81" s="11"/>
      <c r="E81" s="11"/>
      <c r="F81" s="11" t="str">
        <f>VLOOKUP(G81, SeanRanks!$A$2:$E$302, 4, FALSE)</f>
        <v/>
      </c>
      <c r="G81" s="11" t="s">
        <v>376</v>
      </c>
      <c r="H81" s="11" t="str">
        <f>VLOOKUP($G81, 'ADP Data'!$C$4:$Q$300, 2, FALSE)</f>
        <v>GB</v>
      </c>
      <c r="I81" s="11">
        <f>VLOOKUP(G81, 'ADP Data'!$C$4:$R$498, 12, FALSE)</f>
        <v>133</v>
      </c>
      <c r="J81" s="56" t="str">
        <f>VLOOKUP($G81, SeanRanks!$A$2:$H$303, 5, FALSE)</f>
        <v/>
      </c>
      <c r="K81" s="11" t="str">
        <f>IF(VLOOKUP($G81, SeanRanks!$A$2:$H$303, 6, FALSE)=0, "", VLOOKUP($G81, SeanRanks!$A$2:$H$303, 6, FALSE))</f>
        <v>QB2 - 1 - League Winner</v>
      </c>
      <c r="L81" s="11">
        <f t="shared" si="5"/>
        <v>12</v>
      </c>
      <c r="M81" s="11">
        <f>VLOOKUP($G81, 'ADP Data'!$C$4:$Q$300, 9, FALSE)</f>
        <v>142</v>
      </c>
      <c r="N81" s="11">
        <f t="shared" si="6"/>
        <v>5</v>
      </c>
      <c r="O81" s="11">
        <f>VLOOKUP($G81, 'ADP Data'!$C$4:$Q$300, 3, FALSE)</f>
        <v>123</v>
      </c>
      <c r="P81" s="11">
        <f t="shared" si="7"/>
        <v>19</v>
      </c>
      <c r="Q81" s="11">
        <f>VLOOKUP($G81, 'ADP Data'!$C$4:$Q$300, 4, FALSE)</f>
        <v>125</v>
      </c>
      <c r="R81" s="11">
        <f>VLOOKUP($G81, 'ADP Data'!$C$4:$Q$300, 5, FALSE)</f>
        <v>160</v>
      </c>
      <c r="S81" s="11">
        <f>VLOOKUP($G81, 'ADP Data'!$C$4:$Q$300, 6, FALSE)</f>
        <v>147</v>
      </c>
      <c r="T81" s="11">
        <f>VLOOKUP($G81, 'ADP Data'!$C$4:$Q$300, 7, FALSE)</f>
        <v>127</v>
      </c>
      <c r="U81" s="11">
        <f>VLOOKUP($G81, 'ADP Data'!$C$4:$Q$300, 8, FALSE)</f>
        <v>140</v>
      </c>
      <c r="V81" s="11">
        <f t="shared" si="8"/>
        <v>137</v>
      </c>
      <c r="W81" s="11">
        <f t="shared" si="9"/>
        <v>12</v>
      </c>
      <c r="X81" s="11">
        <f t="shared" si="10"/>
        <v>-12</v>
      </c>
      <c r="Y81" s="11">
        <f>VLOOKUP($G81, SeanRanks!$A$2:$K$303, 10, FALSE)-V81</f>
        <v>-26</v>
      </c>
      <c r="Z81" s="29">
        <f>IF(VLOOKUP($G81, SeanRanks!$A$2:$H$303, 7, FALSE)=0, "", VLOOKUP($G81, SeanRanks!$A$2:$H$303, 7, FALSE))</f>
        <v>15</v>
      </c>
    </row>
    <row r="82" ht="14.25" customHeight="1">
      <c r="A82" s="11"/>
      <c r="B82" s="11">
        <f t="shared" si="4"/>
        <v>6</v>
      </c>
      <c r="C82" s="11" t="s">
        <v>95</v>
      </c>
      <c r="D82" s="11">
        <v>6.0</v>
      </c>
      <c r="E82" s="11"/>
      <c r="F82" s="11" t="str">
        <f>VLOOKUP(G82, SeanRanks!$A$2:$E$302, 4, FALSE)</f>
        <v/>
      </c>
      <c r="G82" s="11" t="s">
        <v>181</v>
      </c>
      <c r="H82" s="11" t="str">
        <f>VLOOKUP($G82, 'ADP Data'!$C$4:$Q$300, 2, FALSE)</f>
        <v>CHI</v>
      </c>
      <c r="I82" s="11">
        <f>VLOOKUP(G82, 'ADP Data'!$C$4:$R$498, 12, FALSE)</f>
        <v>58</v>
      </c>
      <c r="J82" s="52" t="str">
        <f>VLOOKUP($G82, SeanRanks!$A$2:$H$303, 5, FALSE)</f>
        <v>No</v>
      </c>
      <c r="K82" s="11" t="str">
        <f>IF(VLOOKUP($G82, SeanRanks!$A$2:$H$303, 6, FALSE)=0, "", VLOOKUP($G82, SeanRanks!$A$2:$H$303, 6, FALSE))</f>
        <v>RB2 - 2 - Path to spikes</v>
      </c>
      <c r="L82" s="11">
        <f t="shared" si="5"/>
        <v>6</v>
      </c>
      <c r="M82" s="11">
        <f>VLOOKUP($G82, 'ADP Data'!$C$4:$Q$300, 9, FALSE)</f>
        <v>68</v>
      </c>
      <c r="N82" s="11">
        <f t="shared" si="6"/>
        <v>8</v>
      </c>
      <c r="O82" s="11">
        <f>VLOOKUP($G82, 'ADP Data'!$C$4:$Q$300, 3, FALSE)</f>
        <v>49</v>
      </c>
      <c r="P82" s="11">
        <f t="shared" si="7"/>
        <v>19</v>
      </c>
      <c r="Q82" s="11">
        <f>VLOOKUP($G82, 'ADP Data'!$C$4:$Q$300, 4, FALSE)</f>
        <v>53</v>
      </c>
      <c r="R82" s="11">
        <f>VLOOKUP($G82, 'ADP Data'!$C$4:$Q$300, 5, FALSE)</f>
        <v>80</v>
      </c>
      <c r="S82" s="11">
        <f>VLOOKUP($G82, 'ADP Data'!$C$4:$Q$300, 6, FALSE)</f>
        <v>56</v>
      </c>
      <c r="T82" s="11">
        <f>VLOOKUP($G82, 'ADP Data'!$C$4:$Q$300, 7, FALSE)</f>
        <v>59</v>
      </c>
      <c r="U82" s="11">
        <f>VLOOKUP($G82, 'ADP Data'!$C$4:$Q$300, 8, FALSE)</f>
        <v>57</v>
      </c>
      <c r="V82" s="11">
        <f t="shared" si="8"/>
        <v>60</v>
      </c>
      <c r="W82" s="11">
        <f t="shared" si="9"/>
        <v>6</v>
      </c>
      <c r="X82" s="11">
        <f t="shared" si="10"/>
        <v>0</v>
      </c>
      <c r="Y82" s="11">
        <f>VLOOKUP($G82, SeanRanks!$A$2:$K$303, 10, FALSE)-V82</f>
        <v>4</v>
      </c>
      <c r="Z82" s="29">
        <f>IF(VLOOKUP($G82, SeanRanks!$A$2:$H$303, 7, FALSE)=0, "", VLOOKUP($G82, SeanRanks!$A$2:$H$303, 7, FALSE))</f>
        <v>26</v>
      </c>
    </row>
    <row r="83" ht="14.25" customHeight="1">
      <c r="A83" s="11"/>
      <c r="B83" s="11">
        <f t="shared" si="4"/>
        <v>21</v>
      </c>
      <c r="C83" s="11" t="s">
        <v>95</v>
      </c>
      <c r="D83" s="11">
        <v>6.0</v>
      </c>
      <c r="E83" s="11"/>
      <c r="F83" s="11" t="str">
        <f>VLOOKUP(G83, SeanRanks!$A$2:$E$302, 4, FALSE)</f>
        <v/>
      </c>
      <c r="G83" s="11" t="s">
        <v>819</v>
      </c>
      <c r="H83" s="11" t="str">
        <f>VLOOKUP($G83, 'ADP Data'!$C$4:$Q$300, 2, FALSE)</f>
        <v>LV</v>
      </c>
      <c r="I83" s="11">
        <f>VLOOKUP(G83, 'ADP Data'!$C$4:$R$498, 12, FALSE)</f>
        <v>245</v>
      </c>
      <c r="J83" s="52" t="str">
        <f>VLOOKUP($G83, SeanRanks!$A$2:$H$303, 5, FALSE)</f>
        <v/>
      </c>
      <c r="K83" s="11" t="str">
        <f>IF(VLOOKUP($G83, SeanRanks!$A$2:$H$303, 6, FALSE)=0, "", VLOOKUP($G83, SeanRanks!$A$2:$H$303, 6, FALSE))</f>
        <v/>
      </c>
      <c r="L83" s="11">
        <f t="shared" si="5"/>
        <v>22</v>
      </c>
      <c r="M83" s="11">
        <f>VLOOKUP($G83, 'ADP Data'!$C$4:$Q$300, 9, FALSE)</f>
        <v>260</v>
      </c>
      <c r="N83" s="11">
        <f t="shared" si="6"/>
        <v>19</v>
      </c>
      <c r="O83" s="11">
        <f>VLOOKUP($G83, 'ADP Data'!$C$4:$Q$300, 3, FALSE)</f>
        <v>191</v>
      </c>
      <c r="P83" s="11">
        <f t="shared" si="7"/>
        <v>69</v>
      </c>
      <c r="Q83" s="11" t="str">
        <f>VLOOKUP($G83, 'ADP Data'!$C$4:$Q$300, 4, FALSE)</f>
        <v>-</v>
      </c>
      <c r="R83" s="11">
        <f>VLOOKUP($G83, 'ADP Data'!$C$4:$Q$300, 5, FALSE)</f>
        <v>288</v>
      </c>
      <c r="S83" s="11">
        <f>VLOOKUP($G83, 'ADP Data'!$C$4:$Q$300, 6, FALSE)</f>
        <v>221</v>
      </c>
      <c r="T83" s="11">
        <f>VLOOKUP($G83, 'ADP Data'!$C$4:$Q$300, 7, FALSE)</f>
        <v>242</v>
      </c>
      <c r="U83" s="11">
        <f>VLOOKUP($G83, 'ADP Data'!$C$4:$Q$300, 8, FALSE)</f>
        <v>247</v>
      </c>
      <c r="V83" s="11">
        <f t="shared" si="8"/>
        <v>241</v>
      </c>
      <c r="W83" s="11">
        <f t="shared" si="9"/>
        <v>21</v>
      </c>
      <c r="X83" s="11">
        <f t="shared" si="10"/>
        <v>-15</v>
      </c>
      <c r="Y83" s="11" t="str">
        <f>VLOOKUP($G83, SeanRanks!$A$2:$K$303, 10, FALSE)-V83</f>
        <v>#VALUE!</v>
      </c>
      <c r="Z83" s="29" t="str">
        <f>IF(VLOOKUP($G83, SeanRanks!$A$2:$H$303, 7, FALSE)=0, "", VLOOKUP($G83, SeanRanks!$A$2:$H$303, 7, FALSE))</f>
        <v/>
      </c>
    </row>
    <row r="84" ht="14.25" customHeight="1">
      <c r="A84" s="11"/>
      <c r="B84" s="11">
        <f t="shared" si="4"/>
        <v>9</v>
      </c>
      <c r="C84" s="11" t="s">
        <v>95</v>
      </c>
      <c r="D84" s="11">
        <v>6.0</v>
      </c>
      <c r="E84" s="11"/>
      <c r="F84" s="11" t="str">
        <f>VLOOKUP(G84, SeanRanks!$A$2:$E$302, 4, FALSE)</f>
        <v/>
      </c>
      <c r="G84" s="11" t="s">
        <v>270</v>
      </c>
      <c r="H84" s="11" t="str">
        <f>VLOOKUP($G84, 'ADP Data'!$C$4:$Q$300, 2, FALSE)</f>
        <v>TB</v>
      </c>
      <c r="I84" s="11">
        <f>VLOOKUP(G84, 'ADP Data'!$C$4:$R$498, 12, FALSE)</f>
        <v>117</v>
      </c>
      <c r="J84" s="30" t="str">
        <f>VLOOKUP($G84, SeanRanks!$A$2:$H$303, 5, FALSE)</f>
        <v/>
      </c>
      <c r="K84" s="11" t="str">
        <f>IF(VLOOKUP($G84, SeanRanks!$A$2:$H$303, 6, FALSE)=0, "", VLOOKUP($G84, SeanRanks!$A$2:$H$303, 6, FALSE))</f>
        <v>WR4 - 1 - path to WR2</v>
      </c>
      <c r="L84" s="11">
        <f t="shared" si="5"/>
        <v>8</v>
      </c>
      <c r="M84" s="11">
        <f>VLOOKUP($G84, 'ADP Data'!$C$4:$Q$300, 9, FALSE)</f>
        <v>90</v>
      </c>
      <c r="N84" s="11">
        <f t="shared" si="6"/>
        <v>-14</v>
      </c>
      <c r="O84" s="11">
        <f>VLOOKUP($G84, 'ADP Data'!$C$4:$Q$300, 3, FALSE)</f>
        <v>107</v>
      </c>
      <c r="P84" s="11">
        <f t="shared" si="7"/>
        <v>-17</v>
      </c>
      <c r="Q84" s="11">
        <f>VLOOKUP($G84, 'ADP Data'!$C$4:$Q$300, 4, FALSE)</f>
        <v>102</v>
      </c>
      <c r="R84" s="11">
        <f>VLOOKUP($G84, 'ADP Data'!$C$4:$Q$300, 5, FALSE)</f>
        <v>127</v>
      </c>
      <c r="S84" s="11">
        <f>VLOOKUP($G84, 'ADP Data'!$C$4:$Q$300, 6, FALSE)</f>
        <v>118</v>
      </c>
      <c r="T84" s="11">
        <f>VLOOKUP($G84, 'ADP Data'!$C$4:$Q$300, 7, FALSE)</f>
        <v>100</v>
      </c>
      <c r="U84" s="11">
        <f>VLOOKUP($G84, 'ADP Data'!$C$4:$Q$300, 8, FALSE)</f>
        <v>90</v>
      </c>
      <c r="V84" s="11">
        <f t="shared" si="8"/>
        <v>104</v>
      </c>
      <c r="W84" s="11">
        <f t="shared" si="9"/>
        <v>9</v>
      </c>
      <c r="X84" s="11">
        <f t="shared" si="10"/>
        <v>-3</v>
      </c>
      <c r="Y84" s="11">
        <f>VLOOKUP($G84, SeanRanks!$A$2:$K$303, 10, FALSE)-V84</f>
        <v>23</v>
      </c>
      <c r="Z84" s="29">
        <f>IF(VLOOKUP($G84, SeanRanks!$A$2:$H$303, 7, FALSE)=0, "", VLOOKUP($G84, SeanRanks!$A$2:$H$303, 7, FALSE))</f>
        <v>42</v>
      </c>
    </row>
    <row r="85" ht="14.25" customHeight="1">
      <c r="A85" s="11" t="s">
        <v>106</v>
      </c>
      <c r="B85" s="11">
        <f t="shared" si="4"/>
        <v>11</v>
      </c>
      <c r="C85" s="11" t="s">
        <v>95</v>
      </c>
      <c r="D85" s="11">
        <v>6.0</v>
      </c>
      <c r="E85" s="27"/>
      <c r="F85" s="11" t="str">
        <f>VLOOKUP(G85, SeanRanks!$A$2:$E$302, 4, FALSE)</f>
        <v/>
      </c>
      <c r="G85" s="11" t="s">
        <v>301</v>
      </c>
      <c r="H85" s="11" t="str">
        <f>VLOOKUP($G85, 'ADP Data'!$C$4:$Q$300, 2, FALSE)</f>
        <v>GB</v>
      </c>
      <c r="I85" s="11">
        <f>VLOOKUP(G85, 'ADP Data'!$C$4:$R$498, 12, FALSE)</f>
        <v>107</v>
      </c>
      <c r="J85" s="49" t="str">
        <f>VLOOKUP($G85, SeanRanks!$A$2:$H$303, 5, FALSE)</f>
        <v/>
      </c>
      <c r="K85" s="11" t="str">
        <f>IF(VLOOKUP($G85, SeanRanks!$A$2:$H$303, 6, FALSE)=0, "", VLOOKUP($G85, SeanRanks!$A$2:$H$303, 6, FALSE))</f>
        <v>WR4 - 2 - unclear path to WR2</v>
      </c>
      <c r="L85" s="11">
        <f t="shared" si="5"/>
        <v>9</v>
      </c>
      <c r="M85" s="11">
        <f>VLOOKUP($G85, 'ADP Data'!$C$4:$Q$300, 9, FALSE)</f>
        <v>99</v>
      </c>
      <c r="N85" s="11">
        <f t="shared" si="6"/>
        <v>-24</v>
      </c>
      <c r="O85" s="11">
        <f>VLOOKUP($G85, 'ADP Data'!$C$4:$Q$300, 3, FALSE)</f>
        <v>134</v>
      </c>
      <c r="P85" s="11">
        <f t="shared" si="7"/>
        <v>-35</v>
      </c>
      <c r="Q85" s="11">
        <f>VLOOKUP($G85, 'ADP Data'!$C$4:$Q$300, 4, FALSE)</f>
        <v>128</v>
      </c>
      <c r="R85" s="11">
        <f>VLOOKUP($G85, 'ADP Data'!$C$4:$Q$300, 5, FALSE)</f>
        <v>145</v>
      </c>
      <c r="S85" s="11">
        <f>VLOOKUP($G85, 'ADP Data'!$C$4:$Q$300, 6, FALSE)</f>
        <v>116</v>
      </c>
      <c r="T85" s="11">
        <f>VLOOKUP($G85, 'ADP Data'!$C$4:$Q$300, 7, FALSE)</f>
        <v>105</v>
      </c>
      <c r="U85" s="11">
        <f>VLOOKUP($G85, 'ADP Data'!$C$4:$Q$300, 8, FALSE)</f>
        <v>134</v>
      </c>
      <c r="V85" s="11">
        <f t="shared" si="8"/>
        <v>123</v>
      </c>
      <c r="W85" s="11">
        <f t="shared" si="9"/>
        <v>11</v>
      </c>
      <c r="X85" s="11">
        <f t="shared" si="10"/>
        <v>-5</v>
      </c>
      <c r="Y85" s="11">
        <f>VLOOKUP($G85, SeanRanks!$A$2:$K$303, 10, FALSE)-V85</f>
        <v>-13</v>
      </c>
      <c r="Z85" s="29">
        <f>IF(VLOOKUP($G85, SeanRanks!$A$2:$H$303, 7, FALSE)=0, "", VLOOKUP($G85, SeanRanks!$A$2:$H$303, 7, FALSE))</f>
        <v>43</v>
      </c>
    </row>
    <row r="86" ht="14.25" customHeight="1">
      <c r="A86" s="11"/>
      <c r="B86" s="11">
        <f t="shared" si="4"/>
        <v>12</v>
      </c>
      <c r="C86" s="11" t="s">
        <v>95</v>
      </c>
      <c r="D86" s="11">
        <v>9.0</v>
      </c>
      <c r="E86" s="11"/>
      <c r="F86" s="11" t="str">
        <f>VLOOKUP(G86, SeanRanks!$A$2:$E$302, 4, FALSE)</f>
        <v/>
      </c>
      <c r="G86" s="11" t="s">
        <v>348</v>
      </c>
      <c r="H86" s="11" t="str">
        <f>VLOOKUP($G86, 'ADP Data'!$C$4:$Q$300, 2, FALSE)</f>
        <v>DAL</v>
      </c>
      <c r="I86" s="11">
        <f>VLOOKUP(G86, 'ADP Data'!$C$4:$R$498, 12, FALSE)</f>
        <v>138</v>
      </c>
      <c r="J86" s="57" t="str">
        <f>VLOOKUP($G86, SeanRanks!$A$2:$H$303, 5, FALSE)</f>
        <v>Yes</v>
      </c>
      <c r="K86" s="11" t="str">
        <f>IF(VLOOKUP($G86, SeanRanks!$A$2:$H$303, 6, FALSE)=0, "", VLOOKUP($G86, SeanRanks!$A$2:$H$303, 6, FALSE))</f>
        <v>TE2 - 1 - Big Upside</v>
      </c>
      <c r="L86" s="11">
        <f t="shared" si="5"/>
        <v>12</v>
      </c>
      <c r="M86" s="11">
        <f>VLOOKUP($G86, 'ADP Data'!$C$4:$Q$300, 9, FALSE)</f>
        <v>137</v>
      </c>
      <c r="N86" s="11">
        <f t="shared" si="6"/>
        <v>0</v>
      </c>
      <c r="O86" s="11">
        <f>VLOOKUP($G86, 'ADP Data'!$C$4:$Q$300, 3, FALSE)</f>
        <v>139</v>
      </c>
      <c r="P86" s="11">
        <f t="shared" si="7"/>
        <v>-2</v>
      </c>
      <c r="Q86" s="11">
        <f>VLOOKUP($G86, 'ADP Data'!$C$4:$Q$300, 4, FALSE)</f>
        <v>137</v>
      </c>
      <c r="R86" s="11">
        <f>VLOOKUP($G86, 'ADP Data'!$C$4:$Q$300, 5, FALSE)</f>
        <v>163</v>
      </c>
      <c r="S86" s="11">
        <f>VLOOKUP($G86, 'ADP Data'!$C$4:$Q$300, 6, FALSE)</f>
        <v>100</v>
      </c>
      <c r="T86" s="11">
        <f>VLOOKUP($G86, 'ADP Data'!$C$4:$Q$300, 7, FALSE)</f>
        <v>130</v>
      </c>
      <c r="U86" s="11">
        <f>VLOOKUP($G86, 'ADP Data'!$C$4:$Q$300, 8, FALSE)</f>
        <v>159</v>
      </c>
      <c r="V86" s="11">
        <f t="shared" si="8"/>
        <v>137</v>
      </c>
      <c r="W86" s="11">
        <f t="shared" si="9"/>
        <v>12</v>
      </c>
      <c r="X86" s="11">
        <f t="shared" si="10"/>
        <v>-3</v>
      </c>
      <c r="Y86" s="11">
        <f>VLOOKUP($G86, SeanRanks!$A$2:$K$303, 10, FALSE)-V86</f>
        <v>-22</v>
      </c>
      <c r="Z86" s="29">
        <f>IF(VLOOKUP($G86, SeanRanks!$A$2:$H$303, 7, FALSE)=0, "", VLOOKUP($G86, SeanRanks!$A$2:$H$303, 7, FALSE))</f>
        <v>14</v>
      </c>
    </row>
    <row r="87" ht="14.25" customHeight="1">
      <c r="A87" s="11"/>
      <c r="B87" s="11" t="str">
        <f t="shared" si="4"/>
        <v>#N/A</v>
      </c>
      <c r="C87" s="11" t="s">
        <v>95</v>
      </c>
      <c r="D87" s="11">
        <v>6.0</v>
      </c>
      <c r="E87" s="11"/>
      <c r="F87" s="11" t="str">
        <f>VLOOKUP(G87, SeanRanks!$A$2:$E$302, 4, FALSE)</f>
        <v/>
      </c>
      <c r="G87" s="11" t="s">
        <v>831</v>
      </c>
      <c r="H87" s="11" t="str">
        <f>VLOOKUP($G87, 'ADP Data'!$C$4:$Q$300, 2, FALSE)</f>
        <v>#N/A</v>
      </c>
      <c r="I87" s="11" t="str">
        <f>VLOOKUP(G87, 'ADP Data'!$C$4:$R$498, 12, FALSE)</f>
        <v>#N/A</v>
      </c>
      <c r="J87" s="30" t="str">
        <f>VLOOKUP($G87, SeanRanks!$A$2:$H$303, 5, FALSE)</f>
        <v/>
      </c>
      <c r="K87" s="11" t="str">
        <f>IF(VLOOKUP($G87, SeanRanks!$A$2:$H$303, 6, FALSE)=0, "", VLOOKUP($G87, SeanRanks!$A$2:$H$303, 6, FALSE))</f>
        <v/>
      </c>
      <c r="L87" s="11">
        <f t="shared" si="5"/>
        <v>16</v>
      </c>
      <c r="M87" s="11" t="str">
        <f>VLOOKUP($G87, 'ADP Data'!$C$4:$Q$300, 9, FALSE)</f>
        <v>#N/A</v>
      </c>
      <c r="N87" s="11" t="str">
        <f t="shared" si="6"/>
        <v>#N/A</v>
      </c>
      <c r="O87" s="11" t="str">
        <f>VLOOKUP($G87, 'ADP Data'!$C$4:$Q$300, 3, FALSE)</f>
        <v>#N/A</v>
      </c>
      <c r="P87" s="11" t="str">
        <f t="shared" si="7"/>
        <v>#N/A</v>
      </c>
      <c r="Q87" s="11" t="str">
        <f>VLOOKUP($G87, 'ADP Data'!$C$4:$Q$300, 4, FALSE)</f>
        <v>#N/A</v>
      </c>
      <c r="R87" s="11" t="str">
        <f>VLOOKUP($G87, 'ADP Data'!$C$4:$Q$300, 5, FALSE)</f>
        <v>#N/A</v>
      </c>
      <c r="S87" s="11" t="str">
        <f>VLOOKUP($G87, 'ADP Data'!$C$4:$Q$300, 6, FALSE)</f>
        <v>#N/A</v>
      </c>
      <c r="T87" s="11" t="str">
        <f>VLOOKUP($G87, 'ADP Data'!$C$4:$Q$300, 7, FALSE)</f>
        <v>#N/A</v>
      </c>
      <c r="U87" s="11" t="str">
        <f>VLOOKUP($G87, 'ADP Data'!$C$4:$Q$300, 8, FALSE)</f>
        <v>#N/A</v>
      </c>
      <c r="V87" s="11" t="str">
        <f t="shared" si="8"/>
        <v>#N/A</v>
      </c>
      <c r="W87" s="11">
        <f t="shared" si="9"/>
        <v>16</v>
      </c>
      <c r="X87" s="11">
        <f t="shared" si="10"/>
        <v>-10</v>
      </c>
      <c r="Y87" s="11" t="str">
        <f>VLOOKUP($G87, SeanRanks!$A$2:$K$303, 10, FALSE)-V87</f>
        <v>#N/A</v>
      </c>
      <c r="Z87" s="29" t="str">
        <f>IF(VLOOKUP($G87, SeanRanks!$A$2:$H$303, 7, FALSE)=0, "", VLOOKUP($G87, SeanRanks!$A$2:$H$303, 7, FALSE))</f>
        <v/>
      </c>
    </row>
    <row r="88" ht="14.25" customHeight="1">
      <c r="A88" s="11"/>
      <c r="B88" s="11">
        <f t="shared" si="4"/>
        <v>8</v>
      </c>
      <c r="C88" s="11" t="s">
        <v>95</v>
      </c>
      <c r="D88" s="11">
        <v>9.0</v>
      </c>
      <c r="E88" s="11"/>
      <c r="F88" s="11" t="str">
        <f>VLOOKUP(G88, SeanRanks!$A$2:$E$302, 4, FALSE)</f>
        <v/>
      </c>
      <c r="G88" s="11" t="s">
        <v>578</v>
      </c>
      <c r="H88" s="11" t="str">
        <f>VLOOKUP($G88, 'ADP Data'!$C$4:$Q$300, 2, FALSE)</f>
        <v>CLE</v>
      </c>
      <c r="I88" s="11">
        <f>VLOOKUP(G88, 'ADP Data'!$C$4:$R$498, 12, FALSE)</f>
        <v>105</v>
      </c>
      <c r="J88" s="57" t="str">
        <f>VLOOKUP($G88, SeanRanks!$A$2:$H$303, 5, FALSE)</f>
        <v/>
      </c>
      <c r="K88" s="11" t="str">
        <f>IF(VLOOKUP($G88, SeanRanks!$A$2:$H$303, 6, FALSE)=0, "", VLOOKUP($G88, SeanRanks!$A$2:$H$303, 6, FALSE))</f>
        <v>TE1 - 3 - Weekly Start</v>
      </c>
      <c r="L88" s="11">
        <f t="shared" si="5"/>
        <v>8</v>
      </c>
      <c r="M88" s="11">
        <f>VLOOKUP($G88, 'ADP Data'!$C$4:$Q$300, 9, FALSE)</f>
        <v>92</v>
      </c>
      <c r="N88" s="11">
        <f t="shared" si="6"/>
        <v>6</v>
      </c>
      <c r="O88" s="11">
        <f>VLOOKUP($G88, 'ADP Data'!$C$4:$Q$300, 3, FALSE)</f>
        <v>74</v>
      </c>
      <c r="P88" s="11">
        <f t="shared" si="7"/>
        <v>18</v>
      </c>
      <c r="Q88" s="11">
        <f>VLOOKUP($G88, 'ADP Data'!$C$4:$Q$300, 4, FALSE)</f>
        <v>72</v>
      </c>
      <c r="R88" s="11">
        <f>VLOOKUP($G88, 'ADP Data'!$C$4:$Q$300, 5, FALSE)</f>
        <v>108</v>
      </c>
      <c r="S88" s="11">
        <f>VLOOKUP($G88, 'ADP Data'!$C$4:$Q$300, 6, FALSE)</f>
        <v>76</v>
      </c>
      <c r="T88" s="11">
        <f>VLOOKUP($G88, 'ADP Data'!$C$4:$Q$300, 7, FALSE)</f>
        <v>101</v>
      </c>
      <c r="U88" s="11">
        <f>VLOOKUP($G88, 'ADP Data'!$C$4:$Q$300, 8, FALSE)</f>
        <v>85</v>
      </c>
      <c r="V88" s="11">
        <f t="shared" si="8"/>
        <v>86</v>
      </c>
      <c r="W88" s="11">
        <f t="shared" si="9"/>
        <v>8</v>
      </c>
      <c r="X88" s="11">
        <f t="shared" si="10"/>
        <v>1</v>
      </c>
      <c r="Y88" s="11">
        <f>VLOOKUP($G88, SeanRanks!$A$2:$K$303, 10, FALSE)-V88</f>
        <v>11</v>
      </c>
      <c r="Z88" s="29">
        <f>IF(VLOOKUP($G88, SeanRanks!$A$2:$H$303, 7, FALSE)=0, "", VLOOKUP($G88, SeanRanks!$A$2:$H$303, 7, FALSE))</f>
        <v>10</v>
      </c>
    </row>
    <row r="89" ht="14.25" customHeight="1">
      <c r="A89" s="11"/>
      <c r="B89" s="11">
        <f t="shared" si="4"/>
        <v>6</v>
      </c>
      <c r="C89" s="11" t="s">
        <v>95</v>
      </c>
      <c r="D89" s="11">
        <v>6.0</v>
      </c>
      <c r="E89" s="11"/>
      <c r="F89" s="11" t="str">
        <f>VLOOKUP(G89, SeanRanks!$A$2:$E$302, 4, FALSE)</f>
        <v/>
      </c>
      <c r="G89" s="11" t="s">
        <v>255</v>
      </c>
      <c r="H89" s="11" t="str">
        <f>VLOOKUP($G89, 'ADP Data'!$C$4:$Q$300, 2, FALSE)</f>
        <v>TEN</v>
      </c>
      <c r="I89" s="11">
        <f>VLOOKUP(G89, 'ADP Data'!$C$4:$R$498, 12, FALSE)</f>
        <v>62</v>
      </c>
      <c r="J89" s="58" t="str">
        <f>VLOOKUP($G89, SeanRanks!$A$2:$H$303, 5, FALSE)</f>
        <v/>
      </c>
      <c r="K89" s="11" t="str">
        <f>IF(VLOOKUP($G89, SeanRanks!$A$2:$H$303, 6, FALSE)=0, "", VLOOKUP($G89, SeanRanks!$A$2:$H$303, 6, FALSE))</f>
        <v>RB2 - 2 - Path to spikes</v>
      </c>
      <c r="L89" s="11">
        <f t="shared" si="5"/>
        <v>6</v>
      </c>
      <c r="M89" s="11">
        <f>VLOOKUP($G89, 'ADP Data'!$C$4:$Q$300, 9, FALSE)</f>
        <v>69</v>
      </c>
      <c r="N89" s="11">
        <f t="shared" si="6"/>
        <v>1</v>
      </c>
      <c r="O89" s="11">
        <f>VLOOKUP($G89, 'ADP Data'!$C$4:$Q$300, 3, FALSE)</f>
        <v>59</v>
      </c>
      <c r="P89" s="11">
        <f t="shared" si="7"/>
        <v>10</v>
      </c>
      <c r="Q89" s="11">
        <f>VLOOKUP($G89, 'ADP Data'!$C$4:$Q$300, 4, FALSE)</f>
        <v>69</v>
      </c>
      <c r="R89" s="11">
        <f>VLOOKUP($G89, 'ADP Data'!$C$4:$Q$300, 5, FALSE)</f>
        <v>79</v>
      </c>
      <c r="S89" s="11">
        <f>VLOOKUP($G89, 'ADP Data'!$C$4:$Q$300, 6, FALSE)</f>
        <v>58</v>
      </c>
      <c r="T89" s="11">
        <f>VLOOKUP($G89, 'ADP Data'!$C$4:$Q$300, 7, FALSE)</f>
        <v>69</v>
      </c>
      <c r="U89" s="11">
        <f>VLOOKUP($G89, 'ADP Data'!$C$4:$Q$300, 8, FALSE)</f>
        <v>78</v>
      </c>
      <c r="V89" s="11">
        <f t="shared" si="8"/>
        <v>68</v>
      </c>
      <c r="W89" s="11">
        <f t="shared" si="9"/>
        <v>6</v>
      </c>
      <c r="X89" s="11">
        <f t="shared" si="10"/>
        <v>0</v>
      </c>
      <c r="Y89" s="11">
        <f>VLOOKUP($G89, SeanRanks!$A$2:$K$303, 10, FALSE)-V89</f>
        <v>-14</v>
      </c>
      <c r="Z89" s="29">
        <f>IF(VLOOKUP($G89, SeanRanks!$A$2:$H$303, 7, FALSE)=0, "", VLOOKUP($G89, SeanRanks!$A$2:$H$303, 7, FALSE))</f>
        <v>24</v>
      </c>
    </row>
    <row r="90" ht="14.25" customHeight="1">
      <c r="A90" s="11" t="s">
        <v>106</v>
      </c>
      <c r="B90" s="11">
        <f t="shared" si="4"/>
        <v>8</v>
      </c>
      <c r="C90" s="11" t="s">
        <v>95</v>
      </c>
      <c r="D90" s="11">
        <v>6.0</v>
      </c>
      <c r="E90" s="11"/>
      <c r="F90" s="11" t="str">
        <f>VLOOKUP(G90, SeanRanks!$A$2:$E$302, 4, FALSE)</f>
        <v/>
      </c>
      <c r="G90" s="11" t="s">
        <v>236</v>
      </c>
      <c r="H90" s="11" t="str">
        <f>VLOOKUP($G90, 'ADP Data'!$C$4:$Q$300, 2, FALSE)</f>
        <v>PIT</v>
      </c>
      <c r="I90" s="11">
        <f>VLOOKUP(G90, 'ADP Data'!$C$4:$R$498, 12, FALSE)</f>
        <v>86</v>
      </c>
      <c r="J90" s="48" t="str">
        <f>VLOOKUP($G90, SeanRanks!$A$2:$H$303, 5, FALSE)</f>
        <v/>
      </c>
      <c r="K90" s="11" t="str">
        <f>IF(VLOOKUP($G90, SeanRanks!$A$2:$H$303, 6, FALSE)=0, "", VLOOKUP($G90, SeanRanks!$A$2:$H$303, 6, FALSE))</f>
        <v>RB3 - 2 - low ceiling</v>
      </c>
      <c r="L90" s="11">
        <f t="shared" si="5"/>
        <v>8</v>
      </c>
      <c r="M90" s="11">
        <f>VLOOKUP($G90, 'ADP Data'!$C$4:$Q$300, 9, FALSE)</f>
        <v>86</v>
      </c>
      <c r="N90" s="11">
        <f t="shared" si="6"/>
        <v>-4</v>
      </c>
      <c r="O90" s="11">
        <f>VLOOKUP($G90, 'ADP Data'!$C$4:$Q$300, 3, FALSE)</f>
        <v>88</v>
      </c>
      <c r="P90" s="11">
        <f t="shared" si="7"/>
        <v>-2</v>
      </c>
      <c r="Q90" s="11">
        <f>VLOOKUP($G90, 'ADP Data'!$C$4:$Q$300, 4, FALSE)</f>
        <v>85</v>
      </c>
      <c r="R90" s="11">
        <f>VLOOKUP($G90, 'ADP Data'!$C$4:$Q$300, 5, FALSE)</f>
        <v>96</v>
      </c>
      <c r="S90" s="11">
        <f>VLOOKUP($G90, 'ADP Data'!$C$4:$Q$300, 6, FALSE)</f>
        <v>84</v>
      </c>
      <c r="T90" s="11">
        <f>VLOOKUP($G90, 'ADP Data'!$C$4:$Q$300, 7, FALSE)</f>
        <v>86</v>
      </c>
      <c r="U90" s="11">
        <f>VLOOKUP($G90, 'ADP Data'!$C$4:$Q$300, 8, FALSE)</f>
        <v>107</v>
      </c>
      <c r="V90" s="11">
        <f t="shared" si="8"/>
        <v>90</v>
      </c>
      <c r="W90" s="11">
        <f t="shared" si="9"/>
        <v>8</v>
      </c>
      <c r="X90" s="11">
        <f t="shared" si="10"/>
        <v>-2</v>
      </c>
      <c r="Y90" s="11">
        <f>VLOOKUP($G90, SeanRanks!$A$2:$K$303, 10, FALSE)-V90</f>
        <v>-15</v>
      </c>
      <c r="Z90" s="29">
        <f>IF(VLOOKUP($G90, SeanRanks!$A$2:$H$303, 7, FALSE)=0, "", VLOOKUP($G90, SeanRanks!$A$2:$H$303, 7, FALSE))</f>
        <v>35</v>
      </c>
    </row>
    <row r="91" ht="14.25" customHeight="1">
      <c r="A91" s="11"/>
      <c r="B91" s="11">
        <f t="shared" si="4"/>
        <v>5</v>
      </c>
      <c r="C91" s="11" t="s">
        <v>95</v>
      </c>
      <c r="D91" s="11">
        <v>7.0</v>
      </c>
      <c r="E91" s="11"/>
      <c r="F91" s="11" t="str">
        <f>VLOOKUP(G91, SeanRanks!$A$2:$E$302, 4, FALSE)</f>
        <v/>
      </c>
      <c r="G91" s="11" t="s">
        <v>353</v>
      </c>
      <c r="H91" s="11" t="str">
        <f>VLOOKUP($G91, 'ADP Data'!$C$4:$Q$300, 2, FALSE)</f>
        <v>KC</v>
      </c>
      <c r="I91" s="11">
        <f>VLOOKUP(G91, 'ADP Data'!$C$4:$R$498, 12, FALSE)</f>
        <v>43</v>
      </c>
      <c r="J91" s="33" t="str">
        <f>VLOOKUP($G91, SeanRanks!$A$2:$H$303, 5, FALSE)</f>
        <v/>
      </c>
      <c r="K91" s="11" t="str">
        <f>IF(VLOOKUP($G91, SeanRanks!$A$2:$H$303, 6, FALSE)=0, "", VLOOKUP($G91, SeanRanks!$A$2:$H$303, 6, FALSE))</f>
        <v>WR2 - 2 - Upside with risk</v>
      </c>
      <c r="L91" s="11">
        <f t="shared" si="5"/>
        <v>5</v>
      </c>
      <c r="M91" s="11">
        <f>VLOOKUP($G91, 'ADP Data'!$C$4:$Q$300, 9, FALSE)</f>
        <v>58</v>
      </c>
      <c r="N91" s="11">
        <f t="shared" si="6"/>
        <v>5</v>
      </c>
      <c r="O91" s="11">
        <f>VLOOKUP($G91, 'ADP Data'!$C$4:$Q$300, 3, FALSE)</f>
        <v>50</v>
      </c>
      <c r="P91" s="11">
        <f t="shared" si="7"/>
        <v>8</v>
      </c>
      <c r="Q91" s="11">
        <f>VLOOKUP($G91, 'ADP Data'!$C$4:$Q$300, 4, FALSE)</f>
        <v>50</v>
      </c>
      <c r="R91" s="11">
        <f>VLOOKUP($G91, 'ADP Data'!$C$4:$Q$300, 5, FALSE)</f>
        <v>57</v>
      </c>
      <c r="S91" s="11">
        <f>VLOOKUP($G91, 'ADP Data'!$C$4:$Q$300, 6, FALSE)</f>
        <v>48</v>
      </c>
      <c r="T91" s="11">
        <f>VLOOKUP($G91, 'ADP Data'!$C$4:$Q$300, 7, FALSE)</f>
        <v>45</v>
      </c>
      <c r="U91" s="11">
        <f>VLOOKUP($G91, 'ADP Data'!$C$4:$Q$300, 8, FALSE)</f>
        <v>68</v>
      </c>
      <c r="V91" s="11">
        <f t="shared" si="8"/>
        <v>53</v>
      </c>
      <c r="W91" s="11">
        <f t="shared" si="9"/>
        <v>5</v>
      </c>
      <c r="X91" s="11">
        <f t="shared" si="10"/>
        <v>2</v>
      </c>
      <c r="Y91" s="11">
        <f>VLOOKUP($G91, SeanRanks!$A$2:$K$303, 10, FALSE)-V91</f>
        <v>-2</v>
      </c>
      <c r="Z91" s="29">
        <f>IF(VLOOKUP($G91, SeanRanks!$A$2:$H$303, 7, FALSE)=0, "", VLOOKUP($G91, SeanRanks!$A$2:$H$303, 7, FALSE))</f>
        <v>22</v>
      </c>
    </row>
    <row r="92" ht="14.25" customHeight="1">
      <c r="A92" s="11"/>
      <c r="B92" s="11">
        <f t="shared" si="4"/>
        <v>10</v>
      </c>
      <c r="C92" s="11" t="s">
        <v>95</v>
      </c>
      <c r="D92" s="11">
        <v>7.0</v>
      </c>
      <c r="E92" s="11"/>
      <c r="F92" s="11" t="str">
        <f>VLOOKUP(G92, SeanRanks!$A$2:$E$302, 4, FALSE)</f>
        <v/>
      </c>
      <c r="G92" s="11" t="s">
        <v>144</v>
      </c>
      <c r="H92" s="11" t="str">
        <f>VLOOKUP($G92, 'ADP Data'!$C$4:$Q$300, 2, FALSE)</f>
        <v>DAL</v>
      </c>
      <c r="I92" s="11">
        <f>VLOOKUP(G92, 'ADP Data'!$C$4:$R$498, 12, FALSE)</f>
        <v>122</v>
      </c>
      <c r="J92" s="59" t="str">
        <f>VLOOKUP($G92, SeanRanks!$A$2:$H$303, 5, FALSE)</f>
        <v>No</v>
      </c>
      <c r="K92" s="11" t="str">
        <f>IF(VLOOKUP($G92, SeanRanks!$A$2:$H$303, 6, FALSE)=0, "", VLOOKUP($G92, SeanRanks!$A$2:$H$303, 6, FALSE))</f>
        <v>RB4 - 2 - low ceiling</v>
      </c>
      <c r="L92" s="11">
        <f t="shared" si="5"/>
        <v>9</v>
      </c>
      <c r="M92" s="11">
        <f>VLOOKUP($G92, 'ADP Data'!$C$4:$Q$300, 9, FALSE)</f>
        <v>100</v>
      </c>
      <c r="N92" s="11">
        <f t="shared" si="6"/>
        <v>-12</v>
      </c>
      <c r="O92" s="11">
        <f>VLOOKUP($G92, 'ADP Data'!$C$4:$Q$300, 3, FALSE)</f>
        <v>108</v>
      </c>
      <c r="P92" s="11">
        <f t="shared" si="7"/>
        <v>-8</v>
      </c>
      <c r="Q92" s="11">
        <f>VLOOKUP($G92, 'ADP Data'!$C$4:$Q$300, 4, FALSE)</f>
        <v>103</v>
      </c>
      <c r="R92" s="11">
        <f>VLOOKUP($G92, 'ADP Data'!$C$4:$Q$300, 5, FALSE)</f>
        <v>117</v>
      </c>
      <c r="S92" s="11">
        <f>VLOOKUP($G92, 'ADP Data'!$C$4:$Q$300, 6, FALSE)</f>
        <v>106</v>
      </c>
      <c r="T92" s="11">
        <f>VLOOKUP($G92, 'ADP Data'!$C$4:$Q$300, 7, FALSE)</f>
        <v>106</v>
      </c>
      <c r="U92" s="11">
        <f>VLOOKUP($G92, 'ADP Data'!$C$4:$Q$300, 8, FALSE)</f>
        <v>150</v>
      </c>
      <c r="V92" s="11">
        <f t="shared" si="8"/>
        <v>112</v>
      </c>
      <c r="W92" s="11">
        <f t="shared" si="9"/>
        <v>10</v>
      </c>
      <c r="X92" s="11">
        <f t="shared" si="10"/>
        <v>-3</v>
      </c>
      <c r="Y92" s="11">
        <f>VLOOKUP($G92, SeanRanks!$A$2:$K$303, 10, FALSE)-V92</f>
        <v>0</v>
      </c>
      <c r="Z92" s="29">
        <f>IF(VLOOKUP($G92, SeanRanks!$A$2:$H$303, 7, FALSE)=0, "", VLOOKUP($G92, SeanRanks!$A$2:$H$303, 7, FALSE))</f>
        <v>52</v>
      </c>
    </row>
    <row r="93" ht="14.25" customHeight="1">
      <c r="A93" s="11"/>
      <c r="B93" s="11">
        <f t="shared" si="4"/>
        <v>7</v>
      </c>
      <c r="C93" s="11" t="s">
        <v>95</v>
      </c>
      <c r="D93" s="11">
        <v>9.0</v>
      </c>
      <c r="E93" s="11"/>
      <c r="F93" s="11" t="str">
        <f>VLOOKUP(G93, SeanRanks!$A$2:$E$302, 4, FALSE)</f>
        <v/>
      </c>
      <c r="G93" s="11" t="s">
        <v>208</v>
      </c>
      <c r="H93" s="11" t="str">
        <f>VLOOKUP($G93, 'ADP Data'!$C$4:$Q$300, 2, FALSE)</f>
        <v>CHI</v>
      </c>
      <c r="I93" s="11">
        <f>VLOOKUP(G93, 'ADP Data'!$C$4:$R$498, 12, FALSE)</f>
        <v>66</v>
      </c>
      <c r="J93" s="33" t="str">
        <f>VLOOKUP($G93, SeanRanks!$A$2:$H$303, 5, FALSE)</f>
        <v/>
      </c>
      <c r="K93" s="11" t="str">
        <f>IF(VLOOKUP($G93, SeanRanks!$A$2:$H$303, 6, FALSE)=0, "", VLOOKUP($G93, SeanRanks!$A$2:$H$303, 6, FALSE))</f>
        <v>WR3 - 2 - mid, but path to big upside</v>
      </c>
      <c r="L93" s="11">
        <f t="shared" si="5"/>
        <v>7</v>
      </c>
      <c r="M93" s="11">
        <f>VLOOKUP($G93, 'ADP Data'!$C$4:$Q$300, 9, FALSE)</f>
        <v>80</v>
      </c>
      <c r="N93" s="11">
        <f t="shared" si="6"/>
        <v>0</v>
      </c>
      <c r="O93" s="11">
        <f>VLOOKUP($G93, 'ADP Data'!$C$4:$Q$300, 3, FALSE)</f>
        <v>99</v>
      </c>
      <c r="P93" s="11">
        <f t="shared" si="7"/>
        <v>-19</v>
      </c>
      <c r="Q93" s="11">
        <f>VLOOKUP($G93, 'ADP Data'!$C$4:$Q$300, 4, FALSE)</f>
        <v>76</v>
      </c>
      <c r="R93" s="11">
        <f>VLOOKUP($G93, 'ADP Data'!$C$4:$Q$300, 5, FALSE)</f>
        <v>75</v>
      </c>
      <c r="S93" s="11">
        <f>VLOOKUP($G93, 'ADP Data'!$C$4:$Q$300, 6, FALSE)</f>
        <v>77</v>
      </c>
      <c r="T93" s="11">
        <f>VLOOKUP($G93, 'ADP Data'!$C$4:$Q$300, 7, FALSE)</f>
        <v>64</v>
      </c>
      <c r="U93" s="11">
        <f>VLOOKUP($G93, 'ADP Data'!$C$4:$Q$300, 8, FALSE)</f>
        <v>89</v>
      </c>
      <c r="V93" s="11">
        <f t="shared" si="8"/>
        <v>80</v>
      </c>
      <c r="W93" s="11">
        <f t="shared" si="9"/>
        <v>7</v>
      </c>
      <c r="X93" s="11">
        <f t="shared" si="10"/>
        <v>2</v>
      </c>
      <c r="Y93" s="11">
        <f>VLOOKUP($G93, SeanRanks!$A$2:$K$303, 10, FALSE)-V93</f>
        <v>-17</v>
      </c>
      <c r="Z93" s="29">
        <f>IF(VLOOKUP($G93, SeanRanks!$A$2:$H$303, 7, FALSE)=0, "", VLOOKUP($G93, SeanRanks!$A$2:$H$303, 7, FALSE))</f>
        <v>33</v>
      </c>
    </row>
    <row r="94" ht="14.25" customHeight="1">
      <c r="A94" s="11"/>
      <c r="B94" s="11">
        <f t="shared" si="4"/>
        <v>9</v>
      </c>
      <c r="C94" s="11" t="s">
        <v>95</v>
      </c>
      <c r="D94" s="11">
        <v>7.0</v>
      </c>
      <c r="E94" s="11"/>
      <c r="F94" s="11" t="str">
        <f>VLOOKUP(G94, SeanRanks!$A$2:$E$302, 4, FALSE)</f>
        <v/>
      </c>
      <c r="G94" s="11" t="s">
        <v>315</v>
      </c>
      <c r="H94" s="11" t="str">
        <f>VLOOKUP($G94, 'ADP Data'!$C$4:$Q$300, 2, FALSE)</f>
        <v>SF</v>
      </c>
      <c r="I94" s="11">
        <f>VLOOKUP(G94, 'ADP Data'!$C$4:$R$498, 12, FALSE)</f>
        <v>106</v>
      </c>
      <c r="J94" s="60" t="str">
        <f>VLOOKUP($G94, SeanRanks!$A$2:$H$303, 5, FALSE)</f>
        <v/>
      </c>
      <c r="K94" s="11" t="str">
        <f>IF(VLOOKUP($G94, SeanRanks!$A$2:$H$303, 6, FALSE)=0, "", VLOOKUP($G94, SeanRanks!$A$2:$H$303, 6, FALSE))</f>
        <v>QB1 - 4 - Weekly Start</v>
      </c>
      <c r="L94" s="11">
        <f t="shared" si="5"/>
        <v>10</v>
      </c>
      <c r="M94" s="11">
        <f>VLOOKUP($G94, 'ADP Data'!$C$4:$Q$300, 9, FALSE)</f>
        <v>112</v>
      </c>
      <c r="N94" s="11">
        <f t="shared" si="6"/>
        <v>10</v>
      </c>
      <c r="O94" s="11">
        <f>VLOOKUP($G94, 'ADP Data'!$C$4:$Q$300, 3, FALSE)</f>
        <v>89</v>
      </c>
      <c r="P94" s="11">
        <f t="shared" si="7"/>
        <v>23</v>
      </c>
      <c r="Q94" s="11">
        <f>VLOOKUP($G94, 'ADP Data'!$C$4:$Q$300, 4, FALSE)</f>
        <v>79</v>
      </c>
      <c r="R94" s="11">
        <f>VLOOKUP($G94, 'ADP Data'!$C$4:$Q$300, 5, FALSE)</f>
        <v>111</v>
      </c>
      <c r="S94" s="11">
        <f>VLOOKUP($G94, 'ADP Data'!$C$4:$Q$300, 6, FALSE)</f>
        <v>110</v>
      </c>
      <c r="T94" s="11">
        <f>VLOOKUP($G94, 'ADP Data'!$C$4:$Q$300, 7, FALSE)</f>
        <v>107</v>
      </c>
      <c r="U94" s="11">
        <f>VLOOKUP($G94, 'ADP Data'!$C$4:$Q$300, 8, FALSE)</f>
        <v>106</v>
      </c>
      <c r="V94" s="11">
        <f t="shared" si="8"/>
        <v>102</v>
      </c>
      <c r="W94" s="11">
        <f t="shared" si="9"/>
        <v>9</v>
      </c>
      <c r="X94" s="11">
        <f t="shared" si="10"/>
        <v>-2</v>
      </c>
      <c r="Y94" s="11">
        <f>VLOOKUP($G94, SeanRanks!$A$2:$K$303, 10, FALSE)-V94</f>
        <v>-16</v>
      </c>
      <c r="Z94" s="29">
        <f>IF(VLOOKUP($G94, SeanRanks!$A$2:$H$303, 7, FALSE)=0, "", VLOOKUP($G94, SeanRanks!$A$2:$H$303, 7, FALSE))</f>
        <v>12</v>
      </c>
    </row>
    <row r="95" ht="14.25" customHeight="1">
      <c r="A95" s="11"/>
      <c r="B95" s="11">
        <f t="shared" si="4"/>
        <v>3</v>
      </c>
      <c r="C95" s="11" t="s">
        <v>95</v>
      </c>
      <c r="D95" s="11">
        <v>6.0</v>
      </c>
      <c r="E95" s="11"/>
      <c r="F95" s="11" t="str">
        <f>VLOOKUP(G95, SeanRanks!$A$2:$E$302, 4, FALSE)</f>
        <v/>
      </c>
      <c r="G95" s="11" t="s">
        <v>51</v>
      </c>
      <c r="H95" s="11" t="str">
        <f>VLOOKUP($G95, 'ADP Data'!$C$4:$Q$300, 2, FALSE)</f>
        <v>SEA</v>
      </c>
      <c r="I95" s="11">
        <f>VLOOKUP(G95, 'ADP Data'!$C$4:$R$498, 12, FALSE)</f>
        <v>29</v>
      </c>
      <c r="J95" s="33" t="str">
        <f>VLOOKUP($G95, SeanRanks!$A$2:$H$303, 5, FALSE)</f>
        <v/>
      </c>
      <c r="K95" s="11" t="str">
        <f>IF(VLOOKUP($G95, SeanRanks!$A$2:$H$303, 6, FALSE)=0, "", VLOOKUP($G95, SeanRanks!$A$2:$H$303, 6, FALSE))</f>
        <v>WR2 - 1 - WR1 upside</v>
      </c>
      <c r="L95" s="11">
        <f t="shared" si="5"/>
        <v>3</v>
      </c>
      <c r="M95" s="11">
        <f>VLOOKUP($G95, 'ADP Data'!$C$4:$Q$300, 9, FALSE)</f>
        <v>29</v>
      </c>
      <c r="N95" s="11">
        <f t="shared" si="6"/>
        <v>-4</v>
      </c>
      <c r="O95" s="11">
        <f>VLOOKUP($G95, 'ADP Data'!$C$4:$Q$300, 3, FALSE)</f>
        <v>40</v>
      </c>
      <c r="P95" s="11">
        <f t="shared" si="7"/>
        <v>-11</v>
      </c>
      <c r="Q95" s="11">
        <f>VLOOKUP($G95, 'ADP Data'!$C$4:$Q$300, 4, FALSE)</f>
        <v>37</v>
      </c>
      <c r="R95" s="11">
        <f>VLOOKUP($G95, 'ADP Data'!$C$4:$Q$300, 5, FALSE)</f>
        <v>32</v>
      </c>
      <c r="S95" s="11">
        <f>VLOOKUP($G95, 'ADP Data'!$C$4:$Q$300, 6, FALSE)</f>
        <v>31</v>
      </c>
      <c r="T95" s="11">
        <f>VLOOKUP($G95, 'ADP Data'!$C$4:$Q$300, 7, FALSE)</f>
        <v>28</v>
      </c>
      <c r="U95" s="11">
        <f>VLOOKUP($G95, 'ADP Data'!$C$4:$Q$300, 8, FALSE)</f>
        <v>39</v>
      </c>
      <c r="V95" s="11">
        <f t="shared" si="8"/>
        <v>33</v>
      </c>
      <c r="W95" s="11">
        <f t="shared" si="9"/>
        <v>3</v>
      </c>
      <c r="X95" s="11">
        <f t="shared" si="10"/>
        <v>3</v>
      </c>
      <c r="Y95" s="11">
        <f>VLOOKUP($G95, SeanRanks!$A$2:$K$303, 10, FALSE)-V95</f>
        <v>0</v>
      </c>
      <c r="Z95" s="29">
        <f>IF(VLOOKUP($G95, SeanRanks!$A$2:$H$303, 7, FALSE)=0, "", VLOOKUP($G95, SeanRanks!$A$2:$H$303, 7, FALSE))</f>
        <v>13</v>
      </c>
    </row>
    <row r="96" ht="14.25" customHeight="1">
      <c r="A96" s="11"/>
      <c r="B96" s="11" t="str">
        <f t="shared" si="4"/>
        <v>#N/A</v>
      </c>
      <c r="C96" s="11" t="s">
        <v>95</v>
      </c>
      <c r="D96" s="11">
        <v>6.0</v>
      </c>
      <c r="E96" s="11"/>
      <c r="F96" s="11" t="str">
        <f>VLOOKUP(G96, SeanRanks!$A$2:$E$302, 4, FALSE)</f>
        <v>#N/A</v>
      </c>
      <c r="G96" s="11" t="s">
        <v>218</v>
      </c>
      <c r="H96" s="11" t="str">
        <f>VLOOKUP($G96, 'ADP Data'!$C$4:$Q$300, 2, FALSE)</f>
        <v>#N/A</v>
      </c>
      <c r="I96" s="11" t="str">
        <f>VLOOKUP(G96, 'ADP Data'!$C$4:$R$498, 12, FALSE)</f>
        <v>#N/A</v>
      </c>
      <c r="J96" s="33" t="str">
        <f>VLOOKUP($G96, SeanRanks!$A$2:$H$303, 5, FALSE)</f>
        <v>#N/A</v>
      </c>
      <c r="K96" s="11" t="str">
        <f>IF(VLOOKUP($G96, SeanRanks!$A$2:$H$303, 6, FALSE)=0, "", VLOOKUP($G96, SeanRanks!$A$2:$H$303, 6, FALSE))</f>
        <v>#N/A</v>
      </c>
      <c r="L96" s="11">
        <f t="shared" si="5"/>
        <v>16</v>
      </c>
      <c r="M96" s="11" t="str">
        <f>VLOOKUP($G96, 'ADP Data'!$C$4:$Q$300, 9, FALSE)</f>
        <v>#N/A</v>
      </c>
      <c r="N96" s="11" t="str">
        <f t="shared" si="6"/>
        <v>#N/A</v>
      </c>
      <c r="O96" s="11" t="str">
        <f>VLOOKUP($G96, 'ADP Data'!$C$4:$Q$300, 3, FALSE)</f>
        <v>#N/A</v>
      </c>
      <c r="P96" s="11" t="str">
        <f t="shared" si="7"/>
        <v>#N/A</v>
      </c>
      <c r="Q96" s="11" t="str">
        <f>VLOOKUP($G96, 'ADP Data'!$C$4:$Q$300, 4, FALSE)</f>
        <v>#N/A</v>
      </c>
      <c r="R96" s="11" t="str">
        <f>VLOOKUP($G96, 'ADP Data'!$C$4:$Q$300, 5, FALSE)</f>
        <v>#N/A</v>
      </c>
      <c r="S96" s="11" t="str">
        <f>VLOOKUP($G96, 'ADP Data'!$C$4:$Q$300, 6, FALSE)</f>
        <v>#N/A</v>
      </c>
      <c r="T96" s="11" t="str">
        <f>VLOOKUP($G96, 'ADP Data'!$C$4:$Q$300, 7, FALSE)</f>
        <v>#N/A</v>
      </c>
      <c r="U96" s="11" t="str">
        <f>VLOOKUP($G96, 'ADP Data'!$C$4:$Q$300, 8, FALSE)</f>
        <v>#N/A</v>
      </c>
      <c r="V96" s="11" t="str">
        <f t="shared" si="8"/>
        <v>#N/A</v>
      </c>
      <c r="W96" s="11">
        <f t="shared" si="9"/>
        <v>16</v>
      </c>
      <c r="X96" s="11">
        <f t="shared" si="10"/>
        <v>-10</v>
      </c>
      <c r="Y96" s="11" t="str">
        <f>VLOOKUP($G96, SeanRanks!$A$2:$K$303, 10, FALSE)-V96</f>
        <v>#N/A</v>
      </c>
      <c r="Z96" s="29" t="str">
        <f>IF(VLOOKUP($G96, SeanRanks!$A$2:$H$303, 7, FALSE)=0, "", VLOOKUP($G96, SeanRanks!$A$2:$H$303, 7, FALSE))</f>
        <v>#N/A</v>
      </c>
    </row>
    <row r="97" ht="14.25" customHeight="1">
      <c r="A97" s="11"/>
      <c r="B97" s="11" t="str">
        <f t="shared" si="4"/>
        <v>#N/A</v>
      </c>
      <c r="C97" s="11" t="s">
        <v>95</v>
      </c>
      <c r="D97" s="11">
        <v>9.0</v>
      </c>
      <c r="E97" s="11"/>
      <c r="F97" s="11" t="str">
        <f>VLOOKUP(G97, SeanRanks!$A$2:$E$302, 4, FALSE)</f>
        <v>#N/A</v>
      </c>
      <c r="G97" s="11" t="s">
        <v>253</v>
      </c>
      <c r="H97" s="11" t="str">
        <f>VLOOKUP($G97, 'ADP Data'!$C$4:$Q$300, 2, FALSE)</f>
        <v>#N/A</v>
      </c>
      <c r="I97" s="11" t="str">
        <f>VLOOKUP(G97, 'ADP Data'!$C$4:$R$498, 12, FALSE)</f>
        <v>#N/A</v>
      </c>
      <c r="J97" s="48" t="str">
        <f>VLOOKUP($G97, SeanRanks!$A$2:$H$303, 5, FALSE)</f>
        <v>#N/A</v>
      </c>
      <c r="K97" s="11" t="str">
        <f>IF(VLOOKUP($G97, SeanRanks!$A$2:$H$303, 6, FALSE)=0, "", VLOOKUP($G97, SeanRanks!$A$2:$H$303, 6, FALSE))</f>
        <v>#N/A</v>
      </c>
      <c r="L97" s="11">
        <f t="shared" si="5"/>
        <v>16</v>
      </c>
      <c r="M97" s="11" t="str">
        <f>VLOOKUP($G97, 'ADP Data'!$C$4:$Q$300, 9, FALSE)</f>
        <v>#N/A</v>
      </c>
      <c r="N97" s="11" t="str">
        <f t="shared" si="6"/>
        <v>#N/A</v>
      </c>
      <c r="O97" s="11" t="str">
        <f>VLOOKUP($G97, 'ADP Data'!$C$4:$Q$300, 3, FALSE)</f>
        <v>#N/A</v>
      </c>
      <c r="P97" s="11" t="str">
        <f t="shared" si="7"/>
        <v>#N/A</v>
      </c>
      <c r="Q97" s="11" t="str">
        <f>VLOOKUP($G97, 'ADP Data'!$C$4:$Q$300, 4, FALSE)</f>
        <v>#N/A</v>
      </c>
      <c r="R97" s="11" t="str">
        <f>VLOOKUP($G97, 'ADP Data'!$C$4:$Q$300, 5, FALSE)</f>
        <v>#N/A</v>
      </c>
      <c r="S97" s="11" t="str">
        <f>VLOOKUP($G97, 'ADP Data'!$C$4:$Q$300, 6, FALSE)</f>
        <v>#N/A</v>
      </c>
      <c r="T97" s="11" t="str">
        <f>VLOOKUP($G97, 'ADP Data'!$C$4:$Q$300, 7, FALSE)</f>
        <v>#N/A</v>
      </c>
      <c r="U97" s="11" t="str">
        <f>VLOOKUP($G97, 'ADP Data'!$C$4:$Q$300, 8, FALSE)</f>
        <v>#N/A</v>
      </c>
      <c r="V97" s="11" t="str">
        <f t="shared" si="8"/>
        <v>#N/A</v>
      </c>
      <c r="W97" s="11">
        <f t="shared" si="9"/>
        <v>16</v>
      </c>
      <c r="X97" s="11">
        <f t="shared" si="10"/>
        <v>-7</v>
      </c>
      <c r="Y97" s="11" t="str">
        <f>VLOOKUP($G97, SeanRanks!$A$2:$K$303, 10, FALSE)-V97</f>
        <v>#N/A</v>
      </c>
      <c r="Z97" s="29" t="str">
        <f>IF(VLOOKUP($G97, SeanRanks!$A$2:$H$303, 7, FALSE)=0, "", VLOOKUP($G97, SeanRanks!$A$2:$H$303, 7, FALSE))</f>
        <v>#N/A</v>
      </c>
    </row>
    <row r="98" ht="14.25" customHeight="1">
      <c r="A98" s="11" t="s">
        <v>106</v>
      </c>
      <c r="B98" s="11">
        <f t="shared" si="4"/>
        <v>3</v>
      </c>
      <c r="C98" s="11" t="s">
        <v>95</v>
      </c>
      <c r="D98" s="11">
        <v>7.0</v>
      </c>
      <c r="E98" s="11"/>
      <c r="F98" s="11" t="str">
        <f>VLOOKUP(G98, SeanRanks!$A$2:$E$302, 4, FALSE)</f>
        <v/>
      </c>
      <c r="G98" s="11" t="s">
        <v>224</v>
      </c>
      <c r="H98" s="11" t="str">
        <f>VLOOKUP($G98, 'ADP Data'!$C$4:$Q$300, 2, FALSE)</f>
        <v>WAS</v>
      </c>
      <c r="I98" s="11">
        <f>VLOOKUP(G98, 'ADP Data'!$C$4:$R$498, 12, FALSE)</f>
        <v>36</v>
      </c>
      <c r="J98" s="60" t="str">
        <f>VLOOKUP($G98, SeanRanks!$A$2:$H$303, 5, FALSE)</f>
        <v/>
      </c>
      <c r="K98" s="11" t="str">
        <f>IF(VLOOKUP($G98, SeanRanks!$A$2:$H$303, 6, FALSE)=0, "", VLOOKUP($G98, SeanRanks!$A$2:$H$303, 6, FALSE))</f>
        <v>QB1 - 2 - QB1 Upside</v>
      </c>
      <c r="L98" s="11">
        <f t="shared" si="5"/>
        <v>3</v>
      </c>
      <c r="M98" s="11">
        <f>VLOOKUP($G98, 'ADP Data'!$C$4:$Q$300, 9, FALSE)</f>
        <v>33</v>
      </c>
      <c r="N98" s="11">
        <f t="shared" si="6"/>
        <v>0</v>
      </c>
      <c r="O98" s="11">
        <f>VLOOKUP($G98, 'ADP Data'!$C$4:$Q$300, 3, FALSE)</f>
        <v>30</v>
      </c>
      <c r="P98" s="11">
        <f t="shared" si="7"/>
        <v>3</v>
      </c>
      <c r="Q98" s="11">
        <f>VLOOKUP($G98, 'ADP Data'!$C$4:$Q$300, 4, FALSE)</f>
        <v>27</v>
      </c>
      <c r="R98" s="11">
        <f>VLOOKUP($G98, 'ADP Data'!$C$4:$Q$300, 5, FALSE)</f>
        <v>42</v>
      </c>
      <c r="S98" s="11">
        <f>VLOOKUP($G98, 'ADP Data'!$C$4:$Q$300, 6, FALSE)</f>
        <v>35</v>
      </c>
      <c r="T98" s="11">
        <f>VLOOKUP($G98, 'ADP Data'!$C$4:$Q$300, 7, FALSE)</f>
        <v>35</v>
      </c>
      <c r="U98" s="11">
        <f>VLOOKUP($G98, 'ADP Data'!$C$4:$Q$300, 8, FALSE)</f>
        <v>29</v>
      </c>
      <c r="V98" s="11">
        <f t="shared" si="8"/>
        <v>33</v>
      </c>
      <c r="W98" s="11">
        <f t="shared" si="9"/>
        <v>3</v>
      </c>
      <c r="X98" s="11">
        <f t="shared" si="10"/>
        <v>4</v>
      </c>
      <c r="Y98" s="11">
        <f>VLOOKUP($G98, SeanRanks!$A$2:$K$303, 10, FALSE)-V98</f>
        <v>-3</v>
      </c>
      <c r="Z98" s="29">
        <f>IF(VLOOKUP($G98, SeanRanks!$A$2:$H$303, 7, FALSE)=0, "", VLOOKUP($G98, SeanRanks!$A$2:$H$303, 7, FALSE))</f>
        <v>4</v>
      </c>
    </row>
    <row r="99" ht="14.25" customHeight="1">
      <c r="A99" s="11"/>
      <c r="B99" s="11">
        <f t="shared" si="4"/>
        <v>14</v>
      </c>
      <c r="C99" s="11" t="s">
        <v>95</v>
      </c>
      <c r="D99" s="11">
        <v>9.0</v>
      </c>
      <c r="E99" s="11"/>
      <c r="F99" s="11" t="str">
        <f>VLOOKUP(G99, SeanRanks!$A$2:$E$302, 4, FALSE)</f>
        <v/>
      </c>
      <c r="G99" s="11" t="s">
        <v>826</v>
      </c>
      <c r="H99" s="11" t="str">
        <f>VLOOKUP($G99, 'ADP Data'!$C$4:$Q$300, 2, FALSE)</f>
        <v>KC</v>
      </c>
      <c r="I99" s="11">
        <f>VLOOKUP(G99, 'ADP Data'!$C$4:$R$498, 12, FALSE)</f>
        <v>151</v>
      </c>
      <c r="J99" s="37" t="str">
        <f>VLOOKUP($G99, SeanRanks!$A$2:$H$303, 5, FALSE)</f>
        <v/>
      </c>
      <c r="K99" s="11" t="str">
        <f>IF(VLOOKUP($G99, SeanRanks!$A$2:$H$303, 6, FALSE)=0, "", VLOOKUP($G99, SeanRanks!$A$2:$H$303, 6, FALSE))</f>
        <v/>
      </c>
      <c r="L99" s="11">
        <f t="shared" si="5"/>
        <v>16</v>
      </c>
      <c r="M99" s="11">
        <f>VLOOKUP($G99, 'ADP Data'!$C$4:$Q$300, 9, FALSE)</f>
        <v>190</v>
      </c>
      <c r="N99" s="11">
        <f t="shared" si="6"/>
        <v>16</v>
      </c>
      <c r="O99" s="11">
        <f>VLOOKUP($G99, 'ADP Data'!$C$4:$Q$300, 3, FALSE)</f>
        <v>214</v>
      </c>
      <c r="P99" s="11">
        <f t="shared" si="7"/>
        <v>-24</v>
      </c>
      <c r="Q99" s="11">
        <f>VLOOKUP($G99, 'ADP Data'!$C$4:$Q$300, 4, FALSE)</f>
        <v>170</v>
      </c>
      <c r="R99" s="11">
        <f>VLOOKUP($G99, 'ADP Data'!$C$4:$Q$300, 5, FALSE)</f>
        <v>211</v>
      </c>
      <c r="S99" s="11">
        <f>VLOOKUP($G99, 'ADP Data'!$C$4:$Q$300, 6, FALSE)</f>
        <v>162</v>
      </c>
      <c r="T99" s="11">
        <f>VLOOKUP($G99, 'ADP Data'!$C$4:$Q$300, 7, FALSE)</f>
        <v>150</v>
      </c>
      <c r="U99" s="11">
        <f>VLOOKUP($G99, 'ADP Data'!$C$4:$Q$300, 8, FALSE)</f>
        <v>126</v>
      </c>
      <c r="V99" s="11">
        <f t="shared" si="8"/>
        <v>174</v>
      </c>
      <c r="W99" s="11">
        <f t="shared" si="9"/>
        <v>15</v>
      </c>
      <c r="X99" s="11">
        <f t="shared" si="10"/>
        <v>-6</v>
      </c>
      <c r="Y99" s="11">
        <f>VLOOKUP($G99, SeanRanks!$A$2:$K$303, 10, FALSE)-V99</f>
        <v>0</v>
      </c>
      <c r="Z99" s="29" t="str">
        <f>IF(VLOOKUP($G99, SeanRanks!$A$2:$H$303, 7, FALSE)=0, "", VLOOKUP($G99, SeanRanks!$A$2:$H$303, 7, FALSE))</f>
        <v/>
      </c>
    </row>
    <row r="100" ht="14.25" customHeight="1">
      <c r="A100" s="11"/>
      <c r="B100" s="11" t="str">
        <f t="shared" si="4"/>
        <v>#N/A</v>
      </c>
      <c r="C100" s="11" t="s">
        <v>95</v>
      </c>
      <c r="D100" s="11">
        <v>9.0</v>
      </c>
      <c r="E100" s="11"/>
      <c r="F100" s="11" t="str">
        <f>VLOOKUP(G100, SeanRanks!$A$2:$E$302, 4, FALSE)</f>
        <v>#N/A</v>
      </c>
      <c r="G100" s="11" t="s">
        <v>859</v>
      </c>
      <c r="H100" s="11" t="str">
        <f>VLOOKUP($G100, 'ADP Data'!$C$4:$Q$300, 2, FALSE)</f>
        <v>#N/A</v>
      </c>
      <c r="I100" s="11" t="str">
        <f>VLOOKUP(G100, 'ADP Data'!$C$4:$R$498, 12, FALSE)</f>
        <v>#N/A</v>
      </c>
      <c r="J100" s="58" t="str">
        <f>VLOOKUP($G100, SeanRanks!$A$2:$H$303, 5, FALSE)</f>
        <v>#N/A</v>
      </c>
      <c r="K100" s="11" t="str">
        <f>IF(VLOOKUP($G100, SeanRanks!$A$2:$H$303, 6, FALSE)=0, "", VLOOKUP($G100, SeanRanks!$A$2:$H$303, 6, FALSE))</f>
        <v>#N/A</v>
      </c>
      <c r="L100" s="11">
        <f t="shared" si="5"/>
        <v>16</v>
      </c>
      <c r="M100" s="11" t="str">
        <f>VLOOKUP($G100, 'ADP Data'!$C$4:$Q$300, 9, FALSE)</f>
        <v>#N/A</v>
      </c>
      <c r="N100" s="11" t="str">
        <f t="shared" si="6"/>
        <v>#N/A</v>
      </c>
      <c r="O100" s="11" t="str">
        <f>VLOOKUP($G100, 'ADP Data'!$C$4:$Q$300, 3, FALSE)</f>
        <v>#N/A</v>
      </c>
      <c r="P100" s="11" t="str">
        <f t="shared" si="7"/>
        <v>#N/A</v>
      </c>
      <c r="Q100" s="11" t="str">
        <f>VLOOKUP($G100, 'ADP Data'!$C$4:$Q$300, 4, FALSE)</f>
        <v>#N/A</v>
      </c>
      <c r="R100" s="11" t="str">
        <f>VLOOKUP($G100, 'ADP Data'!$C$4:$Q$300, 5, FALSE)</f>
        <v>#N/A</v>
      </c>
      <c r="S100" s="11" t="str">
        <f>VLOOKUP($G100, 'ADP Data'!$C$4:$Q$300, 6, FALSE)</f>
        <v>#N/A</v>
      </c>
      <c r="T100" s="11" t="str">
        <f>VLOOKUP($G100, 'ADP Data'!$C$4:$Q$300, 7, FALSE)</f>
        <v>#N/A</v>
      </c>
      <c r="U100" s="11" t="str">
        <f>VLOOKUP($G100, 'ADP Data'!$C$4:$Q$300, 8, FALSE)</f>
        <v>#N/A</v>
      </c>
      <c r="V100" s="11" t="str">
        <f t="shared" si="8"/>
        <v>#N/A</v>
      </c>
      <c r="W100" s="11">
        <f t="shared" si="9"/>
        <v>16</v>
      </c>
      <c r="X100" s="11">
        <f t="shared" si="10"/>
        <v>-7</v>
      </c>
      <c r="Y100" s="11" t="str">
        <f>VLOOKUP($G100, SeanRanks!$A$2:$K$303, 10, FALSE)-V100</f>
        <v>#N/A</v>
      </c>
      <c r="Z100" s="29" t="str">
        <f>IF(VLOOKUP($G100, SeanRanks!$A$2:$H$303, 7, FALSE)=0, "", VLOOKUP($G100, SeanRanks!$A$2:$H$303, 7, FALSE))</f>
        <v>#N/A</v>
      </c>
    </row>
    <row r="101" ht="14.25" customHeight="1">
      <c r="A101" s="11" t="s">
        <v>106</v>
      </c>
      <c r="B101" s="11">
        <f t="shared" si="4"/>
        <v>16</v>
      </c>
      <c r="C101" s="11" t="s">
        <v>95</v>
      </c>
      <c r="D101" s="11"/>
      <c r="E101" s="11"/>
      <c r="F101" s="11" t="str">
        <f>VLOOKUP(G101, SeanRanks!$A$2:$E$302, 4, FALSE)</f>
        <v/>
      </c>
      <c r="G101" s="11" t="s">
        <v>393</v>
      </c>
      <c r="H101" s="11" t="str">
        <f>VLOOKUP($G101, 'ADP Data'!$C$4:$Q$300, 2, FALSE)</f>
        <v>TEN</v>
      </c>
      <c r="I101" s="11">
        <f>VLOOKUP(G101, 'ADP Data'!$C$4:$R$498, 12, FALSE)</f>
        <v>181</v>
      </c>
      <c r="J101" s="58" t="str">
        <f>VLOOKUP($G101, SeanRanks!$A$2:$H$303, 5, FALSE)</f>
        <v/>
      </c>
      <c r="K101" s="11" t="str">
        <f>IF(VLOOKUP($G101, SeanRanks!$A$2:$H$303, 6, FALSE)=0, "", VLOOKUP($G101, SeanRanks!$A$2:$H$303, 6, FALSE))</f>
        <v>RB4 - 1 - Path to spikes</v>
      </c>
      <c r="L101" s="11">
        <f t="shared" si="5"/>
        <v>11</v>
      </c>
      <c r="M101" s="11">
        <f>VLOOKUP($G101, 'ADP Data'!$C$4:$Q$300, 9, FALSE)</f>
        <v>123</v>
      </c>
      <c r="N101" s="11">
        <f t="shared" si="6"/>
        <v>-48</v>
      </c>
      <c r="O101" s="11">
        <f>VLOOKUP($G101, 'ADP Data'!$C$4:$Q$300, 3, FALSE)</f>
        <v>163</v>
      </c>
      <c r="P101" s="11">
        <f t="shared" si="7"/>
        <v>-40</v>
      </c>
      <c r="Q101" s="11">
        <f>VLOOKUP($G101, 'ADP Data'!$C$4:$Q$300, 4, FALSE)</f>
        <v>165</v>
      </c>
      <c r="R101" s="11">
        <f>VLOOKUP($G101, 'ADP Data'!$C$4:$Q$300, 5, FALSE)</f>
        <v>253</v>
      </c>
      <c r="S101" s="11">
        <f>VLOOKUP($G101, 'ADP Data'!$C$4:$Q$300, 6, FALSE)</f>
        <v>152</v>
      </c>
      <c r="T101" s="11">
        <f>VLOOKUP($G101, 'ADP Data'!$C$4:$Q$300, 7, FALSE)</f>
        <v>149</v>
      </c>
      <c r="U101" s="11">
        <f>VLOOKUP($G101, 'ADP Data'!$C$4:$Q$300, 8, FALSE)</f>
        <v>198</v>
      </c>
      <c r="V101" s="11">
        <f t="shared" si="8"/>
        <v>171</v>
      </c>
      <c r="W101" s="11">
        <f t="shared" si="9"/>
        <v>15</v>
      </c>
      <c r="X101" s="11">
        <f t="shared" si="10"/>
        <v>-15</v>
      </c>
      <c r="Y101" s="11">
        <f>VLOOKUP($G101, SeanRanks!$A$2:$K$303, 10, FALSE)-V101</f>
        <v>-40</v>
      </c>
      <c r="Z101" s="29">
        <f>IF(VLOOKUP($G101, SeanRanks!$A$2:$H$303, 7, FALSE)=0, "", VLOOKUP($G101, SeanRanks!$A$2:$H$303, 7, FALSE))</f>
        <v>40</v>
      </c>
    </row>
    <row r="102" ht="14.25" customHeight="1">
      <c r="A102" s="11"/>
      <c r="B102" s="11">
        <f t="shared" si="4"/>
        <v>12</v>
      </c>
      <c r="C102" s="11" t="s">
        <v>95</v>
      </c>
      <c r="D102" s="11">
        <v>9.0</v>
      </c>
      <c r="E102" s="11"/>
      <c r="F102" s="11" t="str">
        <f>VLOOKUP(G102, SeanRanks!$A$2:$E$302, 4, FALSE)</f>
        <v/>
      </c>
      <c r="G102" s="11" t="s">
        <v>848</v>
      </c>
      <c r="H102" s="11" t="str">
        <f>VLOOKUP($G102, 'ADP Data'!$C$4:$Q$300, 2, FALSE)</f>
        <v>WAS</v>
      </c>
      <c r="I102" s="11">
        <f>VLOOKUP(G102, 'ADP Data'!$C$4:$R$498, 12, FALSE)</f>
        <v>124</v>
      </c>
      <c r="J102" s="58" t="str">
        <f>VLOOKUP($G102, SeanRanks!$A$2:$H$303, 5, FALSE)</f>
        <v/>
      </c>
      <c r="K102" s="11" t="str">
        <f>IF(VLOOKUP($G102, SeanRanks!$A$2:$H$303, 6, FALSE)=0, "", VLOOKUP($G102, SeanRanks!$A$2:$H$303, 6, FALSE))</f>
        <v>RB4 - 2 - low ceiling</v>
      </c>
      <c r="L102" s="11">
        <f t="shared" si="5"/>
        <v>11</v>
      </c>
      <c r="M102" s="11">
        <f>VLOOKUP($G102, 'ADP Data'!$C$4:$Q$300, 9, FALSE)</f>
        <v>130</v>
      </c>
      <c r="N102" s="11">
        <f t="shared" si="6"/>
        <v>5</v>
      </c>
      <c r="O102" s="11">
        <f>VLOOKUP($G102, 'ADP Data'!$C$4:$Q$300, 3, FALSE)</f>
        <v>86</v>
      </c>
      <c r="P102" s="11">
        <f t="shared" si="7"/>
        <v>44</v>
      </c>
      <c r="Q102" s="11">
        <f>VLOOKUP($G102, 'ADP Data'!$C$4:$Q$300, 4, FALSE)</f>
        <v>96</v>
      </c>
      <c r="R102" s="11">
        <f>VLOOKUP($G102, 'ADP Data'!$C$4:$Q$300, 5, FALSE)</f>
        <v>172</v>
      </c>
      <c r="S102" s="11">
        <f>VLOOKUP($G102, 'ADP Data'!$C$4:$Q$300, 6, FALSE)</f>
        <v>109</v>
      </c>
      <c r="T102" s="11">
        <f>VLOOKUP($G102, 'ADP Data'!$C$4:$Q$300, 7, FALSE)</f>
        <v>142</v>
      </c>
      <c r="U102" s="11">
        <f>VLOOKUP($G102, 'ADP Data'!$C$4:$Q$300, 8, FALSE)</f>
        <v>143</v>
      </c>
      <c r="V102" s="11">
        <f t="shared" si="8"/>
        <v>125</v>
      </c>
      <c r="W102" s="11">
        <f t="shared" si="9"/>
        <v>11</v>
      </c>
      <c r="X102" s="11">
        <f t="shared" si="10"/>
        <v>-2</v>
      </c>
      <c r="Y102" s="11">
        <f>VLOOKUP($G102, SeanRanks!$A$2:$K$303, 10, FALSE)-V102</f>
        <v>-21</v>
      </c>
      <c r="Z102" s="29">
        <f>IF(VLOOKUP($G102, SeanRanks!$A$2:$H$303, 7, FALSE)=0, "", VLOOKUP($G102, SeanRanks!$A$2:$H$303, 7, FALSE))</f>
        <v>49</v>
      </c>
    </row>
    <row r="103" ht="14.25" customHeight="1">
      <c r="A103" s="11"/>
      <c r="B103" s="11">
        <f t="shared" si="4"/>
        <v>2</v>
      </c>
      <c r="C103" s="11" t="s">
        <v>95</v>
      </c>
      <c r="D103" s="11">
        <v>10.0</v>
      </c>
      <c r="E103" s="11"/>
      <c r="F103" s="11" t="str">
        <f>VLOOKUP(G103, SeanRanks!$A$2:$E$302, 4, FALSE)</f>
        <v/>
      </c>
      <c r="G103" s="11" t="s">
        <v>111</v>
      </c>
      <c r="H103" s="11" t="str">
        <f>VLOOKUP($G103, 'ADP Data'!$C$4:$Q$300, 2, FALSE)</f>
        <v>LV</v>
      </c>
      <c r="I103" s="11">
        <f>VLOOKUP(G103, 'ADP Data'!$C$4:$R$498, 12, FALSE)</f>
        <v>19</v>
      </c>
      <c r="J103" s="57" t="str">
        <f>VLOOKUP($G103, SeanRanks!$A$2:$H$303, 5, FALSE)</f>
        <v/>
      </c>
      <c r="K103" s="11" t="str">
        <f>IF(VLOOKUP($G103, SeanRanks!$A$2:$H$303, 6, FALSE)=0, "", VLOOKUP($G103, SeanRanks!$A$2:$H$303, 6, FALSE))</f>
        <v>TE1 - 1 - Elite</v>
      </c>
      <c r="L103" s="11">
        <f t="shared" si="5"/>
        <v>2</v>
      </c>
      <c r="M103" s="11">
        <f>VLOOKUP($G103, 'ADP Data'!$C$4:$Q$300, 9, FALSE)</f>
        <v>19</v>
      </c>
      <c r="N103" s="11">
        <f t="shared" si="6"/>
        <v>2</v>
      </c>
      <c r="O103" s="11">
        <f>VLOOKUP($G103, 'ADP Data'!$C$4:$Q$300, 3, FALSE)</f>
        <v>24</v>
      </c>
      <c r="P103" s="11">
        <f t="shared" si="7"/>
        <v>-5</v>
      </c>
      <c r="Q103" s="11">
        <f>VLOOKUP($G103, 'ADP Data'!$C$4:$Q$300, 4, FALSE)</f>
        <v>20</v>
      </c>
      <c r="R103" s="11">
        <f>VLOOKUP($G103, 'ADP Data'!$C$4:$Q$300, 5, FALSE)</f>
        <v>19</v>
      </c>
      <c r="S103" s="11">
        <f>VLOOKUP($G103, 'ADP Data'!$C$4:$Q$300, 6, FALSE)</f>
        <v>7</v>
      </c>
      <c r="T103" s="11">
        <f>VLOOKUP($G103, 'ADP Data'!$C$4:$Q$300, 7, FALSE)</f>
        <v>18</v>
      </c>
      <c r="U103" s="11">
        <f>VLOOKUP($G103, 'ADP Data'!$C$4:$Q$300, 8, FALSE)</f>
        <v>17</v>
      </c>
      <c r="V103" s="11">
        <f t="shared" si="8"/>
        <v>17</v>
      </c>
      <c r="W103" s="11">
        <f t="shared" si="9"/>
        <v>2</v>
      </c>
      <c r="X103" s="11">
        <f t="shared" si="10"/>
        <v>8</v>
      </c>
      <c r="Y103" s="11">
        <f>VLOOKUP($G103, SeanRanks!$A$2:$K$303, 10, FALSE)-V103</f>
        <v>6</v>
      </c>
      <c r="Z103" s="29">
        <f>IF(VLOOKUP($G103, SeanRanks!$A$2:$H$303, 7, FALSE)=0, "", VLOOKUP($G103, SeanRanks!$A$2:$H$303, 7, FALSE))</f>
        <v>1</v>
      </c>
    </row>
    <row r="104" ht="14.25" customHeight="1">
      <c r="A104" s="11"/>
      <c r="B104" s="11" t="str">
        <f t="shared" si="4"/>
        <v>#N/A</v>
      </c>
      <c r="C104" s="11" t="s">
        <v>95</v>
      </c>
      <c r="D104" s="11">
        <v>7.0</v>
      </c>
      <c r="E104" s="11"/>
      <c r="F104" s="11" t="str">
        <f>VLOOKUP(G104, SeanRanks!$A$2:$E$302, 4, FALSE)</f>
        <v>#N/A</v>
      </c>
      <c r="G104" s="11" t="s">
        <v>850</v>
      </c>
      <c r="H104" s="11" t="str">
        <f>VLOOKUP($G104, 'ADP Data'!$C$4:$Q$300, 2, FALSE)</f>
        <v>#N/A</v>
      </c>
      <c r="I104" s="11" t="str">
        <f>VLOOKUP(G104, 'ADP Data'!$C$4:$R$498, 12, FALSE)</f>
        <v>#N/A</v>
      </c>
      <c r="J104" s="59" t="str">
        <f>VLOOKUP($G104, SeanRanks!$A$2:$H$303, 5, FALSE)</f>
        <v>#N/A</v>
      </c>
      <c r="K104" s="11" t="str">
        <f>IF(VLOOKUP($G104, SeanRanks!$A$2:$H$303, 6, FALSE)=0, "", VLOOKUP($G104, SeanRanks!$A$2:$H$303, 6, FALSE))</f>
        <v>#N/A</v>
      </c>
      <c r="L104" s="11">
        <f t="shared" si="5"/>
        <v>16</v>
      </c>
      <c r="M104" s="11" t="str">
        <f>VLOOKUP($G104, 'ADP Data'!$C$4:$Q$300, 9, FALSE)</f>
        <v>#N/A</v>
      </c>
      <c r="N104" s="11" t="str">
        <f t="shared" si="6"/>
        <v>#N/A</v>
      </c>
      <c r="O104" s="11" t="str">
        <f>VLOOKUP($G104, 'ADP Data'!$C$4:$Q$300, 3, FALSE)</f>
        <v>#N/A</v>
      </c>
      <c r="P104" s="11" t="str">
        <f t="shared" si="7"/>
        <v>#N/A</v>
      </c>
      <c r="Q104" s="11" t="str">
        <f>VLOOKUP($G104, 'ADP Data'!$C$4:$Q$300, 4, FALSE)</f>
        <v>#N/A</v>
      </c>
      <c r="R104" s="11" t="str">
        <f>VLOOKUP($G104, 'ADP Data'!$C$4:$Q$300, 5, FALSE)</f>
        <v>#N/A</v>
      </c>
      <c r="S104" s="11" t="str">
        <f>VLOOKUP($G104, 'ADP Data'!$C$4:$Q$300, 6, FALSE)</f>
        <v>#N/A</v>
      </c>
      <c r="T104" s="11" t="str">
        <f>VLOOKUP($G104, 'ADP Data'!$C$4:$Q$300, 7, FALSE)</f>
        <v>#N/A</v>
      </c>
      <c r="U104" s="11" t="str">
        <f>VLOOKUP($G104, 'ADP Data'!$C$4:$Q$300, 8, FALSE)</f>
        <v>#N/A</v>
      </c>
      <c r="V104" s="11" t="str">
        <f t="shared" si="8"/>
        <v>#N/A</v>
      </c>
      <c r="W104" s="11">
        <f t="shared" si="9"/>
        <v>16</v>
      </c>
      <c r="X104" s="11">
        <f t="shared" si="10"/>
        <v>-9</v>
      </c>
      <c r="Y104" s="11" t="str">
        <f>VLOOKUP($G104, SeanRanks!$A$2:$K$303, 10, FALSE)-V104</f>
        <v>#N/A</v>
      </c>
      <c r="Z104" s="29" t="str">
        <f>IF(VLOOKUP($G104, SeanRanks!$A$2:$H$303, 7, FALSE)=0, "", VLOOKUP($G104, SeanRanks!$A$2:$H$303, 7, FALSE))</f>
        <v>#N/A</v>
      </c>
    </row>
    <row r="105" ht="14.25" customHeight="1">
      <c r="A105" s="11"/>
      <c r="B105" s="11">
        <f t="shared" si="4"/>
        <v>3</v>
      </c>
      <c r="C105" s="11" t="s">
        <v>95</v>
      </c>
      <c r="D105" s="11">
        <v>9.0</v>
      </c>
      <c r="E105" s="11"/>
      <c r="F105" s="11" t="str">
        <f>VLOOKUP(G105, SeanRanks!$A$2:$E$302, 4, FALSE)</f>
        <v/>
      </c>
      <c r="G105" s="11" t="s">
        <v>173</v>
      </c>
      <c r="H105" s="11" t="str">
        <f>VLOOKUP($G105, 'ADP Data'!$C$4:$Q$300, 2, FALSE)</f>
        <v>LAC</v>
      </c>
      <c r="I105" s="11">
        <f>VLOOKUP(G105, 'ADP Data'!$C$4:$R$498, 12, FALSE)</f>
        <v>22</v>
      </c>
      <c r="J105" s="33" t="str">
        <f>VLOOKUP($G105, SeanRanks!$A$2:$H$303, 5, FALSE)</f>
        <v/>
      </c>
      <c r="K105" s="11" t="str">
        <f>IF(VLOOKUP($G105, SeanRanks!$A$2:$H$303, 6, FALSE)=0, "", VLOOKUP($G105, SeanRanks!$A$2:$H$303, 6, FALSE))</f>
        <v>WR1 - 3 - Inconsistent</v>
      </c>
      <c r="L105" s="11">
        <f t="shared" si="5"/>
        <v>3</v>
      </c>
      <c r="M105" s="11">
        <f>VLOOKUP($G105, 'ADP Data'!$C$4:$Q$300, 9, FALSE)</f>
        <v>24</v>
      </c>
      <c r="N105" s="11">
        <f t="shared" si="6"/>
        <v>-1</v>
      </c>
      <c r="O105" s="11">
        <f>VLOOKUP($G105, 'ADP Data'!$C$4:$Q$300, 3, FALSE)</f>
        <v>29</v>
      </c>
      <c r="P105" s="11">
        <f t="shared" si="7"/>
        <v>-5</v>
      </c>
      <c r="Q105" s="11">
        <f>VLOOKUP($G105, 'ADP Data'!$C$4:$Q$300, 4, FALSE)</f>
        <v>30</v>
      </c>
      <c r="R105" s="11">
        <f>VLOOKUP($G105, 'ADP Data'!$C$4:$Q$300, 5, FALSE)</f>
        <v>24</v>
      </c>
      <c r="S105" s="11">
        <f>VLOOKUP($G105, 'ADP Data'!$C$4:$Q$300, 6, FALSE)</f>
        <v>25</v>
      </c>
      <c r="T105" s="11">
        <f>VLOOKUP($G105, 'ADP Data'!$C$4:$Q$300, 7, FALSE)</f>
        <v>23</v>
      </c>
      <c r="U105" s="11">
        <f>VLOOKUP($G105, 'ADP Data'!$C$4:$Q$300, 8, FALSE)</f>
        <v>23</v>
      </c>
      <c r="V105" s="11">
        <f t="shared" si="8"/>
        <v>25</v>
      </c>
      <c r="W105" s="11">
        <f t="shared" si="9"/>
        <v>3</v>
      </c>
      <c r="X105" s="11">
        <f t="shared" si="10"/>
        <v>6</v>
      </c>
      <c r="Y105" s="11">
        <f>VLOOKUP($G105, SeanRanks!$A$2:$K$303, 10, FALSE)-V105</f>
        <v>-3</v>
      </c>
      <c r="Z105" s="29">
        <f>IF(VLOOKUP($G105, SeanRanks!$A$2:$H$303, 7, FALSE)=0, "", VLOOKUP($G105, SeanRanks!$A$2:$H$303, 7, FALSE))</f>
        <v>10</v>
      </c>
    </row>
    <row r="106" ht="14.25" customHeight="1">
      <c r="A106" s="11"/>
      <c r="B106" s="11">
        <f t="shared" si="4"/>
        <v>20</v>
      </c>
      <c r="C106" s="11" t="s">
        <v>95</v>
      </c>
      <c r="D106" s="11">
        <v>9.0</v>
      </c>
      <c r="E106" s="11"/>
      <c r="F106" s="11" t="str">
        <f>VLOOKUP(G106, SeanRanks!$A$2:$E$302, 4, FALSE)</f>
        <v/>
      </c>
      <c r="G106" s="11" t="s">
        <v>869</v>
      </c>
      <c r="H106" s="11" t="str">
        <f>VLOOKUP($G106, 'ADP Data'!$C$4:$Q$300, 2, FALSE)</f>
        <v>BAL</v>
      </c>
      <c r="I106" s="11">
        <f>VLOOKUP(G106, 'ADP Data'!$C$4:$R$498, 12, FALSE)</f>
        <v>225</v>
      </c>
      <c r="J106" s="37" t="str">
        <f>VLOOKUP($G106, SeanRanks!$A$2:$H$303, 5, FALSE)</f>
        <v/>
      </c>
      <c r="K106" s="11" t="str">
        <f>IF(VLOOKUP($G106, SeanRanks!$A$2:$H$303, 6, FALSE)=0, "", VLOOKUP($G106, SeanRanks!$A$2:$H$303, 6, FALSE))</f>
        <v/>
      </c>
      <c r="L106" s="11">
        <f t="shared" si="5"/>
        <v>18</v>
      </c>
      <c r="M106" s="11">
        <f>VLOOKUP($G106, 'ADP Data'!$C$4:$Q$300, 9, FALSE)</f>
        <v>205</v>
      </c>
      <c r="N106" s="11">
        <f t="shared" si="6"/>
        <v>-27</v>
      </c>
      <c r="O106" s="11" t="str">
        <f>VLOOKUP($G106, 'ADP Data'!$C$4:$Q$300, 3, FALSE)</f>
        <v>-</v>
      </c>
      <c r="P106" s="11" t="str">
        <f t="shared" si="7"/>
        <v>#VALUE!</v>
      </c>
      <c r="Q106" s="11" t="str">
        <f>VLOOKUP($G106, 'ADP Data'!$C$4:$Q$300, 4, FALSE)</f>
        <v>-</v>
      </c>
      <c r="R106" s="11">
        <f>VLOOKUP($G106, 'ADP Data'!$C$4:$Q$300, 5, FALSE)</f>
        <v>319</v>
      </c>
      <c r="S106" s="11">
        <f>VLOOKUP($G106, 'ADP Data'!$C$4:$Q$300, 6, FALSE)</f>
        <v>229</v>
      </c>
      <c r="T106" s="11">
        <f>VLOOKUP($G106, 'ADP Data'!$C$4:$Q$300, 7, FALSE)</f>
        <v>218</v>
      </c>
      <c r="U106" s="11">
        <f>VLOOKUP($G106, 'ADP Data'!$C$4:$Q$300, 8, FALSE)</f>
        <v>191</v>
      </c>
      <c r="V106" s="11">
        <f t="shared" si="8"/>
        <v>232</v>
      </c>
      <c r="W106" s="11">
        <f t="shared" si="9"/>
        <v>20</v>
      </c>
      <c r="X106" s="11">
        <f t="shared" si="10"/>
        <v>-11</v>
      </c>
      <c r="Y106" s="11">
        <f>VLOOKUP($G106, SeanRanks!$A$2:$K$303, 10, FALSE)-V106</f>
        <v>11</v>
      </c>
      <c r="Z106" s="29" t="str">
        <f>IF(VLOOKUP($G106, SeanRanks!$A$2:$H$303, 7, FALSE)=0, "", VLOOKUP($G106, SeanRanks!$A$2:$H$303, 7, FALSE))</f>
        <v/>
      </c>
    </row>
    <row r="107" ht="14.25" customHeight="1">
      <c r="A107" s="11"/>
      <c r="B107" s="11">
        <f t="shared" si="4"/>
        <v>10</v>
      </c>
      <c r="C107" s="11" t="s">
        <v>95</v>
      </c>
      <c r="D107" s="11">
        <v>9.0</v>
      </c>
      <c r="E107" s="27"/>
      <c r="F107" s="11" t="str">
        <f>VLOOKUP(G107, SeanRanks!$A$2:$E$302, 4, FALSE)</f>
        <v/>
      </c>
      <c r="G107" s="11" t="s">
        <v>672</v>
      </c>
      <c r="H107" s="11" t="str">
        <f>VLOOKUP($G107, 'ADP Data'!$C$4:$Q$300, 2, FALSE)</f>
        <v>BUF</v>
      </c>
      <c r="I107" s="11">
        <f>VLOOKUP(G107, 'ADP Data'!$C$4:$R$498, 12, FALSE)</f>
        <v>78</v>
      </c>
      <c r="J107" s="37" t="str">
        <f>VLOOKUP($G107, SeanRanks!$A$2:$H$303, 5, FALSE)</f>
        <v/>
      </c>
      <c r="K107" s="11" t="str">
        <f>IF(VLOOKUP($G107, SeanRanks!$A$2:$H$303, 6, FALSE)=0, "", VLOOKUP($G107, SeanRanks!$A$2:$H$303, 6, FALSE))</f>
        <v>WR5 - 1 - upside path</v>
      </c>
      <c r="L107" s="11">
        <f t="shared" si="5"/>
        <v>10</v>
      </c>
      <c r="M107" s="11">
        <f>VLOOKUP($G107, 'ADP Data'!$C$4:$Q$300, 9, FALSE)</f>
        <v>118</v>
      </c>
      <c r="N107" s="11">
        <f t="shared" si="6"/>
        <v>3</v>
      </c>
      <c r="O107" s="11">
        <f>VLOOKUP($G107, 'ADP Data'!$C$4:$Q$300, 3, FALSE)</f>
        <v>113</v>
      </c>
      <c r="P107" s="11">
        <f t="shared" si="7"/>
        <v>5</v>
      </c>
      <c r="Q107" s="11">
        <f>VLOOKUP($G107, 'ADP Data'!$C$4:$Q$300, 4, FALSE)</f>
        <v>111</v>
      </c>
      <c r="R107" s="11">
        <f>VLOOKUP($G107, 'ADP Data'!$C$4:$Q$300, 5, FALSE)</f>
        <v>126</v>
      </c>
      <c r="S107" s="11">
        <f>VLOOKUP($G107, 'ADP Data'!$C$4:$Q$300, 6, FALSE)</f>
        <v>102</v>
      </c>
      <c r="T107" s="11">
        <f>VLOOKUP($G107, 'ADP Data'!$C$4:$Q$300, 7, FALSE)</f>
        <v>99</v>
      </c>
      <c r="U107" s="11">
        <f>VLOOKUP($G107, 'ADP Data'!$C$4:$Q$300, 8, FALSE)</f>
        <v>139</v>
      </c>
      <c r="V107" s="11">
        <f t="shared" si="8"/>
        <v>115</v>
      </c>
      <c r="W107" s="11">
        <f t="shared" si="9"/>
        <v>10</v>
      </c>
      <c r="X107" s="11">
        <f t="shared" si="10"/>
        <v>-1</v>
      </c>
      <c r="Y107" s="11">
        <f>VLOOKUP($G107, SeanRanks!$A$2:$K$303, 10, FALSE)-V107</f>
        <v>7</v>
      </c>
      <c r="Z107" s="29">
        <f>IF(VLOOKUP($G107, SeanRanks!$A$2:$H$303, 7, FALSE)=0, "", VLOOKUP($G107, SeanRanks!$A$2:$H$303, 7, FALSE))</f>
        <v>51</v>
      </c>
    </row>
    <row r="108" ht="14.25" customHeight="1">
      <c r="A108" s="11"/>
      <c r="B108" s="11">
        <f t="shared" si="4"/>
        <v>11</v>
      </c>
      <c r="C108" s="11" t="s">
        <v>95</v>
      </c>
      <c r="D108" s="11">
        <v>10.0</v>
      </c>
      <c r="E108" s="11"/>
      <c r="F108" s="11" t="str">
        <f>VLOOKUP(G108, SeanRanks!$A$2:$E$302, 4, FALSE)</f>
        <v/>
      </c>
      <c r="G108" s="11" t="s">
        <v>244</v>
      </c>
      <c r="H108" s="11" t="str">
        <f>VLOOKUP($G108, 'ADP Data'!$C$4:$Q$300, 2, FALSE)</f>
        <v>CHI</v>
      </c>
      <c r="I108" s="11">
        <f>VLOOKUP(G108, 'ADP Data'!$C$4:$R$498, 12, FALSE)</f>
        <v>108</v>
      </c>
      <c r="J108" s="59" t="str">
        <f>VLOOKUP($G108, SeanRanks!$A$2:$H$303, 5, FALSE)</f>
        <v/>
      </c>
      <c r="K108" s="11" t="str">
        <f>IF(VLOOKUP($G108, SeanRanks!$A$2:$H$303, 6, FALSE)=0, "", VLOOKUP($G108, SeanRanks!$A$2:$H$303, 6, FALSE))</f>
        <v>QB2 - 1 - League Winner</v>
      </c>
      <c r="L108" s="11">
        <f t="shared" si="5"/>
        <v>11</v>
      </c>
      <c r="M108" s="11">
        <f>VLOOKUP($G108, 'ADP Data'!$C$4:$Q$300, 9, FALSE)</f>
        <v>126</v>
      </c>
      <c r="N108" s="11">
        <f t="shared" si="6"/>
        <v>4</v>
      </c>
      <c r="O108" s="11">
        <f>VLOOKUP($G108, 'ADP Data'!$C$4:$Q$300, 3, FALSE)</f>
        <v>120</v>
      </c>
      <c r="P108" s="11">
        <f t="shared" si="7"/>
        <v>6</v>
      </c>
      <c r="Q108" s="11">
        <f>VLOOKUP($G108, 'ADP Data'!$C$4:$Q$300, 4, FALSE)</f>
        <v>112</v>
      </c>
      <c r="R108" s="11">
        <f>VLOOKUP($G108, 'ADP Data'!$C$4:$Q$300, 5, FALSE)</f>
        <v>155</v>
      </c>
      <c r="S108" s="11">
        <f>VLOOKUP($G108, 'ADP Data'!$C$4:$Q$300, 6, FALSE)</f>
        <v>124</v>
      </c>
      <c r="T108" s="11">
        <f>VLOOKUP($G108, 'ADP Data'!$C$4:$Q$300, 7, FALSE)</f>
        <v>109</v>
      </c>
      <c r="U108" s="11">
        <f>VLOOKUP($G108, 'ADP Data'!$C$4:$Q$300, 8, FALSE)</f>
        <v>114</v>
      </c>
      <c r="V108" s="11">
        <f t="shared" si="8"/>
        <v>122</v>
      </c>
      <c r="W108" s="11">
        <f t="shared" si="9"/>
        <v>11</v>
      </c>
      <c r="X108" s="11">
        <f t="shared" si="10"/>
        <v>-1</v>
      </c>
      <c r="Y108" s="11">
        <f>VLOOKUP($G108, SeanRanks!$A$2:$K$303, 10, FALSE)-V108</f>
        <v>-19</v>
      </c>
      <c r="Z108" s="29">
        <f>IF(VLOOKUP($G108, SeanRanks!$A$2:$H$303, 7, FALSE)=0, "", VLOOKUP($G108, SeanRanks!$A$2:$H$303, 7, FALSE))</f>
        <v>13</v>
      </c>
    </row>
    <row r="109" ht="14.25" customHeight="1">
      <c r="A109" s="11"/>
      <c r="B109" s="11">
        <f t="shared" si="4"/>
        <v>8</v>
      </c>
      <c r="C109" s="11" t="s">
        <v>95</v>
      </c>
      <c r="D109" s="11">
        <v>9.0</v>
      </c>
      <c r="E109" s="11"/>
      <c r="F109" s="11" t="str">
        <f>VLOOKUP(G109, SeanRanks!$A$2:$E$302, 4, FALSE)</f>
        <v/>
      </c>
      <c r="G109" s="11" t="s">
        <v>303</v>
      </c>
      <c r="H109" s="11" t="str">
        <f>VLOOKUP($G109, 'ADP Data'!$C$4:$Q$300, 2, FALSE)</f>
        <v>MIN</v>
      </c>
      <c r="I109" s="11">
        <f>VLOOKUP(G109, 'ADP Data'!$C$4:$R$498, 12, FALSE)</f>
        <v>82</v>
      </c>
      <c r="J109" s="37" t="str">
        <f>VLOOKUP($G109, SeanRanks!$A$2:$H$303, 5, FALSE)</f>
        <v/>
      </c>
      <c r="K109" s="11" t="str">
        <f>IF(VLOOKUP($G109, SeanRanks!$A$2:$H$303, 6, FALSE)=0, "", VLOOKUP($G109, SeanRanks!$A$2:$H$303, 6, FALSE))</f>
        <v>WR3 - 3 - lower ceiling</v>
      </c>
      <c r="L109" s="11">
        <f t="shared" si="5"/>
        <v>7</v>
      </c>
      <c r="M109" s="11">
        <f>VLOOKUP($G109, 'ADP Data'!$C$4:$Q$300, 9, FALSE)</f>
        <v>81</v>
      </c>
      <c r="N109" s="11">
        <f t="shared" si="6"/>
        <v>-13</v>
      </c>
      <c r="O109" s="11">
        <f>VLOOKUP($G109, 'ADP Data'!$C$4:$Q$300, 3, FALSE)</f>
        <v>103</v>
      </c>
      <c r="P109" s="11">
        <f t="shared" si="7"/>
        <v>-22</v>
      </c>
      <c r="Q109" s="11">
        <f>VLOOKUP($G109, 'ADP Data'!$C$4:$Q$300, 4, FALSE)</f>
        <v>110</v>
      </c>
      <c r="R109" s="11">
        <f>VLOOKUP($G109, 'ADP Data'!$C$4:$Q$300, 5, FALSE)</f>
        <v>93</v>
      </c>
      <c r="S109" s="11">
        <f>VLOOKUP($G109, 'ADP Data'!$C$4:$Q$300, 6, FALSE)</f>
        <v>95</v>
      </c>
      <c r="T109" s="11">
        <f>VLOOKUP($G109, 'ADP Data'!$C$4:$Q$300, 7, FALSE)</f>
        <v>84</v>
      </c>
      <c r="U109" s="11">
        <f>VLOOKUP($G109, 'ADP Data'!$C$4:$Q$300, 8, FALSE)</f>
        <v>94</v>
      </c>
      <c r="V109" s="11">
        <f t="shared" si="8"/>
        <v>94</v>
      </c>
      <c r="W109" s="11">
        <f t="shared" si="9"/>
        <v>8</v>
      </c>
      <c r="X109" s="11">
        <f t="shared" si="10"/>
        <v>1</v>
      </c>
      <c r="Y109" s="11">
        <f>VLOOKUP($G109, SeanRanks!$A$2:$K$303, 10, FALSE)-V109</f>
        <v>-10</v>
      </c>
      <c r="Z109" s="29">
        <f>IF(VLOOKUP($G109, SeanRanks!$A$2:$H$303, 7, FALSE)=0, "", VLOOKUP($G109, SeanRanks!$A$2:$H$303, 7, FALSE))</f>
        <v>36</v>
      </c>
    </row>
    <row r="110" ht="14.25" customHeight="1">
      <c r="A110" s="11"/>
      <c r="B110" s="11">
        <f t="shared" si="4"/>
        <v>12</v>
      </c>
      <c r="C110" s="11" t="s">
        <v>95</v>
      </c>
      <c r="D110" s="11">
        <v>9.0</v>
      </c>
      <c r="E110" s="11"/>
      <c r="F110" s="11" t="str">
        <f>VLOOKUP(G110, SeanRanks!$A$2:$E$302, 4, FALSE)</f>
        <v/>
      </c>
      <c r="G110" s="11" t="s">
        <v>328</v>
      </c>
      <c r="H110" s="11" t="str">
        <f>VLOOKUP($G110, 'ADP Data'!$C$4:$Q$300, 2, FALSE)</f>
        <v>PHI</v>
      </c>
      <c r="I110" s="11">
        <f>VLOOKUP(G110, 'ADP Data'!$C$4:$R$498, 12, FALSE)</f>
        <v>144</v>
      </c>
      <c r="J110" s="57" t="str">
        <f>VLOOKUP($G110, SeanRanks!$A$2:$H$303, 5, FALSE)</f>
        <v/>
      </c>
      <c r="K110" s="11" t="str">
        <f>IF(VLOOKUP($G110, SeanRanks!$A$2:$H$303, 6, FALSE)=0, "", VLOOKUP($G110, SeanRanks!$A$2:$H$303, 6, FALSE))</f>
        <v/>
      </c>
      <c r="L110" s="11">
        <f t="shared" si="5"/>
        <v>12</v>
      </c>
      <c r="M110" s="11">
        <f>VLOOKUP($G110, 'ADP Data'!$C$4:$Q$300, 9, FALSE)</f>
        <v>138</v>
      </c>
      <c r="N110" s="11">
        <f t="shared" si="6"/>
        <v>-2</v>
      </c>
      <c r="O110" s="11">
        <f>VLOOKUP($G110, 'ADP Data'!$C$4:$Q$300, 3, FALSE)</f>
        <v>124</v>
      </c>
      <c r="P110" s="11">
        <f t="shared" si="7"/>
        <v>14</v>
      </c>
      <c r="Q110" s="11">
        <f>VLOOKUP($G110, 'ADP Data'!$C$4:$Q$300, 4, FALSE)</f>
        <v>131</v>
      </c>
      <c r="R110" s="11">
        <f>VLOOKUP($G110, 'ADP Data'!$C$4:$Q$300, 5, FALSE)</f>
        <v>170</v>
      </c>
      <c r="S110" s="11">
        <f>VLOOKUP($G110, 'ADP Data'!$C$4:$Q$300, 6, FALSE)</f>
        <v>123</v>
      </c>
      <c r="T110" s="11">
        <f>VLOOKUP($G110, 'ADP Data'!$C$4:$Q$300, 7, FALSE)</f>
        <v>152</v>
      </c>
      <c r="U110" s="11">
        <f>VLOOKUP($G110, 'ADP Data'!$C$4:$Q$300, 8, FALSE)</f>
        <v>142</v>
      </c>
      <c r="V110" s="11">
        <f t="shared" si="8"/>
        <v>140</v>
      </c>
      <c r="W110" s="11">
        <f t="shared" si="9"/>
        <v>12</v>
      </c>
      <c r="X110" s="11">
        <f t="shared" si="10"/>
        <v>-3</v>
      </c>
      <c r="Y110" s="11">
        <f>VLOOKUP($G110, SeanRanks!$A$2:$K$303, 10, FALSE)-V110</f>
        <v>-22</v>
      </c>
      <c r="Z110" s="29" t="str">
        <f>IF(VLOOKUP($G110, SeanRanks!$A$2:$H$303, 7, FALSE)=0, "", VLOOKUP($G110, SeanRanks!$A$2:$H$303, 7, FALSE))</f>
        <v/>
      </c>
    </row>
    <row r="111" ht="14.25" customHeight="1">
      <c r="A111" s="11"/>
      <c r="B111" s="11">
        <f t="shared" si="4"/>
        <v>5</v>
      </c>
      <c r="C111" s="11" t="s">
        <v>95</v>
      </c>
      <c r="D111" s="11">
        <v>9.0</v>
      </c>
      <c r="E111" s="11"/>
      <c r="F111" s="11" t="str">
        <f>VLOOKUP(G111, SeanRanks!$A$2:$E$302, 4, FALSE)</f>
        <v/>
      </c>
      <c r="G111" s="11" t="s">
        <v>261</v>
      </c>
      <c r="H111" s="11" t="str">
        <f>VLOOKUP($G111, 'ADP Data'!$C$4:$Q$300, 2, FALSE)</f>
        <v>DEN</v>
      </c>
      <c r="I111" s="11">
        <f>VLOOKUP(G111, 'ADP Data'!$C$4:$R$498, 12, FALSE)</f>
        <v>46</v>
      </c>
      <c r="J111" s="37" t="str">
        <f>VLOOKUP($G111, SeanRanks!$A$2:$H$303, 5, FALSE)</f>
        <v>Yes</v>
      </c>
      <c r="K111" s="11" t="str">
        <f>IF(VLOOKUP($G111, SeanRanks!$A$2:$H$303, 6, FALSE)=0, "", VLOOKUP($G111, SeanRanks!$A$2:$H$303, 6, FALSE))</f>
        <v>WR3 - 1 - </v>
      </c>
      <c r="L111" s="11">
        <f t="shared" si="5"/>
        <v>5</v>
      </c>
      <c r="M111" s="11">
        <f>VLOOKUP($G111, 'ADP Data'!$C$4:$Q$300, 9, FALSE)</f>
        <v>50</v>
      </c>
      <c r="N111" s="11">
        <f t="shared" si="6"/>
        <v>-3</v>
      </c>
      <c r="O111" s="11">
        <f>VLOOKUP($G111, 'ADP Data'!$C$4:$Q$300, 3, FALSE)</f>
        <v>53</v>
      </c>
      <c r="P111" s="11">
        <f t="shared" si="7"/>
        <v>-3</v>
      </c>
      <c r="Q111" s="11">
        <f>VLOOKUP($G111, 'ADP Data'!$C$4:$Q$300, 4, FALSE)</f>
        <v>58</v>
      </c>
      <c r="R111" s="11">
        <f>VLOOKUP($G111, 'ADP Data'!$C$4:$Q$300, 5, FALSE)</f>
        <v>59</v>
      </c>
      <c r="S111" s="11">
        <f>VLOOKUP($G111, 'ADP Data'!$C$4:$Q$300, 6, FALSE)</f>
        <v>50</v>
      </c>
      <c r="T111" s="11">
        <f>VLOOKUP($G111, 'ADP Data'!$C$4:$Q$300, 7, FALSE)</f>
        <v>47</v>
      </c>
      <c r="U111" s="11">
        <f>VLOOKUP($G111, 'ADP Data'!$C$4:$Q$300, 8, FALSE)</f>
        <v>56</v>
      </c>
      <c r="V111" s="11">
        <f t="shared" si="8"/>
        <v>53</v>
      </c>
      <c r="W111" s="11">
        <f t="shared" si="9"/>
        <v>5</v>
      </c>
      <c r="X111" s="11">
        <f t="shared" si="10"/>
        <v>4</v>
      </c>
      <c r="Y111" s="11">
        <f>VLOOKUP($G111, SeanRanks!$A$2:$K$303, 10, FALSE)-V111</f>
        <v>6</v>
      </c>
      <c r="Z111" s="29">
        <f>IF(VLOOKUP($G111, SeanRanks!$A$2:$H$303, 7, FALSE)=0, "", VLOOKUP($G111, SeanRanks!$A$2:$H$303, 7, FALSE))</f>
        <v>26</v>
      </c>
    </row>
    <row r="112" ht="14.25" customHeight="1">
      <c r="A112" s="11"/>
      <c r="B112" s="11">
        <f t="shared" si="4"/>
        <v>2</v>
      </c>
      <c r="C112" s="11" t="s">
        <v>95</v>
      </c>
      <c r="D112" s="11">
        <v>9.0</v>
      </c>
      <c r="E112" s="11"/>
      <c r="F112" s="11" t="str">
        <f>VLOOKUP(G112, SeanRanks!$A$2:$E$302, 4, FALSE)</f>
        <v/>
      </c>
      <c r="G112" s="11" t="s">
        <v>80</v>
      </c>
      <c r="H112" s="11" t="str">
        <f>VLOOKUP($G112, 'ADP Data'!$C$4:$Q$300, 2, FALSE)</f>
        <v>CIN</v>
      </c>
      <c r="I112" s="11">
        <f>VLOOKUP(G112, 'ADP Data'!$C$4:$R$498, 12, FALSE)</f>
        <v>16</v>
      </c>
      <c r="J112" s="58" t="str">
        <f>VLOOKUP($G112, SeanRanks!$A$2:$H$303, 5, FALSE)</f>
        <v>Yes</v>
      </c>
      <c r="K112" s="11" t="str">
        <f>IF(VLOOKUP($G112, SeanRanks!$A$2:$H$303, 6, FALSE)=0, "", VLOOKUP($G112, SeanRanks!$A$2:$H$303, 6, FALSE))</f>
        <v>RB1 - 2 - Elite ceiling/questions</v>
      </c>
      <c r="L112" s="11">
        <f t="shared" si="5"/>
        <v>3</v>
      </c>
      <c r="M112" s="11">
        <f>VLOOKUP($G112, 'ADP Data'!$C$4:$Q$300, 9, FALSE)</f>
        <v>28</v>
      </c>
      <c r="N112" s="11">
        <f t="shared" si="6"/>
        <v>7</v>
      </c>
      <c r="O112" s="11">
        <f>VLOOKUP($G112, 'ADP Data'!$C$4:$Q$300, 3, FALSE)</f>
        <v>19</v>
      </c>
      <c r="P112" s="11">
        <f t="shared" si="7"/>
        <v>9</v>
      </c>
      <c r="Q112" s="11">
        <f>VLOOKUP($G112, 'ADP Data'!$C$4:$Q$300, 4, FALSE)</f>
        <v>24</v>
      </c>
      <c r="R112" s="11">
        <f>VLOOKUP($G112, 'ADP Data'!$C$4:$Q$300, 5, FALSE)</f>
        <v>18</v>
      </c>
      <c r="S112" s="11">
        <f>VLOOKUP($G112, 'ADP Data'!$C$4:$Q$300, 6, FALSE)</f>
        <v>17</v>
      </c>
      <c r="T112" s="11">
        <f>VLOOKUP($G112, 'ADP Data'!$C$4:$Q$300, 7, FALSE)</f>
        <v>17</v>
      </c>
      <c r="U112" s="11">
        <f>VLOOKUP($G112, 'ADP Data'!$C$4:$Q$300, 8, FALSE)</f>
        <v>26</v>
      </c>
      <c r="V112" s="11">
        <f t="shared" si="8"/>
        <v>21</v>
      </c>
      <c r="W112" s="11">
        <f t="shared" si="9"/>
        <v>2</v>
      </c>
      <c r="X112" s="11">
        <f t="shared" si="10"/>
        <v>7</v>
      </c>
      <c r="Y112" s="11">
        <f>VLOOKUP($G112, SeanRanks!$A$2:$K$303, 10, FALSE)-V112</f>
        <v>0</v>
      </c>
      <c r="Z112" s="29">
        <f>IF(VLOOKUP($G112, SeanRanks!$A$2:$H$303, 7, FALSE)=0, "", VLOOKUP($G112, SeanRanks!$A$2:$H$303, 7, FALSE))</f>
        <v>10</v>
      </c>
    </row>
    <row r="113" ht="14.25" customHeight="1">
      <c r="A113" s="11"/>
      <c r="B113" s="11">
        <f t="shared" si="4"/>
        <v>2</v>
      </c>
      <c r="C113" s="11" t="s">
        <v>95</v>
      </c>
      <c r="D113" s="11">
        <v>9.0</v>
      </c>
      <c r="E113" s="11"/>
      <c r="F113" s="11" t="str">
        <f>VLOOKUP(G113, SeanRanks!$A$2:$E$302, 4, FALSE)</f>
        <v/>
      </c>
      <c r="G113" s="11" t="s">
        <v>242</v>
      </c>
      <c r="H113" s="11" t="str">
        <f>VLOOKUP($G113, 'ADP Data'!$C$4:$Q$300, 2, FALSE)</f>
        <v>JAX</v>
      </c>
      <c r="I113" s="11">
        <f>VLOOKUP(G113, 'ADP Data'!$C$4:$R$498, 12, FALSE)</f>
        <v>11</v>
      </c>
      <c r="J113" s="33" t="str">
        <f>VLOOKUP($G113, SeanRanks!$A$2:$H$303, 5, FALSE)</f>
        <v/>
      </c>
      <c r="K113" s="11" t="str">
        <f>IF(VLOOKUP($G113, SeanRanks!$A$2:$H$303, 6, FALSE)=0, "", VLOOKUP($G113, SeanRanks!$A$2:$H$303, 6, FALSE))</f>
        <v>WR1 - 2 - High Floor</v>
      </c>
      <c r="L113" s="11">
        <f t="shared" si="5"/>
        <v>2</v>
      </c>
      <c r="M113" s="11">
        <f>VLOOKUP($G113, 'ADP Data'!$C$4:$Q$300, 9, FALSE)</f>
        <v>16</v>
      </c>
      <c r="N113" s="11">
        <f t="shared" si="6"/>
        <v>1</v>
      </c>
      <c r="O113" s="11">
        <f>VLOOKUP($G113, 'ADP Data'!$C$4:$Q$300, 3, FALSE)</f>
        <v>20</v>
      </c>
      <c r="P113" s="11">
        <f t="shared" si="7"/>
        <v>-4</v>
      </c>
      <c r="Q113" s="11">
        <f>VLOOKUP($G113, 'ADP Data'!$C$4:$Q$300, 4, FALSE)</f>
        <v>16</v>
      </c>
      <c r="R113" s="11">
        <f>VLOOKUP($G113, 'ADP Data'!$C$4:$Q$300, 5, FALSE)</f>
        <v>14</v>
      </c>
      <c r="S113" s="11">
        <f>VLOOKUP($G113, 'ADP Data'!$C$4:$Q$300, 6, FALSE)</f>
        <v>16</v>
      </c>
      <c r="T113" s="11">
        <f>VLOOKUP($G113, 'ADP Data'!$C$4:$Q$300, 7, FALSE)</f>
        <v>11</v>
      </c>
      <c r="U113" s="11">
        <f>VLOOKUP($G113, 'ADP Data'!$C$4:$Q$300, 8, FALSE)</f>
        <v>13</v>
      </c>
      <c r="V113" s="11">
        <f t="shared" si="8"/>
        <v>15</v>
      </c>
      <c r="W113" s="11">
        <f t="shared" si="9"/>
        <v>2</v>
      </c>
      <c r="X113" s="11">
        <f t="shared" si="10"/>
        <v>7</v>
      </c>
      <c r="Y113" s="11">
        <f>VLOOKUP($G113, SeanRanks!$A$2:$K$303, 10, FALSE)-V113</f>
        <v>-2</v>
      </c>
      <c r="Z113" s="29">
        <f>IF(VLOOKUP($G113, SeanRanks!$A$2:$H$303, 7, FALSE)=0, "", VLOOKUP($G113, SeanRanks!$A$2:$H$303, 7, FALSE))</f>
        <v>8</v>
      </c>
    </row>
    <row r="114" ht="14.25" customHeight="1">
      <c r="A114" s="11"/>
      <c r="B114" s="11">
        <f t="shared" si="4"/>
        <v>13</v>
      </c>
      <c r="C114" s="11" t="s">
        <v>95</v>
      </c>
      <c r="D114" s="11">
        <v>11.0</v>
      </c>
      <c r="E114" s="11"/>
      <c r="F114" s="11" t="str">
        <f>VLOOKUP(G114, SeanRanks!$A$2:$E$302, 4, FALSE)</f>
        <v/>
      </c>
      <c r="G114" s="11" t="s">
        <v>874</v>
      </c>
      <c r="H114" s="11" t="str">
        <f>VLOOKUP($G114, 'ADP Data'!$C$4:$Q$300, 2, FALSE)</f>
        <v>HOU</v>
      </c>
      <c r="I114" s="11">
        <f>VLOOKUP(G114, 'ADP Data'!$C$4:$R$498, 12, FALSE)</f>
        <v>145</v>
      </c>
      <c r="J114" s="59" t="str">
        <f>VLOOKUP($G114, SeanRanks!$A$2:$H$303, 5, FALSE)</f>
        <v/>
      </c>
      <c r="K114" s="11" t="str">
        <f>IF(VLOOKUP($G114, SeanRanks!$A$2:$H$303, 6, FALSE)=0, "", VLOOKUP($G114, SeanRanks!$A$2:$H$303, 6, FALSE))</f>
        <v>RB4 - 2 - low ceiling</v>
      </c>
      <c r="L114" s="11">
        <f t="shared" si="5"/>
        <v>12</v>
      </c>
      <c r="M114" s="11">
        <f>VLOOKUP($G114, 'ADP Data'!$C$4:$Q$300, 9, FALSE)</f>
        <v>141</v>
      </c>
      <c r="N114" s="11">
        <f t="shared" si="6"/>
        <v>-6</v>
      </c>
      <c r="O114" s="11">
        <f>VLOOKUP($G114, 'ADP Data'!$C$4:$Q$300, 3, FALSE)</f>
        <v>111</v>
      </c>
      <c r="P114" s="11">
        <f t="shared" si="7"/>
        <v>30</v>
      </c>
      <c r="Q114" s="11">
        <f>VLOOKUP($G114, 'ADP Data'!$C$4:$Q$300, 4, FALSE)</f>
        <v>133</v>
      </c>
      <c r="R114" s="11">
        <f>VLOOKUP($G114, 'ADP Data'!$C$4:$Q$300, 5, FALSE)</f>
        <v>194</v>
      </c>
      <c r="S114" s="11">
        <f>VLOOKUP($G114, 'ADP Data'!$C$4:$Q$300, 6, FALSE)</f>
        <v>128</v>
      </c>
      <c r="T114" s="11">
        <f>VLOOKUP($G114, 'ADP Data'!$C$4:$Q$300, 7, FALSE)</f>
        <v>147</v>
      </c>
      <c r="U114" s="11">
        <f>VLOOKUP($G114, 'ADP Data'!$C$4:$Q$300, 8, FALSE)</f>
        <v>175</v>
      </c>
      <c r="V114" s="11">
        <f t="shared" si="8"/>
        <v>147</v>
      </c>
      <c r="W114" s="11">
        <f t="shared" si="9"/>
        <v>13</v>
      </c>
      <c r="X114" s="11">
        <f t="shared" si="10"/>
        <v>-2</v>
      </c>
      <c r="Y114" s="11">
        <f>VLOOKUP($G114, SeanRanks!$A$2:$K$303, 10, FALSE)-V114</f>
        <v>-8</v>
      </c>
      <c r="Z114" s="29">
        <f>IF(VLOOKUP($G114, SeanRanks!$A$2:$H$303, 7, FALSE)=0, "", VLOOKUP($G114, SeanRanks!$A$2:$H$303, 7, FALSE))</f>
        <v>47</v>
      </c>
    </row>
    <row r="115" ht="14.25" customHeight="1">
      <c r="A115" s="11"/>
      <c r="B115" s="11">
        <f t="shared" si="4"/>
        <v>5</v>
      </c>
      <c r="C115" s="11" t="s">
        <v>95</v>
      </c>
      <c r="D115" s="11">
        <v>9.0</v>
      </c>
      <c r="E115" s="11"/>
      <c r="F115" s="11" t="str">
        <f>VLOOKUP(G115, SeanRanks!$A$2:$E$302, 4, FALSE)</f>
        <v/>
      </c>
      <c r="G115" s="11" t="s">
        <v>203</v>
      </c>
      <c r="H115" s="11" t="str">
        <f>VLOOKUP($G115, 'ADP Data'!$C$4:$Q$300, 2, FALSE)</f>
        <v>DET</v>
      </c>
      <c r="I115" s="11">
        <f>VLOOKUP(G115, 'ADP Data'!$C$4:$R$498, 12, FALSE)</f>
        <v>48</v>
      </c>
      <c r="J115" s="40" t="str">
        <f>VLOOKUP($G115, SeanRanks!$A$2:$H$303, 5, FALSE)</f>
        <v/>
      </c>
      <c r="K115" s="11" t="str">
        <f>IF(VLOOKUP($G115, SeanRanks!$A$2:$H$303, 6, FALSE)=0, "", VLOOKUP($G115, SeanRanks!$A$2:$H$303, 6, FALSE))</f>
        <v>WR3 - 1 - </v>
      </c>
      <c r="L115" s="11">
        <f t="shared" si="5"/>
        <v>6</v>
      </c>
      <c r="M115" s="11">
        <f>VLOOKUP($G115, 'ADP Data'!$C$4:$Q$300, 9, FALSE)</f>
        <v>60</v>
      </c>
      <c r="N115" s="11">
        <f t="shared" si="6"/>
        <v>1</v>
      </c>
      <c r="O115" s="11">
        <f>VLOOKUP($G115, 'ADP Data'!$C$4:$Q$300, 3, FALSE)</f>
        <v>64</v>
      </c>
      <c r="P115" s="11">
        <f t="shared" si="7"/>
        <v>-4</v>
      </c>
      <c r="Q115" s="11">
        <f>VLOOKUP($G115, 'ADP Data'!$C$4:$Q$300, 4, FALSE)</f>
        <v>65</v>
      </c>
      <c r="R115" s="11">
        <f>VLOOKUP($G115, 'ADP Data'!$C$4:$Q$300, 5, FALSE)</f>
        <v>64</v>
      </c>
      <c r="S115" s="11">
        <f>VLOOKUP($G115, 'ADP Data'!$C$4:$Q$300, 6, FALSE)</f>
        <v>57</v>
      </c>
      <c r="T115" s="11">
        <f>VLOOKUP($G115, 'ADP Data'!$C$4:$Q$300, 7, FALSE)</f>
        <v>53</v>
      </c>
      <c r="U115" s="11">
        <f>VLOOKUP($G115, 'ADP Data'!$C$4:$Q$300, 8, FALSE)</f>
        <v>51</v>
      </c>
      <c r="V115" s="11">
        <f t="shared" si="8"/>
        <v>59</v>
      </c>
      <c r="W115" s="11">
        <f t="shared" si="9"/>
        <v>5</v>
      </c>
      <c r="X115" s="11">
        <f t="shared" si="10"/>
        <v>4</v>
      </c>
      <c r="Y115" s="11">
        <f>VLOOKUP($G115, SeanRanks!$A$2:$K$303, 10, FALSE)-V115</f>
        <v>-2</v>
      </c>
      <c r="Z115" s="29">
        <f>IF(VLOOKUP($G115, SeanRanks!$A$2:$H$303, 7, FALSE)=0, "", VLOOKUP($G115, SeanRanks!$A$2:$H$303, 7, FALSE))</f>
        <v>23</v>
      </c>
    </row>
    <row r="116" ht="14.25" customHeight="1">
      <c r="A116" s="11"/>
      <c r="B116" s="11">
        <f t="shared" si="4"/>
        <v>10</v>
      </c>
      <c r="C116" s="11" t="s">
        <v>95</v>
      </c>
      <c r="D116" s="11">
        <v>9.0</v>
      </c>
      <c r="E116" s="11"/>
      <c r="F116" s="11" t="str">
        <f>VLOOKUP(G116, SeanRanks!$A$2:$E$302, 4, FALSE)</f>
        <v/>
      </c>
      <c r="G116" s="11" t="s">
        <v>346</v>
      </c>
      <c r="H116" s="11" t="str">
        <f>VLOOKUP($G116, 'ADP Data'!$C$4:$Q$300, 2, FALSE)</f>
        <v>DET</v>
      </c>
      <c r="I116" s="11">
        <f>VLOOKUP(G116, 'ADP Data'!$C$4:$R$498, 12, FALSE)</f>
        <v>119</v>
      </c>
      <c r="J116" s="60" t="str">
        <f>VLOOKUP($G116, SeanRanks!$A$2:$H$303, 5, FALSE)</f>
        <v/>
      </c>
      <c r="K116" s="11" t="str">
        <f>IF(VLOOKUP($G116, SeanRanks!$A$2:$H$303, 6, FALSE)=0, "", VLOOKUP($G116, SeanRanks!$A$2:$H$303, 6, FALSE))</f>
        <v>QB2 - 2 - Not League Winner</v>
      </c>
      <c r="L116" s="11">
        <f t="shared" si="5"/>
        <v>9</v>
      </c>
      <c r="M116" s="11">
        <f>VLOOKUP($G116, 'ADP Data'!$C$4:$Q$300, 9, FALSE)</f>
        <v>97</v>
      </c>
      <c r="N116" s="11">
        <f t="shared" si="6"/>
        <v>-12</v>
      </c>
      <c r="O116" s="11">
        <f>VLOOKUP($G116, 'ADP Data'!$C$4:$Q$300, 3, FALSE)</f>
        <v>93</v>
      </c>
      <c r="P116" s="11">
        <f t="shared" si="7"/>
        <v>4</v>
      </c>
      <c r="Q116" s="11">
        <f>VLOOKUP($G116, 'ADP Data'!$C$4:$Q$300, 4, FALSE)</f>
        <v>123</v>
      </c>
      <c r="R116" s="11">
        <f>VLOOKUP($G116, 'ADP Data'!$C$4:$Q$300, 5, FALSE)</f>
        <v>115</v>
      </c>
      <c r="S116" s="11">
        <f>VLOOKUP($G116, 'ADP Data'!$C$4:$Q$300, 6, FALSE)</f>
        <v>132</v>
      </c>
      <c r="T116" s="11">
        <f>VLOOKUP($G116, 'ADP Data'!$C$4:$Q$300, 7, FALSE)</f>
        <v>103</v>
      </c>
      <c r="U116" s="11">
        <f>VLOOKUP($G116, 'ADP Data'!$C$4:$Q$300, 8, FALSE)</f>
        <v>105</v>
      </c>
      <c r="V116" s="11">
        <f t="shared" si="8"/>
        <v>109</v>
      </c>
      <c r="W116" s="11">
        <f t="shared" si="9"/>
        <v>10</v>
      </c>
      <c r="X116" s="11">
        <f t="shared" si="10"/>
        <v>-1</v>
      </c>
      <c r="Y116" s="11">
        <f>VLOOKUP($G116, SeanRanks!$A$2:$K$303, 10, FALSE)-V116</f>
        <v>4</v>
      </c>
      <c r="Z116" s="29">
        <f>IF(VLOOKUP($G116, SeanRanks!$A$2:$H$303, 7, FALSE)=0, "", VLOOKUP($G116, SeanRanks!$A$2:$H$303, 7, FALSE))</f>
        <v>16</v>
      </c>
    </row>
    <row r="117" ht="14.25" customHeight="1">
      <c r="A117" s="11"/>
      <c r="B117" s="11">
        <f t="shared" si="4"/>
        <v>16</v>
      </c>
      <c r="C117" s="11" t="s">
        <v>95</v>
      </c>
      <c r="D117" s="11">
        <v>9.0</v>
      </c>
      <c r="E117" s="11"/>
      <c r="F117" s="11" t="str">
        <f>VLOOKUP(G117, SeanRanks!$A$2:$E$302, 4, FALSE)</f>
        <v/>
      </c>
      <c r="G117" s="11" t="s">
        <v>639</v>
      </c>
      <c r="H117" s="11" t="str">
        <f>VLOOKUP($G117, 'ADP Data'!$C$4:$Q$300, 2, FALSE)</f>
        <v>MIA</v>
      </c>
      <c r="I117" s="11">
        <f>VLOOKUP(G117, 'ADP Data'!$C$4:$R$498, 12, FALSE)</f>
        <v>153</v>
      </c>
      <c r="J117" s="60" t="str">
        <f>VLOOKUP($G117, SeanRanks!$A$2:$H$303, 5, FALSE)</f>
        <v/>
      </c>
      <c r="K117" s="11" t="str">
        <f>IF(VLOOKUP($G117, SeanRanks!$A$2:$H$303, 6, FALSE)=0, "", VLOOKUP($G117, SeanRanks!$A$2:$H$303, 6, FALSE))</f>
        <v>Don’t Draft - Streamer</v>
      </c>
      <c r="L117" s="11">
        <f t="shared" si="5"/>
        <v>17</v>
      </c>
      <c r="M117" s="11">
        <f>VLOOKUP($G117, 'ADP Data'!$C$4:$Q$300, 9, FALSE)</f>
        <v>198</v>
      </c>
      <c r="N117" s="11">
        <f t="shared" si="6"/>
        <v>15</v>
      </c>
      <c r="O117" s="11">
        <f>VLOOKUP($G117, 'ADP Data'!$C$4:$Q$300, 3, FALSE)</f>
        <v>154</v>
      </c>
      <c r="P117" s="11">
        <f t="shared" si="7"/>
        <v>44</v>
      </c>
      <c r="Q117" s="11">
        <f>VLOOKUP($G117, 'ADP Data'!$C$4:$Q$300, 4, FALSE)</f>
        <v>166</v>
      </c>
      <c r="R117" s="11">
        <f>VLOOKUP($G117, 'ADP Data'!$C$4:$Q$300, 5, FALSE)</f>
        <v>217</v>
      </c>
      <c r="S117" s="11">
        <f>VLOOKUP($G117, 'ADP Data'!$C$4:$Q$300, 6, FALSE)</f>
        <v>183</v>
      </c>
      <c r="T117" s="11">
        <f>VLOOKUP($G117, 'ADP Data'!$C$4:$Q$300, 7, FALSE)</f>
        <v>174</v>
      </c>
      <c r="U117" s="11">
        <f>VLOOKUP($G117, 'ADP Data'!$C$4:$Q$300, 8, FALSE)</f>
        <v>193</v>
      </c>
      <c r="V117" s="11">
        <f t="shared" si="8"/>
        <v>183</v>
      </c>
      <c r="W117" s="11">
        <f t="shared" si="9"/>
        <v>16</v>
      </c>
      <c r="X117" s="11">
        <f t="shared" si="10"/>
        <v>-7</v>
      </c>
      <c r="Y117" s="11">
        <f>VLOOKUP($G117, SeanRanks!$A$2:$K$303, 10, FALSE)-V117</f>
        <v>-31</v>
      </c>
      <c r="Z117" s="29">
        <f>IF(VLOOKUP($G117, SeanRanks!$A$2:$H$303, 7, FALSE)=0, "", VLOOKUP($G117, SeanRanks!$A$2:$H$303, 7, FALSE))</f>
        <v>20</v>
      </c>
    </row>
    <row r="118" ht="14.25" customHeight="1">
      <c r="A118" s="11"/>
      <c r="B118" s="11" t="str">
        <f t="shared" si="4"/>
        <v>#N/A</v>
      </c>
      <c r="C118" s="11" t="s">
        <v>95</v>
      </c>
      <c r="D118" s="11"/>
      <c r="E118" s="11"/>
      <c r="F118" s="11" t="str">
        <f>VLOOKUP(G118, SeanRanks!$A$2:$E$302, 4, FALSE)</f>
        <v>#N/A</v>
      </c>
      <c r="G118" s="11" t="s">
        <v>875</v>
      </c>
      <c r="H118" s="11" t="str">
        <f>VLOOKUP($G118, 'ADP Data'!$C$4:$Q$300, 2, FALSE)</f>
        <v>#N/A</v>
      </c>
      <c r="I118" s="11" t="str">
        <f>VLOOKUP(G118, 'ADP Data'!$C$4:$R$498, 12, FALSE)</f>
        <v>#N/A</v>
      </c>
      <c r="J118" s="58" t="str">
        <f>VLOOKUP($G118, SeanRanks!$A$2:$H$303, 5, FALSE)</f>
        <v>#N/A</v>
      </c>
      <c r="K118" s="11" t="str">
        <f>IF(VLOOKUP($G118, SeanRanks!$A$2:$H$303, 6, FALSE)=0, "", VLOOKUP($G118, SeanRanks!$A$2:$H$303, 6, FALSE))</f>
        <v>#N/A</v>
      </c>
      <c r="L118" s="11">
        <f t="shared" si="5"/>
        <v>16</v>
      </c>
      <c r="M118" s="11" t="str">
        <f>VLOOKUP($G118, 'ADP Data'!$C$4:$Q$300, 9, FALSE)</f>
        <v>#N/A</v>
      </c>
      <c r="N118" s="11" t="str">
        <f t="shared" si="6"/>
        <v>#N/A</v>
      </c>
      <c r="O118" s="11" t="str">
        <f>VLOOKUP($G118, 'ADP Data'!$C$4:$Q$300, 3, FALSE)</f>
        <v>#N/A</v>
      </c>
      <c r="P118" s="11" t="str">
        <f t="shared" si="7"/>
        <v>#N/A</v>
      </c>
      <c r="Q118" s="11" t="str">
        <f>VLOOKUP($G118, 'ADP Data'!$C$4:$Q$300, 4, FALSE)</f>
        <v>#N/A</v>
      </c>
      <c r="R118" s="11" t="str">
        <f>VLOOKUP($G118, 'ADP Data'!$C$4:$Q$300, 5, FALSE)</f>
        <v>#N/A</v>
      </c>
      <c r="S118" s="11" t="str">
        <f>VLOOKUP($G118, 'ADP Data'!$C$4:$Q$300, 6, FALSE)</f>
        <v>#N/A</v>
      </c>
      <c r="T118" s="11" t="str">
        <f>VLOOKUP($G118, 'ADP Data'!$C$4:$Q$300, 7, FALSE)</f>
        <v>#N/A</v>
      </c>
      <c r="U118" s="11" t="str">
        <f>VLOOKUP($G118, 'ADP Data'!$C$4:$Q$300, 8, FALSE)</f>
        <v>#N/A</v>
      </c>
      <c r="V118" s="11" t="str">
        <f t="shared" si="8"/>
        <v>#N/A</v>
      </c>
      <c r="W118" s="11">
        <f t="shared" si="9"/>
        <v>16</v>
      </c>
      <c r="X118" s="11">
        <f t="shared" si="10"/>
        <v>-16</v>
      </c>
      <c r="Y118" s="11" t="str">
        <f>VLOOKUP($G118, SeanRanks!$A$2:$K$303, 10, FALSE)-V118</f>
        <v>#N/A</v>
      </c>
      <c r="Z118" s="29" t="str">
        <f>IF(VLOOKUP($G118, SeanRanks!$A$2:$H$303, 7, FALSE)=0, "", VLOOKUP($G118, SeanRanks!$A$2:$H$303, 7, FALSE))</f>
        <v>#N/A</v>
      </c>
    </row>
    <row r="119" ht="14.25" customHeight="1">
      <c r="A119" s="11"/>
      <c r="B119" s="11">
        <f t="shared" si="4"/>
        <v>15</v>
      </c>
      <c r="C119" s="11" t="s">
        <v>95</v>
      </c>
      <c r="D119" s="11">
        <v>9.0</v>
      </c>
      <c r="E119" s="11"/>
      <c r="F119" s="11" t="str">
        <f>VLOOKUP(G119, SeanRanks!$A$2:$E$302, 4, FALSE)</f>
        <v/>
      </c>
      <c r="G119" s="11" t="s">
        <v>876</v>
      </c>
      <c r="H119" s="11" t="str">
        <f>VLOOKUP($G119, 'ADP Data'!$C$4:$Q$300, 2, FALSE)</f>
        <v>CLE</v>
      </c>
      <c r="I119" s="11">
        <f>VLOOKUP(G119, 'ADP Data'!$C$4:$R$498, 12, FALSE)</f>
        <v>168</v>
      </c>
      <c r="J119" s="59" t="str">
        <f>VLOOKUP($G119, SeanRanks!$A$2:$H$303, 5, FALSE)</f>
        <v/>
      </c>
      <c r="K119" s="11" t="str">
        <f>IF(VLOOKUP($G119, SeanRanks!$A$2:$H$303, 6, FALSE)=0, "", VLOOKUP($G119, SeanRanks!$A$2:$H$303, 6, FALSE))</f>
        <v>Don’t draft - replacement value</v>
      </c>
      <c r="L119" s="11">
        <f t="shared" si="5"/>
        <v>14</v>
      </c>
      <c r="M119" s="11">
        <f>VLOOKUP($G119, 'ADP Data'!$C$4:$Q$300, 9, FALSE)</f>
        <v>157</v>
      </c>
      <c r="N119" s="11">
        <f t="shared" si="6"/>
        <v>-10</v>
      </c>
      <c r="O119" s="11">
        <f>VLOOKUP($G119, 'ADP Data'!$C$4:$Q$300, 3, FALSE)</f>
        <v>147</v>
      </c>
      <c r="P119" s="11">
        <f t="shared" si="7"/>
        <v>10</v>
      </c>
      <c r="Q119" s="11">
        <f>VLOOKUP($G119, 'ADP Data'!$C$4:$Q$300, 4, FALSE)</f>
        <v>147</v>
      </c>
      <c r="R119" s="11">
        <f>VLOOKUP($G119, 'ADP Data'!$C$4:$Q$300, 5, FALSE)</f>
        <v>181</v>
      </c>
      <c r="S119" s="11">
        <f>VLOOKUP($G119, 'ADP Data'!$C$4:$Q$300, 6, FALSE)</f>
        <v>146</v>
      </c>
      <c r="T119" s="11">
        <f>VLOOKUP($G119, 'ADP Data'!$C$4:$Q$300, 7, FALSE)</f>
        <v>151</v>
      </c>
      <c r="U119" s="11">
        <f>VLOOKUP($G119, 'ADP Data'!$C$4:$Q$300, 8, FALSE)</f>
        <v>244</v>
      </c>
      <c r="V119" s="11">
        <f t="shared" si="8"/>
        <v>167</v>
      </c>
      <c r="W119" s="11">
        <f t="shared" si="9"/>
        <v>14</v>
      </c>
      <c r="X119" s="11">
        <f t="shared" si="10"/>
        <v>-5</v>
      </c>
      <c r="Y119" s="11">
        <f>VLOOKUP($G119, SeanRanks!$A$2:$K$303, 10, FALSE)-V119</f>
        <v>-44</v>
      </c>
      <c r="Z119" s="29">
        <f>IF(VLOOKUP($G119, SeanRanks!$A$2:$H$303, 7, FALSE)=0, "", VLOOKUP($G119, SeanRanks!$A$2:$H$303, 7, FALSE))</f>
        <v>56</v>
      </c>
    </row>
    <row r="120" ht="14.25" customHeight="1">
      <c r="A120" s="11"/>
      <c r="B120" s="11" t="str">
        <f t="shared" si="4"/>
        <v>#N/A</v>
      </c>
      <c r="C120" s="11" t="s">
        <v>95</v>
      </c>
      <c r="D120" s="11">
        <v>9.0</v>
      </c>
      <c r="E120" s="11"/>
      <c r="F120" s="11" t="str">
        <f>VLOOKUP(G120, SeanRanks!$A$2:$E$302, 4, FALSE)</f>
        <v>#N/A</v>
      </c>
      <c r="G120" s="11" t="s">
        <v>877</v>
      </c>
      <c r="H120" s="11" t="str">
        <f>VLOOKUP($G120, 'ADP Data'!$C$4:$Q$300, 2, FALSE)</f>
        <v>#N/A</v>
      </c>
      <c r="I120" s="11" t="str">
        <f>VLOOKUP(G120, 'ADP Data'!$C$4:$R$498, 12, FALSE)</f>
        <v>#N/A</v>
      </c>
      <c r="J120" s="58" t="str">
        <f>VLOOKUP($G120, SeanRanks!$A$2:$H$303, 5, FALSE)</f>
        <v>#N/A</v>
      </c>
      <c r="K120" s="11" t="str">
        <f>IF(VLOOKUP($G120, SeanRanks!$A$2:$H$303, 6, FALSE)=0, "", VLOOKUP($G120, SeanRanks!$A$2:$H$303, 6, FALSE))</f>
        <v>#N/A</v>
      </c>
      <c r="L120" s="11">
        <f t="shared" si="5"/>
        <v>16</v>
      </c>
      <c r="M120" s="11" t="str">
        <f>VLOOKUP($G120, 'ADP Data'!$C$4:$Q$300, 9, FALSE)</f>
        <v>#N/A</v>
      </c>
      <c r="N120" s="11" t="str">
        <f t="shared" si="6"/>
        <v>#N/A</v>
      </c>
      <c r="O120" s="11" t="str">
        <f>VLOOKUP($G120, 'ADP Data'!$C$4:$Q$300, 3, FALSE)</f>
        <v>#N/A</v>
      </c>
      <c r="P120" s="11" t="str">
        <f t="shared" si="7"/>
        <v>#N/A</v>
      </c>
      <c r="Q120" s="11" t="str">
        <f>VLOOKUP($G120, 'ADP Data'!$C$4:$Q$300, 4, FALSE)</f>
        <v>#N/A</v>
      </c>
      <c r="R120" s="11" t="str">
        <f>VLOOKUP($G120, 'ADP Data'!$C$4:$Q$300, 5, FALSE)</f>
        <v>#N/A</v>
      </c>
      <c r="S120" s="11" t="str">
        <f>VLOOKUP($G120, 'ADP Data'!$C$4:$Q$300, 6, FALSE)</f>
        <v>#N/A</v>
      </c>
      <c r="T120" s="11" t="str">
        <f>VLOOKUP($G120, 'ADP Data'!$C$4:$Q$300, 7, FALSE)</f>
        <v>#N/A</v>
      </c>
      <c r="U120" s="11" t="str">
        <f>VLOOKUP($G120, 'ADP Data'!$C$4:$Q$300, 8, FALSE)</f>
        <v>#N/A</v>
      </c>
      <c r="V120" s="11" t="str">
        <f t="shared" si="8"/>
        <v>#N/A</v>
      </c>
      <c r="W120" s="11">
        <f t="shared" si="9"/>
        <v>16</v>
      </c>
      <c r="X120" s="11">
        <f t="shared" si="10"/>
        <v>-7</v>
      </c>
      <c r="Y120" s="11" t="str">
        <f>VLOOKUP($G120, SeanRanks!$A$2:$K$303, 10, FALSE)-V120</f>
        <v>#N/A</v>
      </c>
      <c r="Z120" s="29" t="str">
        <f>IF(VLOOKUP($G120, SeanRanks!$A$2:$H$303, 7, FALSE)=0, "", VLOOKUP($G120, SeanRanks!$A$2:$H$303, 7, FALSE))</f>
        <v>#N/A</v>
      </c>
    </row>
    <row r="121" ht="14.25" customHeight="1">
      <c r="A121" s="11"/>
      <c r="B121" s="11">
        <f t="shared" si="4"/>
        <v>12</v>
      </c>
      <c r="C121" s="11" t="s">
        <v>95</v>
      </c>
      <c r="D121" s="11">
        <v>6.0</v>
      </c>
      <c r="E121" s="11"/>
      <c r="F121" s="11" t="str">
        <f>VLOOKUP(G121, SeanRanks!$A$2:$E$302, 4, FALSE)</f>
        <v/>
      </c>
      <c r="G121" s="11" t="s">
        <v>422</v>
      </c>
      <c r="H121" s="11" t="str">
        <f>VLOOKUP($G121, 'ADP Data'!$C$4:$Q$300, 2, FALSE)</f>
        <v>SF</v>
      </c>
      <c r="I121" s="11">
        <f>VLOOKUP(G121, 'ADP Data'!$C$4:$R$498, 12, FALSE)</f>
        <v>148</v>
      </c>
      <c r="J121" s="58" t="str">
        <f>VLOOKUP($G121, SeanRanks!$A$2:$H$303, 5, FALSE)</f>
        <v/>
      </c>
      <c r="K121" s="11" t="str">
        <f>IF(VLOOKUP($G121, SeanRanks!$A$2:$H$303, 6, FALSE)=0, "", VLOOKUP($G121, SeanRanks!$A$2:$H$303, 6, FALSE))</f>
        <v>RB3 - 2 - low ceiling</v>
      </c>
      <c r="L121" s="11">
        <f t="shared" si="5"/>
        <v>7</v>
      </c>
      <c r="M121" s="11">
        <f>VLOOKUP($G121, 'ADP Data'!$C$4:$Q$300, 9, FALSE)</f>
        <v>78</v>
      </c>
      <c r="N121" s="11">
        <f t="shared" si="6"/>
        <v>-47</v>
      </c>
      <c r="O121" s="11">
        <f>VLOOKUP($G121, 'ADP Data'!$C$4:$Q$300, 3, FALSE)</f>
        <v>125</v>
      </c>
      <c r="P121" s="11">
        <f t="shared" si="7"/>
        <v>-47</v>
      </c>
      <c r="Q121" s="11">
        <f>VLOOKUP($G121, 'ADP Data'!$C$4:$Q$300, 4, FALSE)</f>
        <v>168</v>
      </c>
      <c r="R121" s="11">
        <f>VLOOKUP($G121, 'ADP Data'!$C$4:$Q$300, 5, FALSE)</f>
        <v>177</v>
      </c>
      <c r="S121" s="11">
        <f>VLOOKUP($G121, 'ADP Data'!$C$4:$Q$300, 6, FALSE)</f>
        <v>125</v>
      </c>
      <c r="T121" s="11">
        <f>VLOOKUP($G121, 'ADP Data'!$C$4:$Q$300, 7, FALSE)</f>
        <v>102</v>
      </c>
      <c r="U121" s="11">
        <f>VLOOKUP($G121, 'ADP Data'!$C$4:$Q$300, 8, FALSE)</f>
        <v>103</v>
      </c>
      <c r="V121" s="11">
        <f t="shared" si="8"/>
        <v>125</v>
      </c>
      <c r="W121" s="11">
        <f t="shared" si="9"/>
        <v>11</v>
      </c>
      <c r="X121" s="11">
        <f t="shared" si="10"/>
        <v>-5</v>
      </c>
      <c r="Y121" s="11">
        <f>VLOOKUP($G121, SeanRanks!$A$2:$K$303, 10, FALSE)-V121</f>
        <v>22</v>
      </c>
      <c r="Z121" s="29">
        <f>IF(VLOOKUP($G121, SeanRanks!$A$2:$H$303, 7, FALSE)=0, "", VLOOKUP($G121, SeanRanks!$A$2:$H$303, 7, FALSE))</f>
        <v>36</v>
      </c>
    </row>
    <row r="122" ht="14.25" customHeight="1">
      <c r="A122" s="11"/>
      <c r="B122" s="11">
        <f t="shared" si="4"/>
        <v>14</v>
      </c>
      <c r="C122" s="11" t="s">
        <v>106</v>
      </c>
      <c r="D122" s="11">
        <v>10.0</v>
      </c>
      <c r="E122" s="11"/>
      <c r="F122" s="11" t="str">
        <f>VLOOKUP(G122, SeanRanks!$A$2:$E$302, 4, FALSE)</f>
        <v/>
      </c>
      <c r="G122" s="11" t="s">
        <v>268</v>
      </c>
      <c r="H122" s="11" t="str">
        <f>VLOOKUP($G122, 'ADP Data'!$C$4:$Q$300, 2, FALSE)</f>
        <v>JAX</v>
      </c>
      <c r="I122" s="11">
        <f>VLOOKUP(G122, 'ADP Data'!$C$4:$R$498, 12, FALSE)</f>
        <v>132</v>
      </c>
      <c r="J122" s="59" t="str">
        <f>VLOOKUP($G122, SeanRanks!$A$2:$H$303, 5, FALSE)</f>
        <v/>
      </c>
      <c r="K122" s="11" t="str">
        <f>IF(VLOOKUP($G122, SeanRanks!$A$2:$H$303, 6, FALSE)=0, "", VLOOKUP($G122, SeanRanks!$A$2:$H$303, 6, FALSE))</f>
        <v>QB2 - 2 - Not League Winner</v>
      </c>
      <c r="L122" s="11">
        <f t="shared" si="5"/>
        <v>15</v>
      </c>
      <c r="M122" s="11">
        <f>VLOOKUP($G122, 'ADP Data'!$C$4:$Q$300, 9, FALSE)</f>
        <v>168</v>
      </c>
      <c r="N122" s="11">
        <f t="shared" si="6"/>
        <v>9</v>
      </c>
      <c r="O122" s="11">
        <f>VLOOKUP($G122, 'ADP Data'!$C$4:$Q$300, 3, FALSE)</f>
        <v>151</v>
      </c>
      <c r="P122" s="11">
        <f t="shared" si="7"/>
        <v>17</v>
      </c>
      <c r="Q122" s="11">
        <f>VLOOKUP($G122, 'ADP Data'!$C$4:$Q$300, 4, FALSE)</f>
        <v>172</v>
      </c>
      <c r="R122" s="11">
        <f>VLOOKUP($G122, 'ADP Data'!$C$4:$Q$300, 5, FALSE)</f>
        <v>162</v>
      </c>
      <c r="S122" s="11">
        <f>VLOOKUP($G122, 'ADP Data'!$C$4:$Q$300, 6, FALSE)</f>
        <v>144</v>
      </c>
      <c r="T122" s="11">
        <f>VLOOKUP($G122, 'ADP Data'!$C$4:$Q$300, 7, FALSE)</f>
        <v>138</v>
      </c>
      <c r="U122" s="11">
        <f>VLOOKUP($G122, 'ADP Data'!$C$4:$Q$300, 8, FALSE)</f>
        <v>178</v>
      </c>
      <c r="V122" s="11">
        <f t="shared" si="8"/>
        <v>159</v>
      </c>
      <c r="W122" s="11">
        <f t="shared" si="9"/>
        <v>14</v>
      </c>
      <c r="X122" s="11">
        <f t="shared" si="10"/>
        <v>-4</v>
      </c>
      <c r="Y122" s="11">
        <f>VLOOKUP($G122, SeanRanks!$A$2:$K$303, 10, FALSE)-V122</f>
        <v>-27</v>
      </c>
      <c r="Z122" s="29">
        <f>IF(VLOOKUP($G122, SeanRanks!$A$2:$H$303, 7, FALSE)=0, "", VLOOKUP($G122, SeanRanks!$A$2:$H$303, 7, FALSE))</f>
        <v>19</v>
      </c>
    </row>
    <row r="123" ht="14.25" customHeight="1">
      <c r="A123" s="11"/>
      <c r="B123" s="11">
        <f t="shared" si="4"/>
        <v>9</v>
      </c>
      <c r="C123" s="11" t="s">
        <v>95</v>
      </c>
      <c r="D123" s="11"/>
      <c r="E123" s="11"/>
      <c r="F123" s="11" t="str">
        <f>VLOOKUP(G123, SeanRanks!$A$2:$E$302, 4, FALSE)</f>
        <v/>
      </c>
      <c r="G123" s="11" t="s">
        <v>374</v>
      </c>
      <c r="H123" s="11" t="str">
        <f>VLOOKUP($G123, 'ADP Data'!$C$4:$Q$300, 2, FALSE)</f>
        <v>BUF</v>
      </c>
      <c r="I123" s="11">
        <f>VLOOKUP(G123, 'ADP Data'!$C$4:$R$498, 12, FALSE)</f>
        <v>92</v>
      </c>
      <c r="J123" s="49" t="str">
        <f>VLOOKUP($G123, SeanRanks!$A$2:$H$303, 5, FALSE)</f>
        <v/>
      </c>
      <c r="K123" s="11" t="str">
        <f>IF(VLOOKUP($G123, SeanRanks!$A$2:$H$303, 6, FALSE)=0, "", VLOOKUP($G123, SeanRanks!$A$2:$H$303, 6, FALSE))</f>
        <v>WR4 - 2 - unclear path to WR2</v>
      </c>
      <c r="L123" s="11">
        <f t="shared" si="5"/>
        <v>8</v>
      </c>
      <c r="M123" s="11">
        <f>VLOOKUP($G123, 'ADP Data'!$C$4:$Q$300, 9, FALSE)</f>
        <v>93</v>
      </c>
      <c r="N123" s="11">
        <f t="shared" si="6"/>
        <v>-11</v>
      </c>
      <c r="O123" s="11">
        <f>VLOOKUP($G123, 'ADP Data'!$C$4:$Q$300, 3, FALSE)</f>
        <v>118</v>
      </c>
      <c r="P123" s="11">
        <f t="shared" si="7"/>
        <v>-25</v>
      </c>
      <c r="Q123" s="11">
        <f>VLOOKUP($G123, 'ADP Data'!$C$4:$Q$300, 4, FALSE)</f>
        <v>108</v>
      </c>
      <c r="R123" s="11">
        <f>VLOOKUP($G123, 'ADP Data'!$C$4:$Q$300, 5, FALSE)</f>
        <v>116</v>
      </c>
      <c r="S123" s="11">
        <f>VLOOKUP($G123, 'ADP Data'!$C$4:$Q$300, 6, FALSE)</f>
        <v>103</v>
      </c>
      <c r="T123" s="11">
        <f>VLOOKUP($G123, 'ADP Data'!$C$4:$Q$300, 7, FALSE)</f>
        <v>88</v>
      </c>
      <c r="U123" s="11">
        <f>VLOOKUP($G123, 'ADP Data'!$C$4:$Q$300, 8, FALSE)</f>
        <v>102</v>
      </c>
      <c r="V123" s="11">
        <f t="shared" si="8"/>
        <v>104</v>
      </c>
      <c r="W123" s="11">
        <f t="shared" si="9"/>
        <v>9</v>
      </c>
      <c r="X123" s="11">
        <f t="shared" si="10"/>
        <v>-9</v>
      </c>
      <c r="Y123" s="11">
        <f>VLOOKUP($G123, SeanRanks!$A$2:$K$303, 10, FALSE)-V123</f>
        <v>2</v>
      </c>
      <c r="Z123" s="29">
        <f>IF(VLOOKUP($G123, SeanRanks!$A$2:$H$303, 7, FALSE)=0, "", VLOOKUP($G123, SeanRanks!$A$2:$H$303, 7, FALSE))</f>
        <v>45</v>
      </c>
    </row>
    <row r="124" ht="14.25" customHeight="1">
      <c r="A124" s="11"/>
      <c r="B124" s="11">
        <f t="shared" si="4"/>
        <v>18</v>
      </c>
      <c r="C124" s="11" t="s">
        <v>95</v>
      </c>
      <c r="D124" s="11"/>
      <c r="E124" s="11"/>
      <c r="F124" s="11" t="str">
        <f>VLOOKUP(G124, SeanRanks!$A$2:$E$302, 4, FALSE)</f>
        <v/>
      </c>
      <c r="G124" s="11" t="s">
        <v>282</v>
      </c>
      <c r="H124" s="11" t="str">
        <f>VLOOKUP($G124, 'ADP Data'!$C$4:$Q$300, 2, FALSE)</f>
        <v>LAR</v>
      </c>
      <c r="I124" s="11">
        <f>VLOOKUP(G124, 'ADP Data'!$C$4:$R$498, 12, FALSE)</f>
        <v>216</v>
      </c>
      <c r="J124" s="59" t="str">
        <f>VLOOKUP($G124, SeanRanks!$A$2:$H$303, 5, FALSE)</f>
        <v/>
      </c>
      <c r="K124" s="11" t="str">
        <f>IF(VLOOKUP($G124, SeanRanks!$A$2:$H$303, 6, FALSE)=0, "", VLOOKUP($G124, SeanRanks!$A$2:$H$303, 6, FALSE))</f>
        <v/>
      </c>
      <c r="L124" s="11">
        <f t="shared" si="5"/>
        <v>17</v>
      </c>
      <c r="M124" s="11">
        <f>VLOOKUP($G124, 'ADP Data'!$C$4:$Q$300, 9, FALSE)</f>
        <v>200</v>
      </c>
      <c r="N124" s="11">
        <f t="shared" si="6"/>
        <v>-10</v>
      </c>
      <c r="O124" s="11" t="str">
        <f>VLOOKUP($G124, 'ADP Data'!$C$4:$Q$300, 3, FALSE)</f>
        <v>-</v>
      </c>
      <c r="P124" s="11" t="str">
        <f t="shared" si="7"/>
        <v>#VALUE!</v>
      </c>
      <c r="Q124" s="11" t="str">
        <f>VLOOKUP($G124, 'ADP Data'!$C$4:$Q$300, 4, FALSE)</f>
        <v>-</v>
      </c>
      <c r="R124" s="11">
        <f>VLOOKUP($G124, 'ADP Data'!$C$4:$Q$300, 5, FALSE)</f>
        <v>248</v>
      </c>
      <c r="S124" s="11">
        <f>VLOOKUP($G124, 'ADP Data'!$C$4:$Q$300, 6, FALSE)</f>
        <v>176</v>
      </c>
      <c r="T124" s="11">
        <f>VLOOKUP($G124, 'ADP Data'!$C$4:$Q$300, 7, FALSE)</f>
        <v>181</v>
      </c>
      <c r="U124" s="11">
        <f>VLOOKUP($G124, 'ADP Data'!$C$4:$Q$300, 8, FALSE)</f>
        <v>245</v>
      </c>
      <c r="V124" s="11">
        <f t="shared" si="8"/>
        <v>210</v>
      </c>
      <c r="W124" s="11">
        <f t="shared" si="9"/>
        <v>18</v>
      </c>
      <c r="X124" s="11">
        <f t="shared" si="10"/>
        <v>-18</v>
      </c>
      <c r="Y124" s="11">
        <f>VLOOKUP($G124, SeanRanks!$A$2:$K$303, 10, FALSE)-V124</f>
        <v>-31</v>
      </c>
      <c r="Z124" s="29" t="str">
        <f>IF(VLOOKUP($G124, SeanRanks!$A$2:$H$303, 7, FALSE)=0, "", VLOOKUP($G124, SeanRanks!$A$2:$H$303, 7, FALSE))</f>
        <v/>
      </c>
    </row>
    <row r="125" ht="14.25" customHeight="1">
      <c r="A125" s="11"/>
      <c r="B125" s="11">
        <f t="shared" si="4"/>
        <v>21</v>
      </c>
      <c r="C125" s="11" t="s">
        <v>95</v>
      </c>
      <c r="D125" s="11">
        <v>11.0</v>
      </c>
      <c r="E125" s="11"/>
      <c r="F125" s="11" t="str">
        <f>VLOOKUP(G125, SeanRanks!$A$2:$E$302, 4, FALSE)</f>
        <v/>
      </c>
      <c r="G125" s="11" t="s">
        <v>880</v>
      </c>
      <c r="H125" s="11" t="str">
        <f>VLOOKUP($G125, 'ADP Data'!$C$4:$Q$300, 2, FALSE)</f>
        <v>TEN</v>
      </c>
      <c r="I125" s="11">
        <f>VLOOKUP(G125, 'ADP Data'!$C$4:$R$498, 12, FALSE)</f>
        <v>223</v>
      </c>
      <c r="J125" s="49" t="str">
        <f>VLOOKUP($G125, SeanRanks!$A$2:$H$303, 5, FALSE)</f>
        <v/>
      </c>
      <c r="K125" s="11" t="str">
        <f>IF(VLOOKUP($G125, SeanRanks!$A$2:$H$303, 6, FALSE)=0, "", VLOOKUP($G125, SeanRanks!$A$2:$H$303, 6, FALSE))</f>
        <v/>
      </c>
      <c r="L125" s="11">
        <f t="shared" si="5"/>
        <v>20</v>
      </c>
      <c r="M125" s="11">
        <f>VLOOKUP($G125, 'ADP Data'!$C$4:$Q$300, 9, FALSE)</f>
        <v>235</v>
      </c>
      <c r="N125" s="11">
        <f t="shared" si="6"/>
        <v>-8</v>
      </c>
      <c r="O125" s="11" t="str">
        <f>VLOOKUP($G125, 'ADP Data'!$C$4:$Q$300, 3, FALSE)</f>
        <v>-</v>
      </c>
      <c r="P125" s="11" t="str">
        <f t="shared" si="7"/>
        <v>#VALUE!</v>
      </c>
      <c r="Q125" s="11" t="str">
        <f>VLOOKUP($G125, 'ADP Data'!$C$4:$Q$300, 4, FALSE)</f>
        <v>-</v>
      </c>
      <c r="R125" s="11">
        <f>VLOOKUP($G125, 'ADP Data'!$C$4:$Q$300, 5, FALSE)</f>
        <v>316</v>
      </c>
      <c r="S125" s="11">
        <f>VLOOKUP($G125, 'ADP Data'!$C$4:$Q$300, 6, FALSE)</f>
        <v>202</v>
      </c>
      <c r="T125" s="11">
        <f>VLOOKUP($G125, 'ADP Data'!$C$4:$Q$300, 7, FALSE)</f>
        <v>228</v>
      </c>
      <c r="U125" s="11">
        <f>VLOOKUP($G125, 'ADP Data'!$C$4:$Q$300, 8, FALSE)</f>
        <v>238</v>
      </c>
      <c r="V125" s="11">
        <f t="shared" si="8"/>
        <v>243</v>
      </c>
      <c r="W125" s="11">
        <f t="shared" si="9"/>
        <v>21</v>
      </c>
      <c r="X125" s="11">
        <f t="shared" si="10"/>
        <v>-10</v>
      </c>
      <c r="Y125" s="11" t="str">
        <f>VLOOKUP($G125, SeanRanks!$A$2:$K$303, 10, FALSE)-V125</f>
        <v>#VALUE!</v>
      </c>
      <c r="Z125" s="29" t="str">
        <f>IF(VLOOKUP($G125, SeanRanks!$A$2:$H$303, 7, FALSE)=0, "", VLOOKUP($G125, SeanRanks!$A$2:$H$303, 7, FALSE))</f>
        <v/>
      </c>
    </row>
    <row r="126" ht="14.25" customHeight="1">
      <c r="A126" s="11"/>
      <c r="B126" s="11">
        <f t="shared" si="4"/>
        <v>21</v>
      </c>
      <c r="C126" s="11" t="s">
        <v>106</v>
      </c>
      <c r="D126" s="11"/>
      <c r="E126" s="11"/>
      <c r="F126" s="11" t="str">
        <f>VLOOKUP(G126, SeanRanks!$A$2:$E$302, 4, FALSE)</f>
        <v/>
      </c>
      <c r="G126" s="11" t="s">
        <v>420</v>
      </c>
      <c r="H126" s="11" t="str">
        <f>VLOOKUP($G126, 'ADP Data'!$C$4:$Q$300, 2, FALSE)</f>
        <v>HOU</v>
      </c>
      <c r="I126" s="11">
        <f>VLOOKUP(G126, 'ADP Data'!$C$4:$R$498, 12, FALSE)</f>
        <v>226</v>
      </c>
      <c r="J126" s="61" t="str">
        <f>VLOOKUP($G126, SeanRanks!$A$2:$H$303, 5, FALSE)</f>
        <v/>
      </c>
      <c r="K126" s="11" t="str">
        <f>IF(VLOOKUP($G126, SeanRanks!$A$2:$H$303, 6, FALSE)=0, "", VLOOKUP($G126, SeanRanks!$A$2:$H$303, 6, FALSE))</f>
        <v/>
      </c>
      <c r="L126" s="11">
        <f t="shared" si="5"/>
        <v>21</v>
      </c>
      <c r="M126" s="11">
        <f>VLOOKUP($G126, 'ADP Data'!$C$4:$Q$300, 9, FALSE)</f>
        <v>241</v>
      </c>
      <c r="N126" s="11">
        <f t="shared" si="6"/>
        <v>-3</v>
      </c>
      <c r="O126" s="11" t="str">
        <f>VLOOKUP($G126, 'ADP Data'!$C$4:$Q$300, 3, FALSE)</f>
        <v>-</v>
      </c>
      <c r="P126" s="11" t="str">
        <f t="shared" si="7"/>
        <v>#VALUE!</v>
      </c>
      <c r="Q126" s="11">
        <f>VLOOKUP($G126, 'ADP Data'!$C$4:$Q$300, 4, FALSE)</f>
        <v>267</v>
      </c>
      <c r="R126" s="11">
        <f>VLOOKUP($G126, 'ADP Data'!$C$4:$Q$300, 5, FALSE)</f>
        <v>287</v>
      </c>
      <c r="S126" s="11">
        <f>VLOOKUP($G126, 'ADP Data'!$C$4:$Q$300, 6, FALSE)</f>
        <v>210</v>
      </c>
      <c r="T126" s="11">
        <f>VLOOKUP($G126, 'ADP Data'!$C$4:$Q$300, 7, FALSE)</f>
        <v>248</v>
      </c>
      <c r="U126" s="11">
        <f>VLOOKUP($G126, 'ADP Data'!$C$4:$Q$300, 8, FALSE)</f>
        <v>216</v>
      </c>
      <c r="V126" s="11">
        <f t="shared" si="8"/>
        <v>244</v>
      </c>
      <c r="W126" s="11">
        <f t="shared" si="9"/>
        <v>21</v>
      </c>
      <c r="X126" s="11">
        <f t="shared" si="10"/>
        <v>-21</v>
      </c>
      <c r="Y126" s="11">
        <f>VLOOKUP($G126, SeanRanks!$A$2:$K$303, 10, FALSE)-V126</f>
        <v>-14</v>
      </c>
      <c r="Z126" s="29" t="str">
        <f>IF(VLOOKUP($G126, SeanRanks!$A$2:$H$303, 7, FALSE)=0, "", VLOOKUP($G126, SeanRanks!$A$2:$H$303, 7, FALSE))</f>
        <v/>
      </c>
    </row>
    <row r="127" ht="14.25" customHeight="1">
      <c r="A127" s="11"/>
      <c r="B127" s="11">
        <f t="shared" si="4"/>
        <v>18</v>
      </c>
      <c r="C127" s="11" t="s">
        <v>95</v>
      </c>
      <c r="D127" s="11">
        <v>11.0</v>
      </c>
      <c r="E127" s="11"/>
      <c r="F127" s="11" t="str">
        <f>VLOOKUP(G127, SeanRanks!$A$2:$E$302, 4, FALSE)</f>
        <v/>
      </c>
      <c r="G127" s="11" t="s">
        <v>552</v>
      </c>
      <c r="H127" s="11" t="str">
        <f>VLOOKUP($G127, 'ADP Data'!$C$4:$Q$300, 2, FALSE)</f>
        <v>PIT</v>
      </c>
      <c r="I127" s="11">
        <f>VLOOKUP(G127, 'ADP Data'!$C$4:$R$498, 12, FALSE)</f>
        <v>228</v>
      </c>
      <c r="J127" s="57" t="str">
        <f>VLOOKUP($G127, SeanRanks!$A$2:$H$303, 5, FALSE)</f>
        <v/>
      </c>
      <c r="K127" s="11" t="str">
        <f>IF(VLOOKUP($G127, SeanRanks!$A$2:$H$303, 6, FALSE)=0, "", VLOOKUP($G127, SeanRanks!$A$2:$H$303, 6, FALSE))</f>
        <v/>
      </c>
      <c r="L127" s="11">
        <f t="shared" si="5"/>
        <v>17</v>
      </c>
      <c r="M127" s="11">
        <f>VLOOKUP($G127, 'ADP Data'!$C$4:$Q$300, 9, FALSE)</f>
        <v>202</v>
      </c>
      <c r="N127" s="11">
        <f t="shared" si="6"/>
        <v>-3</v>
      </c>
      <c r="O127" s="11" t="str">
        <f>VLOOKUP($G127, 'ADP Data'!$C$4:$Q$300, 3, FALSE)</f>
        <v>-</v>
      </c>
      <c r="P127" s="11" t="str">
        <f t="shared" si="7"/>
        <v>#VALUE!</v>
      </c>
      <c r="Q127" s="11">
        <f>VLOOKUP($G127, 'ADP Data'!$C$4:$Q$300, 4, FALSE)</f>
        <v>198</v>
      </c>
      <c r="R127" s="11">
        <f>VLOOKUP($G127, 'ADP Data'!$C$4:$Q$300, 5, FALSE)</f>
        <v>239</v>
      </c>
      <c r="S127" s="11">
        <f>VLOOKUP($G127, 'ADP Data'!$C$4:$Q$300, 6, FALSE)</f>
        <v>196</v>
      </c>
      <c r="T127" s="11">
        <f>VLOOKUP($G127, 'ADP Data'!$C$4:$Q$300, 7, FALSE)</f>
        <v>221</v>
      </c>
      <c r="U127" s="11">
        <f>VLOOKUP($G127, 'ADP Data'!$C$4:$Q$300, 8, FALSE)</f>
        <v>176</v>
      </c>
      <c r="V127" s="11">
        <f t="shared" si="8"/>
        <v>205</v>
      </c>
      <c r="W127" s="11">
        <f t="shared" si="9"/>
        <v>18</v>
      </c>
      <c r="X127" s="11">
        <f t="shared" si="10"/>
        <v>-7</v>
      </c>
      <c r="Y127" s="11">
        <f>VLOOKUP($G127, SeanRanks!$A$2:$K$303, 10, FALSE)-V127</f>
        <v>23</v>
      </c>
      <c r="Z127" s="29" t="str">
        <f>IF(VLOOKUP($G127, SeanRanks!$A$2:$H$303, 7, FALSE)=0, "", VLOOKUP($G127, SeanRanks!$A$2:$H$303, 7, FALSE))</f>
        <v/>
      </c>
    </row>
    <row r="128" ht="14.25" customHeight="1">
      <c r="A128" s="11"/>
      <c r="B128" s="11">
        <f t="shared" si="4"/>
        <v>14</v>
      </c>
      <c r="C128" s="11" t="s">
        <v>95</v>
      </c>
      <c r="D128" s="11"/>
      <c r="E128" s="11"/>
      <c r="F128" s="11" t="str">
        <f>VLOOKUP(G128, SeanRanks!$A$2:$E$302, 4, FALSE)</f>
        <v/>
      </c>
      <c r="G128" s="11" t="s">
        <v>829</v>
      </c>
      <c r="H128" s="11" t="str">
        <f>VLOOKUP($G128, 'ADP Data'!$C$4:$Q$300, 2, FALSE)</f>
        <v>ARI</v>
      </c>
      <c r="I128" s="11">
        <f>VLOOKUP(G128, 'ADP Data'!$C$4:$R$498, 12, FALSE)</f>
        <v>139</v>
      </c>
      <c r="J128" s="59" t="str">
        <f>VLOOKUP($G128, SeanRanks!$A$2:$H$303, 5, FALSE)</f>
        <v/>
      </c>
      <c r="K128" s="11" t="str">
        <f>IF(VLOOKUP($G128, SeanRanks!$A$2:$H$303, 6, FALSE)=0, "", VLOOKUP($G128, SeanRanks!$A$2:$H$303, 6, FALSE))</f>
        <v>RB4 - 1 - Path to spikes</v>
      </c>
      <c r="L128" s="11">
        <f t="shared" si="5"/>
        <v>12</v>
      </c>
      <c r="M128" s="11">
        <f>VLOOKUP($G128, 'ADP Data'!$C$4:$Q$300, 9, FALSE)</f>
        <v>143</v>
      </c>
      <c r="N128" s="11">
        <f t="shared" si="6"/>
        <v>-10</v>
      </c>
      <c r="O128" s="11">
        <f>VLOOKUP($G128, 'ADP Data'!$C$4:$Q$300, 3, FALSE)</f>
        <v>149</v>
      </c>
      <c r="P128" s="11">
        <f t="shared" si="7"/>
        <v>-6</v>
      </c>
      <c r="Q128" s="11">
        <f>VLOOKUP($G128, 'ADP Data'!$C$4:$Q$300, 4, FALSE)</f>
        <v>151</v>
      </c>
      <c r="R128" s="11">
        <f>VLOOKUP($G128, 'ADP Data'!$C$4:$Q$300, 5, FALSE)</f>
        <v>159</v>
      </c>
      <c r="S128" s="11">
        <f>VLOOKUP($G128, 'ADP Data'!$C$4:$Q$300, 6, FALSE)</f>
        <v>121</v>
      </c>
      <c r="T128" s="11">
        <f>VLOOKUP($G128, 'ADP Data'!$C$4:$Q$300, 7, FALSE)</f>
        <v>123</v>
      </c>
      <c r="U128" s="11">
        <f>VLOOKUP($G128, 'ADP Data'!$C$4:$Q$300, 8, FALSE)</f>
        <v>227</v>
      </c>
      <c r="V128" s="11">
        <f t="shared" si="8"/>
        <v>153</v>
      </c>
      <c r="W128" s="11">
        <f t="shared" si="9"/>
        <v>13</v>
      </c>
      <c r="X128" s="11">
        <f t="shared" si="10"/>
        <v>-13</v>
      </c>
      <c r="Y128" s="11">
        <f>VLOOKUP($G128, SeanRanks!$A$2:$K$303, 10, FALSE)-V128</f>
        <v>-16</v>
      </c>
      <c r="Z128" s="29">
        <f>IF(VLOOKUP($G128, SeanRanks!$A$2:$H$303, 7, FALSE)=0, "", VLOOKUP($G128, SeanRanks!$A$2:$H$303, 7, FALSE))</f>
        <v>44</v>
      </c>
    </row>
    <row r="129" ht="14.25" customHeight="1">
      <c r="A129" s="11" t="s">
        <v>151</v>
      </c>
      <c r="B129" s="11">
        <f t="shared" si="4"/>
        <v>16</v>
      </c>
      <c r="C129" s="11" t="s">
        <v>95</v>
      </c>
      <c r="D129" s="11"/>
      <c r="E129" s="11"/>
      <c r="F129" s="11" t="str">
        <f>VLOOKUP(G129, SeanRanks!$A$2:$E$302, 4, FALSE)</f>
        <v/>
      </c>
      <c r="G129" s="11" t="s">
        <v>676</v>
      </c>
      <c r="H129" s="11" t="str">
        <f>VLOOKUP($G129, 'ADP Data'!$C$4:$Q$300, 2, FALSE)</f>
        <v>SF</v>
      </c>
      <c r="I129" s="11" t="str">
        <f>VLOOKUP(G129, 'ADP Data'!$C$4:$R$498, 12, FALSE)</f>
        <v>-</v>
      </c>
      <c r="J129" s="11" t="str">
        <f>VLOOKUP($G129, SeanRanks!$A$2:$H$303, 5, FALSE)</f>
        <v/>
      </c>
      <c r="K129" s="11" t="str">
        <f>IF(VLOOKUP($G129, SeanRanks!$A$2:$H$303, 6, FALSE)=0, "", VLOOKUP($G129, SeanRanks!$A$2:$H$303, 6, FALSE))</f>
        <v/>
      </c>
      <c r="L129" s="11">
        <f t="shared" si="5"/>
        <v>14</v>
      </c>
      <c r="M129" s="11">
        <f>VLOOKUP($G129, 'ADP Data'!$C$4:$Q$300, 9, FALSE)</f>
        <v>156</v>
      </c>
      <c r="N129" s="11">
        <f t="shared" si="6"/>
        <v>-21</v>
      </c>
      <c r="O129" s="11">
        <f>VLOOKUP($G129, 'ADP Data'!$C$4:$Q$300, 3, FALSE)</f>
        <v>181</v>
      </c>
      <c r="P129" s="11">
        <f t="shared" si="7"/>
        <v>-25</v>
      </c>
      <c r="Q129" s="11">
        <f>VLOOKUP($G129, 'ADP Data'!$C$4:$Q$300, 4, FALSE)</f>
        <v>188</v>
      </c>
      <c r="R129" s="11">
        <f>VLOOKUP($G129, 'ADP Data'!$C$4:$Q$300, 5, FALSE)</f>
        <v>229</v>
      </c>
      <c r="S129" s="11">
        <f>VLOOKUP($G129, 'ADP Data'!$C$4:$Q$300, 6, FALSE)</f>
        <v>230</v>
      </c>
      <c r="T129" s="11">
        <f>VLOOKUP($G129, 'ADP Data'!$C$4:$Q$300, 7, FALSE)</f>
        <v>185</v>
      </c>
      <c r="U129" s="11">
        <f>VLOOKUP($G129, 'ADP Data'!$C$4:$Q$300, 8, FALSE)</f>
        <v>76</v>
      </c>
      <c r="V129" s="11">
        <f t="shared" si="8"/>
        <v>177</v>
      </c>
      <c r="W129" s="11">
        <f t="shared" si="9"/>
        <v>15</v>
      </c>
      <c r="X129" s="11">
        <f t="shared" si="10"/>
        <v>-15</v>
      </c>
      <c r="Y129" s="11" t="str">
        <f>VLOOKUP($G129, SeanRanks!$A$2:$K$303, 10, FALSE)-V129</f>
        <v>#VALUE!</v>
      </c>
      <c r="Z129" s="29" t="str">
        <f>IF(VLOOKUP($G129, SeanRanks!$A$2:$H$303, 7, FALSE)=0, "", VLOOKUP($G129, SeanRanks!$A$2:$H$303, 7, FALSE))</f>
        <v/>
      </c>
    </row>
    <row r="130" ht="14.25" customHeight="1">
      <c r="A130" s="11"/>
      <c r="B130" s="11">
        <f t="shared" si="4"/>
        <v>17</v>
      </c>
      <c r="C130" s="11" t="s">
        <v>95</v>
      </c>
      <c r="D130" s="11">
        <v>12.0</v>
      </c>
      <c r="E130" s="11"/>
      <c r="F130" s="11" t="str">
        <f>VLOOKUP(G130, SeanRanks!$A$2:$E$302, 4, FALSE)</f>
        <v/>
      </c>
      <c r="G130" s="11" t="s">
        <v>359</v>
      </c>
      <c r="H130" s="11" t="str">
        <f>VLOOKUP($G130, 'ADP Data'!$C$4:$Q$300, 2, FALSE)</f>
        <v>GB</v>
      </c>
      <c r="I130" s="11">
        <f>VLOOKUP(G130, 'ADP Data'!$C$4:$R$498, 12, FALSE)</f>
        <v>142</v>
      </c>
      <c r="J130" s="49" t="str">
        <f>VLOOKUP($G130, SeanRanks!$A$2:$H$303, 5, FALSE)</f>
        <v/>
      </c>
      <c r="K130" s="11" t="str">
        <f>IF(VLOOKUP($G130, SeanRanks!$A$2:$H$303, 6, FALSE)=0, "", VLOOKUP($G130, SeanRanks!$A$2:$H$303, 6, FALSE))</f>
        <v/>
      </c>
      <c r="L130" s="11">
        <f t="shared" si="5"/>
        <v>18</v>
      </c>
      <c r="M130" s="11">
        <f>VLOOKUP($G130, 'ADP Data'!$C$4:$Q$300, 9, FALSE)</f>
        <v>210</v>
      </c>
      <c r="N130" s="11">
        <f t="shared" si="6"/>
        <v>12</v>
      </c>
      <c r="O130" s="11">
        <f>VLOOKUP($G130, 'ADP Data'!$C$4:$Q$300, 3, FALSE)</f>
        <v>205</v>
      </c>
      <c r="P130" s="11">
        <f t="shared" si="7"/>
        <v>5</v>
      </c>
      <c r="Q130" s="11" t="str">
        <f>VLOOKUP($G130, 'ADP Data'!$C$4:$Q$300, 4, FALSE)</f>
        <v>-</v>
      </c>
      <c r="R130" s="11">
        <f>VLOOKUP($G130, 'ADP Data'!$C$4:$Q$300, 5, FALSE)</f>
        <v>219</v>
      </c>
      <c r="S130" s="11">
        <f>VLOOKUP($G130, 'ADP Data'!$C$4:$Q$300, 6, FALSE)</f>
        <v>172</v>
      </c>
      <c r="T130" s="11">
        <f>VLOOKUP($G130, 'ADP Data'!$C$4:$Q$300, 7, FALSE)</f>
        <v>163</v>
      </c>
      <c r="U130" s="11">
        <f>VLOOKUP($G130, 'ADP Data'!$C$4:$Q$300, 8, FALSE)</f>
        <v>223</v>
      </c>
      <c r="V130" s="11">
        <f t="shared" si="8"/>
        <v>198</v>
      </c>
      <c r="W130" s="11">
        <f t="shared" si="9"/>
        <v>17</v>
      </c>
      <c r="X130" s="11">
        <f t="shared" si="10"/>
        <v>-5</v>
      </c>
      <c r="Y130" s="11">
        <f>VLOOKUP($G130, SeanRanks!$A$2:$K$303, 10, FALSE)-V130</f>
        <v>-20</v>
      </c>
      <c r="Z130" s="29" t="str">
        <f>IF(VLOOKUP($G130, SeanRanks!$A$2:$H$303, 7, FALSE)=0, "", VLOOKUP($G130, SeanRanks!$A$2:$H$303, 7, FALSE))</f>
        <v/>
      </c>
    </row>
    <row r="131" ht="14.25" customHeight="1">
      <c r="A131" s="11"/>
      <c r="B131" s="11" t="str">
        <f t="shared" si="4"/>
        <v>#N/A</v>
      </c>
      <c r="C131" s="11" t="s">
        <v>95</v>
      </c>
      <c r="D131" s="11"/>
      <c r="E131" s="11"/>
      <c r="F131" s="11" t="str">
        <f>VLOOKUP(G131, SeanRanks!$A$2:$E$302, 4, FALSE)</f>
        <v>#N/A</v>
      </c>
      <c r="G131" s="11" t="s">
        <v>881</v>
      </c>
      <c r="H131" s="11" t="str">
        <f>VLOOKUP($G131, 'ADP Data'!$C$4:$Q$300, 2, FALSE)</f>
        <v>#N/A</v>
      </c>
      <c r="I131" s="11" t="str">
        <f>VLOOKUP(G131, 'ADP Data'!$C$4:$R$498, 12, FALSE)</f>
        <v>#N/A</v>
      </c>
      <c r="J131" s="49" t="str">
        <f>VLOOKUP($G131, SeanRanks!$A$2:$H$303, 5, FALSE)</f>
        <v>#N/A</v>
      </c>
      <c r="K131" s="11" t="str">
        <f>IF(VLOOKUP($G131, SeanRanks!$A$2:$H$303, 6, FALSE)=0, "", VLOOKUP($G131, SeanRanks!$A$2:$H$303, 6, FALSE))</f>
        <v>#N/A</v>
      </c>
      <c r="L131" s="11">
        <f t="shared" si="5"/>
        <v>16</v>
      </c>
      <c r="M131" s="11" t="str">
        <f>VLOOKUP($G131, 'ADP Data'!$C$4:$Q$300, 9, FALSE)</f>
        <v>#N/A</v>
      </c>
      <c r="N131" s="11" t="str">
        <f t="shared" si="6"/>
        <v>#N/A</v>
      </c>
      <c r="O131" s="11" t="str">
        <f>VLOOKUP($G131, 'ADP Data'!$C$4:$Q$300, 3, FALSE)</f>
        <v>#N/A</v>
      </c>
      <c r="P131" s="11" t="str">
        <f t="shared" si="7"/>
        <v>#N/A</v>
      </c>
      <c r="Q131" s="11" t="str">
        <f>VLOOKUP($G131, 'ADP Data'!$C$4:$Q$300, 4, FALSE)</f>
        <v>#N/A</v>
      </c>
      <c r="R131" s="11" t="str">
        <f>VLOOKUP($G131, 'ADP Data'!$C$4:$Q$300, 5, FALSE)</f>
        <v>#N/A</v>
      </c>
      <c r="S131" s="11" t="str">
        <f>VLOOKUP($G131, 'ADP Data'!$C$4:$Q$300, 6, FALSE)</f>
        <v>#N/A</v>
      </c>
      <c r="T131" s="11" t="str">
        <f>VLOOKUP($G131, 'ADP Data'!$C$4:$Q$300, 7, FALSE)</f>
        <v>#N/A</v>
      </c>
      <c r="U131" s="11" t="str">
        <f>VLOOKUP($G131, 'ADP Data'!$C$4:$Q$300, 8, FALSE)</f>
        <v>#N/A</v>
      </c>
      <c r="V131" s="11" t="str">
        <f t="shared" si="8"/>
        <v>#N/A</v>
      </c>
      <c r="W131" s="11">
        <f t="shared" si="9"/>
        <v>16</v>
      </c>
      <c r="X131" s="11">
        <f t="shared" si="10"/>
        <v>-16</v>
      </c>
      <c r="Y131" s="11" t="str">
        <f>VLOOKUP($G131, SeanRanks!$A$2:$K$303, 10, FALSE)-V131</f>
        <v>#N/A</v>
      </c>
      <c r="Z131" s="29" t="str">
        <f>IF(VLOOKUP($G131, SeanRanks!$A$2:$H$303, 7, FALSE)=0, "", VLOOKUP($G131, SeanRanks!$A$2:$H$303, 7, FALSE))</f>
        <v>#N/A</v>
      </c>
    </row>
    <row r="132" ht="14.25" customHeight="1">
      <c r="A132" s="11"/>
      <c r="B132" s="11">
        <f t="shared" si="4"/>
        <v>6</v>
      </c>
      <c r="C132" s="11" t="s">
        <v>106</v>
      </c>
      <c r="D132" s="11">
        <v>13.0</v>
      </c>
      <c r="E132" s="11"/>
      <c r="F132" s="11" t="str">
        <f>VLOOKUP(G132, SeanRanks!$A$2:$E$302, 4, FALSE)</f>
        <v/>
      </c>
      <c r="G132" s="11" t="s">
        <v>426</v>
      </c>
      <c r="H132" s="11" t="str">
        <f>VLOOKUP($G132, 'ADP Data'!$C$4:$Q$300, 2, FALSE)</f>
        <v>MIN</v>
      </c>
      <c r="I132" s="11">
        <f>VLOOKUP(G132, 'ADP Data'!$C$4:$R$498, 12, FALSE)</f>
        <v>87</v>
      </c>
      <c r="J132" s="61" t="str">
        <f>VLOOKUP($G132, SeanRanks!$A$2:$H$303, 5, FALSE)</f>
        <v/>
      </c>
      <c r="K132" s="11" t="str">
        <f>IF(VLOOKUP($G132, SeanRanks!$A$2:$H$303, 6, FALSE)=0, "", VLOOKUP($G132, SeanRanks!$A$2:$H$303, 6, FALSE))</f>
        <v>TE1 - 2 - Very Good</v>
      </c>
      <c r="L132" s="11">
        <f t="shared" si="5"/>
        <v>6</v>
      </c>
      <c r="M132" s="11">
        <f>VLOOKUP($G132, 'ADP Data'!$C$4:$Q$300, 9, FALSE)</f>
        <v>64</v>
      </c>
      <c r="N132" s="11">
        <f t="shared" si="6"/>
        <v>-2</v>
      </c>
      <c r="O132" s="11">
        <f>VLOOKUP($G132, 'ADP Data'!$C$4:$Q$300, 3, FALSE)</f>
        <v>71</v>
      </c>
      <c r="P132" s="11">
        <f t="shared" si="7"/>
        <v>-7</v>
      </c>
      <c r="Q132" s="11">
        <f>VLOOKUP($G132, 'ADP Data'!$C$4:$Q$300, 4, FALSE)</f>
        <v>56</v>
      </c>
      <c r="R132" s="11">
        <f>VLOOKUP($G132, 'ADP Data'!$C$4:$Q$300, 5, FALSE)</f>
        <v>82</v>
      </c>
      <c r="S132" s="11">
        <f>VLOOKUP($G132, 'ADP Data'!$C$4:$Q$300, 6, FALSE)</f>
        <v>64</v>
      </c>
      <c r="T132" s="11">
        <f>VLOOKUP($G132, 'ADP Data'!$C$4:$Q$300, 7, FALSE)</f>
        <v>80</v>
      </c>
      <c r="U132" s="11">
        <f>VLOOKUP($G132, 'ADP Data'!$C$4:$Q$300, 8, FALSE)</f>
        <v>50</v>
      </c>
      <c r="V132" s="11">
        <f t="shared" si="8"/>
        <v>66</v>
      </c>
      <c r="W132" s="11">
        <f t="shared" si="9"/>
        <v>6</v>
      </c>
      <c r="X132" s="11">
        <f t="shared" si="10"/>
        <v>7</v>
      </c>
      <c r="Y132" s="11">
        <f>VLOOKUP($G132, SeanRanks!$A$2:$K$303, 10, FALSE)-V132</f>
        <v>7</v>
      </c>
      <c r="Z132" s="29">
        <f>IF(VLOOKUP($G132, SeanRanks!$A$2:$H$303, 7, FALSE)=0, "", VLOOKUP($G132, SeanRanks!$A$2:$H$303, 7, FALSE))</f>
        <v>5</v>
      </c>
    </row>
    <row r="133" ht="14.25" customHeight="1">
      <c r="A133" s="11"/>
      <c r="B133" s="11">
        <f t="shared" si="4"/>
        <v>10</v>
      </c>
      <c r="C133" s="11" t="s">
        <v>106</v>
      </c>
      <c r="D133" s="11"/>
      <c r="E133" s="11"/>
      <c r="F133" s="11" t="str">
        <f>VLOOKUP(G133, SeanRanks!$A$2:$E$302, 4, FALSE)</f>
        <v/>
      </c>
      <c r="G133" s="11" t="s">
        <v>266</v>
      </c>
      <c r="H133" s="11" t="str">
        <f>VLOOKUP($G133, 'ADP Data'!$C$4:$Q$300, 2, FALSE)</f>
        <v>LAC</v>
      </c>
      <c r="I133" s="11">
        <f>VLOOKUP(G133, 'ADP Data'!$C$4:$R$498, 12, FALSE)</f>
        <v>128</v>
      </c>
      <c r="J133" s="58" t="str">
        <f>VLOOKUP($G133, SeanRanks!$A$2:$H$303, 5, FALSE)</f>
        <v/>
      </c>
      <c r="K133" s="11" t="str">
        <f>IF(VLOOKUP($G133, SeanRanks!$A$2:$H$303, 6, FALSE)=0, "", VLOOKUP($G133, SeanRanks!$A$2:$H$303, 6, FALSE))</f>
        <v>QB2 - 2 - Not League Winner</v>
      </c>
      <c r="L133" s="11">
        <f t="shared" si="5"/>
        <v>10</v>
      </c>
      <c r="M133" s="11">
        <f>VLOOKUP($G133, 'ADP Data'!$C$4:$Q$300, 9, FALSE)</f>
        <v>109</v>
      </c>
      <c r="N133" s="11">
        <f t="shared" si="6"/>
        <v>-8</v>
      </c>
      <c r="O133" s="11">
        <f>VLOOKUP($G133, 'ADP Data'!$C$4:$Q$300, 3, FALSE)</f>
        <v>122</v>
      </c>
      <c r="P133" s="11">
        <f t="shared" si="7"/>
        <v>-13</v>
      </c>
      <c r="Q133" s="11">
        <f>VLOOKUP($G133, 'ADP Data'!$C$4:$Q$300, 4, FALSE)</f>
        <v>91</v>
      </c>
      <c r="R133" s="11">
        <f>VLOOKUP($G133, 'ADP Data'!$C$4:$Q$300, 5, FALSE)</f>
        <v>122</v>
      </c>
      <c r="S133" s="11">
        <f>VLOOKUP($G133, 'ADP Data'!$C$4:$Q$300, 6, FALSE)</f>
        <v>135</v>
      </c>
      <c r="T133" s="11">
        <f>VLOOKUP($G133, 'ADP Data'!$C$4:$Q$300, 7, FALSE)</f>
        <v>120</v>
      </c>
      <c r="U133" s="11">
        <f>VLOOKUP($G133, 'ADP Data'!$C$4:$Q$300, 8, FALSE)</f>
        <v>124</v>
      </c>
      <c r="V133" s="11">
        <f t="shared" si="8"/>
        <v>117</v>
      </c>
      <c r="W133" s="11">
        <f t="shared" si="9"/>
        <v>10</v>
      </c>
      <c r="X133" s="11">
        <f t="shared" si="10"/>
        <v>-10</v>
      </c>
      <c r="Y133" s="11">
        <f>VLOOKUP($G133, SeanRanks!$A$2:$K$303, 10, FALSE)-V133</f>
        <v>-12</v>
      </c>
      <c r="Z133" s="29">
        <f>IF(VLOOKUP($G133, SeanRanks!$A$2:$H$303, 7, FALSE)=0, "", VLOOKUP($G133, SeanRanks!$A$2:$H$303, 7, FALSE))</f>
        <v>17</v>
      </c>
    </row>
    <row r="134" ht="14.25" customHeight="1">
      <c r="A134" s="11"/>
      <c r="B134" s="11">
        <f t="shared" si="4"/>
        <v>8</v>
      </c>
      <c r="C134" s="11" t="s">
        <v>95</v>
      </c>
      <c r="D134" s="11"/>
      <c r="E134" s="11"/>
      <c r="F134" s="11" t="str">
        <f>VLOOKUP(G134, SeanRanks!$A$2:$E$302, 4, FALSE)</f>
        <v/>
      </c>
      <c r="G134" s="11" t="s">
        <v>342</v>
      </c>
      <c r="H134" s="11" t="str">
        <f>VLOOKUP($G134, 'ADP Data'!$C$4:$Q$300, 2, FALSE)</f>
        <v>LV</v>
      </c>
      <c r="I134" s="11">
        <f>VLOOKUP(G134, 'ADP Data'!$C$4:$R$498, 12, FALSE)</f>
        <v>77</v>
      </c>
      <c r="J134" s="49" t="str">
        <f>VLOOKUP($G134, SeanRanks!$A$2:$H$303, 5, FALSE)</f>
        <v/>
      </c>
      <c r="K134" s="11" t="str">
        <f>IF(VLOOKUP($G134, SeanRanks!$A$2:$H$303, 6, FALSE)=0, "", VLOOKUP($G134, SeanRanks!$A$2:$H$303, 6, FALSE))</f>
        <v>WR3 - 3 - lower ceiling</v>
      </c>
      <c r="L134" s="11">
        <f t="shared" si="5"/>
        <v>7</v>
      </c>
      <c r="M134" s="11">
        <f>VLOOKUP($G134, 'ADP Data'!$C$4:$Q$300, 9, FALSE)</f>
        <v>83</v>
      </c>
      <c r="N134" s="11">
        <f t="shared" si="6"/>
        <v>-4</v>
      </c>
      <c r="O134" s="11">
        <f>VLOOKUP($G134, 'ADP Data'!$C$4:$Q$300, 3, FALSE)</f>
        <v>85</v>
      </c>
      <c r="P134" s="11">
        <f t="shared" si="7"/>
        <v>-2</v>
      </c>
      <c r="Q134" s="11">
        <f>VLOOKUP($G134, 'ADP Data'!$C$4:$Q$300, 4, FALSE)</f>
        <v>82</v>
      </c>
      <c r="R134" s="11">
        <f>VLOOKUP($G134, 'ADP Data'!$C$4:$Q$300, 5, FALSE)</f>
        <v>86</v>
      </c>
      <c r="S134" s="11">
        <f>VLOOKUP($G134, 'ADP Data'!$C$4:$Q$300, 6, FALSE)</f>
        <v>87</v>
      </c>
      <c r="T134" s="11">
        <f>VLOOKUP($G134, 'ADP Data'!$C$4:$Q$300, 7, FALSE)</f>
        <v>73</v>
      </c>
      <c r="U134" s="11">
        <f>VLOOKUP($G134, 'ADP Data'!$C$4:$Q$300, 8, FALSE)</f>
        <v>119</v>
      </c>
      <c r="V134" s="11">
        <f t="shared" si="8"/>
        <v>87</v>
      </c>
      <c r="W134" s="11">
        <f t="shared" si="9"/>
        <v>8</v>
      </c>
      <c r="X134" s="11">
        <f t="shared" si="10"/>
        <v>-8</v>
      </c>
      <c r="Y134" s="11">
        <f>VLOOKUP($G134, SeanRanks!$A$2:$K$303, 10, FALSE)-V134</f>
        <v>0</v>
      </c>
      <c r="Z134" s="29">
        <f>IF(VLOOKUP($G134, SeanRanks!$A$2:$H$303, 7, FALSE)=0, "", VLOOKUP($G134, SeanRanks!$A$2:$H$303, 7, FALSE))</f>
        <v>35</v>
      </c>
    </row>
    <row r="135" ht="14.25" customHeight="1">
      <c r="A135" s="11"/>
      <c r="B135" s="11">
        <f t="shared" si="4"/>
        <v>13</v>
      </c>
      <c r="C135" s="11" t="s">
        <v>106</v>
      </c>
      <c r="D135" s="11"/>
      <c r="E135" s="11"/>
      <c r="F135" s="11" t="str">
        <f>VLOOKUP(G135, SeanRanks!$A$2:$E$302, 4, FALSE)</f>
        <v/>
      </c>
      <c r="G135" s="11" t="s">
        <v>513</v>
      </c>
      <c r="H135" s="11" t="str">
        <f>VLOOKUP($G135, 'ADP Data'!$C$4:$Q$300, 2, FALSE)</f>
        <v>BAL</v>
      </c>
      <c r="I135" s="11" t="str">
        <f>VLOOKUP(G135, 'ADP Data'!$C$4:$R$498, 12, FALSE)</f>
        <v>-</v>
      </c>
      <c r="J135" s="11" t="str">
        <f>VLOOKUP($G135, SeanRanks!$A$2:$H$303, 5, FALSE)</f>
        <v/>
      </c>
      <c r="K135" s="11" t="str">
        <f>IF(VLOOKUP($G135, SeanRanks!$A$2:$H$303, 6, FALSE)=0, "", VLOOKUP($G135, SeanRanks!$A$2:$H$303, 6, FALSE))</f>
        <v/>
      </c>
      <c r="L135" s="11">
        <f t="shared" si="5"/>
        <v>16</v>
      </c>
      <c r="M135" s="11">
        <f>VLOOKUP($G135, 'ADP Data'!$C$4:$Q$300, 9, FALSE)</f>
        <v>181</v>
      </c>
      <c r="N135" s="11">
        <f t="shared" si="6"/>
        <v>34</v>
      </c>
      <c r="O135" s="11">
        <f>VLOOKUP($G135, 'ADP Data'!$C$4:$Q$300, 3, FALSE)</f>
        <v>112</v>
      </c>
      <c r="P135" s="11">
        <f t="shared" si="7"/>
        <v>69</v>
      </c>
      <c r="Q135" s="11">
        <f>VLOOKUP($G135, 'ADP Data'!$C$4:$Q$300, 4, FALSE)</f>
        <v>109</v>
      </c>
      <c r="R135" s="11">
        <f>VLOOKUP($G135, 'ADP Data'!$C$4:$Q$300, 5, FALSE)</f>
        <v>129</v>
      </c>
      <c r="S135" s="11">
        <f>VLOOKUP($G135, 'ADP Data'!$C$4:$Q$300, 6, FALSE)</f>
        <v>212</v>
      </c>
      <c r="T135" s="11">
        <f>VLOOKUP($G135, 'ADP Data'!$C$4:$Q$300, 7, FALSE)</f>
        <v>166</v>
      </c>
      <c r="U135" s="11">
        <f>VLOOKUP($G135, 'ADP Data'!$C$4:$Q$300, 8, FALSE)</f>
        <v>123</v>
      </c>
      <c r="V135" s="11">
        <f t="shared" si="8"/>
        <v>147</v>
      </c>
      <c r="W135" s="11">
        <f t="shared" si="9"/>
        <v>13</v>
      </c>
      <c r="X135" s="11">
        <f t="shared" si="10"/>
        <v>-13</v>
      </c>
      <c r="Y135" s="11">
        <f>VLOOKUP($G135, SeanRanks!$A$2:$K$303, 10, FALSE)-V135</f>
        <v>22</v>
      </c>
      <c r="Z135" s="29" t="str">
        <f>IF(VLOOKUP($G135, SeanRanks!$A$2:$H$303, 7, FALSE)=0, "", VLOOKUP($G135, SeanRanks!$A$2:$H$303, 7, FALSE))</f>
        <v/>
      </c>
    </row>
    <row r="136" ht="14.25" customHeight="1">
      <c r="A136" s="11"/>
      <c r="B136" s="11">
        <f t="shared" si="4"/>
        <v>23</v>
      </c>
      <c r="C136" s="11" t="s">
        <v>106</v>
      </c>
      <c r="D136" s="11"/>
      <c r="E136" s="11"/>
      <c r="F136" s="11" t="str">
        <f>VLOOKUP(G136, SeanRanks!$A$2:$E$302, 4, FALSE)</f>
        <v/>
      </c>
      <c r="G136" s="11" t="s">
        <v>651</v>
      </c>
      <c r="H136" s="11" t="str">
        <f>VLOOKUP($G136, 'ADP Data'!$C$4:$Q$300, 2, FALSE)</f>
        <v>ATL</v>
      </c>
      <c r="I136" s="11">
        <f>VLOOKUP(G136, 'ADP Data'!$C$4:$R$498, 12, FALSE)</f>
        <v>248</v>
      </c>
      <c r="J136" s="59" t="str">
        <f>VLOOKUP($G136, SeanRanks!$A$2:$H$303, 5, FALSE)</f>
        <v/>
      </c>
      <c r="K136" s="11" t="str">
        <f>IF(VLOOKUP($G136, SeanRanks!$A$2:$H$303, 6, FALSE)=0, "", VLOOKUP($G136, SeanRanks!$A$2:$H$303, 6, FALSE))</f>
        <v/>
      </c>
      <c r="L136" s="11">
        <f t="shared" si="5"/>
        <v>16</v>
      </c>
      <c r="M136" s="11" t="str">
        <f>VLOOKUP($G136, 'ADP Data'!$C$4:$Q$300, 9, FALSE)</f>
        <v>-</v>
      </c>
      <c r="N136" s="11" t="str">
        <f t="shared" si="6"/>
        <v>#VALUE!</v>
      </c>
      <c r="O136" s="11" t="str">
        <f>VLOOKUP($G136, 'ADP Data'!$C$4:$Q$300, 3, FALSE)</f>
        <v>-</v>
      </c>
      <c r="P136" s="11" t="str">
        <f t="shared" si="7"/>
        <v>#VALUE!</v>
      </c>
      <c r="Q136" s="11">
        <f>VLOOKUP($G136, 'ADP Data'!$C$4:$Q$300, 4, FALSE)</f>
        <v>231</v>
      </c>
      <c r="R136" s="11" t="str">
        <f>VLOOKUP($G136, 'ADP Data'!$C$4:$Q$300, 5, FALSE)</f>
        <v>-</v>
      </c>
      <c r="S136" s="11">
        <f>VLOOKUP($G136, 'ADP Data'!$C$4:$Q$300, 6, FALSE)</f>
        <v>312</v>
      </c>
      <c r="T136" s="11" t="str">
        <f>VLOOKUP($G136, 'ADP Data'!$C$4:$Q$300, 7, FALSE)</f>
        <v>-</v>
      </c>
      <c r="U136" s="11">
        <f>VLOOKUP($G136, 'ADP Data'!$C$4:$Q$300, 8, FALSE)</f>
        <v>281</v>
      </c>
      <c r="V136" s="11">
        <f t="shared" si="8"/>
        <v>274</v>
      </c>
      <c r="W136" s="11">
        <f t="shared" si="9"/>
        <v>23</v>
      </c>
      <c r="X136" s="11">
        <f t="shared" si="10"/>
        <v>-23</v>
      </c>
      <c r="Y136" s="11" t="str">
        <f>VLOOKUP($G136, SeanRanks!$A$2:$K$303, 10, FALSE)-V136</f>
        <v>#VALUE!</v>
      </c>
      <c r="Z136" s="29" t="str">
        <f>IF(VLOOKUP($G136, SeanRanks!$A$2:$H$303, 7, FALSE)=0, "", VLOOKUP($G136, SeanRanks!$A$2:$H$303, 7, FALSE))</f>
        <v/>
      </c>
    </row>
    <row r="137" ht="14.25" customHeight="1">
      <c r="A137" s="11"/>
      <c r="B137" s="11">
        <f t="shared" si="4"/>
        <v>10</v>
      </c>
      <c r="C137" s="11" t="s">
        <v>95</v>
      </c>
      <c r="D137" s="11"/>
      <c r="E137" s="11"/>
      <c r="F137" s="11" t="str">
        <f>VLOOKUP(G137, SeanRanks!$A$2:$E$302, 4, FALSE)</f>
        <v/>
      </c>
      <c r="G137" s="11" t="s">
        <v>391</v>
      </c>
      <c r="H137" s="11" t="str">
        <f>VLOOKUP($G137, 'ADP Data'!$C$4:$Q$300, 2, FALSE)</f>
        <v>SEA</v>
      </c>
      <c r="I137" s="11">
        <f>VLOOKUP(G137, 'ADP Data'!$C$4:$R$498, 12, FALSE)</f>
        <v>90</v>
      </c>
      <c r="J137" s="59" t="str">
        <f>VLOOKUP($G137, SeanRanks!$A$2:$H$303, 5, FALSE)</f>
        <v/>
      </c>
      <c r="K137" s="11" t="str">
        <f>IF(VLOOKUP($G137, SeanRanks!$A$2:$H$303, 6, FALSE)=0, "", VLOOKUP($G137, SeanRanks!$A$2:$H$303, 6, FALSE))</f>
        <v>RB3 - 1 - Upside</v>
      </c>
      <c r="L137" s="11">
        <f t="shared" si="5"/>
        <v>9</v>
      </c>
      <c r="M137" s="11">
        <f>VLOOKUP($G137, 'ADP Data'!$C$4:$Q$300, 9, FALSE)</f>
        <v>104</v>
      </c>
      <c r="N137" s="11">
        <f t="shared" si="6"/>
        <v>-6</v>
      </c>
      <c r="O137" s="11">
        <f>VLOOKUP($G137, 'ADP Data'!$C$4:$Q$300, 3, FALSE)</f>
        <v>92</v>
      </c>
      <c r="P137" s="11">
        <f t="shared" si="7"/>
        <v>12</v>
      </c>
      <c r="Q137" s="11">
        <f>VLOOKUP($G137, 'ADP Data'!$C$4:$Q$300, 4, FALSE)</f>
        <v>129</v>
      </c>
      <c r="R137" s="11">
        <f>VLOOKUP($G137, 'ADP Data'!$C$4:$Q$300, 5, FALSE)</f>
        <v>114</v>
      </c>
      <c r="S137" s="11">
        <f>VLOOKUP($G137, 'ADP Data'!$C$4:$Q$300, 6, FALSE)</f>
        <v>86</v>
      </c>
      <c r="T137" s="11">
        <f>VLOOKUP($G137, 'ADP Data'!$C$4:$Q$300, 7, FALSE)</f>
        <v>92</v>
      </c>
      <c r="U137" s="11">
        <f>VLOOKUP($G137, 'ADP Data'!$C$4:$Q$300, 8, FALSE)</f>
        <v>153</v>
      </c>
      <c r="V137" s="11">
        <f t="shared" si="8"/>
        <v>110</v>
      </c>
      <c r="W137" s="11">
        <f t="shared" si="9"/>
        <v>10</v>
      </c>
      <c r="X137" s="11">
        <f t="shared" si="10"/>
        <v>-10</v>
      </c>
      <c r="Y137" s="11">
        <f>VLOOKUP($G137, SeanRanks!$A$2:$K$303, 10, FALSE)-V137</f>
        <v>-32</v>
      </c>
      <c r="Z137" s="29">
        <f>IF(VLOOKUP($G137, SeanRanks!$A$2:$H$303, 7, FALSE)=0, "", VLOOKUP($G137, SeanRanks!$A$2:$H$303, 7, FALSE))</f>
        <v>31</v>
      </c>
    </row>
    <row r="138" ht="14.25" customHeight="1">
      <c r="A138" s="11"/>
      <c r="B138" s="11">
        <f t="shared" si="4"/>
        <v>18</v>
      </c>
      <c r="C138" s="11" t="s">
        <v>106</v>
      </c>
      <c r="D138" s="11"/>
      <c r="E138" s="11"/>
      <c r="F138" s="11" t="str">
        <f>VLOOKUP(G138, SeanRanks!$A$2:$E$302, 4, FALSE)</f>
        <v/>
      </c>
      <c r="G138" s="11" t="s">
        <v>550</v>
      </c>
      <c r="H138" s="11" t="str">
        <f>VLOOKUP($G138, 'ADP Data'!$C$4:$Q$300, 2, FALSE)</f>
        <v>PIT</v>
      </c>
      <c r="I138" s="11">
        <f>VLOOKUP(G138, 'ADP Data'!$C$4:$R$498, 12, FALSE)</f>
        <v>191</v>
      </c>
      <c r="J138" s="11" t="str">
        <f>VLOOKUP($G138, SeanRanks!$A$2:$H$303, 5, FALSE)</f>
        <v/>
      </c>
      <c r="K138" s="11" t="str">
        <f>IF(VLOOKUP($G138, SeanRanks!$A$2:$H$303, 6, FALSE)=0, "", VLOOKUP($G138, SeanRanks!$A$2:$H$303, 6, FALSE))</f>
        <v>Don’t Draft - Streamer</v>
      </c>
      <c r="L138" s="11">
        <f t="shared" si="5"/>
        <v>20</v>
      </c>
      <c r="M138" s="11">
        <f>VLOOKUP($G138, 'ADP Data'!$C$4:$Q$300, 9, FALSE)</f>
        <v>229</v>
      </c>
      <c r="N138" s="11">
        <f t="shared" si="6"/>
        <v>13</v>
      </c>
      <c r="O138" s="11" t="str">
        <f>VLOOKUP($G138, 'ADP Data'!$C$4:$Q$300, 3, FALSE)</f>
        <v>-</v>
      </c>
      <c r="P138" s="11" t="str">
        <f t="shared" si="7"/>
        <v>#VALUE!</v>
      </c>
      <c r="Q138" s="11">
        <f>VLOOKUP($G138, 'ADP Data'!$C$4:$Q$300, 4, FALSE)</f>
        <v>192</v>
      </c>
      <c r="R138" s="11">
        <f>VLOOKUP($G138, 'ADP Data'!$C$4:$Q$300, 5, FALSE)</f>
        <v>240</v>
      </c>
      <c r="S138" s="11">
        <f>VLOOKUP($G138, 'ADP Data'!$C$4:$Q$300, 6, FALSE)</f>
        <v>222</v>
      </c>
      <c r="T138" s="11">
        <f>VLOOKUP($G138, 'ADP Data'!$C$4:$Q$300, 7, FALSE)</f>
        <v>222</v>
      </c>
      <c r="U138" s="11">
        <f>VLOOKUP($G138, 'ADP Data'!$C$4:$Q$300, 8, FALSE)</f>
        <v>192</v>
      </c>
      <c r="V138" s="11">
        <f t="shared" si="8"/>
        <v>216</v>
      </c>
      <c r="W138" s="11">
        <f t="shared" si="9"/>
        <v>19</v>
      </c>
      <c r="X138" s="11">
        <f t="shared" si="10"/>
        <v>-19</v>
      </c>
      <c r="Y138" s="11">
        <f>VLOOKUP($G138, SeanRanks!$A$2:$K$303, 10, FALSE)-V138</f>
        <v>-18</v>
      </c>
      <c r="Z138" s="29" t="str">
        <f>IF(VLOOKUP($G138, SeanRanks!$A$2:$H$303, 7, FALSE)=0, "", VLOOKUP($G138, SeanRanks!$A$2:$H$303, 7, FALSE))</f>
        <v/>
      </c>
    </row>
    <row r="139" ht="14.25" customHeight="1">
      <c r="A139" s="11"/>
      <c r="B139" s="11">
        <f t="shared" si="4"/>
        <v>22</v>
      </c>
      <c r="C139" s="11" t="s">
        <v>106</v>
      </c>
      <c r="D139" s="11"/>
      <c r="E139" s="11"/>
      <c r="F139" s="11" t="str">
        <f>VLOOKUP(G139, SeanRanks!$A$2:$E$302, 4, FALSE)</f>
        <v/>
      </c>
      <c r="G139" s="11" t="s">
        <v>811</v>
      </c>
      <c r="H139" s="11" t="str">
        <f>VLOOKUP($G139, 'ADP Data'!$C$4:$Q$300, 2, FALSE)</f>
        <v>CHI</v>
      </c>
      <c r="I139" s="11">
        <f>VLOOKUP(G139, 'ADP Data'!$C$4:$R$498, 12, FALSE)</f>
        <v>258</v>
      </c>
      <c r="J139" s="61" t="str">
        <f>VLOOKUP($G139, SeanRanks!$A$2:$H$303, 5, FALSE)</f>
        <v/>
      </c>
      <c r="K139" s="11" t="str">
        <f>IF(VLOOKUP($G139, SeanRanks!$A$2:$H$303, 6, FALSE)=0, "", VLOOKUP($G139, SeanRanks!$A$2:$H$303, 6, FALSE))</f>
        <v/>
      </c>
      <c r="L139" s="11">
        <f t="shared" si="5"/>
        <v>23</v>
      </c>
      <c r="M139" s="11">
        <f>VLOOKUP($G139, 'ADP Data'!$C$4:$Q$300, 9, FALSE)</f>
        <v>271</v>
      </c>
      <c r="N139" s="11">
        <f t="shared" si="6"/>
        <v>15</v>
      </c>
      <c r="O139" s="11" t="str">
        <f>VLOOKUP($G139, 'ADP Data'!$C$4:$Q$300, 3, FALSE)</f>
        <v>-</v>
      </c>
      <c r="P139" s="11" t="str">
        <f t="shared" si="7"/>
        <v>#VALUE!</v>
      </c>
      <c r="Q139" s="11">
        <f>VLOOKUP($G139, 'ADP Data'!$C$4:$Q$300, 4, FALSE)</f>
        <v>225</v>
      </c>
      <c r="R139" s="11">
        <f>VLOOKUP($G139, 'ADP Data'!$C$4:$Q$300, 5, FALSE)</f>
        <v>290</v>
      </c>
      <c r="S139" s="11">
        <f>VLOOKUP($G139, 'ADP Data'!$C$4:$Q$300, 6, FALSE)</f>
        <v>259</v>
      </c>
      <c r="T139" s="11">
        <f>VLOOKUP($G139, 'ADP Data'!$C$4:$Q$300, 7, FALSE)</f>
        <v>266</v>
      </c>
      <c r="U139" s="11">
        <f>VLOOKUP($G139, 'ADP Data'!$C$4:$Q$300, 8, FALSE)</f>
        <v>229</v>
      </c>
      <c r="V139" s="11">
        <f t="shared" si="8"/>
        <v>256</v>
      </c>
      <c r="W139" s="11">
        <f t="shared" si="9"/>
        <v>22</v>
      </c>
      <c r="X139" s="11">
        <f t="shared" si="10"/>
        <v>-22</v>
      </c>
      <c r="Y139" s="11" t="str">
        <f>VLOOKUP($G139, SeanRanks!$A$2:$K$303, 10, FALSE)-V139</f>
        <v>#VALUE!</v>
      </c>
      <c r="Z139" s="29" t="str">
        <f>IF(VLOOKUP($G139, SeanRanks!$A$2:$H$303, 7, FALSE)=0, "", VLOOKUP($G139, SeanRanks!$A$2:$H$303, 7, FALSE))</f>
        <v/>
      </c>
    </row>
    <row r="140" ht="14.25" customHeight="1">
      <c r="A140" s="11"/>
      <c r="B140" s="11">
        <f t="shared" si="4"/>
        <v>16</v>
      </c>
      <c r="C140" s="11" t="s">
        <v>106</v>
      </c>
      <c r="D140" s="11"/>
      <c r="E140" s="11"/>
      <c r="F140" s="11" t="str">
        <f>VLOOKUP(G140, SeanRanks!$A$2:$E$302, 4, FALSE)</f>
        <v/>
      </c>
      <c r="G140" s="11" t="s">
        <v>310</v>
      </c>
      <c r="H140" s="11" t="str">
        <f>VLOOKUP($G140, 'ADP Data'!$C$4:$Q$300, 2, FALSE)</f>
        <v>LAR</v>
      </c>
      <c r="I140" s="11">
        <f>VLOOKUP(G140, 'ADP Data'!$C$4:$R$498, 12, FALSE)</f>
        <v>176</v>
      </c>
      <c r="J140" s="59" t="str">
        <f>VLOOKUP($G140, SeanRanks!$A$2:$H$303, 5, FALSE)</f>
        <v/>
      </c>
      <c r="K140" s="11" t="str">
        <f>IF(VLOOKUP($G140, SeanRanks!$A$2:$H$303, 6, FALSE)=0, "", VLOOKUP($G140, SeanRanks!$A$2:$H$303, 6, FALSE))</f>
        <v>Don’t Draft - Streamer</v>
      </c>
      <c r="L140" s="11">
        <f t="shared" si="5"/>
        <v>18</v>
      </c>
      <c r="M140" s="11">
        <f>VLOOKUP($G140, 'ADP Data'!$C$4:$Q$300, 9, FALSE)</f>
        <v>207</v>
      </c>
      <c r="N140" s="11">
        <f t="shared" si="6"/>
        <v>18</v>
      </c>
      <c r="O140" s="11">
        <f>VLOOKUP($G140, 'ADP Data'!$C$4:$Q$300, 3, FALSE)</f>
        <v>168</v>
      </c>
      <c r="P140" s="11">
        <f t="shared" si="7"/>
        <v>39</v>
      </c>
      <c r="Q140" s="11">
        <f>VLOOKUP($G140, 'ADP Data'!$C$4:$Q$300, 4, FALSE)</f>
        <v>160</v>
      </c>
      <c r="R140" s="11">
        <f>VLOOKUP($G140, 'ADP Data'!$C$4:$Q$300, 5, FALSE)</f>
        <v>232</v>
      </c>
      <c r="S140" s="11">
        <f>VLOOKUP($G140, 'ADP Data'!$C$4:$Q$300, 6, FALSE)</f>
        <v>197</v>
      </c>
      <c r="T140" s="11">
        <f>VLOOKUP($G140, 'ADP Data'!$C$4:$Q$300, 7, FALSE)</f>
        <v>195</v>
      </c>
      <c r="U140" s="11">
        <f>VLOOKUP($G140, 'ADP Data'!$C$4:$Q$300, 8, FALSE)</f>
        <v>167</v>
      </c>
      <c r="V140" s="11">
        <f t="shared" si="8"/>
        <v>189</v>
      </c>
      <c r="W140" s="11">
        <f t="shared" si="9"/>
        <v>16</v>
      </c>
      <c r="X140" s="11">
        <f t="shared" si="10"/>
        <v>-16</v>
      </c>
      <c r="Y140" s="11">
        <f>VLOOKUP($G140, SeanRanks!$A$2:$K$303, 10, FALSE)-V140</f>
        <v>-38</v>
      </c>
      <c r="Z140" s="29" t="str">
        <f>IF(VLOOKUP($G140, SeanRanks!$A$2:$H$303, 7, FALSE)=0, "", VLOOKUP($G140, SeanRanks!$A$2:$H$303, 7, FALSE))</f>
        <v/>
      </c>
    </row>
    <row r="141" ht="14.25" customHeight="1">
      <c r="A141" s="11"/>
      <c r="B141" s="11">
        <f t="shared" si="4"/>
        <v>21</v>
      </c>
      <c r="C141" s="11" t="s">
        <v>106</v>
      </c>
      <c r="D141" s="11"/>
      <c r="E141" s="11"/>
      <c r="F141" s="11" t="str">
        <f>VLOOKUP(G141, SeanRanks!$A$2:$E$302, 4, FALSE)</f>
        <v/>
      </c>
      <c r="G141" s="11" t="s">
        <v>588</v>
      </c>
      <c r="H141" s="11" t="str">
        <f>VLOOKUP($G141, 'ADP Data'!$C$4:$Q$300, 2, FALSE)</f>
        <v>DAL</v>
      </c>
      <c r="I141" s="11" t="str">
        <f>VLOOKUP(G141, 'ADP Data'!$C$4:$R$498, 12, FALSE)</f>
        <v>-</v>
      </c>
      <c r="J141" s="11" t="str">
        <f>VLOOKUP($G141, SeanRanks!$A$2:$H$303, 5, FALSE)</f>
        <v/>
      </c>
      <c r="K141" s="11" t="str">
        <f>IF(VLOOKUP($G141, SeanRanks!$A$2:$H$303, 6, FALSE)=0, "", VLOOKUP($G141, SeanRanks!$A$2:$H$303, 6, FALSE))</f>
        <v/>
      </c>
      <c r="L141" s="11">
        <f t="shared" si="5"/>
        <v>24</v>
      </c>
      <c r="M141" s="11">
        <f>VLOOKUP($G141, 'ADP Data'!$C$4:$Q$300, 9, FALSE)</f>
        <v>285</v>
      </c>
      <c r="N141" s="11">
        <f t="shared" si="6"/>
        <v>45</v>
      </c>
      <c r="O141" s="11">
        <f>VLOOKUP($G141, 'ADP Data'!$C$4:$Q$300, 3, FALSE)</f>
        <v>173</v>
      </c>
      <c r="P141" s="11">
        <f t="shared" si="7"/>
        <v>112</v>
      </c>
      <c r="Q141" s="11">
        <f>VLOOKUP($G141, 'ADP Data'!$C$4:$Q$300, 4, FALSE)</f>
        <v>201</v>
      </c>
      <c r="R141" s="11">
        <f>VLOOKUP($G141, 'ADP Data'!$C$4:$Q$300, 5, FALSE)</f>
        <v>344</v>
      </c>
      <c r="S141" s="11">
        <f>VLOOKUP($G141, 'ADP Data'!$C$4:$Q$300, 6, FALSE)</f>
        <v>278</v>
      </c>
      <c r="T141" s="11">
        <f>VLOOKUP($G141, 'ADP Data'!$C$4:$Q$300, 7, FALSE)</f>
        <v>239</v>
      </c>
      <c r="U141" s="11">
        <f>VLOOKUP($G141, 'ADP Data'!$C$4:$Q$300, 8, FALSE)</f>
        <v>165</v>
      </c>
      <c r="V141" s="11">
        <f t="shared" si="8"/>
        <v>240</v>
      </c>
      <c r="W141" s="11">
        <f t="shared" si="9"/>
        <v>21</v>
      </c>
      <c r="X141" s="11">
        <f t="shared" si="10"/>
        <v>-21</v>
      </c>
      <c r="Y141" s="11">
        <f>VLOOKUP($G141, SeanRanks!$A$2:$K$303, 10, FALSE)-V141</f>
        <v>0</v>
      </c>
      <c r="Z141" s="29" t="str">
        <f>IF(VLOOKUP($G141, SeanRanks!$A$2:$H$303, 7, FALSE)=0, "", VLOOKUP($G141, SeanRanks!$A$2:$H$303, 7, FALSE))</f>
        <v/>
      </c>
    </row>
    <row r="142" ht="14.25" customHeight="1">
      <c r="A142" s="11" t="s">
        <v>106</v>
      </c>
      <c r="B142" s="11">
        <f t="shared" si="4"/>
        <v>16</v>
      </c>
      <c r="C142" s="11" t="s">
        <v>95</v>
      </c>
      <c r="D142" s="11">
        <v>9.0</v>
      </c>
      <c r="E142" s="11"/>
      <c r="F142" s="11" t="str">
        <f>VLOOKUP(G142, SeanRanks!$A$2:$E$302, 4, FALSE)</f>
        <v/>
      </c>
      <c r="G142" s="11" t="s">
        <v>263</v>
      </c>
      <c r="H142" s="11" t="str">
        <f>VLOOKUP($G142, 'ADP Data'!$C$4:$Q$300, 2, FALSE)</f>
        <v>CAR</v>
      </c>
      <c r="I142" s="11">
        <f>VLOOKUP(G142, 'ADP Data'!$C$4:$R$498, 12, FALSE)</f>
        <v>178</v>
      </c>
      <c r="J142" s="11" t="str">
        <f>VLOOKUP($G142, SeanRanks!$A$2:$H$303, 5, FALSE)</f>
        <v/>
      </c>
      <c r="K142" s="11" t="str">
        <f>IF(VLOOKUP($G142, SeanRanks!$A$2:$H$303, 6, FALSE)=0, "", VLOOKUP($G142, SeanRanks!$A$2:$H$303, 6, FALSE))</f>
        <v>RB5 - 1 - upside</v>
      </c>
      <c r="L142" s="11">
        <f t="shared" si="5"/>
        <v>14</v>
      </c>
      <c r="M142" s="11">
        <f>VLOOKUP($G142, 'ADP Data'!$C$4:$Q$300, 9, FALSE)</f>
        <v>158</v>
      </c>
      <c r="N142" s="11">
        <f t="shared" si="6"/>
        <v>-28</v>
      </c>
      <c r="O142" s="11">
        <f>VLOOKUP($G142, 'ADP Data'!$C$4:$Q$300, 3, FALSE)</f>
        <v>210</v>
      </c>
      <c r="P142" s="11">
        <f t="shared" si="7"/>
        <v>-52</v>
      </c>
      <c r="Q142" s="11" t="str">
        <f>VLOOKUP($G142, 'ADP Data'!$C$4:$Q$300, 4, FALSE)</f>
        <v>-</v>
      </c>
      <c r="R142" s="11">
        <f>VLOOKUP($G142, 'ADP Data'!$C$4:$Q$300, 5, FALSE)</f>
        <v>201</v>
      </c>
      <c r="S142" s="11">
        <f>VLOOKUP($G142, 'ADP Data'!$C$4:$Q$300, 6, FALSE)</f>
        <v>165</v>
      </c>
      <c r="T142" s="11">
        <f>VLOOKUP($G142, 'ADP Data'!$C$4:$Q$300, 7, FALSE)</f>
        <v>164</v>
      </c>
      <c r="U142" s="11">
        <f>VLOOKUP($G142, 'ADP Data'!$C$4:$Q$300, 8, FALSE)</f>
        <v>220</v>
      </c>
      <c r="V142" s="11">
        <f t="shared" si="8"/>
        <v>186</v>
      </c>
      <c r="W142" s="11">
        <f t="shared" si="9"/>
        <v>16</v>
      </c>
      <c r="X142" s="11">
        <f t="shared" si="10"/>
        <v>-7</v>
      </c>
      <c r="Y142" s="11">
        <f>VLOOKUP($G142, SeanRanks!$A$2:$K$303, 10, FALSE)-V142</f>
        <v>-29</v>
      </c>
      <c r="Z142" s="29">
        <f>IF(VLOOKUP($G142, SeanRanks!$A$2:$H$303, 7, FALSE)=0, "", VLOOKUP($G142, SeanRanks!$A$2:$H$303, 7, FALSE))</f>
        <v>55</v>
      </c>
    </row>
    <row r="143" ht="14.25" customHeight="1">
      <c r="A143" s="11"/>
      <c r="B143" s="11" t="str">
        <f t="shared" si="4"/>
        <v>#N/A</v>
      </c>
      <c r="C143" s="11" t="s">
        <v>106</v>
      </c>
      <c r="D143" s="11"/>
      <c r="E143" s="11"/>
      <c r="F143" s="11" t="str">
        <f>VLOOKUP(G143, SeanRanks!$A$2:$E$302, 4, FALSE)</f>
        <v>#N/A</v>
      </c>
      <c r="G143" s="11" t="s">
        <v>887</v>
      </c>
      <c r="H143" s="11" t="str">
        <f>VLOOKUP($G143, 'ADP Data'!$C$4:$Q$300, 2, FALSE)</f>
        <v>#N/A</v>
      </c>
      <c r="I143" s="11" t="str">
        <f>VLOOKUP(G143, 'ADP Data'!$C$4:$R$498, 12, FALSE)</f>
        <v>#N/A</v>
      </c>
      <c r="J143" s="11" t="str">
        <f>VLOOKUP($G143, SeanRanks!$A$2:$H$303, 5, FALSE)</f>
        <v>#N/A</v>
      </c>
      <c r="K143" s="11" t="str">
        <f>IF(VLOOKUP($G143, SeanRanks!$A$2:$H$303, 6, FALSE)=0, "", VLOOKUP($G143, SeanRanks!$A$2:$H$303, 6, FALSE))</f>
        <v>#N/A</v>
      </c>
      <c r="L143" s="11">
        <f t="shared" si="5"/>
        <v>16</v>
      </c>
      <c r="M143" s="11" t="str">
        <f>VLOOKUP($G143, 'ADP Data'!$C$4:$Q$300, 9, FALSE)</f>
        <v>#N/A</v>
      </c>
      <c r="N143" s="11" t="str">
        <f t="shared" si="6"/>
        <v>#N/A</v>
      </c>
      <c r="O143" s="11" t="str">
        <f>VLOOKUP($G143, 'ADP Data'!$C$4:$Q$300, 3, FALSE)</f>
        <v>#N/A</v>
      </c>
      <c r="P143" s="11" t="str">
        <f t="shared" si="7"/>
        <v>#N/A</v>
      </c>
      <c r="Q143" s="11" t="str">
        <f>VLOOKUP($G143, 'ADP Data'!$C$4:$Q$300, 4, FALSE)</f>
        <v>#N/A</v>
      </c>
      <c r="R143" s="11" t="str">
        <f>VLOOKUP($G143, 'ADP Data'!$C$4:$Q$300, 5, FALSE)</f>
        <v>#N/A</v>
      </c>
      <c r="S143" s="11" t="str">
        <f>VLOOKUP($G143, 'ADP Data'!$C$4:$Q$300, 6, FALSE)</f>
        <v>#N/A</v>
      </c>
      <c r="T143" s="11" t="str">
        <f>VLOOKUP($G143, 'ADP Data'!$C$4:$Q$300, 7, FALSE)</f>
        <v>#N/A</v>
      </c>
      <c r="U143" s="11" t="str">
        <f>VLOOKUP($G143, 'ADP Data'!$C$4:$Q$300, 8, FALSE)</f>
        <v>#N/A</v>
      </c>
      <c r="V143" s="11" t="str">
        <f t="shared" si="8"/>
        <v>#N/A</v>
      </c>
      <c r="W143" s="11">
        <f t="shared" si="9"/>
        <v>16</v>
      </c>
      <c r="X143" s="11">
        <f t="shared" si="10"/>
        <v>-16</v>
      </c>
      <c r="Y143" s="11" t="str">
        <f>VLOOKUP($G143, SeanRanks!$A$2:$K$303, 10, FALSE)-V143</f>
        <v>#N/A</v>
      </c>
      <c r="Z143" s="29" t="str">
        <f>IF(VLOOKUP($G143, SeanRanks!$A$2:$H$303, 7, FALSE)=0, "", VLOOKUP($G143, SeanRanks!$A$2:$H$303, 7, FALSE))</f>
        <v>#N/A</v>
      </c>
    </row>
    <row r="144" ht="14.25" customHeight="1">
      <c r="A144" s="11"/>
      <c r="B144" s="11">
        <f t="shared" si="4"/>
        <v>20</v>
      </c>
      <c r="C144" s="11" t="s">
        <v>106</v>
      </c>
      <c r="D144" s="11"/>
      <c r="E144" s="11"/>
      <c r="F144" s="11" t="str">
        <f>VLOOKUP(G144, SeanRanks!$A$2:$E$302, 4, FALSE)</f>
        <v/>
      </c>
      <c r="G144" s="11" t="s">
        <v>664</v>
      </c>
      <c r="H144" s="11" t="str">
        <f>VLOOKUP($G144, 'ADP Data'!$C$4:$Q$300, 2, FALSE)</f>
        <v>CLE</v>
      </c>
      <c r="I144" s="11" t="str">
        <f>VLOOKUP(G144, 'ADP Data'!$C$4:$R$498, 12, FALSE)</f>
        <v>-</v>
      </c>
      <c r="J144" s="11" t="str">
        <f>VLOOKUP($G144, SeanRanks!$A$2:$H$303, 5, FALSE)</f>
        <v/>
      </c>
      <c r="K144" s="11" t="str">
        <f>IF(VLOOKUP($G144, SeanRanks!$A$2:$H$303, 6, FALSE)=0, "", VLOOKUP($G144, SeanRanks!$A$2:$H$303, 6, FALSE))</f>
        <v/>
      </c>
      <c r="L144" s="11">
        <f t="shared" si="5"/>
        <v>16</v>
      </c>
      <c r="M144" s="11" t="str">
        <f>VLOOKUP($G144, 'ADP Data'!$C$4:$Q$300, 9, FALSE)</f>
        <v>-</v>
      </c>
      <c r="N144" s="11" t="str">
        <f t="shared" si="6"/>
        <v>#VALUE!</v>
      </c>
      <c r="O144" s="11" t="str">
        <f>VLOOKUP($G144, 'ADP Data'!$C$4:$Q$300, 3, FALSE)</f>
        <v>-</v>
      </c>
      <c r="P144" s="11" t="str">
        <f t="shared" si="7"/>
        <v>#VALUE!</v>
      </c>
      <c r="Q144" s="11">
        <f>VLOOKUP($G144, 'ADP Data'!$C$4:$Q$300, 4, FALSE)</f>
        <v>215</v>
      </c>
      <c r="R144" s="11" t="str">
        <f>VLOOKUP($G144, 'ADP Data'!$C$4:$Q$300, 5, FALSE)</f>
        <v>-</v>
      </c>
      <c r="S144" s="11">
        <f>VLOOKUP($G144, 'ADP Data'!$C$4:$Q$300, 6, FALSE)</f>
        <v>318</v>
      </c>
      <c r="T144" s="11">
        <f>VLOOKUP($G144, 'ADP Data'!$C$4:$Q$300, 7, FALSE)</f>
        <v>261</v>
      </c>
      <c r="U144" s="11">
        <f>VLOOKUP($G144, 'ADP Data'!$C$4:$Q$300, 8, FALSE)</f>
        <v>125</v>
      </c>
      <c r="V144" s="11">
        <f t="shared" si="8"/>
        <v>229</v>
      </c>
      <c r="W144" s="11">
        <f t="shared" si="9"/>
        <v>20</v>
      </c>
      <c r="X144" s="11">
        <f t="shared" si="10"/>
        <v>-20</v>
      </c>
      <c r="Y144" s="11">
        <f>VLOOKUP($G144, SeanRanks!$A$2:$K$303, 10, FALSE)-V144</f>
        <v>-12</v>
      </c>
      <c r="Z144" s="29" t="str">
        <f>IF(VLOOKUP($G144, SeanRanks!$A$2:$H$303, 7, FALSE)=0, "", VLOOKUP($G144, SeanRanks!$A$2:$H$303, 7, FALSE))</f>
        <v/>
      </c>
    </row>
    <row r="145" ht="14.25" customHeight="1">
      <c r="A145" s="11"/>
      <c r="B145" s="11">
        <f t="shared" si="4"/>
        <v>10</v>
      </c>
      <c r="C145" s="11" t="s">
        <v>95</v>
      </c>
      <c r="D145" s="11"/>
      <c r="E145" s="11"/>
      <c r="F145" s="11" t="str">
        <f>VLOOKUP(G145, SeanRanks!$A$2:$E$302, 4, FALSE)</f>
        <v/>
      </c>
      <c r="G145" s="11" t="s">
        <v>278</v>
      </c>
      <c r="H145" s="11" t="str">
        <f>VLOOKUP($G145, 'ADP Data'!$C$4:$Q$300, 2, FALSE)</f>
        <v>DEN</v>
      </c>
      <c r="I145" s="11">
        <f>VLOOKUP(G145, 'ADP Data'!$C$4:$R$498, 12, FALSE)</f>
        <v>95</v>
      </c>
      <c r="J145" s="59" t="str">
        <f>VLOOKUP($G145, SeanRanks!$A$2:$H$303, 5, FALSE)</f>
        <v/>
      </c>
      <c r="K145" s="11" t="str">
        <f>IF(VLOOKUP($G145, SeanRanks!$A$2:$H$303, 6, FALSE)=0, "", VLOOKUP($G145, SeanRanks!$A$2:$H$303, 6, FALSE))</f>
        <v>RB3 - 1 - Upside</v>
      </c>
      <c r="L145" s="11">
        <f t="shared" si="5"/>
        <v>9</v>
      </c>
      <c r="M145" s="11">
        <f>VLOOKUP($G145, 'ADP Data'!$C$4:$Q$300, 9, FALSE)</f>
        <v>107</v>
      </c>
      <c r="N145" s="11">
        <f t="shared" si="6"/>
        <v>0</v>
      </c>
      <c r="O145" s="11">
        <f>VLOOKUP($G145, 'ADP Data'!$C$4:$Q$300, 3, FALSE)</f>
        <v>102</v>
      </c>
      <c r="P145" s="11">
        <f t="shared" si="7"/>
        <v>5</v>
      </c>
      <c r="Q145" s="11">
        <f>VLOOKUP($G145, 'ADP Data'!$C$4:$Q$300, 4, FALSE)</f>
        <v>98</v>
      </c>
      <c r="R145" s="11">
        <f>VLOOKUP($G145, 'ADP Data'!$C$4:$Q$300, 5, FALSE)</f>
        <v>119</v>
      </c>
      <c r="S145" s="11">
        <f>VLOOKUP($G145, 'ADP Data'!$C$4:$Q$300, 6, FALSE)</f>
        <v>93</v>
      </c>
      <c r="T145" s="11">
        <f>VLOOKUP($G145, 'ADP Data'!$C$4:$Q$300, 7, FALSE)</f>
        <v>98</v>
      </c>
      <c r="U145" s="11">
        <f>VLOOKUP($G145, 'ADP Data'!$C$4:$Q$300, 8, FALSE)</f>
        <v>136</v>
      </c>
      <c r="V145" s="11">
        <f t="shared" si="8"/>
        <v>107</v>
      </c>
      <c r="W145" s="11">
        <f t="shared" si="9"/>
        <v>9</v>
      </c>
      <c r="X145" s="11">
        <f t="shared" si="10"/>
        <v>-9</v>
      </c>
      <c r="Y145" s="11">
        <f>VLOOKUP($G145, SeanRanks!$A$2:$K$303, 10, FALSE)-V145</f>
        <v>-27</v>
      </c>
      <c r="Z145" s="29">
        <f>IF(VLOOKUP($G145, SeanRanks!$A$2:$H$303, 7, FALSE)=0, "", VLOOKUP($G145, SeanRanks!$A$2:$H$303, 7, FALSE))</f>
        <v>29</v>
      </c>
    </row>
    <row r="146" ht="14.25" customHeight="1">
      <c r="A146" s="11"/>
      <c r="B146" s="11">
        <f t="shared" si="4"/>
        <v>17</v>
      </c>
      <c r="C146" s="11" t="s">
        <v>95</v>
      </c>
      <c r="D146" s="11"/>
      <c r="E146" s="11"/>
      <c r="F146" s="11" t="str">
        <f>VLOOKUP(G146, SeanRanks!$A$2:$E$302, 4, FALSE)</f>
        <v/>
      </c>
      <c r="G146" s="11" t="s">
        <v>883</v>
      </c>
      <c r="H146" s="11" t="str">
        <f>VLOOKUP($G146, 'ADP Data'!$C$4:$Q$300, 2, FALSE)</f>
        <v>BUF</v>
      </c>
      <c r="I146" s="11">
        <f>VLOOKUP(G146, 'ADP Data'!$C$4:$R$498, 12, FALSE)</f>
        <v>127</v>
      </c>
      <c r="J146" s="11" t="str">
        <f>VLOOKUP($G146, SeanRanks!$A$2:$H$303, 5, FALSE)</f>
        <v/>
      </c>
      <c r="K146" s="11" t="str">
        <f>IF(VLOOKUP($G146, SeanRanks!$A$2:$H$303, 6, FALSE)=0, "", VLOOKUP($G146, SeanRanks!$A$2:$H$303, 6, FALSE))</f>
        <v>WR6 - dart throw upside</v>
      </c>
      <c r="L146" s="11">
        <f t="shared" si="5"/>
        <v>15</v>
      </c>
      <c r="M146" s="11">
        <f>VLOOKUP($G146, 'ADP Data'!$C$4:$Q$300, 9, FALSE)</f>
        <v>174</v>
      </c>
      <c r="N146" s="11">
        <f t="shared" si="6"/>
        <v>-14</v>
      </c>
      <c r="O146" s="11" t="str">
        <f>VLOOKUP($G146, 'ADP Data'!$C$4:$Q$300, 3, FALSE)</f>
        <v>-</v>
      </c>
      <c r="P146" s="11" t="str">
        <f t="shared" si="7"/>
        <v>#VALUE!</v>
      </c>
      <c r="Q146" s="11" t="str">
        <f>VLOOKUP($G146, 'ADP Data'!$C$4:$Q$300, 4, FALSE)</f>
        <v>-</v>
      </c>
      <c r="R146" s="11">
        <f>VLOOKUP($G146, 'ADP Data'!$C$4:$Q$300, 5, FALSE)</f>
        <v>221</v>
      </c>
      <c r="S146" s="11">
        <f>VLOOKUP($G146, 'ADP Data'!$C$4:$Q$300, 6, FALSE)</f>
        <v>158</v>
      </c>
      <c r="T146" s="11">
        <f>VLOOKUP($G146, 'ADP Data'!$C$4:$Q$300, 7, FALSE)</f>
        <v>155</v>
      </c>
      <c r="U146" s="11">
        <f>VLOOKUP($G146, 'ADP Data'!$C$4:$Q$300, 8, FALSE)</f>
        <v>235</v>
      </c>
      <c r="V146" s="11">
        <f t="shared" si="8"/>
        <v>188</v>
      </c>
      <c r="W146" s="11">
        <f t="shared" si="9"/>
        <v>16</v>
      </c>
      <c r="X146" s="11">
        <f t="shared" si="10"/>
        <v>-16</v>
      </c>
      <c r="Y146" s="11">
        <f>VLOOKUP($G146, SeanRanks!$A$2:$K$303, 10, FALSE)-V146</f>
        <v>-38</v>
      </c>
      <c r="Z146" s="29">
        <f>IF(VLOOKUP($G146, SeanRanks!$A$2:$H$303, 7, FALSE)=0, "", VLOOKUP($G146, SeanRanks!$A$2:$H$303, 7, FALSE))</f>
        <v>61</v>
      </c>
    </row>
    <row r="147" ht="14.25" customHeight="1">
      <c r="A147" s="11"/>
      <c r="B147" s="11">
        <f t="shared" si="4"/>
        <v>21</v>
      </c>
      <c r="C147" s="11" t="s">
        <v>106</v>
      </c>
      <c r="D147" s="11"/>
      <c r="E147" s="11"/>
      <c r="F147" s="11" t="str">
        <f>VLOOKUP(G147, SeanRanks!$A$2:$E$302, 4, FALSE)</f>
        <v/>
      </c>
      <c r="G147" s="11" t="s">
        <v>886</v>
      </c>
      <c r="H147" s="11" t="str">
        <f>VLOOKUP($G147, 'ADP Data'!$C$4:$Q$300, 2, FALSE)</f>
        <v>NYJ</v>
      </c>
      <c r="I147" s="11" t="str">
        <f>VLOOKUP(G147, 'ADP Data'!$C$4:$R$498, 12, FALSE)</f>
        <v>-</v>
      </c>
      <c r="J147" s="11" t="str">
        <f>VLOOKUP($G147, SeanRanks!$A$2:$H$303, 5, FALSE)</f>
        <v/>
      </c>
      <c r="K147" s="11" t="str">
        <f>IF(VLOOKUP($G147, SeanRanks!$A$2:$H$303, 6, FALSE)=0, "", VLOOKUP($G147, SeanRanks!$A$2:$H$303, 6, FALSE))</f>
        <v/>
      </c>
      <c r="L147" s="11">
        <f t="shared" si="5"/>
        <v>20</v>
      </c>
      <c r="M147" s="11">
        <f>VLOOKUP($G147, 'ADP Data'!$C$4:$Q$300, 9, FALSE)</f>
        <v>236</v>
      </c>
      <c r="N147" s="11">
        <f t="shared" si="6"/>
        <v>-4</v>
      </c>
      <c r="O147" s="11">
        <f>VLOOKUP($G147, 'ADP Data'!$C$4:$Q$300, 3, FALSE)</f>
        <v>192</v>
      </c>
      <c r="P147" s="11">
        <f t="shared" si="7"/>
        <v>44</v>
      </c>
      <c r="Q147" s="11">
        <f>VLOOKUP($G147, 'ADP Data'!$C$4:$Q$300, 4, FALSE)</f>
        <v>206</v>
      </c>
      <c r="R147" s="11">
        <f>VLOOKUP($G147, 'ADP Data'!$C$4:$Q$300, 5, FALSE)</f>
        <v>329</v>
      </c>
      <c r="S147" s="11">
        <f>VLOOKUP($G147, 'ADP Data'!$C$4:$Q$300, 6, FALSE)</f>
        <v>272</v>
      </c>
      <c r="T147" s="11">
        <f>VLOOKUP($G147, 'ADP Data'!$C$4:$Q$300, 7, FALSE)</f>
        <v>234</v>
      </c>
      <c r="U147" s="11">
        <f>VLOOKUP($G147, 'ADP Data'!$C$4:$Q$300, 8, FALSE)</f>
        <v>213</v>
      </c>
      <c r="V147" s="11">
        <f t="shared" si="8"/>
        <v>240</v>
      </c>
      <c r="W147" s="11">
        <f t="shared" si="9"/>
        <v>21</v>
      </c>
      <c r="X147" s="11">
        <f t="shared" si="10"/>
        <v>-21</v>
      </c>
      <c r="Y147" s="11">
        <f>VLOOKUP($G147, SeanRanks!$A$2:$K$303, 10, FALSE)-V147</f>
        <v>-46</v>
      </c>
      <c r="Z147" s="29" t="str">
        <f>IF(VLOOKUP($G147, SeanRanks!$A$2:$H$303, 7, FALSE)=0, "", VLOOKUP($G147, SeanRanks!$A$2:$H$303, 7, FALSE))</f>
        <v/>
      </c>
    </row>
    <row r="148" ht="14.25" customHeight="1">
      <c r="A148" s="11"/>
      <c r="B148" s="11">
        <f t="shared" si="4"/>
        <v>5</v>
      </c>
      <c r="C148" s="11" t="s">
        <v>106</v>
      </c>
      <c r="D148" s="11"/>
      <c r="E148" s="11"/>
      <c r="F148" s="11" t="str">
        <f>VLOOKUP(G148, SeanRanks!$A$2:$E$302, 4, FALSE)</f>
        <v/>
      </c>
      <c r="G148" s="11" t="s">
        <v>288</v>
      </c>
      <c r="H148" s="11" t="str">
        <f>VLOOKUP($G148, 'ADP Data'!$C$4:$Q$300, 2, FALSE)</f>
        <v>CAR</v>
      </c>
      <c r="I148" s="11">
        <f>VLOOKUP(G148, 'ADP Data'!$C$4:$R$498, 12, FALSE)</f>
        <v>60</v>
      </c>
      <c r="J148" s="36" t="str">
        <f>VLOOKUP($G148, SeanRanks!$A$2:$H$303, 5, FALSE)</f>
        <v/>
      </c>
      <c r="K148" s="11" t="str">
        <f>IF(VLOOKUP($G148, SeanRanks!$A$2:$H$303, 6, FALSE)=0, "", VLOOKUP($G148, SeanRanks!$A$2:$H$303, 6, FALSE))</f>
        <v>RB2 - 1 - Clear path to spikes</v>
      </c>
      <c r="L148" s="11">
        <f t="shared" si="5"/>
        <v>4</v>
      </c>
      <c r="M148" s="11">
        <f>VLOOKUP($G148, 'ADP Data'!$C$4:$Q$300, 9, FALSE)</f>
        <v>45</v>
      </c>
      <c r="N148" s="11">
        <f t="shared" si="6"/>
        <v>-3</v>
      </c>
      <c r="O148" s="11">
        <f>VLOOKUP($G148, 'ADP Data'!$C$4:$Q$300, 3, FALSE)</f>
        <v>44</v>
      </c>
      <c r="P148" s="11">
        <f t="shared" si="7"/>
        <v>1</v>
      </c>
      <c r="Q148" s="11">
        <f>VLOOKUP($G148, 'ADP Data'!$C$4:$Q$300, 4, FALSE)</f>
        <v>40</v>
      </c>
      <c r="R148" s="11">
        <f>VLOOKUP($G148, 'ADP Data'!$C$4:$Q$300, 5, FALSE)</f>
        <v>60</v>
      </c>
      <c r="S148" s="11">
        <f>VLOOKUP($G148, 'ADP Data'!$C$4:$Q$300, 6, FALSE)</f>
        <v>47</v>
      </c>
      <c r="T148" s="11">
        <f>VLOOKUP($G148, 'ADP Data'!$C$4:$Q$300, 7, FALSE)</f>
        <v>51</v>
      </c>
      <c r="U148" s="11">
        <f>VLOOKUP($G148, 'ADP Data'!$C$4:$Q$300, 8, FALSE)</f>
        <v>55</v>
      </c>
      <c r="V148" s="11">
        <f t="shared" si="8"/>
        <v>48</v>
      </c>
      <c r="W148" s="11">
        <f t="shared" si="9"/>
        <v>5</v>
      </c>
      <c r="X148" s="11">
        <f t="shared" si="10"/>
        <v>-5</v>
      </c>
      <c r="Y148" s="11">
        <f>VLOOKUP($G148, SeanRanks!$A$2:$K$303, 10, FALSE)-V148</f>
        <v>-8</v>
      </c>
      <c r="Z148" s="29">
        <f>IF(VLOOKUP($G148, SeanRanks!$A$2:$H$303, 7, FALSE)=0, "", VLOOKUP($G148, SeanRanks!$A$2:$H$303, 7, FALSE))</f>
        <v>17</v>
      </c>
    </row>
    <row r="149" ht="14.25" customHeight="1">
      <c r="A149" s="11"/>
      <c r="B149" s="11">
        <f t="shared" si="4"/>
        <v>7</v>
      </c>
      <c r="C149" s="11" t="s">
        <v>95</v>
      </c>
      <c r="D149" s="11"/>
      <c r="E149" s="11"/>
      <c r="F149" s="11" t="str">
        <f>VLOOKUP(G149, SeanRanks!$A$2:$E$302, 4, FALSE)</f>
        <v/>
      </c>
      <c r="G149" s="11" t="s">
        <v>437</v>
      </c>
      <c r="H149" s="11" t="str">
        <f>VLOOKUP($G149, 'ADP Data'!$C$4:$Q$300, 2, FALSE)</f>
        <v>CLE</v>
      </c>
      <c r="I149" s="11">
        <f>VLOOKUP(G149, 'ADP Data'!$C$4:$R$498, 12, FALSE)</f>
        <v>72</v>
      </c>
      <c r="J149" s="11" t="str">
        <f>VLOOKUP($G149, SeanRanks!$A$2:$H$303, 5, FALSE)</f>
        <v/>
      </c>
      <c r="K149" s="11" t="str">
        <f>IF(VLOOKUP($G149, SeanRanks!$A$2:$H$303, 6, FALSE)=0, "", VLOOKUP($G149, SeanRanks!$A$2:$H$303, 6, FALSE))</f>
        <v>WR3 - 3 - lower ceiling</v>
      </c>
      <c r="L149" s="11">
        <f t="shared" si="5"/>
        <v>7</v>
      </c>
      <c r="M149" s="11">
        <f>VLOOKUP($G149, 'ADP Data'!$C$4:$Q$300, 9, FALSE)</f>
        <v>75</v>
      </c>
      <c r="N149" s="11">
        <f t="shared" si="6"/>
        <v>0</v>
      </c>
      <c r="O149" s="11">
        <f>VLOOKUP($G149, 'ADP Data'!$C$4:$Q$300, 3, FALSE)</f>
        <v>69</v>
      </c>
      <c r="P149" s="11">
        <f t="shared" si="7"/>
        <v>6</v>
      </c>
      <c r="Q149" s="11">
        <f>VLOOKUP($G149, 'ADP Data'!$C$4:$Q$300, 4, FALSE)</f>
        <v>68</v>
      </c>
      <c r="R149" s="11">
        <f>VLOOKUP($G149, 'ADP Data'!$C$4:$Q$300, 5, FALSE)</f>
        <v>81</v>
      </c>
      <c r="S149" s="11">
        <f>VLOOKUP($G149, 'ADP Data'!$C$4:$Q$300, 6, FALSE)</f>
        <v>74</v>
      </c>
      <c r="T149" s="11">
        <f>VLOOKUP($G149, 'ADP Data'!$C$4:$Q$300, 7, FALSE)</f>
        <v>62</v>
      </c>
      <c r="U149" s="11">
        <f>VLOOKUP($G149, 'ADP Data'!$C$4:$Q$300, 8, FALSE)</f>
        <v>98</v>
      </c>
      <c r="V149" s="11">
        <f t="shared" si="8"/>
        <v>75</v>
      </c>
      <c r="W149" s="11">
        <f t="shared" si="9"/>
        <v>7</v>
      </c>
      <c r="X149" s="11">
        <f t="shared" si="10"/>
        <v>-7</v>
      </c>
      <c r="Y149" s="11">
        <f>VLOOKUP($G149, SeanRanks!$A$2:$K$303, 10, FALSE)-V149</f>
        <v>6</v>
      </c>
      <c r="Z149" s="29">
        <f>IF(VLOOKUP($G149, SeanRanks!$A$2:$H$303, 7, FALSE)=0, "", VLOOKUP($G149, SeanRanks!$A$2:$H$303, 7, FALSE))</f>
        <v>37</v>
      </c>
    </row>
    <row r="150" ht="14.25" customHeight="1">
      <c r="A150" s="11"/>
      <c r="B150" s="11" t="str">
        <f t="shared" si="4"/>
        <v>#N/A</v>
      </c>
      <c r="C150" s="11" t="s">
        <v>95</v>
      </c>
      <c r="D150" s="11"/>
      <c r="E150" s="11"/>
      <c r="F150" s="11" t="str">
        <f>VLOOKUP(G150, SeanRanks!$A$2:$E$302, 4, FALSE)</f>
        <v>#N/A</v>
      </c>
      <c r="G150" s="11" t="s">
        <v>888</v>
      </c>
      <c r="H150" s="11" t="str">
        <f>VLOOKUP($G150, 'ADP Data'!$C$4:$Q$300, 2, FALSE)</f>
        <v>#N/A</v>
      </c>
      <c r="I150" s="11" t="str">
        <f>VLOOKUP(G150, 'ADP Data'!$C$4:$R$498, 12, FALSE)</f>
        <v>#N/A</v>
      </c>
      <c r="J150" s="49" t="str">
        <f>VLOOKUP($G150, SeanRanks!$A$2:$H$303, 5, FALSE)</f>
        <v>#N/A</v>
      </c>
      <c r="K150" s="11" t="str">
        <f>IF(VLOOKUP($G150, SeanRanks!$A$2:$H$303, 6, FALSE)=0, "", VLOOKUP($G150, SeanRanks!$A$2:$H$303, 6, FALSE))</f>
        <v>#N/A</v>
      </c>
      <c r="L150" s="11">
        <f t="shared" si="5"/>
        <v>16</v>
      </c>
      <c r="M150" s="11" t="str">
        <f>VLOOKUP($G150, 'ADP Data'!$C$4:$Q$300, 9, FALSE)</f>
        <v>#N/A</v>
      </c>
      <c r="N150" s="11" t="str">
        <f t="shared" si="6"/>
        <v>#N/A</v>
      </c>
      <c r="O150" s="11" t="str">
        <f>VLOOKUP($G150, 'ADP Data'!$C$4:$Q$300, 3, FALSE)</f>
        <v>#N/A</v>
      </c>
      <c r="P150" s="11" t="str">
        <f t="shared" si="7"/>
        <v>#N/A</v>
      </c>
      <c r="Q150" s="11" t="str">
        <f>VLOOKUP($G150, 'ADP Data'!$C$4:$Q$300, 4, FALSE)</f>
        <v>#N/A</v>
      </c>
      <c r="R150" s="11" t="str">
        <f>VLOOKUP($G150, 'ADP Data'!$C$4:$Q$300, 5, FALSE)</f>
        <v>#N/A</v>
      </c>
      <c r="S150" s="11" t="str">
        <f>VLOOKUP($G150, 'ADP Data'!$C$4:$Q$300, 6, FALSE)</f>
        <v>#N/A</v>
      </c>
      <c r="T150" s="11" t="str">
        <f>VLOOKUP($G150, 'ADP Data'!$C$4:$Q$300, 7, FALSE)</f>
        <v>#N/A</v>
      </c>
      <c r="U150" s="11" t="str">
        <f>VLOOKUP($G150, 'ADP Data'!$C$4:$Q$300, 8, FALSE)</f>
        <v>#N/A</v>
      </c>
      <c r="V150" s="11" t="str">
        <f t="shared" si="8"/>
        <v>#N/A</v>
      </c>
      <c r="W150" s="11">
        <f t="shared" si="9"/>
        <v>16</v>
      </c>
      <c r="X150" s="11">
        <f t="shared" si="10"/>
        <v>-16</v>
      </c>
      <c r="Y150" s="11" t="str">
        <f>VLOOKUP($G150, SeanRanks!$A$2:$K$303, 10, FALSE)-V150</f>
        <v>#N/A</v>
      </c>
      <c r="Z150" s="29" t="str">
        <f>IF(VLOOKUP($G150, SeanRanks!$A$2:$H$303, 7, FALSE)=0, "", VLOOKUP($G150, SeanRanks!$A$2:$H$303, 7, FALSE))</f>
        <v>#N/A</v>
      </c>
    </row>
    <row r="151" ht="14.25" customHeight="1">
      <c r="A151" s="11"/>
      <c r="B151" s="11" t="str">
        <f t="shared" si="4"/>
        <v>#N/A</v>
      </c>
      <c r="C151" s="11" t="s">
        <v>106</v>
      </c>
      <c r="D151" s="11"/>
      <c r="E151" s="11"/>
      <c r="F151" s="11" t="str">
        <f>VLOOKUP(G151, SeanRanks!$A$2:$E$302, 4, FALSE)</f>
        <v>#N/A</v>
      </c>
      <c r="G151" s="11" t="s">
        <v>686</v>
      </c>
      <c r="H151" s="11" t="str">
        <f>VLOOKUP($G151, 'ADP Data'!$C$4:$Q$300, 2, FALSE)</f>
        <v>#N/A</v>
      </c>
      <c r="I151" s="11" t="str">
        <f>VLOOKUP(G151, 'ADP Data'!$C$4:$R$498, 12, FALSE)</f>
        <v>#N/A</v>
      </c>
      <c r="J151" s="11" t="str">
        <f>VLOOKUP($G151, SeanRanks!$A$2:$H$303, 5, FALSE)</f>
        <v>#N/A</v>
      </c>
      <c r="K151" s="11" t="str">
        <f>IF(VLOOKUP($G151, SeanRanks!$A$2:$H$303, 6, FALSE)=0, "", VLOOKUP($G151, SeanRanks!$A$2:$H$303, 6, FALSE))</f>
        <v>#N/A</v>
      </c>
      <c r="L151" s="11">
        <f t="shared" si="5"/>
        <v>16</v>
      </c>
      <c r="M151" s="11" t="str">
        <f>VLOOKUP($G151, 'ADP Data'!$C$4:$Q$300, 9, FALSE)</f>
        <v>#N/A</v>
      </c>
      <c r="N151" s="11" t="str">
        <f t="shared" si="6"/>
        <v>#N/A</v>
      </c>
      <c r="O151" s="11" t="str">
        <f>VLOOKUP($G151, 'ADP Data'!$C$4:$Q$300, 3, FALSE)</f>
        <v>#N/A</v>
      </c>
      <c r="P151" s="11" t="str">
        <f t="shared" si="7"/>
        <v>#N/A</v>
      </c>
      <c r="Q151" s="11" t="str">
        <f>VLOOKUP($G151, 'ADP Data'!$C$4:$Q$300, 4, FALSE)</f>
        <v>#N/A</v>
      </c>
      <c r="R151" s="11" t="str">
        <f>VLOOKUP($G151, 'ADP Data'!$C$4:$Q$300, 5, FALSE)</f>
        <v>#N/A</v>
      </c>
      <c r="S151" s="11" t="str">
        <f>VLOOKUP($G151, 'ADP Data'!$C$4:$Q$300, 6, FALSE)</f>
        <v>#N/A</v>
      </c>
      <c r="T151" s="11" t="str">
        <f>VLOOKUP($G151, 'ADP Data'!$C$4:$Q$300, 7, FALSE)</f>
        <v>#N/A</v>
      </c>
      <c r="U151" s="11" t="str">
        <f>VLOOKUP($G151, 'ADP Data'!$C$4:$Q$300, 8, FALSE)</f>
        <v>#N/A</v>
      </c>
      <c r="V151" s="11" t="str">
        <f t="shared" si="8"/>
        <v>#N/A</v>
      </c>
      <c r="W151" s="11">
        <f t="shared" si="9"/>
        <v>16</v>
      </c>
      <c r="X151" s="11">
        <f t="shared" si="10"/>
        <v>-16</v>
      </c>
      <c r="Y151" s="11" t="str">
        <f>VLOOKUP($G151, SeanRanks!$A$2:$K$303, 10, FALSE)-V151</f>
        <v>#N/A</v>
      </c>
      <c r="Z151" s="29" t="str">
        <f>IF(VLOOKUP($G151, SeanRanks!$A$2:$H$303, 7, FALSE)=0, "", VLOOKUP($G151, SeanRanks!$A$2:$H$303, 7, FALSE))</f>
        <v>#N/A</v>
      </c>
    </row>
    <row r="152" ht="14.25" customHeight="1">
      <c r="A152" s="11"/>
      <c r="B152" s="11">
        <f t="shared" si="4"/>
        <v>12</v>
      </c>
      <c r="C152" s="11" t="s">
        <v>95</v>
      </c>
      <c r="D152" s="11">
        <v>11.0</v>
      </c>
      <c r="E152" s="11"/>
      <c r="F152" s="11" t="str">
        <f>VLOOKUP(G152, SeanRanks!$A$2:$E$302, 4, FALSE)</f>
        <v/>
      </c>
      <c r="G152" s="11" t="s">
        <v>385</v>
      </c>
      <c r="H152" s="11" t="str">
        <f>VLOOKUP($G152, 'ADP Data'!$C$4:$Q$300, 2, FALSE)</f>
        <v>NO</v>
      </c>
      <c r="I152" s="11">
        <f>VLOOKUP(G152, 'ADP Data'!$C$4:$R$498, 12, FALSE)</f>
        <v>102</v>
      </c>
      <c r="J152" s="40" t="str">
        <f>VLOOKUP($G152, SeanRanks!$A$2:$H$303, 5, FALSE)</f>
        <v/>
      </c>
      <c r="K152" s="11" t="str">
        <f>IF(VLOOKUP($G152, SeanRanks!$A$2:$H$303, 6, FALSE)=0, "", VLOOKUP($G152, SeanRanks!$A$2:$H$303, 6, FALSE))</f>
        <v>WR4 - 2 - unclear path to WR2</v>
      </c>
      <c r="L152" s="11">
        <f t="shared" si="5"/>
        <v>11</v>
      </c>
      <c r="M152" s="11">
        <f>VLOOKUP($G152, 'ADP Data'!$C$4:$Q$300, 9, FALSE)</f>
        <v>124</v>
      </c>
      <c r="N152" s="11">
        <f t="shared" si="6"/>
        <v>-15</v>
      </c>
      <c r="O152" s="11">
        <f>VLOOKUP($G152, 'ADP Data'!$C$4:$Q$300, 3, FALSE)</f>
        <v>161</v>
      </c>
      <c r="P152" s="11">
        <f t="shared" si="7"/>
        <v>-37</v>
      </c>
      <c r="Q152" s="11">
        <f>VLOOKUP($G152, 'ADP Data'!$C$4:$Q$300, 4, FALSE)</f>
        <v>134</v>
      </c>
      <c r="R152" s="11">
        <f>VLOOKUP($G152, 'ADP Data'!$C$4:$Q$300, 5, FALSE)</f>
        <v>133</v>
      </c>
      <c r="S152" s="11">
        <f>VLOOKUP($G152, 'ADP Data'!$C$4:$Q$300, 6, FALSE)</f>
        <v>127</v>
      </c>
      <c r="T152" s="11">
        <f>VLOOKUP($G152, 'ADP Data'!$C$4:$Q$300, 7, FALSE)</f>
        <v>117</v>
      </c>
      <c r="U152" s="11">
        <f>VLOOKUP($G152, 'ADP Data'!$C$4:$Q$300, 8, FALSE)</f>
        <v>177</v>
      </c>
      <c r="V152" s="11">
        <f t="shared" si="8"/>
        <v>139</v>
      </c>
      <c r="W152" s="11">
        <f t="shared" si="9"/>
        <v>12</v>
      </c>
      <c r="X152" s="11">
        <f t="shared" si="10"/>
        <v>-1</v>
      </c>
      <c r="Y152" s="11">
        <f>VLOOKUP($G152, SeanRanks!$A$2:$K$303, 10, FALSE)-V152</f>
        <v>-31</v>
      </c>
      <c r="Z152" s="29">
        <f>IF(VLOOKUP($G152, SeanRanks!$A$2:$H$303, 7, FALSE)=0, "", VLOOKUP($G152, SeanRanks!$A$2:$H$303, 7, FALSE))</f>
        <v>44</v>
      </c>
    </row>
    <row r="153" ht="14.25" customHeight="1">
      <c r="A153" s="11"/>
      <c r="B153" s="11">
        <f t="shared" si="4"/>
        <v>15</v>
      </c>
      <c r="C153" s="11" t="s">
        <v>95</v>
      </c>
      <c r="D153" s="11"/>
      <c r="E153" s="11"/>
      <c r="F153" s="11" t="str">
        <f>VLOOKUP(G153, SeanRanks!$A$2:$E$302, 4, FALSE)</f>
        <v/>
      </c>
      <c r="G153" s="11" t="s">
        <v>380</v>
      </c>
      <c r="H153" s="11" t="str">
        <f>VLOOKUP($G153, 'ADP Data'!$C$4:$Q$300, 2, FALSE)</f>
        <v>ATL</v>
      </c>
      <c r="I153" s="11">
        <f>VLOOKUP(G153, 'ADP Data'!$C$4:$R$498, 12, FALSE)</f>
        <v>156</v>
      </c>
      <c r="J153" s="59" t="str">
        <f>VLOOKUP($G153, SeanRanks!$A$2:$H$303, 5, FALSE)</f>
        <v/>
      </c>
      <c r="K153" s="11" t="str">
        <f>IF(VLOOKUP($G153, SeanRanks!$A$2:$H$303, 6, FALSE)=0, "", VLOOKUP($G153, SeanRanks!$A$2:$H$303, 6, FALSE))</f>
        <v>RB4 - 1 - Path to spikes</v>
      </c>
      <c r="L153" s="11">
        <f t="shared" si="5"/>
        <v>14</v>
      </c>
      <c r="M153" s="11">
        <f>VLOOKUP($G153, 'ADP Data'!$C$4:$Q$300, 9, FALSE)</f>
        <v>167</v>
      </c>
      <c r="N153" s="11">
        <f t="shared" si="6"/>
        <v>-2</v>
      </c>
      <c r="O153" s="11">
        <f>VLOOKUP($G153, 'ADP Data'!$C$4:$Q$300, 3, FALSE)</f>
        <v>172</v>
      </c>
      <c r="P153" s="11">
        <f t="shared" si="7"/>
        <v>-5</v>
      </c>
      <c r="Q153" s="11">
        <f>VLOOKUP($G153, 'ADP Data'!$C$4:$Q$300, 4, FALSE)</f>
        <v>161</v>
      </c>
      <c r="R153" s="11">
        <f>VLOOKUP($G153, 'ADP Data'!$C$4:$Q$300, 5, FALSE)</f>
        <v>199</v>
      </c>
      <c r="S153" s="11">
        <f>VLOOKUP($G153, 'ADP Data'!$C$4:$Q$300, 6, FALSE)</f>
        <v>151</v>
      </c>
      <c r="T153" s="11">
        <f>VLOOKUP($G153, 'ADP Data'!$C$4:$Q$300, 7, FALSE)</f>
        <v>154</v>
      </c>
      <c r="U153" s="11">
        <f>VLOOKUP($G153, 'ADP Data'!$C$4:$Q$300, 8, FALSE)</f>
        <v>184</v>
      </c>
      <c r="V153" s="11">
        <f t="shared" si="8"/>
        <v>169</v>
      </c>
      <c r="W153" s="11">
        <f t="shared" si="9"/>
        <v>15</v>
      </c>
      <c r="X153" s="11">
        <f t="shared" si="10"/>
        <v>-15</v>
      </c>
      <c r="Y153" s="11">
        <f>VLOOKUP($G153, SeanRanks!$A$2:$K$303, 10, FALSE)-V153</f>
        <v>-23</v>
      </c>
      <c r="Z153" s="29">
        <f>IF(VLOOKUP($G153, SeanRanks!$A$2:$H$303, 7, FALSE)=0, "", VLOOKUP($G153, SeanRanks!$A$2:$H$303, 7, FALSE))</f>
        <v>46</v>
      </c>
    </row>
    <row r="154" ht="14.25" customHeight="1">
      <c r="A154" s="11"/>
      <c r="B154" s="11" t="str">
        <f t="shared" si="4"/>
        <v>#N/A</v>
      </c>
      <c r="C154" s="11" t="s">
        <v>95</v>
      </c>
      <c r="D154" s="11"/>
      <c r="E154" s="11"/>
      <c r="F154" s="11" t="str">
        <f>VLOOKUP(G154, SeanRanks!$A$2:$E$302, 4, FALSE)</f>
        <v>#N/A</v>
      </c>
      <c r="G154" s="11" t="s">
        <v>889</v>
      </c>
      <c r="H154" s="11" t="str">
        <f>VLOOKUP($G154, 'ADP Data'!$C$4:$Q$300, 2, FALSE)</f>
        <v>#N/A</v>
      </c>
      <c r="I154" s="11" t="str">
        <f>VLOOKUP(G154, 'ADP Data'!$C$4:$R$498, 12, FALSE)</f>
        <v>#N/A</v>
      </c>
      <c r="J154" s="11" t="str">
        <f>VLOOKUP($G154, SeanRanks!$A$2:$H$303, 5, FALSE)</f>
        <v>#N/A</v>
      </c>
      <c r="K154" s="11" t="str">
        <f>IF(VLOOKUP($G154, SeanRanks!$A$2:$H$303, 6, FALSE)=0, "", VLOOKUP($G154, SeanRanks!$A$2:$H$303, 6, FALSE))</f>
        <v>#N/A</v>
      </c>
      <c r="L154" s="11">
        <f t="shared" si="5"/>
        <v>16</v>
      </c>
      <c r="M154" s="11" t="str">
        <f>VLOOKUP($G154, 'ADP Data'!$C$4:$Q$300, 9, FALSE)</f>
        <v>#N/A</v>
      </c>
      <c r="N154" s="11" t="str">
        <f t="shared" si="6"/>
        <v>#N/A</v>
      </c>
      <c r="O154" s="11" t="str">
        <f>VLOOKUP($G154, 'ADP Data'!$C$4:$Q$300, 3, FALSE)</f>
        <v>#N/A</v>
      </c>
      <c r="P154" s="11" t="str">
        <f t="shared" si="7"/>
        <v>#N/A</v>
      </c>
      <c r="Q154" s="11" t="str">
        <f>VLOOKUP($G154, 'ADP Data'!$C$4:$Q$300, 4, FALSE)</f>
        <v>#N/A</v>
      </c>
      <c r="R154" s="11" t="str">
        <f>VLOOKUP($G154, 'ADP Data'!$C$4:$Q$300, 5, FALSE)</f>
        <v>#N/A</v>
      </c>
      <c r="S154" s="11" t="str">
        <f>VLOOKUP($G154, 'ADP Data'!$C$4:$Q$300, 6, FALSE)</f>
        <v>#N/A</v>
      </c>
      <c r="T154" s="11" t="str">
        <f>VLOOKUP($G154, 'ADP Data'!$C$4:$Q$300, 7, FALSE)</f>
        <v>#N/A</v>
      </c>
      <c r="U154" s="11" t="str">
        <f>VLOOKUP($G154, 'ADP Data'!$C$4:$Q$300, 8, FALSE)</f>
        <v>#N/A</v>
      </c>
      <c r="V154" s="11" t="str">
        <f t="shared" si="8"/>
        <v>#N/A</v>
      </c>
      <c r="W154" s="11">
        <f t="shared" si="9"/>
        <v>16</v>
      </c>
      <c r="X154" s="11">
        <f t="shared" si="10"/>
        <v>-16</v>
      </c>
      <c r="Y154" s="11" t="str">
        <f>VLOOKUP($G154, SeanRanks!$A$2:$K$303, 10, FALSE)-V154</f>
        <v>#N/A</v>
      </c>
      <c r="Z154" s="29" t="str">
        <f>IF(VLOOKUP($G154, SeanRanks!$A$2:$H$303, 7, FALSE)=0, "", VLOOKUP($G154, SeanRanks!$A$2:$H$303, 7, FALSE))</f>
        <v>#N/A</v>
      </c>
    </row>
    <row r="155" ht="14.25" customHeight="1">
      <c r="A155" s="11"/>
      <c r="B155" s="11">
        <f t="shared" si="4"/>
        <v>26</v>
      </c>
      <c r="C155" s="11" t="s">
        <v>95</v>
      </c>
      <c r="D155" s="11"/>
      <c r="E155" s="11"/>
      <c r="F155" s="11" t="str">
        <f>VLOOKUP(G155, SeanRanks!$A$2:$E$302, 4, FALSE)</f>
        <v/>
      </c>
      <c r="G155" s="11" t="s">
        <v>508</v>
      </c>
      <c r="H155" s="11" t="str">
        <f>VLOOKUP($G155, 'ADP Data'!$C$4:$Q$300, 2, FALSE)</f>
        <v>GB</v>
      </c>
      <c r="I155" s="11">
        <f>VLOOKUP(G155, 'ADP Data'!$C$4:$R$498, 12, FALSE)</f>
        <v>246</v>
      </c>
      <c r="J155" s="40" t="str">
        <f>VLOOKUP($G155, SeanRanks!$A$2:$H$303, 5, FALSE)</f>
        <v/>
      </c>
      <c r="K155" s="11" t="str">
        <f>IF(VLOOKUP($G155, SeanRanks!$A$2:$H$303, 6, FALSE)=0, "", VLOOKUP($G155, SeanRanks!$A$2:$H$303, 6, FALSE))</f>
        <v/>
      </c>
      <c r="L155" s="11">
        <f t="shared" si="5"/>
        <v>24</v>
      </c>
      <c r="M155" s="11">
        <f>VLOOKUP($G155, 'ADP Data'!$C$4:$Q$300, 9, FALSE)</f>
        <v>284</v>
      </c>
      <c r="N155" s="11">
        <f t="shared" si="6"/>
        <v>-16</v>
      </c>
      <c r="O155" s="11" t="str">
        <f>VLOOKUP($G155, 'ADP Data'!$C$4:$Q$300, 3, FALSE)</f>
        <v>-</v>
      </c>
      <c r="P155" s="11" t="str">
        <f t="shared" si="7"/>
        <v>#VALUE!</v>
      </c>
      <c r="Q155" s="11" t="str">
        <f>VLOOKUP($G155, 'ADP Data'!$C$4:$Q$300, 4, FALSE)</f>
        <v>-</v>
      </c>
      <c r="R155" s="11">
        <f>VLOOKUP($G155, 'ADP Data'!$C$4:$Q$300, 5, FALSE)</f>
        <v>291</v>
      </c>
      <c r="S155" s="11">
        <f>VLOOKUP($G155, 'ADP Data'!$C$4:$Q$300, 6, FALSE)</f>
        <v>322</v>
      </c>
      <c r="T155" s="11">
        <f>VLOOKUP($G155, 'ADP Data'!$C$4:$Q$300, 7, FALSE)</f>
        <v>277</v>
      </c>
      <c r="U155" s="11">
        <f>VLOOKUP($G155, 'ADP Data'!$C$4:$Q$300, 8, FALSE)</f>
        <v>326</v>
      </c>
      <c r="V155" s="11">
        <f t="shared" si="8"/>
        <v>300</v>
      </c>
      <c r="W155" s="11">
        <f t="shared" si="9"/>
        <v>26</v>
      </c>
      <c r="X155" s="11">
        <f t="shared" si="10"/>
        <v>-26</v>
      </c>
      <c r="Y155" s="11" t="str">
        <f>VLOOKUP($G155, SeanRanks!$A$2:$K$303, 10, FALSE)-V155</f>
        <v>#VALUE!</v>
      </c>
      <c r="Z155" s="29" t="str">
        <f>IF(VLOOKUP($G155, SeanRanks!$A$2:$H$303, 7, FALSE)=0, "", VLOOKUP($G155, SeanRanks!$A$2:$H$303, 7, FALSE))</f>
        <v/>
      </c>
    </row>
    <row r="156" ht="14.25" customHeight="1">
      <c r="A156" s="11"/>
      <c r="B156" s="11" t="str">
        <f t="shared" si="4"/>
        <v>#N/A</v>
      </c>
      <c r="C156" s="11" t="s">
        <v>95</v>
      </c>
      <c r="D156" s="11"/>
      <c r="E156" s="11"/>
      <c r="F156" s="11" t="str">
        <f>VLOOKUP(G156, SeanRanks!$A$2:$E$302, 4, FALSE)</f>
        <v>#N/A</v>
      </c>
      <c r="G156" s="11" t="s">
        <v>891</v>
      </c>
      <c r="H156" s="11" t="str">
        <f>VLOOKUP($G156, 'ADP Data'!$C$4:$Q$300, 2, FALSE)</f>
        <v>#N/A</v>
      </c>
      <c r="I156" s="11" t="str">
        <f>VLOOKUP(G156, 'ADP Data'!$C$4:$R$498, 12, FALSE)</f>
        <v>#N/A</v>
      </c>
      <c r="J156" s="11" t="str">
        <f>VLOOKUP($G156, SeanRanks!$A$2:$H$303, 5, FALSE)</f>
        <v>#N/A</v>
      </c>
      <c r="K156" s="11" t="str">
        <f>IF(VLOOKUP($G156, SeanRanks!$A$2:$H$303, 6, FALSE)=0, "", VLOOKUP($G156, SeanRanks!$A$2:$H$303, 6, FALSE))</f>
        <v>#N/A</v>
      </c>
      <c r="L156" s="11">
        <f t="shared" si="5"/>
        <v>16</v>
      </c>
      <c r="M156" s="11" t="str">
        <f>VLOOKUP($G156, 'ADP Data'!$C$4:$Q$300, 9, FALSE)</f>
        <v>#N/A</v>
      </c>
      <c r="N156" s="11" t="str">
        <f t="shared" si="6"/>
        <v>#N/A</v>
      </c>
      <c r="O156" s="11" t="str">
        <f>VLOOKUP($G156, 'ADP Data'!$C$4:$Q$300, 3, FALSE)</f>
        <v>#N/A</v>
      </c>
      <c r="P156" s="11" t="str">
        <f t="shared" si="7"/>
        <v>#N/A</v>
      </c>
      <c r="Q156" s="11" t="str">
        <f>VLOOKUP($G156, 'ADP Data'!$C$4:$Q$300, 4, FALSE)</f>
        <v>#N/A</v>
      </c>
      <c r="R156" s="11" t="str">
        <f>VLOOKUP($G156, 'ADP Data'!$C$4:$Q$300, 5, FALSE)</f>
        <v>#N/A</v>
      </c>
      <c r="S156" s="11" t="str">
        <f>VLOOKUP($G156, 'ADP Data'!$C$4:$Q$300, 6, FALSE)</f>
        <v>#N/A</v>
      </c>
      <c r="T156" s="11" t="str">
        <f>VLOOKUP($G156, 'ADP Data'!$C$4:$Q$300, 7, FALSE)</f>
        <v>#N/A</v>
      </c>
      <c r="U156" s="11" t="str">
        <f>VLOOKUP($G156, 'ADP Data'!$C$4:$Q$300, 8, FALSE)</f>
        <v>#N/A</v>
      </c>
      <c r="V156" s="11" t="str">
        <f t="shared" si="8"/>
        <v>#N/A</v>
      </c>
      <c r="W156" s="11">
        <f t="shared" si="9"/>
        <v>16</v>
      </c>
      <c r="X156" s="11">
        <f t="shared" si="10"/>
        <v>-16</v>
      </c>
      <c r="Y156" s="11" t="str">
        <f>VLOOKUP($G156, SeanRanks!$A$2:$K$303, 10, FALSE)-V156</f>
        <v>#N/A</v>
      </c>
      <c r="Z156" s="29" t="str">
        <f>IF(VLOOKUP($G156, SeanRanks!$A$2:$H$303, 7, FALSE)=0, "", VLOOKUP($G156, SeanRanks!$A$2:$H$303, 7, FALSE))</f>
        <v>#N/A</v>
      </c>
    </row>
    <row r="157" ht="14.25" customHeight="1">
      <c r="A157" s="11"/>
      <c r="B157" s="11">
        <f t="shared" si="4"/>
        <v>7</v>
      </c>
      <c r="C157" s="11" t="s">
        <v>106</v>
      </c>
      <c r="D157" s="11"/>
      <c r="E157" s="11"/>
      <c r="F157" s="11" t="str">
        <f>VLOOKUP(G157, SeanRanks!$A$2:$E$302, 4, FALSE)</f>
        <v/>
      </c>
      <c r="G157" s="11" t="s">
        <v>369</v>
      </c>
      <c r="H157" s="11" t="str">
        <f>VLOOKUP($G157, 'ADP Data'!$C$4:$Q$300, 2, FALSE)</f>
        <v>TB</v>
      </c>
      <c r="I157" s="11">
        <f>VLOOKUP(G157, 'ADP Data'!$C$4:$R$498, 12, FALSE)</f>
        <v>99</v>
      </c>
      <c r="J157" s="11" t="str">
        <f>VLOOKUP($G157, SeanRanks!$A$2:$H$303, 5, FALSE)</f>
        <v/>
      </c>
      <c r="K157" s="11" t="str">
        <f>IF(VLOOKUP($G157, SeanRanks!$A$2:$H$303, 6, FALSE)=0, "", VLOOKUP($G157, SeanRanks!$A$2:$H$303, 6, FALSE))</f>
        <v>QB1 - 3 - Top 5 Ceiling</v>
      </c>
      <c r="L157" s="11">
        <f t="shared" si="5"/>
        <v>6</v>
      </c>
      <c r="M157" s="11">
        <f>VLOOKUP($G157, 'ADP Data'!$C$4:$Q$300, 9, FALSE)</f>
        <v>71</v>
      </c>
      <c r="N157" s="11">
        <f t="shared" si="6"/>
        <v>1</v>
      </c>
      <c r="O157" s="11">
        <f>VLOOKUP($G157, 'ADP Data'!$C$4:$Q$300, 3, FALSE)</f>
        <v>54</v>
      </c>
      <c r="P157" s="11">
        <f t="shared" si="7"/>
        <v>17</v>
      </c>
      <c r="Q157" s="11">
        <f>VLOOKUP($G157, 'ADP Data'!$C$4:$Q$300, 4, FALSE)</f>
        <v>52</v>
      </c>
      <c r="R157" s="11">
        <f>VLOOKUP($G157, 'ADP Data'!$C$4:$Q$300, 5, FALSE)</f>
        <v>85</v>
      </c>
      <c r="S157" s="11">
        <f>VLOOKUP($G157, 'ADP Data'!$C$4:$Q$300, 6, FALSE)</f>
        <v>92</v>
      </c>
      <c r="T157" s="11">
        <f>VLOOKUP($G157, 'ADP Data'!$C$4:$Q$300, 7, FALSE)</f>
        <v>78</v>
      </c>
      <c r="U157" s="11">
        <f>VLOOKUP($G157, 'ADP Data'!$C$4:$Q$300, 8, FALSE)</f>
        <v>61</v>
      </c>
      <c r="V157" s="11">
        <f t="shared" si="8"/>
        <v>70</v>
      </c>
      <c r="W157" s="11">
        <f t="shared" si="9"/>
        <v>6</v>
      </c>
      <c r="X157" s="11">
        <f t="shared" si="10"/>
        <v>-6</v>
      </c>
      <c r="Y157" s="11">
        <f>VLOOKUP($G157, SeanRanks!$A$2:$K$303, 10, FALSE)-V157</f>
        <v>20</v>
      </c>
      <c r="Z157" s="29">
        <f>IF(VLOOKUP($G157, SeanRanks!$A$2:$H$303, 7, FALSE)=0, "", VLOOKUP($G157, SeanRanks!$A$2:$H$303, 7, FALSE))</f>
        <v>6</v>
      </c>
    </row>
    <row r="158" ht="14.25" customHeight="1">
      <c r="A158" s="11"/>
      <c r="B158" s="11" t="str">
        <f t="shared" si="4"/>
        <v>#N/A</v>
      </c>
      <c r="C158" s="11" t="s">
        <v>106</v>
      </c>
      <c r="D158" s="11"/>
      <c r="E158" s="11"/>
      <c r="F158" s="11" t="str">
        <f>VLOOKUP(G158, SeanRanks!$A$2:$E$302, 4, FALSE)</f>
        <v>#N/A</v>
      </c>
      <c r="G158" s="11" t="s">
        <v>893</v>
      </c>
      <c r="H158" s="11" t="str">
        <f>VLOOKUP($G158, 'ADP Data'!$C$4:$Q$300, 2, FALSE)</f>
        <v>#N/A</v>
      </c>
      <c r="I158" s="11" t="str">
        <f>VLOOKUP(G158, 'ADP Data'!$C$4:$R$498, 12, FALSE)</f>
        <v>#N/A</v>
      </c>
      <c r="J158" s="61" t="str">
        <f>VLOOKUP($G158, SeanRanks!$A$2:$H$303, 5, FALSE)</f>
        <v>#N/A</v>
      </c>
      <c r="K158" s="11" t="str">
        <f>IF(VLOOKUP($G158, SeanRanks!$A$2:$H$303, 6, FALSE)=0, "", VLOOKUP($G158, SeanRanks!$A$2:$H$303, 6, FALSE))</f>
        <v>#N/A</v>
      </c>
      <c r="L158" s="11">
        <f t="shared" si="5"/>
        <v>16</v>
      </c>
      <c r="M158" s="11" t="str">
        <f>VLOOKUP($G158, 'ADP Data'!$C$4:$Q$300, 9, FALSE)</f>
        <v>#N/A</v>
      </c>
      <c r="N158" s="11" t="str">
        <f t="shared" si="6"/>
        <v>#N/A</v>
      </c>
      <c r="O158" s="11" t="str">
        <f>VLOOKUP($G158, 'ADP Data'!$C$4:$Q$300, 3, FALSE)</f>
        <v>#N/A</v>
      </c>
      <c r="P158" s="11" t="str">
        <f t="shared" si="7"/>
        <v>#N/A</v>
      </c>
      <c r="Q158" s="11" t="str">
        <f>VLOOKUP($G158, 'ADP Data'!$C$4:$Q$300, 4, FALSE)</f>
        <v>#N/A</v>
      </c>
      <c r="R158" s="11" t="str">
        <f>VLOOKUP($G158, 'ADP Data'!$C$4:$Q$300, 5, FALSE)</f>
        <v>#N/A</v>
      </c>
      <c r="S158" s="11" t="str">
        <f>VLOOKUP($G158, 'ADP Data'!$C$4:$Q$300, 6, FALSE)</f>
        <v>#N/A</v>
      </c>
      <c r="T158" s="11" t="str">
        <f>VLOOKUP($G158, 'ADP Data'!$C$4:$Q$300, 7, FALSE)</f>
        <v>#N/A</v>
      </c>
      <c r="U158" s="11" t="str">
        <f>VLOOKUP($G158, 'ADP Data'!$C$4:$Q$300, 8, FALSE)</f>
        <v>#N/A</v>
      </c>
      <c r="V158" s="11" t="str">
        <f t="shared" si="8"/>
        <v>#N/A</v>
      </c>
      <c r="W158" s="11">
        <f t="shared" si="9"/>
        <v>16</v>
      </c>
      <c r="X158" s="11">
        <f t="shared" si="10"/>
        <v>-16</v>
      </c>
      <c r="Y158" s="11" t="str">
        <f>VLOOKUP($G158, SeanRanks!$A$2:$K$303, 10, FALSE)-V158</f>
        <v>#N/A</v>
      </c>
      <c r="Z158" s="29" t="str">
        <f>IF(VLOOKUP($G158, SeanRanks!$A$2:$H$303, 7, FALSE)=0, "", VLOOKUP($G158, SeanRanks!$A$2:$H$303, 7, FALSE))</f>
        <v>#N/A</v>
      </c>
    </row>
    <row r="159" ht="14.25" customHeight="1">
      <c r="A159" s="11"/>
      <c r="B159" s="11">
        <f t="shared" si="4"/>
        <v>15</v>
      </c>
      <c r="C159" s="11" t="s">
        <v>106</v>
      </c>
      <c r="D159" s="11"/>
      <c r="E159" s="11"/>
      <c r="F159" s="11" t="str">
        <f>VLOOKUP(G159, SeanRanks!$A$2:$E$302, 4, FALSE)</f>
        <v/>
      </c>
      <c r="G159" s="11" t="s">
        <v>892</v>
      </c>
      <c r="H159" s="11" t="str">
        <f>VLOOKUP($G159, 'ADP Data'!$C$4:$Q$300, 2, FALSE)</f>
        <v>MIN</v>
      </c>
      <c r="I159" s="11">
        <f>VLOOKUP(G159, 'ADP Data'!$C$4:$R$498, 12, FALSE)</f>
        <v>164</v>
      </c>
      <c r="J159" s="11" t="str">
        <f>VLOOKUP($G159, SeanRanks!$A$2:$H$303, 5, FALSE)</f>
        <v/>
      </c>
      <c r="K159" s="11" t="str">
        <f>IF(VLOOKUP($G159, SeanRanks!$A$2:$H$303, 6, FALSE)=0, "", VLOOKUP($G159, SeanRanks!$A$2:$H$303, 6, FALSE))</f>
        <v>WR6 - dart throw upside</v>
      </c>
      <c r="L159" s="11">
        <f t="shared" si="5"/>
        <v>15</v>
      </c>
      <c r="M159" s="11">
        <f>VLOOKUP($G159, 'ADP Data'!$C$4:$Q$300, 9, FALSE)</f>
        <v>171</v>
      </c>
      <c r="N159" s="11">
        <f t="shared" si="6"/>
        <v>0</v>
      </c>
      <c r="O159" s="11">
        <f>VLOOKUP($G159, 'ADP Data'!$C$4:$Q$300, 3, FALSE)</f>
        <v>167</v>
      </c>
      <c r="P159" s="11">
        <f t="shared" si="7"/>
        <v>4</v>
      </c>
      <c r="Q159" s="11">
        <f>VLOOKUP($G159, 'ADP Data'!$C$4:$Q$300, 4, FALSE)</f>
        <v>159</v>
      </c>
      <c r="R159" s="11">
        <f>VLOOKUP($G159, 'ADP Data'!$C$4:$Q$300, 5, FALSE)</f>
        <v>175</v>
      </c>
      <c r="S159" s="11">
        <f>VLOOKUP($G159, 'ADP Data'!$C$4:$Q$300, 6, FALSE)</f>
        <v>168</v>
      </c>
      <c r="T159" s="11">
        <f>VLOOKUP($G159, 'ADP Data'!$C$4:$Q$300, 7, FALSE)</f>
        <v>156</v>
      </c>
      <c r="U159" s="11">
        <f>VLOOKUP($G159, 'ADP Data'!$C$4:$Q$300, 8, FALSE)</f>
        <v>203</v>
      </c>
      <c r="V159" s="11">
        <f t="shared" si="8"/>
        <v>171</v>
      </c>
      <c r="W159" s="11">
        <f t="shared" si="9"/>
        <v>15</v>
      </c>
      <c r="X159" s="11">
        <f t="shared" si="10"/>
        <v>-15</v>
      </c>
      <c r="Y159" s="11">
        <f>VLOOKUP($G159, SeanRanks!$A$2:$K$303, 10, FALSE)-V159</f>
        <v>20</v>
      </c>
      <c r="Z159" s="29">
        <f>IF(VLOOKUP($G159, SeanRanks!$A$2:$H$303, 7, FALSE)=0, "", VLOOKUP($G159, SeanRanks!$A$2:$H$303, 7, FALSE))</f>
        <v>65</v>
      </c>
    </row>
    <row r="160" ht="14.25" customHeight="1">
      <c r="A160" s="11"/>
      <c r="B160" s="11" t="str">
        <f t="shared" si="4"/>
        <v>#N/A</v>
      </c>
      <c r="C160" s="11" t="s">
        <v>95</v>
      </c>
      <c r="D160" s="11"/>
      <c r="E160" s="11"/>
      <c r="F160" s="11" t="str">
        <f>VLOOKUP(G160, SeanRanks!$A$2:$E$302, 4, FALSE)</f>
        <v/>
      </c>
      <c r="G160" s="11" t="s">
        <v>890</v>
      </c>
      <c r="H160" s="11" t="str">
        <f>VLOOKUP($G160, 'ADP Data'!$C$4:$Q$300, 2, FALSE)</f>
        <v>#N/A</v>
      </c>
      <c r="I160" s="11" t="str">
        <f>VLOOKUP(G160, 'ADP Data'!$C$4:$R$498, 12, FALSE)</f>
        <v>#N/A</v>
      </c>
      <c r="J160" s="11" t="str">
        <f>VLOOKUP($G160, SeanRanks!$A$2:$H$303, 5, FALSE)</f>
        <v/>
      </c>
      <c r="K160" s="11" t="str">
        <f>IF(VLOOKUP($G160, SeanRanks!$A$2:$H$303, 6, FALSE)=0, "", VLOOKUP($G160, SeanRanks!$A$2:$H$303, 6, FALSE))</f>
        <v/>
      </c>
      <c r="L160" s="11">
        <f t="shared" si="5"/>
        <v>16</v>
      </c>
      <c r="M160" s="11" t="str">
        <f>VLOOKUP($G160, 'ADP Data'!$C$4:$Q$300, 9, FALSE)</f>
        <v>#N/A</v>
      </c>
      <c r="N160" s="11" t="str">
        <f t="shared" si="6"/>
        <v>#N/A</v>
      </c>
      <c r="O160" s="11" t="str">
        <f>VLOOKUP($G160, 'ADP Data'!$C$4:$Q$300, 3, FALSE)</f>
        <v>#N/A</v>
      </c>
      <c r="P160" s="11" t="str">
        <f t="shared" si="7"/>
        <v>#N/A</v>
      </c>
      <c r="Q160" s="11" t="str">
        <f>VLOOKUP($G160, 'ADP Data'!$C$4:$Q$300, 4, FALSE)</f>
        <v>#N/A</v>
      </c>
      <c r="R160" s="11" t="str">
        <f>VLOOKUP($G160, 'ADP Data'!$C$4:$Q$300, 5, FALSE)</f>
        <v>#N/A</v>
      </c>
      <c r="S160" s="11" t="str">
        <f>VLOOKUP($G160, 'ADP Data'!$C$4:$Q$300, 6, FALSE)</f>
        <v>#N/A</v>
      </c>
      <c r="T160" s="11" t="str">
        <f>VLOOKUP($G160, 'ADP Data'!$C$4:$Q$300, 7, FALSE)</f>
        <v>#N/A</v>
      </c>
      <c r="U160" s="11" t="str">
        <f>VLOOKUP($G160, 'ADP Data'!$C$4:$Q$300, 8, FALSE)</f>
        <v>#N/A</v>
      </c>
      <c r="V160" s="11" t="str">
        <f t="shared" si="8"/>
        <v>#N/A</v>
      </c>
      <c r="W160" s="11">
        <f t="shared" si="9"/>
        <v>16</v>
      </c>
      <c r="X160" s="11">
        <f t="shared" si="10"/>
        <v>-16</v>
      </c>
      <c r="Y160" s="11" t="str">
        <f>VLOOKUP($G160, SeanRanks!$A$2:$K$303, 10, FALSE)-V160</f>
        <v>#N/A</v>
      </c>
      <c r="Z160" s="29" t="str">
        <f>IF(VLOOKUP($G160, SeanRanks!$A$2:$H$303, 7, FALSE)=0, "", VLOOKUP($G160, SeanRanks!$A$2:$H$303, 7, FALSE))</f>
        <v/>
      </c>
    </row>
    <row r="161" ht="14.25" customHeight="1">
      <c r="A161" s="11"/>
      <c r="B161" s="11">
        <f t="shared" si="4"/>
        <v>11</v>
      </c>
      <c r="C161" s="11" t="s">
        <v>106</v>
      </c>
      <c r="D161" s="11"/>
      <c r="E161" s="11"/>
      <c r="F161" s="11" t="str">
        <f>VLOOKUP(G161, SeanRanks!$A$2:$E$302, 4, FALSE)</f>
        <v/>
      </c>
      <c r="G161" s="11" t="s">
        <v>292</v>
      </c>
      <c r="H161" s="11" t="str">
        <f>VLOOKUP($G161, 'ADP Data'!$C$4:$Q$300, 2, FALSE)</f>
        <v>IND</v>
      </c>
      <c r="I161" s="11">
        <f>VLOOKUP(G161, 'ADP Data'!$C$4:$R$498, 12, FALSE)</f>
        <v>96</v>
      </c>
      <c r="J161" s="11" t="str">
        <f>VLOOKUP($G161, SeanRanks!$A$2:$H$303, 5, FALSE)</f>
        <v>No</v>
      </c>
      <c r="K161" s="11" t="str">
        <f>IF(VLOOKUP($G161, SeanRanks!$A$2:$H$303, 6, FALSE)=0, "", VLOOKUP($G161, SeanRanks!$A$2:$H$303, 6, FALSE))</f>
        <v>WR4 - 2 - unclear path to WR2</v>
      </c>
      <c r="L161" s="11">
        <f t="shared" si="5"/>
        <v>9</v>
      </c>
      <c r="M161" s="11">
        <f>VLOOKUP($G161, 'ADP Data'!$C$4:$Q$300, 9, FALSE)</f>
        <v>106</v>
      </c>
      <c r="N161" s="11">
        <f t="shared" si="6"/>
        <v>-15</v>
      </c>
      <c r="O161" s="11">
        <f>VLOOKUP($G161, 'ADP Data'!$C$4:$Q$300, 3, FALSE)</f>
        <v>129</v>
      </c>
      <c r="P161" s="11">
        <f t="shared" si="7"/>
        <v>-23</v>
      </c>
      <c r="Q161" s="11">
        <f>VLOOKUP($G161, 'ADP Data'!$C$4:$Q$300, 4, FALSE)</f>
        <v>135</v>
      </c>
      <c r="R161" s="11">
        <f>VLOOKUP($G161, 'ADP Data'!$C$4:$Q$300, 5, FALSE)</f>
        <v>128</v>
      </c>
      <c r="S161" s="11">
        <f>VLOOKUP($G161, 'ADP Data'!$C$4:$Q$300, 6, FALSE)</f>
        <v>112</v>
      </c>
      <c r="T161" s="11">
        <f>VLOOKUP($G161, 'ADP Data'!$C$4:$Q$300, 7, FALSE)</f>
        <v>96</v>
      </c>
      <c r="U161" s="11">
        <f>VLOOKUP($G161, 'ADP Data'!$C$4:$Q$300, 8, FALSE)</f>
        <v>141</v>
      </c>
      <c r="V161" s="11">
        <f t="shared" si="8"/>
        <v>121</v>
      </c>
      <c r="W161" s="11">
        <f t="shared" si="9"/>
        <v>11</v>
      </c>
      <c r="X161" s="11">
        <f t="shared" si="10"/>
        <v>-11</v>
      </c>
      <c r="Y161" s="11">
        <f>VLOOKUP($G161, SeanRanks!$A$2:$K$303, 10, FALSE)-V161</f>
        <v>-14</v>
      </c>
      <c r="Z161" s="29">
        <f>IF(VLOOKUP($G161, SeanRanks!$A$2:$H$303, 7, FALSE)=0, "", VLOOKUP($G161, SeanRanks!$A$2:$H$303, 7, FALSE))</f>
        <v>46</v>
      </c>
    </row>
    <row r="162" ht="14.25" customHeight="1">
      <c r="A162" s="11"/>
      <c r="B162" s="11">
        <f t="shared" si="4"/>
        <v>23</v>
      </c>
      <c r="C162" s="11" t="s">
        <v>106</v>
      </c>
      <c r="D162" s="11"/>
      <c r="E162" s="11"/>
      <c r="F162" s="11" t="str">
        <f>VLOOKUP(G162, SeanRanks!$A$2:$E$302, 4, FALSE)</f>
        <v/>
      </c>
      <c r="G162" s="11" t="s">
        <v>477</v>
      </c>
      <c r="H162" s="11" t="str">
        <f>VLOOKUP($G162, 'ADP Data'!$C$4:$Q$300, 2, FALSE)</f>
        <v>IND</v>
      </c>
      <c r="I162" s="11">
        <f>VLOOKUP(G162, 'ADP Data'!$C$4:$R$498, 12, FALSE)</f>
        <v>224</v>
      </c>
      <c r="J162" s="11" t="str">
        <f>VLOOKUP($G162, SeanRanks!$A$2:$H$303, 5, FALSE)</f>
        <v/>
      </c>
      <c r="K162" s="11" t="str">
        <f>IF(VLOOKUP($G162, SeanRanks!$A$2:$H$303, 6, FALSE)=0, "", VLOOKUP($G162, SeanRanks!$A$2:$H$303, 6, FALSE))</f>
        <v/>
      </c>
      <c r="L162" s="11">
        <f t="shared" si="5"/>
        <v>21</v>
      </c>
      <c r="M162" s="11">
        <f>VLOOKUP($G162, 'ADP Data'!$C$4:$Q$300, 9, FALSE)</f>
        <v>251</v>
      </c>
      <c r="N162" s="11">
        <f t="shared" si="6"/>
        <v>-14</v>
      </c>
      <c r="O162" s="11" t="str">
        <f>VLOOKUP($G162, 'ADP Data'!$C$4:$Q$300, 3, FALSE)</f>
        <v>-</v>
      </c>
      <c r="P162" s="11" t="str">
        <f t="shared" si="7"/>
        <v>#VALUE!</v>
      </c>
      <c r="Q162" s="11" t="str">
        <f>VLOOKUP($G162, 'ADP Data'!$C$4:$Q$300, 4, FALSE)</f>
        <v>-</v>
      </c>
      <c r="R162" s="11">
        <f>VLOOKUP($G162, 'ADP Data'!$C$4:$Q$300, 5, FALSE)</f>
        <v>307</v>
      </c>
      <c r="S162" s="11">
        <f>VLOOKUP($G162, 'ADP Data'!$C$4:$Q$300, 6, FALSE)</f>
        <v>252</v>
      </c>
      <c r="T162" s="11">
        <f>VLOOKUP($G162, 'ADP Data'!$C$4:$Q$300, 7, FALSE)</f>
        <v>252</v>
      </c>
      <c r="U162" s="11" t="str">
        <f>VLOOKUP($G162, 'ADP Data'!$C$4:$Q$300, 8, FALSE)</f>
        <v>-</v>
      </c>
      <c r="V162" s="11">
        <f t="shared" si="8"/>
        <v>265</v>
      </c>
      <c r="W162" s="11">
        <f t="shared" si="9"/>
        <v>23</v>
      </c>
      <c r="X162" s="11">
        <f t="shared" si="10"/>
        <v>-23</v>
      </c>
      <c r="Y162" s="11">
        <f>VLOOKUP($G162, SeanRanks!$A$2:$K$303, 10, FALSE)-V162</f>
        <v>-18</v>
      </c>
      <c r="Z162" s="29" t="str">
        <f>IF(VLOOKUP($G162, SeanRanks!$A$2:$H$303, 7, FALSE)=0, "", VLOOKUP($G162, SeanRanks!$A$2:$H$303, 7, FALSE))</f>
        <v/>
      </c>
    </row>
    <row r="163" ht="14.25" customHeight="1">
      <c r="A163" s="11"/>
      <c r="B163" s="11">
        <f t="shared" si="4"/>
        <v>18</v>
      </c>
      <c r="C163" s="11" t="s">
        <v>106</v>
      </c>
      <c r="D163" s="11"/>
      <c r="E163" s="11"/>
      <c r="F163" s="11" t="str">
        <f>VLOOKUP(G163, SeanRanks!$A$2:$E$302, 4, FALSE)</f>
        <v/>
      </c>
      <c r="G163" s="11" t="s">
        <v>634</v>
      </c>
      <c r="H163" s="11" t="str">
        <f>VLOOKUP($G163, 'ADP Data'!$C$4:$Q$300, 2, FALSE)</f>
        <v>MIA</v>
      </c>
      <c r="I163" s="11">
        <f>VLOOKUP(G163, 'ADP Data'!$C$4:$R$498, 12, FALSE)</f>
        <v>230</v>
      </c>
      <c r="J163" s="11" t="str">
        <f>VLOOKUP($G163, SeanRanks!$A$2:$H$303, 5, FALSE)</f>
        <v>Yes</v>
      </c>
      <c r="K163" s="11" t="str">
        <f>IF(VLOOKUP($G163, SeanRanks!$A$2:$H$303, 6, FALSE)=0, "", VLOOKUP($G163, SeanRanks!$A$2:$H$303, 6, FALSE))</f>
        <v>RB5 - 1 - upside</v>
      </c>
      <c r="L163" s="11">
        <f t="shared" si="5"/>
        <v>15</v>
      </c>
      <c r="M163" s="11">
        <f>VLOOKUP($G163, 'ADP Data'!$C$4:$Q$300, 9, FALSE)</f>
        <v>172</v>
      </c>
      <c r="N163" s="11">
        <f t="shared" si="6"/>
        <v>-26</v>
      </c>
      <c r="O163" s="11" t="str">
        <f>VLOOKUP($G163, 'ADP Data'!$C$4:$Q$300, 3, FALSE)</f>
        <v>-</v>
      </c>
      <c r="P163" s="11" t="str">
        <f t="shared" si="7"/>
        <v>#VALUE!</v>
      </c>
      <c r="Q163" s="11">
        <f>VLOOKUP($G163, 'ADP Data'!$C$4:$Q$300, 4, FALSE)</f>
        <v>194</v>
      </c>
      <c r="R163" s="11">
        <f>VLOOKUP($G163, 'ADP Data'!$C$4:$Q$300, 5, FALSE)</f>
        <v>226</v>
      </c>
      <c r="S163" s="11">
        <f>VLOOKUP($G163, 'ADP Data'!$C$4:$Q$300, 6, FALSE)</f>
        <v>185</v>
      </c>
      <c r="T163" s="11">
        <f>VLOOKUP($G163, 'ADP Data'!$C$4:$Q$300, 7, FALSE)</f>
        <v>175</v>
      </c>
      <c r="U163" s="11">
        <f>VLOOKUP($G163, 'ADP Data'!$C$4:$Q$300, 8, FALSE)</f>
        <v>241</v>
      </c>
      <c r="V163" s="11">
        <f t="shared" si="8"/>
        <v>198</v>
      </c>
      <c r="W163" s="11">
        <f t="shared" si="9"/>
        <v>17</v>
      </c>
      <c r="X163" s="11">
        <f t="shared" si="10"/>
        <v>-17</v>
      </c>
      <c r="Y163" s="11">
        <f>VLOOKUP($G163, SeanRanks!$A$2:$K$303, 10, FALSE)-V163</f>
        <v>-9</v>
      </c>
      <c r="Z163" s="29">
        <f>IF(VLOOKUP($G163, SeanRanks!$A$2:$H$303, 7, FALSE)=0, "", VLOOKUP($G163, SeanRanks!$A$2:$H$303, 7, FALSE))</f>
        <v>54</v>
      </c>
    </row>
    <row r="164" ht="14.25" customHeight="1">
      <c r="A164" s="11"/>
      <c r="B164" s="11">
        <f t="shared" si="4"/>
        <v>17</v>
      </c>
      <c r="C164" s="11" t="s">
        <v>106</v>
      </c>
      <c r="D164" s="11"/>
      <c r="E164" s="11"/>
      <c r="F164" s="11" t="str">
        <f>VLOOKUP(G164, SeanRanks!$A$2:$E$302, 4, FALSE)</f>
        <v/>
      </c>
      <c r="G164" s="11" t="s">
        <v>572</v>
      </c>
      <c r="H164" s="11" t="str">
        <f>VLOOKUP($G164, 'ADP Data'!$C$4:$Q$300, 2, FALSE)</f>
        <v>KC</v>
      </c>
      <c r="I164" s="11" t="str">
        <f>VLOOKUP(G164, 'ADP Data'!$C$4:$R$498, 12, FALSE)</f>
        <v>-</v>
      </c>
      <c r="J164" s="11" t="str">
        <f>VLOOKUP($G164, SeanRanks!$A$2:$H$303, 5, FALSE)</f>
        <v/>
      </c>
      <c r="K164" s="11" t="str">
        <f>IF(VLOOKUP($G164, SeanRanks!$A$2:$H$303, 6, FALSE)=0, "", VLOOKUP($G164, SeanRanks!$A$2:$H$303, 6, FALSE))</f>
        <v/>
      </c>
      <c r="L164" s="11">
        <f t="shared" si="5"/>
        <v>16</v>
      </c>
      <c r="M164" s="11">
        <f>VLOOKUP($G164, 'ADP Data'!$C$4:$Q$300, 9, FALSE)</f>
        <v>191</v>
      </c>
      <c r="N164" s="11">
        <f t="shared" si="6"/>
        <v>-4</v>
      </c>
      <c r="O164" s="11">
        <f>VLOOKUP($G164, 'ADP Data'!$C$4:$Q$300, 3, FALSE)</f>
        <v>179</v>
      </c>
      <c r="P164" s="11">
        <f t="shared" si="7"/>
        <v>12</v>
      </c>
      <c r="Q164" s="11">
        <f>VLOOKUP($G164, 'ADP Data'!$C$4:$Q$300, 4, FALSE)</f>
        <v>187</v>
      </c>
      <c r="R164" s="11">
        <f>VLOOKUP($G164, 'ADP Data'!$C$4:$Q$300, 5, FALSE)</f>
        <v>235</v>
      </c>
      <c r="S164" s="11">
        <f>VLOOKUP($G164, 'ADP Data'!$C$4:$Q$300, 6, FALSE)</f>
        <v>239</v>
      </c>
      <c r="T164" s="11">
        <f>VLOOKUP($G164, 'ADP Data'!$C$4:$Q$300, 7, FALSE)</f>
        <v>202</v>
      </c>
      <c r="U164" s="11">
        <f>VLOOKUP($G164, 'ADP Data'!$C$4:$Q$300, 8, FALSE)</f>
        <v>137</v>
      </c>
      <c r="V164" s="11">
        <f t="shared" si="8"/>
        <v>195</v>
      </c>
      <c r="W164" s="11">
        <f t="shared" si="9"/>
        <v>17</v>
      </c>
      <c r="X164" s="11">
        <f t="shared" si="10"/>
        <v>-17</v>
      </c>
      <c r="Y164" s="11">
        <f>VLOOKUP($G164, SeanRanks!$A$2:$K$303, 10, FALSE)-V164</f>
        <v>-22</v>
      </c>
      <c r="Z164" s="29" t="str">
        <f>IF(VLOOKUP($G164, SeanRanks!$A$2:$H$303, 7, FALSE)=0, "", VLOOKUP($G164, SeanRanks!$A$2:$H$303, 7, FALSE))</f>
        <v/>
      </c>
    </row>
    <row r="165" ht="14.25" customHeight="1">
      <c r="A165" s="11"/>
      <c r="B165" s="11" t="str">
        <f t="shared" si="4"/>
        <v>#N/A</v>
      </c>
      <c r="C165" s="11" t="s">
        <v>106</v>
      </c>
      <c r="D165" s="11"/>
      <c r="E165" s="11"/>
      <c r="F165" s="11" t="str">
        <f>VLOOKUP(G165, SeanRanks!$A$2:$E$302, 4, FALSE)</f>
        <v>#N/A</v>
      </c>
      <c r="G165" s="11" t="s">
        <v>894</v>
      </c>
      <c r="H165" s="11" t="str">
        <f>VLOOKUP($G165, 'ADP Data'!$C$4:$Q$300, 2, FALSE)</f>
        <v>#N/A</v>
      </c>
      <c r="I165" s="11" t="str">
        <f>VLOOKUP(G165, 'ADP Data'!$C$4:$R$498, 12, FALSE)</f>
        <v>#N/A</v>
      </c>
      <c r="J165" s="11" t="str">
        <f>VLOOKUP($G165, SeanRanks!$A$2:$H$303, 5, FALSE)</f>
        <v>#N/A</v>
      </c>
      <c r="K165" s="11" t="str">
        <f>IF(VLOOKUP($G165, SeanRanks!$A$2:$H$303, 6, FALSE)=0, "", VLOOKUP($G165, SeanRanks!$A$2:$H$303, 6, FALSE))</f>
        <v>#N/A</v>
      </c>
      <c r="L165" s="11">
        <f t="shared" si="5"/>
        <v>16</v>
      </c>
      <c r="M165" s="11" t="str">
        <f>VLOOKUP($G165, 'ADP Data'!$C$4:$Q$300, 9, FALSE)</f>
        <v>#N/A</v>
      </c>
      <c r="N165" s="11" t="str">
        <f t="shared" si="6"/>
        <v>#N/A</v>
      </c>
      <c r="O165" s="11" t="str">
        <f>VLOOKUP($G165, 'ADP Data'!$C$4:$Q$300, 3, FALSE)</f>
        <v>#N/A</v>
      </c>
      <c r="P165" s="11" t="str">
        <f t="shared" si="7"/>
        <v>#N/A</v>
      </c>
      <c r="Q165" s="11" t="str">
        <f>VLOOKUP($G165, 'ADP Data'!$C$4:$Q$300, 4, FALSE)</f>
        <v>#N/A</v>
      </c>
      <c r="R165" s="11" t="str">
        <f>VLOOKUP($G165, 'ADP Data'!$C$4:$Q$300, 5, FALSE)</f>
        <v>#N/A</v>
      </c>
      <c r="S165" s="11" t="str">
        <f>VLOOKUP($G165, 'ADP Data'!$C$4:$Q$300, 6, FALSE)</f>
        <v>#N/A</v>
      </c>
      <c r="T165" s="11" t="str">
        <f>VLOOKUP($G165, 'ADP Data'!$C$4:$Q$300, 7, FALSE)</f>
        <v>#N/A</v>
      </c>
      <c r="U165" s="11" t="str">
        <f>VLOOKUP($G165, 'ADP Data'!$C$4:$Q$300, 8, FALSE)</f>
        <v>#N/A</v>
      </c>
      <c r="V165" s="11" t="str">
        <f t="shared" si="8"/>
        <v>#N/A</v>
      </c>
      <c r="W165" s="11">
        <f t="shared" si="9"/>
        <v>16</v>
      </c>
      <c r="X165" s="11">
        <f t="shared" si="10"/>
        <v>-16</v>
      </c>
      <c r="Y165" s="11" t="str">
        <f>VLOOKUP($G165, SeanRanks!$A$2:$K$303, 10, FALSE)-V165</f>
        <v>#N/A</v>
      </c>
      <c r="Z165" s="29" t="str">
        <f>IF(VLOOKUP($G165, SeanRanks!$A$2:$H$303, 7, FALSE)=0, "", VLOOKUP($G165, SeanRanks!$A$2:$H$303, 7, FALSE))</f>
        <v>#N/A</v>
      </c>
    </row>
    <row r="166" ht="14.25" customHeight="1">
      <c r="A166" s="11"/>
      <c r="B166" s="11" t="str">
        <f t="shared" si="4"/>
        <v>#N/A</v>
      </c>
      <c r="C166" s="11" t="s">
        <v>106</v>
      </c>
      <c r="D166" s="11"/>
      <c r="E166" s="11"/>
      <c r="F166" s="11" t="str">
        <f>VLOOKUP(G166, SeanRanks!$A$2:$E$302, 4, FALSE)</f>
        <v>#N/A</v>
      </c>
      <c r="G166" s="11" t="s">
        <v>898</v>
      </c>
      <c r="H166" s="11" t="str">
        <f>VLOOKUP($G166, 'ADP Data'!$C$4:$Q$300, 2, FALSE)</f>
        <v>#N/A</v>
      </c>
      <c r="I166" s="11" t="str">
        <f>VLOOKUP(G166, 'ADP Data'!$C$4:$R$498, 12, FALSE)</f>
        <v>#N/A</v>
      </c>
      <c r="J166" s="11" t="str">
        <f>VLOOKUP($G166, SeanRanks!$A$2:$H$303, 5, FALSE)</f>
        <v>#N/A</v>
      </c>
      <c r="K166" s="11" t="str">
        <f>IF(VLOOKUP($G166, SeanRanks!$A$2:$H$303, 6, FALSE)=0, "", VLOOKUP($G166, SeanRanks!$A$2:$H$303, 6, FALSE))</f>
        <v>#N/A</v>
      </c>
      <c r="L166" s="11">
        <f t="shared" si="5"/>
        <v>16</v>
      </c>
      <c r="M166" s="11" t="str">
        <f>VLOOKUP($G166, 'ADP Data'!$C$4:$Q$300, 9, FALSE)</f>
        <v>#N/A</v>
      </c>
      <c r="N166" s="11" t="str">
        <f t="shared" si="6"/>
        <v>#N/A</v>
      </c>
      <c r="O166" s="11" t="str">
        <f>VLOOKUP($G166, 'ADP Data'!$C$4:$Q$300, 3, FALSE)</f>
        <v>#N/A</v>
      </c>
      <c r="P166" s="11" t="str">
        <f t="shared" si="7"/>
        <v>#N/A</v>
      </c>
      <c r="Q166" s="11" t="str">
        <f>VLOOKUP($G166, 'ADP Data'!$C$4:$Q$300, 4, FALSE)</f>
        <v>#N/A</v>
      </c>
      <c r="R166" s="11" t="str">
        <f>VLOOKUP($G166, 'ADP Data'!$C$4:$Q$300, 5, FALSE)</f>
        <v>#N/A</v>
      </c>
      <c r="S166" s="11" t="str">
        <f>VLOOKUP($G166, 'ADP Data'!$C$4:$Q$300, 6, FALSE)</f>
        <v>#N/A</v>
      </c>
      <c r="T166" s="11" t="str">
        <f>VLOOKUP($G166, 'ADP Data'!$C$4:$Q$300, 7, FALSE)</f>
        <v>#N/A</v>
      </c>
      <c r="U166" s="11" t="str">
        <f>VLOOKUP($G166, 'ADP Data'!$C$4:$Q$300, 8, FALSE)</f>
        <v>#N/A</v>
      </c>
      <c r="V166" s="11" t="str">
        <f t="shared" si="8"/>
        <v>#N/A</v>
      </c>
      <c r="W166" s="11">
        <f t="shared" si="9"/>
        <v>16</v>
      </c>
      <c r="X166" s="11">
        <f t="shared" si="10"/>
        <v>-16</v>
      </c>
      <c r="Y166" s="11" t="str">
        <f>VLOOKUP($G166, SeanRanks!$A$2:$K$303, 10, FALSE)-V166</f>
        <v>#N/A</v>
      </c>
      <c r="Z166" s="29" t="str">
        <f>IF(VLOOKUP($G166, SeanRanks!$A$2:$H$303, 7, FALSE)=0, "", VLOOKUP($G166, SeanRanks!$A$2:$H$303, 7, FALSE))</f>
        <v>#N/A</v>
      </c>
    </row>
    <row r="167" ht="14.25" customHeight="1">
      <c r="A167" s="11"/>
      <c r="B167" s="11">
        <f t="shared" si="4"/>
        <v>12</v>
      </c>
      <c r="C167" s="11" t="s">
        <v>106</v>
      </c>
      <c r="D167" s="11"/>
      <c r="E167" s="11"/>
      <c r="F167" s="11" t="str">
        <f>VLOOKUP(G167, SeanRanks!$A$2:$E$302, 4, FALSE)</f>
        <v/>
      </c>
      <c r="G167" s="11" t="s">
        <v>590</v>
      </c>
      <c r="H167" s="11" t="str">
        <f>VLOOKUP($G167, 'ADP Data'!$C$4:$Q$300, 2, FALSE)</f>
        <v>ATL</v>
      </c>
      <c r="I167" s="11">
        <f>VLOOKUP(G167, 'ADP Data'!$C$4:$R$498, 12, FALSE)</f>
        <v>118</v>
      </c>
      <c r="J167" s="11" t="str">
        <f>VLOOKUP($G167, SeanRanks!$A$2:$H$303, 5, FALSE)</f>
        <v/>
      </c>
      <c r="K167" s="11" t="str">
        <f>IF(VLOOKUP($G167, SeanRanks!$A$2:$H$303, 6, FALSE)=0, "", VLOOKUP($G167, SeanRanks!$A$2:$H$303, 6, FALSE))</f>
        <v>WR5 - 2 - floor play not league winner</v>
      </c>
      <c r="L167" s="11">
        <f t="shared" si="5"/>
        <v>11</v>
      </c>
      <c r="M167" s="11">
        <f>VLOOKUP($G167, 'ADP Data'!$C$4:$Q$300, 9, FALSE)</f>
        <v>120</v>
      </c>
      <c r="N167" s="11">
        <f t="shared" si="6"/>
        <v>-15</v>
      </c>
      <c r="O167" s="11">
        <f>VLOOKUP($G167, 'ADP Data'!$C$4:$Q$300, 3, FALSE)</f>
        <v>121</v>
      </c>
      <c r="P167" s="11">
        <f t="shared" si="7"/>
        <v>-1</v>
      </c>
      <c r="Q167" s="11">
        <f>VLOOKUP($G167, 'ADP Data'!$C$4:$Q$300, 4, FALSE)</f>
        <v>139</v>
      </c>
      <c r="R167" s="11">
        <f>VLOOKUP($G167, 'ADP Data'!$C$4:$Q$300, 5, FALSE)</f>
        <v>132</v>
      </c>
      <c r="S167" s="11">
        <f>VLOOKUP($G167, 'ADP Data'!$C$4:$Q$300, 6, FALSE)</f>
        <v>137</v>
      </c>
      <c r="T167" s="11">
        <f>VLOOKUP($G167, 'ADP Data'!$C$4:$Q$300, 7, FALSE)</f>
        <v>119</v>
      </c>
      <c r="U167" s="11">
        <f>VLOOKUP($G167, 'ADP Data'!$C$4:$Q$300, 8, FALSE)</f>
        <v>183</v>
      </c>
      <c r="V167" s="11">
        <f t="shared" si="8"/>
        <v>135</v>
      </c>
      <c r="W167" s="11">
        <f t="shared" si="9"/>
        <v>12</v>
      </c>
      <c r="X167" s="11">
        <f t="shared" si="10"/>
        <v>-12</v>
      </c>
      <c r="Y167" s="11">
        <f>VLOOKUP($G167, SeanRanks!$A$2:$K$303, 10, FALSE)-V167</f>
        <v>-5</v>
      </c>
      <c r="Z167" s="29">
        <f>IF(VLOOKUP($G167, SeanRanks!$A$2:$H$303, 7, FALSE)=0, "", VLOOKUP($G167, SeanRanks!$A$2:$H$303, 7, FALSE))</f>
        <v>56</v>
      </c>
    </row>
    <row r="168" ht="14.25" customHeight="1">
      <c r="A168" s="11"/>
      <c r="B168" s="11">
        <f t="shared" si="4"/>
        <v>18</v>
      </c>
      <c r="C168" s="11" t="s">
        <v>106</v>
      </c>
      <c r="D168" s="11"/>
      <c r="E168" s="11"/>
      <c r="F168" s="11" t="str">
        <f>VLOOKUP(G168, SeanRanks!$A$2:$E$302, 4, FALSE)</f>
        <v/>
      </c>
      <c r="G168" s="11" t="s">
        <v>623</v>
      </c>
      <c r="H168" s="11" t="str">
        <f>VLOOKUP($G168, 'ADP Data'!$C$4:$Q$300, 2, FALSE)</f>
        <v>LV</v>
      </c>
      <c r="I168" s="11">
        <f>VLOOKUP(G168, 'ADP Data'!$C$4:$R$498, 12, FALSE)</f>
        <v>163</v>
      </c>
      <c r="J168" s="11" t="str">
        <f>VLOOKUP($G168, SeanRanks!$A$2:$H$303, 5, FALSE)</f>
        <v/>
      </c>
      <c r="K168" s="11" t="str">
        <f>IF(VLOOKUP($G168, SeanRanks!$A$2:$H$303, 6, FALSE)=0, "", VLOOKUP($G168, SeanRanks!$A$2:$H$303, 6, FALSE))</f>
        <v>Don’t Draft - Streamer</v>
      </c>
      <c r="L168" s="11">
        <f t="shared" si="5"/>
        <v>20</v>
      </c>
      <c r="M168" s="11">
        <f>VLOOKUP($G168, 'ADP Data'!$C$4:$Q$300, 9, FALSE)</f>
        <v>228</v>
      </c>
      <c r="N168" s="11">
        <f t="shared" si="6"/>
        <v>22</v>
      </c>
      <c r="O168" s="11">
        <f>VLOOKUP($G168, 'ADP Data'!$C$4:$Q$300, 3, FALSE)</f>
        <v>176</v>
      </c>
      <c r="P168" s="11">
        <f t="shared" si="7"/>
        <v>52</v>
      </c>
      <c r="Q168" s="11">
        <f>VLOOKUP($G168, 'ADP Data'!$C$4:$Q$300, 4, FALSE)</f>
        <v>207</v>
      </c>
      <c r="R168" s="11">
        <f>VLOOKUP($G168, 'ADP Data'!$C$4:$Q$300, 5, FALSE)</f>
        <v>238</v>
      </c>
      <c r="S168" s="11">
        <f>VLOOKUP($G168, 'ADP Data'!$C$4:$Q$300, 6, FALSE)</f>
        <v>198</v>
      </c>
      <c r="T168" s="11">
        <f>VLOOKUP($G168, 'ADP Data'!$C$4:$Q$300, 7, FALSE)</f>
        <v>191</v>
      </c>
      <c r="U168" s="11">
        <f>VLOOKUP($G168, 'ADP Data'!$C$4:$Q$300, 8, FALSE)</f>
        <v>205</v>
      </c>
      <c r="V168" s="11">
        <f t="shared" si="8"/>
        <v>206</v>
      </c>
      <c r="W168" s="11">
        <f t="shared" si="9"/>
        <v>18</v>
      </c>
      <c r="X168" s="11">
        <f t="shared" si="10"/>
        <v>-18</v>
      </c>
      <c r="Y168" s="11">
        <f>VLOOKUP($G168, SeanRanks!$A$2:$K$303, 10, FALSE)-V168</f>
        <v>-61</v>
      </c>
      <c r="Z168" s="29" t="str">
        <f>IF(VLOOKUP($G168, SeanRanks!$A$2:$H$303, 7, FALSE)=0, "", VLOOKUP($G168, SeanRanks!$A$2:$H$303, 7, FALSE))</f>
        <v/>
      </c>
    </row>
    <row r="169" ht="14.25" customHeight="1">
      <c r="A169" s="11"/>
      <c r="B169" s="11">
        <f t="shared" si="4"/>
        <v>14</v>
      </c>
      <c r="C169" s="11" t="s">
        <v>106</v>
      </c>
      <c r="D169" s="11"/>
      <c r="E169" s="11"/>
      <c r="F169" s="11" t="str">
        <f>VLOOKUP(G169, SeanRanks!$A$2:$E$302, 4, FALSE)</f>
        <v/>
      </c>
      <c r="G169" s="11" t="s">
        <v>502</v>
      </c>
      <c r="H169" s="11" t="str">
        <f>VLOOKUP($G169, 'ADP Data'!$C$4:$Q$300, 2, FALSE)</f>
        <v>PIT</v>
      </c>
      <c r="I169" s="11" t="str">
        <f>VLOOKUP(G169, 'ADP Data'!$C$4:$R$498, 12, FALSE)</f>
        <v>-</v>
      </c>
      <c r="J169" s="11" t="str">
        <f>VLOOKUP($G169, SeanRanks!$A$2:$H$303, 5, FALSE)</f>
        <v/>
      </c>
      <c r="K169" s="11" t="str">
        <f>IF(VLOOKUP($G169, SeanRanks!$A$2:$H$303, 6, FALSE)=0, "", VLOOKUP($G169, SeanRanks!$A$2:$H$303, 6, FALSE))</f>
        <v/>
      </c>
      <c r="L169" s="11">
        <f t="shared" si="5"/>
        <v>13</v>
      </c>
      <c r="M169" s="11">
        <f>VLOOKUP($G169, 'ADP Data'!$C$4:$Q$300, 9, FALSE)</f>
        <v>154</v>
      </c>
      <c r="N169" s="11">
        <f t="shared" si="6"/>
        <v>-3</v>
      </c>
      <c r="O169" s="11">
        <f>VLOOKUP($G169, 'ADP Data'!$C$4:$Q$300, 3, FALSE)</f>
        <v>132</v>
      </c>
      <c r="P169" s="11">
        <f t="shared" si="7"/>
        <v>22</v>
      </c>
      <c r="Q169" s="11">
        <f>VLOOKUP($G169, 'ADP Data'!$C$4:$Q$300, 4, FALSE)</f>
        <v>90</v>
      </c>
      <c r="R169" s="11">
        <f>VLOOKUP($G169, 'ADP Data'!$C$4:$Q$300, 5, FALSE)</f>
        <v>213</v>
      </c>
      <c r="S169" s="11">
        <f>VLOOKUP($G169, 'ADP Data'!$C$4:$Q$300, 6, FALSE)</f>
        <v>215</v>
      </c>
      <c r="T169" s="11">
        <f>VLOOKUP($G169, 'ADP Data'!$C$4:$Q$300, 7, FALSE)</f>
        <v>167</v>
      </c>
      <c r="U169" s="11">
        <f>VLOOKUP($G169, 'ADP Data'!$C$4:$Q$300, 8, FALSE)</f>
        <v>131</v>
      </c>
      <c r="V169" s="11">
        <f t="shared" si="8"/>
        <v>157</v>
      </c>
      <c r="W169" s="11">
        <f t="shared" si="9"/>
        <v>14</v>
      </c>
      <c r="X169" s="11">
        <f t="shared" si="10"/>
        <v>-14</v>
      </c>
      <c r="Y169" s="11">
        <f>VLOOKUP($G169, SeanRanks!$A$2:$K$303, 10, FALSE)-V169</f>
        <v>9</v>
      </c>
      <c r="Z169" s="29" t="str">
        <f>IF(VLOOKUP($G169, SeanRanks!$A$2:$H$303, 7, FALSE)=0, "", VLOOKUP($G169, SeanRanks!$A$2:$H$303, 7, FALSE))</f>
        <v/>
      </c>
    </row>
    <row r="170" ht="14.25" customHeight="1">
      <c r="A170" s="11"/>
      <c r="B170" s="11">
        <f t="shared" si="4"/>
        <v>15</v>
      </c>
      <c r="C170" s="11" t="s">
        <v>106</v>
      </c>
      <c r="D170" s="11"/>
      <c r="E170" s="11"/>
      <c r="F170" s="11" t="str">
        <f>VLOOKUP(G170, SeanRanks!$A$2:$E$302, 4, FALSE)</f>
        <v/>
      </c>
      <c r="G170" s="11" t="s">
        <v>405</v>
      </c>
      <c r="H170" s="11" t="str">
        <f>VLOOKUP($G170, 'ADP Data'!$C$4:$Q$300, 2, FALSE)</f>
        <v>NE</v>
      </c>
      <c r="I170" s="11">
        <f>VLOOKUP(G170, 'ADP Data'!$C$4:$R$498, 12, FALSE)</f>
        <v>160</v>
      </c>
      <c r="J170" s="11" t="str">
        <f>VLOOKUP($G170, SeanRanks!$A$2:$H$303, 5, FALSE)</f>
        <v/>
      </c>
      <c r="K170" s="11" t="str">
        <f>IF(VLOOKUP($G170, SeanRanks!$A$2:$H$303, 6, FALSE)=0, "", VLOOKUP($G170, SeanRanks!$A$2:$H$303, 6, FALSE))</f>
        <v/>
      </c>
      <c r="L170" s="11">
        <f t="shared" si="5"/>
        <v>15</v>
      </c>
      <c r="M170" s="11">
        <f>VLOOKUP($G170, 'ADP Data'!$C$4:$Q$300, 9, FALSE)</f>
        <v>169</v>
      </c>
      <c r="N170" s="11">
        <f t="shared" si="6"/>
        <v>0</v>
      </c>
      <c r="O170" s="11">
        <f>VLOOKUP($G170, 'ADP Data'!$C$4:$Q$300, 3, FALSE)</f>
        <v>155</v>
      </c>
      <c r="P170" s="11">
        <f t="shared" si="7"/>
        <v>14</v>
      </c>
      <c r="Q170" s="11">
        <f>VLOOKUP($G170, 'ADP Data'!$C$4:$Q$300, 4, FALSE)</f>
        <v>155</v>
      </c>
      <c r="R170" s="11">
        <f>VLOOKUP($G170, 'ADP Data'!$C$4:$Q$300, 5, FALSE)</f>
        <v>225</v>
      </c>
      <c r="S170" s="11">
        <f>VLOOKUP($G170, 'ADP Data'!$C$4:$Q$300, 6, FALSE)</f>
        <v>140</v>
      </c>
      <c r="T170" s="11">
        <f>VLOOKUP($G170, 'ADP Data'!$C$4:$Q$300, 7, FALSE)</f>
        <v>168</v>
      </c>
      <c r="U170" s="11">
        <f>VLOOKUP($G170, 'ADP Data'!$C$4:$Q$300, 8, FALSE)</f>
        <v>173</v>
      </c>
      <c r="V170" s="11">
        <f t="shared" si="8"/>
        <v>169</v>
      </c>
      <c r="W170" s="11">
        <f t="shared" si="9"/>
        <v>15</v>
      </c>
      <c r="X170" s="11">
        <f t="shared" si="10"/>
        <v>-15</v>
      </c>
      <c r="Y170" s="11">
        <f>VLOOKUP($G170, SeanRanks!$A$2:$K$303, 10, FALSE)-V170</f>
        <v>-35</v>
      </c>
      <c r="Z170" s="29" t="str">
        <f>IF(VLOOKUP($G170, SeanRanks!$A$2:$H$303, 7, FALSE)=0, "", VLOOKUP($G170, SeanRanks!$A$2:$H$303, 7, FALSE))</f>
        <v/>
      </c>
    </row>
    <row r="171" ht="14.25" customHeight="1">
      <c r="A171" s="11"/>
      <c r="B171" s="11">
        <f t="shared" si="4"/>
        <v>15</v>
      </c>
      <c r="C171" s="11" t="s">
        <v>106</v>
      </c>
      <c r="D171" s="11"/>
      <c r="E171" s="11"/>
      <c r="F171" s="11" t="str">
        <f>VLOOKUP(G171, SeanRanks!$A$2:$E$302, 4, FALSE)</f>
        <v/>
      </c>
      <c r="G171" s="11" t="s">
        <v>626</v>
      </c>
      <c r="H171" s="11" t="str">
        <f>VLOOKUP($G171, 'ADP Data'!$C$4:$Q$300, 2, FALSE)</f>
        <v>BUF</v>
      </c>
      <c r="I171" s="11" t="str">
        <f>VLOOKUP(G171, 'ADP Data'!$C$4:$R$498, 12, FALSE)</f>
        <v>-</v>
      </c>
      <c r="J171" s="11" t="str">
        <f>VLOOKUP($G171, SeanRanks!$A$2:$H$303, 5, FALSE)</f>
        <v/>
      </c>
      <c r="K171" s="11" t="str">
        <f>IF(VLOOKUP($G171, SeanRanks!$A$2:$H$303, 6, FALSE)=0, "", VLOOKUP($G171, SeanRanks!$A$2:$H$303, 6, FALSE))</f>
        <v/>
      </c>
      <c r="L171" s="11">
        <f t="shared" si="5"/>
        <v>20</v>
      </c>
      <c r="M171" s="11">
        <f>VLOOKUP($G171, 'ADP Data'!$C$4:$Q$300, 9, FALSE)</f>
        <v>231</v>
      </c>
      <c r="N171" s="11">
        <f t="shared" si="6"/>
        <v>56</v>
      </c>
      <c r="O171" s="11">
        <f>VLOOKUP($G171, 'ADP Data'!$C$4:$Q$300, 3, FALSE)</f>
        <v>128</v>
      </c>
      <c r="P171" s="11">
        <f t="shared" si="7"/>
        <v>103</v>
      </c>
      <c r="Q171" s="11">
        <f>VLOOKUP($G171, 'ADP Data'!$C$4:$Q$300, 4, FALSE)</f>
        <v>153</v>
      </c>
      <c r="R171" s="11">
        <f>VLOOKUP($G171, 'ADP Data'!$C$4:$Q$300, 5, FALSE)</f>
        <v>218</v>
      </c>
      <c r="S171" s="11">
        <f>VLOOKUP($G171, 'ADP Data'!$C$4:$Q$300, 6, FALSE)</f>
        <v>224</v>
      </c>
      <c r="T171" s="11">
        <f>VLOOKUP($G171, 'ADP Data'!$C$4:$Q$300, 7, FALSE)</f>
        <v>179</v>
      </c>
      <c r="U171" s="11">
        <f>VLOOKUP($G171, 'ADP Data'!$C$4:$Q$300, 8, FALSE)</f>
        <v>92</v>
      </c>
      <c r="V171" s="11">
        <f t="shared" si="8"/>
        <v>175</v>
      </c>
      <c r="W171" s="11">
        <f t="shared" si="9"/>
        <v>15</v>
      </c>
      <c r="X171" s="11">
        <f t="shared" si="10"/>
        <v>-15</v>
      </c>
      <c r="Y171" s="11">
        <f>VLOOKUP($G171, SeanRanks!$A$2:$K$303, 10, FALSE)-V171</f>
        <v>15</v>
      </c>
      <c r="Z171" s="29" t="str">
        <f>IF(VLOOKUP($G171, SeanRanks!$A$2:$H$303, 7, FALSE)=0, "", VLOOKUP($G171, SeanRanks!$A$2:$H$303, 7, FALSE))</f>
        <v/>
      </c>
    </row>
    <row r="172" ht="14.25" customHeight="1">
      <c r="A172" s="11"/>
      <c r="B172" s="11" t="str">
        <f t="shared" si="4"/>
        <v>#N/A</v>
      </c>
      <c r="C172" s="11" t="s">
        <v>95</v>
      </c>
      <c r="D172" s="11"/>
      <c r="E172" s="11"/>
      <c r="F172" s="11" t="str">
        <f>VLOOKUP(G172, SeanRanks!$A$2:$E$302, 4, FALSE)</f>
        <v>#N/A</v>
      </c>
      <c r="G172" s="11" t="s">
        <v>897</v>
      </c>
      <c r="H172" s="11" t="str">
        <f>VLOOKUP($G172, 'ADP Data'!$C$4:$Q$300, 2, FALSE)</f>
        <v>#N/A</v>
      </c>
      <c r="I172" s="11" t="str">
        <f>VLOOKUP(G172, 'ADP Data'!$C$4:$R$498, 12, FALSE)</f>
        <v>#N/A</v>
      </c>
      <c r="J172" s="11" t="str">
        <f>VLOOKUP($G172, SeanRanks!$A$2:$H$303, 5, FALSE)</f>
        <v>#N/A</v>
      </c>
      <c r="K172" s="11" t="str">
        <f>IF(VLOOKUP($G172, SeanRanks!$A$2:$H$303, 6, FALSE)=0, "", VLOOKUP($G172, SeanRanks!$A$2:$H$303, 6, FALSE))</f>
        <v>#N/A</v>
      </c>
      <c r="L172" s="11">
        <f t="shared" si="5"/>
        <v>16</v>
      </c>
      <c r="M172" s="11" t="str">
        <f>VLOOKUP($G172, 'ADP Data'!$C$4:$Q$300, 9, FALSE)</f>
        <v>#N/A</v>
      </c>
      <c r="N172" s="11" t="str">
        <f t="shared" si="6"/>
        <v>#N/A</v>
      </c>
      <c r="O172" s="11" t="str">
        <f>VLOOKUP($G172, 'ADP Data'!$C$4:$Q$300, 3, FALSE)</f>
        <v>#N/A</v>
      </c>
      <c r="P172" s="11" t="str">
        <f t="shared" si="7"/>
        <v>#N/A</v>
      </c>
      <c r="Q172" s="11"/>
      <c r="R172" s="11"/>
      <c r="S172" s="11"/>
      <c r="T172" s="11"/>
      <c r="U172" s="11"/>
      <c r="V172" s="11" t="str">
        <f t="shared" si="8"/>
        <v>#N/A</v>
      </c>
      <c r="W172" s="11">
        <f t="shared" si="9"/>
        <v>16</v>
      </c>
      <c r="X172" s="11">
        <f t="shared" si="10"/>
        <v>-16</v>
      </c>
      <c r="Y172" s="11" t="str">
        <f>VLOOKUP($G172, SeanRanks!$A$2:$K$303, 10, FALSE)-V172</f>
        <v>#N/A</v>
      </c>
      <c r="Z172" s="29" t="str">
        <f>IF(VLOOKUP($G172, SeanRanks!$A$2:$H$303, 7, FALSE)=0, "", VLOOKUP($G172, SeanRanks!$A$2:$H$303, 7, FALSE))</f>
        <v>#N/A</v>
      </c>
    </row>
    <row r="173" ht="14.25" customHeight="1">
      <c r="A173" s="11"/>
      <c r="B173" s="11">
        <f t="shared" si="4"/>
        <v>25</v>
      </c>
      <c r="C173" s="11" t="s">
        <v>106</v>
      </c>
      <c r="D173" s="11"/>
      <c r="E173" s="11"/>
      <c r="F173" s="11" t="str">
        <f>VLOOKUP(G173, SeanRanks!$A$2:$E$302, 4, FALSE)</f>
        <v/>
      </c>
      <c r="G173" s="11" t="s">
        <v>895</v>
      </c>
      <c r="H173" s="11" t="str">
        <f>VLOOKUP($G173, 'ADP Data'!$C$4:$Q$300, 2, FALSE)</f>
        <v>LAC</v>
      </c>
      <c r="I173" s="11">
        <f>VLOOKUP(G173, 'ADP Data'!$C$4:$R$498, 12, FALSE)</f>
        <v>270</v>
      </c>
      <c r="J173" s="11" t="str">
        <f>VLOOKUP($G173, SeanRanks!$A$2:$H$303, 5, FALSE)</f>
        <v/>
      </c>
      <c r="K173" s="11" t="str">
        <f>IF(VLOOKUP($G173, SeanRanks!$A$2:$H$303, 6, FALSE)=0, "", VLOOKUP($G173, SeanRanks!$A$2:$H$303, 6, FALSE))</f>
        <v/>
      </c>
      <c r="L173" s="11">
        <f t="shared" si="5"/>
        <v>26</v>
      </c>
      <c r="M173" s="11">
        <f>VLOOKUP($G173, 'ADP Data'!$C$4:$Q$300, 9, FALSE)</f>
        <v>311</v>
      </c>
      <c r="N173" s="11">
        <f t="shared" si="6"/>
        <v>14</v>
      </c>
      <c r="O173" s="11" t="str">
        <f>VLOOKUP($G173, 'ADP Data'!$C$4:$Q$300, 3, FALSE)</f>
        <v>-</v>
      </c>
      <c r="P173" s="11" t="str">
        <f t="shared" si="7"/>
        <v>#VALUE!</v>
      </c>
      <c r="Q173" s="11">
        <f>VLOOKUP($G173, 'ADP Data'!$C$4:$Q$300, 4, FALSE)</f>
        <v>326</v>
      </c>
      <c r="R173" s="11" t="str">
        <f>VLOOKUP($G173, 'ADP Data'!$C$4:$Q$300, 5, FALSE)</f>
        <v>-</v>
      </c>
      <c r="S173" s="11">
        <f>VLOOKUP($G173, 'ADP Data'!$C$4:$Q$300, 6, FALSE)</f>
        <v>291</v>
      </c>
      <c r="T173" s="11" t="str">
        <f>VLOOKUP($G173, 'ADP Data'!$C$4:$Q$300, 7, FALSE)</f>
        <v>-</v>
      </c>
      <c r="U173" s="11">
        <f>VLOOKUP($G173, 'ADP Data'!$C$4:$Q$300, 8, FALSE)</f>
        <v>262</v>
      </c>
      <c r="V173" s="11">
        <f t="shared" si="8"/>
        <v>297</v>
      </c>
      <c r="W173" s="11">
        <f t="shared" si="9"/>
        <v>25</v>
      </c>
      <c r="X173" s="11">
        <f t="shared" si="10"/>
        <v>-25</v>
      </c>
      <c r="Y173" s="11" t="str">
        <f>VLOOKUP($G173, SeanRanks!$A$2:$K$303, 10, FALSE)-V173</f>
        <v>#VALUE!</v>
      </c>
      <c r="Z173" s="29" t="str">
        <f>IF(VLOOKUP($G173, SeanRanks!$A$2:$H$303, 7, FALSE)=0, "", VLOOKUP($G173, SeanRanks!$A$2:$H$303, 7, FALSE))</f>
        <v/>
      </c>
    </row>
    <row r="174" ht="14.25" customHeight="1">
      <c r="A174" s="11" t="s">
        <v>106</v>
      </c>
      <c r="B174" s="11">
        <f t="shared" si="4"/>
        <v>23</v>
      </c>
      <c r="C174" s="11" t="s">
        <v>95</v>
      </c>
      <c r="D174" s="11"/>
      <c r="E174" s="11"/>
      <c r="F174" s="11" t="str">
        <f>VLOOKUP(G174, SeanRanks!$A$2:$E$302, 4, FALSE)</f>
        <v/>
      </c>
      <c r="G174" s="11" t="s">
        <v>439</v>
      </c>
      <c r="H174" s="11" t="str">
        <f>VLOOKUP($G174, 'ADP Data'!$C$4:$Q$300, 2, FALSE)</f>
        <v>GB</v>
      </c>
      <c r="I174" s="11">
        <f>VLOOKUP(G174, 'ADP Data'!$C$4:$R$498, 12, FALSE)</f>
        <v>280</v>
      </c>
      <c r="J174" s="59" t="str">
        <f>VLOOKUP($G174, SeanRanks!$A$2:$H$303, 5, FALSE)</f>
        <v/>
      </c>
      <c r="K174" s="11" t="str">
        <f>IF(VLOOKUP($G174, SeanRanks!$A$2:$H$303, 6, FALSE)=0, "", VLOOKUP($G174, SeanRanks!$A$2:$H$303, 6, FALSE))</f>
        <v>RB5 - 1 - upside</v>
      </c>
      <c r="L174" s="11">
        <f t="shared" si="5"/>
        <v>21</v>
      </c>
      <c r="M174" s="11">
        <f>VLOOKUP($G174, 'ADP Data'!$C$4:$Q$300, 9, FALSE)</f>
        <v>247</v>
      </c>
      <c r="N174" s="11">
        <f t="shared" si="6"/>
        <v>-22</v>
      </c>
      <c r="O174" s="11" t="str">
        <f>VLOOKUP($G174, 'ADP Data'!$C$4:$Q$300, 3, FALSE)</f>
        <v>-</v>
      </c>
      <c r="P174" s="11" t="str">
        <f t="shared" si="7"/>
        <v>#VALUE!</v>
      </c>
      <c r="Q174" s="11" t="str">
        <f>VLOOKUP($G174, 'ADP Data'!$C$4:$Q$300, 4, FALSE)</f>
        <v>-</v>
      </c>
      <c r="R174" s="11">
        <f>VLOOKUP($G174, 'ADP Data'!$C$4:$Q$300, 5, FALSE)</f>
        <v>296</v>
      </c>
      <c r="S174" s="11">
        <f>VLOOKUP($G174, 'ADP Data'!$C$4:$Q$300, 6, FALSE)</f>
        <v>255</v>
      </c>
      <c r="T174" s="11">
        <f>VLOOKUP($G174, 'ADP Data'!$C$4:$Q$300, 7, FALSE)</f>
        <v>235</v>
      </c>
      <c r="U174" s="11">
        <f>VLOOKUP($G174, 'ADP Data'!$C$4:$Q$300, 8, FALSE)</f>
        <v>315</v>
      </c>
      <c r="V174" s="11">
        <f t="shared" si="8"/>
        <v>269</v>
      </c>
      <c r="W174" s="11">
        <f t="shared" si="9"/>
        <v>23</v>
      </c>
      <c r="X174" s="11">
        <f t="shared" si="10"/>
        <v>-23</v>
      </c>
      <c r="Y174" s="11">
        <f>VLOOKUP($G174, SeanRanks!$A$2:$K$303, 10, FALSE)-V174</f>
        <v>-62</v>
      </c>
      <c r="Z174" s="29">
        <f>IF(VLOOKUP($G174, SeanRanks!$A$2:$H$303, 7, FALSE)=0, "", VLOOKUP($G174, SeanRanks!$A$2:$H$303, 7, FALSE))</f>
        <v>53</v>
      </c>
    </row>
    <row r="175" ht="14.25" customHeight="1">
      <c r="A175" s="11"/>
      <c r="B175" s="11">
        <f t="shared" si="4"/>
        <v>18</v>
      </c>
      <c r="C175" s="11" t="s">
        <v>106</v>
      </c>
      <c r="D175" s="11"/>
      <c r="E175" s="11"/>
      <c r="F175" s="11" t="str">
        <f>VLOOKUP(G175, SeanRanks!$A$2:$E$302, 4, FALSE)</f>
        <v/>
      </c>
      <c r="G175" s="11" t="s">
        <v>556</v>
      </c>
      <c r="H175" s="11" t="str">
        <f>VLOOKUP($G175, 'ADP Data'!$C$4:$Q$300, 2, FALSE)</f>
        <v>TB</v>
      </c>
      <c r="I175" s="11">
        <f>VLOOKUP(G175, 'ADP Data'!$C$4:$R$498, 12, FALSE)</f>
        <v>190</v>
      </c>
      <c r="J175" s="11" t="str">
        <f>VLOOKUP($G175, SeanRanks!$A$2:$H$303, 5, FALSE)</f>
        <v/>
      </c>
      <c r="K175" s="11" t="str">
        <f>IF(VLOOKUP($G175, SeanRanks!$A$2:$H$303, 6, FALSE)=0, "", VLOOKUP($G175, SeanRanks!$A$2:$H$303, 6, FALSE))</f>
        <v/>
      </c>
      <c r="L175" s="11">
        <f t="shared" si="5"/>
        <v>19</v>
      </c>
      <c r="M175" s="11">
        <f>VLOOKUP($G175, 'ADP Data'!$C$4:$Q$300, 9, FALSE)</f>
        <v>227</v>
      </c>
      <c r="N175" s="11">
        <f t="shared" si="6"/>
        <v>17</v>
      </c>
      <c r="O175" s="11" t="str">
        <f>VLOOKUP($G175, 'ADP Data'!$C$4:$Q$300, 3, FALSE)</f>
        <v>-</v>
      </c>
      <c r="P175" s="11" t="str">
        <f t="shared" si="7"/>
        <v>#VALUE!</v>
      </c>
      <c r="Q175" s="11">
        <f>VLOOKUP($G175, 'ADP Data'!$C$4:$Q$300, 4, FALSE)</f>
        <v>200</v>
      </c>
      <c r="R175" s="11">
        <f>VLOOKUP($G175, 'ADP Data'!$C$4:$Q$300, 5, FALSE)</f>
        <v>242</v>
      </c>
      <c r="S175" s="11">
        <f>VLOOKUP($G175, 'ADP Data'!$C$4:$Q$300, 6, FALSE)</f>
        <v>167</v>
      </c>
      <c r="T175" s="11">
        <f>VLOOKUP($G175, 'ADP Data'!$C$4:$Q$300, 7, FALSE)</f>
        <v>215</v>
      </c>
      <c r="U175" s="11">
        <f>VLOOKUP($G175, 'ADP Data'!$C$4:$Q$300, 8, FALSE)</f>
        <v>211</v>
      </c>
      <c r="V175" s="11">
        <f t="shared" si="8"/>
        <v>210</v>
      </c>
      <c r="W175" s="11">
        <f t="shared" si="9"/>
        <v>18</v>
      </c>
      <c r="X175" s="11">
        <f t="shared" si="10"/>
        <v>-18</v>
      </c>
      <c r="Y175" s="11" t="str">
        <f>VLOOKUP($G175, SeanRanks!$A$2:$K$303, 10, FALSE)-V175</f>
        <v>#VALUE!</v>
      </c>
      <c r="Z175" s="29" t="str">
        <f>IF(VLOOKUP($G175, SeanRanks!$A$2:$H$303, 7, FALSE)=0, "", VLOOKUP($G175, SeanRanks!$A$2:$H$303, 7, FALSE))</f>
        <v/>
      </c>
    </row>
    <row r="176" ht="14.25" customHeight="1">
      <c r="A176" s="11"/>
      <c r="B176" s="11" t="str">
        <f t="shared" si="4"/>
        <v>#N/A</v>
      </c>
      <c r="C176" s="11" t="s">
        <v>106</v>
      </c>
      <c r="D176" s="11"/>
      <c r="E176" s="11"/>
      <c r="F176" s="11" t="str">
        <f>VLOOKUP(G176, SeanRanks!$A$2:$E$302, 4, FALSE)</f>
        <v>#N/A</v>
      </c>
      <c r="G176" s="11" t="s">
        <v>813</v>
      </c>
      <c r="H176" s="11" t="str">
        <f>VLOOKUP($G176, 'ADP Data'!$C$4:$Q$300, 2, FALSE)</f>
        <v>#N/A</v>
      </c>
      <c r="I176" s="11" t="str">
        <f>VLOOKUP(G176, 'ADP Data'!$C$4:$R$498, 12, FALSE)</f>
        <v>#N/A</v>
      </c>
      <c r="J176" s="11" t="str">
        <f>VLOOKUP($G176, SeanRanks!$A$2:$H$303, 5, FALSE)</f>
        <v>#N/A</v>
      </c>
      <c r="K176" s="11" t="str">
        <f>IF(VLOOKUP($G176, SeanRanks!$A$2:$H$303, 6, FALSE)=0, "", VLOOKUP($G176, SeanRanks!$A$2:$H$303, 6, FALSE))</f>
        <v>#N/A</v>
      </c>
      <c r="L176" s="11">
        <f t="shared" si="5"/>
        <v>16</v>
      </c>
      <c r="M176" s="11" t="str">
        <f>VLOOKUP($G176, 'ADP Data'!$C$4:$Q$300, 9, FALSE)</f>
        <v>#N/A</v>
      </c>
      <c r="N176" s="11" t="str">
        <f t="shared" si="6"/>
        <v>#N/A</v>
      </c>
      <c r="O176" s="11" t="str">
        <f>VLOOKUP($G176, 'ADP Data'!$C$4:$Q$300, 3, FALSE)</f>
        <v>#N/A</v>
      </c>
      <c r="P176" s="11" t="str">
        <f t="shared" si="7"/>
        <v>#N/A</v>
      </c>
      <c r="Q176" s="11" t="str">
        <f>VLOOKUP($G176, 'ADP Data'!$C$4:$Q$300, 4, FALSE)</f>
        <v>#N/A</v>
      </c>
      <c r="R176" s="11" t="str">
        <f>VLOOKUP($G176, 'ADP Data'!$C$4:$Q$300, 5, FALSE)</f>
        <v>#N/A</v>
      </c>
      <c r="S176" s="11" t="str">
        <f>VLOOKUP($G176, 'ADP Data'!$C$4:$Q$300, 6, FALSE)</f>
        <v>#N/A</v>
      </c>
      <c r="T176" s="11" t="str">
        <f>VLOOKUP($G176, 'ADP Data'!$C$4:$Q$300, 7, FALSE)</f>
        <v>#N/A</v>
      </c>
      <c r="U176" s="11" t="str">
        <f>VLOOKUP($G176, 'ADP Data'!$C$4:$Q$300, 8, FALSE)</f>
        <v>#N/A</v>
      </c>
      <c r="V176" s="11" t="str">
        <f t="shared" si="8"/>
        <v>#N/A</v>
      </c>
      <c r="W176" s="11">
        <f t="shared" si="9"/>
        <v>16</v>
      </c>
      <c r="X176" s="11">
        <f t="shared" si="10"/>
        <v>-16</v>
      </c>
      <c r="Y176" s="11" t="str">
        <f>VLOOKUP($G176, SeanRanks!$A$2:$K$303, 10, FALSE)-V176</f>
        <v>#N/A</v>
      </c>
      <c r="Z176" s="29" t="str">
        <f>IF(VLOOKUP($G176, SeanRanks!$A$2:$H$303, 7, FALSE)=0, "", VLOOKUP($G176, SeanRanks!$A$2:$H$303, 7, FALSE))</f>
        <v>#N/A</v>
      </c>
    </row>
    <row r="177" ht="14.25" customHeight="1">
      <c r="A177" s="11"/>
      <c r="B177" s="11">
        <f t="shared" si="4"/>
        <v>17</v>
      </c>
      <c r="C177" s="11" t="s">
        <v>106</v>
      </c>
      <c r="D177" s="11"/>
      <c r="E177" s="11"/>
      <c r="F177" s="11" t="str">
        <f>VLOOKUP(G177, SeanRanks!$A$2:$E$302, 4, FALSE)</f>
        <v/>
      </c>
      <c r="G177" s="11" t="s">
        <v>337</v>
      </c>
      <c r="H177" s="11" t="str">
        <f>VLOOKUP($G177, 'ADP Data'!$C$4:$Q$300, 2, FALSE)</f>
        <v>BAL</v>
      </c>
      <c r="I177" s="11">
        <f>VLOOKUP(G177, 'ADP Data'!$C$4:$R$498, 12, FALSE)</f>
        <v>186</v>
      </c>
      <c r="J177" s="11" t="str">
        <f>VLOOKUP($G177, SeanRanks!$A$2:$H$303, 5, FALSE)</f>
        <v/>
      </c>
      <c r="K177" s="11" t="str">
        <f>IF(VLOOKUP($G177, SeanRanks!$A$2:$H$303, 6, FALSE)=0, "", VLOOKUP($G177, SeanRanks!$A$2:$H$303, 6, FALSE))</f>
        <v/>
      </c>
      <c r="L177" s="11">
        <f t="shared" si="5"/>
        <v>15</v>
      </c>
      <c r="M177" s="11">
        <f>VLOOKUP($G177, 'ADP Data'!$C$4:$Q$300, 9, FALSE)</f>
        <v>175</v>
      </c>
      <c r="N177" s="11">
        <f t="shared" si="6"/>
        <v>-14</v>
      </c>
      <c r="O177" s="11">
        <f>VLOOKUP($G177, 'ADP Data'!$C$4:$Q$300, 3, FALSE)</f>
        <v>187</v>
      </c>
      <c r="P177" s="11">
        <f t="shared" si="7"/>
        <v>-12</v>
      </c>
      <c r="Q177" s="11">
        <f>VLOOKUP($G177, 'ADP Data'!$C$4:$Q$300, 4, FALSE)</f>
        <v>203</v>
      </c>
      <c r="R177" s="11">
        <f>VLOOKUP($G177, 'ADP Data'!$C$4:$Q$300, 5, FALSE)</f>
        <v>261</v>
      </c>
      <c r="S177" s="11">
        <f>VLOOKUP($G177, 'ADP Data'!$C$4:$Q$300, 6, FALSE)</f>
        <v>157</v>
      </c>
      <c r="T177" s="11">
        <f>VLOOKUP($G177, 'ADP Data'!$C$4:$Q$300, 7, FALSE)</f>
        <v>182</v>
      </c>
      <c r="U177" s="11">
        <f>VLOOKUP($G177, 'ADP Data'!$C$4:$Q$300, 8, FALSE)</f>
        <v>160</v>
      </c>
      <c r="V177" s="11">
        <f t="shared" si="8"/>
        <v>189</v>
      </c>
      <c r="W177" s="11">
        <f t="shared" si="9"/>
        <v>16</v>
      </c>
      <c r="X177" s="11">
        <f t="shared" si="10"/>
        <v>-16</v>
      </c>
      <c r="Y177" s="11">
        <f>VLOOKUP($G177, SeanRanks!$A$2:$K$303, 10, FALSE)-V177</f>
        <v>53</v>
      </c>
      <c r="Z177" s="29" t="str">
        <f>IF(VLOOKUP($G177, SeanRanks!$A$2:$H$303, 7, FALSE)=0, "", VLOOKUP($G177, SeanRanks!$A$2:$H$303, 7, FALSE))</f>
        <v/>
      </c>
    </row>
    <row r="178" ht="14.25" customHeight="1">
      <c r="A178" s="11"/>
      <c r="B178" s="11">
        <f t="shared" si="4"/>
        <v>11</v>
      </c>
      <c r="C178" s="11" t="s">
        <v>106</v>
      </c>
      <c r="D178" s="11"/>
      <c r="E178" s="11"/>
      <c r="F178" s="11" t="str">
        <f>VLOOKUP(G178, SeanRanks!$A$2:$E$302, 4, FALSE)</f>
        <v/>
      </c>
      <c r="G178" s="11" t="s">
        <v>543</v>
      </c>
      <c r="H178" s="11" t="str">
        <f>VLOOKUP($G178, 'ADP Data'!$C$4:$Q$300, 2, FALSE)</f>
        <v>DAL</v>
      </c>
      <c r="I178" s="11" t="str">
        <f>VLOOKUP(G178, 'ADP Data'!$C$4:$R$498, 12, FALSE)</f>
        <v>-</v>
      </c>
      <c r="J178" s="11" t="str">
        <f>VLOOKUP($G178, SeanRanks!$A$2:$H$303, 5, FALSE)</f>
        <v/>
      </c>
      <c r="K178" s="11" t="str">
        <f>IF(VLOOKUP($G178, SeanRanks!$A$2:$H$303, 6, FALSE)=0, "", VLOOKUP($G178, SeanRanks!$A$2:$H$303, 6, FALSE))</f>
        <v/>
      </c>
      <c r="L178" s="11">
        <f t="shared" si="5"/>
        <v>11</v>
      </c>
      <c r="M178" s="11">
        <f>VLOOKUP($G178, 'ADP Data'!$C$4:$Q$300, 9, FALSE)</f>
        <v>131</v>
      </c>
      <c r="N178" s="11">
        <f t="shared" si="6"/>
        <v>14</v>
      </c>
      <c r="O178" s="11">
        <f>VLOOKUP($G178, 'ADP Data'!$C$4:$Q$300, 3, FALSE)</f>
        <v>104</v>
      </c>
      <c r="P178" s="11">
        <f t="shared" si="7"/>
        <v>27</v>
      </c>
      <c r="Q178" s="11"/>
      <c r="R178" s="11"/>
      <c r="S178" s="11"/>
      <c r="T178" s="11"/>
      <c r="U178" s="11"/>
      <c r="V178" s="11">
        <f t="shared" si="8"/>
        <v>117</v>
      </c>
      <c r="W178" s="11">
        <f t="shared" si="9"/>
        <v>10</v>
      </c>
      <c r="X178" s="11">
        <f t="shared" si="10"/>
        <v>-10</v>
      </c>
      <c r="Y178" s="11">
        <f>VLOOKUP($G178, SeanRanks!$A$2:$K$303, 10, FALSE)-V178</f>
        <v>64</v>
      </c>
      <c r="Z178" s="29" t="str">
        <f>IF(VLOOKUP($G178, SeanRanks!$A$2:$H$303, 7, FALSE)=0, "", VLOOKUP($G178, SeanRanks!$A$2:$H$303, 7, FALSE))</f>
        <v/>
      </c>
    </row>
    <row r="179" ht="14.25" customHeight="1">
      <c r="A179" s="11"/>
      <c r="B179" s="11" t="str">
        <f t="shared" si="4"/>
        <v>#N/A</v>
      </c>
      <c r="C179" s="11" t="s">
        <v>106</v>
      </c>
      <c r="D179" s="11"/>
      <c r="E179" s="11"/>
      <c r="F179" s="11" t="str">
        <f>VLOOKUP(G179, SeanRanks!$A$2:$E$302, 4, FALSE)</f>
        <v>#N/A</v>
      </c>
      <c r="G179" s="11" t="s">
        <v>896</v>
      </c>
      <c r="H179" s="11" t="str">
        <f>VLOOKUP($G179, 'ADP Data'!$C$4:$Q$300, 2, FALSE)</f>
        <v>#N/A</v>
      </c>
      <c r="I179" s="11" t="str">
        <f>VLOOKUP(G179, 'ADP Data'!$C$4:$R$498, 12, FALSE)</f>
        <v>#N/A</v>
      </c>
      <c r="J179" s="11" t="str">
        <f>VLOOKUP($G179, SeanRanks!$A$2:$H$303, 5, FALSE)</f>
        <v>#N/A</v>
      </c>
      <c r="K179" s="11" t="str">
        <f>IF(VLOOKUP($G179, SeanRanks!$A$2:$H$303, 6, FALSE)=0, "", VLOOKUP($G179, SeanRanks!$A$2:$H$303, 6, FALSE))</f>
        <v>#N/A</v>
      </c>
      <c r="L179" s="11">
        <f t="shared" si="5"/>
        <v>16</v>
      </c>
      <c r="M179" s="11" t="str">
        <f>VLOOKUP($G179, 'ADP Data'!$C$4:$Q$300, 9, FALSE)</f>
        <v>#N/A</v>
      </c>
      <c r="N179" s="11" t="str">
        <f t="shared" si="6"/>
        <v>#N/A</v>
      </c>
      <c r="O179" s="11" t="str">
        <f>VLOOKUP($G179, 'ADP Data'!$C$4:$Q$300, 3, FALSE)</f>
        <v>#N/A</v>
      </c>
      <c r="P179" s="11" t="str">
        <f t="shared" si="7"/>
        <v>#N/A</v>
      </c>
      <c r="Q179" s="11" t="str">
        <f>VLOOKUP($G179, 'ADP Data'!$C$4:$Q$300, 4, FALSE)</f>
        <v>#N/A</v>
      </c>
      <c r="R179" s="11" t="str">
        <f>VLOOKUP($G179, 'ADP Data'!$C$4:$Q$300, 5, FALSE)</f>
        <v>#N/A</v>
      </c>
      <c r="S179" s="11" t="str">
        <f>VLOOKUP($G179, 'ADP Data'!$C$4:$Q$300, 6, FALSE)</f>
        <v>#N/A</v>
      </c>
      <c r="T179" s="11" t="str">
        <f>VLOOKUP($G179, 'ADP Data'!$C$4:$Q$300, 7, FALSE)</f>
        <v>#N/A</v>
      </c>
      <c r="U179" s="11" t="str">
        <f>VLOOKUP($G179, 'ADP Data'!$C$4:$Q$300, 8, FALSE)</f>
        <v>#N/A</v>
      </c>
      <c r="V179" s="11" t="str">
        <f t="shared" si="8"/>
        <v>#N/A</v>
      </c>
      <c r="W179" s="11">
        <f t="shared" si="9"/>
        <v>16</v>
      </c>
      <c r="X179" s="11">
        <f t="shared" si="10"/>
        <v>-16</v>
      </c>
      <c r="Y179" s="11" t="str">
        <f>VLOOKUP($G179, SeanRanks!$A$2:$K$303, 10, FALSE)-V179</f>
        <v>#N/A</v>
      </c>
      <c r="Z179" s="29" t="str">
        <f>IF(VLOOKUP($G179, SeanRanks!$A$2:$H$303, 7, FALSE)=0, "", VLOOKUP($G179, SeanRanks!$A$2:$H$303, 7, FALSE))</f>
        <v>#N/A</v>
      </c>
    </row>
    <row r="180" ht="14.25" customHeight="1">
      <c r="A180" s="11"/>
      <c r="B180" s="11">
        <f t="shared" si="4"/>
        <v>23</v>
      </c>
      <c r="C180" s="11" t="s">
        <v>106</v>
      </c>
      <c r="D180" s="11"/>
      <c r="E180" s="11"/>
      <c r="F180" s="11" t="str">
        <f>VLOOKUP(G180, SeanRanks!$A$2:$E$302, 4, FALSE)</f>
        <v/>
      </c>
      <c r="G180" s="11" t="s">
        <v>273</v>
      </c>
      <c r="H180" s="11" t="str">
        <f>VLOOKUP($G180, 'ADP Data'!$C$4:$Q$300, 2, FALSE)</f>
        <v>ARI</v>
      </c>
      <c r="I180" s="11">
        <f>VLOOKUP(G180, 'ADP Data'!$C$4:$R$498, 12, FALSE)</f>
        <v>219</v>
      </c>
      <c r="J180" s="11" t="str">
        <f>VLOOKUP($G180, SeanRanks!$A$2:$H$303, 5, FALSE)</f>
        <v/>
      </c>
      <c r="K180" s="11" t="str">
        <f>IF(VLOOKUP($G180, SeanRanks!$A$2:$H$303, 6, FALSE)=0, "", VLOOKUP($G180, SeanRanks!$A$2:$H$303, 6, FALSE))</f>
        <v/>
      </c>
      <c r="L180" s="11">
        <f t="shared" si="5"/>
        <v>22</v>
      </c>
      <c r="M180" s="11">
        <f>VLOOKUP($G180, 'ADP Data'!$C$4:$Q$300, 9, FALSE)</f>
        <v>252</v>
      </c>
      <c r="N180" s="11">
        <f t="shared" si="6"/>
        <v>-12</v>
      </c>
      <c r="O180" s="11" t="str">
        <f>VLOOKUP($G180, 'ADP Data'!$C$4:$Q$300, 3, FALSE)</f>
        <v>-</v>
      </c>
      <c r="P180" s="11" t="str">
        <f t="shared" si="7"/>
        <v>#VALUE!</v>
      </c>
      <c r="Q180" s="11" t="str">
        <f>VLOOKUP($G180, 'ADP Data'!$C$4:$Q$300, 4, FALSE)</f>
        <v>-</v>
      </c>
      <c r="R180" s="11">
        <f>VLOOKUP($G180, 'ADP Data'!$C$4:$Q$300, 5, FALSE)</f>
        <v>304</v>
      </c>
      <c r="S180" s="11">
        <f>VLOOKUP($G180, 'ADP Data'!$C$4:$Q$300, 6, FALSE)</f>
        <v>218</v>
      </c>
      <c r="T180" s="11">
        <f>VLOOKUP($G180, 'ADP Data'!$C$4:$Q$300, 7, FALSE)</f>
        <v>213</v>
      </c>
      <c r="U180" s="11">
        <f>VLOOKUP($G180, 'ADP Data'!$C$4:$Q$300, 8, FALSE)</f>
        <v>335</v>
      </c>
      <c r="V180" s="11">
        <f t="shared" si="8"/>
        <v>264</v>
      </c>
      <c r="W180" s="11">
        <f t="shared" si="9"/>
        <v>23</v>
      </c>
      <c r="X180" s="11">
        <f t="shared" si="10"/>
        <v>-23</v>
      </c>
      <c r="Y180" s="11">
        <f>VLOOKUP($G180, SeanRanks!$A$2:$K$303, 10, FALSE)-V180</f>
        <v>-23</v>
      </c>
      <c r="Z180" s="29" t="str">
        <f>IF(VLOOKUP($G180, SeanRanks!$A$2:$H$303, 7, FALSE)=0, "", VLOOKUP($G180, SeanRanks!$A$2:$H$303, 7, FALSE))</f>
        <v/>
      </c>
    </row>
    <row r="181" ht="14.25" customHeight="1">
      <c r="A181" s="11"/>
      <c r="B181" s="11">
        <f t="shared" si="4"/>
        <v>15</v>
      </c>
      <c r="C181" s="11" t="s">
        <v>95</v>
      </c>
      <c r="D181" s="11"/>
      <c r="E181" s="11"/>
      <c r="F181" s="11" t="str">
        <f>VLOOKUP(G181, SeanRanks!$A$2:$E$302, 4, FALSE)</f>
        <v/>
      </c>
      <c r="G181" s="11" t="s">
        <v>899</v>
      </c>
      <c r="H181" s="11" t="str">
        <f>VLOOKUP($G181, 'ADP Data'!$C$4:$Q$300, 2, FALSE)</f>
        <v>CAR</v>
      </c>
      <c r="I181" s="11">
        <f>VLOOKUP(G181, 'ADP Data'!$C$4:$R$498, 12, FALSE)</f>
        <v>161</v>
      </c>
      <c r="J181" s="11" t="str">
        <f>VLOOKUP($G181, SeanRanks!$A$2:$H$303, 5, FALSE)</f>
        <v/>
      </c>
      <c r="K181" s="11" t="str">
        <f>IF(VLOOKUP($G181, SeanRanks!$A$2:$H$303, 6, FALSE)=0, "", VLOOKUP($G181, SeanRanks!$A$2:$H$303, 6, FALSE))</f>
        <v>WR5 - 1 - upside path</v>
      </c>
      <c r="L181" s="11">
        <f t="shared" si="5"/>
        <v>17</v>
      </c>
      <c r="M181" s="11">
        <f>VLOOKUP($G181, 'ADP Data'!$C$4:$Q$300, 9, FALSE)</f>
        <v>196</v>
      </c>
      <c r="N181" s="11">
        <f t="shared" si="6"/>
        <v>13</v>
      </c>
      <c r="O181" s="11">
        <f>VLOOKUP($G181, 'ADP Data'!$C$4:$Q$300, 3, FALSE)</f>
        <v>203</v>
      </c>
      <c r="P181" s="11">
        <f t="shared" si="7"/>
        <v>-7</v>
      </c>
      <c r="Q181" s="11">
        <f>VLOOKUP($G181, 'ADP Data'!$C$4:$Q$300, 4, FALSE)</f>
        <v>148</v>
      </c>
      <c r="R181" s="11">
        <f>VLOOKUP($G181, 'ADP Data'!$C$4:$Q$300, 5, FALSE)</f>
        <v>197</v>
      </c>
      <c r="S181" s="11">
        <f>VLOOKUP($G181, 'ADP Data'!$C$4:$Q$300, 6, FALSE)</f>
        <v>171</v>
      </c>
      <c r="T181" s="11">
        <f>VLOOKUP($G181, 'ADP Data'!$C$4:$Q$300, 7, FALSE)</f>
        <v>161</v>
      </c>
      <c r="U181" s="11">
        <f>VLOOKUP($G181, 'ADP Data'!$C$4:$Q$300, 8, FALSE)</f>
        <v>208</v>
      </c>
      <c r="V181" s="11">
        <f t="shared" si="8"/>
        <v>183</v>
      </c>
      <c r="W181" s="11">
        <f t="shared" si="9"/>
        <v>16</v>
      </c>
      <c r="X181" s="11">
        <f t="shared" si="10"/>
        <v>-16</v>
      </c>
      <c r="Y181" s="11">
        <f>VLOOKUP($G181, SeanRanks!$A$2:$K$303, 10, FALSE)-V181</f>
        <v>-13</v>
      </c>
      <c r="Z181" s="29">
        <f>IF(VLOOKUP($G181, SeanRanks!$A$2:$H$303, 7, FALSE)=0, "", VLOOKUP($G181, SeanRanks!$A$2:$H$303, 7, FALSE))</f>
        <v>54</v>
      </c>
    </row>
    <row r="182" ht="14.25" customHeight="1">
      <c r="A182" s="11" t="s">
        <v>106</v>
      </c>
      <c r="B182" s="11">
        <f t="shared" si="4"/>
        <v>2</v>
      </c>
      <c r="C182" s="11" t="s">
        <v>95</v>
      </c>
      <c r="D182" s="11"/>
      <c r="E182" s="11"/>
      <c r="F182" s="11" t="str">
        <f>VLOOKUP(G182, SeanRanks!$A$2:$E$302, 4, FALSE)</f>
        <v/>
      </c>
      <c r="G182" s="11" t="s">
        <v>199</v>
      </c>
      <c r="H182" s="11" t="str">
        <f>VLOOKUP($G182, 'ADP Data'!$C$4:$Q$300, 2, FALSE)</f>
        <v>TB</v>
      </c>
      <c r="I182" s="11">
        <f>VLOOKUP(G182, 'ADP Data'!$C$4:$R$498, 12, FALSE)</f>
        <v>21</v>
      </c>
      <c r="J182" s="11" t="str">
        <f>VLOOKUP($G182, SeanRanks!$A$2:$H$303, 5, FALSE)</f>
        <v/>
      </c>
      <c r="K182" s="11" t="str">
        <f>IF(VLOOKUP($G182, SeanRanks!$A$2:$H$303, 6, FALSE)=0, "", VLOOKUP($G182, SeanRanks!$A$2:$H$303, 6, FALSE))</f>
        <v>RB1 - 2 - Elite ceiling/questions</v>
      </c>
      <c r="L182" s="11">
        <f t="shared" si="5"/>
        <v>2</v>
      </c>
      <c r="M182" s="11">
        <f>VLOOKUP($G182, 'ADP Data'!$C$4:$Q$300, 9, FALSE)</f>
        <v>22</v>
      </c>
      <c r="N182" s="11">
        <f t="shared" si="6"/>
        <v>0</v>
      </c>
      <c r="O182" s="11">
        <f>VLOOKUP($G182, 'ADP Data'!$C$4:$Q$300, 3, FALSE)</f>
        <v>22</v>
      </c>
      <c r="P182" s="11">
        <f t="shared" si="7"/>
        <v>0</v>
      </c>
      <c r="Q182" s="11">
        <f>VLOOKUP($G182, 'ADP Data'!$C$4:$Q$300, 4, FALSE)</f>
        <v>22</v>
      </c>
      <c r="R182" s="11">
        <f>VLOOKUP($G182, 'ADP Data'!$C$4:$Q$300, 5, FALSE)</f>
        <v>25</v>
      </c>
      <c r="S182" s="11">
        <f>VLOOKUP($G182, 'ADP Data'!$C$4:$Q$300, 6, FALSE)</f>
        <v>20</v>
      </c>
      <c r="T182" s="11">
        <f>VLOOKUP($G182, 'ADP Data'!$C$4:$Q$300, 7, FALSE)</f>
        <v>19</v>
      </c>
      <c r="U182" s="11">
        <f>VLOOKUP($G182, 'ADP Data'!$C$4:$Q$300, 8, FALSE)</f>
        <v>24</v>
      </c>
      <c r="V182" s="11">
        <f t="shared" si="8"/>
        <v>22</v>
      </c>
      <c r="W182" s="11">
        <f t="shared" si="9"/>
        <v>2</v>
      </c>
      <c r="X182" s="11">
        <f t="shared" si="10"/>
        <v>-2</v>
      </c>
      <c r="Y182" s="11">
        <f>VLOOKUP($G182, SeanRanks!$A$2:$K$303, 10, FALSE)-V182</f>
        <v>-5</v>
      </c>
      <c r="Z182" s="29">
        <f>IF(VLOOKUP($G182, SeanRanks!$A$2:$H$303, 7, FALSE)=0, "", VLOOKUP($G182, SeanRanks!$A$2:$H$303, 7, FALSE))</f>
        <v>9</v>
      </c>
    </row>
    <row r="183" ht="14.25" customHeight="1">
      <c r="A183" s="11"/>
      <c r="B183" s="11" t="str">
        <f t="shared" si="4"/>
        <v>#N/A</v>
      </c>
      <c r="C183" s="11" t="s">
        <v>106</v>
      </c>
      <c r="D183" s="11"/>
      <c r="E183" s="11"/>
      <c r="F183" s="11" t="str">
        <f>VLOOKUP(G183, SeanRanks!$A$2:$E$302, 4, FALSE)</f>
        <v>#N/A</v>
      </c>
      <c r="G183" s="11" t="s">
        <v>900</v>
      </c>
      <c r="H183" s="11" t="str">
        <f>VLOOKUP($G183, 'ADP Data'!$C$4:$Q$300, 2, FALSE)</f>
        <v>#N/A</v>
      </c>
      <c r="I183" s="11" t="str">
        <f>VLOOKUP(G183, 'ADP Data'!$C$4:$R$498, 12, FALSE)</f>
        <v>#N/A</v>
      </c>
      <c r="J183" s="11" t="str">
        <f>VLOOKUP($G183, SeanRanks!$A$2:$H$303, 5, FALSE)</f>
        <v>#N/A</v>
      </c>
      <c r="K183" s="11" t="str">
        <f>IF(VLOOKUP($G183, SeanRanks!$A$2:$H$303, 6, FALSE)=0, "", VLOOKUP($G183, SeanRanks!$A$2:$H$303, 6, FALSE))</f>
        <v>#N/A</v>
      </c>
      <c r="L183" s="11">
        <f t="shared" si="5"/>
        <v>16</v>
      </c>
      <c r="M183" s="11" t="str">
        <f>VLOOKUP($G183, 'ADP Data'!$C$4:$Q$300, 9, FALSE)</f>
        <v>#N/A</v>
      </c>
      <c r="N183" s="11" t="str">
        <f t="shared" si="6"/>
        <v>#N/A</v>
      </c>
      <c r="O183" s="11" t="str">
        <f>VLOOKUP($G183, 'ADP Data'!$C$4:$Q$300, 3, FALSE)</f>
        <v>#N/A</v>
      </c>
      <c r="P183" s="11" t="str">
        <f t="shared" si="7"/>
        <v>#N/A</v>
      </c>
      <c r="Q183" s="11" t="str">
        <f>VLOOKUP($G183, 'ADP Data'!$C$4:$Q$300, 4, FALSE)</f>
        <v>#N/A</v>
      </c>
      <c r="R183" s="11" t="str">
        <f>VLOOKUP($G183, 'ADP Data'!$C$4:$Q$300, 5, FALSE)</f>
        <v>#N/A</v>
      </c>
      <c r="S183" s="11" t="str">
        <f>VLOOKUP($G183, 'ADP Data'!$C$4:$Q$300, 6, FALSE)</f>
        <v>#N/A</v>
      </c>
      <c r="T183" s="11" t="str">
        <f>VLOOKUP($G183, 'ADP Data'!$C$4:$Q$300, 7, FALSE)</f>
        <v>#N/A</v>
      </c>
      <c r="U183" s="11" t="str">
        <f>VLOOKUP($G183, 'ADP Data'!$C$4:$Q$300, 8, FALSE)</f>
        <v>#N/A</v>
      </c>
      <c r="V183" s="11" t="str">
        <f t="shared" si="8"/>
        <v>#N/A</v>
      </c>
      <c r="W183" s="11">
        <f t="shared" si="9"/>
        <v>16</v>
      </c>
      <c r="X183" s="11">
        <f t="shared" si="10"/>
        <v>-16</v>
      </c>
      <c r="Y183" s="11" t="str">
        <f>VLOOKUP($G183, SeanRanks!$A$2:$K$303, 10, FALSE)-V183</f>
        <v>#N/A</v>
      </c>
      <c r="Z183" s="29" t="str">
        <f>IF(VLOOKUP($G183, SeanRanks!$A$2:$H$303, 7, FALSE)=0, "", VLOOKUP($G183, SeanRanks!$A$2:$H$303, 7, FALSE))</f>
        <v>#N/A</v>
      </c>
    </row>
    <row r="184" ht="14.25" customHeight="1">
      <c r="A184" s="11"/>
      <c r="B184" s="11">
        <f t="shared" si="4"/>
        <v>15</v>
      </c>
      <c r="C184" s="11" t="s">
        <v>106</v>
      </c>
      <c r="D184" s="11"/>
      <c r="E184" s="11"/>
      <c r="F184" s="11" t="str">
        <f>VLOOKUP(G184, SeanRanks!$A$2:$E$302, 4, FALSE)</f>
        <v/>
      </c>
      <c r="G184" s="11" t="s">
        <v>584</v>
      </c>
      <c r="H184" s="11" t="str">
        <f>VLOOKUP($G184, 'ADP Data'!$C$4:$Q$300, 2, FALSE)</f>
        <v>BAL</v>
      </c>
      <c r="I184" s="11">
        <f>VLOOKUP(G184, 'ADP Data'!$C$4:$R$498, 12, FALSE)</f>
        <v>123</v>
      </c>
      <c r="J184" s="11" t="str">
        <f>VLOOKUP($G184, SeanRanks!$A$2:$H$303, 5, FALSE)</f>
        <v/>
      </c>
      <c r="K184" s="11" t="str">
        <f>IF(VLOOKUP($G184, SeanRanks!$A$2:$H$303, 6, FALSE)=0, "", VLOOKUP($G184, SeanRanks!$A$2:$H$303, 6, FALSE))</f>
        <v>WR5 - 1 - upside path</v>
      </c>
      <c r="L184" s="11">
        <f t="shared" si="5"/>
        <v>13</v>
      </c>
      <c r="M184" s="11">
        <f>VLOOKUP($G184, 'ADP Data'!$C$4:$Q$300, 9, FALSE)</f>
        <v>152</v>
      </c>
      <c r="N184" s="11">
        <f t="shared" si="6"/>
        <v>-10</v>
      </c>
      <c r="O184" s="11">
        <f>VLOOKUP($G184, 'ADP Data'!$C$4:$Q$300, 3, FALSE)</f>
        <v>144</v>
      </c>
      <c r="P184" s="11">
        <f t="shared" si="7"/>
        <v>8</v>
      </c>
      <c r="Q184" s="11">
        <f>VLOOKUP($G184, 'ADP Data'!$C$4:$Q$300, 4, FALSE)</f>
        <v>176</v>
      </c>
      <c r="R184" s="11">
        <f>VLOOKUP($G184, 'ADP Data'!$C$4:$Q$300, 5, FALSE)</f>
        <v>198</v>
      </c>
      <c r="S184" s="11">
        <f>VLOOKUP($G184, 'ADP Data'!$C$4:$Q$300, 6, FALSE)</f>
        <v>153</v>
      </c>
      <c r="T184" s="11">
        <f>VLOOKUP($G184, 'ADP Data'!$C$4:$Q$300, 7, FALSE)</f>
        <v>128</v>
      </c>
      <c r="U184" s="11">
        <f>VLOOKUP($G184, 'ADP Data'!$C$4:$Q$300, 8, FALSE)</f>
        <v>185</v>
      </c>
      <c r="V184" s="11">
        <f t="shared" si="8"/>
        <v>162</v>
      </c>
      <c r="W184" s="11">
        <f t="shared" si="9"/>
        <v>14</v>
      </c>
      <c r="X184" s="11">
        <f t="shared" si="10"/>
        <v>-14</v>
      </c>
      <c r="Y184" s="11">
        <f>VLOOKUP($G184, SeanRanks!$A$2:$K$303, 10, FALSE)-V184</f>
        <v>-36</v>
      </c>
      <c r="Z184" s="29">
        <f>IF(VLOOKUP($G184, SeanRanks!$A$2:$H$303, 7, FALSE)=0, "", VLOOKUP($G184, SeanRanks!$A$2:$H$303, 7, FALSE))</f>
        <v>52</v>
      </c>
    </row>
    <row r="185" ht="14.25" customHeight="1">
      <c r="A185" s="11"/>
      <c r="B185" s="11">
        <f t="shared" si="4"/>
        <v>12</v>
      </c>
      <c r="C185" s="11" t="s">
        <v>106</v>
      </c>
      <c r="D185" s="11"/>
      <c r="E185" s="11"/>
      <c r="F185" s="11" t="str">
        <f>VLOOKUP(G185, SeanRanks!$A$2:$E$302, 4, FALSE)</f>
        <v/>
      </c>
      <c r="G185" s="11" t="s">
        <v>460</v>
      </c>
      <c r="H185" s="11" t="str">
        <f>VLOOKUP($G185, 'ADP Data'!$C$4:$Q$300, 2, FALSE)</f>
        <v>NYJ</v>
      </c>
      <c r="I185" s="11">
        <f>VLOOKUP(G185, 'ADP Data'!$C$4:$R$498, 12, FALSE)</f>
        <v>109</v>
      </c>
      <c r="J185" s="11" t="str">
        <f>VLOOKUP($G185, SeanRanks!$A$2:$H$303, 5, FALSE)</f>
        <v/>
      </c>
      <c r="K185" s="11" t="str">
        <f>IF(VLOOKUP($G185, SeanRanks!$A$2:$H$303, 6, FALSE)=0, "", VLOOKUP($G185, SeanRanks!$A$2:$H$303, 6, FALSE))</f>
        <v>RB4 - 2 - low ceiling</v>
      </c>
      <c r="L185" s="11">
        <f t="shared" si="5"/>
        <v>13</v>
      </c>
      <c r="M185" s="11">
        <f>VLOOKUP($G185, 'ADP Data'!$C$4:$Q$300, 9, FALSE)</f>
        <v>153</v>
      </c>
      <c r="N185" s="11">
        <f t="shared" si="6"/>
        <v>13</v>
      </c>
      <c r="O185" s="11">
        <f>VLOOKUP($G185, 'ADP Data'!$C$4:$Q$300, 3, FALSE)</f>
        <v>127</v>
      </c>
      <c r="P185" s="11">
        <f t="shared" si="7"/>
        <v>26</v>
      </c>
      <c r="Q185" s="11">
        <f>VLOOKUP($G185, 'ADP Data'!$C$4:$Q$300, 4, FALSE)</f>
        <v>156</v>
      </c>
      <c r="R185" s="11">
        <f>VLOOKUP($G185, 'ADP Data'!$C$4:$Q$300, 5, FALSE)</f>
        <v>109</v>
      </c>
      <c r="S185" s="11">
        <f>VLOOKUP($G185, 'ADP Data'!$C$4:$Q$300, 6, FALSE)</f>
        <v>108</v>
      </c>
      <c r="T185" s="11">
        <f>VLOOKUP($G185, 'ADP Data'!$C$4:$Q$300, 7, FALSE)</f>
        <v>132</v>
      </c>
      <c r="U185" s="11">
        <f>VLOOKUP($G185, 'ADP Data'!$C$4:$Q$300, 8, FALSE)</f>
        <v>197</v>
      </c>
      <c r="V185" s="11">
        <f t="shared" si="8"/>
        <v>140</v>
      </c>
      <c r="W185" s="11">
        <f t="shared" si="9"/>
        <v>12</v>
      </c>
      <c r="X185" s="11">
        <f t="shared" si="10"/>
        <v>-12</v>
      </c>
      <c r="Y185" s="11">
        <f>VLOOKUP($G185, SeanRanks!$A$2:$K$303, 10, FALSE)-V185</f>
        <v>-51</v>
      </c>
      <c r="Z185" s="29">
        <f>IF(VLOOKUP($G185, SeanRanks!$A$2:$H$303, 7, FALSE)=0, "", VLOOKUP($G185, SeanRanks!$A$2:$H$303, 7, FALSE))</f>
        <v>50</v>
      </c>
    </row>
    <row r="186" ht="14.25" customHeight="1">
      <c r="A186" s="11"/>
      <c r="B186" s="11">
        <f t="shared" si="4"/>
        <v>14</v>
      </c>
      <c r="C186" s="11" t="s">
        <v>95</v>
      </c>
      <c r="D186" s="11"/>
      <c r="E186" s="11"/>
      <c r="F186" s="11" t="str">
        <f>VLOOKUP(G186, SeanRanks!$A$2:$E$302, 4, FALSE)</f>
        <v/>
      </c>
      <c r="G186" s="11" t="s">
        <v>659</v>
      </c>
      <c r="H186" s="11" t="str">
        <f>VLOOKUP($G186, 'ADP Data'!$C$4:$Q$300, 2, FALSE)</f>
        <v>KC</v>
      </c>
      <c r="I186" s="11" t="str">
        <f>VLOOKUP(G186, 'ADP Data'!$C$4:$R$498, 12, FALSE)</f>
        <v>-</v>
      </c>
      <c r="J186" s="11" t="str">
        <f>VLOOKUP($G186, SeanRanks!$A$2:$H$303, 5, FALSE)</f>
        <v/>
      </c>
      <c r="K186" s="11" t="str">
        <f>IF(VLOOKUP($G186, SeanRanks!$A$2:$H$303, 6, FALSE)=0, "", VLOOKUP($G186, SeanRanks!$A$2:$H$303, 6, FALSE))</f>
        <v/>
      </c>
      <c r="L186" s="11">
        <f t="shared" si="5"/>
        <v>14</v>
      </c>
      <c r="M186" s="11">
        <f>VLOOKUP($G186, 'ADP Data'!$C$4:$Q$300, 9, FALSE)</f>
        <v>161</v>
      </c>
      <c r="N186" s="11">
        <f t="shared" si="6"/>
        <v>-12</v>
      </c>
      <c r="O186" s="11">
        <f>VLOOKUP($G186, 'ADP Data'!$C$4:$Q$300, 3, FALSE)</f>
        <v>185</v>
      </c>
      <c r="P186" s="11">
        <f t="shared" si="7"/>
        <v>-24</v>
      </c>
      <c r="Q186" s="11"/>
      <c r="R186" s="11"/>
      <c r="S186" s="11"/>
      <c r="T186" s="11"/>
      <c r="U186" s="11"/>
      <c r="V186" s="11">
        <f t="shared" si="8"/>
        <v>173</v>
      </c>
      <c r="W186" s="11">
        <f t="shared" si="9"/>
        <v>15</v>
      </c>
      <c r="X186" s="11">
        <f t="shared" si="10"/>
        <v>-15</v>
      </c>
      <c r="Y186" s="11">
        <f>VLOOKUP($G186, SeanRanks!$A$2:$K$303, 10, FALSE)-V186</f>
        <v>53</v>
      </c>
      <c r="Z186" s="29" t="str">
        <f>IF(VLOOKUP($G186, SeanRanks!$A$2:$H$303, 7, FALSE)=0, "", VLOOKUP($G186, SeanRanks!$A$2:$H$303, 7, FALSE))</f>
        <v/>
      </c>
    </row>
    <row r="187" ht="14.25" customHeight="1">
      <c r="A187" s="11"/>
      <c r="B187" s="11">
        <f t="shared" si="4"/>
        <v>18</v>
      </c>
      <c r="C187" s="11" t="s">
        <v>106</v>
      </c>
      <c r="D187" s="11"/>
      <c r="E187" s="11"/>
      <c r="F187" s="11" t="str">
        <f>VLOOKUP(G187, SeanRanks!$A$2:$E$302, 4, FALSE)</f>
        <v/>
      </c>
      <c r="G187" s="11" t="s">
        <v>630</v>
      </c>
      <c r="H187" s="11" t="str">
        <f>VLOOKUP($G187, 'ADP Data'!$C$4:$Q$300, 2, FALSE)</f>
        <v>CHI</v>
      </c>
      <c r="I187" s="11" t="str">
        <f>VLOOKUP(G187, 'ADP Data'!$C$4:$R$498, 12, FALSE)</f>
        <v>-</v>
      </c>
      <c r="J187" s="11" t="str">
        <f>VLOOKUP($G187, SeanRanks!$A$2:$H$303, 5, FALSE)</f>
        <v/>
      </c>
      <c r="K187" s="11" t="str">
        <f>IF(VLOOKUP($G187, SeanRanks!$A$2:$H$303, 6, FALSE)=0, "", VLOOKUP($G187, SeanRanks!$A$2:$H$303, 6, FALSE))</f>
        <v/>
      </c>
      <c r="L187" s="11">
        <f t="shared" si="5"/>
        <v>16</v>
      </c>
      <c r="M187" s="11" t="str">
        <f>VLOOKUP($G187, 'ADP Data'!$C$4:$Q$300, 9, FALSE)</f>
        <v>-</v>
      </c>
      <c r="N187" s="11" t="str">
        <f t="shared" si="6"/>
        <v>#VALUE!</v>
      </c>
      <c r="O187" s="11">
        <f>VLOOKUP($G187, 'ADP Data'!$C$4:$Q$300, 3, FALSE)</f>
        <v>212</v>
      </c>
      <c r="P187" s="11" t="str">
        <f t="shared" si="7"/>
        <v>#VALUE!</v>
      </c>
      <c r="Q187" s="11">
        <f>VLOOKUP($G187, 'ADP Data'!$C$4:$Q$300, 4, FALSE)</f>
        <v>220</v>
      </c>
      <c r="R187" s="11" t="str">
        <f>VLOOKUP($G187, 'ADP Data'!$C$4:$Q$300, 5, FALSE)</f>
        <v>-</v>
      </c>
      <c r="S187" s="11">
        <f>VLOOKUP($G187, 'ADP Data'!$C$4:$Q$300, 6, FALSE)</f>
        <v>296</v>
      </c>
      <c r="T187" s="11">
        <f>VLOOKUP($G187, 'ADP Data'!$C$4:$Q$300, 7, FALSE)</f>
        <v>246</v>
      </c>
      <c r="U187" s="11">
        <f>VLOOKUP($G187, 'ADP Data'!$C$4:$Q$300, 8, FALSE)</f>
        <v>83</v>
      </c>
      <c r="V187" s="11">
        <f t="shared" si="8"/>
        <v>211</v>
      </c>
      <c r="W187" s="11">
        <f t="shared" si="9"/>
        <v>18</v>
      </c>
      <c r="X187" s="11">
        <f t="shared" si="10"/>
        <v>-18</v>
      </c>
      <c r="Y187" s="11" t="str">
        <f>VLOOKUP($G187, SeanRanks!$A$2:$K$303, 10, FALSE)-V187</f>
        <v>#VALUE!</v>
      </c>
      <c r="Z187" s="29" t="str">
        <f>IF(VLOOKUP($G187, SeanRanks!$A$2:$H$303, 7, FALSE)=0, "", VLOOKUP($G187, SeanRanks!$A$2:$H$303, 7, FALSE))</f>
        <v/>
      </c>
    </row>
    <row r="188" ht="14.25" customHeight="1">
      <c r="A188" s="11"/>
      <c r="B188" s="11">
        <f t="shared" si="4"/>
        <v>18</v>
      </c>
      <c r="C188" s="11" t="s">
        <v>106</v>
      </c>
      <c r="D188" s="11"/>
      <c r="E188" s="11"/>
      <c r="F188" s="11" t="str">
        <f>VLOOKUP(G188, SeanRanks!$A$2:$E$302, 4, FALSE)</f>
        <v/>
      </c>
      <c r="G188" s="11" t="s">
        <v>901</v>
      </c>
      <c r="H188" s="11" t="str">
        <f>VLOOKUP($G188, 'ADP Data'!$C$4:$Q$300, 2, FALSE)</f>
        <v>NE</v>
      </c>
      <c r="I188" s="11">
        <f>VLOOKUP(G188, 'ADP Data'!$C$4:$R$498, 12, FALSE)</f>
        <v>141</v>
      </c>
      <c r="J188" s="11" t="str">
        <f>VLOOKUP($G188, SeanRanks!$A$2:$H$303, 5, FALSE)</f>
        <v/>
      </c>
      <c r="K188" s="11" t="str">
        <f>IF(VLOOKUP($G188, SeanRanks!$A$2:$H$303, 6, FALSE)=0, "", VLOOKUP($G188, SeanRanks!$A$2:$H$303, 6, FALSE))</f>
        <v>WR5 - 2 - floor play not league winner</v>
      </c>
      <c r="L188" s="11">
        <f t="shared" si="5"/>
        <v>17</v>
      </c>
      <c r="M188" s="11">
        <f>VLOOKUP($G188, 'ADP Data'!$C$4:$Q$300, 9, FALSE)</f>
        <v>199</v>
      </c>
      <c r="N188" s="11">
        <f t="shared" si="6"/>
        <v>-3</v>
      </c>
      <c r="O188" s="11">
        <f>VLOOKUP($G188, 'ADP Data'!$C$4:$Q$300, 3, FALSE)</f>
        <v>199</v>
      </c>
      <c r="P188" s="11">
        <f t="shared" si="7"/>
        <v>0</v>
      </c>
      <c r="Q188" s="11">
        <f>VLOOKUP($G188, 'ADP Data'!$C$4:$Q$300, 4, FALSE)</f>
        <v>224</v>
      </c>
      <c r="R188" s="11">
        <f>VLOOKUP($G188, 'ADP Data'!$C$4:$Q$300, 5, FALSE)</f>
        <v>231</v>
      </c>
      <c r="S188" s="11">
        <f>VLOOKUP($G188, 'ADP Data'!$C$4:$Q$300, 6, FALSE)</f>
        <v>159</v>
      </c>
      <c r="T188" s="11">
        <f>VLOOKUP($G188, 'ADP Data'!$C$4:$Q$300, 7, FALSE)</f>
        <v>145</v>
      </c>
      <c r="U188" s="11">
        <f>VLOOKUP($G188, 'ADP Data'!$C$4:$Q$300, 8, FALSE)</f>
        <v>263</v>
      </c>
      <c r="V188" s="11">
        <f t="shared" si="8"/>
        <v>202</v>
      </c>
      <c r="W188" s="11">
        <f t="shared" si="9"/>
        <v>17</v>
      </c>
      <c r="X188" s="11">
        <f t="shared" si="10"/>
        <v>-17</v>
      </c>
      <c r="Y188" s="11">
        <f>VLOOKUP($G188, SeanRanks!$A$2:$K$303, 10, FALSE)-V188</f>
        <v>-46</v>
      </c>
      <c r="Z188" s="29">
        <f>IF(VLOOKUP($G188, SeanRanks!$A$2:$H$303, 7, FALSE)=0, "", VLOOKUP($G188, SeanRanks!$A$2:$H$303, 7, FALSE))</f>
        <v>59</v>
      </c>
    </row>
    <row r="189" ht="14.25" customHeight="1">
      <c r="A189" s="11"/>
      <c r="B189" s="11">
        <f t="shared" si="4"/>
        <v>8</v>
      </c>
      <c r="C189" s="11" t="s">
        <v>106</v>
      </c>
      <c r="D189" s="11"/>
      <c r="E189" s="11"/>
      <c r="F189" s="11" t="str">
        <f>VLOOKUP(G189, SeanRanks!$A$2:$E$302, 4, FALSE)</f>
        <v/>
      </c>
      <c r="G189" s="11" t="s">
        <v>621</v>
      </c>
      <c r="H189" s="11" t="str">
        <f>VLOOKUP($G189, 'ADP Data'!$C$4:$Q$300, 2, FALSE)</f>
        <v>SF</v>
      </c>
      <c r="I189" s="11">
        <f>VLOOKUP(G189, 'ADP Data'!$C$4:$R$498, 12, FALSE)</f>
        <v>55</v>
      </c>
      <c r="J189" s="11" t="str">
        <f>VLOOKUP($G189, SeanRanks!$A$2:$H$303, 5, FALSE)</f>
        <v/>
      </c>
      <c r="K189" s="11" t="str">
        <f>IF(VLOOKUP($G189, SeanRanks!$A$2:$H$303, 6, FALSE)=0, "", VLOOKUP($G189, SeanRanks!$A$2:$H$303, 6, FALSE))</f>
        <v>WR3 - 2 - mid, but path to big upside</v>
      </c>
      <c r="L189" s="11">
        <f t="shared" si="5"/>
        <v>8</v>
      </c>
      <c r="M189" s="11">
        <f>VLOOKUP($G189, 'ADP Data'!$C$4:$Q$300, 9, FALSE)</f>
        <v>94</v>
      </c>
      <c r="N189" s="11">
        <f t="shared" si="6"/>
        <v>8</v>
      </c>
      <c r="O189" s="11">
        <f>VLOOKUP($G189, 'ADP Data'!$C$4:$Q$300, 3, FALSE)</f>
        <v>72</v>
      </c>
      <c r="P189" s="11">
        <f t="shared" si="7"/>
        <v>22</v>
      </c>
      <c r="Q189" s="11">
        <f>VLOOKUP($G189, 'ADP Data'!$C$4:$Q$300, 4, FALSE)</f>
        <v>93</v>
      </c>
      <c r="R189" s="11">
        <f>VLOOKUP($G189, 'ADP Data'!$C$4:$Q$300, 5, FALSE)</f>
        <v>106</v>
      </c>
      <c r="S189" s="11">
        <f>VLOOKUP($G189, 'ADP Data'!$C$4:$Q$300, 6, FALSE)</f>
        <v>67</v>
      </c>
      <c r="T189" s="11">
        <f>VLOOKUP($G189, 'ADP Data'!$C$4:$Q$300, 7, FALSE)</f>
        <v>65</v>
      </c>
      <c r="U189" s="11">
        <f>VLOOKUP($G189, 'ADP Data'!$C$4:$Q$300, 8, FALSE)</f>
        <v>110</v>
      </c>
      <c r="V189" s="11">
        <f t="shared" si="8"/>
        <v>86</v>
      </c>
      <c r="W189" s="11">
        <f t="shared" si="9"/>
        <v>8</v>
      </c>
      <c r="X189" s="11">
        <f t="shared" si="10"/>
        <v>-8</v>
      </c>
      <c r="Y189" s="11">
        <f>VLOOKUP($G189, SeanRanks!$A$2:$K$303, 10, FALSE)-V189</f>
        <v>-17</v>
      </c>
      <c r="Z189" s="29">
        <f>IF(VLOOKUP($G189, SeanRanks!$A$2:$H$303, 7, FALSE)=0, "", VLOOKUP($G189, SeanRanks!$A$2:$H$303, 7, FALSE))</f>
        <v>32</v>
      </c>
    </row>
    <row r="190" ht="14.25" customHeight="1">
      <c r="A190" s="11"/>
      <c r="B190" s="11">
        <f t="shared" si="4"/>
        <v>13</v>
      </c>
      <c r="C190" s="11" t="s">
        <v>106</v>
      </c>
      <c r="D190" s="11"/>
      <c r="E190" s="11"/>
      <c r="F190" s="11" t="str">
        <f>VLOOKUP(G190, SeanRanks!$A$2:$E$302, 4, FALSE)</f>
        <v/>
      </c>
      <c r="G190" s="11" t="s">
        <v>495</v>
      </c>
      <c r="H190" s="11" t="str">
        <f>VLOOKUP($G190, 'ADP Data'!$C$4:$Q$300, 2, FALSE)</f>
        <v>PHI</v>
      </c>
      <c r="I190" s="11" t="str">
        <f>VLOOKUP(G190, 'ADP Data'!$C$4:$R$498, 12, FALSE)</f>
        <v>-</v>
      </c>
      <c r="J190" s="11" t="str">
        <f>VLOOKUP($G190, SeanRanks!$A$2:$H$303, 5, FALSE)</f>
        <v/>
      </c>
      <c r="K190" s="11" t="str">
        <f>IF(VLOOKUP($G190, SeanRanks!$A$2:$H$303, 6, FALSE)=0, "", VLOOKUP($G190, SeanRanks!$A$2:$H$303, 6, FALSE))</f>
        <v/>
      </c>
      <c r="L190" s="11">
        <f t="shared" si="5"/>
        <v>13</v>
      </c>
      <c r="M190" s="11">
        <f>VLOOKUP($G190, 'ADP Data'!$C$4:$Q$300, 9, FALSE)</f>
        <v>144</v>
      </c>
      <c r="N190" s="11">
        <f t="shared" si="6"/>
        <v>3</v>
      </c>
      <c r="O190" s="11">
        <f>VLOOKUP($G190, 'ADP Data'!$C$4:$Q$300, 3, FALSE)</f>
        <v>87</v>
      </c>
      <c r="P190" s="11">
        <f t="shared" si="7"/>
        <v>57</v>
      </c>
      <c r="Q190" s="11">
        <f>VLOOKUP($G190, 'ADP Data'!$C$4:$Q$300, 4, FALSE)</f>
        <v>130</v>
      </c>
      <c r="R190" s="11">
        <f>VLOOKUP($G190, 'ADP Data'!$C$4:$Q$300, 5, FALSE)</f>
        <v>164</v>
      </c>
      <c r="S190" s="11">
        <f>VLOOKUP($G190, 'ADP Data'!$C$4:$Q$300, 6, FALSE)</f>
        <v>214</v>
      </c>
      <c r="T190" s="11">
        <f>VLOOKUP($G190, 'ADP Data'!$C$4:$Q$300, 7, FALSE)</f>
        <v>160</v>
      </c>
      <c r="U190" s="11">
        <f>VLOOKUP($G190, 'ADP Data'!$C$4:$Q$300, 8, FALSE)</f>
        <v>93</v>
      </c>
      <c r="V190" s="11">
        <f t="shared" si="8"/>
        <v>141</v>
      </c>
      <c r="W190" s="11">
        <f t="shared" si="9"/>
        <v>12</v>
      </c>
      <c r="X190" s="11">
        <f t="shared" si="10"/>
        <v>-12</v>
      </c>
      <c r="Y190" s="11">
        <f>VLOOKUP($G190, SeanRanks!$A$2:$K$303, 10, FALSE)-V190</f>
        <v>24</v>
      </c>
      <c r="Z190" s="29" t="str">
        <f>IF(VLOOKUP($G190, SeanRanks!$A$2:$H$303, 7, FALSE)=0, "", VLOOKUP($G190, SeanRanks!$A$2:$H$303, 7, FALSE))</f>
        <v/>
      </c>
    </row>
    <row r="191" ht="14.25" customHeight="1">
      <c r="A191" s="11"/>
      <c r="B191" s="11">
        <f t="shared" si="4"/>
        <v>24</v>
      </c>
      <c r="C191" s="11" t="s">
        <v>106</v>
      </c>
      <c r="D191" s="11"/>
      <c r="E191" s="11"/>
      <c r="F191" s="11" t="str">
        <f>VLOOKUP(G191, SeanRanks!$A$2:$E$302, 4, FALSE)</f>
        <v>#N/A</v>
      </c>
      <c r="G191" s="11" t="s">
        <v>902</v>
      </c>
      <c r="H191" s="11" t="str">
        <f>VLOOKUP($G191, 'ADP Data'!$C$4:$Q$300, 2, FALSE)</f>
        <v>MIA</v>
      </c>
      <c r="I191" s="11" t="str">
        <f>VLOOKUP(G191, 'ADP Data'!$C$4:$R$498, 12, FALSE)</f>
        <v>-</v>
      </c>
      <c r="J191" s="11" t="str">
        <f>VLOOKUP($G191, SeanRanks!$A$2:$H$303, 5, FALSE)</f>
        <v>#N/A</v>
      </c>
      <c r="K191" s="11" t="str">
        <f>IF(VLOOKUP($G191, SeanRanks!$A$2:$H$303, 6, FALSE)=0, "", VLOOKUP($G191, SeanRanks!$A$2:$H$303, 6, FALSE))</f>
        <v>#N/A</v>
      </c>
      <c r="L191" s="11">
        <f t="shared" si="5"/>
        <v>21</v>
      </c>
      <c r="M191" s="11">
        <f>VLOOKUP($G191, 'ADP Data'!$C$4:$Q$300, 9, FALSE)</f>
        <v>245</v>
      </c>
      <c r="N191" s="11">
        <f t="shared" si="6"/>
        <v>-31</v>
      </c>
      <c r="O191" s="11" t="str">
        <f>VLOOKUP($G191, 'ADP Data'!$C$4:$Q$300, 3, FALSE)</f>
        <v>-</v>
      </c>
      <c r="P191" s="11" t="str">
        <f t="shared" si="7"/>
        <v>#VALUE!</v>
      </c>
      <c r="Q191" s="11">
        <f>VLOOKUP($G191, 'ADP Data'!$C$4:$Q$300, 4, FALSE)</f>
        <v>248</v>
      </c>
      <c r="R191" s="11">
        <f>VLOOKUP($G191, 'ADP Data'!$C$4:$Q$300, 5, FALSE)</f>
        <v>343</v>
      </c>
      <c r="S191" s="11">
        <f>VLOOKUP($G191, 'ADP Data'!$C$4:$Q$300, 6, FALSE)</f>
        <v>333</v>
      </c>
      <c r="T191" s="11">
        <f>VLOOKUP($G191, 'ADP Data'!$C$4:$Q$300, 7, FALSE)</f>
        <v>273</v>
      </c>
      <c r="U191" s="11">
        <f>VLOOKUP($G191, 'ADP Data'!$C$4:$Q$300, 8, FALSE)</f>
        <v>217</v>
      </c>
      <c r="V191" s="11">
        <f t="shared" si="8"/>
        <v>276</v>
      </c>
      <c r="W191" s="11">
        <f t="shared" si="9"/>
        <v>24</v>
      </c>
      <c r="X191" s="11">
        <f t="shared" si="10"/>
        <v>-24</v>
      </c>
      <c r="Y191" s="11" t="str">
        <f>VLOOKUP($G191, SeanRanks!$A$2:$K$303, 10, FALSE)-V191</f>
        <v>#N/A</v>
      </c>
      <c r="Z191" s="29" t="str">
        <f>IF(VLOOKUP($G191, SeanRanks!$A$2:$H$303, 7, FALSE)=0, "", VLOOKUP($G191, SeanRanks!$A$2:$H$303, 7, FALSE))</f>
        <v>#N/A</v>
      </c>
    </row>
    <row r="192" ht="14.25" customHeight="1">
      <c r="A192" s="11"/>
      <c r="B192" s="11">
        <f t="shared" si="4"/>
        <v>15</v>
      </c>
      <c r="C192" s="11" t="s">
        <v>106</v>
      </c>
      <c r="D192" s="11"/>
      <c r="E192" s="11"/>
      <c r="F192" s="11" t="str">
        <f>VLOOKUP(G192, SeanRanks!$A$2:$E$302, 4, FALSE)</f>
        <v/>
      </c>
      <c r="G192" s="11" t="s">
        <v>521</v>
      </c>
      <c r="H192" s="11" t="str">
        <f>VLOOKUP($G192, 'ADP Data'!$C$4:$Q$300, 2, FALSE)</f>
        <v>BUF</v>
      </c>
      <c r="I192" s="11">
        <f>VLOOKUP(G192, 'ADP Data'!$C$4:$R$498, 12, FALSE)</f>
        <v>150</v>
      </c>
      <c r="J192" s="11" t="str">
        <f>VLOOKUP($G192, SeanRanks!$A$2:$H$303, 5, FALSE)</f>
        <v/>
      </c>
      <c r="K192" s="11" t="str">
        <f>IF(VLOOKUP($G192, SeanRanks!$A$2:$H$303, 6, FALSE)=0, "", VLOOKUP($G192, SeanRanks!$A$2:$H$303, 6, FALSE))</f>
        <v>Handcuff only</v>
      </c>
      <c r="L192" s="11">
        <f t="shared" si="5"/>
        <v>13</v>
      </c>
      <c r="M192" s="11">
        <f>VLOOKUP($G192, 'ADP Data'!$C$4:$Q$300, 9, FALSE)</f>
        <v>149</v>
      </c>
      <c r="N192" s="11">
        <f t="shared" si="6"/>
        <v>-18</v>
      </c>
      <c r="O192" s="11">
        <f>VLOOKUP($G192, 'ADP Data'!$C$4:$Q$300, 3, FALSE)</f>
        <v>164</v>
      </c>
      <c r="P192" s="11">
        <f t="shared" si="7"/>
        <v>-15</v>
      </c>
      <c r="Q192" s="11">
        <f>VLOOKUP($G192, 'ADP Data'!$C$4:$Q$300, 4, FALSE)</f>
        <v>190</v>
      </c>
      <c r="R192" s="11">
        <f>VLOOKUP($G192, 'ADP Data'!$C$4:$Q$300, 5, FALSE)</f>
        <v>171</v>
      </c>
      <c r="S192" s="11">
        <f>VLOOKUP($G192, 'ADP Data'!$C$4:$Q$300, 6, FALSE)</f>
        <v>143</v>
      </c>
      <c r="T192" s="11">
        <f>VLOOKUP($G192, 'ADP Data'!$C$4:$Q$300, 7, FALSE)</f>
        <v>141</v>
      </c>
      <c r="U192" s="11">
        <f>VLOOKUP($G192, 'ADP Data'!$C$4:$Q$300, 8, FALSE)</f>
        <v>215</v>
      </c>
      <c r="V192" s="11">
        <f t="shared" si="8"/>
        <v>167</v>
      </c>
      <c r="W192" s="11">
        <f t="shared" si="9"/>
        <v>14</v>
      </c>
      <c r="X192" s="11">
        <f t="shared" si="10"/>
        <v>-14</v>
      </c>
      <c r="Y192" s="11">
        <f>VLOOKUP($G192, SeanRanks!$A$2:$K$303, 10, FALSE)-V192</f>
        <v>-29</v>
      </c>
      <c r="Z192" s="29">
        <f>IF(VLOOKUP($G192, SeanRanks!$A$2:$H$303, 7, FALSE)=0, "", VLOOKUP($G192, SeanRanks!$A$2:$H$303, 7, FALSE))</f>
        <v>57</v>
      </c>
    </row>
    <row r="193" ht="14.25" customHeight="1">
      <c r="A193" s="11"/>
      <c r="B193" s="11">
        <f t="shared" si="4"/>
        <v>7</v>
      </c>
      <c r="C193" s="11" t="s">
        <v>106</v>
      </c>
      <c r="D193" s="11"/>
      <c r="E193" s="11"/>
      <c r="F193" s="11" t="str">
        <f>VLOOKUP(G193, SeanRanks!$A$2:$E$302, 4, FALSE)</f>
        <v/>
      </c>
      <c r="G193" s="11" t="s">
        <v>326</v>
      </c>
      <c r="H193" s="11" t="str">
        <f>VLOOKUP($G193, 'ADP Data'!$C$4:$Q$300, 2, FALSE)</f>
        <v>DEN</v>
      </c>
      <c r="I193" s="11">
        <f>VLOOKUP(G193, 'ADP Data'!$C$4:$R$498, 12, FALSE)</f>
        <v>91</v>
      </c>
      <c r="J193" s="11" t="str">
        <f>VLOOKUP($G193, SeanRanks!$A$2:$H$303, 5, FALSE)</f>
        <v/>
      </c>
      <c r="K193" s="11" t="str">
        <f>IF(VLOOKUP($G193, SeanRanks!$A$2:$H$303, 6, FALSE)=0, "", VLOOKUP($G193, SeanRanks!$A$2:$H$303, 6, FALSE))</f>
        <v>QB1 - 3 - Top 5 Ceiling</v>
      </c>
      <c r="L193" s="11">
        <f t="shared" si="5"/>
        <v>7</v>
      </c>
      <c r="M193" s="11">
        <f>VLOOKUP($G193, 'ADP Data'!$C$4:$Q$300, 9, FALSE)</f>
        <v>79</v>
      </c>
      <c r="N193" s="11">
        <f t="shared" si="6"/>
        <v>3</v>
      </c>
      <c r="O193" s="11">
        <f>VLOOKUP($G193, 'ADP Data'!$C$4:$Q$300, 3, FALSE)</f>
        <v>68</v>
      </c>
      <c r="P193" s="11">
        <f t="shared" si="7"/>
        <v>11</v>
      </c>
      <c r="Q193" s="11">
        <f>VLOOKUP($G193, 'ADP Data'!$C$4:$Q$300, 4, FALSE)</f>
        <v>66</v>
      </c>
      <c r="R193" s="11">
        <f>VLOOKUP($G193, 'ADP Data'!$C$4:$Q$300, 5, FALSE)</f>
        <v>87</v>
      </c>
      <c r="S193" s="11">
        <f>VLOOKUP($G193, 'ADP Data'!$C$4:$Q$300, 6, FALSE)</f>
        <v>89</v>
      </c>
      <c r="T193" s="11">
        <f>VLOOKUP($G193, 'ADP Data'!$C$4:$Q$300, 7, FALSE)</f>
        <v>83</v>
      </c>
      <c r="U193" s="11">
        <f>VLOOKUP($G193, 'ADP Data'!$C$4:$Q$300, 8, FALSE)</f>
        <v>64</v>
      </c>
      <c r="V193" s="11">
        <f t="shared" si="8"/>
        <v>76</v>
      </c>
      <c r="W193" s="11">
        <f t="shared" si="9"/>
        <v>7</v>
      </c>
      <c r="X193" s="11">
        <f t="shared" si="10"/>
        <v>-7</v>
      </c>
      <c r="Y193" s="11">
        <f>VLOOKUP($G193, SeanRanks!$A$2:$K$303, 10, FALSE)-V193</f>
        <v>7</v>
      </c>
      <c r="Z193" s="29">
        <f>IF(VLOOKUP($G193, SeanRanks!$A$2:$H$303, 7, FALSE)=0, "", VLOOKUP($G193, SeanRanks!$A$2:$H$303, 7, FALSE))</f>
        <v>7</v>
      </c>
    </row>
    <row r="194" ht="14.25" customHeight="1">
      <c r="A194" s="11"/>
      <c r="B194" s="11">
        <f t="shared" si="4"/>
        <v>14</v>
      </c>
      <c r="C194" s="11" t="s">
        <v>106</v>
      </c>
      <c r="D194" s="11"/>
      <c r="E194" s="11"/>
      <c r="F194" s="11" t="str">
        <f>VLOOKUP(G194, SeanRanks!$A$2:$E$302, 4, FALSE)</f>
        <v/>
      </c>
      <c r="G194" s="11" t="s">
        <v>475</v>
      </c>
      <c r="H194" s="11" t="str">
        <f>VLOOKUP($G194, 'ADP Data'!$C$4:$Q$300, 2, FALSE)</f>
        <v>HOU</v>
      </c>
      <c r="I194" s="11" t="str">
        <f>VLOOKUP(G194, 'ADP Data'!$C$4:$R$498, 12, FALSE)</f>
        <v>-</v>
      </c>
      <c r="J194" s="11" t="str">
        <f>VLOOKUP($G194, SeanRanks!$A$2:$H$303, 5, FALSE)</f>
        <v/>
      </c>
      <c r="K194" s="11" t="str">
        <f>IF(VLOOKUP($G194, SeanRanks!$A$2:$H$303, 6, FALSE)=0, "", VLOOKUP($G194, SeanRanks!$A$2:$H$303, 6, FALSE))</f>
        <v/>
      </c>
      <c r="L194" s="11">
        <f t="shared" si="5"/>
        <v>16</v>
      </c>
      <c r="M194" s="11">
        <f>VLOOKUP($G194, 'ADP Data'!$C$4:$Q$300, 9, FALSE)</f>
        <v>188</v>
      </c>
      <c r="N194" s="11">
        <f t="shared" si="6"/>
        <v>23</v>
      </c>
      <c r="O194" s="11">
        <f>VLOOKUP($G194, 'ADP Data'!$C$4:$Q$300, 3, FALSE)</f>
        <v>145</v>
      </c>
      <c r="P194" s="11">
        <f t="shared" si="7"/>
        <v>43</v>
      </c>
      <c r="Q194" s="11">
        <f>VLOOKUP($G194, 'ADP Data'!$C$4:$Q$300, 4, FALSE)</f>
        <v>100</v>
      </c>
      <c r="R194" s="11">
        <f>VLOOKUP($G194, 'ADP Data'!$C$4:$Q$300, 5, FALSE)</f>
        <v>190</v>
      </c>
      <c r="S194" s="11">
        <f>VLOOKUP($G194, 'ADP Data'!$C$4:$Q$300, 6, FALSE)</f>
        <v>216</v>
      </c>
      <c r="T194" s="11">
        <f>VLOOKUP($G194, 'ADP Data'!$C$4:$Q$300, 7, FALSE)</f>
        <v>176</v>
      </c>
      <c r="U194" s="11">
        <f>VLOOKUP($G194, 'ADP Data'!$C$4:$Q$300, 8, FALSE)</f>
        <v>145</v>
      </c>
      <c r="V194" s="11">
        <f t="shared" si="8"/>
        <v>165</v>
      </c>
      <c r="W194" s="11">
        <f t="shared" si="9"/>
        <v>14</v>
      </c>
      <c r="X194" s="11">
        <f t="shared" si="10"/>
        <v>-14</v>
      </c>
      <c r="Y194" s="11">
        <f>VLOOKUP($G194, SeanRanks!$A$2:$K$303, 10, FALSE)-V194</f>
        <v>23</v>
      </c>
      <c r="Z194" s="29" t="str">
        <f>IF(VLOOKUP($G194, SeanRanks!$A$2:$H$303, 7, FALSE)=0, "", VLOOKUP($G194, SeanRanks!$A$2:$H$303, 7, FALSE))</f>
        <v/>
      </c>
    </row>
    <row r="195" ht="14.25" customHeight="1">
      <c r="A195" s="11"/>
      <c r="B195" s="11">
        <f t="shared" si="4"/>
        <v>17</v>
      </c>
      <c r="C195" s="11" t="s">
        <v>106</v>
      </c>
      <c r="D195" s="11"/>
      <c r="E195" s="11"/>
      <c r="F195" s="11" t="str">
        <f>VLOOKUP(G195, SeanRanks!$A$2:$E$302, 4, FALSE)</f>
        <v/>
      </c>
      <c r="G195" s="11" t="s">
        <v>409</v>
      </c>
      <c r="H195" s="11" t="str">
        <f>VLOOKUP($G195, 'ADP Data'!$C$4:$Q$300, 2, FALSE)</f>
        <v>TEN</v>
      </c>
      <c r="I195" s="11">
        <f>VLOOKUP(G195, 'ADP Data'!$C$4:$R$498, 12, FALSE)</f>
        <v>165</v>
      </c>
      <c r="J195" s="11" t="str">
        <f>VLOOKUP($G195, SeanRanks!$A$2:$H$303, 5, FALSE)</f>
        <v/>
      </c>
      <c r="K195" s="11" t="str">
        <f>IF(VLOOKUP($G195, SeanRanks!$A$2:$H$303, 6, FALSE)=0, "", VLOOKUP($G195, SeanRanks!$A$2:$H$303, 6, FALSE))</f>
        <v/>
      </c>
      <c r="L195" s="11">
        <f t="shared" si="5"/>
        <v>18</v>
      </c>
      <c r="M195" s="11">
        <f>VLOOKUP($G195, 'ADP Data'!$C$4:$Q$300, 9, FALSE)</f>
        <v>208</v>
      </c>
      <c r="N195" s="11">
        <f t="shared" si="6"/>
        <v>6</v>
      </c>
      <c r="O195" s="11" t="str">
        <f>VLOOKUP($G195, 'ADP Data'!$C$4:$Q$300, 3, FALSE)</f>
        <v>-</v>
      </c>
      <c r="P195" s="11" t="str">
        <f t="shared" si="7"/>
        <v>#VALUE!</v>
      </c>
      <c r="Q195" s="11" t="str">
        <f>VLOOKUP($G195, 'ADP Data'!$C$4:$Q$300, 4, FALSE)</f>
        <v>-</v>
      </c>
      <c r="R195" s="11">
        <f>VLOOKUP($G195, 'ADP Data'!$C$4:$Q$300, 5, FALSE)</f>
        <v>249</v>
      </c>
      <c r="S195" s="11">
        <f>VLOOKUP($G195, 'ADP Data'!$C$4:$Q$300, 6, FALSE)</f>
        <v>150</v>
      </c>
      <c r="T195" s="11">
        <f>VLOOKUP($G195, 'ADP Data'!$C$4:$Q$300, 7, FALSE)</f>
        <v>187</v>
      </c>
      <c r="U195" s="11">
        <f>VLOOKUP($G195, 'ADP Data'!$C$4:$Q$300, 8, FALSE)</f>
        <v>218</v>
      </c>
      <c r="V195" s="11">
        <f t="shared" si="8"/>
        <v>202</v>
      </c>
      <c r="W195" s="11">
        <f t="shared" si="9"/>
        <v>17</v>
      </c>
      <c r="X195" s="11">
        <f t="shared" si="10"/>
        <v>-17</v>
      </c>
      <c r="Y195" s="11">
        <f>VLOOKUP($G195, SeanRanks!$A$2:$K$303, 10, FALSE)-V195</f>
        <v>-58</v>
      </c>
      <c r="Z195" s="29" t="str">
        <f>IF(VLOOKUP($G195, SeanRanks!$A$2:$H$303, 7, FALSE)=0, "", VLOOKUP($G195, SeanRanks!$A$2:$H$303, 7, FALSE))</f>
        <v/>
      </c>
    </row>
    <row r="196" ht="14.25" customHeight="1">
      <c r="A196" s="11"/>
      <c r="B196" s="11">
        <f t="shared" si="4"/>
        <v>9</v>
      </c>
      <c r="C196" s="11" t="s">
        <v>106</v>
      </c>
      <c r="D196" s="11"/>
      <c r="E196" s="11"/>
      <c r="F196" s="11" t="str">
        <f>VLOOKUP(G196, SeanRanks!$A$2:$E$302, 4, FALSE)</f>
        <v/>
      </c>
      <c r="G196" s="11" t="s">
        <v>313</v>
      </c>
      <c r="H196" s="11" t="str">
        <f>VLOOKUP($G196, 'ADP Data'!$C$4:$Q$300, 2, FALSE)</f>
        <v>MIN</v>
      </c>
      <c r="I196" s="11">
        <f>VLOOKUP(G196, 'ADP Data'!$C$4:$R$498, 12, FALSE)</f>
        <v>83</v>
      </c>
      <c r="J196" s="11" t="str">
        <f>VLOOKUP($G196, SeanRanks!$A$2:$H$303, 5, FALSE)</f>
        <v>Yes</v>
      </c>
      <c r="K196" s="11" t="str">
        <f>IF(VLOOKUP($G196, SeanRanks!$A$2:$H$303, 6, FALSE)=0, "", VLOOKUP($G196, SeanRanks!$A$2:$H$303, 6, FALSE))</f>
        <v>RB3 - 1 - Upside</v>
      </c>
      <c r="L196" s="11">
        <f t="shared" si="5"/>
        <v>9</v>
      </c>
      <c r="M196" s="11">
        <f>VLOOKUP($G196, 'ADP Data'!$C$4:$Q$300, 9, FALSE)</f>
        <v>103</v>
      </c>
      <c r="N196" s="11">
        <f t="shared" si="6"/>
        <v>-1</v>
      </c>
      <c r="O196" s="11">
        <f>VLOOKUP($G196, 'ADP Data'!$C$4:$Q$300, 3, FALSE)</f>
        <v>98</v>
      </c>
      <c r="P196" s="11">
        <f t="shared" si="7"/>
        <v>5</v>
      </c>
      <c r="Q196" s="11">
        <f>VLOOKUP($G196, 'ADP Data'!$C$4:$Q$300, 4, FALSE)</f>
        <v>122</v>
      </c>
      <c r="R196" s="11">
        <f>VLOOKUP($G196, 'ADP Data'!$C$4:$Q$300, 5, FALSE)</f>
        <v>107</v>
      </c>
      <c r="S196" s="11">
        <f>VLOOKUP($G196, 'ADP Data'!$C$4:$Q$300, 6, FALSE)</f>
        <v>88</v>
      </c>
      <c r="T196" s="11">
        <f>VLOOKUP($G196, 'ADP Data'!$C$4:$Q$300, 7, FALSE)</f>
        <v>89</v>
      </c>
      <c r="U196" s="11">
        <f>VLOOKUP($G196, 'ADP Data'!$C$4:$Q$300, 8, FALSE)</f>
        <v>122</v>
      </c>
      <c r="V196" s="11">
        <f t="shared" si="8"/>
        <v>104</v>
      </c>
      <c r="W196" s="11">
        <f t="shared" si="9"/>
        <v>9</v>
      </c>
      <c r="X196" s="11">
        <f t="shared" si="10"/>
        <v>-9</v>
      </c>
      <c r="Y196" s="11">
        <f>VLOOKUP($G196, SeanRanks!$A$2:$K$303, 10, FALSE)-V196</f>
        <v>-33</v>
      </c>
      <c r="Z196" s="29">
        <f>IF(VLOOKUP($G196, SeanRanks!$A$2:$H$303, 7, FALSE)=0, "", VLOOKUP($G196, SeanRanks!$A$2:$H$303, 7, FALSE))</f>
        <v>28</v>
      </c>
    </row>
    <row r="197" ht="14.25" customHeight="1">
      <c r="A197" s="11"/>
      <c r="B197" s="11" t="str">
        <f t="shared" si="4"/>
        <v>#N/A</v>
      </c>
      <c r="C197" s="11" t="s">
        <v>106</v>
      </c>
      <c r="D197" s="11"/>
      <c r="E197" s="11"/>
      <c r="F197" s="11" t="str">
        <f>VLOOKUP(G197, SeanRanks!$A$2:$E$302, 4, FALSE)</f>
        <v>#N/A</v>
      </c>
      <c r="G197" s="11" t="s">
        <v>909</v>
      </c>
      <c r="H197" s="11" t="str">
        <f>VLOOKUP($G197, 'ADP Data'!$C$4:$Q$300, 2, FALSE)</f>
        <v>#N/A</v>
      </c>
      <c r="I197" s="11" t="str">
        <f>VLOOKUP(G197, 'ADP Data'!$C$4:$R$498, 12, FALSE)</f>
        <v>#N/A</v>
      </c>
      <c r="J197" s="11" t="str">
        <f>VLOOKUP($G197, SeanRanks!$A$2:$H$303, 5, FALSE)</f>
        <v>#N/A</v>
      </c>
      <c r="K197" s="11" t="str">
        <f>IF(VLOOKUP($G197, SeanRanks!$A$2:$H$303, 6, FALSE)=0, "", VLOOKUP($G197, SeanRanks!$A$2:$H$303, 6, FALSE))</f>
        <v>#N/A</v>
      </c>
      <c r="L197" s="11">
        <f t="shared" si="5"/>
        <v>16</v>
      </c>
      <c r="M197" s="11" t="str">
        <f>VLOOKUP($G197, 'ADP Data'!$C$4:$Q$300, 9, FALSE)</f>
        <v>#N/A</v>
      </c>
      <c r="N197" s="11" t="str">
        <f t="shared" si="6"/>
        <v>#N/A</v>
      </c>
      <c r="O197" s="11" t="str">
        <f>VLOOKUP($G197, 'ADP Data'!$C$4:$Q$300, 3, FALSE)</f>
        <v>#N/A</v>
      </c>
      <c r="P197" s="11" t="str">
        <f t="shared" si="7"/>
        <v>#N/A</v>
      </c>
      <c r="Q197" s="11" t="str">
        <f>VLOOKUP($G197, 'ADP Data'!$C$4:$Q$300, 4, FALSE)</f>
        <v>#N/A</v>
      </c>
      <c r="R197" s="11" t="str">
        <f>VLOOKUP($G197, 'ADP Data'!$C$4:$Q$300, 5, FALSE)</f>
        <v>#N/A</v>
      </c>
      <c r="S197" s="11" t="str">
        <f>VLOOKUP($G197, 'ADP Data'!$C$4:$Q$300, 6, FALSE)</f>
        <v>#N/A</v>
      </c>
      <c r="T197" s="11" t="str">
        <f>VLOOKUP($G197, 'ADP Data'!$C$4:$Q$300, 7, FALSE)</f>
        <v>#N/A</v>
      </c>
      <c r="U197" s="11" t="str">
        <f>VLOOKUP($G197, 'ADP Data'!$C$4:$Q$300, 8, FALSE)</f>
        <v>#N/A</v>
      </c>
      <c r="V197" s="11" t="str">
        <f t="shared" si="8"/>
        <v>#N/A</v>
      </c>
      <c r="W197" s="11">
        <f t="shared" si="9"/>
        <v>16</v>
      </c>
      <c r="X197" s="11">
        <f t="shared" si="10"/>
        <v>-16</v>
      </c>
      <c r="Y197" s="11" t="str">
        <f>VLOOKUP($G197, SeanRanks!$A$2:$K$303, 10, FALSE)-V197</f>
        <v>#N/A</v>
      </c>
      <c r="Z197" s="29" t="str">
        <f>IF(VLOOKUP($G197, SeanRanks!$A$2:$H$303, 7, FALSE)=0, "", VLOOKUP($G197, SeanRanks!$A$2:$H$303, 7, FALSE))</f>
        <v>#N/A</v>
      </c>
    </row>
    <row r="198" ht="14.25" customHeight="1">
      <c r="A198" s="11"/>
      <c r="B198" s="11">
        <f t="shared" si="4"/>
        <v>13</v>
      </c>
      <c r="C198" s="11" t="s">
        <v>106</v>
      </c>
      <c r="D198" s="11"/>
      <c r="E198" s="11"/>
      <c r="F198" s="11" t="str">
        <f>VLOOKUP(G198, SeanRanks!$A$2:$E$302, 4, FALSE)</f>
        <v/>
      </c>
      <c r="G198" s="11" t="s">
        <v>906</v>
      </c>
      <c r="H198" s="11" t="str">
        <f>VLOOKUP($G198, 'ADP Data'!$C$4:$Q$300, 2, FALSE)</f>
        <v>DEN</v>
      </c>
      <c r="I198" s="11">
        <f>VLOOKUP(G198, 'ADP Data'!$C$4:$R$498, 12, FALSE)</f>
        <v>115</v>
      </c>
      <c r="J198" s="11" t="str">
        <f>VLOOKUP($G198, SeanRanks!$A$2:$H$303, 5, FALSE)</f>
        <v/>
      </c>
      <c r="K198" s="11" t="str">
        <f>IF(VLOOKUP($G198, SeanRanks!$A$2:$H$303, 6, FALSE)=0, "", VLOOKUP($G198, SeanRanks!$A$2:$H$303, 6, FALSE))</f>
        <v>WR6 - dart throw upside</v>
      </c>
      <c r="L198" s="11">
        <f t="shared" si="5"/>
        <v>12</v>
      </c>
      <c r="M198" s="11">
        <f>VLOOKUP($G198, 'ADP Data'!$C$4:$Q$300, 9, FALSE)</f>
        <v>140</v>
      </c>
      <c r="N198" s="11">
        <f t="shared" si="6"/>
        <v>-7</v>
      </c>
      <c r="O198" s="11">
        <f>VLOOKUP($G198, 'ADP Data'!$C$4:$Q$300, 3, FALSE)</f>
        <v>171</v>
      </c>
      <c r="P198" s="11">
        <f t="shared" si="7"/>
        <v>-31</v>
      </c>
      <c r="Q198" s="11">
        <f>VLOOKUP($G198, 'ADP Data'!$C$4:$Q$300, 4, FALSE)</f>
        <v>167</v>
      </c>
      <c r="R198" s="11">
        <f>VLOOKUP($G198, 'ADP Data'!$C$4:$Q$300, 5, FALSE)</f>
        <v>131</v>
      </c>
      <c r="S198" s="11">
        <f>VLOOKUP($G198, 'ADP Data'!$C$4:$Q$300, 6, FALSE)</f>
        <v>136</v>
      </c>
      <c r="T198" s="11">
        <f>VLOOKUP($G198, 'ADP Data'!$C$4:$Q$300, 7, FALSE)</f>
        <v>113</v>
      </c>
      <c r="U198" s="11">
        <f>VLOOKUP($G198, 'ADP Data'!$C$4:$Q$300, 8, FALSE)</f>
        <v>174</v>
      </c>
      <c r="V198" s="11">
        <f t="shared" si="8"/>
        <v>147</v>
      </c>
      <c r="W198" s="11">
        <f t="shared" si="9"/>
        <v>13</v>
      </c>
      <c r="X198" s="11">
        <f t="shared" si="10"/>
        <v>-13</v>
      </c>
      <c r="Y198" s="11">
        <f>VLOOKUP($G198, SeanRanks!$A$2:$K$303, 10, FALSE)-V198</f>
        <v>7</v>
      </c>
      <c r="Z198" s="29">
        <f>IF(VLOOKUP($G198, SeanRanks!$A$2:$H$303, 7, FALSE)=0, "", VLOOKUP($G198, SeanRanks!$A$2:$H$303, 7, FALSE))</f>
        <v>60</v>
      </c>
    </row>
    <row r="199" ht="14.25" customHeight="1">
      <c r="A199" s="11"/>
      <c r="B199" s="11">
        <f t="shared" si="4"/>
        <v>21</v>
      </c>
      <c r="C199" s="11" t="s">
        <v>106</v>
      </c>
      <c r="D199" s="11"/>
      <c r="E199" s="11"/>
      <c r="F199" s="11" t="str">
        <f>VLOOKUP(G199, SeanRanks!$A$2:$E$302, 4, FALSE)</f>
        <v/>
      </c>
      <c r="G199" s="11" t="s">
        <v>912</v>
      </c>
      <c r="H199" s="11" t="str">
        <f>VLOOKUP($G199, 'ADP Data'!$C$4:$Q$300, 2, FALSE)</f>
        <v>HOU</v>
      </c>
      <c r="I199" s="11">
        <f>VLOOKUP(G199, 'ADP Data'!$C$4:$R$498, 12, FALSE)</f>
        <v>202</v>
      </c>
      <c r="J199" s="11" t="str">
        <f>VLOOKUP($G199, SeanRanks!$A$2:$H$303, 5, FALSE)</f>
        <v/>
      </c>
      <c r="K199" s="11" t="str">
        <f>IF(VLOOKUP($G199, SeanRanks!$A$2:$H$303, 6, FALSE)=0, "", VLOOKUP($G199, SeanRanks!$A$2:$H$303, 6, FALSE))</f>
        <v/>
      </c>
      <c r="L199" s="11">
        <f t="shared" si="5"/>
        <v>16</v>
      </c>
      <c r="M199" s="11" t="str">
        <f>VLOOKUP($G199, 'ADP Data'!$C$4:$Q$300, 9, FALSE)</f>
        <v>-</v>
      </c>
      <c r="N199" s="11" t="str">
        <f t="shared" si="6"/>
        <v>#VALUE!</v>
      </c>
      <c r="O199" s="11" t="str">
        <f>VLOOKUP($G199, 'ADP Data'!$C$4:$Q$300, 3, FALSE)</f>
        <v>-</v>
      </c>
      <c r="P199" s="11" t="str">
        <f t="shared" si="7"/>
        <v>#VALUE!</v>
      </c>
      <c r="Q199" s="11" t="str">
        <f>VLOOKUP($G199, 'ADP Data'!$C$4:$Q$300, 4, FALSE)</f>
        <v>-</v>
      </c>
      <c r="R199" s="11" t="str">
        <f>VLOOKUP($G199, 'ADP Data'!$C$4:$Q$300, 5, FALSE)</f>
        <v>-</v>
      </c>
      <c r="S199" s="11">
        <f>VLOOKUP($G199, 'ADP Data'!$C$4:$Q$300, 6, FALSE)</f>
        <v>209</v>
      </c>
      <c r="T199" s="11">
        <f>VLOOKUP($G199, 'ADP Data'!$C$4:$Q$300, 7, FALSE)</f>
        <v>237</v>
      </c>
      <c r="U199" s="11">
        <f>VLOOKUP($G199, 'ADP Data'!$C$4:$Q$300, 8, FALSE)</f>
        <v>295</v>
      </c>
      <c r="V199" s="11">
        <f t="shared" si="8"/>
        <v>247</v>
      </c>
      <c r="W199" s="11">
        <f t="shared" si="9"/>
        <v>21</v>
      </c>
      <c r="X199" s="11">
        <f t="shared" si="10"/>
        <v>-21</v>
      </c>
      <c r="Y199" s="11">
        <f>VLOOKUP($G199, SeanRanks!$A$2:$K$303, 10, FALSE)-V199</f>
        <v>-18</v>
      </c>
      <c r="Z199" s="29" t="str">
        <f>IF(VLOOKUP($G199, SeanRanks!$A$2:$H$303, 7, FALSE)=0, "", VLOOKUP($G199, SeanRanks!$A$2:$H$303, 7, FALSE))</f>
        <v/>
      </c>
    </row>
    <row r="200" ht="14.25" customHeight="1">
      <c r="A200" s="11"/>
      <c r="B200" s="11">
        <f t="shared" si="4"/>
        <v>19</v>
      </c>
      <c r="C200" s="11" t="s">
        <v>106</v>
      </c>
      <c r="D200" s="11"/>
      <c r="E200" s="11"/>
      <c r="F200" s="11" t="str">
        <f>VLOOKUP(G200, SeanRanks!$A$2:$E$302, 4, FALSE)</f>
        <v/>
      </c>
      <c r="G200" s="11" t="s">
        <v>280</v>
      </c>
      <c r="H200" s="11" t="str">
        <f>VLOOKUP($G200, 'ADP Data'!$C$4:$Q$300, 2, FALSE)</f>
        <v>LAC</v>
      </c>
      <c r="I200" s="11">
        <f>VLOOKUP(G200, 'ADP Data'!$C$4:$R$498, 12, FALSE)</f>
        <v>204</v>
      </c>
      <c r="J200" s="11" t="str">
        <f>VLOOKUP($G200, SeanRanks!$A$2:$H$303, 5, FALSE)</f>
        <v/>
      </c>
      <c r="K200" s="11" t="str">
        <f>IF(VLOOKUP($G200, SeanRanks!$A$2:$H$303, 6, FALSE)=0, "", VLOOKUP($G200, SeanRanks!$A$2:$H$303, 6, FALSE))</f>
        <v/>
      </c>
      <c r="L200" s="11">
        <f t="shared" si="5"/>
        <v>18</v>
      </c>
      <c r="M200" s="11">
        <f>VLOOKUP($G200, 'ADP Data'!$C$4:$Q$300, 9, FALSE)</f>
        <v>212</v>
      </c>
      <c r="N200" s="11">
        <f t="shared" si="6"/>
        <v>-8</v>
      </c>
      <c r="O200" s="11">
        <f>VLOOKUP($G200, 'ADP Data'!$C$4:$Q$300, 3, FALSE)</f>
        <v>197</v>
      </c>
      <c r="P200" s="11">
        <f t="shared" si="7"/>
        <v>15</v>
      </c>
      <c r="Q200" s="11" t="str">
        <f>VLOOKUP($G200, 'ADP Data'!$C$4:$Q$300, 4, FALSE)</f>
        <v>-</v>
      </c>
      <c r="R200" s="11">
        <f>VLOOKUP($G200, 'ADP Data'!$C$4:$Q$300, 5, FALSE)</f>
        <v>227</v>
      </c>
      <c r="S200" s="11">
        <f>VLOOKUP($G200, 'ADP Data'!$C$4:$Q$300, 6, FALSE)</f>
        <v>226</v>
      </c>
      <c r="T200" s="11">
        <f>VLOOKUP($G200, 'ADP Data'!$C$4:$Q$300, 7, FALSE)</f>
        <v>180</v>
      </c>
      <c r="U200" s="11">
        <f>VLOOKUP($G200, 'ADP Data'!$C$4:$Q$300, 8, FALSE)</f>
        <v>278</v>
      </c>
      <c r="V200" s="11">
        <f t="shared" si="8"/>
        <v>220</v>
      </c>
      <c r="W200" s="11">
        <f t="shared" si="9"/>
        <v>19</v>
      </c>
      <c r="X200" s="11">
        <f t="shared" si="10"/>
        <v>-19</v>
      </c>
      <c r="Y200" s="11">
        <f>VLOOKUP($G200, SeanRanks!$A$2:$K$303, 10, FALSE)-V200</f>
        <v>16</v>
      </c>
      <c r="Z200" s="29" t="str">
        <f>IF(VLOOKUP($G200, SeanRanks!$A$2:$H$303, 7, FALSE)=0, "", VLOOKUP($G200, SeanRanks!$A$2:$H$303, 7, FALSE))</f>
        <v/>
      </c>
    </row>
    <row r="201" ht="14.25" customHeight="1">
      <c r="A201" s="11"/>
      <c r="B201" s="11">
        <f t="shared" si="4"/>
        <v>19</v>
      </c>
      <c r="C201" s="11" t="s">
        <v>106</v>
      </c>
      <c r="D201" s="11"/>
      <c r="E201" s="11"/>
      <c r="F201" s="11" t="str">
        <f>VLOOKUP(G201, SeanRanks!$A$2:$E$302, 4, FALSE)</f>
        <v>#N/A</v>
      </c>
      <c r="G201" s="11" t="s">
        <v>904</v>
      </c>
      <c r="H201" s="11" t="str">
        <f>VLOOKUP($G201, 'ADP Data'!$C$4:$Q$300, 2, FALSE)</f>
        <v>CIN</v>
      </c>
      <c r="I201" s="11" t="str">
        <f>VLOOKUP(G201, 'ADP Data'!$C$4:$R$498, 12, FALSE)</f>
        <v>-</v>
      </c>
      <c r="J201" s="11" t="str">
        <f>VLOOKUP($G201, SeanRanks!$A$2:$H$303, 5, FALSE)</f>
        <v>#N/A</v>
      </c>
      <c r="K201" s="11" t="str">
        <f>IF(VLOOKUP($G201, SeanRanks!$A$2:$H$303, 6, FALSE)=0, "", VLOOKUP($G201, SeanRanks!$A$2:$H$303, 6, FALSE))</f>
        <v>#N/A</v>
      </c>
      <c r="L201" s="11">
        <f t="shared" si="5"/>
        <v>16</v>
      </c>
      <c r="M201" s="11" t="str">
        <f>VLOOKUP($G201, 'ADP Data'!$C$4:$Q$300, 9, FALSE)</f>
        <v>-</v>
      </c>
      <c r="N201" s="11" t="str">
        <f t="shared" si="6"/>
        <v>#VALUE!</v>
      </c>
      <c r="O201" s="11" t="str">
        <f>VLOOKUP($G201, 'ADP Data'!$C$4:$Q$300, 3, FALSE)</f>
        <v>-</v>
      </c>
      <c r="P201" s="11" t="str">
        <f t="shared" si="7"/>
        <v>#VALUE!</v>
      </c>
      <c r="Q201" s="11">
        <f>VLOOKUP($G201, 'ADP Data'!$C$4:$Q$300, 4, FALSE)</f>
        <v>223</v>
      </c>
      <c r="R201" s="11" t="str">
        <f>VLOOKUP($G201, 'ADP Data'!$C$4:$Q$300, 5, FALSE)</f>
        <v>-</v>
      </c>
      <c r="S201" s="11">
        <f>VLOOKUP($G201, 'ADP Data'!$C$4:$Q$300, 6, FALSE)</f>
        <v>323</v>
      </c>
      <c r="T201" s="11">
        <f>VLOOKUP($G201, 'ADP Data'!$C$4:$Q$300, 7, FALSE)</f>
        <v>267</v>
      </c>
      <c r="U201" s="11">
        <f>VLOOKUP($G201, 'ADP Data'!$C$4:$Q$300, 8, FALSE)</f>
        <v>97</v>
      </c>
      <c r="V201" s="11">
        <f t="shared" si="8"/>
        <v>227</v>
      </c>
      <c r="W201" s="11">
        <f t="shared" si="9"/>
        <v>19</v>
      </c>
      <c r="X201" s="11">
        <f t="shared" si="10"/>
        <v>-19</v>
      </c>
      <c r="Y201" s="11" t="str">
        <f>VLOOKUP($G201, SeanRanks!$A$2:$K$303, 10, FALSE)-V201</f>
        <v>#N/A</v>
      </c>
      <c r="Z201" s="29" t="str">
        <f>IF(VLOOKUP($G201, SeanRanks!$A$2:$H$303, 7, FALSE)=0, "", VLOOKUP($G201, SeanRanks!$A$2:$H$303, 7, FALSE))</f>
        <v>#N/A</v>
      </c>
    </row>
    <row r="202" ht="14.25" customHeight="1">
      <c r="A202" s="11"/>
      <c r="B202" s="11" t="str">
        <f t="shared" si="4"/>
        <v>#N/A</v>
      </c>
      <c r="C202" s="11" t="s">
        <v>106</v>
      </c>
      <c r="D202" s="11"/>
      <c r="E202" s="11"/>
      <c r="F202" s="11" t="str">
        <f>VLOOKUP(G202, SeanRanks!$A$2:$E$302, 4, FALSE)</f>
        <v>#N/A</v>
      </c>
      <c r="G202" s="11" t="s">
        <v>907</v>
      </c>
      <c r="H202" s="11" t="str">
        <f>VLOOKUP($G202, 'ADP Data'!$C$4:$Q$300, 2, FALSE)</f>
        <v>#N/A</v>
      </c>
      <c r="I202" s="11" t="str">
        <f>VLOOKUP(G202, 'ADP Data'!$C$4:$R$498, 12, FALSE)</f>
        <v>#N/A</v>
      </c>
      <c r="J202" s="61" t="str">
        <f>VLOOKUP($G202, SeanRanks!$A$2:$H$303, 5, FALSE)</f>
        <v>#N/A</v>
      </c>
      <c r="K202" s="11" t="str">
        <f>IF(VLOOKUP($G202, SeanRanks!$A$2:$H$303, 6, FALSE)=0, "", VLOOKUP($G202, SeanRanks!$A$2:$H$303, 6, FALSE))</f>
        <v>#N/A</v>
      </c>
      <c r="L202" s="11">
        <f t="shared" si="5"/>
        <v>16</v>
      </c>
      <c r="M202" s="11" t="str">
        <f>VLOOKUP($G202, 'ADP Data'!$C$4:$Q$300, 9, FALSE)</f>
        <v>#N/A</v>
      </c>
      <c r="N202" s="11" t="str">
        <f t="shared" si="6"/>
        <v>#N/A</v>
      </c>
      <c r="O202" s="11" t="str">
        <f>VLOOKUP($G202, 'ADP Data'!$C$4:$Q$300, 3, FALSE)</f>
        <v>#N/A</v>
      </c>
      <c r="P202" s="11" t="str">
        <f t="shared" si="7"/>
        <v>#N/A</v>
      </c>
      <c r="Q202" s="11" t="str">
        <f>VLOOKUP($G202, 'ADP Data'!$C$4:$Q$300, 4, FALSE)</f>
        <v>#N/A</v>
      </c>
      <c r="R202" s="11" t="str">
        <f>VLOOKUP($G202, 'ADP Data'!$C$4:$Q$300, 5, FALSE)</f>
        <v>#N/A</v>
      </c>
      <c r="S202" s="11" t="str">
        <f>VLOOKUP($G202, 'ADP Data'!$C$4:$Q$300, 6, FALSE)</f>
        <v>#N/A</v>
      </c>
      <c r="T202" s="11" t="str">
        <f>VLOOKUP($G202, 'ADP Data'!$C$4:$Q$300, 7, FALSE)</f>
        <v>#N/A</v>
      </c>
      <c r="U202" s="11" t="str">
        <f>VLOOKUP($G202, 'ADP Data'!$C$4:$Q$300, 8, FALSE)</f>
        <v>#N/A</v>
      </c>
      <c r="V202" s="11" t="str">
        <f t="shared" si="8"/>
        <v>#N/A</v>
      </c>
      <c r="W202" s="11">
        <f t="shared" si="9"/>
        <v>16</v>
      </c>
      <c r="X202" s="11">
        <f t="shared" si="10"/>
        <v>-16</v>
      </c>
      <c r="Y202" s="11" t="str">
        <f>VLOOKUP($G202, SeanRanks!$A$2:$K$303, 10, FALSE)-V202</f>
        <v>#N/A</v>
      </c>
      <c r="Z202" s="29" t="str">
        <f>IF(VLOOKUP($G202, SeanRanks!$A$2:$H$303, 7, FALSE)=0, "", VLOOKUP($G202, SeanRanks!$A$2:$H$303, 7, FALSE))</f>
        <v>#N/A</v>
      </c>
    </row>
    <row r="203" ht="14.25" customHeight="1">
      <c r="A203" s="11"/>
      <c r="B203" s="11">
        <f t="shared" si="4"/>
        <v>16</v>
      </c>
      <c r="C203" s="11" t="s">
        <v>106</v>
      </c>
      <c r="D203" s="11"/>
      <c r="E203" s="11"/>
      <c r="F203" s="11" t="str">
        <f>VLOOKUP(G203, SeanRanks!$A$2:$E$302, 4, FALSE)</f>
        <v/>
      </c>
      <c r="G203" s="11" t="s">
        <v>308</v>
      </c>
      <c r="H203" s="11" t="str">
        <f>VLOOKUP($G203, 'ADP Data'!$C$4:$Q$300, 2, FALSE)</f>
        <v>NYG</v>
      </c>
      <c r="I203" s="11">
        <f>VLOOKUP(G203, 'ADP Data'!$C$4:$R$498, 12, FALSE)</f>
        <v>166</v>
      </c>
      <c r="J203" s="11" t="str">
        <f>VLOOKUP($G203, SeanRanks!$A$2:$H$303, 5, FALSE)</f>
        <v/>
      </c>
      <c r="K203" s="11" t="str">
        <f>IF(VLOOKUP($G203, SeanRanks!$A$2:$H$303, 6, FALSE)=0, "", VLOOKUP($G203, SeanRanks!$A$2:$H$303, 6, FALSE))</f>
        <v/>
      </c>
      <c r="L203" s="11">
        <f t="shared" si="5"/>
        <v>18</v>
      </c>
      <c r="M203" s="11">
        <f>VLOOKUP($G203, 'ADP Data'!$C$4:$Q$300, 9, FALSE)</f>
        <v>206</v>
      </c>
      <c r="N203" s="11">
        <f t="shared" si="6"/>
        <v>19</v>
      </c>
      <c r="O203" s="11">
        <f>VLOOKUP($G203, 'ADP Data'!$C$4:$Q$300, 3, FALSE)</f>
        <v>165</v>
      </c>
      <c r="P203" s="11">
        <f t="shared" si="7"/>
        <v>41</v>
      </c>
      <c r="Q203" s="11">
        <f>VLOOKUP($G203, 'ADP Data'!$C$4:$Q$300, 4, FALSE)</f>
        <v>174</v>
      </c>
      <c r="R203" s="11">
        <f>VLOOKUP($G203, 'ADP Data'!$C$4:$Q$300, 5, FALSE)</f>
        <v>206</v>
      </c>
      <c r="S203" s="11">
        <f>VLOOKUP($G203, 'ADP Data'!$C$4:$Q$300, 6, FALSE)</f>
        <v>169</v>
      </c>
      <c r="T203" s="11">
        <f>VLOOKUP($G203, 'ADP Data'!$C$4:$Q$300, 7, FALSE)</f>
        <v>146</v>
      </c>
      <c r="U203" s="11">
        <f>VLOOKUP($G203, 'ADP Data'!$C$4:$Q$300, 8, FALSE)</f>
        <v>249</v>
      </c>
      <c r="V203" s="11">
        <f t="shared" si="8"/>
        <v>187</v>
      </c>
      <c r="W203" s="11">
        <f t="shared" si="9"/>
        <v>16</v>
      </c>
      <c r="X203" s="11">
        <f t="shared" si="10"/>
        <v>-16</v>
      </c>
      <c r="Y203" s="11">
        <f>VLOOKUP($G203, SeanRanks!$A$2:$K$303, 10, FALSE)-V203</f>
        <v>-19</v>
      </c>
      <c r="Z203" s="29" t="str">
        <f>IF(VLOOKUP($G203, SeanRanks!$A$2:$H$303, 7, FALSE)=0, "", VLOOKUP($G203, SeanRanks!$A$2:$H$303, 7, FALSE))</f>
        <v/>
      </c>
    </row>
    <row r="204" ht="14.25" customHeight="1">
      <c r="A204" s="11"/>
      <c r="B204" s="11" t="str">
        <f t="shared" si="4"/>
        <v>#N/A</v>
      </c>
      <c r="C204" s="11" t="s">
        <v>106</v>
      </c>
      <c r="D204" s="11"/>
      <c r="E204" s="11"/>
      <c r="F204" s="11" t="str">
        <f>VLOOKUP(G204, SeanRanks!$A$2:$E$302, 4, FALSE)</f>
        <v>#N/A</v>
      </c>
      <c r="G204" s="11" t="s">
        <v>908</v>
      </c>
      <c r="H204" s="11" t="str">
        <f>VLOOKUP($G204, 'ADP Data'!$C$4:$Q$300, 2, FALSE)</f>
        <v>#N/A</v>
      </c>
      <c r="I204" s="11" t="str">
        <f>VLOOKUP(G204, 'ADP Data'!$C$4:$R$498, 12, FALSE)</f>
        <v>#N/A</v>
      </c>
      <c r="J204" s="11" t="str">
        <f>VLOOKUP($G204, SeanRanks!$A$2:$H$303, 5, FALSE)</f>
        <v>#N/A</v>
      </c>
      <c r="K204" s="11" t="str">
        <f>IF(VLOOKUP($G204, SeanRanks!$A$2:$H$303, 6, FALSE)=0, "", VLOOKUP($G204, SeanRanks!$A$2:$H$303, 6, FALSE))</f>
        <v>#N/A</v>
      </c>
      <c r="L204" s="11">
        <f t="shared" si="5"/>
        <v>16</v>
      </c>
      <c r="M204" s="11" t="str">
        <f>VLOOKUP($G204, 'ADP Data'!$C$4:$Q$300, 9, FALSE)</f>
        <v>#N/A</v>
      </c>
      <c r="N204" s="11" t="str">
        <f t="shared" si="6"/>
        <v>#N/A</v>
      </c>
      <c r="O204" s="11" t="str">
        <f>VLOOKUP($G204, 'ADP Data'!$C$4:$Q$300, 3, FALSE)</f>
        <v>#N/A</v>
      </c>
      <c r="P204" s="11" t="str">
        <f t="shared" si="7"/>
        <v>#N/A</v>
      </c>
      <c r="Q204" s="11" t="str">
        <f>VLOOKUP($G204, 'ADP Data'!$C$4:$Q$300, 4, FALSE)</f>
        <v>#N/A</v>
      </c>
      <c r="R204" s="11" t="str">
        <f>VLOOKUP($G204, 'ADP Data'!$C$4:$Q$300, 5, FALSE)</f>
        <v>#N/A</v>
      </c>
      <c r="S204" s="11" t="str">
        <f>VLOOKUP($G204, 'ADP Data'!$C$4:$Q$300, 6, FALSE)</f>
        <v>#N/A</v>
      </c>
      <c r="T204" s="11" t="str">
        <f>VLOOKUP($G204, 'ADP Data'!$C$4:$Q$300, 7, FALSE)</f>
        <v>#N/A</v>
      </c>
      <c r="U204" s="11" t="str">
        <f>VLOOKUP($G204, 'ADP Data'!$C$4:$Q$300, 8, FALSE)</f>
        <v>#N/A</v>
      </c>
      <c r="V204" s="11" t="str">
        <f t="shared" si="8"/>
        <v>#N/A</v>
      </c>
      <c r="W204" s="11">
        <f t="shared" si="9"/>
        <v>16</v>
      </c>
      <c r="X204" s="11">
        <f t="shared" si="10"/>
        <v>-16</v>
      </c>
      <c r="Y204" s="11" t="str">
        <f>VLOOKUP($G204, SeanRanks!$A$2:$K$303, 10, FALSE)-V204</f>
        <v>#N/A</v>
      </c>
      <c r="Z204" s="29" t="str">
        <f>IF(VLOOKUP($G204, SeanRanks!$A$2:$H$303, 7, FALSE)=0, "", VLOOKUP($G204, SeanRanks!$A$2:$H$303, 7, FALSE))</f>
        <v>#N/A</v>
      </c>
    </row>
    <row r="205" ht="14.25" customHeight="1">
      <c r="A205" s="11"/>
      <c r="B205" s="11">
        <f t="shared" si="4"/>
        <v>17</v>
      </c>
      <c r="C205" s="11" t="s">
        <v>106</v>
      </c>
      <c r="D205" s="11"/>
      <c r="E205" s="11"/>
      <c r="F205" s="11" t="str">
        <f>VLOOKUP(G205, SeanRanks!$A$2:$E$302, 4, FALSE)</f>
        <v/>
      </c>
      <c r="G205" s="11" t="s">
        <v>538</v>
      </c>
      <c r="H205" s="11" t="str">
        <f>VLOOKUP($G205, 'ADP Data'!$C$4:$Q$300, 2, FALSE)</f>
        <v>DET</v>
      </c>
      <c r="I205" s="11" t="str">
        <f>VLOOKUP(G205, 'ADP Data'!$C$4:$R$498, 12, FALSE)</f>
        <v>-</v>
      </c>
      <c r="J205" s="11" t="str">
        <f>VLOOKUP($G205, SeanRanks!$A$2:$H$303, 5, FALSE)</f>
        <v/>
      </c>
      <c r="K205" s="11" t="str">
        <f>IF(VLOOKUP($G205, SeanRanks!$A$2:$H$303, 6, FALSE)=0, "", VLOOKUP($G205, SeanRanks!$A$2:$H$303, 6, FALSE))</f>
        <v/>
      </c>
      <c r="L205" s="11">
        <f t="shared" si="5"/>
        <v>16</v>
      </c>
      <c r="M205" s="11">
        <f>VLOOKUP($G205, 'ADP Data'!$C$4:$Q$300, 9, FALSE)</f>
        <v>187</v>
      </c>
      <c r="N205" s="11">
        <f t="shared" si="6"/>
        <v>-8</v>
      </c>
      <c r="O205" s="11">
        <f>VLOOKUP($G205, 'ADP Data'!$C$4:$Q$300, 3, FALSE)</f>
        <v>178</v>
      </c>
      <c r="P205" s="11">
        <f t="shared" si="7"/>
        <v>9</v>
      </c>
      <c r="Q205" s="11">
        <f>VLOOKUP($G205, 'ADP Data'!$C$4:$Q$300, 4, FALSE)</f>
        <v>136</v>
      </c>
      <c r="R205" s="11">
        <f>VLOOKUP($G205, 'ADP Data'!$C$4:$Q$300, 5, FALSE)</f>
        <v>257</v>
      </c>
      <c r="S205" s="11">
        <f>VLOOKUP($G205, 'ADP Data'!$C$4:$Q$300, 6, FALSE)</f>
        <v>254</v>
      </c>
      <c r="T205" s="11">
        <f>VLOOKUP($G205, 'ADP Data'!$C$4:$Q$300, 7, FALSE)</f>
        <v>201</v>
      </c>
      <c r="U205" s="11">
        <f>VLOOKUP($G205, 'ADP Data'!$C$4:$Q$300, 8, FALSE)</f>
        <v>152</v>
      </c>
      <c r="V205" s="11">
        <f t="shared" si="8"/>
        <v>195</v>
      </c>
      <c r="W205" s="11">
        <f t="shared" si="9"/>
        <v>17</v>
      </c>
      <c r="X205" s="11">
        <f t="shared" si="10"/>
        <v>-17</v>
      </c>
      <c r="Y205" s="11">
        <f>VLOOKUP($G205, SeanRanks!$A$2:$K$303, 10, FALSE)-V205</f>
        <v>-9</v>
      </c>
      <c r="Z205" s="29" t="str">
        <f>IF(VLOOKUP($G205, SeanRanks!$A$2:$H$303, 7, FALSE)=0, "", VLOOKUP($G205, SeanRanks!$A$2:$H$303, 7, FALSE))</f>
        <v/>
      </c>
    </row>
    <row r="206" ht="14.25" customHeight="1">
      <c r="A206" s="11"/>
      <c r="B206" s="11">
        <f t="shared" si="4"/>
        <v>24</v>
      </c>
      <c r="C206" s="11" t="s">
        <v>106</v>
      </c>
      <c r="D206" s="11"/>
      <c r="E206" s="11"/>
      <c r="F206" s="11" t="str">
        <f>VLOOKUP(G206, SeanRanks!$A$2:$E$302, 4, FALSE)</f>
        <v/>
      </c>
      <c r="G206" s="11" t="s">
        <v>920</v>
      </c>
      <c r="H206" s="11" t="str">
        <f>VLOOKUP($G206, 'ADP Data'!$C$4:$Q$300, 2, FALSE)</f>
        <v>KC</v>
      </c>
      <c r="I206" s="11">
        <f>VLOOKUP(G206, 'ADP Data'!$C$4:$R$498, 12, FALSE)</f>
        <v>283</v>
      </c>
      <c r="J206" s="11" t="str">
        <f>VLOOKUP($G206, SeanRanks!$A$2:$H$303, 5, FALSE)</f>
        <v/>
      </c>
      <c r="K206" s="11" t="str">
        <f>IF(VLOOKUP($G206, SeanRanks!$A$2:$H$303, 6, FALSE)=0, "", VLOOKUP($G206, SeanRanks!$A$2:$H$303, 6, FALSE))</f>
        <v/>
      </c>
      <c r="L206" s="11">
        <f t="shared" si="5"/>
        <v>24</v>
      </c>
      <c r="M206" s="11">
        <f>VLOOKUP($G206, 'ADP Data'!$C$4:$Q$300, 9, FALSE)</f>
        <v>287</v>
      </c>
      <c r="N206" s="11">
        <f t="shared" si="6"/>
        <v>5</v>
      </c>
      <c r="O206" s="11" t="str">
        <f>VLOOKUP($G206, 'ADP Data'!$C$4:$Q$300, 3, FALSE)</f>
        <v>-</v>
      </c>
      <c r="P206" s="11" t="str">
        <f t="shared" si="7"/>
        <v>#VALUE!</v>
      </c>
      <c r="Q206" s="11" t="str">
        <f>VLOOKUP($G206, 'ADP Data'!$C$4:$Q$300, 4, FALSE)</f>
        <v>-</v>
      </c>
      <c r="R206" s="11">
        <f>VLOOKUP($G206, 'ADP Data'!$C$4:$Q$300, 5, FALSE)</f>
        <v>313</v>
      </c>
      <c r="S206" s="11">
        <f>VLOOKUP($G206, 'ADP Data'!$C$4:$Q$300, 6, FALSE)</f>
        <v>293</v>
      </c>
      <c r="T206" s="11">
        <f>VLOOKUP($G206, 'ADP Data'!$C$4:$Q$300, 7, FALSE)</f>
        <v>268</v>
      </c>
      <c r="U206" s="11">
        <f>VLOOKUP($G206, 'ADP Data'!$C$4:$Q$300, 8, FALSE)</f>
        <v>252</v>
      </c>
      <c r="V206" s="11">
        <f t="shared" si="8"/>
        <v>282</v>
      </c>
      <c r="W206" s="11">
        <f t="shared" si="9"/>
        <v>24</v>
      </c>
      <c r="X206" s="11">
        <f t="shared" si="10"/>
        <v>-24</v>
      </c>
      <c r="Y206" s="11" t="str">
        <f>VLOOKUP($G206, SeanRanks!$A$2:$K$303, 10, FALSE)-V206</f>
        <v>#VALUE!</v>
      </c>
      <c r="Z206" s="29" t="str">
        <f>IF(VLOOKUP($G206, SeanRanks!$A$2:$H$303, 7, FALSE)=0, "", VLOOKUP($G206, SeanRanks!$A$2:$H$303, 7, FALSE))</f>
        <v/>
      </c>
    </row>
    <row r="207" ht="14.25" customHeight="1">
      <c r="A207" s="11"/>
      <c r="B207" s="11" t="str">
        <f t="shared" si="4"/>
        <v>#N/A</v>
      </c>
      <c r="C207" s="11" t="s">
        <v>106</v>
      </c>
      <c r="D207" s="11"/>
      <c r="E207" s="11"/>
      <c r="F207" s="11" t="str">
        <f>VLOOKUP(G207, SeanRanks!$A$2:$E$302, 4, FALSE)</f>
        <v>#N/A</v>
      </c>
      <c r="G207" s="11" t="s">
        <v>911</v>
      </c>
      <c r="H207" s="11" t="str">
        <f>VLOOKUP($G207, 'ADP Data'!$C$4:$Q$300, 2, FALSE)</f>
        <v>#N/A</v>
      </c>
      <c r="I207" s="11" t="str">
        <f>VLOOKUP(G207, 'ADP Data'!$C$4:$R$498, 12, FALSE)</f>
        <v>#N/A</v>
      </c>
      <c r="J207" s="11" t="str">
        <f>VLOOKUP($G207, SeanRanks!$A$2:$H$303, 5, FALSE)</f>
        <v>#N/A</v>
      </c>
      <c r="K207" s="11" t="str">
        <f>IF(VLOOKUP($G207, SeanRanks!$A$2:$H$303, 6, FALSE)=0, "", VLOOKUP($G207, SeanRanks!$A$2:$H$303, 6, FALSE))</f>
        <v>#N/A</v>
      </c>
      <c r="L207" s="11">
        <f t="shared" si="5"/>
        <v>16</v>
      </c>
      <c r="M207" s="11" t="str">
        <f>VLOOKUP($G207, 'ADP Data'!$C$4:$Q$300, 9, FALSE)</f>
        <v>#N/A</v>
      </c>
      <c r="N207" s="11" t="str">
        <f t="shared" si="6"/>
        <v>#N/A</v>
      </c>
      <c r="O207" s="11" t="str">
        <f>VLOOKUP($G207, 'ADP Data'!$C$4:$Q$300, 3, FALSE)</f>
        <v>#N/A</v>
      </c>
      <c r="P207" s="11" t="str">
        <f t="shared" si="7"/>
        <v>#N/A</v>
      </c>
      <c r="Q207" s="11" t="str">
        <f>VLOOKUP($G207, 'ADP Data'!$C$4:$Q$300, 4, FALSE)</f>
        <v>#N/A</v>
      </c>
      <c r="R207" s="11" t="str">
        <f>VLOOKUP($G207, 'ADP Data'!$C$4:$Q$300, 5, FALSE)</f>
        <v>#N/A</v>
      </c>
      <c r="S207" s="11" t="str">
        <f>VLOOKUP($G207, 'ADP Data'!$C$4:$Q$300, 6, FALSE)</f>
        <v>#N/A</v>
      </c>
      <c r="T207" s="11" t="str">
        <f>VLOOKUP($G207, 'ADP Data'!$C$4:$Q$300, 7, FALSE)</f>
        <v>#N/A</v>
      </c>
      <c r="U207" s="11" t="str">
        <f>VLOOKUP($G207, 'ADP Data'!$C$4:$Q$300, 8, FALSE)</f>
        <v>#N/A</v>
      </c>
      <c r="V207" s="11" t="str">
        <f t="shared" si="8"/>
        <v>#N/A</v>
      </c>
      <c r="W207" s="11">
        <f t="shared" si="9"/>
        <v>16</v>
      </c>
      <c r="X207" s="11">
        <f t="shared" si="10"/>
        <v>-16</v>
      </c>
      <c r="Y207" s="11" t="str">
        <f>VLOOKUP($G207, SeanRanks!$A$2:$K$303, 10, FALSE)-V207</f>
        <v>#N/A</v>
      </c>
      <c r="Z207" s="29" t="str">
        <f>IF(VLOOKUP($G207, SeanRanks!$A$2:$H$303, 7, FALSE)=0, "", VLOOKUP($G207, SeanRanks!$A$2:$H$303, 7, FALSE))</f>
        <v>#N/A</v>
      </c>
    </row>
    <row r="208" ht="14.25" customHeight="1">
      <c r="A208" s="11"/>
      <c r="B208" s="11">
        <f t="shared" si="4"/>
        <v>9</v>
      </c>
      <c r="C208" s="11" t="s">
        <v>106</v>
      </c>
      <c r="D208" s="11"/>
      <c r="E208" s="11"/>
      <c r="F208" s="11" t="str">
        <f>VLOOKUP(G208, SeanRanks!$A$2:$E$302, 4, FALSE)</f>
        <v/>
      </c>
      <c r="G208" s="11" t="s">
        <v>812</v>
      </c>
      <c r="H208" s="11" t="str">
        <f>VLOOKUP($G208, 'ADP Data'!$C$4:$Q$300, 2, FALSE)</f>
        <v>NYJ</v>
      </c>
      <c r="I208" s="11">
        <f>VLOOKUP(G208, 'ADP Data'!$C$4:$R$498, 12, FALSE)</f>
        <v>98</v>
      </c>
      <c r="J208" s="11" t="str">
        <f>VLOOKUP($G208, SeanRanks!$A$2:$H$303, 5, FALSE)</f>
        <v/>
      </c>
      <c r="K208" s="11" t="str">
        <f>IF(VLOOKUP($G208, SeanRanks!$A$2:$H$303, 6, FALSE)=0, "", VLOOKUP($G208, SeanRanks!$A$2:$H$303, 6, FALSE))</f>
        <v>QB1 - 4 - Weekly Start</v>
      </c>
      <c r="L208" s="11">
        <f t="shared" si="5"/>
        <v>12</v>
      </c>
      <c r="M208" s="11">
        <f>VLOOKUP($G208, 'ADP Data'!$C$4:$Q$300, 9, FALSE)</f>
        <v>136</v>
      </c>
      <c r="N208" s="11">
        <f t="shared" si="6"/>
        <v>24</v>
      </c>
      <c r="O208" s="11">
        <f>VLOOKUP($G208, 'ADP Data'!$C$4:$Q$300, 3, FALSE)</f>
        <v>116</v>
      </c>
      <c r="P208" s="11">
        <f t="shared" si="7"/>
        <v>20</v>
      </c>
      <c r="Q208" s="11">
        <f>VLOOKUP($G208, 'ADP Data'!$C$4:$Q$300, 4, FALSE)</f>
        <v>120</v>
      </c>
      <c r="R208" s="11">
        <f>VLOOKUP($G208, 'ADP Data'!$C$4:$Q$300, 5, FALSE)</f>
        <v>121</v>
      </c>
      <c r="S208" s="11">
        <f>VLOOKUP($G208, 'ADP Data'!$C$4:$Q$300, 6, FALSE)</f>
        <v>119</v>
      </c>
      <c r="T208" s="11">
        <f>VLOOKUP($G208, 'ADP Data'!$C$4:$Q$300, 7, FALSE)</f>
        <v>112</v>
      </c>
      <c r="U208" s="11">
        <f>VLOOKUP($G208, 'ADP Data'!$C$4:$Q$300, 8, FALSE)</f>
        <v>63</v>
      </c>
      <c r="V208" s="11">
        <f t="shared" si="8"/>
        <v>112</v>
      </c>
      <c r="W208" s="11">
        <f t="shared" si="9"/>
        <v>10</v>
      </c>
      <c r="X208" s="11">
        <f t="shared" si="10"/>
        <v>-10</v>
      </c>
      <c r="Y208" s="11">
        <f>VLOOKUP($G208, SeanRanks!$A$2:$K$303, 10, FALSE)-V208</f>
        <v>-10</v>
      </c>
      <c r="Z208" s="29">
        <f>IF(VLOOKUP($G208, SeanRanks!$A$2:$H$303, 7, FALSE)=0, "", VLOOKUP($G208, SeanRanks!$A$2:$H$303, 7, FALSE))</f>
        <v>10</v>
      </c>
    </row>
    <row r="209" ht="14.25" customHeight="1">
      <c r="A209" s="11"/>
      <c r="B209" s="11">
        <f t="shared" si="4"/>
        <v>16</v>
      </c>
      <c r="C209" s="11" t="s">
        <v>106</v>
      </c>
      <c r="D209" s="11"/>
      <c r="E209" s="11"/>
      <c r="F209" s="11" t="str">
        <f>VLOOKUP(G209, SeanRanks!$A$2:$E$302, 4, FALSE)</f>
        <v/>
      </c>
      <c r="G209" s="11" t="s">
        <v>481</v>
      </c>
      <c r="H209" s="11" t="str">
        <f>VLOOKUP($G209, 'ADP Data'!$C$4:$Q$300, 2, FALSE)</f>
        <v>CAR</v>
      </c>
      <c r="I209" s="11">
        <f>VLOOKUP(G209, 'ADP Data'!$C$4:$R$498, 12, FALSE)</f>
        <v>146</v>
      </c>
      <c r="J209" s="11" t="str">
        <f>VLOOKUP($G209, SeanRanks!$A$2:$H$303, 5, FALSE)</f>
        <v/>
      </c>
      <c r="K209" s="11" t="str">
        <f>IF(VLOOKUP($G209, SeanRanks!$A$2:$H$303, 6, FALSE)=0, "", VLOOKUP($G209, SeanRanks!$A$2:$H$303, 6, FALSE))</f>
        <v>QB3 - League Winner?</v>
      </c>
      <c r="L209" s="11">
        <f t="shared" si="5"/>
        <v>17</v>
      </c>
      <c r="M209" s="11">
        <f>VLOOKUP($G209, 'ADP Data'!$C$4:$Q$300, 9, FALSE)</f>
        <v>201</v>
      </c>
      <c r="N209" s="11">
        <f t="shared" si="6"/>
        <v>17</v>
      </c>
      <c r="O209" s="11">
        <f>VLOOKUP($G209, 'ADP Data'!$C$4:$Q$300, 3, FALSE)</f>
        <v>190</v>
      </c>
      <c r="P209" s="11">
        <f t="shared" si="7"/>
        <v>11</v>
      </c>
      <c r="Q209" s="11">
        <f>VLOOKUP($G209, 'ADP Data'!$C$4:$Q$300, 4, FALSE)</f>
        <v>193</v>
      </c>
      <c r="R209" s="11">
        <f>VLOOKUP($G209, 'ADP Data'!$C$4:$Q$300, 5, FALSE)</f>
        <v>187</v>
      </c>
      <c r="S209" s="11">
        <f>VLOOKUP($G209, 'ADP Data'!$C$4:$Q$300, 6, FALSE)</f>
        <v>170</v>
      </c>
      <c r="T209" s="11">
        <f>VLOOKUP($G209, 'ADP Data'!$C$4:$Q$300, 7, FALSE)</f>
        <v>157</v>
      </c>
      <c r="U209" s="11">
        <f>VLOOKUP($G209, 'ADP Data'!$C$4:$Q$300, 8, FALSE)</f>
        <v>194</v>
      </c>
      <c r="V209" s="11">
        <f t="shared" si="8"/>
        <v>184</v>
      </c>
      <c r="W209" s="11">
        <f t="shared" si="9"/>
        <v>16</v>
      </c>
      <c r="X209" s="11">
        <f t="shared" si="10"/>
        <v>-16</v>
      </c>
      <c r="Y209" s="11">
        <f>VLOOKUP($G209, SeanRanks!$A$2:$K$303, 10, FALSE)-V209</f>
        <v>-48</v>
      </c>
      <c r="Z209" s="29">
        <f>IF(VLOOKUP($G209, SeanRanks!$A$2:$H$303, 7, FALSE)=0, "", VLOOKUP($G209, SeanRanks!$A$2:$H$303, 7, FALSE))</f>
        <v>21</v>
      </c>
    </row>
    <row r="210" ht="14.25" customHeight="1">
      <c r="A210" s="11"/>
      <c r="B210" s="11" t="str">
        <f t="shared" si="4"/>
        <v>#N/A</v>
      </c>
      <c r="C210" s="11" t="s">
        <v>106</v>
      </c>
      <c r="D210" s="11"/>
      <c r="E210" s="11"/>
      <c r="F210" s="11" t="str">
        <f>VLOOKUP(G210, SeanRanks!$A$2:$E$302, 4, FALSE)</f>
        <v/>
      </c>
      <c r="G210" s="11" t="s">
        <v>905</v>
      </c>
      <c r="H210" s="11" t="str">
        <f>VLOOKUP($G210, 'ADP Data'!$C$4:$Q$300, 2, FALSE)</f>
        <v>#N/A</v>
      </c>
      <c r="I210" s="11" t="str">
        <f>VLOOKUP(G210, 'ADP Data'!$C$4:$R$498, 12, FALSE)</f>
        <v>#N/A</v>
      </c>
      <c r="J210" s="11" t="str">
        <f>VLOOKUP($G210, SeanRanks!$A$2:$H$303, 5, FALSE)</f>
        <v/>
      </c>
      <c r="K210" s="11" t="str">
        <f>IF(VLOOKUP($G210, SeanRanks!$A$2:$H$303, 6, FALSE)=0, "", VLOOKUP($G210, SeanRanks!$A$2:$H$303, 6, FALSE))</f>
        <v/>
      </c>
      <c r="L210" s="11">
        <f t="shared" si="5"/>
        <v>16</v>
      </c>
      <c r="M210" s="11" t="str">
        <f>VLOOKUP($G210, 'ADP Data'!$C$4:$Q$300, 9, FALSE)</f>
        <v>#N/A</v>
      </c>
      <c r="N210" s="11" t="str">
        <f t="shared" si="6"/>
        <v>#N/A</v>
      </c>
      <c r="O210" s="11" t="str">
        <f>VLOOKUP($G210, 'ADP Data'!$C$4:$Q$300, 3, FALSE)</f>
        <v>#N/A</v>
      </c>
      <c r="P210" s="11" t="str">
        <f t="shared" si="7"/>
        <v>#N/A</v>
      </c>
      <c r="Q210" s="11" t="str">
        <f>VLOOKUP($G210, 'ADP Data'!$C$4:$Q$300, 4, FALSE)</f>
        <v>#N/A</v>
      </c>
      <c r="R210" s="11" t="str">
        <f>VLOOKUP($G210, 'ADP Data'!$C$4:$Q$300, 5, FALSE)</f>
        <v>#N/A</v>
      </c>
      <c r="S210" s="11" t="str">
        <f>VLOOKUP($G210, 'ADP Data'!$C$4:$Q$300, 6, FALSE)</f>
        <v>#N/A</v>
      </c>
      <c r="T210" s="11" t="str">
        <f>VLOOKUP($G210, 'ADP Data'!$C$4:$Q$300, 7, FALSE)</f>
        <v>#N/A</v>
      </c>
      <c r="U210" s="11" t="str">
        <f>VLOOKUP($G210, 'ADP Data'!$C$4:$Q$300, 8, FALSE)</f>
        <v>#N/A</v>
      </c>
      <c r="V210" s="11" t="str">
        <f t="shared" si="8"/>
        <v>#N/A</v>
      </c>
      <c r="W210" s="11">
        <f t="shared" si="9"/>
        <v>16</v>
      </c>
      <c r="X210" s="11">
        <f t="shared" si="10"/>
        <v>-16</v>
      </c>
      <c r="Y210" s="11" t="str">
        <f>VLOOKUP($G210, SeanRanks!$A$2:$K$303, 10, FALSE)-V210</f>
        <v>#N/A</v>
      </c>
      <c r="Z210" s="29" t="str">
        <f>IF(VLOOKUP($G210, SeanRanks!$A$2:$H$303, 7, FALSE)=0, "", VLOOKUP($G210, SeanRanks!$A$2:$H$303, 7, FALSE))</f>
        <v/>
      </c>
    </row>
    <row r="211" ht="14.25" customHeight="1">
      <c r="A211" s="11"/>
      <c r="B211" s="11">
        <f t="shared" si="4"/>
        <v>18</v>
      </c>
      <c r="C211" s="11" t="s">
        <v>106</v>
      </c>
      <c r="D211" s="11"/>
      <c r="E211" s="11"/>
      <c r="F211" s="11" t="str">
        <f>VLOOKUP(G211, SeanRanks!$A$2:$E$302, 4, FALSE)</f>
        <v/>
      </c>
      <c r="G211" s="11" t="s">
        <v>925</v>
      </c>
      <c r="H211" s="11" t="str">
        <f>VLOOKUP($G211, 'ADP Data'!$C$4:$Q$300, 2, FALSE)</f>
        <v>NO</v>
      </c>
      <c r="I211" s="11">
        <f>VLOOKUP(G211, 'ADP Data'!$C$4:$R$498, 12, FALSE)</f>
        <v>209</v>
      </c>
      <c r="J211" s="11" t="str">
        <f>VLOOKUP($G211, SeanRanks!$A$2:$H$303, 5, FALSE)</f>
        <v/>
      </c>
      <c r="K211" s="11" t="str">
        <f>IF(VLOOKUP($G211, SeanRanks!$A$2:$H$303, 6, FALSE)=0, "", VLOOKUP($G211, SeanRanks!$A$2:$H$303, 6, FALSE))</f>
        <v/>
      </c>
      <c r="L211" s="11">
        <f t="shared" si="5"/>
        <v>23</v>
      </c>
      <c r="M211" s="11">
        <f>VLOOKUP($G211, 'ADP Data'!$C$4:$Q$300, 9, FALSE)</f>
        <v>266</v>
      </c>
      <c r="N211" s="11">
        <f t="shared" si="6"/>
        <v>47</v>
      </c>
      <c r="O211" s="11">
        <f>VLOOKUP($G211, 'ADP Data'!$C$4:$Q$300, 3, FALSE)</f>
        <v>202</v>
      </c>
      <c r="P211" s="11">
        <f t="shared" si="7"/>
        <v>64</v>
      </c>
      <c r="Q211" s="11" t="str">
        <f>VLOOKUP($G211, 'ADP Data'!$C$4:$Q$300, 4, FALSE)</f>
        <v>-</v>
      </c>
      <c r="R211" s="11">
        <f>VLOOKUP($G211, 'ADP Data'!$C$4:$Q$300, 5, FALSE)</f>
        <v>233</v>
      </c>
      <c r="S211" s="11">
        <f>VLOOKUP($G211, 'ADP Data'!$C$4:$Q$300, 6, FALSE)</f>
        <v>189</v>
      </c>
      <c r="T211" s="11">
        <f>VLOOKUP($G211, 'ADP Data'!$C$4:$Q$300, 7, FALSE)</f>
        <v>206</v>
      </c>
      <c r="U211" s="11" t="str">
        <f>VLOOKUP($G211, 'ADP Data'!$C$4:$Q$300, 8, FALSE)</f>
        <v>-</v>
      </c>
      <c r="V211" s="11">
        <f t="shared" si="8"/>
        <v>219</v>
      </c>
      <c r="W211" s="11">
        <f t="shared" si="9"/>
        <v>19</v>
      </c>
      <c r="X211" s="11">
        <f t="shared" si="10"/>
        <v>-19</v>
      </c>
      <c r="Y211" s="11">
        <f>VLOOKUP($G211, SeanRanks!$A$2:$K$303, 10, FALSE)-V211</f>
        <v>8</v>
      </c>
      <c r="Z211" s="29" t="str">
        <f>IF(VLOOKUP($G211, SeanRanks!$A$2:$H$303, 7, FALSE)=0, "", VLOOKUP($G211, SeanRanks!$A$2:$H$303, 7, FALSE))</f>
        <v/>
      </c>
    </row>
    <row r="212" ht="14.25" customHeight="1">
      <c r="A212" s="11"/>
      <c r="B212" s="11" t="str">
        <f t="shared" si="4"/>
        <v>#N/A</v>
      </c>
      <c r="C212" s="11" t="s">
        <v>106</v>
      </c>
      <c r="D212" s="11"/>
      <c r="E212" s="11"/>
      <c r="F212" s="11" t="str">
        <f>VLOOKUP(G212, SeanRanks!$A$2:$E$302, 4, FALSE)</f>
        <v>#N/A</v>
      </c>
      <c r="G212" s="11" t="s">
        <v>732</v>
      </c>
      <c r="H212" s="11" t="str">
        <f>VLOOKUP($G212, 'ADP Data'!$C$4:$Q$300, 2, FALSE)</f>
        <v>#N/A</v>
      </c>
      <c r="I212" s="11" t="str">
        <f>VLOOKUP(G212, 'ADP Data'!$C$4:$R$498, 12, FALSE)</f>
        <v>#N/A</v>
      </c>
      <c r="J212" s="11" t="str">
        <f>VLOOKUP($G212, SeanRanks!$A$2:$H$303, 5, FALSE)</f>
        <v>#N/A</v>
      </c>
      <c r="K212" s="11" t="str">
        <f>IF(VLOOKUP($G212, SeanRanks!$A$2:$H$303, 6, FALSE)=0, "", VLOOKUP($G212, SeanRanks!$A$2:$H$303, 6, FALSE))</f>
        <v>#N/A</v>
      </c>
      <c r="L212" s="11">
        <f t="shared" si="5"/>
        <v>16</v>
      </c>
      <c r="M212" s="11" t="str">
        <f>VLOOKUP($G212, 'ADP Data'!$C$4:$Q$300, 9, FALSE)</f>
        <v>#N/A</v>
      </c>
      <c r="N212" s="11" t="str">
        <f t="shared" si="6"/>
        <v>#N/A</v>
      </c>
      <c r="O212" s="11" t="str">
        <f>VLOOKUP($G212, 'ADP Data'!$C$4:$Q$300, 3, FALSE)</f>
        <v>#N/A</v>
      </c>
      <c r="P212" s="11" t="str">
        <f t="shared" si="7"/>
        <v>#N/A</v>
      </c>
      <c r="Q212" s="11" t="str">
        <f>VLOOKUP($G212, 'ADP Data'!$C$4:$Q$300, 4, FALSE)</f>
        <v>#N/A</v>
      </c>
      <c r="R212" s="11" t="str">
        <f>VLOOKUP($G212, 'ADP Data'!$C$4:$Q$300, 5, FALSE)</f>
        <v>#N/A</v>
      </c>
      <c r="S212" s="11" t="str">
        <f>VLOOKUP($G212, 'ADP Data'!$C$4:$Q$300, 6, FALSE)</f>
        <v>#N/A</v>
      </c>
      <c r="T212" s="11" t="str">
        <f>VLOOKUP($G212, 'ADP Data'!$C$4:$Q$300, 7, FALSE)</f>
        <v>#N/A</v>
      </c>
      <c r="U212" s="11" t="str">
        <f>VLOOKUP($G212, 'ADP Data'!$C$4:$Q$300, 8, FALSE)</f>
        <v>#N/A</v>
      </c>
      <c r="V212" s="11" t="str">
        <f t="shared" si="8"/>
        <v>#N/A</v>
      </c>
      <c r="W212" s="11">
        <f t="shared" si="9"/>
        <v>16</v>
      </c>
      <c r="X212" s="11">
        <f t="shared" si="10"/>
        <v>-16</v>
      </c>
      <c r="Y212" s="11" t="str">
        <f>VLOOKUP($G212, SeanRanks!$A$2:$K$303, 10, FALSE)-V212</f>
        <v>#N/A</v>
      </c>
      <c r="Z212" s="29" t="str">
        <f>IF(VLOOKUP($G212, SeanRanks!$A$2:$H$303, 7, FALSE)=0, "", VLOOKUP($G212, SeanRanks!$A$2:$H$303, 7, FALSE))</f>
        <v>#N/A</v>
      </c>
    </row>
    <row r="213" ht="14.25" customHeight="1">
      <c r="A213" s="11"/>
      <c r="B213" s="11" t="str">
        <f t="shared" si="4"/>
        <v>#N/A</v>
      </c>
      <c r="C213" s="11" t="s">
        <v>106</v>
      </c>
      <c r="D213" s="11"/>
      <c r="E213" s="11"/>
      <c r="F213" s="11" t="str">
        <f>VLOOKUP(G213, SeanRanks!$A$2:$E$302, 4, FALSE)</f>
        <v>#N/A</v>
      </c>
      <c r="G213" s="11" t="s">
        <v>540</v>
      </c>
      <c r="H213" s="11" t="str">
        <f>VLOOKUP($G213, 'ADP Data'!$C$4:$Q$300, 2, FALSE)</f>
        <v>#N/A</v>
      </c>
      <c r="I213" s="11" t="str">
        <f>VLOOKUP(G213, 'ADP Data'!$C$4:$R$498, 12, FALSE)</f>
        <v>#N/A</v>
      </c>
      <c r="J213" s="11" t="str">
        <f>VLOOKUP($G213, SeanRanks!$A$2:$H$303, 5, FALSE)</f>
        <v>#N/A</v>
      </c>
      <c r="K213" s="11" t="str">
        <f>IF(VLOOKUP($G213, SeanRanks!$A$2:$H$303, 6, FALSE)=0, "", VLOOKUP($G213, SeanRanks!$A$2:$H$303, 6, FALSE))</f>
        <v>#N/A</v>
      </c>
      <c r="L213" s="11">
        <f t="shared" si="5"/>
        <v>16</v>
      </c>
      <c r="M213" s="11" t="str">
        <f>VLOOKUP($G213, 'ADP Data'!$C$4:$Q$300, 9, FALSE)</f>
        <v>#N/A</v>
      </c>
      <c r="N213" s="11" t="str">
        <f t="shared" si="6"/>
        <v>#N/A</v>
      </c>
      <c r="O213" s="11" t="str">
        <f>VLOOKUP($G213, 'ADP Data'!$C$4:$Q$300, 3, FALSE)</f>
        <v>#N/A</v>
      </c>
      <c r="P213" s="11" t="str">
        <f t="shared" si="7"/>
        <v>#N/A</v>
      </c>
      <c r="Q213" s="11" t="str">
        <f>VLOOKUP($G213, 'ADP Data'!$C$4:$Q$300, 4, FALSE)</f>
        <v>#N/A</v>
      </c>
      <c r="R213" s="11" t="str">
        <f>VLOOKUP($G213, 'ADP Data'!$C$4:$Q$300, 5, FALSE)</f>
        <v>#N/A</v>
      </c>
      <c r="S213" s="11" t="str">
        <f>VLOOKUP($G213, 'ADP Data'!$C$4:$Q$300, 6, FALSE)</f>
        <v>#N/A</v>
      </c>
      <c r="T213" s="11" t="str">
        <f>VLOOKUP($G213, 'ADP Data'!$C$4:$Q$300, 7, FALSE)</f>
        <v>#N/A</v>
      </c>
      <c r="U213" s="11" t="str">
        <f>VLOOKUP($G213, 'ADP Data'!$C$4:$Q$300, 8, FALSE)</f>
        <v>#N/A</v>
      </c>
      <c r="V213" s="11" t="str">
        <f t="shared" si="8"/>
        <v>#N/A</v>
      </c>
      <c r="W213" s="11">
        <f t="shared" si="9"/>
        <v>16</v>
      </c>
      <c r="X213" s="11">
        <f t="shared" si="10"/>
        <v>-16</v>
      </c>
      <c r="Y213" s="11" t="str">
        <f>VLOOKUP($G213, SeanRanks!$A$2:$K$303, 10, FALSE)-V213</f>
        <v>#N/A</v>
      </c>
      <c r="Z213" s="29" t="str">
        <f>IF(VLOOKUP($G213, SeanRanks!$A$2:$H$303, 7, FALSE)=0, "", VLOOKUP($G213, SeanRanks!$A$2:$H$303, 7, FALSE))</f>
        <v>#N/A</v>
      </c>
    </row>
    <row r="214" ht="14.25" customHeight="1">
      <c r="A214" s="11"/>
      <c r="B214" s="11">
        <f t="shared" si="4"/>
        <v>8</v>
      </c>
      <c r="C214" s="11" t="s">
        <v>106</v>
      </c>
      <c r="D214" s="11"/>
      <c r="E214" s="11"/>
      <c r="F214" s="11" t="str">
        <f>VLOOKUP(G214, SeanRanks!$A$2:$E$302, 4, FALSE)</f>
        <v/>
      </c>
      <c r="G214" s="11" t="s">
        <v>435</v>
      </c>
      <c r="H214" s="11" t="str">
        <f>VLOOKUP($G214, 'ADP Data'!$C$4:$Q$300, 2, FALSE)</f>
        <v>NYG</v>
      </c>
      <c r="I214" s="11">
        <f>VLOOKUP(G214, 'ADP Data'!$C$4:$R$498, 12, FALSE)</f>
        <v>88</v>
      </c>
      <c r="J214" s="11" t="str">
        <f>VLOOKUP($G214, SeanRanks!$A$2:$H$303, 5, FALSE)</f>
        <v/>
      </c>
      <c r="K214" s="11" t="str">
        <f>IF(VLOOKUP($G214, SeanRanks!$A$2:$H$303, 6, FALSE)=0, "", VLOOKUP($G214, SeanRanks!$A$2:$H$303, 6, FALSE))</f>
        <v>RB3 - 2 - low ceiling</v>
      </c>
      <c r="L214" s="11">
        <f t="shared" si="5"/>
        <v>7</v>
      </c>
      <c r="M214" s="11">
        <f>VLOOKUP($G214, 'ADP Data'!$C$4:$Q$300, 9, FALSE)</f>
        <v>82</v>
      </c>
      <c r="N214" s="11">
        <f t="shared" si="6"/>
        <v>-1</v>
      </c>
      <c r="O214" s="11">
        <f>VLOOKUP($G214, 'ADP Data'!$C$4:$Q$300, 3, FALSE)</f>
        <v>70</v>
      </c>
      <c r="P214" s="11">
        <f t="shared" si="7"/>
        <v>12</v>
      </c>
      <c r="Q214" s="11">
        <f>VLOOKUP($G214, 'ADP Data'!$C$4:$Q$300, 4, FALSE)</f>
        <v>81</v>
      </c>
      <c r="R214" s="11">
        <f>VLOOKUP($G214, 'ADP Data'!$C$4:$Q$300, 5, FALSE)</f>
        <v>90</v>
      </c>
      <c r="S214" s="11">
        <f>VLOOKUP($G214, 'ADP Data'!$C$4:$Q$300, 6, FALSE)</f>
        <v>80</v>
      </c>
      <c r="T214" s="11">
        <f>VLOOKUP($G214, 'ADP Data'!$C$4:$Q$300, 7, FALSE)</f>
        <v>81</v>
      </c>
      <c r="U214" s="11">
        <f>VLOOKUP($G214, 'ADP Data'!$C$4:$Q$300, 8, FALSE)</f>
        <v>101</v>
      </c>
      <c r="V214" s="11">
        <f t="shared" si="8"/>
        <v>83</v>
      </c>
      <c r="W214" s="11">
        <f t="shared" si="9"/>
        <v>7</v>
      </c>
      <c r="X214" s="11">
        <f t="shared" si="10"/>
        <v>-7</v>
      </c>
      <c r="Y214" s="11">
        <f>VLOOKUP($G214, SeanRanks!$A$2:$K$303, 10, FALSE)-V214</f>
        <v>-16</v>
      </c>
      <c r="Z214" s="29">
        <f>IF(VLOOKUP($G214, SeanRanks!$A$2:$H$303, 7, FALSE)=0, "", VLOOKUP($G214, SeanRanks!$A$2:$H$303, 7, FALSE))</f>
        <v>34</v>
      </c>
    </row>
    <row r="215" ht="14.25" customHeight="1">
      <c r="A215" s="11"/>
      <c r="B215" s="11">
        <f t="shared" si="4"/>
        <v>23</v>
      </c>
      <c r="C215" s="11" t="s">
        <v>106</v>
      </c>
      <c r="D215" s="11"/>
      <c r="E215" s="11"/>
      <c r="F215" s="11" t="str">
        <f>VLOOKUP(G215, SeanRanks!$A$2:$E$302, 4, FALSE)</f>
        <v/>
      </c>
      <c r="G215" s="11" t="s">
        <v>411</v>
      </c>
      <c r="H215" s="11" t="str">
        <f>VLOOKUP($G215, 'ADP Data'!$C$4:$Q$300, 2, FALSE)</f>
        <v>IND</v>
      </c>
      <c r="I215" s="11">
        <f>VLOOKUP(G215, 'ADP Data'!$C$4:$R$498, 12, FALSE)</f>
        <v>188</v>
      </c>
      <c r="J215" s="11" t="str">
        <f>VLOOKUP($G215, SeanRanks!$A$2:$H$303, 5, FALSE)</f>
        <v>Yes</v>
      </c>
      <c r="K215" s="11" t="str">
        <f>IF(VLOOKUP($G215, SeanRanks!$A$2:$H$303, 6, FALSE)=0, "", VLOOKUP($G215, SeanRanks!$A$2:$H$303, 6, FALSE))</f>
        <v>Fine very late round pick</v>
      </c>
      <c r="L215" s="11">
        <f t="shared" si="5"/>
        <v>24</v>
      </c>
      <c r="M215" s="11">
        <f>VLOOKUP($G215, 'ADP Data'!$C$4:$Q$300, 9, FALSE)</f>
        <v>277</v>
      </c>
      <c r="N215" s="11">
        <f t="shared" si="6"/>
        <v>24</v>
      </c>
      <c r="O215" s="11">
        <f>VLOOKUP($G215, 'ADP Data'!$C$4:$Q$300, 3, FALSE)</f>
        <v>156</v>
      </c>
      <c r="P215" s="11">
        <f t="shared" si="7"/>
        <v>121</v>
      </c>
      <c r="Q215" s="11" t="str">
        <f>VLOOKUP($G215, 'ADP Data'!$C$4:$Q$300, 4, FALSE)</f>
        <v>-</v>
      </c>
      <c r="R215" s="11">
        <f>VLOOKUP($G215, 'ADP Data'!$C$4:$Q$300, 5, FALSE)</f>
        <v>310</v>
      </c>
      <c r="S215" s="11">
        <f>VLOOKUP($G215, 'ADP Data'!$C$4:$Q$300, 6, FALSE)</f>
        <v>231</v>
      </c>
      <c r="T215" s="11">
        <f>VLOOKUP($G215, 'ADP Data'!$C$4:$Q$300, 7, FALSE)</f>
        <v>236</v>
      </c>
      <c r="U215" s="11">
        <f>VLOOKUP($G215, 'ADP Data'!$C$4:$Q$300, 8, FALSE)</f>
        <v>310</v>
      </c>
      <c r="V215" s="11">
        <f t="shared" si="8"/>
        <v>253</v>
      </c>
      <c r="W215" s="11">
        <f t="shared" si="9"/>
        <v>22</v>
      </c>
      <c r="X215" s="11">
        <f t="shared" si="10"/>
        <v>-22</v>
      </c>
      <c r="Y215" s="11">
        <f>VLOOKUP($G215, SeanRanks!$A$2:$K$303, 10, FALSE)-V215</f>
        <v>-8</v>
      </c>
      <c r="Z215" s="29">
        <f>IF(VLOOKUP($G215, SeanRanks!$A$2:$H$303, 7, FALSE)=0, "", VLOOKUP($G215, SeanRanks!$A$2:$H$303, 7, FALSE))</f>
        <v>25</v>
      </c>
    </row>
    <row r="216" ht="14.25" customHeight="1">
      <c r="A216" s="11"/>
      <c r="B216" s="11">
        <f t="shared" si="4"/>
        <v>22</v>
      </c>
      <c r="C216" s="11" t="s">
        <v>106</v>
      </c>
      <c r="D216" s="11"/>
      <c r="E216" s="11"/>
      <c r="F216" s="11" t="str">
        <f>VLOOKUP(G216, SeanRanks!$A$2:$E$302, 4, FALSE)</f>
        <v/>
      </c>
      <c r="G216" s="11" t="s">
        <v>918</v>
      </c>
      <c r="H216" s="11" t="str">
        <f>VLOOKUP($G216, 'ADP Data'!$C$4:$Q$300, 2, FALSE)</f>
        <v>IND</v>
      </c>
      <c r="I216" s="11" t="str">
        <f>VLOOKUP(G216, 'ADP Data'!$C$4:$R$498, 12, FALSE)</f>
        <v>-</v>
      </c>
      <c r="J216" s="11" t="str">
        <f>VLOOKUP($G216, SeanRanks!$A$2:$H$303, 5, FALSE)</f>
        <v/>
      </c>
      <c r="K216" s="11" t="str">
        <f>IF(VLOOKUP($G216, SeanRanks!$A$2:$H$303, 6, FALSE)=0, "", VLOOKUP($G216, SeanRanks!$A$2:$H$303, 6, FALSE))</f>
        <v/>
      </c>
      <c r="L216" s="11">
        <f t="shared" si="5"/>
        <v>25</v>
      </c>
      <c r="M216" s="11">
        <f>VLOOKUP($G216, 'ADP Data'!$C$4:$Q$300, 9, FALSE)</f>
        <v>290</v>
      </c>
      <c r="N216" s="11">
        <f t="shared" si="6"/>
        <v>29</v>
      </c>
      <c r="O216" s="11" t="str">
        <f>VLOOKUP($G216, 'ADP Data'!$C$4:$Q$300, 3, FALSE)</f>
        <v>-</v>
      </c>
      <c r="P216" s="11" t="str">
        <f t="shared" si="7"/>
        <v>#VALUE!</v>
      </c>
      <c r="Q216" s="11">
        <f>VLOOKUP($G216, 'ADP Data'!$C$4:$Q$300, 4, FALSE)</f>
        <v>180</v>
      </c>
      <c r="R216" s="11" t="str">
        <f>VLOOKUP($G216, 'ADP Data'!$C$4:$Q$300, 5, FALSE)</f>
        <v>-</v>
      </c>
      <c r="S216" s="11">
        <f>VLOOKUP($G216, 'ADP Data'!$C$4:$Q$300, 6, FALSE)</f>
        <v>331</v>
      </c>
      <c r="T216" s="11">
        <f>VLOOKUP($G216, 'ADP Data'!$C$4:$Q$300, 7, FALSE)</f>
        <v>271</v>
      </c>
      <c r="U216" s="11">
        <f>VLOOKUP($G216, 'ADP Data'!$C$4:$Q$300, 8, FALSE)</f>
        <v>234</v>
      </c>
      <c r="V216" s="11">
        <f t="shared" si="8"/>
        <v>261</v>
      </c>
      <c r="W216" s="11">
        <f t="shared" si="9"/>
        <v>22</v>
      </c>
      <c r="X216" s="11">
        <f t="shared" si="10"/>
        <v>-22</v>
      </c>
      <c r="Y216" s="11" t="str">
        <f>VLOOKUP($G216, SeanRanks!$A$2:$K$303, 10, FALSE)-V216</f>
        <v>#VALUE!</v>
      </c>
      <c r="Z216" s="29" t="str">
        <f>IF(VLOOKUP($G216, SeanRanks!$A$2:$H$303, 7, FALSE)=0, "", VLOOKUP($G216, SeanRanks!$A$2:$H$303, 7, FALSE))</f>
        <v/>
      </c>
    </row>
    <row r="217" ht="14.25" customHeight="1">
      <c r="A217" s="11"/>
      <c r="B217" s="11">
        <f t="shared" si="4"/>
        <v>14</v>
      </c>
      <c r="C217" s="11" t="s">
        <v>106</v>
      </c>
      <c r="D217" s="11"/>
      <c r="E217" s="11"/>
      <c r="F217" s="11" t="str">
        <f>VLOOKUP(G217, SeanRanks!$A$2:$E$302, 4, FALSE)</f>
        <v/>
      </c>
      <c r="G217" s="11" t="s">
        <v>910</v>
      </c>
      <c r="H217" s="11" t="str">
        <f>VLOOKUP($G217, 'ADP Data'!$C$4:$Q$300, 2, FALSE)</f>
        <v>PIT</v>
      </c>
      <c r="I217" s="11">
        <f>VLOOKUP(G217, 'ADP Data'!$C$4:$R$498, 12, FALSE)</f>
        <v>189</v>
      </c>
      <c r="J217" s="11" t="str">
        <f>VLOOKUP($G217, SeanRanks!$A$2:$H$303, 5, FALSE)</f>
        <v/>
      </c>
      <c r="K217" s="11" t="str">
        <f>IF(VLOOKUP($G217, SeanRanks!$A$2:$H$303, 6, FALSE)=0, "", VLOOKUP($G217, SeanRanks!$A$2:$H$303, 6, FALSE))</f>
        <v/>
      </c>
      <c r="L217" s="11">
        <f t="shared" si="5"/>
        <v>10</v>
      </c>
      <c r="M217" s="11">
        <f>VLOOKUP($G217, 'ADP Data'!$C$4:$Q$300, 9, FALSE)</f>
        <v>110</v>
      </c>
      <c r="N217" s="11">
        <f t="shared" si="6"/>
        <v>-47</v>
      </c>
      <c r="O217" s="11">
        <f>VLOOKUP($G217, 'ADP Data'!$C$4:$Q$300, 3, FALSE)</f>
        <v>183</v>
      </c>
      <c r="P217" s="11">
        <f t="shared" si="7"/>
        <v>-73</v>
      </c>
      <c r="Q217" s="11">
        <f>VLOOKUP($G217, 'ADP Data'!$C$4:$Q$300, 4, FALSE)</f>
        <v>186</v>
      </c>
      <c r="R217" s="11">
        <f>VLOOKUP($G217, 'ADP Data'!$C$4:$Q$300, 5, FALSE)</f>
        <v>203</v>
      </c>
      <c r="S217" s="11">
        <f>VLOOKUP($G217, 'ADP Data'!$C$4:$Q$300, 6, FALSE)</f>
        <v>161</v>
      </c>
      <c r="T217" s="11">
        <f>VLOOKUP($G217, 'ADP Data'!$C$4:$Q$300, 7, FALSE)</f>
        <v>169</v>
      </c>
      <c r="U217" s="11">
        <f>VLOOKUP($G217, 'ADP Data'!$C$4:$Q$300, 8, FALSE)</f>
        <v>91</v>
      </c>
      <c r="V217" s="11">
        <f t="shared" si="8"/>
        <v>157</v>
      </c>
      <c r="W217" s="11">
        <f t="shared" si="9"/>
        <v>14</v>
      </c>
      <c r="X217" s="11">
        <f t="shared" si="10"/>
        <v>-14</v>
      </c>
      <c r="Y217" s="11">
        <f>VLOOKUP($G217, SeanRanks!$A$2:$K$303, 10, FALSE)-V217</f>
        <v>3</v>
      </c>
      <c r="Z217" s="29" t="str">
        <f>IF(VLOOKUP($G217, SeanRanks!$A$2:$H$303, 7, FALSE)=0, "", VLOOKUP($G217, SeanRanks!$A$2:$H$303, 7, FALSE))</f>
        <v/>
      </c>
    </row>
    <row r="218" ht="14.25" customHeight="1">
      <c r="A218" s="11"/>
      <c r="B218" s="11" t="str">
        <f t="shared" si="4"/>
        <v>#N/A</v>
      </c>
      <c r="C218" s="11" t="s">
        <v>106</v>
      </c>
      <c r="D218" s="11"/>
      <c r="E218" s="11"/>
      <c r="F218" s="11" t="str">
        <f>VLOOKUP(G218, SeanRanks!$A$2:$E$302, 4, FALSE)</f>
        <v>#N/A</v>
      </c>
      <c r="G218" s="11" t="s">
        <v>916</v>
      </c>
      <c r="H218" s="11" t="str">
        <f>VLOOKUP($G218, 'ADP Data'!$C$4:$Q$300, 2, FALSE)</f>
        <v>#N/A</v>
      </c>
      <c r="I218" s="11" t="str">
        <f>VLOOKUP(G218, 'ADP Data'!$C$4:$R$498, 12, FALSE)</f>
        <v>#N/A</v>
      </c>
      <c r="J218" s="11" t="str">
        <f>VLOOKUP($G218, SeanRanks!$A$2:$H$303, 5, FALSE)</f>
        <v>#N/A</v>
      </c>
      <c r="K218" s="11" t="str">
        <f>IF(VLOOKUP($G218, SeanRanks!$A$2:$H$303, 6, FALSE)=0, "", VLOOKUP($G218, SeanRanks!$A$2:$H$303, 6, FALSE))</f>
        <v>#N/A</v>
      </c>
      <c r="L218" s="11">
        <f t="shared" si="5"/>
        <v>16</v>
      </c>
      <c r="M218" s="11" t="str">
        <f>VLOOKUP($G218, 'ADP Data'!$C$4:$Q$300, 9, FALSE)</f>
        <v>#N/A</v>
      </c>
      <c r="N218" s="11" t="str">
        <f t="shared" si="6"/>
        <v>#N/A</v>
      </c>
      <c r="O218" s="11" t="str">
        <f>VLOOKUP($G218, 'ADP Data'!$C$4:$Q$300, 3, FALSE)</f>
        <v>#N/A</v>
      </c>
      <c r="P218" s="11" t="str">
        <f t="shared" si="7"/>
        <v>#N/A</v>
      </c>
      <c r="Q218" s="11" t="str">
        <f>VLOOKUP($G218, 'ADP Data'!$C$4:$Q$300, 4, FALSE)</f>
        <v>#N/A</v>
      </c>
      <c r="R218" s="11" t="str">
        <f>VLOOKUP($G218, 'ADP Data'!$C$4:$Q$300, 5, FALSE)</f>
        <v>#N/A</v>
      </c>
      <c r="S218" s="11" t="str">
        <f>VLOOKUP($G218, 'ADP Data'!$C$4:$Q$300, 6, FALSE)</f>
        <v>#N/A</v>
      </c>
      <c r="T218" s="11" t="str">
        <f>VLOOKUP($G218, 'ADP Data'!$C$4:$Q$300, 7, FALSE)</f>
        <v>#N/A</v>
      </c>
      <c r="U218" s="11" t="str">
        <f>VLOOKUP($G218, 'ADP Data'!$C$4:$Q$300, 8, FALSE)</f>
        <v>#N/A</v>
      </c>
      <c r="V218" s="11" t="str">
        <f t="shared" si="8"/>
        <v>#N/A</v>
      </c>
      <c r="W218" s="11">
        <f t="shared" si="9"/>
        <v>16</v>
      </c>
      <c r="X218" s="11">
        <f t="shared" si="10"/>
        <v>-16</v>
      </c>
      <c r="Y218" s="11" t="str">
        <f>VLOOKUP($G218, SeanRanks!$A$2:$K$303, 10, FALSE)-V218</f>
        <v>#N/A</v>
      </c>
      <c r="Z218" s="29" t="str">
        <f>IF(VLOOKUP($G218, SeanRanks!$A$2:$H$303, 7, FALSE)=0, "", VLOOKUP($G218, SeanRanks!$A$2:$H$303, 7, FALSE))</f>
        <v>#N/A</v>
      </c>
    </row>
    <row r="219" ht="14.25" customHeight="1">
      <c r="A219" s="11"/>
      <c r="B219" s="11">
        <f t="shared" si="4"/>
        <v>20</v>
      </c>
      <c r="C219" s="11" t="s">
        <v>106</v>
      </c>
      <c r="D219" s="11"/>
      <c r="E219" s="11"/>
      <c r="F219" s="11" t="str">
        <f>VLOOKUP(G219, SeanRanks!$A$2:$E$302, 4, FALSE)</f>
        <v/>
      </c>
      <c r="G219" s="11" t="s">
        <v>917</v>
      </c>
      <c r="H219" s="11" t="str">
        <f>VLOOKUP($G219, 'ADP Data'!$C$4:$Q$300, 2, FALSE)</f>
        <v>CHI</v>
      </c>
      <c r="I219" s="11">
        <f>VLOOKUP(G219, 'ADP Data'!$C$4:$R$498, 12, FALSE)</f>
        <v>220</v>
      </c>
      <c r="J219" s="11" t="str">
        <f>VLOOKUP($G219, SeanRanks!$A$2:$H$303, 5, FALSE)</f>
        <v/>
      </c>
      <c r="K219" s="11" t="str">
        <f>IF(VLOOKUP($G219, SeanRanks!$A$2:$H$303, 6, FALSE)=0, "", VLOOKUP($G219, SeanRanks!$A$2:$H$303, 6, FALSE))</f>
        <v/>
      </c>
      <c r="L219" s="11">
        <f t="shared" si="5"/>
        <v>17</v>
      </c>
      <c r="M219" s="11">
        <f>VLOOKUP($G219, 'ADP Data'!$C$4:$Q$300, 9, FALSE)</f>
        <v>203</v>
      </c>
      <c r="N219" s="11">
        <f t="shared" si="6"/>
        <v>-25</v>
      </c>
      <c r="O219" s="11">
        <f>VLOOKUP($G219, 'ADP Data'!$C$4:$Q$300, 3, FALSE)</f>
        <v>213</v>
      </c>
      <c r="P219" s="11">
        <f t="shared" si="7"/>
        <v>-10</v>
      </c>
      <c r="Q219" s="11" t="str">
        <f>VLOOKUP($G219, 'ADP Data'!$C$4:$Q$300, 4, FALSE)</f>
        <v>-</v>
      </c>
      <c r="R219" s="11">
        <f>VLOOKUP($G219, 'ADP Data'!$C$4:$Q$300, 5, FALSE)</f>
        <v>275</v>
      </c>
      <c r="S219" s="11">
        <f>VLOOKUP($G219, 'ADP Data'!$C$4:$Q$300, 6, FALSE)</f>
        <v>186</v>
      </c>
      <c r="T219" s="11">
        <f>VLOOKUP($G219, 'ADP Data'!$C$4:$Q$300, 7, FALSE)</f>
        <v>188</v>
      </c>
      <c r="U219" s="11">
        <f>VLOOKUP($G219, 'ADP Data'!$C$4:$Q$300, 8, FALSE)</f>
        <v>304</v>
      </c>
      <c r="V219" s="11">
        <f t="shared" si="8"/>
        <v>228</v>
      </c>
      <c r="W219" s="11">
        <f t="shared" si="9"/>
        <v>20</v>
      </c>
      <c r="X219" s="11">
        <f t="shared" si="10"/>
        <v>-20</v>
      </c>
      <c r="Y219" s="11">
        <f>VLOOKUP($G219, SeanRanks!$A$2:$K$303, 10, FALSE)-V219</f>
        <v>-57</v>
      </c>
      <c r="Z219" s="29" t="str">
        <f>IF(VLOOKUP($G219, SeanRanks!$A$2:$H$303, 7, FALSE)=0, "", VLOOKUP($G219, SeanRanks!$A$2:$H$303, 7, FALSE))</f>
        <v/>
      </c>
    </row>
    <row r="220" ht="14.25" customHeight="1">
      <c r="A220" s="11"/>
      <c r="B220" s="11" t="str">
        <f t="shared" si="4"/>
        <v>#N/A</v>
      </c>
      <c r="C220" s="11" t="s">
        <v>106</v>
      </c>
      <c r="D220" s="11"/>
      <c r="E220" s="11"/>
      <c r="F220" s="11" t="str">
        <f>VLOOKUP(G220, SeanRanks!$A$2:$E$302, 4, FALSE)</f>
        <v>#N/A</v>
      </c>
      <c r="G220" s="11" t="s">
        <v>927</v>
      </c>
      <c r="H220" s="11" t="str">
        <f>VLOOKUP($G220, 'ADP Data'!$C$4:$Q$300, 2, FALSE)</f>
        <v>#N/A</v>
      </c>
      <c r="I220" s="11" t="str">
        <f>VLOOKUP(G220, 'ADP Data'!$C$4:$R$498, 12, FALSE)</f>
        <v>#N/A</v>
      </c>
      <c r="J220" s="11" t="str">
        <f>VLOOKUP($G220, SeanRanks!$A$2:$H$303, 5, FALSE)</f>
        <v>#N/A</v>
      </c>
      <c r="K220" s="11" t="str">
        <f>IF(VLOOKUP($G220, SeanRanks!$A$2:$H$303, 6, FALSE)=0, "", VLOOKUP($G220, SeanRanks!$A$2:$H$303, 6, FALSE))</f>
        <v>#N/A</v>
      </c>
      <c r="L220" s="11">
        <f t="shared" si="5"/>
        <v>16</v>
      </c>
      <c r="M220" s="11" t="str">
        <f>VLOOKUP($G220, 'ADP Data'!$C$4:$Q$300, 9, FALSE)</f>
        <v>#N/A</v>
      </c>
      <c r="N220" s="11" t="str">
        <f t="shared" si="6"/>
        <v>#N/A</v>
      </c>
      <c r="O220" s="11" t="str">
        <f>VLOOKUP($G220, 'ADP Data'!$C$4:$Q$300, 3, FALSE)</f>
        <v>#N/A</v>
      </c>
      <c r="P220" s="11" t="str">
        <f t="shared" si="7"/>
        <v>#N/A</v>
      </c>
      <c r="Q220" s="11" t="str">
        <f>VLOOKUP($G220, 'ADP Data'!$C$4:$Q$300, 4, FALSE)</f>
        <v>#N/A</v>
      </c>
      <c r="R220" s="11" t="str">
        <f>VLOOKUP($G220, 'ADP Data'!$C$4:$Q$300, 5, FALSE)</f>
        <v>#N/A</v>
      </c>
      <c r="S220" s="11" t="str">
        <f>VLOOKUP($G220, 'ADP Data'!$C$4:$Q$300, 6, FALSE)</f>
        <v>#N/A</v>
      </c>
      <c r="T220" s="11" t="str">
        <f>VLOOKUP($G220, 'ADP Data'!$C$4:$Q$300, 7, FALSE)</f>
        <v>#N/A</v>
      </c>
      <c r="U220" s="11" t="str">
        <f>VLOOKUP($G220, 'ADP Data'!$C$4:$Q$300, 8, FALSE)</f>
        <v>#N/A</v>
      </c>
      <c r="V220" s="11" t="str">
        <f t="shared" si="8"/>
        <v>#N/A</v>
      </c>
      <c r="W220" s="11">
        <f t="shared" si="9"/>
        <v>16</v>
      </c>
      <c r="X220" s="11">
        <f t="shared" si="10"/>
        <v>-16</v>
      </c>
      <c r="Y220" s="11" t="str">
        <f>VLOOKUP($G220, SeanRanks!$A$2:$K$303, 10, FALSE)-V220</f>
        <v>#N/A</v>
      </c>
      <c r="Z220" s="29" t="str">
        <f>IF(VLOOKUP($G220, SeanRanks!$A$2:$H$303, 7, FALSE)=0, "", VLOOKUP($G220, SeanRanks!$A$2:$H$303, 7, FALSE))</f>
        <v>#N/A</v>
      </c>
    </row>
    <row r="221" ht="14.25" customHeight="1">
      <c r="A221" s="11"/>
      <c r="B221" s="11">
        <f t="shared" si="4"/>
        <v>19</v>
      </c>
      <c r="C221" s="11" t="s">
        <v>106</v>
      </c>
      <c r="D221" s="11"/>
      <c r="E221" s="11"/>
      <c r="F221" s="11" t="str">
        <f>VLOOKUP(G221, SeanRanks!$A$2:$E$302, 4, FALSE)</f>
        <v/>
      </c>
      <c r="G221" s="11" t="s">
        <v>915</v>
      </c>
      <c r="H221" s="11" t="str">
        <f>VLOOKUP($G221, 'ADP Data'!$C$4:$Q$300, 2, FALSE)</f>
        <v>TB</v>
      </c>
      <c r="I221" s="11" t="str">
        <f>VLOOKUP(G221, 'ADP Data'!$C$4:$R$498, 12, FALSE)</f>
        <v>-</v>
      </c>
      <c r="J221" s="11" t="str">
        <f>VLOOKUP($G221, SeanRanks!$A$2:$H$303, 5, FALSE)</f>
        <v/>
      </c>
      <c r="K221" s="11" t="str">
        <f>IF(VLOOKUP($G221, SeanRanks!$A$2:$H$303, 6, FALSE)=0, "", VLOOKUP($G221, SeanRanks!$A$2:$H$303, 6, FALSE))</f>
        <v/>
      </c>
      <c r="L221" s="11">
        <f t="shared" si="5"/>
        <v>16</v>
      </c>
      <c r="M221" s="11">
        <f>VLOOKUP($G221, 'ADP Data'!$C$4:$Q$300, 9, FALSE)</f>
        <v>184</v>
      </c>
      <c r="N221" s="11">
        <f t="shared" si="6"/>
        <v>-36</v>
      </c>
      <c r="O221" s="11" t="str">
        <f>VLOOKUP($G221, 'ADP Data'!$C$4:$Q$300, 3, FALSE)</f>
        <v>-</v>
      </c>
      <c r="P221" s="11" t="str">
        <f t="shared" si="7"/>
        <v>#VALUE!</v>
      </c>
      <c r="Q221" s="11">
        <f>VLOOKUP($G221, 'ADP Data'!$C$4:$Q$300, 4, FALSE)</f>
        <v>202</v>
      </c>
      <c r="R221" s="11">
        <f>VLOOKUP($G221, 'ADP Data'!$C$4:$Q$300, 5, FALSE)</f>
        <v>228</v>
      </c>
      <c r="S221" s="11">
        <f>VLOOKUP($G221, 'ADP Data'!$C$4:$Q$300, 6, FALSE)</f>
        <v>317</v>
      </c>
      <c r="T221" s="11">
        <f>VLOOKUP($G221, 'ADP Data'!$C$4:$Q$300, 7, FALSE)</f>
        <v>254</v>
      </c>
      <c r="U221" s="11">
        <f>VLOOKUP($G221, 'ADP Data'!$C$4:$Q$300, 8, FALSE)</f>
        <v>138</v>
      </c>
      <c r="V221" s="11">
        <f t="shared" si="8"/>
        <v>220</v>
      </c>
      <c r="W221" s="11">
        <f t="shared" si="9"/>
        <v>19</v>
      </c>
      <c r="X221" s="11">
        <f t="shared" si="10"/>
        <v>-19</v>
      </c>
      <c r="Y221" s="11" t="str">
        <f>VLOOKUP($G221, SeanRanks!$A$2:$K$303, 10, FALSE)-V221</f>
        <v>#VALUE!</v>
      </c>
      <c r="Z221" s="29" t="str">
        <f>IF(VLOOKUP($G221, SeanRanks!$A$2:$H$303, 7, FALSE)=0, "", VLOOKUP($G221, SeanRanks!$A$2:$H$303, 7, FALSE))</f>
        <v/>
      </c>
    </row>
    <row r="222" ht="14.25" customHeight="1">
      <c r="A222" s="11"/>
      <c r="B222" s="11">
        <f t="shared" si="4"/>
        <v>21</v>
      </c>
      <c r="C222" s="11" t="s">
        <v>106</v>
      </c>
      <c r="D222" s="11"/>
      <c r="E222" s="11"/>
      <c r="F222" s="11" t="str">
        <f>VLOOKUP(G222, SeanRanks!$A$2:$E$302, 4, FALSE)</f>
        <v/>
      </c>
      <c r="G222" s="11" t="s">
        <v>921</v>
      </c>
      <c r="H222" s="11" t="str">
        <f>VLOOKUP($G222, 'ADP Data'!$C$4:$Q$300, 2, FALSE)</f>
        <v>NYG</v>
      </c>
      <c r="I222" s="11">
        <f>VLOOKUP(G222, 'ADP Data'!$C$4:$R$498, 12, FALSE)</f>
        <v>217</v>
      </c>
      <c r="J222" s="11" t="str">
        <f>VLOOKUP($G222, SeanRanks!$A$2:$H$303, 5, FALSE)</f>
        <v/>
      </c>
      <c r="K222" s="11" t="str">
        <f>IF(VLOOKUP($G222, SeanRanks!$A$2:$H$303, 6, FALSE)=0, "", VLOOKUP($G222, SeanRanks!$A$2:$H$303, 6, FALSE))</f>
        <v/>
      </c>
      <c r="L222" s="11">
        <f t="shared" si="5"/>
        <v>23</v>
      </c>
      <c r="M222" s="11">
        <f>VLOOKUP($G222, 'ADP Data'!$C$4:$Q$300, 9, FALSE)</f>
        <v>265</v>
      </c>
      <c r="N222" s="11">
        <f t="shared" si="6"/>
        <v>20</v>
      </c>
      <c r="O222" s="11" t="str">
        <f>VLOOKUP($G222, 'ADP Data'!$C$4:$Q$300, 3, FALSE)</f>
        <v>-</v>
      </c>
      <c r="P222" s="11" t="str">
        <f t="shared" si="7"/>
        <v>#VALUE!</v>
      </c>
      <c r="Q222" s="11">
        <f>VLOOKUP($G222, 'ADP Data'!$C$4:$Q$300, 4, FALSE)</f>
        <v>239</v>
      </c>
      <c r="R222" s="11">
        <f>VLOOKUP($G222, 'ADP Data'!$C$4:$Q$300, 5, FALSE)</f>
        <v>264</v>
      </c>
      <c r="S222" s="11">
        <f>VLOOKUP($G222, 'ADP Data'!$C$4:$Q$300, 6, FALSE)</f>
        <v>243</v>
      </c>
      <c r="T222" s="11">
        <f>VLOOKUP($G222, 'ADP Data'!$C$4:$Q$300, 7, FALSE)</f>
        <v>238</v>
      </c>
      <c r="U222" s="11">
        <f>VLOOKUP($G222, 'ADP Data'!$C$4:$Q$300, 8, FALSE)</f>
        <v>225</v>
      </c>
      <c r="V222" s="11">
        <f t="shared" si="8"/>
        <v>245</v>
      </c>
      <c r="W222" s="11">
        <f t="shared" si="9"/>
        <v>21</v>
      </c>
      <c r="X222" s="11">
        <f t="shared" si="10"/>
        <v>-21</v>
      </c>
      <c r="Y222" s="11" t="str">
        <f>VLOOKUP($G222, SeanRanks!$A$2:$K$303, 10, FALSE)-V222</f>
        <v>#VALUE!</v>
      </c>
      <c r="Z222" s="29" t="str">
        <f>IF(VLOOKUP($G222, SeanRanks!$A$2:$H$303, 7, FALSE)=0, "", VLOOKUP($G222, SeanRanks!$A$2:$H$303, 7, FALSE))</f>
        <v/>
      </c>
    </row>
    <row r="223" ht="14.25" customHeight="1">
      <c r="A223" s="11"/>
      <c r="B223" s="11">
        <f t="shared" si="4"/>
        <v>21</v>
      </c>
      <c r="C223" s="11" t="s">
        <v>106</v>
      </c>
      <c r="D223" s="11"/>
      <c r="E223" s="11"/>
      <c r="F223" s="11" t="str">
        <f>VLOOKUP(G223, SeanRanks!$A$2:$E$302, 4, FALSE)</f>
        <v/>
      </c>
      <c r="G223" s="11" t="s">
        <v>926</v>
      </c>
      <c r="H223" s="11" t="str">
        <f>VLOOKUP($G223, 'ADP Data'!$C$4:$Q$300, 2, FALSE)</f>
        <v>PIT</v>
      </c>
      <c r="I223" s="11">
        <f>VLOOKUP(G223, 'ADP Data'!$C$4:$R$498, 12, FALSE)</f>
        <v>179</v>
      </c>
      <c r="J223" s="11" t="str">
        <f>VLOOKUP($G223, SeanRanks!$A$2:$H$303, 5, FALSE)</f>
        <v/>
      </c>
      <c r="K223" s="11" t="str">
        <f>IF(VLOOKUP($G223, SeanRanks!$A$2:$H$303, 6, FALSE)=0, "", VLOOKUP($G223, SeanRanks!$A$2:$H$303, 6, FALSE))</f>
        <v/>
      </c>
      <c r="L223" s="11">
        <f t="shared" si="5"/>
        <v>23</v>
      </c>
      <c r="M223" s="11">
        <f>VLOOKUP($G223, 'ADP Data'!$C$4:$Q$300, 9, FALSE)</f>
        <v>269</v>
      </c>
      <c r="N223" s="11">
        <f t="shared" si="6"/>
        <v>17</v>
      </c>
      <c r="O223" s="11" t="str">
        <f>VLOOKUP($G223, 'ADP Data'!$C$4:$Q$300, 3, FALSE)</f>
        <v>-</v>
      </c>
      <c r="P223" s="11" t="str">
        <f t="shared" si="7"/>
        <v>#VALUE!</v>
      </c>
      <c r="Q223" s="11" t="str">
        <f>VLOOKUP($G223, 'ADP Data'!$C$4:$Q$300, 4, FALSE)</f>
        <v>-</v>
      </c>
      <c r="R223" s="11" t="str">
        <f>VLOOKUP($G223, 'ADP Data'!$C$4:$Q$300, 5, FALSE)</f>
        <v>-</v>
      </c>
      <c r="S223" s="11">
        <f>VLOOKUP($G223, 'ADP Data'!$C$4:$Q$300, 6, FALSE)</f>
        <v>242</v>
      </c>
      <c r="T223" s="11">
        <f>VLOOKUP($G223, 'ADP Data'!$C$4:$Q$300, 7, FALSE)</f>
        <v>245</v>
      </c>
      <c r="U223" s="11" t="str">
        <f>VLOOKUP($G223, 'ADP Data'!$C$4:$Q$300, 8, FALSE)</f>
        <v>-</v>
      </c>
      <c r="V223" s="11">
        <f t="shared" si="8"/>
        <v>252</v>
      </c>
      <c r="W223" s="11">
        <f t="shared" si="9"/>
        <v>22</v>
      </c>
      <c r="X223" s="11">
        <f t="shared" si="10"/>
        <v>-22</v>
      </c>
      <c r="Y223" s="11">
        <f>VLOOKUP($G223, SeanRanks!$A$2:$K$303, 10, FALSE)-V223</f>
        <v>-15</v>
      </c>
      <c r="Z223" s="29" t="str">
        <f>IF(VLOOKUP($G223, SeanRanks!$A$2:$H$303, 7, FALSE)=0, "", VLOOKUP($G223, SeanRanks!$A$2:$H$303, 7, FALSE))</f>
        <v/>
      </c>
    </row>
    <row r="224" ht="14.25" customHeight="1">
      <c r="A224" s="11"/>
      <c r="B224" s="11">
        <f t="shared" si="4"/>
        <v>11</v>
      </c>
      <c r="C224" s="11" t="s">
        <v>106</v>
      </c>
      <c r="D224" s="11"/>
      <c r="E224" s="11"/>
      <c r="F224" s="11" t="str">
        <f>VLOOKUP(G224, SeanRanks!$A$2:$E$302, 4, FALSE)</f>
        <v/>
      </c>
      <c r="G224" s="11" t="s">
        <v>210</v>
      </c>
      <c r="H224" s="11" t="str">
        <f>VLOOKUP($G224, 'ADP Data'!$C$4:$Q$300, 2, FALSE)</f>
        <v>NE</v>
      </c>
      <c r="I224" s="11">
        <f>VLOOKUP(G224, 'ADP Data'!$C$4:$R$498, 12, FALSE)</f>
        <v>110</v>
      </c>
      <c r="J224" s="11" t="str">
        <f>VLOOKUP($G224, SeanRanks!$A$2:$H$303, 5, FALSE)</f>
        <v/>
      </c>
      <c r="K224" s="11" t="str">
        <f>IF(VLOOKUP($G224, SeanRanks!$A$2:$H$303, 6, FALSE)=0, "", VLOOKUP($G224, SeanRanks!$A$2:$H$303, 6, FALSE))</f>
        <v>QB2 - 1 - League Winner</v>
      </c>
      <c r="L224" s="11">
        <f t="shared" si="5"/>
        <v>11</v>
      </c>
      <c r="M224" s="11">
        <f>VLOOKUP($G224, 'ADP Data'!$C$4:$Q$300, 9, FALSE)</f>
        <v>127</v>
      </c>
      <c r="N224" s="11">
        <f t="shared" si="6"/>
        <v>1</v>
      </c>
      <c r="O224" s="11">
        <f>VLOOKUP($G224, 'ADP Data'!$C$4:$Q$300, 3, FALSE)</f>
        <v>130</v>
      </c>
      <c r="P224" s="11">
        <f t="shared" si="7"/>
        <v>-3</v>
      </c>
      <c r="Q224" s="11">
        <f>VLOOKUP($G224, 'ADP Data'!$C$4:$Q$300, 4, FALSE)</f>
        <v>124</v>
      </c>
      <c r="R224" s="11">
        <f>VLOOKUP($G224, 'ADP Data'!$C$4:$Q$300, 5, FALSE)</f>
        <v>130</v>
      </c>
      <c r="S224" s="11">
        <f>VLOOKUP($G224, 'ADP Data'!$C$4:$Q$300, 6, FALSE)</f>
        <v>117</v>
      </c>
      <c r="T224" s="11">
        <f>VLOOKUP($G224, 'ADP Data'!$C$4:$Q$300, 7, FALSE)</f>
        <v>114</v>
      </c>
      <c r="U224" s="11">
        <f>VLOOKUP($G224, 'ADP Data'!$C$4:$Q$300, 8, FALSE)</f>
        <v>144</v>
      </c>
      <c r="V224" s="11">
        <f t="shared" si="8"/>
        <v>126</v>
      </c>
      <c r="W224" s="11">
        <f t="shared" si="9"/>
        <v>11</v>
      </c>
      <c r="X224" s="11">
        <f t="shared" si="10"/>
        <v>-11</v>
      </c>
      <c r="Y224" s="11">
        <f>VLOOKUP($G224, SeanRanks!$A$2:$K$303, 10, FALSE)-V224</f>
        <v>-27</v>
      </c>
      <c r="Z224" s="29">
        <f>IF(VLOOKUP($G224, SeanRanks!$A$2:$H$303, 7, FALSE)=0, "", VLOOKUP($G224, SeanRanks!$A$2:$H$303, 7, FALSE))</f>
        <v>14</v>
      </c>
    </row>
    <row r="225" ht="14.25" customHeight="1">
      <c r="A225" s="11"/>
      <c r="B225" s="11">
        <f t="shared" si="4"/>
        <v>18</v>
      </c>
      <c r="C225" s="11" t="s">
        <v>106</v>
      </c>
      <c r="D225" s="11"/>
      <c r="E225" s="11"/>
      <c r="F225" s="11" t="str">
        <f>VLOOKUP(G225, SeanRanks!$A$2:$E$302, 4, FALSE)</f>
        <v/>
      </c>
      <c r="G225" s="11" t="s">
        <v>442</v>
      </c>
      <c r="H225" s="11" t="str">
        <f>VLOOKUP($G225, 'ADP Data'!$C$4:$Q$300, 2, FALSE)</f>
        <v>SEA</v>
      </c>
      <c r="I225" s="11">
        <f>VLOOKUP(G225, 'ADP Data'!$C$4:$R$498, 12, FALSE)</f>
        <v>173</v>
      </c>
      <c r="J225" s="11" t="str">
        <f>VLOOKUP($G225, SeanRanks!$A$2:$H$303, 5, FALSE)</f>
        <v/>
      </c>
      <c r="K225" s="11" t="str">
        <f>IF(VLOOKUP($G225, SeanRanks!$A$2:$H$303, 6, FALSE)=0, "", VLOOKUP($G225, SeanRanks!$A$2:$H$303, 6, FALSE))</f>
        <v>Don’t Draft - Streamer</v>
      </c>
      <c r="L225" s="11">
        <f t="shared" si="5"/>
        <v>19</v>
      </c>
      <c r="M225" s="11">
        <f>VLOOKUP($G225, 'ADP Data'!$C$4:$Q$300, 9, FALSE)</f>
        <v>226</v>
      </c>
      <c r="N225" s="11">
        <f t="shared" si="6"/>
        <v>16</v>
      </c>
      <c r="O225" s="11" t="str">
        <f>VLOOKUP($G225, 'ADP Data'!$C$4:$Q$300, 3, FALSE)</f>
        <v>-</v>
      </c>
      <c r="P225" s="11" t="str">
        <f t="shared" si="7"/>
        <v>#VALUE!</v>
      </c>
      <c r="Q225" s="11">
        <f>VLOOKUP($G225, 'ADP Data'!$C$4:$Q$300, 4, FALSE)</f>
        <v>204</v>
      </c>
      <c r="R225" s="11">
        <f>VLOOKUP($G225, 'ADP Data'!$C$4:$Q$300, 5, FALSE)</f>
        <v>222</v>
      </c>
      <c r="S225" s="11">
        <f>VLOOKUP($G225, 'ADP Data'!$C$4:$Q$300, 6, FALSE)</f>
        <v>213</v>
      </c>
      <c r="T225" s="11">
        <f>VLOOKUP($G225, 'ADP Data'!$C$4:$Q$300, 7, FALSE)</f>
        <v>196</v>
      </c>
      <c r="U225" s="11">
        <f>VLOOKUP($G225, 'ADP Data'!$C$4:$Q$300, 8, FALSE)</f>
        <v>201</v>
      </c>
      <c r="V225" s="11">
        <f t="shared" si="8"/>
        <v>210</v>
      </c>
      <c r="W225" s="11">
        <f t="shared" si="9"/>
        <v>18</v>
      </c>
      <c r="X225" s="11">
        <f t="shared" si="10"/>
        <v>-18</v>
      </c>
      <c r="Y225" s="11">
        <f>VLOOKUP($G225, SeanRanks!$A$2:$K$303, 10, FALSE)-V225</f>
        <v>12</v>
      </c>
      <c r="Z225" s="29" t="str">
        <f>IF(VLOOKUP($G225, SeanRanks!$A$2:$H$303, 7, FALSE)=0, "", VLOOKUP($G225, SeanRanks!$A$2:$H$303, 7, FALSE))</f>
        <v/>
      </c>
    </row>
    <row r="226" ht="14.25" customHeight="1">
      <c r="A226" s="11"/>
      <c r="B226" s="11">
        <f t="shared" si="4"/>
        <v>25</v>
      </c>
      <c r="C226" s="11" t="s">
        <v>106</v>
      </c>
      <c r="D226" s="11"/>
      <c r="E226" s="11"/>
      <c r="F226" s="11" t="str">
        <f>VLOOKUP(G226, SeanRanks!$A$2:$E$302, 4, FALSE)</f>
        <v/>
      </c>
      <c r="G226" s="11" t="s">
        <v>913</v>
      </c>
      <c r="H226" s="11" t="str">
        <f>VLOOKUP($G226, 'ADP Data'!$C$4:$Q$300, 2, FALSE)</f>
        <v>DAL</v>
      </c>
      <c r="I226" s="11">
        <f>VLOOKUP(G226, 'ADP Data'!$C$4:$R$498, 12, FALSE)</f>
        <v>284</v>
      </c>
      <c r="J226" s="11" t="str">
        <f>VLOOKUP($G226, SeanRanks!$A$2:$H$303, 5, FALSE)</f>
        <v/>
      </c>
      <c r="K226" s="11" t="str">
        <f>IF(VLOOKUP($G226, SeanRanks!$A$2:$H$303, 6, FALSE)=0, "", VLOOKUP($G226, SeanRanks!$A$2:$H$303, 6, FALSE))</f>
        <v/>
      </c>
      <c r="L226" s="11">
        <f t="shared" si="5"/>
        <v>27</v>
      </c>
      <c r="M226" s="11">
        <f>VLOOKUP($G226, 'ADP Data'!$C$4:$Q$300, 9, FALSE)</f>
        <v>319</v>
      </c>
      <c r="N226" s="11">
        <f t="shared" si="6"/>
        <v>16</v>
      </c>
      <c r="O226" s="11" t="str">
        <f>VLOOKUP($G226, 'ADP Data'!$C$4:$Q$300, 3, FALSE)</f>
        <v>-</v>
      </c>
      <c r="P226" s="11" t="str">
        <f t="shared" si="7"/>
        <v>#VALUE!</v>
      </c>
      <c r="Q226" s="11" t="str">
        <f>VLOOKUP($G226, 'ADP Data'!$C$4:$Q$300, 4, FALSE)</f>
        <v>-</v>
      </c>
      <c r="R226" s="11" t="str">
        <f>VLOOKUP($G226, 'ADP Data'!$C$4:$Q$300, 5, FALSE)</f>
        <v>-</v>
      </c>
      <c r="S226" s="11">
        <f>VLOOKUP($G226, 'ADP Data'!$C$4:$Q$300, 6, FALSE)</f>
        <v>340</v>
      </c>
      <c r="T226" s="11">
        <f>VLOOKUP($G226, 'ADP Data'!$C$4:$Q$300, 7, FALSE)</f>
        <v>270</v>
      </c>
      <c r="U226" s="11">
        <f>VLOOKUP($G226, 'ADP Data'!$C$4:$Q$300, 8, FALSE)</f>
        <v>284</v>
      </c>
      <c r="V226" s="11">
        <f t="shared" si="8"/>
        <v>303</v>
      </c>
      <c r="W226" s="11">
        <f t="shared" si="9"/>
        <v>26</v>
      </c>
      <c r="X226" s="11">
        <f t="shared" si="10"/>
        <v>-26</v>
      </c>
      <c r="Y226" s="11" t="str">
        <f>VLOOKUP($G226, SeanRanks!$A$2:$K$303, 10, FALSE)-V226</f>
        <v>#VALUE!</v>
      </c>
      <c r="Z226" s="29" t="str">
        <f>IF(VLOOKUP($G226, SeanRanks!$A$2:$H$303, 7, FALSE)=0, "", VLOOKUP($G226, SeanRanks!$A$2:$H$303, 7, FALSE))</f>
        <v/>
      </c>
    </row>
    <row r="227" ht="14.25" customHeight="1">
      <c r="A227" s="11"/>
      <c r="B227" s="11">
        <f t="shared" si="4"/>
        <v>19</v>
      </c>
      <c r="C227" s="11" t="s">
        <v>106</v>
      </c>
      <c r="D227" s="11"/>
      <c r="E227" s="11"/>
      <c r="F227" s="11" t="str">
        <f>VLOOKUP(G227, SeanRanks!$A$2:$E$302, 4, FALSE)</f>
        <v/>
      </c>
      <c r="G227" s="11" t="s">
        <v>532</v>
      </c>
      <c r="H227" s="11" t="str">
        <f>VLOOKUP($G227, 'ADP Data'!$C$4:$Q$300, 2, FALSE)</f>
        <v>LAC</v>
      </c>
      <c r="I227" s="11" t="str">
        <f>VLOOKUP(G227, 'ADP Data'!$C$4:$R$498, 12, FALSE)</f>
        <v>-</v>
      </c>
      <c r="J227" s="11" t="str">
        <f>VLOOKUP($G227, SeanRanks!$A$2:$H$303, 5, FALSE)</f>
        <v/>
      </c>
      <c r="K227" s="11" t="str">
        <f>IF(VLOOKUP($G227, SeanRanks!$A$2:$H$303, 6, FALSE)=0, "", VLOOKUP($G227, SeanRanks!$A$2:$H$303, 6, FALSE))</f>
        <v/>
      </c>
      <c r="L227" s="11">
        <f t="shared" si="5"/>
        <v>21</v>
      </c>
      <c r="M227" s="11">
        <f>VLOOKUP($G227, 'ADP Data'!$C$4:$Q$300, 9, FALSE)</f>
        <v>246</v>
      </c>
      <c r="N227" s="11">
        <f t="shared" si="6"/>
        <v>26</v>
      </c>
      <c r="O227" s="11">
        <f>VLOOKUP($G227, 'ADP Data'!$C$4:$Q$300, 3, FALSE)</f>
        <v>174</v>
      </c>
      <c r="P227" s="11">
        <f t="shared" si="7"/>
        <v>72</v>
      </c>
      <c r="Q227" s="11">
        <f>VLOOKUP($G227, 'ADP Data'!$C$4:$Q$300, 4, FALSE)</f>
        <v>244</v>
      </c>
      <c r="R227" s="11">
        <f>VLOOKUP($G227, 'ADP Data'!$C$4:$Q$300, 5, FALSE)</f>
        <v>251</v>
      </c>
      <c r="S227" s="11">
        <f>VLOOKUP($G227, 'ADP Data'!$C$4:$Q$300, 6, FALSE)</f>
        <v>273</v>
      </c>
      <c r="T227" s="11">
        <f>VLOOKUP($G227, 'ADP Data'!$C$4:$Q$300, 7, FALSE)</f>
        <v>197</v>
      </c>
      <c r="U227" s="11">
        <f>VLOOKUP($G227, 'ADP Data'!$C$4:$Q$300, 8, FALSE)</f>
        <v>158</v>
      </c>
      <c r="V227" s="11">
        <f t="shared" si="8"/>
        <v>220</v>
      </c>
      <c r="W227" s="11">
        <f t="shared" si="9"/>
        <v>19</v>
      </c>
      <c r="X227" s="11">
        <f t="shared" si="10"/>
        <v>-19</v>
      </c>
      <c r="Y227" s="11">
        <f>VLOOKUP($G227, SeanRanks!$A$2:$K$303, 10, FALSE)-V227</f>
        <v>-33</v>
      </c>
      <c r="Z227" s="29" t="str">
        <f>IF(VLOOKUP($G227, SeanRanks!$A$2:$H$303, 7, FALSE)=0, "", VLOOKUP($G227, SeanRanks!$A$2:$H$303, 7, FALSE))</f>
        <v/>
      </c>
    </row>
    <row r="228" ht="14.25" customHeight="1">
      <c r="A228" s="11"/>
      <c r="B228" s="11">
        <f t="shared" si="4"/>
        <v>19</v>
      </c>
      <c r="C228" s="11" t="s">
        <v>106</v>
      </c>
      <c r="D228" s="11"/>
      <c r="E228" s="11"/>
      <c r="F228" s="11" t="str">
        <f>VLOOKUP(G228, SeanRanks!$A$2:$E$302, 4, FALSE)</f>
        <v/>
      </c>
      <c r="G228" s="11" t="s">
        <v>645</v>
      </c>
      <c r="H228" s="11" t="str">
        <f>VLOOKUP($G228, 'ADP Data'!$C$4:$Q$300, 2, FALSE)</f>
        <v>CIN</v>
      </c>
      <c r="I228" s="11">
        <f>VLOOKUP(G228, 'ADP Data'!$C$4:$R$498, 12, FALSE)</f>
        <v>206</v>
      </c>
      <c r="J228" s="11" t="str">
        <f>VLOOKUP($G228, SeanRanks!$A$2:$H$303, 5, FALSE)</f>
        <v/>
      </c>
      <c r="K228" s="11" t="str">
        <f>IF(VLOOKUP($G228, SeanRanks!$A$2:$H$303, 6, FALSE)=0, "", VLOOKUP($G228, SeanRanks!$A$2:$H$303, 6, FALSE))</f>
        <v/>
      </c>
      <c r="L228" s="11">
        <f t="shared" si="5"/>
        <v>18</v>
      </c>
      <c r="M228" s="11">
        <f>VLOOKUP($G228, 'ADP Data'!$C$4:$Q$300, 9, FALSE)</f>
        <v>209</v>
      </c>
      <c r="N228" s="11">
        <f t="shared" si="6"/>
        <v>-13</v>
      </c>
      <c r="O228" s="11" t="str">
        <f>VLOOKUP($G228, 'ADP Data'!$C$4:$Q$300, 3, FALSE)</f>
        <v>-</v>
      </c>
      <c r="P228" s="11" t="str">
        <f t="shared" si="7"/>
        <v>#VALUE!</v>
      </c>
      <c r="Q228" s="11" t="str">
        <f>VLOOKUP($G228, 'ADP Data'!$C$4:$Q$300, 4, FALSE)</f>
        <v>-</v>
      </c>
      <c r="R228" s="11">
        <f>VLOOKUP($G228, 'ADP Data'!$C$4:$Q$300, 5, FALSE)</f>
        <v>237</v>
      </c>
      <c r="S228" s="11">
        <f>VLOOKUP($G228, 'ADP Data'!$C$4:$Q$300, 6, FALSE)</f>
        <v>180</v>
      </c>
      <c r="T228" s="11">
        <f>VLOOKUP($G228, 'ADP Data'!$C$4:$Q$300, 7, FALSE)</f>
        <v>220</v>
      </c>
      <c r="U228" s="11">
        <f>VLOOKUP($G228, 'ADP Data'!$C$4:$Q$300, 8, FALSE)</f>
        <v>265</v>
      </c>
      <c r="V228" s="11">
        <f t="shared" si="8"/>
        <v>222</v>
      </c>
      <c r="W228" s="11">
        <f t="shared" si="9"/>
        <v>19</v>
      </c>
      <c r="X228" s="11">
        <f t="shared" si="10"/>
        <v>-19</v>
      </c>
      <c r="Y228" s="11">
        <f>VLOOKUP($G228, SeanRanks!$A$2:$K$303, 10, FALSE)-V228</f>
        <v>11</v>
      </c>
      <c r="Z228" s="29" t="str">
        <f>IF(VLOOKUP($G228, SeanRanks!$A$2:$H$303, 7, FALSE)=0, "", VLOOKUP($G228, SeanRanks!$A$2:$H$303, 7, FALSE))</f>
        <v/>
      </c>
    </row>
    <row r="229" ht="14.25" customHeight="1">
      <c r="A229" s="11"/>
      <c r="B229" s="11" t="str">
        <f t="shared" si="4"/>
        <v>#DIV/0!</v>
      </c>
      <c r="C229" s="11" t="s">
        <v>106</v>
      </c>
      <c r="D229" s="11"/>
      <c r="E229" s="11"/>
      <c r="F229" s="11" t="str">
        <f>VLOOKUP(G229, SeanRanks!$A$2:$E$302, 4, FALSE)</f>
        <v/>
      </c>
      <c r="G229" s="11" t="s">
        <v>923</v>
      </c>
      <c r="H229" s="11" t="str">
        <f>VLOOKUP($G229, 'ADP Data'!$C$4:$Q$300, 2, FALSE)</f>
        <v>MIA</v>
      </c>
      <c r="I229" s="11" t="str">
        <f>VLOOKUP(G229, 'ADP Data'!$C$4:$R$498, 12, FALSE)</f>
        <v>-</v>
      </c>
      <c r="J229" s="11" t="str">
        <f>VLOOKUP($G229, SeanRanks!$A$2:$H$303, 5, FALSE)</f>
        <v/>
      </c>
      <c r="K229" s="11" t="str">
        <f>IF(VLOOKUP($G229, SeanRanks!$A$2:$H$303, 6, FALSE)=0, "", VLOOKUP($G229, SeanRanks!$A$2:$H$303, 6, FALSE))</f>
        <v/>
      </c>
      <c r="L229" s="11">
        <f t="shared" si="5"/>
        <v>16</v>
      </c>
      <c r="M229" s="11" t="str">
        <f>VLOOKUP($G229, 'ADP Data'!$C$4:$Q$300, 9, FALSE)</f>
        <v>-</v>
      </c>
      <c r="N229" s="11" t="str">
        <f t="shared" si="6"/>
        <v>#VALUE!</v>
      </c>
      <c r="O229" s="11">
        <f>VLOOKUP($G229, 'ADP Data'!$C$4:$Q$300, 3, FALSE)</f>
        <v>188</v>
      </c>
      <c r="P229" s="11" t="str">
        <f t="shared" si="7"/>
        <v>#VALUE!</v>
      </c>
      <c r="Q229" s="11"/>
      <c r="R229" s="11"/>
      <c r="S229" s="11"/>
      <c r="T229" s="11"/>
      <c r="U229" s="11"/>
      <c r="V229" s="11">
        <f t="shared" si="8"/>
        <v>188</v>
      </c>
      <c r="W229" s="11">
        <f t="shared" si="9"/>
        <v>16</v>
      </c>
      <c r="X229" s="11">
        <f t="shared" si="10"/>
        <v>-16</v>
      </c>
      <c r="Y229" s="11">
        <f>VLOOKUP($G229, SeanRanks!$A$2:$K$303, 10, FALSE)-V229</f>
        <v>36</v>
      </c>
      <c r="Z229" s="29" t="str">
        <f>IF(VLOOKUP($G229, SeanRanks!$A$2:$H$303, 7, FALSE)=0, "", VLOOKUP($G229, SeanRanks!$A$2:$H$303, 7, FALSE))</f>
        <v/>
      </c>
    </row>
    <row r="230" ht="14.25" customHeight="1">
      <c r="A230" s="11"/>
      <c r="B230" s="11">
        <f t="shared" si="4"/>
        <v>18</v>
      </c>
      <c r="C230" s="11" t="s">
        <v>106</v>
      </c>
      <c r="D230" s="11"/>
      <c r="E230" s="11"/>
      <c r="F230" s="11" t="str">
        <f>VLOOKUP(G230, SeanRanks!$A$2:$E$302, 4, FALSE)</f>
        <v/>
      </c>
      <c r="G230" s="11" t="s">
        <v>564</v>
      </c>
      <c r="H230" s="11" t="str">
        <f>VLOOKUP($G230, 'ADP Data'!$C$4:$Q$300, 2, FALSE)</f>
        <v>GB</v>
      </c>
      <c r="I230" s="11" t="str">
        <f>VLOOKUP(G230, 'ADP Data'!$C$4:$R$498, 12, FALSE)</f>
        <v>-</v>
      </c>
      <c r="J230" s="11" t="str">
        <f>VLOOKUP($G230, SeanRanks!$A$2:$H$303, 5, FALSE)</f>
        <v/>
      </c>
      <c r="K230" s="11" t="str">
        <f>IF(VLOOKUP($G230, SeanRanks!$A$2:$H$303, 6, FALSE)=0, "", VLOOKUP($G230, SeanRanks!$A$2:$H$303, 6, FALSE))</f>
        <v/>
      </c>
      <c r="L230" s="11">
        <f t="shared" si="5"/>
        <v>21</v>
      </c>
      <c r="M230" s="11">
        <f>VLOOKUP($G230, 'ADP Data'!$C$4:$Q$300, 9, FALSE)</f>
        <v>243</v>
      </c>
      <c r="N230" s="11">
        <f t="shared" si="6"/>
        <v>40</v>
      </c>
      <c r="O230" s="11">
        <f>VLOOKUP($G230, 'ADP Data'!$C$4:$Q$300, 3, FALSE)</f>
        <v>136</v>
      </c>
      <c r="P230" s="11">
        <f t="shared" si="7"/>
        <v>107</v>
      </c>
      <c r="Q230" s="11">
        <f>VLOOKUP($G230, 'ADP Data'!$C$4:$Q$300, 4, FALSE)</f>
        <v>171</v>
      </c>
      <c r="R230" s="11">
        <f>VLOOKUP($G230, 'ADP Data'!$C$4:$Q$300, 5, FALSE)</f>
        <v>247</v>
      </c>
      <c r="S230" s="11">
        <f>VLOOKUP($G230, 'ADP Data'!$C$4:$Q$300, 6, FALSE)</f>
        <v>258</v>
      </c>
      <c r="T230" s="11">
        <f>VLOOKUP($G230, 'ADP Data'!$C$4:$Q$300, 7, FALSE)</f>
        <v>199</v>
      </c>
      <c r="U230" s="11">
        <f>VLOOKUP($G230, 'ADP Data'!$C$4:$Q$300, 8, FALSE)</f>
        <v>170</v>
      </c>
      <c r="V230" s="11">
        <f t="shared" si="8"/>
        <v>203</v>
      </c>
      <c r="W230" s="11">
        <f t="shared" si="9"/>
        <v>17</v>
      </c>
      <c r="X230" s="11">
        <f t="shared" si="10"/>
        <v>-17</v>
      </c>
      <c r="Y230" s="11">
        <f>VLOOKUP($G230, SeanRanks!$A$2:$K$303, 10, FALSE)-V230</f>
        <v>17</v>
      </c>
      <c r="Z230" s="29" t="str">
        <f>IF(VLOOKUP($G230, SeanRanks!$A$2:$H$303, 7, FALSE)=0, "", VLOOKUP($G230, SeanRanks!$A$2:$H$303, 7, FALSE))</f>
        <v/>
      </c>
    </row>
    <row r="231" ht="14.25" customHeight="1">
      <c r="A231" s="11"/>
      <c r="B231" s="11" t="str">
        <f t="shared" si="4"/>
        <v>#N/A</v>
      </c>
      <c r="C231" s="11" t="s">
        <v>106</v>
      </c>
      <c r="D231" s="11"/>
      <c r="E231" s="11"/>
      <c r="F231" s="11" t="str">
        <f>VLOOKUP(G231, SeanRanks!$A$2:$E$302, 4, FALSE)</f>
        <v>#N/A</v>
      </c>
      <c r="G231" s="11" t="s">
        <v>931</v>
      </c>
      <c r="H231" s="11" t="str">
        <f>VLOOKUP($G231, 'ADP Data'!$C$4:$Q$300, 2, FALSE)</f>
        <v>#N/A</v>
      </c>
      <c r="I231" s="11" t="str">
        <f>VLOOKUP(G231, 'ADP Data'!$C$4:$R$498, 12, FALSE)</f>
        <v>#N/A</v>
      </c>
      <c r="J231" s="11" t="str">
        <f>VLOOKUP($G231, SeanRanks!$A$2:$H$303, 5, FALSE)</f>
        <v>#N/A</v>
      </c>
      <c r="K231" s="11" t="str">
        <f>IF(VLOOKUP($G231, SeanRanks!$A$2:$H$303, 6, FALSE)=0, "", VLOOKUP($G231, SeanRanks!$A$2:$H$303, 6, FALSE))</f>
        <v>#N/A</v>
      </c>
      <c r="L231" s="11">
        <f t="shared" si="5"/>
        <v>16</v>
      </c>
      <c r="M231" s="11" t="str">
        <f>VLOOKUP($G231, 'ADP Data'!$C$4:$Q$300, 9, FALSE)</f>
        <v>#N/A</v>
      </c>
      <c r="N231" s="11" t="str">
        <f t="shared" si="6"/>
        <v>#N/A</v>
      </c>
      <c r="O231" s="11" t="str">
        <f>VLOOKUP($G231, 'ADP Data'!$C$4:$Q$300, 3, FALSE)</f>
        <v>#N/A</v>
      </c>
      <c r="P231" s="11" t="str">
        <f t="shared" si="7"/>
        <v>#N/A</v>
      </c>
      <c r="Q231" s="11" t="str">
        <f>VLOOKUP($G231, 'ADP Data'!$C$4:$Q$300, 4, FALSE)</f>
        <v>#N/A</v>
      </c>
      <c r="R231" s="11" t="str">
        <f>VLOOKUP($G231, 'ADP Data'!$C$4:$Q$300, 5, FALSE)</f>
        <v>#N/A</v>
      </c>
      <c r="S231" s="11" t="str">
        <f>VLOOKUP($G231, 'ADP Data'!$C$4:$Q$300, 6, FALSE)</f>
        <v>#N/A</v>
      </c>
      <c r="T231" s="11" t="str">
        <f>VLOOKUP($G231, 'ADP Data'!$C$4:$Q$300, 7, FALSE)</f>
        <v>#N/A</v>
      </c>
      <c r="U231" s="11" t="str">
        <f>VLOOKUP($G231, 'ADP Data'!$C$4:$Q$300, 8, FALSE)</f>
        <v>#N/A</v>
      </c>
      <c r="V231" s="11" t="str">
        <f t="shared" si="8"/>
        <v>#N/A</v>
      </c>
      <c r="W231" s="11">
        <f t="shared" si="9"/>
        <v>16</v>
      </c>
      <c r="X231" s="11">
        <f t="shared" si="10"/>
        <v>-16</v>
      </c>
      <c r="Y231" s="11" t="str">
        <f>VLOOKUP($G231, SeanRanks!$A$2:$K$303, 10, FALSE)-V231</f>
        <v>#N/A</v>
      </c>
      <c r="Z231" s="29" t="str">
        <f>IF(VLOOKUP($G231, SeanRanks!$A$2:$H$303, 7, FALSE)=0, "", VLOOKUP($G231, SeanRanks!$A$2:$H$303, 7, FALSE))</f>
        <v>#N/A</v>
      </c>
    </row>
    <row r="232" ht="14.25" customHeight="1">
      <c r="A232" s="11"/>
      <c r="B232" s="11" t="str">
        <f t="shared" si="4"/>
        <v>#N/A</v>
      </c>
      <c r="C232" s="11" t="s">
        <v>106</v>
      </c>
      <c r="D232" s="11"/>
      <c r="E232" s="11"/>
      <c r="F232" s="11" t="str">
        <f>VLOOKUP(G232, SeanRanks!$A$2:$E$302, 4, FALSE)</f>
        <v>#N/A</v>
      </c>
      <c r="G232" s="11" t="s">
        <v>929</v>
      </c>
      <c r="H232" s="11" t="str">
        <f>VLOOKUP($G232, 'ADP Data'!$C$4:$Q$300, 2, FALSE)</f>
        <v>#N/A</v>
      </c>
      <c r="I232" s="11" t="str">
        <f>VLOOKUP(G232, 'ADP Data'!$C$4:$R$498, 12, FALSE)</f>
        <v>#N/A</v>
      </c>
      <c r="J232" s="11" t="str">
        <f>VLOOKUP($G232, SeanRanks!$A$2:$H$303, 5, FALSE)</f>
        <v>#N/A</v>
      </c>
      <c r="K232" s="11" t="str">
        <f>IF(VLOOKUP($G232, SeanRanks!$A$2:$H$303, 6, FALSE)=0, "", VLOOKUP($G232, SeanRanks!$A$2:$H$303, 6, FALSE))</f>
        <v>#N/A</v>
      </c>
      <c r="L232" s="11">
        <f t="shared" si="5"/>
        <v>16</v>
      </c>
      <c r="M232" s="11" t="str">
        <f>VLOOKUP($G232, 'ADP Data'!$C$4:$Q$300, 9, FALSE)</f>
        <v>#N/A</v>
      </c>
      <c r="N232" s="11" t="str">
        <f t="shared" si="6"/>
        <v>#N/A</v>
      </c>
      <c r="O232" s="11" t="str">
        <f>VLOOKUP($G232, 'ADP Data'!$C$4:$Q$300, 3, FALSE)</f>
        <v>#N/A</v>
      </c>
      <c r="P232" s="11" t="str">
        <f t="shared" si="7"/>
        <v>#N/A</v>
      </c>
      <c r="Q232" s="11"/>
      <c r="R232" s="11"/>
      <c r="S232" s="11"/>
      <c r="T232" s="11"/>
      <c r="U232" s="11"/>
      <c r="V232" s="11" t="str">
        <f t="shared" si="8"/>
        <v>#N/A</v>
      </c>
      <c r="W232" s="11">
        <f t="shared" si="9"/>
        <v>16</v>
      </c>
      <c r="X232" s="11">
        <f t="shared" si="10"/>
        <v>-16</v>
      </c>
      <c r="Y232" s="11" t="str">
        <f>VLOOKUP($G232, SeanRanks!$A$2:$K$303, 10, FALSE)-V232</f>
        <v>#N/A</v>
      </c>
      <c r="Z232" s="29" t="str">
        <f>IF(VLOOKUP($G232, SeanRanks!$A$2:$H$303, 7, FALSE)=0, "", VLOOKUP($G232, SeanRanks!$A$2:$H$303, 7, FALSE))</f>
        <v>#N/A</v>
      </c>
    </row>
    <row r="233" ht="14.25" customHeight="1">
      <c r="A233" s="11"/>
      <c r="B233" s="11">
        <f t="shared" si="4"/>
        <v>12</v>
      </c>
      <c r="C233" s="11" t="s">
        <v>106</v>
      </c>
      <c r="D233" s="11"/>
      <c r="E233" s="11"/>
      <c r="F233" s="11" t="str">
        <f>VLOOKUP(G233, SeanRanks!$A$2:$E$302, 4, FALSE)</f>
        <v/>
      </c>
      <c r="G233" s="11" t="s">
        <v>407</v>
      </c>
      <c r="H233" s="11" t="str">
        <f>VLOOKUP($G233, 'ADP Data'!$C$4:$Q$300, 2, FALSE)</f>
        <v>JAX</v>
      </c>
      <c r="I233" s="11">
        <f>VLOOKUP(G233, 'ADP Data'!$C$4:$R$498, 12, FALSE)</f>
        <v>126</v>
      </c>
      <c r="J233" s="11" t="str">
        <f>VLOOKUP($G233, SeanRanks!$A$2:$H$303, 5, FALSE)</f>
        <v/>
      </c>
      <c r="K233" s="11" t="str">
        <f>IF(VLOOKUP($G233, SeanRanks!$A$2:$H$303, 6, FALSE)=0, "", VLOOKUP($G233, SeanRanks!$A$2:$H$303, 6, FALSE))</f>
        <v>RB4 - 1 - Path to spikes</v>
      </c>
      <c r="L233" s="11">
        <f t="shared" si="5"/>
        <v>11</v>
      </c>
      <c r="M233" s="11">
        <f>VLOOKUP($G233, 'ADP Data'!$C$4:$Q$300, 9, FALSE)</f>
        <v>122</v>
      </c>
      <c r="N233" s="11">
        <f t="shared" si="6"/>
        <v>-13</v>
      </c>
      <c r="O233" s="11">
        <f>VLOOKUP($G233, 'ADP Data'!$C$4:$Q$300, 3, FALSE)</f>
        <v>105</v>
      </c>
      <c r="P233" s="11">
        <f t="shared" si="7"/>
        <v>17</v>
      </c>
      <c r="Q233" s="11">
        <f>VLOOKUP($G233, 'ADP Data'!$C$4:$Q$300, 4, FALSE)</f>
        <v>132</v>
      </c>
      <c r="R233" s="11">
        <f>VLOOKUP($G233, 'ADP Data'!$C$4:$Q$300, 5, FALSE)</f>
        <v>139</v>
      </c>
      <c r="S233" s="11">
        <f>VLOOKUP($G233, 'ADP Data'!$C$4:$Q$300, 6, FALSE)</f>
        <v>120</v>
      </c>
      <c r="T233" s="11">
        <f>VLOOKUP($G233, 'ADP Data'!$C$4:$Q$300, 7, FALSE)</f>
        <v>118</v>
      </c>
      <c r="U233" s="11">
        <f>VLOOKUP($G233, 'ADP Data'!$C$4:$Q$300, 8, FALSE)</f>
        <v>209</v>
      </c>
      <c r="V233" s="11">
        <f t="shared" si="8"/>
        <v>135</v>
      </c>
      <c r="W233" s="11">
        <f t="shared" si="9"/>
        <v>12</v>
      </c>
      <c r="X233" s="11">
        <f t="shared" si="10"/>
        <v>-12</v>
      </c>
      <c r="Y233" s="11">
        <f>VLOOKUP($G233, SeanRanks!$A$2:$K$303, 10, FALSE)-V233</f>
        <v>-34</v>
      </c>
      <c r="Z233" s="29">
        <f>IF(VLOOKUP($G233, SeanRanks!$A$2:$H$303, 7, FALSE)=0, "", VLOOKUP($G233, SeanRanks!$A$2:$H$303, 7, FALSE))</f>
        <v>38</v>
      </c>
    </row>
    <row r="234" ht="14.25" customHeight="1">
      <c r="A234" s="11"/>
      <c r="B234" s="11" t="str">
        <f t="shared" si="4"/>
        <v>#N/A</v>
      </c>
      <c r="C234" s="11" t="s">
        <v>106</v>
      </c>
      <c r="D234" s="11"/>
      <c r="E234" s="11"/>
      <c r="F234" s="11" t="str">
        <f>VLOOKUP(G234, SeanRanks!$A$2:$E$302, 4, FALSE)</f>
        <v>#N/A</v>
      </c>
      <c r="G234" s="11" t="s">
        <v>628</v>
      </c>
      <c r="H234" s="11" t="str">
        <f>VLOOKUP($G234, 'ADP Data'!$C$4:$Q$300, 2, FALSE)</f>
        <v>#N/A</v>
      </c>
      <c r="I234" s="11" t="str">
        <f>VLOOKUP(G234, 'ADP Data'!$C$4:$R$498, 12, FALSE)</f>
        <v>#N/A</v>
      </c>
      <c r="J234" s="11" t="str">
        <f>VLOOKUP($G234, SeanRanks!$A$2:$H$303, 5, FALSE)</f>
        <v>#N/A</v>
      </c>
      <c r="K234" s="11" t="str">
        <f>IF(VLOOKUP($G234, SeanRanks!$A$2:$H$303, 6, FALSE)=0, "", VLOOKUP($G234, SeanRanks!$A$2:$H$303, 6, FALSE))</f>
        <v>#N/A</v>
      </c>
      <c r="L234" s="11">
        <f t="shared" si="5"/>
        <v>16</v>
      </c>
      <c r="M234" s="11" t="str">
        <f>VLOOKUP($G234, 'ADP Data'!$C$4:$Q$300, 9, FALSE)</f>
        <v>#N/A</v>
      </c>
      <c r="N234" s="11" t="str">
        <f t="shared" si="6"/>
        <v>#N/A</v>
      </c>
      <c r="O234" s="11" t="str">
        <f>VLOOKUP($G234, 'ADP Data'!$C$4:$Q$300, 3, FALSE)</f>
        <v>#N/A</v>
      </c>
      <c r="P234" s="11" t="str">
        <f t="shared" si="7"/>
        <v>#N/A</v>
      </c>
      <c r="Q234" s="11" t="str">
        <f>VLOOKUP($G234, 'ADP Data'!$C$4:$Q$300, 4, FALSE)</f>
        <v>#N/A</v>
      </c>
      <c r="R234" s="11" t="str">
        <f>VLOOKUP($G234, 'ADP Data'!$C$4:$Q$300, 5, FALSE)</f>
        <v>#N/A</v>
      </c>
      <c r="S234" s="11" t="str">
        <f>VLOOKUP($G234, 'ADP Data'!$C$4:$Q$300, 6, FALSE)</f>
        <v>#N/A</v>
      </c>
      <c r="T234" s="11" t="str">
        <f>VLOOKUP($G234, 'ADP Data'!$C$4:$Q$300, 7, FALSE)</f>
        <v>#N/A</v>
      </c>
      <c r="U234" s="11" t="str">
        <f>VLOOKUP($G234, 'ADP Data'!$C$4:$Q$300, 8, FALSE)</f>
        <v>#N/A</v>
      </c>
      <c r="V234" s="11" t="str">
        <f t="shared" si="8"/>
        <v>#N/A</v>
      </c>
      <c r="W234" s="11">
        <f t="shared" si="9"/>
        <v>16</v>
      </c>
      <c r="X234" s="11">
        <f t="shared" si="10"/>
        <v>-16</v>
      </c>
      <c r="Y234" s="11" t="str">
        <f>VLOOKUP($G234, SeanRanks!$A$2:$K$303, 10, FALSE)-V234</f>
        <v>#N/A</v>
      </c>
      <c r="Z234" s="29" t="str">
        <f>IF(VLOOKUP($G234, SeanRanks!$A$2:$H$303, 7, FALSE)=0, "", VLOOKUP($G234, SeanRanks!$A$2:$H$303, 7, FALSE))</f>
        <v>#N/A</v>
      </c>
    </row>
    <row r="235" ht="14.25" customHeight="1">
      <c r="A235" s="11"/>
      <c r="B235" s="11">
        <f t="shared" si="4"/>
        <v>19</v>
      </c>
      <c r="C235" s="11" t="s">
        <v>106</v>
      </c>
      <c r="D235" s="11"/>
      <c r="E235" s="11"/>
      <c r="F235" s="11" t="str">
        <f>VLOOKUP(G235, SeanRanks!$A$2:$E$302, 4, FALSE)</f>
        <v/>
      </c>
      <c r="G235" s="11" t="s">
        <v>606</v>
      </c>
      <c r="H235" s="11" t="str">
        <f>VLOOKUP($G235, 'ADP Data'!$C$4:$Q$300, 2, FALSE)</f>
        <v>BAL</v>
      </c>
      <c r="I235" s="11">
        <f>VLOOKUP(G235, 'ADP Data'!$C$4:$R$498, 12, FALSE)</f>
        <v>205</v>
      </c>
      <c r="J235" s="11" t="str">
        <f>VLOOKUP($G235, SeanRanks!$A$2:$H$303, 5, FALSE)</f>
        <v/>
      </c>
      <c r="K235" s="11" t="str">
        <f>IF(VLOOKUP($G235, SeanRanks!$A$2:$H$303, 6, FALSE)=0, "", VLOOKUP($G235, SeanRanks!$A$2:$H$303, 6, FALSE))</f>
        <v/>
      </c>
      <c r="L235" s="11">
        <f t="shared" si="5"/>
        <v>18</v>
      </c>
      <c r="M235" s="11">
        <f>VLOOKUP($G235, 'ADP Data'!$C$4:$Q$300, 9, FALSE)</f>
        <v>213</v>
      </c>
      <c r="N235" s="11">
        <f t="shared" si="6"/>
        <v>-8</v>
      </c>
      <c r="O235" s="11" t="str">
        <f>VLOOKUP($G235, 'ADP Data'!$C$4:$Q$300, 3, FALSE)</f>
        <v>-</v>
      </c>
      <c r="P235" s="11" t="str">
        <f t="shared" si="7"/>
        <v>#VALUE!</v>
      </c>
      <c r="Q235" s="11" t="str">
        <f>VLOOKUP($G235, 'ADP Data'!$C$4:$Q$300, 4, FALSE)</f>
        <v>-</v>
      </c>
      <c r="R235" s="11">
        <f>VLOOKUP($G235, 'ADP Data'!$C$4:$Q$300, 5, FALSE)</f>
        <v>278</v>
      </c>
      <c r="S235" s="11">
        <f>VLOOKUP($G235, 'ADP Data'!$C$4:$Q$300, 6, FALSE)</f>
        <v>193</v>
      </c>
      <c r="T235" s="11">
        <f>VLOOKUP($G235, 'ADP Data'!$C$4:$Q$300, 7, FALSE)</f>
        <v>190</v>
      </c>
      <c r="U235" s="11">
        <f>VLOOKUP($G235, 'ADP Data'!$C$4:$Q$300, 8, FALSE)</f>
        <v>232</v>
      </c>
      <c r="V235" s="11">
        <f t="shared" si="8"/>
        <v>221</v>
      </c>
      <c r="W235" s="11">
        <f t="shared" si="9"/>
        <v>19</v>
      </c>
      <c r="X235" s="11">
        <f t="shared" si="10"/>
        <v>-19</v>
      </c>
      <c r="Y235" s="11" t="str">
        <f>VLOOKUP($G235, SeanRanks!$A$2:$K$303, 10, FALSE)-V235</f>
        <v>#VALUE!</v>
      </c>
      <c r="Z235" s="29" t="str">
        <f>IF(VLOOKUP($G235, SeanRanks!$A$2:$H$303, 7, FALSE)=0, "", VLOOKUP($G235, SeanRanks!$A$2:$H$303, 7, FALSE))</f>
        <v/>
      </c>
    </row>
    <row r="236" ht="14.25" customHeight="1">
      <c r="A236" s="11"/>
      <c r="B236" s="11">
        <f t="shared" si="4"/>
        <v>18</v>
      </c>
      <c r="C236" s="11" t="s">
        <v>106</v>
      </c>
      <c r="D236" s="11"/>
      <c r="E236" s="11"/>
      <c r="F236" s="11" t="str">
        <f>VLOOKUP(G236, SeanRanks!$A$2:$E$302, 4, FALSE)</f>
        <v/>
      </c>
      <c r="G236" s="11" t="s">
        <v>922</v>
      </c>
      <c r="H236" s="11" t="str">
        <f>VLOOKUP($G236, 'ADP Data'!$C$4:$Q$300, 2, FALSE)</f>
        <v>PHI</v>
      </c>
      <c r="I236" s="11" t="str">
        <f>VLOOKUP(G236, 'ADP Data'!$C$4:$R$498, 12, FALSE)</f>
        <v>-</v>
      </c>
      <c r="J236" s="11" t="str">
        <f>VLOOKUP($G236, SeanRanks!$A$2:$H$303, 5, FALSE)</f>
        <v/>
      </c>
      <c r="K236" s="11" t="str">
        <f>IF(VLOOKUP($G236, SeanRanks!$A$2:$H$303, 6, FALSE)=0, "", VLOOKUP($G236, SeanRanks!$A$2:$H$303, 6, FALSE))</f>
        <v/>
      </c>
      <c r="L236" s="11">
        <f t="shared" si="5"/>
        <v>18</v>
      </c>
      <c r="M236" s="11">
        <f>VLOOKUP($G236, 'ADP Data'!$C$4:$Q$300, 9, FALSE)</f>
        <v>214</v>
      </c>
      <c r="N236" s="11">
        <f t="shared" si="6"/>
        <v>16</v>
      </c>
      <c r="O236" s="11">
        <f>VLOOKUP($G236, 'ADP Data'!$C$4:$Q$300, 3, FALSE)</f>
        <v>182</v>
      </c>
      <c r="P236" s="11">
        <f t="shared" si="7"/>
        <v>32</v>
      </c>
      <c r="Q236" s="11"/>
      <c r="R236" s="11"/>
      <c r="S236" s="11"/>
      <c r="T236" s="11"/>
      <c r="U236" s="11"/>
      <c r="V236" s="11">
        <f t="shared" si="8"/>
        <v>198</v>
      </c>
      <c r="W236" s="11">
        <f t="shared" si="9"/>
        <v>17</v>
      </c>
      <c r="X236" s="11">
        <f t="shared" si="10"/>
        <v>-17</v>
      </c>
      <c r="Y236" s="11">
        <f>VLOOKUP($G236, SeanRanks!$A$2:$K$303, 10, FALSE)-V236</f>
        <v>36</v>
      </c>
      <c r="Z236" s="29" t="str">
        <f>IF(VLOOKUP($G236, SeanRanks!$A$2:$H$303, 7, FALSE)=0, "", VLOOKUP($G236, SeanRanks!$A$2:$H$303, 7, FALSE))</f>
        <v/>
      </c>
    </row>
    <row r="237" ht="14.25" customHeight="1">
      <c r="A237" s="11"/>
      <c r="B237" s="11">
        <f t="shared" si="4"/>
        <v>14</v>
      </c>
      <c r="C237" s="11" t="s">
        <v>106</v>
      </c>
      <c r="D237" s="11"/>
      <c r="E237" s="11"/>
      <c r="F237" s="11" t="str">
        <f>VLOOKUP(G237, SeanRanks!$A$2:$E$302, 4, FALSE)</f>
        <v/>
      </c>
      <c r="G237" s="11" t="s">
        <v>919</v>
      </c>
      <c r="H237" s="11" t="str">
        <f>VLOOKUP($G237, 'ADP Data'!$C$4:$Q$300, 2, FALSE)</f>
        <v>WAS</v>
      </c>
      <c r="I237" s="11">
        <f>VLOOKUP(G237, 'ADP Data'!$C$4:$R$498, 12, FALSE)</f>
        <v>158</v>
      </c>
      <c r="J237" s="11" t="str">
        <f>VLOOKUP($G237, SeanRanks!$A$2:$H$303, 5, FALSE)</f>
        <v/>
      </c>
      <c r="K237" s="11" t="str">
        <f>IF(VLOOKUP($G237, SeanRanks!$A$2:$H$303, 6, FALSE)=0, "", VLOOKUP($G237, SeanRanks!$A$2:$H$303, 6, FALSE))</f>
        <v/>
      </c>
      <c r="L237" s="11">
        <f t="shared" si="5"/>
        <v>14</v>
      </c>
      <c r="M237" s="11">
        <f>VLOOKUP($G237, 'ADP Data'!$C$4:$Q$300, 9, FALSE)</f>
        <v>165</v>
      </c>
      <c r="N237" s="11">
        <f t="shared" si="6"/>
        <v>8</v>
      </c>
      <c r="O237" s="11">
        <f>VLOOKUP($G237, 'ADP Data'!$C$4:$Q$300, 3, FALSE)</f>
        <v>115</v>
      </c>
      <c r="P237" s="11">
        <f t="shared" si="7"/>
        <v>50</v>
      </c>
      <c r="Q237" s="11">
        <f>VLOOKUP($G237, 'ADP Data'!$C$4:$Q$300, 4, FALSE)</f>
        <v>154</v>
      </c>
      <c r="R237" s="11">
        <f>VLOOKUP($G237, 'ADP Data'!$C$4:$Q$300, 5, FALSE)</f>
        <v>207</v>
      </c>
      <c r="S237" s="11">
        <f>VLOOKUP($G237, 'ADP Data'!$C$4:$Q$300, 6, FALSE)</f>
        <v>133</v>
      </c>
      <c r="T237" s="11">
        <f>VLOOKUP($G237, 'ADP Data'!$C$4:$Q$300, 7, FALSE)</f>
        <v>165</v>
      </c>
      <c r="U237" s="11">
        <f>VLOOKUP($G237, 'ADP Data'!$C$4:$Q$300, 8, FALSE)</f>
        <v>162</v>
      </c>
      <c r="V237" s="11">
        <f t="shared" si="8"/>
        <v>157</v>
      </c>
      <c r="W237" s="11">
        <f t="shared" si="9"/>
        <v>14</v>
      </c>
      <c r="X237" s="11">
        <f t="shared" si="10"/>
        <v>-14</v>
      </c>
      <c r="Y237" s="11">
        <f>VLOOKUP($G237, SeanRanks!$A$2:$K$303, 10, FALSE)-V237</f>
        <v>-4</v>
      </c>
      <c r="Z237" s="29" t="str">
        <f>IF(VLOOKUP($G237, SeanRanks!$A$2:$H$303, 7, FALSE)=0, "", VLOOKUP($G237, SeanRanks!$A$2:$H$303, 7, FALSE))</f>
        <v/>
      </c>
    </row>
    <row r="238" ht="14.25" customHeight="1">
      <c r="A238" s="11"/>
      <c r="B238" s="11" t="str">
        <f t="shared" si="4"/>
        <v>#N/A</v>
      </c>
      <c r="C238" s="11" t="s">
        <v>106</v>
      </c>
      <c r="D238" s="11"/>
      <c r="E238" s="11"/>
      <c r="F238" s="11" t="str">
        <f>VLOOKUP(G238, SeanRanks!$A$2:$E$302, 4, FALSE)</f>
        <v>#N/A</v>
      </c>
      <c r="G238" s="11" t="s">
        <v>928</v>
      </c>
      <c r="H238" s="11" t="str">
        <f>VLOOKUP($G238, 'ADP Data'!$C$4:$Q$300, 2, FALSE)</f>
        <v>#N/A</v>
      </c>
      <c r="I238" s="11" t="str">
        <f>VLOOKUP(G238, 'ADP Data'!$C$4:$R$498, 12, FALSE)</f>
        <v>#N/A</v>
      </c>
      <c r="J238" s="11" t="str">
        <f>VLOOKUP($G238, SeanRanks!$A$2:$H$303, 5, FALSE)</f>
        <v>#N/A</v>
      </c>
      <c r="K238" s="11" t="str">
        <f>IF(VLOOKUP($G238, SeanRanks!$A$2:$H$303, 6, FALSE)=0, "", VLOOKUP($G238, SeanRanks!$A$2:$H$303, 6, FALSE))</f>
        <v>#N/A</v>
      </c>
      <c r="L238" s="11">
        <f t="shared" si="5"/>
        <v>16</v>
      </c>
      <c r="M238" s="11" t="str">
        <f>VLOOKUP($G238, 'ADP Data'!$C$4:$Q$300, 9, FALSE)</f>
        <v>#N/A</v>
      </c>
      <c r="N238" s="11" t="str">
        <f t="shared" si="6"/>
        <v>#N/A</v>
      </c>
      <c r="O238" s="11" t="str">
        <f>VLOOKUP($G238, 'ADP Data'!$C$4:$Q$300, 3, FALSE)</f>
        <v>#N/A</v>
      </c>
      <c r="P238" s="11" t="str">
        <f t="shared" si="7"/>
        <v>#N/A</v>
      </c>
      <c r="Q238" s="11" t="str">
        <f>VLOOKUP($G238, 'ADP Data'!$C$4:$Q$300, 4, FALSE)</f>
        <v>#N/A</v>
      </c>
      <c r="R238" s="11" t="str">
        <f>VLOOKUP($G238, 'ADP Data'!$C$4:$Q$300, 5, FALSE)</f>
        <v>#N/A</v>
      </c>
      <c r="S238" s="11" t="str">
        <f>VLOOKUP($G238, 'ADP Data'!$C$4:$Q$300, 6, FALSE)</f>
        <v>#N/A</v>
      </c>
      <c r="T238" s="11" t="str">
        <f>VLOOKUP($G238, 'ADP Data'!$C$4:$Q$300, 7, FALSE)</f>
        <v>#N/A</v>
      </c>
      <c r="U238" s="11" t="str">
        <f>VLOOKUP($G238, 'ADP Data'!$C$4:$Q$300, 8, FALSE)</f>
        <v>#N/A</v>
      </c>
      <c r="V238" s="11" t="str">
        <f t="shared" si="8"/>
        <v>#N/A</v>
      </c>
      <c r="W238" s="11">
        <f t="shared" si="9"/>
        <v>16</v>
      </c>
      <c r="X238" s="11">
        <f t="shared" si="10"/>
        <v>-16</v>
      </c>
      <c r="Y238" s="11" t="str">
        <f>VLOOKUP($G238, SeanRanks!$A$2:$K$303, 10, FALSE)-V238</f>
        <v>#N/A</v>
      </c>
      <c r="Z238" s="29" t="str">
        <f>IF(VLOOKUP($G238, SeanRanks!$A$2:$H$303, 7, FALSE)=0, "", VLOOKUP($G238, SeanRanks!$A$2:$H$303, 7, FALSE))</f>
        <v>#N/A</v>
      </c>
    </row>
    <row r="239" ht="14.25" customHeight="1">
      <c r="A239" s="11"/>
      <c r="B239" s="11" t="str">
        <f t="shared" si="4"/>
        <v>#N/A</v>
      </c>
      <c r="C239" s="11" t="s">
        <v>106</v>
      </c>
      <c r="D239" s="11"/>
      <c r="E239" s="11"/>
      <c r="F239" s="11" t="str">
        <f>VLOOKUP(G239, SeanRanks!$A$2:$E$302, 4, FALSE)</f>
        <v>#N/A</v>
      </c>
      <c r="G239" s="11" t="s">
        <v>718</v>
      </c>
      <c r="H239" s="11" t="str">
        <f>VLOOKUP($G239, 'ADP Data'!$C$4:$Q$300, 2, FALSE)</f>
        <v>#N/A</v>
      </c>
      <c r="I239" s="11" t="str">
        <f>VLOOKUP(G239, 'ADP Data'!$C$4:$R$498, 12, FALSE)</f>
        <v>#N/A</v>
      </c>
      <c r="J239" s="11" t="str">
        <f>VLOOKUP($G239, SeanRanks!$A$2:$H$303, 5, FALSE)</f>
        <v>#N/A</v>
      </c>
      <c r="K239" s="11" t="str">
        <f>IF(VLOOKUP($G239, SeanRanks!$A$2:$H$303, 6, FALSE)=0, "", VLOOKUP($G239, SeanRanks!$A$2:$H$303, 6, FALSE))</f>
        <v>#N/A</v>
      </c>
      <c r="L239" s="11">
        <f t="shared" si="5"/>
        <v>16</v>
      </c>
      <c r="M239" s="11" t="str">
        <f>VLOOKUP($G239, 'ADP Data'!$C$4:$Q$300, 9, FALSE)</f>
        <v>#N/A</v>
      </c>
      <c r="N239" s="11" t="str">
        <f t="shared" si="6"/>
        <v>#N/A</v>
      </c>
      <c r="O239" s="11" t="str">
        <f>VLOOKUP($G239, 'ADP Data'!$C$4:$Q$300, 3, FALSE)</f>
        <v>#N/A</v>
      </c>
      <c r="P239" s="11" t="str">
        <f t="shared" si="7"/>
        <v>#N/A</v>
      </c>
      <c r="Q239" s="11" t="str">
        <f>VLOOKUP($G239, 'ADP Data'!$C$4:$Q$300, 4, FALSE)</f>
        <v>#N/A</v>
      </c>
      <c r="R239" s="11" t="str">
        <f>VLOOKUP($G239, 'ADP Data'!$C$4:$Q$300, 5, FALSE)</f>
        <v>#N/A</v>
      </c>
      <c r="S239" s="11" t="str">
        <f>VLOOKUP($G239, 'ADP Data'!$C$4:$Q$300, 6, FALSE)</f>
        <v>#N/A</v>
      </c>
      <c r="T239" s="11" t="str">
        <f>VLOOKUP($G239, 'ADP Data'!$C$4:$Q$300, 7, FALSE)</f>
        <v>#N/A</v>
      </c>
      <c r="U239" s="11" t="str">
        <f>VLOOKUP($G239, 'ADP Data'!$C$4:$Q$300, 8, FALSE)</f>
        <v>#N/A</v>
      </c>
      <c r="V239" s="11" t="str">
        <f t="shared" si="8"/>
        <v>#N/A</v>
      </c>
      <c r="W239" s="11">
        <f t="shared" si="9"/>
        <v>16</v>
      </c>
      <c r="X239" s="11">
        <f t="shared" si="10"/>
        <v>-16</v>
      </c>
      <c r="Y239" s="11" t="str">
        <f>VLOOKUP($G239, SeanRanks!$A$2:$K$303, 10, FALSE)-V239</f>
        <v>#N/A</v>
      </c>
      <c r="Z239" s="29" t="str">
        <f>IF(VLOOKUP($G239, SeanRanks!$A$2:$H$303, 7, FALSE)=0, "", VLOOKUP($G239, SeanRanks!$A$2:$H$303, 7, FALSE))</f>
        <v>#N/A</v>
      </c>
    </row>
    <row r="240" ht="14.25" customHeight="1">
      <c r="A240" s="11"/>
      <c r="B240" s="11">
        <f t="shared" si="4"/>
        <v>19</v>
      </c>
      <c r="C240" s="11" t="s">
        <v>106</v>
      </c>
      <c r="D240" s="11"/>
      <c r="E240" s="11"/>
      <c r="F240" s="11" t="str">
        <f>VLOOKUP(G240, SeanRanks!$A$2:$E$302, 4, FALSE)</f>
        <v/>
      </c>
      <c r="G240" s="11" t="s">
        <v>491</v>
      </c>
      <c r="H240" s="11" t="str">
        <f>VLOOKUP($G240, 'ADP Data'!$C$4:$Q$300, 2, FALSE)</f>
        <v>SEA</v>
      </c>
      <c r="I240" s="11" t="str">
        <f>VLOOKUP(G240, 'ADP Data'!$C$4:$R$498, 12, FALSE)</f>
        <v>-</v>
      </c>
      <c r="J240" s="11" t="str">
        <f>VLOOKUP($G240, SeanRanks!$A$2:$H$303, 5, FALSE)</f>
        <v/>
      </c>
      <c r="K240" s="11" t="str">
        <f>IF(VLOOKUP($G240, SeanRanks!$A$2:$H$303, 6, FALSE)=0, "", VLOOKUP($G240, SeanRanks!$A$2:$H$303, 6, FALSE))</f>
        <v/>
      </c>
      <c r="L240" s="11">
        <f t="shared" si="5"/>
        <v>16</v>
      </c>
      <c r="M240" s="11">
        <f>VLOOKUP($G240, 'ADP Data'!$C$4:$Q$300, 9, FALSE)</f>
        <v>183</v>
      </c>
      <c r="N240" s="11">
        <f t="shared" si="6"/>
        <v>-26</v>
      </c>
      <c r="O240" s="11">
        <f>VLOOKUP($G240, 'ADP Data'!$C$4:$Q$300, 3, FALSE)</f>
        <v>196</v>
      </c>
      <c r="P240" s="11">
        <f t="shared" si="7"/>
        <v>-13</v>
      </c>
      <c r="Q240" s="11">
        <f>VLOOKUP($G240, 'ADP Data'!$C$4:$Q$300, 4, FALSE)</f>
        <v>142</v>
      </c>
      <c r="R240" s="11">
        <f>VLOOKUP($G240, 'ADP Data'!$C$4:$Q$300, 5, FALSE)</f>
        <v>273</v>
      </c>
      <c r="S240" s="11">
        <f>VLOOKUP($G240, 'ADP Data'!$C$4:$Q$300, 6, FALSE)</f>
        <v>268</v>
      </c>
      <c r="T240" s="11">
        <f>VLOOKUP($G240, 'ADP Data'!$C$4:$Q$300, 7, FALSE)</f>
        <v>225</v>
      </c>
      <c r="U240" s="11">
        <f>VLOOKUP($G240, 'ADP Data'!$C$4:$Q$300, 8, FALSE)</f>
        <v>179</v>
      </c>
      <c r="V240" s="11">
        <f t="shared" si="8"/>
        <v>209</v>
      </c>
      <c r="W240" s="11">
        <f t="shared" si="9"/>
        <v>18</v>
      </c>
      <c r="X240" s="11">
        <f t="shared" si="10"/>
        <v>-18</v>
      </c>
      <c r="Y240" s="11">
        <f>VLOOKUP($G240, SeanRanks!$A$2:$K$303, 10, FALSE)-V240</f>
        <v>-12</v>
      </c>
      <c r="Z240" s="29" t="str">
        <f>IF(VLOOKUP($G240, SeanRanks!$A$2:$H$303, 7, FALSE)=0, "", VLOOKUP($G240, SeanRanks!$A$2:$H$303, 7, FALSE))</f>
        <v/>
      </c>
    </row>
    <row r="241" ht="14.25" customHeight="1">
      <c r="A241" s="11"/>
      <c r="B241" s="11">
        <f t="shared" si="4"/>
        <v>23</v>
      </c>
      <c r="C241" s="11" t="s">
        <v>106</v>
      </c>
      <c r="D241" s="11"/>
      <c r="E241" s="11"/>
      <c r="F241" s="11" t="str">
        <f>VLOOKUP(G241, SeanRanks!$A$2:$E$302, 4, FALSE)</f>
        <v/>
      </c>
      <c r="G241" s="11" t="s">
        <v>389</v>
      </c>
      <c r="H241" s="11" t="str">
        <f>VLOOKUP($G241, 'ADP Data'!$C$4:$Q$300, 2, FALSE)</f>
        <v>NO</v>
      </c>
      <c r="I241" s="11">
        <f>VLOOKUP(G241, 'ADP Data'!$C$4:$R$498, 12, FALSE)</f>
        <v>212</v>
      </c>
      <c r="J241" s="11" t="str">
        <f>VLOOKUP($G241, SeanRanks!$A$2:$H$303, 5, FALSE)</f>
        <v/>
      </c>
      <c r="K241" s="11" t="str">
        <f>IF(VLOOKUP($G241, SeanRanks!$A$2:$H$303, 6, FALSE)=0, "", VLOOKUP($G241, SeanRanks!$A$2:$H$303, 6, FALSE))</f>
        <v/>
      </c>
      <c r="L241" s="11">
        <f t="shared" si="5"/>
        <v>23</v>
      </c>
      <c r="M241" s="11">
        <f>VLOOKUP($G241, 'ADP Data'!$C$4:$Q$300, 9, FALSE)</f>
        <v>273</v>
      </c>
      <c r="N241" s="11">
        <f t="shared" si="6"/>
        <v>5</v>
      </c>
      <c r="O241" s="11" t="str">
        <f>VLOOKUP($G241, 'ADP Data'!$C$4:$Q$300, 3, FALSE)</f>
        <v>-</v>
      </c>
      <c r="P241" s="11" t="str">
        <f t="shared" si="7"/>
        <v>#VALUE!</v>
      </c>
      <c r="Q241" s="11" t="str">
        <f>VLOOKUP($G241, 'ADP Data'!$C$4:$Q$300, 4, FALSE)</f>
        <v>-</v>
      </c>
      <c r="R241" s="11">
        <f>VLOOKUP($G241, 'ADP Data'!$C$4:$Q$300, 5, FALSE)</f>
        <v>311</v>
      </c>
      <c r="S241" s="11">
        <f>VLOOKUP($G241, 'ADP Data'!$C$4:$Q$300, 6, FALSE)</f>
        <v>223</v>
      </c>
      <c r="T241" s="11">
        <f>VLOOKUP($G241, 'ADP Data'!$C$4:$Q$300, 7, FALSE)</f>
        <v>256</v>
      </c>
      <c r="U241" s="11">
        <f>VLOOKUP($G241, 'ADP Data'!$C$4:$Q$300, 8, FALSE)</f>
        <v>279</v>
      </c>
      <c r="V241" s="11">
        <f t="shared" si="8"/>
        <v>268</v>
      </c>
      <c r="W241" s="11">
        <f t="shared" si="9"/>
        <v>23</v>
      </c>
      <c r="X241" s="11">
        <f t="shared" si="10"/>
        <v>-23</v>
      </c>
      <c r="Y241" s="11" t="str">
        <f>VLOOKUP($G241, SeanRanks!$A$2:$K$303, 10, FALSE)-V241</f>
        <v>#VALUE!</v>
      </c>
      <c r="Z241" s="29" t="str">
        <f>IF(VLOOKUP($G241, SeanRanks!$A$2:$H$303, 7, FALSE)=0, "", VLOOKUP($G241, SeanRanks!$A$2:$H$303, 7, FALSE))</f>
        <v/>
      </c>
    </row>
    <row r="242" ht="14.25" customHeight="1">
      <c r="A242" s="11"/>
      <c r="B242" s="11" t="str">
        <f t="shared" si="4"/>
        <v>#N/A</v>
      </c>
      <c r="C242" s="11" t="s">
        <v>106</v>
      </c>
      <c r="D242" s="11"/>
      <c r="E242" s="11"/>
      <c r="F242" s="11" t="str">
        <f>VLOOKUP(G242, SeanRanks!$A$2:$E$302, 4, FALSE)</f>
        <v>#N/A</v>
      </c>
      <c r="G242" s="11" t="s">
        <v>958</v>
      </c>
      <c r="H242" s="11" t="str">
        <f>VLOOKUP($G242, 'ADP Data'!$C$4:$Q$300, 2, FALSE)</f>
        <v>#N/A</v>
      </c>
      <c r="I242" s="11" t="str">
        <f>VLOOKUP(G242, 'ADP Data'!$C$4:$R$498, 12, FALSE)</f>
        <v>#N/A</v>
      </c>
      <c r="J242" s="11" t="str">
        <f>VLOOKUP($G242, SeanRanks!$A$2:$H$303, 5, FALSE)</f>
        <v>#N/A</v>
      </c>
      <c r="K242" s="11" t="str">
        <f>IF(VLOOKUP($G242, SeanRanks!$A$2:$H$303, 6, FALSE)=0, "", VLOOKUP($G242, SeanRanks!$A$2:$H$303, 6, FALSE))</f>
        <v>#N/A</v>
      </c>
      <c r="L242" s="11">
        <f t="shared" si="5"/>
        <v>16</v>
      </c>
      <c r="M242" s="11" t="str">
        <f>VLOOKUP($G242, 'ADP Data'!$C$4:$Q$300, 9, FALSE)</f>
        <v>#N/A</v>
      </c>
      <c r="N242" s="11" t="str">
        <f t="shared" si="6"/>
        <v>#N/A</v>
      </c>
      <c r="O242" s="11" t="str">
        <f>VLOOKUP($G242, 'ADP Data'!$C$4:$Q$300, 3, FALSE)</f>
        <v>#N/A</v>
      </c>
      <c r="P242" s="11" t="str">
        <f t="shared" si="7"/>
        <v>#N/A</v>
      </c>
      <c r="Q242" s="11" t="str">
        <f>VLOOKUP($G242, 'ADP Data'!$C$4:$Q$300, 4, FALSE)</f>
        <v>#N/A</v>
      </c>
      <c r="R242" s="11" t="str">
        <f>VLOOKUP($G242, 'ADP Data'!$C$4:$Q$300, 5, FALSE)</f>
        <v>#N/A</v>
      </c>
      <c r="S242" s="11" t="str">
        <f>VLOOKUP($G242, 'ADP Data'!$C$4:$Q$300, 6, FALSE)</f>
        <v>#N/A</v>
      </c>
      <c r="T242" s="11" t="str">
        <f>VLOOKUP($G242, 'ADP Data'!$C$4:$Q$300, 7, FALSE)</f>
        <v>#N/A</v>
      </c>
      <c r="U242" s="11" t="str">
        <f>VLOOKUP($G242, 'ADP Data'!$C$4:$Q$300, 8, FALSE)</f>
        <v>#N/A</v>
      </c>
      <c r="V242" s="11" t="str">
        <f t="shared" si="8"/>
        <v>#N/A</v>
      </c>
      <c r="W242" s="11">
        <f t="shared" si="9"/>
        <v>16</v>
      </c>
      <c r="X242" s="11">
        <f t="shared" si="10"/>
        <v>-16</v>
      </c>
      <c r="Y242" s="11" t="str">
        <f>VLOOKUP($G242, SeanRanks!$A$2:$K$303, 10, FALSE)-V242</f>
        <v>#N/A</v>
      </c>
      <c r="Z242" s="29" t="str">
        <f>IF(VLOOKUP($G242, SeanRanks!$A$2:$H$303, 7, FALSE)=0, "", VLOOKUP($G242, SeanRanks!$A$2:$H$303, 7, FALSE))</f>
        <v>#N/A</v>
      </c>
    </row>
    <row r="243" ht="14.25" customHeight="1">
      <c r="A243" s="11"/>
      <c r="B243" s="11">
        <f t="shared" si="4"/>
        <v>20</v>
      </c>
      <c r="C243" s="11" t="s">
        <v>106</v>
      </c>
      <c r="D243" s="11"/>
      <c r="E243" s="11"/>
      <c r="F243" s="11" t="str">
        <f>VLOOKUP(G243, SeanRanks!$A$2:$E$302, 4, FALSE)</f>
        <v/>
      </c>
      <c r="G243" s="11" t="s">
        <v>451</v>
      </c>
      <c r="H243" s="11" t="str">
        <f>VLOOKUP($G243, 'ADP Data'!$C$4:$Q$300, 2, FALSE)</f>
        <v>TB</v>
      </c>
      <c r="I243" s="11">
        <f>VLOOKUP(G243, 'ADP Data'!$C$4:$R$498, 12, FALSE)</f>
        <v>237</v>
      </c>
      <c r="J243" s="11" t="str">
        <f>VLOOKUP($G243, SeanRanks!$A$2:$H$303, 5, FALSE)</f>
        <v/>
      </c>
      <c r="K243" s="11" t="str">
        <f>IF(VLOOKUP($G243, SeanRanks!$A$2:$H$303, 6, FALSE)=0, "", VLOOKUP($G243, SeanRanks!$A$2:$H$303, 6, FALSE))</f>
        <v/>
      </c>
      <c r="L243" s="11">
        <f t="shared" si="5"/>
        <v>15</v>
      </c>
      <c r="M243" s="11">
        <f>VLOOKUP($G243, 'ADP Data'!$C$4:$Q$300, 9, FALSE)</f>
        <v>177</v>
      </c>
      <c r="N243" s="11">
        <f t="shared" si="6"/>
        <v>-45</v>
      </c>
      <c r="O243" s="11" t="str">
        <f>VLOOKUP($G243, 'ADP Data'!$C$4:$Q$300, 3, FALSE)</f>
        <v>-</v>
      </c>
      <c r="P243" s="11" t="str">
        <f t="shared" si="7"/>
        <v>#VALUE!</v>
      </c>
      <c r="Q243" s="11" t="str">
        <f>VLOOKUP($G243, 'ADP Data'!$C$4:$Q$300, 4, FALSE)</f>
        <v>-</v>
      </c>
      <c r="R243" s="11" t="str">
        <f>VLOOKUP($G243, 'ADP Data'!$C$4:$Q$300, 5, FALSE)</f>
        <v>-</v>
      </c>
      <c r="S243" s="11">
        <f>VLOOKUP($G243, 'ADP Data'!$C$4:$Q$300, 6, FALSE)</f>
        <v>277</v>
      </c>
      <c r="T243" s="11">
        <f>VLOOKUP($G243, 'ADP Data'!$C$4:$Q$300, 7, FALSE)</f>
        <v>205</v>
      </c>
      <c r="U243" s="11">
        <f>VLOOKUP($G243, 'ADP Data'!$C$4:$Q$300, 8, FALSE)</f>
        <v>231</v>
      </c>
      <c r="V243" s="11">
        <f t="shared" si="8"/>
        <v>222</v>
      </c>
      <c r="W243" s="11">
        <f t="shared" si="9"/>
        <v>19</v>
      </c>
      <c r="X243" s="11">
        <f t="shared" si="10"/>
        <v>-19</v>
      </c>
      <c r="Y243" s="11" t="str">
        <f>VLOOKUP($G243, SeanRanks!$A$2:$K$303, 10, FALSE)-V243</f>
        <v>#VALUE!</v>
      </c>
      <c r="Z243" s="29" t="str">
        <f>IF(VLOOKUP($G243, SeanRanks!$A$2:$H$303, 7, FALSE)=0, "", VLOOKUP($G243, SeanRanks!$A$2:$H$303, 7, FALSE))</f>
        <v/>
      </c>
    </row>
    <row r="244" ht="14.25" customHeight="1">
      <c r="A244" s="11"/>
      <c r="B244" s="11" t="str">
        <f t="shared" si="4"/>
        <v>#N/A</v>
      </c>
      <c r="C244" s="11" t="s">
        <v>106</v>
      </c>
      <c r="D244" s="11"/>
      <c r="E244" s="11"/>
      <c r="F244" s="11" t="str">
        <f>VLOOKUP(G244, SeanRanks!$A$2:$E$302, 4, FALSE)</f>
        <v>#N/A</v>
      </c>
      <c r="G244" s="11" t="s">
        <v>948</v>
      </c>
      <c r="H244" s="11" t="str">
        <f>VLOOKUP($G244, 'ADP Data'!$C$4:$Q$300, 2, FALSE)</f>
        <v>#N/A</v>
      </c>
      <c r="I244" s="11" t="str">
        <f>VLOOKUP(G244, 'ADP Data'!$C$4:$R$498, 12, FALSE)</f>
        <v>#N/A</v>
      </c>
      <c r="J244" s="11" t="str">
        <f>VLOOKUP($G244, SeanRanks!$A$2:$H$303, 5, FALSE)</f>
        <v>#N/A</v>
      </c>
      <c r="K244" s="11" t="str">
        <f>IF(VLOOKUP($G244, SeanRanks!$A$2:$H$303, 6, FALSE)=0, "", VLOOKUP($G244, SeanRanks!$A$2:$H$303, 6, FALSE))</f>
        <v>#N/A</v>
      </c>
      <c r="L244" s="11">
        <f t="shared" si="5"/>
        <v>16</v>
      </c>
      <c r="M244" s="11" t="str">
        <f>VLOOKUP($G244, 'ADP Data'!$C$4:$Q$300, 9, FALSE)</f>
        <v>#N/A</v>
      </c>
      <c r="N244" s="11" t="str">
        <f t="shared" si="6"/>
        <v>#N/A</v>
      </c>
      <c r="O244" s="11" t="str">
        <f>VLOOKUP($G244, 'ADP Data'!$C$4:$Q$300, 3, FALSE)</f>
        <v>#N/A</v>
      </c>
      <c r="P244" s="11" t="str">
        <f t="shared" si="7"/>
        <v>#N/A</v>
      </c>
      <c r="Q244" s="11" t="str">
        <f>VLOOKUP($G244, 'ADP Data'!$C$4:$Q$300, 4, FALSE)</f>
        <v>#N/A</v>
      </c>
      <c r="R244" s="11" t="str">
        <f>VLOOKUP($G244, 'ADP Data'!$C$4:$Q$300, 5, FALSE)</f>
        <v>#N/A</v>
      </c>
      <c r="S244" s="11" t="str">
        <f>VLOOKUP($G244, 'ADP Data'!$C$4:$Q$300, 6, FALSE)</f>
        <v>#N/A</v>
      </c>
      <c r="T244" s="11" t="str">
        <f>VLOOKUP($G244, 'ADP Data'!$C$4:$Q$300, 7, FALSE)</f>
        <v>#N/A</v>
      </c>
      <c r="U244" s="11" t="str">
        <f>VLOOKUP($G244, 'ADP Data'!$C$4:$Q$300, 8, FALSE)</f>
        <v>#N/A</v>
      </c>
      <c r="V244" s="11" t="str">
        <f t="shared" si="8"/>
        <v>#N/A</v>
      </c>
      <c r="W244" s="11">
        <f t="shared" si="9"/>
        <v>16</v>
      </c>
      <c r="X244" s="11">
        <f t="shared" si="10"/>
        <v>-16</v>
      </c>
      <c r="Y244" s="11" t="str">
        <f>VLOOKUP($G244, SeanRanks!$A$2:$K$303, 10, FALSE)-V244</f>
        <v>#N/A</v>
      </c>
      <c r="Z244" s="29" t="str">
        <f>IF(VLOOKUP($G244, SeanRanks!$A$2:$H$303, 7, FALSE)=0, "", VLOOKUP($G244, SeanRanks!$A$2:$H$303, 7, FALSE))</f>
        <v>#N/A</v>
      </c>
    </row>
    <row r="245" ht="14.25" customHeight="1">
      <c r="A245" s="11"/>
      <c r="B245" s="11">
        <f t="shared" si="4"/>
        <v>14</v>
      </c>
      <c r="C245" s="11" t="s">
        <v>106</v>
      </c>
      <c r="D245" s="11"/>
      <c r="E245" s="11"/>
      <c r="F245" s="11" t="str">
        <f>VLOOKUP(G245, SeanRanks!$A$2:$E$302, 4, FALSE)</f>
        <v/>
      </c>
      <c r="G245" s="11" t="s">
        <v>580</v>
      </c>
      <c r="H245" s="11" t="str">
        <f>VLOOKUP($G245, 'ADP Data'!$C$4:$Q$300, 2, FALSE)</f>
        <v>HOU</v>
      </c>
      <c r="I245" s="11" t="str">
        <f>VLOOKUP(G245, 'ADP Data'!$C$4:$R$498, 12, FALSE)</f>
        <v>-</v>
      </c>
      <c r="J245" s="11" t="str">
        <f>VLOOKUP($G245, SeanRanks!$A$2:$H$303, 5, FALSE)</f>
        <v/>
      </c>
      <c r="K245" s="11" t="str">
        <f>IF(VLOOKUP($G245, SeanRanks!$A$2:$H$303, 6, FALSE)=0, "", VLOOKUP($G245, SeanRanks!$A$2:$H$303, 6, FALSE))</f>
        <v/>
      </c>
      <c r="L245" s="11">
        <f t="shared" si="5"/>
        <v>14</v>
      </c>
      <c r="M245" s="11">
        <f>VLOOKUP($G245, 'ADP Data'!$C$4:$Q$300, 9, FALSE)</f>
        <v>162</v>
      </c>
      <c r="N245" s="11">
        <f t="shared" si="6"/>
        <v>-18</v>
      </c>
      <c r="O245" s="11">
        <f>VLOOKUP($G245, 'ADP Data'!$C$4:$Q$300, 3, FALSE)</f>
        <v>198</v>
      </c>
      <c r="P245" s="11">
        <f t="shared" si="7"/>
        <v>-36</v>
      </c>
      <c r="Q245" s="11"/>
      <c r="R245" s="11"/>
      <c r="S245" s="11"/>
      <c r="T245" s="11"/>
      <c r="U245" s="11"/>
      <c r="V245" s="11">
        <f t="shared" si="8"/>
        <v>180</v>
      </c>
      <c r="W245" s="11">
        <f t="shared" si="9"/>
        <v>16</v>
      </c>
      <c r="X245" s="11">
        <f t="shared" si="10"/>
        <v>-16</v>
      </c>
      <c r="Y245" s="11">
        <f>VLOOKUP($G245, SeanRanks!$A$2:$K$303, 10, FALSE)-V245</f>
        <v>21</v>
      </c>
      <c r="Z245" s="29" t="str">
        <f>IF(VLOOKUP($G245, SeanRanks!$A$2:$H$303, 7, FALSE)=0, "", VLOOKUP($G245, SeanRanks!$A$2:$H$303, 7, FALSE))</f>
        <v/>
      </c>
    </row>
    <row r="246" ht="14.25" customHeight="1">
      <c r="A246" s="11"/>
      <c r="B246" s="11" t="str">
        <f t="shared" si="4"/>
        <v>#N/A</v>
      </c>
      <c r="C246" s="11" t="s">
        <v>106</v>
      </c>
      <c r="D246" s="11"/>
      <c r="E246" s="11"/>
      <c r="F246" s="11" t="str">
        <f>VLOOKUP(G246, SeanRanks!$A$2:$E$302, 4, FALSE)</f>
        <v>#N/A</v>
      </c>
      <c r="G246" s="11" t="s">
        <v>489</v>
      </c>
      <c r="H246" s="11" t="str">
        <f>VLOOKUP($G246, 'ADP Data'!$C$4:$Q$300, 2, FALSE)</f>
        <v>#N/A</v>
      </c>
      <c r="I246" s="11" t="str">
        <f>VLOOKUP(G246, 'ADP Data'!$C$4:$R$498, 12, FALSE)</f>
        <v>#N/A</v>
      </c>
      <c r="J246" s="11" t="str">
        <f>VLOOKUP($G246, SeanRanks!$A$2:$H$303, 5, FALSE)</f>
        <v>#N/A</v>
      </c>
      <c r="K246" s="11" t="str">
        <f>IF(VLOOKUP($G246, SeanRanks!$A$2:$H$303, 6, FALSE)=0, "", VLOOKUP($G246, SeanRanks!$A$2:$H$303, 6, FALSE))</f>
        <v>#N/A</v>
      </c>
      <c r="L246" s="11">
        <f t="shared" si="5"/>
        <v>16</v>
      </c>
      <c r="M246" s="11" t="str">
        <f>VLOOKUP($G246, 'ADP Data'!$C$4:$Q$300, 9, FALSE)</f>
        <v>#N/A</v>
      </c>
      <c r="N246" s="11" t="str">
        <f t="shared" si="6"/>
        <v>#N/A</v>
      </c>
      <c r="O246" s="11" t="str">
        <f>VLOOKUP($G246, 'ADP Data'!$C$4:$Q$300, 3, FALSE)</f>
        <v>#N/A</v>
      </c>
      <c r="P246" s="11" t="str">
        <f t="shared" si="7"/>
        <v>#N/A</v>
      </c>
      <c r="Q246" s="11" t="str">
        <f>VLOOKUP($G246, 'ADP Data'!$C$4:$Q$300, 4, FALSE)</f>
        <v>#N/A</v>
      </c>
      <c r="R246" s="11" t="str">
        <f>VLOOKUP($G246, 'ADP Data'!$C$4:$Q$300, 5, FALSE)</f>
        <v>#N/A</v>
      </c>
      <c r="S246" s="11" t="str">
        <f>VLOOKUP($G246, 'ADP Data'!$C$4:$Q$300, 6, FALSE)</f>
        <v>#N/A</v>
      </c>
      <c r="T246" s="11" t="str">
        <f>VLOOKUP($G246, 'ADP Data'!$C$4:$Q$300, 7, FALSE)</f>
        <v>#N/A</v>
      </c>
      <c r="U246" s="11" t="str">
        <f>VLOOKUP($G246, 'ADP Data'!$C$4:$Q$300, 8, FALSE)</f>
        <v>#N/A</v>
      </c>
      <c r="V246" s="11" t="str">
        <f t="shared" si="8"/>
        <v>#N/A</v>
      </c>
      <c r="W246" s="11">
        <f t="shared" si="9"/>
        <v>16</v>
      </c>
      <c r="X246" s="11">
        <f t="shared" si="10"/>
        <v>-16</v>
      </c>
      <c r="Y246" s="11" t="str">
        <f>VLOOKUP($G246, SeanRanks!$A$2:$K$303, 10, FALSE)-V246</f>
        <v>#N/A</v>
      </c>
      <c r="Z246" s="29" t="str">
        <f>IF(VLOOKUP($G246, SeanRanks!$A$2:$H$303, 7, FALSE)=0, "", VLOOKUP($G246, SeanRanks!$A$2:$H$303, 7, FALSE))</f>
        <v>#N/A</v>
      </c>
    </row>
    <row r="247" ht="14.25" customHeight="1">
      <c r="A247" s="11"/>
      <c r="B247" s="11" t="str">
        <f t="shared" si="4"/>
        <v>#N/A</v>
      </c>
      <c r="C247" s="11" t="s">
        <v>106</v>
      </c>
      <c r="D247" s="11"/>
      <c r="E247" s="11"/>
      <c r="F247" s="11" t="str">
        <f>VLOOKUP(G247, SeanRanks!$A$2:$E$302, 4, FALSE)</f>
        <v>#N/A</v>
      </c>
      <c r="G247" s="11" t="s">
        <v>973</v>
      </c>
      <c r="H247" s="11" t="str">
        <f>VLOOKUP($G247, 'ADP Data'!$C$4:$Q$300, 2, FALSE)</f>
        <v>#N/A</v>
      </c>
      <c r="I247" s="11" t="str">
        <f>VLOOKUP(G247, 'ADP Data'!$C$4:$R$498, 12, FALSE)</f>
        <v>#N/A</v>
      </c>
      <c r="J247" s="11" t="str">
        <f>VLOOKUP($G247, SeanRanks!$A$2:$H$303, 5, FALSE)</f>
        <v>#N/A</v>
      </c>
      <c r="K247" s="11" t="str">
        <f>IF(VLOOKUP($G247, SeanRanks!$A$2:$H$303, 6, FALSE)=0, "", VLOOKUP($G247, SeanRanks!$A$2:$H$303, 6, FALSE))</f>
        <v>#N/A</v>
      </c>
      <c r="L247" s="11">
        <f t="shared" si="5"/>
        <v>16</v>
      </c>
      <c r="M247" s="11" t="str">
        <f>VLOOKUP($G247, 'ADP Data'!$C$4:$Q$300, 9, FALSE)</f>
        <v>#N/A</v>
      </c>
      <c r="N247" s="11" t="str">
        <f t="shared" si="6"/>
        <v>#N/A</v>
      </c>
      <c r="O247" s="11" t="str">
        <f>VLOOKUP($G247, 'ADP Data'!$C$4:$Q$300, 3, FALSE)</f>
        <v>#N/A</v>
      </c>
      <c r="P247" s="11" t="str">
        <f t="shared" si="7"/>
        <v>#N/A</v>
      </c>
      <c r="Q247" s="11" t="str">
        <f>VLOOKUP($G247, 'ADP Data'!$C$4:$Q$300, 4, FALSE)</f>
        <v>#N/A</v>
      </c>
      <c r="R247" s="11" t="str">
        <f>VLOOKUP($G247, 'ADP Data'!$C$4:$Q$300, 5, FALSE)</f>
        <v>#N/A</v>
      </c>
      <c r="S247" s="11" t="str">
        <f>VLOOKUP($G247, 'ADP Data'!$C$4:$Q$300, 6, FALSE)</f>
        <v>#N/A</v>
      </c>
      <c r="T247" s="11" t="str">
        <f>VLOOKUP($G247, 'ADP Data'!$C$4:$Q$300, 7, FALSE)</f>
        <v>#N/A</v>
      </c>
      <c r="U247" s="11" t="str">
        <f>VLOOKUP($G247, 'ADP Data'!$C$4:$Q$300, 8, FALSE)</f>
        <v>#N/A</v>
      </c>
      <c r="V247" s="11" t="str">
        <f t="shared" si="8"/>
        <v>#N/A</v>
      </c>
      <c r="W247" s="11">
        <f t="shared" si="9"/>
        <v>16</v>
      </c>
      <c r="X247" s="11">
        <f t="shared" si="10"/>
        <v>-16</v>
      </c>
      <c r="Y247" s="11" t="str">
        <f>VLOOKUP($G247, SeanRanks!$A$2:$K$303, 10, FALSE)-V247</f>
        <v>#N/A</v>
      </c>
      <c r="Z247" s="29" t="str">
        <f>IF(VLOOKUP($G247, SeanRanks!$A$2:$H$303, 7, FALSE)=0, "", VLOOKUP($G247, SeanRanks!$A$2:$H$303, 7, FALSE))</f>
        <v>#N/A</v>
      </c>
    </row>
    <row r="248" ht="14.25" customHeight="1">
      <c r="A248" s="11"/>
      <c r="B248" s="11" t="str">
        <f t="shared" si="4"/>
        <v>#N/A</v>
      </c>
      <c r="C248" s="11" t="s">
        <v>106</v>
      </c>
      <c r="D248" s="11"/>
      <c r="E248" s="11"/>
      <c r="F248" s="11" t="str">
        <f>VLOOKUP(G248, SeanRanks!$A$2:$E$302, 4, FALSE)</f>
        <v>#N/A</v>
      </c>
      <c r="G248" s="11" t="s">
        <v>924</v>
      </c>
      <c r="H248" s="11" t="str">
        <f>VLOOKUP($G248, 'ADP Data'!$C$4:$Q$300, 2, FALSE)</f>
        <v>#N/A</v>
      </c>
      <c r="I248" s="11" t="str">
        <f>VLOOKUP(G248, 'ADP Data'!$C$4:$R$498, 12, FALSE)</f>
        <v>#N/A</v>
      </c>
      <c r="J248" s="11" t="str">
        <f>VLOOKUP($G248, SeanRanks!$A$2:$H$303, 5, FALSE)</f>
        <v>#N/A</v>
      </c>
      <c r="K248" s="11" t="str">
        <f>IF(VLOOKUP($G248, SeanRanks!$A$2:$H$303, 6, FALSE)=0, "", VLOOKUP($G248, SeanRanks!$A$2:$H$303, 6, FALSE))</f>
        <v>#N/A</v>
      </c>
      <c r="L248" s="11">
        <f t="shared" si="5"/>
        <v>16</v>
      </c>
      <c r="M248" s="11" t="str">
        <f>VLOOKUP($G248, 'ADP Data'!$C$4:$Q$300, 9, FALSE)</f>
        <v>#N/A</v>
      </c>
      <c r="N248" s="11" t="str">
        <f t="shared" si="6"/>
        <v>#N/A</v>
      </c>
      <c r="O248" s="11" t="str">
        <f>VLOOKUP($G248, 'ADP Data'!$C$4:$Q$300, 3, FALSE)</f>
        <v>#N/A</v>
      </c>
      <c r="P248" s="11" t="str">
        <f t="shared" si="7"/>
        <v>#N/A</v>
      </c>
      <c r="Q248" s="11" t="str">
        <f>VLOOKUP($G248, 'ADP Data'!$C$4:$Q$300, 4, FALSE)</f>
        <v>#N/A</v>
      </c>
      <c r="R248" s="11" t="str">
        <f>VLOOKUP($G248, 'ADP Data'!$C$4:$Q$300, 5, FALSE)</f>
        <v>#N/A</v>
      </c>
      <c r="S248" s="11" t="str">
        <f>VLOOKUP($G248, 'ADP Data'!$C$4:$Q$300, 6, FALSE)</f>
        <v>#N/A</v>
      </c>
      <c r="T248" s="11" t="str">
        <f>VLOOKUP($G248, 'ADP Data'!$C$4:$Q$300, 7, FALSE)</f>
        <v>#N/A</v>
      </c>
      <c r="U248" s="11" t="str">
        <f>VLOOKUP($G248, 'ADP Data'!$C$4:$Q$300, 8, FALSE)</f>
        <v>#N/A</v>
      </c>
      <c r="V248" s="11" t="str">
        <f t="shared" si="8"/>
        <v>#N/A</v>
      </c>
      <c r="W248" s="11">
        <f t="shared" si="9"/>
        <v>16</v>
      </c>
      <c r="X248" s="11">
        <f t="shared" si="10"/>
        <v>-16</v>
      </c>
      <c r="Y248" s="11" t="str">
        <f>VLOOKUP($G248, SeanRanks!$A$2:$K$303, 10, FALSE)-V248</f>
        <v>#N/A</v>
      </c>
      <c r="Z248" s="29" t="str">
        <f>IF(VLOOKUP($G248, SeanRanks!$A$2:$H$303, 7, FALSE)=0, "", VLOOKUP($G248, SeanRanks!$A$2:$H$303, 7, FALSE))</f>
        <v>#N/A</v>
      </c>
    </row>
    <row r="249" ht="14.25" customHeight="1">
      <c r="A249" s="11"/>
      <c r="B249" s="11" t="str">
        <f t="shared" si="4"/>
        <v>#N/A</v>
      </c>
      <c r="C249" s="11" t="s">
        <v>106</v>
      </c>
      <c r="D249" s="11"/>
      <c r="E249" s="11"/>
      <c r="F249" s="11" t="str">
        <f>VLOOKUP(G249, SeanRanks!$A$2:$E$302, 4, FALSE)</f>
        <v>#N/A</v>
      </c>
      <c r="G249" s="11" t="s">
        <v>294</v>
      </c>
      <c r="H249" s="11" t="str">
        <f>VLOOKUP($G249, 'ADP Data'!$C$4:$Q$300, 2, FALSE)</f>
        <v>#N/A</v>
      </c>
      <c r="I249" s="11" t="str">
        <f>VLOOKUP(G249, 'ADP Data'!$C$4:$R$498, 12, FALSE)</f>
        <v>#N/A</v>
      </c>
      <c r="J249" s="11" t="str">
        <f>VLOOKUP($G249, SeanRanks!$A$2:$H$303, 5, FALSE)</f>
        <v>#N/A</v>
      </c>
      <c r="K249" s="11" t="str">
        <f>IF(VLOOKUP($G249, SeanRanks!$A$2:$H$303, 6, FALSE)=0, "", VLOOKUP($G249, SeanRanks!$A$2:$H$303, 6, FALSE))</f>
        <v>#N/A</v>
      </c>
      <c r="L249" s="11">
        <f t="shared" si="5"/>
        <v>16</v>
      </c>
      <c r="M249" s="11" t="str">
        <f>VLOOKUP($G249, 'ADP Data'!$C$4:$Q$300, 9, FALSE)</f>
        <v>#N/A</v>
      </c>
      <c r="N249" s="11" t="str">
        <f t="shared" si="6"/>
        <v>#N/A</v>
      </c>
      <c r="O249" s="11" t="str">
        <f>VLOOKUP($G249, 'ADP Data'!$C$4:$Q$300, 3, FALSE)</f>
        <v>#N/A</v>
      </c>
      <c r="P249" s="11" t="str">
        <f t="shared" si="7"/>
        <v>#N/A</v>
      </c>
      <c r="Q249" s="11" t="str">
        <f>VLOOKUP($G249, 'ADP Data'!$C$4:$Q$300, 4, FALSE)</f>
        <v>#N/A</v>
      </c>
      <c r="R249" s="11" t="str">
        <f>VLOOKUP($G249, 'ADP Data'!$C$4:$Q$300, 5, FALSE)</f>
        <v>#N/A</v>
      </c>
      <c r="S249" s="11" t="str">
        <f>VLOOKUP($G249, 'ADP Data'!$C$4:$Q$300, 6, FALSE)</f>
        <v>#N/A</v>
      </c>
      <c r="T249" s="11" t="str">
        <f>VLOOKUP($G249, 'ADP Data'!$C$4:$Q$300, 7, FALSE)</f>
        <v>#N/A</v>
      </c>
      <c r="U249" s="11" t="str">
        <f>VLOOKUP($G249, 'ADP Data'!$C$4:$Q$300, 8, FALSE)</f>
        <v>#N/A</v>
      </c>
      <c r="V249" s="11" t="str">
        <f t="shared" si="8"/>
        <v>#N/A</v>
      </c>
      <c r="W249" s="11">
        <f t="shared" si="9"/>
        <v>16</v>
      </c>
      <c r="X249" s="11">
        <f t="shared" si="10"/>
        <v>-16</v>
      </c>
      <c r="Y249" s="11" t="str">
        <f>VLOOKUP($G249, SeanRanks!$A$2:$K$303, 10, FALSE)-V249</f>
        <v>#N/A</v>
      </c>
      <c r="Z249" s="29" t="str">
        <f>IF(VLOOKUP($G249, SeanRanks!$A$2:$H$303, 7, FALSE)=0, "", VLOOKUP($G249, SeanRanks!$A$2:$H$303, 7, FALSE))</f>
        <v>#N/A</v>
      </c>
    </row>
    <row r="250" ht="14.25" customHeight="1">
      <c r="A250" s="11"/>
      <c r="B250" s="11" t="str">
        <f t="shared" si="4"/>
        <v>#N/A</v>
      </c>
      <c r="C250" s="11" t="s">
        <v>106</v>
      </c>
      <c r="D250" s="11"/>
      <c r="E250" s="11"/>
      <c r="F250" s="11" t="str">
        <f>VLOOKUP(G250, SeanRanks!$A$2:$E$302, 4, FALSE)</f>
        <v>#N/A</v>
      </c>
      <c r="G250" s="11" t="s">
        <v>947</v>
      </c>
      <c r="H250" s="11" t="str">
        <f>VLOOKUP($G250, 'ADP Data'!$C$4:$Q$300, 2, FALSE)</f>
        <v>#N/A</v>
      </c>
      <c r="I250" s="11" t="str">
        <f>VLOOKUP(G250, 'ADP Data'!$C$4:$R$498, 12, FALSE)</f>
        <v>#N/A</v>
      </c>
      <c r="J250" s="11" t="str">
        <f>VLOOKUP($G250, SeanRanks!$A$2:$H$303, 5, FALSE)</f>
        <v>#N/A</v>
      </c>
      <c r="K250" s="11" t="str">
        <f>IF(VLOOKUP($G250, SeanRanks!$A$2:$H$303, 6, FALSE)=0, "", VLOOKUP($G250, SeanRanks!$A$2:$H$303, 6, FALSE))</f>
        <v>#N/A</v>
      </c>
      <c r="L250" s="11">
        <f t="shared" si="5"/>
        <v>16</v>
      </c>
      <c r="M250" s="11" t="str">
        <f>VLOOKUP($G250, 'ADP Data'!$C$4:$Q$300, 9, FALSE)</f>
        <v>#N/A</v>
      </c>
      <c r="N250" s="11" t="str">
        <f t="shared" si="6"/>
        <v>#N/A</v>
      </c>
      <c r="O250" s="11" t="str">
        <f>VLOOKUP($G250, 'ADP Data'!$C$4:$Q$300, 3, FALSE)</f>
        <v>#N/A</v>
      </c>
      <c r="P250" s="11" t="str">
        <f t="shared" si="7"/>
        <v>#N/A</v>
      </c>
      <c r="Q250" s="11" t="str">
        <f>VLOOKUP($G250, 'ADP Data'!$C$4:$Q$300, 4, FALSE)</f>
        <v>#N/A</v>
      </c>
      <c r="R250" s="11" t="str">
        <f>VLOOKUP($G250, 'ADP Data'!$C$4:$Q$300, 5, FALSE)</f>
        <v>#N/A</v>
      </c>
      <c r="S250" s="11" t="str">
        <f>VLOOKUP($G250, 'ADP Data'!$C$4:$Q$300, 6, FALSE)</f>
        <v>#N/A</v>
      </c>
      <c r="T250" s="11" t="str">
        <f>VLOOKUP($G250, 'ADP Data'!$C$4:$Q$300, 7, FALSE)</f>
        <v>#N/A</v>
      </c>
      <c r="U250" s="11" t="str">
        <f>VLOOKUP($G250, 'ADP Data'!$C$4:$Q$300, 8, FALSE)</f>
        <v>#N/A</v>
      </c>
      <c r="V250" s="11" t="str">
        <f t="shared" si="8"/>
        <v>#N/A</v>
      </c>
      <c r="W250" s="11">
        <f t="shared" si="9"/>
        <v>16</v>
      </c>
      <c r="X250" s="11">
        <f t="shared" si="10"/>
        <v>-16</v>
      </c>
      <c r="Y250" s="11" t="str">
        <f>VLOOKUP($G250, SeanRanks!$A$2:$K$303, 10, FALSE)-V250</f>
        <v>#N/A</v>
      </c>
      <c r="Z250" s="29" t="str">
        <f>IF(VLOOKUP($G250, SeanRanks!$A$2:$H$303, 7, FALSE)=0, "", VLOOKUP($G250, SeanRanks!$A$2:$H$303, 7, FALSE))</f>
        <v>#N/A</v>
      </c>
    </row>
    <row r="251" ht="14.25" customHeight="1">
      <c r="A251" s="11"/>
      <c r="B251" s="11">
        <f t="shared" si="4"/>
        <v>11</v>
      </c>
      <c r="C251" s="11" t="s">
        <v>106</v>
      </c>
      <c r="D251" s="11"/>
      <c r="E251" s="11"/>
      <c r="F251" s="11" t="str">
        <f>VLOOKUP(G251, SeanRanks!$A$2:$E$302, 4, FALSE)</f>
        <v/>
      </c>
      <c r="G251" s="11" t="s">
        <v>485</v>
      </c>
      <c r="H251" s="11" t="str">
        <f>VLOOKUP($G251, 'ADP Data'!$C$4:$Q$300, 2, FALSE)</f>
        <v>DEN</v>
      </c>
      <c r="I251" s="11" t="str">
        <f>VLOOKUP(G251, 'ADP Data'!$C$4:$R$498, 12, FALSE)</f>
        <v>-</v>
      </c>
      <c r="J251" s="11" t="str">
        <f>VLOOKUP($G251, SeanRanks!$A$2:$H$303, 5, FALSE)</f>
        <v/>
      </c>
      <c r="K251" s="11" t="str">
        <f>IF(VLOOKUP($G251, SeanRanks!$A$2:$H$303, 6, FALSE)=0, "", VLOOKUP($G251, SeanRanks!$A$2:$H$303, 6, FALSE))</f>
        <v/>
      </c>
      <c r="L251" s="11">
        <f t="shared" si="5"/>
        <v>13</v>
      </c>
      <c r="M251" s="11">
        <f>VLOOKUP($G251, 'ADP Data'!$C$4:$Q$300, 9, FALSE)</f>
        <v>147</v>
      </c>
      <c r="N251" s="11">
        <f t="shared" si="6"/>
        <v>18</v>
      </c>
      <c r="O251" s="11">
        <f>VLOOKUP($G251, 'ADP Data'!$C$4:$Q$300, 3, FALSE)</f>
        <v>106</v>
      </c>
      <c r="P251" s="11">
        <f t="shared" si="7"/>
        <v>41</v>
      </c>
      <c r="Q251" s="11">
        <f>VLOOKUP($G251, 'ADP Data'!$C$4:$Q$300, 4, FALSE)</f>
        <v>94</v>
      </c>
      <c r="R251" s="11">
        <f>VLOOKUP($G251, 'ADP Data'!$C$4:$Q$300, 5, FALSE)</f>
        <v>134</v>
      </c>
      <c r="S251" s="11">
        <f>VLOOKUP($G251, 'ADP Data'!$C$4:$Q$300, 6, FALSE)</f>
        <v>203</v>
      </c>
      <c r="T251" s="11">
        <f>VLOOKUP($G251, 'ADP Data'!$C$4:$Q$300, 7, FALSE)</f>
        <v>140</v>
      </c>
      <c r="U251" s="11">
        <f>VLOOKUP($G251, 'ADP Data'!$C$4:$Q$300, 8, FALSE)</f>
        <v>82</v>
      </c>
      <c r="V251" s="11">
        <f t="shared" si="8"/>
        <v>129</v>
      </c>
      <c r="W251" s="11">
        <f t="shared" si="9"/>
        <v>11</v>
      </c>
      <c r="X251" s="11">
        <f t="shared" si="10"/>
        <v>-11</v>
      </c>
      <c r="Y251" s="11">
        <f>VLOOKUP($G251, SeanRanks!$A$2:$K$303, 10, FALSE)-V251</f>
        <v>29</v>
      </c>
      <c r="Z251" s="29" t="str">
        <f>IF(VLOOKUP($G251, SeanRanks!$A$2:$H$303, 7, FALSE)=0, "", VLOOKUP($G251, SeanRanks!$A$2:$H$303, 7, FALSE))</f>
        <v/>
      </c>
    </row>
    <row r="252" ht="14.25" customHeight="1">
      <c r="A252" s="11"/>
      <c r="B252" s="11">
        <f t="shared" si="4"/>
        <v>19</v>
      </c>
      <c r="C252" s="11" t="s">
        <v>106</v>
      </c>
      <c r="D252" s="11"/>
      <c r="E252" s="11"/>
      <c r="F252" s="11" t="str">
        <f>VLOOKUP(G252, SeanRanks!$A$2:$E$302, 4, FALSE)</f>
        <v/>
      </c>
      <c r="G252" s="11" t="s">
        <v>951</v>
      </c>
      <c r="H252" s="11" t="str">
        <f>VLOOKUP($G252, 'ADP Data'!$C$4:$Q$300, 2, FALSE)</f>
        <v>PHI</v>
      </c>
      <c r="I252" s="11">
        <f>VLOOKUP(G252, 'ADP Data'!$C$4:$R$498, 12, FALSE)</f>
        <v>167</v>
      </c>
      <c r="J252" s="11" t="str">
        <f>VLOOKUP($G252, SeanRanks!$A$2:$H$303, 5, FALSE)</f>
        <v/>
      </c>
      <c r="K252" s="11" t="str">
        <f>IF(VLOOKUP($G252, SeanRanks!$A$2:$H$303, 6, FALSE)=0, "", VLOOKUP($G252, SeanRanks!$A$2:$H$303, 6, FALSE))</f>
        <v>Handcuff only</v>
      </c>
      <c r="L252" s="11">
        <f t="shared" si="5"/>
        <v>18</v>
      </c>
      <c r="M252" s="11">
        <f>VLOOKUP($G252, 'ADP Data'!$C$4:$Q$300, 9, FALSE)</f>
        <v>204</v>
      </c>
      <c r="N252" s="11">
        <f t="shared" si="6"/>
        <v>-13</v>
      </c>
      <c r="O252" s="11">
        <f>VLOOKUP($G252, 'ADP Data'!$C$4:$Q$300, 3, FALSE)</f>
        <v>211</v>
      </c>
      <c r="P252" s="11">
        <f t="shared" si="7"/>
        <v>-7</v>
      </c>
      <c r="Q252" s="11">
        <f>VLOOKUP($G252, 'ADP Data'!$C$4:$Q$300, 4, FALSE)</f>
        <v>213</v>
      </c>
      <c r="R252" s="11">
        <f>VLOOKUP($G252, 'ADP Data'!$C$4:$Q$300, 5, FALSE)</f>
        <v>258</v>
      </c>
      <c r="S252" s="11">
        <f>VLOOKUP($G252, 'ADP Data'!$C$4:$Q$300, 6, FALSE)</f>
        <v>163</v>
      </c>
      <c r="T252" s="11">
        <f>VLOOKUP($G252, 'ADP Data'!$C$4:$Q$300, 7, FALSE)</f>
        <v>173</v>
      </c>
      <c r="U252" s="11">
        <f>VLOOKUP($G252, 'ADP Data'!$C$4:$Q$300, 8, FALSE)</f>
        <v>302</v>
      </c>
      <c r="V252" s="11">
        <f t="shared" si="8"/>
        <v>217</v>
      </c>
      <c r="W252" s="11">
        <f t="shared" si="9"/>
        <v>19</v>
      </c>
      <c r="X252" s="11">
        <f t="shared" si="10"/>
        <v>-19</v>
      </c>
      <c r="Y252" s="11">
        <f>VLOOKUP($G252, SeanRanks!$A$2:$K$303, 10, FALSE)-V252</f>
        <v>-50</v>
      </c>
      <c r="Z252" s="29" t="str">
        <f>IF(VLOOKUP($G252, SeanRanks!$A$2:$H$303, 7, FALSE)=0, "", VLOOKUP($G252, SeanRanks!$A$2:$H$303, 7, FALSE))</f>
        <v/>
      </c>
    </row>
    <row r="253" ht="14.25" customHeight="1">
      <c r="A253" s="11"/>
      <c r="B253" s="11" t="str">
        <f t="shared" si="4"/>
        <v>#N/A</v>
      </c>
      <c r="C253" s="11" t="s">
        <v>106</v>
      </c>
      <c r="D253" s="11"/>
      <c r="E253" s="11"/>
      <c r="F253" s="11" t="str">
        <f>VLOOKUP(G253, SeanRanks!$A$2:$E$302, 4, FALSE)</f>
        <v>#N/A</v>
      </c>
      <c r="G253" s="11" t="s">
        <v>707</v>
      </c>
      <c r="H253" s="11" t="str">
        <f>VLOOKUP($G253, 'ADP Data'!$C$4:$Q$300, 2, FALSE)</f>
        <v>#N/A</v>
      </c>
      <c r="I253" s="11" t="str">
        <f>VLOOKUP(G253, 'ADP Data'!$C$4:$R$498, 12, FALSE)</f>
        <v>#N/A</v>
      </c>
      <c r="J253" s="11" t="str">
        <f>VLOOKUP($G253, SeanRanks!$A$2:$H$303, 5, FALSE)</f>
        <v>#N/A</v>
      </c>
      <c r="K253" s="11" t="str">
        <f>IF(VLOOKUP($G253, SeanRanks!$A$2:$H$303, 6, FALSE)=0, "", VLOOKUP($G253, SeanRanks!$A$2:$H$303, 6, FALSE))</f>
        <v>#N/A</v>
      </c>
      <c r="L253" s="11">
        <f t="shared" si="5"/>
        <v>16</v>
      </c>
      <c r="M253" s="11" t="str">
        <f>VLOOKUP($G253, 'ADP Data'!$C$4:$Q$300, 9, FALSE)</f>
        <v>#N/A</v>
      </c>
      <c r="N253" s="11" t="str">
        <f t="shared" si="6"/>
        <v>#N/A</v>
      </c>
      <c r="O253" s="11" t="str">
        <f>VLOOKUP($G253, 'ADP Data'!$C$4:$Q$300, 3, FALSE)</f>
        <v>#N/A</v>
      </c>
      <c r="P253" s="11" t="str">
        <f t="shared" si="7"/>
        <v>#N/A</v>
      </c>
      <c r="Q253" s="11" t="str">
        <f>VLOOKUP($G253, 'ADP Data'!$C$4:$Q$300, 4, FALSE)</f>
        <v>#N/A</v>
      </c>
      <c r="R253" s="11" t="str">
        <f>VLOOKUP($G253, 'ADP Data'!$C$4:$Q$300, 5, FALSE)</f>
        <v>#N/A</v>
      </c>
      <c r="S253" s="11" t="str">
        <f>VLOOKUP($G253, 'ADP Data'!$C$4:$Q$300, 6, FALSE)</f>
        <v>#N/A</v>
      </c>
      <c r="T253" s="11" t="str">
        <f>VLOOKUP($G253, 'ADP Data'!$C$4:$Q$300, 7, FALSE)</f>
        <v>#N/A</v>
      </c>
      <c r="U253" s="11" t="str">
        <f>VLOOKUP($G253, 'ADP Data'!$C$4:$Q$300, 8, FALSE)</f>
        <v>#N/A</v>
      </c>
      <c r="V253" s="11" t="str">
        <f t="shared" si="8"/>
        <v>#N/A</v>
      </c>
      <c r="W253" s="11">
        <f t="shared" si="9"/>
        <v>16</v>
      </c>
      <c r="X253" s="11">
        <f t="shared" si="10"/>
        <v>-16</v>
      </c>
      <c r="Y253" s="11" t="str">
        <f>VLOOKUP($G253, SeanRanks!$A$2:$K$303, 10, FALSE)-V253</f>
        <v>#N/A</v>
      </c>
      <c r="Z253" s="29" t="str">
        <f>IF(VLOOKUP($G253, SeanRanks!$A$2:$H$303, 7, FALSE)=0, "", VLOOKUP($G253, SeanRanks!$A$2:$H$303, 7, FALSE))</f>
        <v>#N/A</v>
      </c>
    </row>
    <row r="254" ht="14.25" customHeight="1">
      <c r="A254" s="11"/>
      <c r="B254" s="11">
        <f t="shared" si="4"/>
        <v>15</v>
      </c>
      <c r="C254" s="11" t="s">
        <v>106</v>
      </c>
      <c r="D254" s="11"/>
      <c r="E254" s="11"/>
      <c r="F254" s="11" t="str">
        <f>VLOOKUP(G254, SeanRanks!$A$2:$E$302, 4, FALSE)</f>
        <v/>
      </c>
      <c r="G254" s="11" t="s">
        <v>515</v>
      </c>
      <c r="H254" s="11" t="str">
        <f>VLOOKUP($G254, 'ADP Data'!$C$4:$Q$300, 2, FALSE)</f>
        <v>MIN</v>
      </c>
      <c r="I254" s="11" t="str">
        <f>VLOOKUP(G254, 'ADP Data'!$C$4:$R$498, 12, FALSE)</f>
        <v>-</v>
      </c>
      <c r="J254" s="11" t="str">
        <f>VLOOKUP($G254, SeanRanks!$A$2:$H$303, 5, FALSE)</f>
        <v/>
      </c>
      <c r="K254" s="11" t="str">
        <f>IF(VLOOKUP($G254, SeanRanks!$A$2:$H$303, 6, FALSE)=0, "", VLOOKUP($G254, SeanRanks!$A$2:$H$303, 6, FALSE))</f>
        <v/>
      </c>
      <c r="L254" s="11">
        <f t="shared" si="5"/>
        <v>14</v>
      </c>
      <c r="M254" s="11">
        <f>VLOOKUP($G254, 'ADP Data'!$C$4:$Q$300, 9, FALSE)</f>
        <v>160</v>
      </c>
      <c r="N254" s="11">
        <f t="shared" si="6"/>
        <v>-5</v>
      </c>
      <c r="O254" s="11">
        <f>VLOOKUP($G254, 'ADP Data'!$C$4:$Q$300, 3, FALSE)</f>
        <v>141</v>
      </c>
      <c r="P254" s="11">
        <f t="shared" si="7"/>
        <v>19</v>
      </c>
      <c r="Q254" s="11">
        <f>VLOOKUP($G254, 'ADP Data'!$C$4:$Q$300, 4, FALSE)</f>
        <v>119</v>
      </c>
      <c r="R254" s="11">
        <f>VLOOKUP($G254, 'ADP Data'!$C$4:$Q$300, 5, FALSE)</f>
        <v>193</v>
      </c>
      <c r="S254" s="11">
        <f>VLOOKUP($G254, 'ADP Data'!$C$4:$Q$300, 6, FALSE)</f>
        <v>220</v>
      </c>
      <c r="T254" s="11">
        <f>VLOOKUP($G254, 'ADP Data'!$C$4:$Q$300, 7, FALSE)</f>
        <v>172</v>
      </c>
      <c r="U254" s="11">
        <f>VLOOKUP($G254, 'ADP Data'!$C$4:$Q$300, 8, FALSE)</f>
        <v>151</v>
      </c>
      <c r="V254" s="11">
        <f t="shared" si="8"/>
        <v>165</v>
      </c>
      <c r="W254" s="11">
        <f t="shared" si="9"/>
        <v>14</v>
      </c>
      <c r="X254" s="11">
        <f t="shared" si="10"/>
        <v>-14</v>
      </c>
      <c r="Y254" s="11">
        <f>VLOOKUP($G254, SeanRanks!$A$2:$K$303, 10, FALSE)-V254</f>
        <v>7</v>
      </c>
      <c r="Z254" s="29" t="str">
        <f>IF(VLOOKUP($G254, SeanRanks!$A$2:$H$303, 7, FALSE)=0, "", VLOOKUP($G254, SeanRanks!$A$2:$H$303, 7, FALSE))</f>
        <v/>
      </c>
    </row>
    <row r="255" ht="14.25" customHeight="1">
      <c r="A255" s="11"/>
      <c r="B255" s="11">
        <f t="shared" si="4"/>
        <v>16</v>
      </c>
      <c r="C255" s="11" t="s">
        <v>106</v>
      </c>
      <c r="D255" s="11"/>
      <c r="E255" s="11"/>
      <c r="F255" s="11" t="str">
        <f>VLOOKUP(G255, SeanRanks!$A$2:$E$302, 4, FALSE)</f>
        <v/>
      </c>
      <c r="G255" s="11" t="s">
        <v>952</v>
      </c>
      <c r="H255" s="11" t="str">
        <f>VLOOKUP($G255, 'ADP Data'!$C$4:$Q$300, 2, FALSE)</f>
        <v>BUF</v>
      </c>
      <c r="I255" s="11" t="str">
        <f>VLOOKUP(G255, 'ADP Data'!$C$4:$R$498, 12, FALSE)</f>
        <v>-</v>
      </c>
      <c r="J255" s="11" t="str">
        <f>VLOOKUP($G255, SeanRanks!$A$2:$H$303, 5, FALSE)</f>
        <v/>
      </c>
      <c r="K255" s="11" t="str">
        <f>IF(VLOOKUP($G255, SeanRanks!$A$2:$H$303, 6, FALSE)=0, "", VLOOKUP($G255, SeanRanks!$A$2:$H$303, 6, FALSE))</f>
        <v/>
      </c>
      <c r="L255" s="11">
        <f t="shared" si="5"/>
        <v>16</v>
      </c>
      <c r="M255" s="11">
        <f>VLOOKUP($G255, 'ADP Data'!$C$4:$Q$300, 9, FALSE)</f>
        <v>185</v>
      </c>
      <c r="N255" s="11">
        <f t="shared" si="6"/>
        <v>14</v>
      </c>
      <c r="O255" s="11">
        <f>VLOOKUP($G255, 'ADP Data'!$C$4:$Q$300, 3, FALSE)</f>
        <v>158</v>
      </c>
      <c r="P255" s="11">
        <f t="shared" si="7"/>
        <v>27</v>
      </c>
      <c r="Q255" s="11"/>
      <c r="R255" s="11"/>
      <c r="S255" s="11"/>
      <c r="T255" s="11"/>
      <c r="U255" s="11"/>
      <c r="V255" s="11">
        <f t="shared" si="8"/>
        <v>171</v>
      </c>
      <c r="W255" s="11">
        <f t="shared" si="9"/>
        <v>15</v>
      </c>
      <c r="X255" s="11">
        <f t="shared" si="10"/>
        <v>-15</v>
      </c>
      <c r="Y255" s="11">
        <f>VLOOKUP($G255, SeanRanks!$A$2:$K$303, 10, FALSE)-V255</f>
        <v>68</v>
      </c>
      <c r="Z255" s="29" t="str">
        <f>IF(VLOOKUP($G255, SeanRanks!$A$2:$H$303, 7, FALSE)=0, "", VLOOKUP($G255, SeanRanks!$A$2:$H$303, 7, FALSE))</f>
        <v/>
      </c>
    </row>
    <row r="256" ht="14.25" customHeight="1">
      <c r="A256" s="11"/>
      <c r="B256" s="11" t="str">
        <f t="shared" si="4"/>
        <v>#N/A</v>
      </c>
      <c r="C256" s="11" t="s">
        <v>106</v>
      </c>
      <c r="D256" s="11"/>
      <c r="E256" s="11"/>
      <c r="F256" s="11" t="str">
        <f>VLOOKUP(G256, SeanRanks!$A$2:$E$302, 4, FALSE)</f>
        <v>#N/A</v>
      </c>
      <c r="G256" s="11" t="s">
        <v>965</v>
      </c>
      <c r="H256" s="11" t="str">
        <f>VLOOKUP($G256, 'ADP Data'!$C$4:$Q$300, 2, FALSE)</f>
        <v>#N/A</v>
      </c>
      <c r="I256" s="11" t="str">
        <f>VLOOKUP(G256, 'ADP Data'!$C$4:$R$498, 12, FALSE)</f>
        <v>#N/A</v>
      </c>
      <c r="J256" s="11" t="str">
        <f>VLOOKUP($G256, SeanRanks!$A$2:$H$303, 5, FALSE)</f>
        <v>#N/A</v>
      </c>
      <c r="K256" s="11" t="str">
        <f>IF(VLOOKUP($G256, SeanRanks!$A$2:$H$303, 6, FALSE)=0, "", VLOOKUP($G256, SeanRanks!$A$2:$H$303, 6, FALSE))</f>
        <v>#N/A</v>
      </c>
      <c r="L256" s="11">
        <f t="shared" si="5"/>
        <v>16</v>
      </c>
      <c r="M256" s="11" t="str">
        <f>VLOOKUP($G256, 'ADP Data'!$C$4:$Q$300, 9, FALSE)</f>
        <v>#N/A</v>
      </c>
      <c r="N256" s="11" t="str">
        <f t="shared" si="6"/>
        <v>#N/A</v>
      </c>
      <c r="O256" s="11" t="str">
        <f>VLOOKUP($G256, 'ADP Data'!$C$4:$Q$300, 3, FALSE)</f>
        <v>#N/A</v>
      </c>
      <c r="P256" s="11" t="str">
        <f t="shared" si="7"/>
        <v>#N/A</v>
      </c>
      <c r="Q256" s="11" t="str">
        <f>VLOOKUP($G256, 'ADP Data'!$C$4:$Q$300, 4, FALSE)</f>
        <v>#N/A</v>
      </c>
      <c r="R256" s="11" t="str">
        <f>VLOOKUP($G256, 'ADP Data'!$C$4:$Q$300, 5, FALSE)</f>
        <v>#N/A</v>
      </c>
      <c r="S256" s="11" t="str">
        <f>VLOOKUP($G256, 'ADP Data'!$C$4:$Q$300, 6, FALSE)</f>
        <v>#N/A</v>
      </c>
      <c r="T256" s="11" t="str">
        <f>VLOOKUP($G256, 'ADP Data'!$C$4:$Q$300, 7, FALSE)</f>
        <v>#N/A</v>
      </c>
      <c r="U256" s="11" t="str">
        <f>VLOOKUP($G256, 'ADP Data'!$C$4:$Q$300, 8, FALSE)</f>
        <v>#N/A</v>
      </c>
      <c r="V256" s="11" t="str">
        <f t="shared" si="8"/>
        <v>#N/A</v>
      </c>
      <c r="W256" s="11">
        <f t="shared" si="9"/>
        <v>16</v>
      </c>
      <c r="X256" s="11">
        <f t="shared" si="10"/>
        <v>-16</v>
      </c>
      <c r="Y256" s="11" t="str">
        <f>VLOOKUP($G256, SeanRanks!$A$2:$K$303, 10, FALSE)-V256</f>
        <v>#N/A</v>
      </c>
      <c r="Z256" s="29" t="str">
        <f>IF(VLOOKUP($G256, SeanRanks!$A$2:$H$303, 7, FALSE)=0, "", VLOOKUP($G256, SeanRanks!$A$2:$H$303, 7, FALSE))</f>
        <v>#N/A</v>
      </c>
    </row>
    <row r="257" ht="14.25" customHeight="1">
      <c r="A257" s="11"/>
      <c r="B257" s="11">
        <f t="shared" si="4"/>
        <v>14</v>
      </c>
      <c r="C257" s="11" t="s">
        <v>106</v>
      </c>
      <c r="D257" s="11"/>
      <c r="E257" s="11"/>
      <c r="F257" s="11" t="str">
        <f>VLOOKUP(G257, SeanRanks!$A$2:$E$302, 4, FALSE)</f>
        <v/>
      </c>
      <c r="G257" s="11" t="s">
        <v>954</v>
      </c>
      <c r="H257" s="11" t="str">
        <f>VLOOKUP($G257, 'ADP Data'!$C$4:$Q$300, 2, FALSE)</f>
        <v>ATL</v>
      </c>
      <c r="I257" s="11" t="str">
        <f>VLOOKUP(G257, 'ADP Data'!$C$4:$R$498, 12, FALSE)</f>
        <v>-</v>
      </c>
      <c r="J257" s="11" t="str">
        <f>VLOOKUP($G257, SeanRanks!$A$2:$H$303, 5, FALSE)</f>
        <v/>
      </c>
      <c r="K257" s="11" t="str">
        <f>IF(VLOOKUP($G257, SeanRanks!$A$2:$H$303, 6, FALSE)=0, "", VLOOKUP($G257, SeanRanks!$A$2:$H$303, 6, FALSE))</f>
        <v/>
      </c>
      <c r="L257" s="11">
        <f t="shared" si="5"/>
        <v>14</v>
      </c>
      <c r="M257" s="11">
        <f>VLOOKUP($G257, 'ADP Data'!$C$4:$Q$300, 9, FALSE)</f>
        <v>159</v>
      </c>
      <c r="N257" s="11">
        <f t="shared" si="6"/>
        <v>-17</v>
      </c>
      <c r="O257" s="11">
        <f>VLOOKUP($G257, 'ADP Data'!$C$4:$Q$300, 3, FALSE)</f>
        <v>193</v>
      </c>
      <c r="P257" s="11">
        <f t="shared" si="7"/>
        <v>-34</v>
      </c>
      <c r="Q257" s="11"/>
      <c r="R257" s="11"/>
      <c r="S257" s="11"/>
      <c r="T257" s="11"/>
      <c r="U257" s="11"/>
      <c r="V257" s="11">
        <f t="shared" si="8"/>
        <v>176</v>
      </c>
      <c r="W257" s="11">
        <f t="shared" si="9"/>
        <v>15</v>
      </c>
      <c r="X257" s="11">
        <f t="shared" si="10"/>
        <v>-15</v>
      </c>
      <c r="Y257" s="11">
        <f>VLOOKUP($G257, SeanRanks!$A$2:$K$303, 10, FALSE)-V257</f>
        <v>70</v>
      </c>
      <c r="Z257" s="29" t="str">
        <f>IF(VLOOKUP($G257, SeanRanks!$A$2:$H$303, 7, FALSE)=0, "", VLOOKUP($G257, SeanRanks!$A$2:$H$303, 7, FALSE))</f>
        <v/>
      </c>
    </row>
    <row r="258" ht="14.25" customHeight="1">
      <c r="A258" s="11"/>
      <c r="B258" s="11">
        <f t="shared" si="4"/>
        <v>22</v>
      </c>
      <c r="C258" s="11" t="s">
        <v>106</v>
      </c>
      <c r="D258" s="11"/>
      <c r="E258" s="11"/>
      <c r="F258" s="11" t="str">
        <f>VLOOKUP(G258, SeanRanks!$A$2:$E$302, 4, FALSE)</f>
        <v/>
      </c>
      <c r="G258" s="11" t="s">
        <v>832</v>
      </c>
      <c r="H258" s="11" t="str">
        <f>VLOOKUP($G258, 'ADP Data'!$C$4:$Q$300, 2, FALSE)</f>
        <v>CIN</v>
      </c>
      <c r="I258" s="11">
        <f>VLOOKUP(G258, 'ADP Data'!$C$4:$R$498, 12, FALSE)</f>
        <v>199</v>
      </c>
      <c r="J258" s="11" t="str">
        <f>VLOOKUP($G258, SeanRanks!$A$2:$H$303, 5, FALSE)</f>
        <v/>
      </c>
      <c r="K258" s="11" t="str">
        <f>IF(VLOOKUP($G258, SeanRanks!$A$2:$H$303, 6, FALSE)=0, "", VLOOKUP($G258, SeanRanks!$A$2:$H$303, 6, FALSE))</f>
        <v/>
      </c>
      <c r="L258" s="11">
        <f t="shared" si="5"/>
        <v>22</v>
      </c>
      <c r="M258" s="11">
        <f>VLOOKUP($G258, 'ADP Data'!$C$4:$Q$300, 9, FALSE)</f>
        <v>262</v>
      </c>
      <c r="N258" s="11">
        <f t="shared" si="6"/>
        <v>-1</v>
      </c>
      <c r="O258" s="11" t="str">
        <f>VLOOKUP($G258, 'ADP Data'!$C$4:$Q$300, 3, FALSE)</f>
        <v>-</v>
      </c>
      <c r="P258" s="11" t="str">
        <f t="shared" si="7"/>
        <v>#VALUE!</v>
      </c>
      <c r="Q258" s="11" t="str">
        <f>VLOOKUP($G258, 'ADP Data'!$C$4:$Q$300, 4, FALSE)</f>
        <v>-</v>
      </c>
      <c r="R258" s="11">
        <f>VLOOKUP($G258, 'ADP Data'!$C$4:$Q$300, 5, FALSE)</f>
        <v>324</v>
      </c>
      <c r="S258" s="11">
        <f>VLOOKUP($G258, 'ADP Data'!$C$4:$Q$300, 6, FALSE)</f>
        <v>245</v>
      </c>
      <c r="T258" s="11">
        <f>VLOOKUP($G258, 'ADP Data'!$C$4:$Q$300, 7, FALSE)</f>
        <v>217</v>
      </c>
      <c r="U258" s="11">
        <f>VLOOKUP($G258, 'ADP Data'!$C$4:$Q$300, 8, FALSE)</f>
        <v>267</v>
      </c>
      <c r="V258" s="11">
        <f t="shared" si="8"/>
        <v>263</v>
      </c>
      <c r="W258" s="11">
        <f t="shared" si="9"/>
        <v>22</v>
      </c>
      <c r="X258" s="11">
        <f t="shared" si="10"/>
        <v>-22</v>
      </c>
      <c r="Y258" s="11" t="str">
        <f>VLOOKUP($G258, SeanRanks!$A$2:$K$303, 10, FALSE)-V258</f>
        <v>#VALUE!</v>
      </c>
      <c r="Z258" s="29" t="str">
        <f>IF(VLOOKUP($G258, SeanRanks!$A$2:$H$303, 7, FALSE)=0, "", VLOOKUP($G258, SeanRanks!$A$2:$H$303, 7, FALSE))</f>
        <v/>
      </c>
    </row>
    <row r="259" ht="14.25" customHeight="1">
      <c r="A259" s="11"/>
      <c r="B259" s="11" t="str">
        <f t="shared" si="4"/>
        <v>#N/A</v>
      </c>
      <c r="C259" s="11" t="s">
        <v>106</v>
      </c>
      <c r="D259" s="11"/>
      <c r="E259" s="11"/>
      <c r="F259" s="11" t="str">
        <f>VLOOKUP(G259, SeanRanks!$A$2:$E$302, 4, FALSE)</f>
        <v>#N/A</v>
      </c>
      <c r="G259" s="11" t="s">
        <v>979</v>
      </c>
      <c r="H259" s="11" t="str">
        <f>VLOOKUP($G259, 'ADP Data'!$C$4:$Q$300, 2, FALSE)</f>
        <v>#N/A</v>
      </c>
      <c r="I259" s="11" t="str">
        <f>VLOOKUP(G259, 'ADP Data'!$C$4:$R$498, 12, FALSE)</f>
        <v>#N/A</v>
      </c>
      <c r="J259" s="11" t="str">
        <f>VLOOKUP($G259, SeanRanks!$A$2:$H$303, 5, FALSE)</f>
        <v>#N/A</v>
      </c>
      <c r="K259" s="11" t="str">
        <f>IF(VLOOKUP($G259, SeanRanks!$A$2:$H$303, 6, FALSE)=0, "", VLOOKUP($G259, SeanRanks!$A$2:$H$303, 6, FALSE))</f>
        <v>#N/A</v>
      </c>
      <c r="L259" s="11">
        <f t="shared" si="5"/>
        <v>16</v>
      </c>
      <c r="M259" s="11" t="str">
        <f>VLOOKUP($G259, 'ADP Data'!$C$4:$Q$300, 9, FALSE)</f>
        <v>#N/A</v>
      </c>
      <c r="N259" s="11" t="str">
        <f t="shared" si="6"/>
        <v>#N/A</v>
      </c>
      <c r="O259" s="11" t="str">
        <f>VLOOKUP($G259, 'ADP Data'!$C$4:$Q$300, 3, FALSE)</f>
        <v>#N/A</v>
      </c>
      <c r="P259" s="11" t="str">
        <f t="shared" si="7"/>
        <v>#N/A</v>
      </c>
      <c r="Q259" s="11"/>
      <c r="R259" s="11"/>
      <c r="S259" s="11"/>
      <c r="T259" s="11"/>
      <c r="U259" s="11"/>
      <c r="V259" s="11" t="str">
        <f t="shared" si="8"/>
        <v>#N/A</v>
      </c>
      <c r="W259" s="11">
        <f t="shared" si="9"/>
        <v>16</v>
      </c>
      <c r="X259" s="11">
        <f t="shared" si="10"/>
        <v>-16</v>
      </c>
      <c r="Y259" s="11" t="str">
        <f>VLOOKUP($G259, SeanRanks!$A$2:$K$303, 10, FALSE)-V259</f>
        <v>#N/A</v>
      </c>
      <c r="Z259" s="29" t="str">
        <f>IF(VLOOKUP($G259, SeanRanks!$A$2:$H$303, 7, FALSE)=0, "", VLOOKUP($G259, SeanRanks!$A$2:$H$303, 7, FALSE))</f>
        <v>#N/A</v>
      </c>
    </row>
    <row r="260" ht="14.25" customHeight="1">
      <c r="A260" s="11"/>
      <c r="B260" s="11">
        <f t="shared" si="4"/>
        <v>18</v>
      </c>
      <c r="C260" s="11" t="s">
        <v>106</v>
      </c>
      <c r="D260" s="11"/>
      <c r="E260" s="11"/>
      <c r="F260" s="11" t="str">
        <f>VLOOKUP(G260, SeanRanks!$A$2:$E$302, 4, FALSE)</f>
        <v/>
      </c>
      <c r="G260" s="11" t="s">
        <v>504</v>
      </c>
      <c r="H260" s="11" t="str">
        <f>VLOOKUP($G260, 'ADP Data'!$C$4:$Q$300, 2, FALSE)</f>
        <v>NE</v>
      </c>
      <c r="I260" s="11" t="str">
        <f>VLOOKUP(G260, 'ADP Data'!$C$4:$R$498, 12, FALSE)</f>
        <v>-</v>
      </c>
      <c r="J260" s="11" t="str">
        <f>VLOOKUP($G260, SeanRanks!$A$2:$H$303, 5, FALSE)</f>
        <v/>
      </c>
      <c r="K260" s="11" t="str">
        <f>IF(VLOOKUP($G260, SeanRanks!$A$2:$H$303, 6, FALSE)=0, "", VLOOKUP($G260, SeanRanks!$A$2:$H$303, 6, FALSE))</f>
        <v/>
      </c>
      <c r="L260" s="11">
        <f t="shared" si="5"/>
        <v>21</v>
      </c>
      <c r="M260" s="11">
        <f>VLOOKUP($G260, 'ADP Data'!$C$4:$Q$300, 9, FALSE)</f>
        <v>240</v>
      </c>
      <c r="N260" s="11">
        <f t="shared" si="6"/>
        <v>26</v>
      </c>
      <c r="O260" s="11" t="str">
        <f>VLOOKUP($G260, 'ADP Data'!$C$4:$Q$300, 3, FALSE)</f>
        <v>-</v>
      </c>
      <c r="P260" s="11" t="str">
        <f t="shared" si="7"/>
        <v>#VALUE!</v>
      </c>
      <c r="Q260" s="11">
        <f>VLOOKUP($G260, 'ADP Data'!$C$4:$Q$300, 4, FALSE)</f>
        <v>152</v>
      </c>
      <c r="R260" s="11" t="str">
        <f>VLOOKUP($G260, 'ADP Data'!$C$4:$Q$300, 5, FALSE)</f>
        <v>-</v>
      </c>
      <c r="S260" s="11">
        <f>VLOOKUP($G260, 'ADP Data'!$C$4:$Q$300, 6, FALSE)</f>
        <v>265</v>
      </c>
      <c r="T260" s="11">
        <f>VLOOKUP($G260, 'ADP Data'!$C$4:$Q$300, 7, FALSE)</f>
        <v>226</v>
      </c>
      <c r="U260" s="11">
        <f>VLOOKUP($G260, 'ADP Data'!$C$4:$Q$300, 8, FALSE)</f>
        <v>190</v>
      </c>
      <c r="V260" s="11">
        <f t="shared" si="8"/>
        <v>214</v>
      </c>
      <c r="W260" s="11">
        <f t="shared" si="9"/>
        <v>18</v>
      </c>
      <c r="X260" s="11">
        <f t="shared" si="10"/>
        <v>-18</v>
      </c>
      <c r="Y260" s="11">
        <f>VLOOKUP($G260, SeanRanks!$A$2:$K$303, 10, FALSE)-V260</f>
        <v>30</v>
      </c>
      <c r="Z260" s="29" t="str">
        <f>IF(VLOOKUP($G260, SeanRanks!$A$2:$H$303, 7, FALSE)=0, "", VLOOKUP($G260, SeanRanks!$A$2:$H$303, 7, FALSE))</f>
        <v/>
      </c>
    </row>
    <row r="261" ht="14.25" customHeight="1">
      <c r="A261" s="11"/>
      <c r="B261" s="11" t="str">
        <f t="shared" si="4"/>
        <v>#N/A</v>
      </c>
      <c r="C261" s="11" t="s">
        <v>106</v>
      </c>
      <c r="D261" s="11"/>
      <c r="E261" s="11"/>
      <c r="F261" s="11" t="str">
        <f>VLOOKUP(G261, SeanRanks!$A$2:$E$302, 4, FALSE)</f>
        <v>#N/A</v>
      </c>
      <c r="G261" s="11" t="s">
        <v>529</v>
      </c>
      <c r="H261" s="11" t="str">
        <f>VLOOKUP($G261, 'ADP Data'!$C$4:$Q$300, 2, FALSE)</f>
        <v>#N/A</v>
      </c>
      <c r="I261" s="11" t="str">
        <f>VLOOKUP(G261, 'ADP Data'!$C$4:$R$498, 12, FALSE)</f>
        <v>#N/A</v>
      </c>
      <c r="J261" s="11" t="str">
        <f>VLOOKUP($G261, SeanRanks!$A$2:$H$303, 5, FALSE)</f>
        <v>#N/A</v>
      </c>
      <c r="K261" s="11" t="str">
        <f>IF(VLOOKUP($G261, SeanRanks!$A$2:$H$303, 6, FALSE)=0, "", VLOOKUP($G261, SeanRanks!$A$2:$H$303, 6, FALSE))</f>
        <v>#N/A</v>
      </c>
      <c r="L261" s="11">
        <f t="shared" si="5"/>
        <v>16</v>
      </c>
      <c r="M261" s="11" t="str">
        <f>VLOOKUP($G261, 'ADP Data'!$C$4:$Q$300, 9, FALSE)</f>
        <v>#N/A</v>
      </c>
      <c r="N261" s="11" t="str">
        <f t="shared" si="6"/>
        <v>#N/A</v>
      </c>
      <c r="O261" s="11" t="str">
        <f>VLOOKUP($G261, 'ADP Data'!$C$4:$Q$300, 3, FALSE)</f>
        <v>#N/A</v>
      </c>
      <c r="P261" s="11" t="str">
        <f t="shared" si="7"/>
        <v>#N/A</v>
      </c>
      <c r="Q261" s="11" t="str">
        <f>VLOOKUP($G261, 'ADP Data'!$C$4:$Q$300, 4, FALSE)</f>
        <v>#N/A</v>
      </c>
      <c r="R261" s="11" t="str">
        <f>VLOOKUP($G261, 'ADP Data'!$C$4:$Q$300, 5, FALSE)</f>
        <v>#N/A</v>
      </c>
      <c r="S261" s="11" t="str">
        <f>VLOOKUP($G261, 'ADP Data'!$C$4:$Q$300, 6, FALSE)</f>
        <v>#N/A</v>
      </c>
      <c r="T261" s="11" t="str">
        <f>VLOOKUP($G261, 'ADP Data'!$C$4:$Q$300, 7, FALSE)</f>
        <v>#N/A</v>
      </c>
      <c r="U261" s="11" t="str">
        <f>VLOOKUP($G261, 'ADP Data'!$C$4:$Q$300, 8, FALSE)</f>
        <v>#N/A</v>
      </c>
      <c r="V261" s="11" t="str">
        <f t="shared" si="8"/>
        <v>#N/A</v>
      </c>
      <c r="W261" s="11">
        <f t="shared" si="9"/>
        <v>16</v>
      </c>
      <c r="X261" s="11">
        <f t="shared" si="10"/>
        <v>-16</v>
      </c>
      <c r="Y261" s="11" t="str">
        <f>VLOOKUP($G261, SeanRanks!$A$2:$K$303, 10, FALSE)-V261</f>
        <v>#N/A</v>
      </c>
      <c r="Z261" s="29" t="str">
        <f>IF(VLOOKUP($G261, SeanRanks!$A$2:$H$303, 7, FALSE)=0, "", VLOOKUP($G261, SeanRanks!$A$2:$H$303, 7, FALSE))</f>
        <v>#N/A</v>
      </c>
    </row>
    <row r="262" ht="14.25" customHeight="1">
      <c r="A262" s="11"/>
      <c r="B262" s="11">
        <f t="shared" si="4"/>
        <v>10</v>
      </c>
      <c r="C262" s="11" t="s">
        <v>106</v>
      </c>
      <c r="D262" s="11"/>
      <c r="E262" s="11"/>
      <c r="F262" s="11" t="str">
        <f>VLOOKUP(G262, SeanRanks!$A$2:$E$302, 4, FALSE)</f>
        <v/>
      </c>
      <c r="G262" s="11" t="s">
        <v>239</v>
      </c>
      <c r="H262" s="11" t="str">
        <f>VLOOKUP($G262, 'ADP Data'!$C$4:$Q$300, 2, FALSE)</f>
        <v>GB</v>
      </c>
      <c r="I262" s="11">
        <f>VLOOKUP(G262, 'ADP Data'!$C$4:$R$498, 12, FALSE)</f>
        <v>112</v>
      </c>
      <c r="J262" s="11" t="str">
        <f>VLOOKUP($G262, SeanRanks!$A$2:$H$303, 5, FALSE)</f>
        <v>Yes</v>
      </c>
      <c r="K262" s="11" t="str">
        <f>IF(VLOOKUP($G262, SeanRanks!$A$2:$H$303, 6, FALSE)=0, "", VLOOKUP($G262, SeanRanks!$A$2:$H$303, 6, FALSE))</f>
        <v>TE2 - 1 - Big Upside</v>
      </c>
      <c r="L262" s="11">
        <f t="shared" si="5"/>
        <v>9</v>
      </c>
      <c r="M262" s="11">
        <f>VLOOKUP($G262, 'ADP Data'!$C$4:$Q$300, 9, FALSE)</f>
        <v>105</v>
      </c>
      <c r="N262" s="11">
        <f t="shared" si="6"/>
        <v>-4</v>
      </c>
      <c r="O262" s="11">
        <f>VLOOKUP($G262, 'ADP Data'!$C$4:$Q$300, 3, FALSE)</f>
        <v>114</v>
      </c>
      <c r="P262" s="11">
        <f t="shared" si="7"/>
        <v>-9</v>
      </c>
      <c r="Q262" s="11">
        <f>VLOOKUP($G262, 'ADP Data'!$C$4:$Q$300, 4, FALSE)</f>
        <v>106</v>
      </c>
      <c r="R262" s="11">
        <f>VLOOKUP($G262, 'ADP Data'!$C$4:$Q$300, 5, FALSE)</f>
        <v>123</v>
      </c>
      <c r="S262" s="11">
        <f>VLOOKUP($G262, 'ADP Data'!$C$4:$Q$300, 6, FALSE)</f>
        <v>91</v>
      </c>
      <c r="T262" s="11">
        <f>VLOOKUP($G262, 'ADP Data'!$C$4:$Q$300, 7, FALSE)</f>
        <v>111</v>
      </c>
      <c r="U262" s="11">
        <f>VLOOKUP($G262, 'ADP Data'!$C$4:$Q$300, 8, FALSE)</f>
        <v>116</v>
      </c>
      <c r="V262" s="11">
        <f t="shared" si="8"/>
        <v>109</v>
      </c>
      <c r="W262" s="11">
        <f t="shared" si="9"/>
        <v>10</v>
      </c>
      <c r="X262" s="11">
        <f t="shared" si="10"/>
        <v>-10</v>
      </c>
      <c r="Y262" s="11">
        <f>VLOOKUP($G262, SeanRanks!$A$2:$K$303, 10, FALSE)-V262</f>
        <v>-24</v>
      </c>
      <c r="Z262" s="29">
        <f>IF(VLOOKUP($G262, SeanRanks!$A$2:$H$303, 7, FALSE)=0, "", VLOOKUP($G262, SeanRanks!$A$2:$H$303, 7, FALSE))</f>
        <v>12</v>
      </c>
    </row>
    <row r="263" ht="14.25" customHeight="1">
      <c r="A263" s="11"/>
      <c r="B263" s="11">
        <f t="shared" si="4"/>
        <v>14</v>
      </c>
      <c r="C263" s="11" t="s">
        <v>106</v>
      </c>
      <c r="D263" s="11"/>
      <c r="E263" s="11"/>
      <c r="F263" s="11" t="str">
        <f>VLOOKUP(G263, SeanRanks!$A$2:$E$302, 4, FALSE)</f>
        <v/>
      </c>
      <c r="G263" s="11" t="s">
        <v>620</v>
      </c>
      <c r="H263" s="11" t="str">
        <f>VLOOKUP($G263, 'ADP Data'!$C$4:$Q$300, 2, FALSE)</f>
        <v>CIN</v>
      </c>
      <c r="I263" s="11" t="str">
        <f>VLOOKUP(G263, 'ADP Data'!$C$4:$R$498, 12, FALSE)</f>
        <v>-</v>
      </c>
      <c r="J263" s="11" t="str">
        <f>VLOOKUP($G263, SeanRanks!$A$2:$H$303, 5, FALSE)</f>
        <v/>
      </c>
      <c r="K263" s="11" t="str">
        <f>IF(VLOOKUP($G263, SeanRanks!$A$2:$H$303, 6, FALSE)=0, "", VLOOKUP($G263, SeanRanks!$A$2:$H$303, 6, FALSE))</f>
        <v/>
      </c>
      <c r="L263" s="11">
        <f t="shared" si="5"/>
        <v>14</v>
      </c>
      <c r="M263" s="11">
        <f>VLOOKUP($G263, 'ADP Data'!$C$4:$Q$300, 9, FALSE)</f>
        <v>163</v>
      </c>
      <c r="N263" s="11">
        <f t="shared" si="6"/>
        <v>-13</v>
      </c>
      <c r="O263" s="11">
        <f>VLOOKUP($G263, 'ADP Data'!$C$4:$Q$300, 3, FALSE)</f>
        <v>189</v>
      </c>
      <c r="P263" s="11">
        <f t="shared" si="7"/>
        <v>-26</v>
      </c>
      <c r="Q263" s="11"/>
      <c r="R263" s="11"/>
      <c r="S263" s="11"/>
      <c r="T263" s="11"/>
      <c r="U263" s="11"/>
      <c r="V263" s="11">
        <f t="shared" si="8"/>
        <v>176</v>
      </c>
      <c r="W263" s="11">
        <f t="shared" si="9"/>
        <v>15</v>
      </c>
      <c r="X263" s="11">
        <f t="shared" si="10"/>
        <v>-15</v>
      </c>
      <c r="Y263" s="11">
        <f>VLOOKUP($G263, SeanRanks!$A$2:$K$303, 10, FALSE)-V263</f>
        <v>42</v>
      </c>
      <c r="Z263" s="29" t="str">
        <f>IF(VLOOKUP($G263, SeanRanks!$A$2:$H$303, 7, FALSE)=0, "", VLOOKUP($G263, SeanRanks!$A$2:$H$303, 7, FALSE))</f>
        <v/>
      </c>
    </row>
    <row r="264" ht="14.25" customHeight="1">
      <c r="A264" s="11"/>
      <c r="B264" s="11">
        <f t="shared" si="4"/>
        <v>13</v>
      </c>
      <c r="C264" s="11" t="s">
        <v>106</v>
      </c>
      <c r="D264" s="11"/>
      <c r="E264" s="11"/>
      <c r="F264" s="11" t="str">
        <f>VLOOKUP(G264, SeanRanks!$A$2:$E$302, 4, FALSE)</f>
        <v/>
      </c>
      <c r="G264" s="11" t="s">
        <v>810</v>
      </c>
      <c r="H264" s="11" t="str">
        <f>VLOOKUP($G264, 'ADP Data'!$C$4:$Q$300, 2, FALSE)</f>
        <v>MIN</v>
      </c>
      <c r="I264" s="11">
        <f>VLOOKUP(G264, 'ADP Data'!$C$4:$R$498, 12, FALSE)</f>
        <v>125</v>
      </c>
      <c r="J264" s="11" t="str">
        <f>VLOOKUP($G264, SeanRanks!$A$2:$H$303, 5, FALSE)</f>
        <v/>
      </c>
      <c r="K264" s="11" t="str">
        <f>IF(VLOOKUP($G264, SeanRanks!$A$2:$H$303, 6, FALSE)=0, "", VLOOKUP($G264, SeanRanks!$A$2:$H$303, 6, FALSE))</f>
        <v>QB3 - Not League Winner</v>
      </c>
      <c r="L264" s="11">
        <f t="shared" si="5"/>
        <v>13</v>
      </c>
      <c r="M264" s="11">
        <f>VLOOKUP($G264, 'ADP Data'!$C$4:$Q$300, 9, FALSE)</f>
        <v>146</v>
      </c>
      <c r="N264" s="11">
        <f t="shared" si="6"/>
        <v>1</v>
      </c>
      <c r="O264" s="11">
        <f>VLOOKUP($G264, 'ADP Data'!$C$4:$Q$300, 3, FALSE)</f>
        <v>152</v>
      </c>
      <c r="P264" s="11">
        <f t="shared" si="7"/>
        <v>-6</v>
      </c>
      <c r="Q264" s="11">
        <f>VLOOKUP($G264, 'ADP Data'!$C$4:$Q$300, 4, FALSE)</f>
        <v>138</v>
      </c>
      <c r="R264" s="11">
        <f>VLOOKUP($G264, 'ADP Data'!$C$4:$Q$300, 5, FALSE)</f>
        <v>157</v>
      </c>
      <c r="S264" s="11">
        <f>VLOOKUP($G264, 'ADP Data'!$C$4:$Q$300, 6, FALSE)</f>
        <v>139</v>
      </c>
      <c r="T264" s="11">
        <f>VLOOKUP($G264, 'ADP Data'!$C$4:$Q$300, 7, FALSE)</f>
        <v>135</v>
      </c>
      <c r="U264" s="11">
        <f>VLOOKUP($G264, 'ADP Data'!$C$4:$Q$300, 8, FALSE)</f>
        <v>154</v>
      </c>
      <c r="V264" s="11">
        <f t="shared" si="8"/>
        <v>145</v>
      </c>
      <c r="W264" s="11">
        <f t="shared" si="9"/>
        <v>13</v>
      </c>
      <c r="X264" s="11">
        <f t="shared" si="10"/>
        <v>-13</v>
      </c>
      <c r="Y264" s="11">
        <f>VLOOKUP($G264, SeanRanks!$A$2:$K$303, 10, FALSE)-V264</f>
        <v>-20</v>
      </c>
      <c r="Z264" s="29">
        <f>IF(VLOOKUP($G264, SeanRanks!$A$2:$H$303, 7, FALSE)=0, "", VLOOKUP($G264, SeanRanks!$A$2:$H$303, 7, FALSE))</f>
        <v>23</v>
      </c>
    </row>
    <row r="265" ht="14.25" customHeight="1">
      <c r="A265" s="11"/>
      <c r="B265" s="11" t="str">
        <f t="shared" si="4"/>
        <v>#N/A</v>
      </c>
      <c r="C265" s="11" t="s">
        <v>106</v>
      </c>
      <c r="D265" s="11"/>
      <c r="E265" s="11"/>
      <c r="F265" s="11" t="str">
        <f>VLOOKUP(G265, SeanRanks!$A$2:$E$302, 4, FALSE)</f>
        <v>#N/A</v>
      </c>
      <c r="G265" s="11" t="s">
        <v>971</v>
      </c>
      <c r="H265" s="11" t="str">
        <f>VLOOKUP($G265, 'ADP Data'!$C$4:$Q$300, 2, FALSE)</f>
        <v>#N/A</v>
      </c>
      <c r="I265" s="11" t="str">
        <f>VLOOKUP(G265, 'ADP Data'!$C$4:$R$498, 12, FALSE)</f>
        <v>#N/A</v>
      </c>
      <c r="J265" s="11" t="str">
        <f>VLOOKUP($G265, SeanRanks!$A$2:$H$303, 5, FALSE)</f>
        <v>#N/A</v>
      </c>
      <c r="K265" s="11" t="str">
        <f>IF(VLOOKUP($G265, SeanRanks!$A$2:$H$303, 6, FALSE)=0, "", VLOOKUP($G265, SeanRanks!$A$2:$H$303, 6, FALSE))</f>
        <v>#N/A</v>
      </c>
      <c r="L265" s="11">
        <f t="shared" si="5"/>
        <v>16</v>
      </c>
      <c r="M265" s="11" t="str">
        <f>VLOOKUP($G265, 'ADP Data'!$C$4:$Q$300, 9, FALSE)</f>
        <v>#N/A</v>
      </c>
      <c r="N265" s="11" t="str">
        <f t="shared" si="6"/>
        <v>#N/A</v>
      </c>
      <c r="O265" s="11" t="str">
        <f>VLOOKUP($G265, 'ADP Data'!$C$4:$Q$300, 3, FALSE)</f>
        <v>#N/A</v>
      </c>
      <c r="P265" s="11" t="str">
        <f t="shared" si="7"/>
        <v>#N/A</v>
      </c>
      <c r="Q265" s="11" t="str">
        <f>VLOOKUP($G265, 'ADP Data'!$C$4:$Q$300, 4, FALSE)</f>
        <v>#N/A</v>
      </c>
      <c r="R265" s="11" t="str">
        <f>VLOOKUP($G265, 'ADP Data'!$C$4:$Q$300, 5, FALSE)</f>
        <v>#N/A</v>
      </c>
      <c r="S265" s="11" t="str">
        <f>VLOOKUP($G265, 'ADP Data'!$C$4:$Q$300, 6, FALSE)</f>
        <v>#N/A</v>
      </c>
      <c r="T265" s="11" t="str">
        <f>VLOOKUP($G265, 'ADP Data'!$C$4:$Q$300, 7, FALSE)</f>
        <v>#N/A</v>
      </c>
      <c r="U265" s="11" t="str">
        <f>VLOOKUP($G265, 'ADP Data'!$C$4:$Q$300, 8, FALSE)</f>
        <v>#N/A</v>
      </c>
      <c r="V265" s="11" t="str">
        <f t="shared" si="8"/>
        <v>#N/A</v>
      </c>
      <c r="W265" s="11">
        <f t="shared" si="9"/>
        <v>16</v>
      </c>
      <c r="X265" s="11">
        <f t="shared" si="10"/>
        <v>-16</v>
      </c>
      <c r="Y265" s="11" t="str">
        <f>VLOOKUP($G265, SeanRanks!$A$2:$K$303, 10, FALSE)-V265</f>
        <v>#N/A</v>
      </c>
      <c r="Z265" s="29" t="str">
        <f>IF(VLOOKUP($G265, SeanRanks!$A$2:$H$303, 7, FALSE)=0, "", VLOOKUP($G265, SeanRanks!$A$2:$H$303, 7, FALSE))</f>
        <v>#N/A</v>
      </c>
    </row>
    <row r="266" ht="14.25" customHeight="1">
      <c r="A266" s="11"/>
      <c r="B266" s="11">
        <f t="shared" si="4"/>
        <v>20</v>
      </c>
      <c r="C266" s="11" t="s">
        <v>106</v>
      </c>
      <c r="D266" s="11"/>
      <c r="E266" s="11"/>
      <c r="F266" s="11" t="str">
        <f>VLOOKUP(G266, SeanRanks!$A$2:$E$302, 4, FALSE)</f>
        <v/>
      </c>
      <c r="G266" s="11" t="s">
        <v>387</v>
      </c>
      <c r="H266" s="11" t="str">
        <f>VLOOKUP($G266, 'ADP Data'!$C$4:$Q$300, 2, FALSE)</f>
        <v>BAL</v>
      </c>
      <c r="I266" s="11">
        <f>VLOOKUP(G266, 'ADP Data'!$C$4:$R$498, 12, FALSE)</f>
        <v>184</v>
      </c>
      <c r="J266" s="11" t="str">
        <f>VLOOKUP($G266, SeanRanks!$A$2:$H$303, 5, FALSE)</f>
        <v>Yes</v>
      </c>
      <c r="K266" s="11" t="str">
        <f>IF(VLOOKUP($G266, SeanRanks!$A$2:$H$303, 6, FALSE)=0, "", VLOOKUP($G266, SeanRanks!$A$2:$H$303, 6, FALSE))</f>
        <v>RB5 - 1 - upside</v>
      </c>
      <c r="L266" s="11">
        <f t="shared" si="5"/>
        <v>19</v>
      </c>
      <c r="M266" s="11">
        <f>VLOOKUP($G266, 'ADP Data'!$C$4:$Q$300, 9, FALSE)</f>
        <v>223</v>
      </c>
      <c r="N266" s="11">
        <f t="shared" si="6"/>
        <v>-10</v>
      </c>
      <c r="O266" s="11" t="str">
        <f>VLOOKUP($G266, 'ADP Data'!$C$4:$Q$300, 3, FALSE)</f>
        <v>-</v>
      </c>
      <c r="P266" s="11" t="str">
        <f t="shared" si="7"/>
        <v>#VALUE!</v>
      </c>
      <c r="Q266" s="11" t="str">
        <f>VLOOKUP($G266, 'ADP Data'!$C$4:$Q$300, 4, FALSE)</f>
        <v>-</v>
      </c>
      <c r="R266" s="11">
        <f>VLOOKUP($G266, 'ADP Data'!$C$4:$Q$300, 5, FALSE)</f>
        <v>312</v>
      </c>
      <c r="S266" s="11">
        <f>VLOOKUP($G266, 'ADP Data'!$C$4:$Q$300, 6, FALSE)</f>
        <v>166</v>
      </c>
      <c r="T266" s="11">
        <f>VLOOKUP($G266, 'ADP Data'!$C$4:$Q$300, 7, FALSE)</f>
        <v>184</v>
      </c>
      <c r="U266" s="11">
        <f>VLOOKUP($G266, 'ADP Data'!$C$4:$Q$300, 8, FALSE)</f>
        <v>283</v>
      </c>
      <c r="V266" s="11">
        <f t="shared" si="8"/>
        <v>233</v>
      </c>
      <c r="W266" s="11">
        <f t="shared" si="9"/>
        <v>20</v>
      </c>
      <c r="X266" s="11">
        <f t="shared" si="10"/>
        <v>-20</v>
      </c>
      <c r="Y266" s="11">
        <f>VLOOKUP($G266, SeanRanks!$A$2:$K$303, 10, FALSE)-V266</f>
        <v>-28</v>
      </c>
      <c r="Z266" s="29">
        <f>IF(VLOOKUP($G266, SeanRanks!$A$2:$H$303, 7, FALSE)=0, "", VLOOKUP($G266, SeanRanks!$A$2:$H$303, 7, FALSE))</f>
        <v>52</v>
      </c>
    </row>
    <row r="267" ht="14.25" customHeight="1">
      <c r="A267" s="11"/>
      <c r="B267" s="11"/>
      <c r="C267" s="11" t="s">
        <v>106</v>
      </c>
      <c r="D267" s="11"/>
      <c r="E267" s="11"/>
      <c r="F267" s="11" t="str">
        <f>VLOOKUP(G267, SeanRanks!$A$2:$E$302, 4, FALSE)</f>
        <v>#N/A</v>
      </c>
      <c r="G267" s="11" t="s">
        <v>961</v>
      </c>
      <c r="H267" s="11" t="str">
        <f>VLOOKUP($G267, 'ADP Data'!$C$4:$Q$300, 2, FALSE)</f>
        <v>#N/A</v>
      </c>
      <c r="I267" s="11" t="str">
        <f>VLOOKUP(G267, 'ADP Data'!$C$4:$R$498, 12, FALSE)</f>
        <v>#N/A</v>
      </c>
      <c r="J267" s="11" t="str">
        <f>VLOOKUP($G267, SeanRanks!$A$2:$H$303, 5, FALSE)</f>
        <v>#N/A</v>
      </c>
      <c r="K267" s="11" t="str">
        <f>IF(VLOOKUP($G267, SeanRanks!$A$2:$H$303, 6, FALSE)=0, "", VLOOKUP($G267, SeanRanks!$A$2:$H$303, 6, FALSE))</f>
        <v>#N/A</v>
      </c>
      <c r="L267" s="11">
        <f t="shared" si="5"/>
        <v>16</v>
      </c>
      <c r="M267" s="11" t="str">
        <f>VLOOKUP($G267, 'ADP Data'!$C$4:$Q$300, 9, FALSE)</f>
        <v>#N/A</v>
      </c>
      <c r="N267" s="11" t="str">
        <f t="shared" si="6"/>
        <v>#N/A</v>
      </c>
      <c r="O267" s="11" t="str">
        <f>VLOOKUP($G267, 'ADP Data'!$C$4:$Q$300, 3, FALSE)</f>
        <v>#N/A</v>
      </c>
      <c r="P267" s="11" t="str">
        <f t="shared" si="7"/>
        <v>#N/A</v>
      </c>
      <c r="Q267" s="11" t="str">
        <f>VLOOKUP($G267, 'ADP Data'!$C$4:$Q$300, 4, FALSE)</f>
        <v>#N/A</v>
      </c>
      <c r="R267" s="11" t="str">
        <f>VLOOKUP($G267, 'ADP Data'!$C$4:$Q$300, 5, FALSE)</f>
        <v>#N/A</v>
      </c>
      <c r="S267" s="11" t="str">
        <f>VLOOKUP($G267, 'ADP Data'!$C$4:$Q$300, 6, FALSE)</f>
        <v>#N/A</v>
      </c>
      <c r="T267" s="11" t="str">
        <f>VLOOKUP($G267, 'ADP Data'!$C$4:$Q$300, 7, FALSE)</f>
        <v>#N/A</v>
      </c>
      <c r="U267" s="11" t="str">
        <f>VLOOKUP($G267, 'ADP Data'!$C$4:$Q$300, 8, FALSE)</f>
        <v>#N/A</v>
      </c>
      <c r="V267" s="11" t="str">
        <f t="shared" si="8"/>
        <v>#N/A</v>
      </c>
      <c r="W267" s="11">
        <f t="shared" si="9"/>
        <v>16</v>
      </c>
      <c r="X267" s="11">
        <f t="shared" si="10"/>
        <v>-16</v>
      </c>
      <c r="Y267" s="11" t="str">
        <f>VLOOKUP($G267, SeanRanks!$A$2:$K$303, 10, FALSE)-V267</f>
        <v>#N/A</v>
      </c>
      <c r="Z267" s="29" t="str">
        <f>IF(VLOOKUP($G267, SeanRanks!$A$2:$H$303, 7, FALSE)=0, "", VLOOKUP($G267, SeanRanks!$A$2:$H$303, 7, FALSE))</f>
        <v>#N/A</v>
      </c>
    </row>
    <row r="268" ht="14.25" customHeight="1">
      <c r="A268" s="11"/>
      <c r="B268" s="11" t="str">
        <f t="shared" ref="B268:B294" si="11">IFERROR(INT(AVERAGE(Q268:U268)/12)+1, INT(AVERAGE(M268)/12)+1)</f>
        <v>#N/A</v>
      </c>
      <c r="C268" s="11" t="s">
        <v>106</v>
      </c>
      <c r="D268" s="11"/>
      <c r="E268" s="11"/>
      <c r="F268" s="11" t="str">
        <f>VLOOKUP(G268, SeanRanks!$A$2:$E$302, 4, FALSE)</f>
        <v>#N/A</v>
      </c>
      <c r="G268" s="11" t="s">
        <v>956</v>
      </c>
      <c r="H268" s="11" t="str">
        <f>VLOOKUP($G268, 'ADP Data'!$C$4:$Q$300, 2, FALSE)</f>
        <v>#N/A</v>
      </c>
      <c r="I268" s="11" t="str">
        <f>VLOOKUP(G268, 'ADP Data'!$C$4:$R$498, 12, FALSE)</f>
        <v>#N/A</v>
      </c>
      <c r="J268" s="11" t="str">
        <f>VLOOKUP($G268, SeanRanks!$A$2:$H$303, 5, FALSE)</f>
        <v>#N/A</v>
      </c>
      <c r="K268" s="11" t="str">
        <f>IF(VLOOKUP($G268, SeanRanks!$A$2:$H$303, 6, FALSE)=0, "", VLOOKUP($G268, SeanRanks!$A$2:$H$303, 6, FALSE))</f>
        <v>#N/A</v>
      </c>
      <c r="L268" s="11">
        <f t="shared" si="5"/>
        <v>16</v>
      </c>
      <c r="M268" s="11" t="str">
        <f>VLOOKUP($G268, 'ADP Data'!$C$4:$Q$300, 9, FALSE)</f>
        <v>#N/A</v>
      </c>
      <c r="N268" s="11" t="str">
        <f t="shared" si="6"/>
        <v>#N/A</v>
      </c>
      <c r="O268" s="11" t="str">
        <f>VLOOKUP($G268, 'ADP Data'!$C$4:$Q$300, 3, FALSE)</f>
        <v>#N/A</v>
      </c>
      <c r="P268" s="11" t="str">
        <f t="shared" si="7"/>
        <v>#N/A</v>
      </c>
      <c r="Q268" s="11" t="str">
        <f>VLOOKUP($G268, 'ADP Data'!$C$4:$Q$300, 4, FALSE)</f>
        <v>#N/A</v>
      </c>
      <c r="R268" s="11" t="str">
        <f>VLOOKUP($G268, 'ADP Data'!$C$4:$Q$300, 5, FALSE)</f>
        <v>#N/A</v>
      </c>
      <c r="S268" s="11" t="str">
        <f>VLOOKUP($G268, 'ADP Data'!$C$4:$Q$300, 6, FALSE)</f>
        <v>#N/A</v>
      </c>
      <c r="T268" s="11" t="str">
        <f>VLOOKUP($G268, 'ADP Data'!$C$4:$Q$300, 7, FALSE)</f>
        <v>#N/A</v>
      </c>
      <c r="U268" s="11" t="str">
        <f>VLOOKUP($G268, 'ADP Data'!$C$4:$Q$300, 8, FALSE)</f>
        <v>#N/A</v>
      </c>
      <c r="V268" s="11" t="str">
        <f t="shared" si="8"/>
        <v>#N/A</v>
      </c>
      <c r="W268" s="11">
        <f t="shared" si="9"/>
        <v>16</v>
      </c>
      <c r="X268" s="11">
        <f t="shared" si="10"/>
        <v>-16</v>
      </c>
      <c r="Y268" s="11" t="str">
        <f>VLOOKUP($G268, SeanRanks!$A$2:$K$303, 10, FALSE)-V268</f>
        <v>#N/A</v>
      </c>
      <c r="Z268" s="29" t="str">
        <f>IF(VLOOKUP($G268, SeanRanks!$A$2:$H$303, 7, FALSE)=0, "", VLOOKUP($G268, SeanRanks!$A$2:$H$303, 7, FALSE))</f>
        <v>#N/A</v>
      </c>
    </row>
    <row r="269" ht="14.25" customHeight="1">
      <c r="A269" s="11"/>
      <c r="B269" s="11" t="str">
        <f t="shared" si="11"/>
        <v>#N/A</v>
      </c>
      <c r="C269" s="11" t="s">
        <v>106</v>
      </c>
      <c r="D269" s="11"/>
      <c r="E269" s="11"/>
      <c r="F269" s="11" t="str">
        <f>VLOOKUP(G269, SeanRanks!$A$2:$E$302, 4, FALSE)</f>
        <v>#N/A</v>
      </c>
      <c r="G269" s="11" t="s">
        <v>967</v>
      </c>
      <c r="H269" s="11" t="str">
        <f>VLOOKUP($G269, 'ADP Data'!$C$4:$Q$300, 2, FALSE)</f>
        <v>#N/A</v>
      </c>
      <c r="I269" s="11" t="str">
        <f>VLOOKUP(G269, 'ADP Data'!$C$4:$R$498, 12, FALSE)</f>
        <v>#N/A</v>
      </c>
      <c r="J269" s="11" t="str">
        <f>VLOOKUP($G269, SeanRanks!$A$2:$H$303, 5, FALSE)</f>
        <v>#N/A</v>
      </c>
      <c r="K269" s="11" t="str">
        <f>IF(VLOOKUP($G269, SeanRanks!$A$2:$H$303, 6, FALSE)=0, "", VLOOKUP($G269, SeanRanks!$A$2:$H$303, 6, FALSE))</f>
        <v>#N/A</v>
      </c>
      <c r="L269" s="11">
        <f t="shared" si="5"/>
        <v>16</v>
      </c>
      <c r="M269" s="11" t="str">
        <f>VLOOKUP($G269, 'ADP Data'!$C$4:$Q$300, 9, FALSE)</f>
        <v>#N/A</v>
      </c>
      <c r="N269" s="11" t="str">
        <f t="shared" si="6"/>
        <v>#N/A</v>
      </c>
      <c r="O269" s="11" t="str">
        <f>VLOOKUP($G269, 'ADP Data'!$C$4:$Q$300, 3, FALSE)</f>
        <v>#N/A</v>
      </c>
      <c r="P269" s="11" t="str">
        <f t="shared" si="7"/>
        <v>#N/A</v>
      </c>
      <c r="Q269" s="11" t="str">
        <f>VLOOKUP($G269, 'ADP Data'!$C$4:$Q$300, 4, FALSE)</f>
        <v>#N/A</v>
      </c>
      <c r="R269" s="11" t="str">
        <f>VLOOKUP($G269, 'ADP Data'!$C$4:$Q$300, 5, FALSE)</f>
        <v>#N/A</v>
      </c>
      <c r="S269" s="11" t="str">
        <f>VLOOKUP($G269, 'ADP Data'!$C$4:$Q$300, 6, FALSE)</f>
        <v>#N/A</v>
      </c>
      <c r="T269" s="11" t="str">
        <f>VLOOKUP($G269, 'ADP Data'!$C$4:$Q$300, 7, FALSE)</f>
        <v>#N/A</v>
      </c>
      <c r="U269" s="11" t="str">
        <f>VLOOKUP($G269, 'ADP Data'!$C$4:$Q$300, 8, FALSE)</f>
        <v>#N/A</v>
      </c>
      <c r="V269" s="11" t="str">
        <f t="shared" si="8"/>
        <v>#N/A</v>
      </c>
      <c r="W269" s="11">
        <f t="shared" si="9"/>
        <v>16</v>
      </c>
      <c r="X269" s="11">
        <f t="shared" si="10"/>
        <v>-16</v>
      </c>
      <c r="Y269" s="11" t="str">
        <f>VLOOKUP($G269, SeanRanks!$A$2:$K$303, 10, FALSE)-V269</f>
        <v>#N/A</v>
      </c>
      <c r="Z269" s="29" t="str">
        <f>IF(VLOOKUP($G269, SeanRanks!$A$2:$H$303, 7, FALSE)=0, "", VLOOKUP($G269, SeanRanks!$A$2:$H$303, 7, FALSE))</f>
        <v>#N/A</v>
      </c>
    </row>
    <row r="270" ht="14.25" customHeight="1">
      <c r="A270" s="11"/>
      <c r="B270" s="11" t="str">
        <f t="shared" si="11"/>
        <v>#N/A</v>
      </c>
      <c r="C270" s="11" t="s">
        <v>106</v>
      </c>
      <c r="D270" s="11"/>
      <c r="E270" s="11"/>
      <c r="F270" s="11" t="str">
        <f>VLOOKUP(G270, SeanRanks!$A$2:$E$302, 4, FALSE)</f>
        <v>#N/A</v>
      </c>
      <c r="G270" s="11" t="s">
        <v>840</v>
      </c>
      <c r="H270" s="11" t="str">
        <f>VLOOKUP($G270, 'ADP Data'!$C$4:$Q$300, 2, FALSE)</f>
        <v>#N/A</v>
      </c>
      <c r="I270" s="11" t="str">
        <f>VLOOKUP(G270, 'ADP Data'!$C$4:$R$498, 12, FALSE)</f>
        <v>#N/A</v>
      </c>
      <c r="J270" s="11" t="str">
        <f>VLOOKUP($G270, SeanRanks!$A$2:$H$303, 5, FALSE)</f>
        <v>#N/A</v>
      </c>
      <c r="K270" s="11" t="str">
        <f>IF(VLOOKUP($G270, SeanRanks!$A$2:$H$303, 6, FALSE)=0, "", VLOOKUP($G270, SeanRanks!$A$2:$H$303, 6, FALSE))</f>
        <v>#N/A</v>
      </c>
      <c r="L270" s="11">
        <f t="shared" si="5"/>
        <v>16</v>
      </c>
      <c r="M270" s="11" t="str">
        <f>VLOOKUP($G270, 'ADP Data'!$C$4:$Q$300, 9, FALSE)</f>
        <v>#N/A</v>
      </c>
      <c r="N270" s="11" t="str">
        <f t="shared" si="6"/>
        <v>#N/A</v>
      </c>
      <c r="O270" s="11" t="str">
        <f>VLOOKUP($G270, 'ADP Data'!$C$4:$Q$300, 3, FALSE)</f>
        <v>#N/A</v>
      </c>
      <c r="P270" s="11" t="str">
        <f t="shared" si="7"/>
        <v>#N/A</v>
      </c>
      <c r="Q270" s="11" t="str">
        <f>VLOOKUP($G270, 'ADP Data'!$C$4:$Q$300, 4, FALSE)</f>
        <v>#N/A</v>
      </c>
      <c r="R270" s="11" t="str">
        <f>VLOOKUP($G270, 'ADP Data'!$C$4:$Q$300, 5, FALSE)</f>
        <v>#N/A</v>
      </c>
      <c r="S270" s="11" t="str">
        <f>VLOOKUP($G270, 'ADP Data'!$C$4:$Q$300, 6, FALSE)</f>
        <v>#N/A</v>
      </c>
      <c r="T270" s="11" t="str">
        <f>VLOOKUP($G270, 'ADP Data'!$C$4:$Q$300, 7, FALSE)</f>
        <v>#N/A</v>
      </c>
      <c r="U270" s="11" t="str">
        <f>VLOOKUP($G270, 'ADP Data'!$C$4:$Q$300, 8, FALSE)</f>
        <v>#N/A</v>
      </c>
      <c r="V270" s="11" t="str">
        <f t="shared" si="8"/>
        <v>#N/A</v>
      </c>
      <c r="W270" s="11">
        <f t="shared" si="9"/>
        <v>16</v>
      </c>
      <c r="X270" s="11">
        <f t="shared" si="10"/>
        <v>-16</v>
      </c>
      <c r="Y270" s="11" t="str">
        <f>VLOOKUP($G270, SeanRanks!$A$2:$K$303, 10, FALSE)-V270</f>
        <v>#N/A</v>
      </c>
      <c r="Z270" s="29" t="str">
        <f>IF(VLOOKUP($G270, SeanRanks!$A$2:$H$303, 7, FALSE)=0, "", VLOOKUP($G270, SeanRanks!$A$2:$H$303, 7, FALSE))</f>
        <v>#N/A</v>
      </c>
    </row>
    <row r="271" ht="14.25" customHeight="1">
      <c r="A271" s="11"/>
      <c r="B271" s="11" t="str">
        <f t="shared" si="11"/>
        <v>#N/A</v>
      </c>
      <c r="C271" s="11" t="s">
        <v>106</v>
      </c>
      <c r="D271" s="11"/>
      <c r="E271" s="11"/>
      <c r="F271" s="11" t="str">
        <f>VLOOKUP(G271, SeanRanks!$A$2:$E$302, 4, FALSE)</f>
        <v>#N/A</v>
      </c>
      <c r="G271" s="11" t="s">
        <v>714</v>
      </c>
      <c r="H271" s="11" t="str">
        <f>VLOOKUP($G271, 'ADP Data'!$C$4:$Q$300, 2, FALSE)</f>
        <v>#N/A</v>
      </c>
      <c r="I271" s="11" t="str">
        <f>VLOOKUP(G271, 'ADP Data'!$C$4:$R$498, 12, FALSE)</f>
        <v>#N/A</v>
      </c>
      <c r="J271" s="11" t="str">
        <f>VLOOKUP($G271, SeanRanks!$A$2:$H$303, 5, FALSE)</f>
        <v>#N/A</v>
      </c>
      <c r="K271" s="11" t="str">
        <f>IF(VLOOKUP($G271, SeanRanks!$A$2:$H$303, 6, FALSE)=0, "", VLOOKUP($G271, SeanRanks!$A$2:$H$303, 6, FALSE))</f>
        <v>#N/A</v>
      </c>
      <c r="L271" s="11">
        <f t="shared" si="5"/>
        <v>16</v>
      </c>
      <c r="M271" s="11" t="str">
        <f>VLOOKUP($G271, 'ADP Data'!$C$4:$Q$300, 9, FALSE)</f>
        <v>#N/A</v>
      </c>
      <c r="N271" s="11" t="str">
        <f t="shared" si="6"/>
        <v>#N/A</v>
      </c>
      <c r="O271" s="11" t="str">
        <f>VLOOKUP($G271, 'ADP Data'!$C$4:$Q$300, 3, FALSE)</f>
        <v>#N/A</v>
      </c>
      <c r="P271" s="11" t="str">
        <f t="shared" si="7"/>
        <v>#N/A</v>
      </c>
      <c r="Q271" s="11" t="str">
        <f>VLOOKUP($G271, 'ADP Data'!$C$4:$Q$300, 4, FALSE)</f>
        <v>#N/A</v>
      </c>
      <c r="R271" s="11" t="str">
        <f>VLOOKUP($G271, 'ADP Data'!$C$4:$Q$300, 5, FALSE)</f>
        <v>#N/A</v>
      </c>
      <c r="S271" s="11" t="str">
        <f>VLOOKUP($G271, 'ADP Data'!$C$4:$Q$300, 6, FALSE)</f>
        <v>#N/A</v>
      </c>
      <c r="T271" s="11" t="str">
        <f>VLOOKUP($G271, 'ADP Data'!$C$4:$Q$300, 7, FALSE)</f>
        <v>#N/A</v>
      </c>
      <c r="U271" s="11" t="str">
        <f>VLOOKUP($G271, 'ADP Data'!$C$4:$Q$300, 8, FALSE)</f>
        <v>#N/A</v>
      </c>
      <c r="V271" s="11" t="str">
        <f t="shared" si="8"/>
        <v>#N/A</v>
      </c>
      <c r="W271" s="11">
        <f t="shared" si="9"/>
        <v>16</v>
      </c>
      <c r="X271" s="11">
        <f t="shared" si="10"/>
        <v>-16</v>
      </c>
      <c r="Y271" s="11" t="str">
        <f>VLOOKUP($G271, SeanRanks!$A$2:$K$303, 10, FALSE)-V271</f>
        <v>#N/A</v>
      </c>
      <c r="Z271" s="29" t="str">
        <f>IF(VLOOKUP($G271, SeanRanks!$A$2:$H$303, 7, FALSE)=0, "", VLOOKUP($G271, SeanRanks!$A$2:$H$303, 7, FALSE))</f>
        <v>#N/A</v>
      </c>
    </row>
    <row r="272" ht="14.25" customHeight="1">
      <c r="A272" s="11"/>
      <c r="B272" s="11" t="str">
        <f t="shared" si="11"/>
        <v>#N/A</v>
      </c>
      <c r="C272" s="11" t="s">
        <v>106</v>
      </c>
      <c r="D272" s="11"/>
      <c r="E272" s="11"/>
      <c r="F272" s="11" t="str">
        <f>VLOOKUP(G272, SeanRanks!$A$2:$E$302, 4, FALSE)</f>
        <v>#N/A</v>
      </c>
      <c r="G272" s="11" t="s">
        <v>968</v>
      </c>
      <c r="H272" s="11" t="str">
        <f>VLOOKUP($G272, 'ADP Data'!$C$4:$Q$300, 2, FALSE)</f>
        <v>#N/A</v>
      </c>
      <c r="I272" s="11" t="str">
        <f>VLOOKUP(G272, 'ADP Data'!$C$4:$R$498, 12, FALSE)</f>
        <v>#N/A</v>
      </c>
      <c r="J272" s="11" t="str">
        <f>VLOOKUP($G272, SeanRanks!$A$2:$H$303, 5, FALSE)</f>
        <v>#N/A</v>
      </c>
      <c r="K272" s="11" t="str">
        <f>IF(VLOOKUP($G272, SeanRanks!$A$2:$H$303, 6, FALSE)=0, "", VLOOKUP($G272, SeanRanks!$A$2:$H$303, 6, FALSE))</f>
        <v>#N/A</v>
      </c>
      <c r="L272" s="11">
        <f t="shared" si="5"/>
        <v>16</v>
      </c>
      <c r="M272" s="11" t="str">
        <f>VLOOKUP($G272, 'ADP Data'!$C$4:$Q$300, 9, FALSE)</f>
        <v>#N/A</v>
      </c>
      <c r="N272" s="11" t="str">
        <f t="shared" si="6"/>
        <v>#N/A</v>
      </c>
      <c r="O272" s="11" t="str">
        <f>VLOOKUP($G272, 'ADP Data'!$C$4:$Q$300, 3, FALSE)</f>
        <v>#N/A</v>
      </c>
      <c r="P272" s="11" t="str">
        <f t="shared" si="7"/>
        <v>#N/A</v>
      </c>
      <c r="Q272" s="11" t="str">
        <f>VLOOKUP($G272, 'ADP Data'!$C$4:$Q$300, 4, FALSE)</f>
        <v>#N/A</v>
      </c>
      <c r="R272" s="11" t="str">
        <f>VLOOKUP($G272, 'ADP Data'!$C$4:$Q$300, 5, FALSE)</f>
        <v>#N/A</v>
      </c>
      <c r="S272" s="11" t="str">
        <f>VLOOKUP($G272, 'ADP Data'!$C$4:$Q$300, 6, FALSE)</f>
        <v>#N/A</v>
      </c>
      <c r="T272" s="11" t="str">
        <f>VLOOKUP($G272, 'ADP Data'!$C$4:$Q$300, 7, FALSE)</f>
        <v>#N/A</v>
      </c>
      <c r="U272" s="11" t="str">
        <f>VLOOKUP($G272, 'ADP Data'!$C$4:$Q$300, 8, FALSE)</f>
        <v>#N/A</v>
      </c>
      <c r="V272" s="11" t="str">
        <f t="shared" si="8"/>
        <v>#N/A</v>
      </c>
      <c r="W272" s="11">
        <f t="shared" si="9"/>
        <v>16</v>
      </c>
      <c r="X272" s="11">
        <f t="shared" si="10"/>
        <v>-16</v>
      </c>
      <c r="Y272" s="11" t="str">
        <f>VLOOKUP($G272, SeanRanks!$A$2:$K$303, 10, FALSE)-V272</f>
        <v>#N/A</v>
      </c>
      <c r="Z272" s="29" t="str">
        <f>IF(VLOOKUP($G272, SeanRanks!$A$2:$H$303, 7, FALSE)=0, "", VLOOKUP($G272, SeanRanks!$A$2:$H$303, 7, FALSE))</f>
        <v>#N/A</v>
      </c>
    </row>
    <row r="273" ht="14.25" customHeight="1">
      <c r="A273" s="11"/>
      <c r="B273" s="11">
        <f t="shared" si="11"/>
        <v>22</v>
      </c>
      <c r="C273" s="11" t="s">
        <v>106</v>
      </c>
      <c r="D273" s="11"/>
      <c r="E273" s="11"/>
      <c r="F273" s="11" t="str">
        <f>VLOOKUP(G273, SeanRanks!$A$2:$E$302, 4, FALSE)</f>
        <v/>
      </c>
      <c r="G273" s="11" t="s">
        <v>969</v>
      </c>
      <c r="H273" s="11" t="str">
        <f>VLOOKUP($G273, 'ADP Data'!$C$4:$Q$300, 2, FALSE)</f>
        <v>DAL</v>
      </c>
      <c r="I273" s="11">
        <f>VLOOKUP(G273, 'ADP Data'!$C$4:$R$498, 12, FALSE)</f>
        <v>249</v>
      </c>
      <c r="J273" s="11" t="str">
        <f>VLOOKUP($G273, SeanRanks!$A$2:$H$303, 5, FALSE)</f>
        <v/>
      </c>
      <c r="K273" s="11" t="str">
        <f>IF(VLOOKUP($G273, SeanRanks!$A$2:$H$303, 6, FALSE)=0, "", VLOOKUP($G273, SeanRanks!$A$2:$H$303, 6, FALSE))</f>
        <v/>
      </c>
      <c r="L273" s="11">
        <f t="shared" si="5"/>
        <v>19</v>
      </c>
      <c r="M273" s="11">
        <f>VLOOKUP($G273, 'ADP Data'!$C$4:$Q$300, 9, FALSE)</f>
        <v>222</v>
      </c>
      <c r="N273" s="11">
        <f t="shared" si="6"/>
        <v>-30</v>
      </c>
      <c r="O273" s="11" t="str">
        <f>VLOOKUP($G273, 'ADP Data'!$C$4:$Q$300, 3, FALSE)</f>
        <v>-</v>
      </c>
      <c r="P273" s="11" t="str">
        <f t="shared" si="7"/>
        <v>#VALUE!</v>
      </c>
      <c r="Q273" s="11" t="str">
        <f>VLOOKUP($G273, 'ADP Data'!$C$4:$Q$300, 4, FALSE)</f>
        <v>-</v>
      </c>
      <c r="R273" s="11">
        <f>VLOOKUP($G273, 'ADP Data'!$C$4:$Q$300, 5, FALSE)</f>
        <v>276</v>
      </c>
      <c r="S273" s="11">
        <f>VLOOKUP($G273, 'ADP Data'!$C$4:$Q$300, 6, FALSE)</f>
        <v>256</v>
      </c>
      <c r="T273" s="11">
        <f>VLOOKUP($G273, 'ADP Data'!$C$4:$Q$300, 7, FALSE)</f>
        <v>233</v>
      </c>
      <c r="U273" s="11">
        <f>VLOOKUP($G273, 'ADP Data'!$C$4:$Q$300, 8, FALSE)</f>
        <v>276</v>
      </c>
      <c r="V273" s="11">
        <f t="shared" si="8"/>
        <v>252</v>
      </c>
      <c r="W273" s="11">
        <f t="shared" si="9"/>
        <v>22</v>
      </c>
      <c r="X273" s="11">
        <f t="shared" si="10"/>
        <v>-22</v>
      </c>
      <c r="Y273" s="11">
        <f>VLOOKUP($G273, SeanRanks!$A$2:$K$303, 10, FALSE)-V273</f>
        <v>-37</v>
      </c>
      <c r="Z273" s="29" t="str">
        <f>IF(VLOOKUP($G273, SeanRanks!$A$2:$H$303, 7, FALSE)=0, "", VLOOKUP($G273, SeanRanks!$A$2:$H$303, 7, FALSE))</f>
        <v/>
      </c>
    </row>
    <row r="274" ht="14.25" customHeight="1">
      <c r="A274" s="11"/>
      <c r="B274" s="11">
        <f t="shared" si="11"/>
        <v>21</v>
      </c>
      <c r="C274" s="11" t="s">
        <v>106</v>
      </c>
      <c r="D274" s="11"/>
      <c r="E274" s="11"/>
      <c r="F274" s="11" t="str">
        <f>VLOOKUP(G274, SeanRanks!$A$2:$E$302, 4, FALSE)</f>
        <v/>
      </c>
      <c r="G274" s="11" t="s">
        <v>643</v>
      </c>
      <c r="H274" s="11" t="str">
        <f>VLOOKUP($G274, 'ADP Data'!$C$4:$Q$300, 2, FALSE)</f>
        <v>DEN</v>
      </c>
      <c r="I274" s="11">
        <f>VLOOKUP(G274, 'ADP Data'!$C$4:$R$498, 12, FALSE)</f>
        <v>187</v>
      </c>
      <c r="J274" s="11" t="str">
        <f>VLOOKUP($G274, SeanRanks!$A$2:$H$303, 5, FALSE)</f>
        <v/>
      </c>
      <c r="K274" s="11" t="str">
        <f>IF(VLOOKUP($G274, SeanRanks!$A$2:$H$303, 6, FALSE)=0, "", VLOOKUP($G274, SeanRanks!$A$2:$H$303, 6, FALSE))</f>
        <v/>
      </c>
      <c r="L274" s="11">
        <f t="shared" si="5"/>
        <v>22</v>
      </c>
      <c r="M274" s="11">
        <f>VLOOKUP($G274, 'ADP Data'!$C$4:$Q$300, 9, FALSE)</f>
        <v>259</v>
      </c>
      <c r="N274" s="11">
        <f t="shared" si="6"/>
        <v>14</v>
      </c>
      <c r="O274" s="11" t="str">
        <f>VLOOKUP($G274, 'ADP Data'!$C$4:$Q$300, 3, FALSE)</f>
        <v>-</v>
      </c>
      <c r="P274" s="11" t="str">
        <f t="shared" si="7"/>
        <v>#VALUE!</v>
      </c>
      <c r="Q274" s="11" t="str">
        <f>VLOOKUP($G274, 'ADP Data'!$C$4:$Q$300, 4, FALSE)</f>
        <v>-</v>
      </c>
      <c r="R274" s="11" t="str">
        <f>VLOOKUP($G274, 'ADP Data'!$C$4:$Q$300, 5, FALSE)</f>
        <v>-</v>
      </c>
      <c r="S274" s="11">
        <f>VLOOKUP($G274, 'ADP Data'!$C$4:$Q$300, 6, FALSE)</f>
        <v>206</v>
      </c>
      <c r="T274" s="11">
        <f>VLOOKUP($G274, 'ADP Data'!$C$4:$Q$300, 7, FALSE)</f>
        <v>227</v>
      </c>
      <c r="U274" s="11">
        <f>VLOOKUP($G274, 'ADP Data'!$C$4:$Q$300, 8, FALSE)</f>
        <v>289</v>
      </c>
      <c r="V274" s="11">
        <f t="shared" si="8"/>
        <v>245</v>
      </c>
      <c r="W274" s="11">
        <f t="shared" si="9"/>
        <v>21</v>
      </c>
      <c r="X274" s="11">
        <f t="shared" si="10"/>
        <v>-21</v>
      </c>
      <c r="Y274" s="11">
        <f>VLOOKUP($G274, SeanRanks!$A$2:$K$303, 10, FALSE)-V274</f>
        <v>-7</v>
      </c>
      <c r="Z274" s="29" t="str">
        <f>IF(VLOOKUP($G274, SeanRanks!$A$2:$H$303, 7, FALSE)=0, "", VLOOKUP($G274, SeanRanks!$A$2:$H$303, 7, FALSE))</f>
        <v/>
      </c>
    </row>
    <row r="275" ht="14.25" customHeight="1">
      <c r="A275" s="11"/>
      <c r="B275" s="11">
        <f t="shared" si="11"/>
        <v>24</v>
      </c>
      <c r="C275" s="11" t="s">
        <v>106</v>
      </c>
      <c r="D275" s="11"/>
      <c r="E275" s="11"/>
      <c r="F275" s="11" t="str">
        <f>VLOOKUP(G275, SeanRanks!$A$2:$E$302, 4, FALSE)</f>
        <v/>
      </c>
      <c r="G275" s="11" t="s">
        <v>966</v>
      </c>
      <c r="H275" s="11" t="str">
        <f>VLOOKUP($G275, 'ADP Data'!$C$4:$Q$300, 2, FALSE)</f>
        <v>CAR</v>
      </c>
      <c r="I275" s="11">
        <f>VLOOKUP(G275, 'ADP Data'!$C$4:$R$498, 12, FALSE)</f>
        <v>198</v>
      </c>
      <c r="J275" s="11" t="str">
        <f>VLOOKUP($G275, SeanRanks!$A$2:$H$303, 5, FALSE)</f>
        <v/>
      </c>
      <c r="K275" s="11" t="str">
        <f>IF(VLOOKUP($G275, SeanRanks!$A$2:$H$303, 6, FALSE)=0, "", VLOOKUP($G275, SeanRanks!$A$2:$H$303, 6, FALSE))</f>
        <v/>
      </c>
      <c r="L275" s="11">
        <f t="shared" si="5"/>
        <v>22</v>
      </c>
      <c r="M275" s="11">
        <f>VLOOKUP($G275, 'ADP Data'!$C$4:$Q$300, 9, FALSE)</f>
        <v>254</v>
      </c>
      <c r="N275" s="11">
        <f t="shared" si="6"/>
        <v>-20</v>
      </c>
      <c r="O275" s="11" t="str">
        <f>VLOOKUP($G275, 'ADP Data'!$C$4:$Q$300, 3, FALSE)</f>
        <v>-</v>
      </c>
      <c r="P275" s="11" t="str">
        <f t="shared" si="7"/>
        <v>#VALUE!</v>
      </c>
      <c r="Q275" s="11">
        <f>VLOOKUP($G275, 'ADP Data'!$C$4:$Q$300, 4, FALSE)</f>
        <v>347</v>
      </c>
      <c r="R275" s="11">
        <f>VLOOKUP($G275, 'ADP Data'!$C$4:$Q$300, 5, FALSE)</f>
        <v>318</v>
      </c>
      <c r="S275" s="11">
        <f>VLOOKUP($G275, 'ADP Data'!$C$4:$Q$300, 6, FALSE)</f>
        <v>204</v>
      </c>
      <c r="T275" s="11">
        <f>VLOOKUP($G275, 'ADP Data'!$C$4:$Q$300, 7, FALSE)</f>
        <v>247</v>
      </c>
      <c r="U275" s="11" t="str">
        <f>VLOOKUP($G275, 'ADP Data'!$C$4:$Q$300, 8, FALSE)</f>
        <v>-</v>
      </c>
      <c r="V275" s="11">
        <f t="shared" si="8"/>
        <v>274</v>
      </c>
      <c r="W275" s="11">
        <f t="shared" si="9"/>
        <v>23</v>
      </c>
      <c r="X275" s="11">
        <f t="shared" si="10"/>
        <v>-23</v>
      </c>
      <c r="Y275" s="11">
        <f>VLOOKUP($G275, SeanRanks!$A$2:$K$303, 10, FALSE)-V275</f>
        <v>-43</v>
      </c>
      <c r="Z275" s="29" t="str">
        <f>IF(VLOOKUP($G275, SeanRanks!$A$2:$H$303, 7, FALSE)=0, "", VLOOKUP($G275, SeanRanks!$A$2:$H$303, 7, FALSE))</f>
        <v/>
      </c>
    </row>
    <row r="276" ht="14.25" customHeight="1">
      <c r="A276" s="11"/>
      <c r="B276" s="11" t="str">
        <f t="shared" si="11"/>
        <v>#N/A</v>
      </c>
      <c r="C276" s="11" t="s">
        <v>106</v>
      </c>
      <c r="D276" s="11"/>
      <c r="E276" s="11"/>
      <c r="F276" s="11" t="str">
        <f>VLOOKUP(G276, SeanRanks!$A$2:$E$302, 4, FALSE)</f>
        <v/>
      </c>
      <c r="G276" s="11" t="s">
        <v>970</v>
      </c>
      <c r="H276" s="11" t="str">
        <f>VLOOKUP($G276, 'ADP Data'!$C$4:$Q$300, 2, FALSE)</f>
        <v>#N/A</v>
      </c>
      <c r="I276" s="11" t="str">
        <f>VLOOKUP(G276, 'ADP Data'!$C$4:$R$498, 12, FALSE)</f>
        <v>#N/A</v>
      </c>
      <c r="J276" s="11" t="str">
        <f>VLOOKUP($G276, SeanRanks!$A$2:$H$303, 5, FALSE)</f>
        <v/>
      </c>
      <c r="K276" s="11" t="str">
        <f>IF(VLOOKUP($G276, SeanRanks!$A$2:$H$303, 6, FALSE)=0, "", VLOOKUP($G276, SeanRanks!$A$2:$H$303, 6, FALSE))</f>
        <v/>
      </c>
      <c r="L276" s="11">
        <f t="shared" si="5"/>
        <v>16</v>
      </c>
      <c r="M276" s="11" t="str">
        <f>VLOOKUP($G276, 'ADP Data'!$C$4:$Q$300, 9, FALSE)</f>
        <v>#N/A</v>
      </c>
      <c r="N276" s="11" t="str">
        <f t="shared" si="6"/>
        <v>#N/A</v>
      </c>
      <c r="O276" s="11" t="str">
        <f>VLOOKUP($G276, 'ADP Data'!$C$4:$Q$300, 3, FALSE)</f>
        <v>#N/A</v>
      </c>
      <c r="P276" s="11" t="str">
        <f t="shared" si="7"/>
        <v>#N/A</v>
      </c>
      <c r="Q276" s="11" t="str">
        <f>VLOOKUP($G276, 'ADP Data'!$C$4:$Q$300, 4, FALSE)</f>
        <v>#N/A</v>
      </c>
      <c r="R276" s="11" t="str">
        <f>VLOOKUP($G276, 'ADP Data'!$C$4:$Q$300, 5, FALSE)</f>
        <v>#N/A</v>
      </c>
      <c r="S276" s="11" t="str">
        <f>VLOOKUP($G276, 'ADP Data'!$C$4:$Q$300, 6, FALSE)</f>
        <v>#N/A</v>
      </c>
      <c r="T276" s="11" t="str">
        <f>VLOOKUP($G276, 'ADP Data'!$C$4:$Q$300, 7, FALSE)</f>
        <v>#N/A</v>
      </c>
      <c r="U276" s="11" t="str">
        <f>VLOOKUP($G276, 'ADP Data'!$C$4:$Q$300, 8, FALSE)</f>
        <v>#N/A</v>
      </c>
      <c r="V276" s="11" t="str">
        <f t="shared" si="8"/>
        <v>#N/A</v>
      </c>
      <c r="W276" s="11">
        <f t="shared" si="9"/>
        <v>16</v>
      </c>
      <c r="X276" s="11">
        <f t="shared" si="10"/>
        <v>-16</v>
      </c>
      <c r="Y276" s="11" t="str">
        <f>VLOOKUP($G276, SeanRanks!$A$2:$K$303, 10, FALSE)-V276</f>
        <v>#N/A</v>
      </c>
      <c r="Z276" s="29" t="str">
        <f>IF(VLOOKUP($G276, SeanRanks!$A$2:$H$303, 7, FALSE)=0, "", VLOOKUP($G276, SeanRanks!$A$2:$H$303, 7, FALSE))</f>
        <v/>
      </c>
    </row>
    <row r="277" ht="14.25" customHeight="1">
      <c r="A277" s="11"/>
      <c r="B277" s="11">
        <f t="shared" si="11"/>
        <v>16</v>
      </c>
      <c r="C277" s="11" t="s">
        <v>106</v>
      </c>
      <c r="D277" s="11"/>
      <c r="E277" s="11"/>
      <c r="F277" s="11" t="str">
        <f>VLOOKUP(G277, SeanRanks!$A$2:$E$302, 4, FALSE)</f>
        <v/>
      </c>
      <c r="G277" s="11" t="s">
        <v>682</v>
      </c>
      <c r="H277" s="11" t="str">
        <f>VLOOKUP($G277, 'ADP Data'!$C$4:$Q$300, 2, FALSE)</f>
        <v>ATL</v>
      </c>
      <c r="I277" s="11">
        <f>VLOOKUP(G277, 'ADP Data'!$C$4:$R$498, 12, FALSE)</f>
        <v>143</v>
      </c>
      <c r="J277" s="11" t="str">
        <f>VLOOKUP($G277, SeanRanks!$A$2:$H$303, 5, FALSE)</f>
        <v/>
      </c>
      <c r="K277" s="11" t="str">
        <f>IF(VLOOKUP($G277, SeanRanks!$A$2:$H$303, 6, FALSE)=0, "", VLOOKUP($G277, SeanRanks!$A$2:$H$303, 6, FALSE))</f>
        <v>Don’t Draft - Streamer</v>
      </c>
      <c r="L277" s="11">
        <f t="shared" si="5"/>
        <v>16</v>
      </c>
      <c r="M277" s="11">
        <f>VLOOKUP($G277, 'ADP Data'!$C$4:$Q$300, 9, FALSE)</f>
        <v>189</v>
      </c>
      <c r="N277" s="11">
        <f t="shared" si="6"/>
        <v>4</v>
      </c>
      <c r="O277" s="11">
        <f>VLOOKUP($G277, 'ADP Data'!$C$4:$Q$300, 3, FALSE)</f>
        <v>177</v>
      </c>
      <c r="P277" s="11">
        <f t="shared" si="7"/>
        <v>12</v>
      </c>
      <c r="Q277" s="11">
        <f>VLOOKUP($G277, 'ADP Data'!$C$4:$Q$300, 4, FALSE)</f>
        <v>181</v>
      </c>
      <c r="R277" s="11">
        <f>VLOOKUP($G277, 'ADP Data'!$C$4:$Q$300, 5, FALSE)</f>
        <v>236</v>
      </c>
      <c r="S277" s="11">
        <f>VLOOKUP($G277, 'ADP Data'!$C$4:$Q$300, 6, FALSE)</f>
        <v>164</v>
      </c>
      <c r="T277" s="11">
        <f>VLOOKUP($G277, 'ADP Data'!$C$4:$Q$300, 7, FALSE)</f>
        <v>159</v>
      </c>
      <c r="U277" s="11">
        <f>VLOOKUP($G277, 'ADP Data'!$C$4:$Q$300, 8, FALSE)</f>
        <v>189</v>
      </c>
      <c r="V277" s="11">
        <f t="shared" si="8"/>
        <v>185</v>
      </c>
      <c r="W277" s="11">
        <f t="shared" si="9"/>
        <v>16</v>
      </c>
      <c r="X277" s="11">
        <f t="shared" si="10"/>
        <v>-16</v>
      </c>
      <c r="Y277" s="11">
        <f>VLOOKUP($G277, SeanRanks!$A$2:$K$303, 10, FALSE)-V277</f>
        <v>-43</v>
      </c>
      <c r="Z277" s="29">
        <f>IF(VLOOKUP($G277, SeanRanks!$A$2:$H$303, 7, FALSE)=0, "", VLOOKUP($G277, SeanRanks!$A$2:$H$303, 7, FALSE))</f>
        <v>24</v>
      </c>
    </row>
    <row r="278" ht="14.25" customHeight="1">
      <c r="A278" s="11"/>
      <c r="B278" s="11">
        <f t="shared" si="11"/>
        <v>9</v>
      </c>
      <c r="C278" s="11" t="s">
        <v>106</v>
      </c>
      <c r="D278" s="11"/>
      <c r="E278" s="11"/>
      <c r="F278" s="11" t="str">
        <f>VLOOKUP(G278, SeanRanks!$A$2:$E$302, 4, FALSE)</f>
        <v/>
      </c>
      <c r="G278" s="11" t="s">
        <v>468</v>
      </c>
      <c r="H278" s="11" t="str">
        <f>VLOOKUP($G278, 'ADP Data'!$C$4:$Q$300, 2, FALSE)</f>
        <v>SF</v>
      </c>
      <c r="I278" s="11">
        <f>VLOOKUP(G278, 'ADP Data'!$C$4:$R$498, 12, FALSE)</f>
        <v>84</v>
      </c>
      <c r="J278" s="11" t="str">
        <f>VLOOKUP($G278, SeanRanks!$A$2:$H$303, 5, FALSE)</f>
        <v/>
      </c>
      <c r="K278" s="11" t="str">
        <f>IF(VLOOKUP($G278, SeanRanks!$A$2:$H$303, 6, FALSE)=0, "", VLOOKUP($G278, SeanRanks!$A$2:$H$303, 6, FALSE))</f>
        <v>WR4 - 1 - path to WR2</v>
      </c>
      <c r="L278" s="11">
        <f t="shared" si="5"/>
        <v>9</v>
      </c>
      <c r="M278" s="11">
        <f>VLOOKUP($G278, 'ADP Data'!$C$4:$Q$300, 9, FALSE)</f>
        <v>102</v>
      </c>
      <c r="N278" s="11">
        <f t="shared" si="6"/>
        <v>-3</v>
      </c>
      <c r="O278" s="11">
        <f>VLOOKUP($G278, 'ADP Data'!$C$4:$Q$300, 3, FALSE)</f>
        <v>119</v>
      </c>
      <c r="P278" s="11">
        <f t="shared" si="7"/>
        <v>-17</v>
      </c>
      <c r="Q278" s="11">
        <f>VLOOKUP($G278, 'ADP Data'!$C$4:$Q$300, 4, FALSE)</f>
        <v>115</v>
      </c>
      <c r="R278" s="11">
        <f>VLOOKUP($G278, 'ADP Data'!$C$4:$Q$300, 5, FALSE)</f>
        <v>110</v>
      </c>
      <c r="S278" s="11">
        <f>VLOOKUP($G278, 'ADP Data'!$C$4:$Q$300, 6, FALSE)</f>
        <v>98</v>
      </c>
      <c r="T278" s="11">
        <f>VLOOKUP($G278, 'ADP Data'!$C$4:$Q$300, 7, FALSE)</f>
        <v>85</v>
      </c>
      <c r="U278" s="11">
        <f>VLOOKUP($G278, 'ADP Data'!$C$4:$Q$300, 8, FALSE)</f>
        <v>111</v>
      </c>
      <c r="V278" s="11">
        <f t="shared" si="8"/>
        <v>105</v>
      </c>
      <c r="W278" s="11">
        <f t="shared" si="9"/>
        <v>9</v>
      </c>
      <c r="X278" s="11">
        <f t="shared" si="10"/>
        <v>-9</v>
      </c>
      <c r="Y278" s="11">
        <f>VLOOKUP($G278, SeanRanks!$A$2:$K$303, 10, FALSE)-V278</f>
        <v>-12</v>
      </c>
      <c r="Z278" s="29">
        <f>IF(VLOOKUP($G278, SeanRanks!$A$2:$H$303, 7, FALSE)=0, "", VLOOKUP($G278, SeanRanks!$A$2:$H$303, 7, FALSE))</f>
        <v>40</v>
      </c>
    </row>
    <row r="279" ht="14.25" customHeight="1">
      <c r="A279" s="11"/>
      <c r="B279" s="11" t="str">
        <f t="shared" si="11"/>
        <v>#N/A</v>
      </c>
      <c r="C279" s="11" t="s">
        <v>106</v>
      </c>
      <c r="D279" s="11"/>
      <c r="E279" s="11"/>
      <c r="F279" s="11" t="str">
        <f>VLOOKUP(G279, SeanRanks!$A$2:$E$302, 4, FALSE)</f>
        <v/>
      </c>
      <c r="G279" s="11" t="s">
        <v>413</v>
      </c>
      <c r="H279" s="11" t="str">
        <f>VLOOKUP($G279, 'ADP Data'!$C$4:$Q$300, 2, FALSE)</f>
        <v>#N/A</v>
      </c>
      <c r="I279" s="11">
        <f>VLOOKUP(G279, 'ADP Data'!$C$4:$R$498, 12, FALSE)</f>
        <v>244</v>
      </c>
      <c r="J279" s="11" t="str">
        <f>VLOOKUP($G279, SeanRanks!$A$2:$H$303, 5, FALSE)</f>
        <v/>
      </c>
      <c r="K279" s="11" t="str">
        <f>IF(VLOOKUP($G279, SeanRanks!$A$2:$H$303, 6, FALSE)=0, "", VLOOKUP($G279, SeanRanks!$A$2:$H$303, 6, FALSE))</f>
        <v/>
      </c>
      <c r="L279" s="11">
        <f t="shared" si="5"/>
        <v>16</v>
      </c>
      <c r="M279" s="11" t="str">
        <f>VLOOKUP($G279, 'ADP Data'!$C$4:$Q$300, 9, FALSE)</f>
        <v>#N/A</v>
      </c>
      <c r="N279" s="11" t="str">
        <f t="shared" si="6"/>
        <v>#N/A</v>
      </c>
      <c r="O279" s="11" t="str">
        <f>VLOOKUP($G279, 'ADP Data'!$C$4:$Q$300, 3, FALSE)</f>
        <v>#N/A</v>
      </c>
      <c r="P279" s="11" t="str">
        <f t="shared" si="7"/>
        <v>#N/A</v>
      </c>
      <c r="Q279" s="11" t="str">
        <f>VLOOKUP($G279, 'ADP Data'!$C$4:$Q$300, 4, FALSE)</f>
        <v>#N/A</v>
      </c>
      <c r="R279" s="11" t="str">
        <f>VLOOKUP($G279, 'ADP Data'!$C$4:$Q$300, 5, FALSE)</f>
        <v>#N/A</v>
      </c>
      <c r="S279" s="11" t="str">
        <f>VLOOKUP($G279, 'ADP Data'!$C$4:$Q$300, 6, FALSE)</f>
        <v>#N/A</v>
      </c>
      <c r="T279" s="11" t="str">
        <f>VLOOKUP($G279, 'ADP Data'!$C$4:$Q$300, 7, FALSE)</f>
        <v>#N/A</v>
      </c>
      <c r="U279" s="11" t="str">
        <f>VLOOKUP($G279, 'ADP Data'!$C$4:$Q$300, 8, FALSE)</f>
        <v>#N/A</v>
      </c>
      <c r="V279" s="11" t="str">
        <f t="shared" si="8"/>
        <v>#N/A</v>
      </c>
      <c r="W279" s="11">
        <f t="shared" si="9"/>
        <v>16</v>
      </c>
      <c r="X279" s="11">
        <f t="shared" si="10"/>
        <v>-16</v>
      </c>
      <c r="Y279" s="11" t="str">
        <f>VLOOKUP($G279, SeanRanks!$A$2:$K$303, 10, FALSE)-V279</f>
        <v>#N/A</v>
      </c>
      <c r="Z279" s="29" t="str">
        <f>IF(VLOOKUP($G279, SeanRanks!$A$2:$H$303, 7, FALSE)=0, "", VLOOKUP($G279, SeanRanks!$A$2:$H$303, 7, FALSE))</f>
        <v/>
      </c>
    </row>
    <row r="280" ht="14.25" customHeight="1">
      <c r="A280" s="11"/>
      <c r="B280" s="11">
        <f t="shared" si="11"/>
        <v>23</v>
      </c>
      <c r="C280" s="11" t="s">
        <v>106</v>
      </c>
      <c r="D280" s="11"/>
      <c r="E280" s="11"/>
      <c r="F280" s="11" t="str">
        <f>VLOOKUP(G280, SeanRanks!$A$2:$E$302, 4, FALSE)</f>
        <v/>
      </c>
      <c r="G280" s="11" t="s">
        <v>830</v>
      </c>
      <c r="H280" s="11" t="str">
        <f>VLOOKUP($G280, 'ADP Data'!$C$4:$Q$300, 2, FALSE)</f>
        <v>NYG</v>
      </c>
      <c r="I280" s="11">
        <f>VLOOKUP(G280, 'ADP Data'!$C$4:$R$498, 12, FALSE)</f>
        <v>185</v>
      </c>
      <c r="J280" s="11" t="str">
        <f>VLOOKUP($G280, SeanRanks!$A$2:$H$303, 5, FALSE)</f>
        <v/>
      </c>
      <c r="K280" s="11" t="str">
        <f>IF(VLOOKUP($G280, SeanRanks!$A$2:$H$303, 6, FALSE)=0, "", VLOOKUP($G280, SeanRanks!$A$2:$H$303, 6, FALSE))</f>
        <v/>
      </c>
      <c r="L280" s="11">
        <f t="shared" si="5"/>
        <v>23</v>
      </c>
      <c r="M280" s="11">
        <f>VLOOKUP($G280, 'ADP Data'!$C$4:$Q$300, 9, FALSE)</f>
        <v>268</v>
      </c>
      <c r="N280" s="11">
        <f t="shared" si="6"/>
        <v>-3</v>
      </c>
      <c r="O280" s="11" t="str">
        <f>VLOOKUP($G280, 'ADP Data'!$C$4:$Q$300, 3, FALSE)</f>
        <v>-</v>
      </c>
      <c r="P280" s="11" t="str">
        <f t="shared" si="7"/>
        <v>#VALUE!</v>
      </c>
      <c r="Q280" s="11" t="str">
        <f>VLOOKUP($G280, 'ADP Data'!$C$4:$Q$300, 4, FALSE)</f>
        <v>-</v>
      </c>
      <c r="R280" s="11">
        <f>VLOOKUP($G280, 'ADP Data'!$C$4:$Q$300, 5, FALSE)</f>
        <v>309</v>
      </c>
      <c r="S280" s="11">
        <f>VLOOKUP($G280, 'ADP Data'!$C$4:$Q$300, 6, FALSE)</f>
        <v>237</v>
      </c>
      <c r="T280" s="11">
        <f>VLOOKUP($G280, 'ADP Data'!$C$4:$Q$300, 7, FALSE)</f>
        <v>231</v>
      </c>
      <c r="U280" s="11">
        <f>VLOOKUP($G280, 'ADP Data'!$C$4:$Q$300, 8, FALSE)</f>
        <v>311</v>
      </c>
      <c r="V280" s="11">
        <f t="shared" si="8"/>
        <v>271</v>
      </c>
      <c r="W280" s="11">
        <f t="shared" si="9"/>
        <v>23</v>
      </c>
      <c r="X280" s="11">
        <f t="shared" si="10"/>
        <v>-23</v>
      </c>
      <c r="Y280" s="11" t="str">
        <f>VLOOKUP($G280, SeanRanks!$A$2:$K$303, 10, FALSE)-V280</f>
        <v>#VALUE!</v>
      </c>
      <c r="Z280" s="29" t="str">
        <f>IF(VLOOKUP($G280, SeanRanks!$A$2:$H$303, 7, FALSE)=0, "", VLOOKUP($G280, SeanRanks!$A$2:$H$303, 7, FALSE))</f>
        <v/>
      </c>
    </row>
    <row r="281" ht="14.25" customHeight="1">
      <c r="A281" s="11"/>
      <c r="B281" s="11" t="str">
        <f t="shared" si="11"/>
        <v>#N/A</v>
      </c>
      <c r="C281" s="11" t="s">
        <v>106</v>
      </c>
      <c r="D281" s="11"/>
      <c r="E281" s="11"/>
      <c r="F281" s="11" t="str">
        <f>VLOOKUP(G281, SeanRanks!$A$2:$E$302, 4, FALSE)</f>
        <v>#N/A</v>
      </c>
      <c r="G281" s="11" t="s">
        <v>972</v>
      </c>
      <c r="H281" s="11" t="str">
        <f>VLOOKUP($G281, 'ADP Data'!$C$4:$Q$300, 2, FALSE)</f>
        <v>#N/A</v>
      </c>
      <c r="I281" s="11" t="str">
        <f>VLOOKUP(G281, 'ADP Data'!$C$4:$R$498, 12, FALSE)</f>
        <v>#N/A</v>
      </c>
      <c r="J281" s="11" t="str">
        <f>VLOOKUP($G281, SeanRanks!$A$2:$H$303, 5, FALSE)</f>
        <v>#N/A</v>
      </c>
      <c r="K281" s="11" t="str">
        <f>IF(VLOOKUP($G281, SeanRanks!$A$2:$H$303, 6, FALSE)=0, "", VLOOKUP($G281, SeanRanks!$A$2:$H$303, 6, FALSE))</f>
        <v>#N/A</v>
      </c>
      <c r="L281" s="11">
        <f t="shared" si="5"/>
        <v>16</v>
      </c>
      <c r="M281" s="11" t="str">
        <f>VLOOKUP($G281, 'ADP Data'!$C$4:$Q$300, 9, FALSE)</f>
        <v>#N/A</v>
      </c>
      <c r="N281" s="11" t="str">
        <f t="shared" si="6"/>
        <v>#N/A</v>
      </c>
      <c r="O281" s="11" t="str">
        <f>VLOOKUP($G281, 'ADP Data'!$C$4:$Q$300, 3, FALSE)</f>
        <v>#N/A</v>
      </c>
      <c r="P281" s="11" t="str">
        <f t="shared" si="7"/>
        <v>#N/A</v>
      </c>
      <c r="Q281" s="11" t="str">
        <f>VLOOKUP($G281, 'ADP Data'!$C$4:$Q$300, 4, FALSE)</f>
        <v>#N/A</v>
      </c>
      <c r="R281" s="11" t="str">
        <f>VLOOKUP($G281, 'ADP Data'!$C$4:$Q$300, 5, FALSE)</f>
        <v>#N/A</v>
      </c>
      <c r="S281" s="11" t="str">
        <f>VLOOKUP($G281, 'ADP Data'!$C$4:$Q$300, 6, FALSE)</f>
        <v>#N/A</v>
      </c>
      <c r="T281" s="11" t="str">
        <f>VLOOKUP($G281, 'ADP Data'!$C$4:$Q$300, 7, FALSE)</f>
        <v>#N/A</v>
      </c>
      <c r="U281" s="11" t="str">
        <f>VLOOKUP($G281, 'ADP Data'!$C$4:$Q$300, 8, FALSE)</f>
        <v>#N/A</v>
      </c>
      <c r="V281" s="11" t="str">
        <f t="shared" si="8"/>
        <v>#N/A</v>
      </c>
      <c r="W281" s="11">
        <f t="shared" si="9"/>
        <v>16</v>
      </c>
      <c r="X281" s="11">
        <f t="shared" si="10"/>
        <v>-16</v>
      </c>
      <c r="Y281" s="11" t="str">
        <f>VLOOKUP($G281, SeanRanks!$A$2:$K$303, 10, FALSE)-V281</f>
        <v>#N/A</v>
      </c>
      <c r="Z281" s="29" t="str">
        <f>IF(VLOOKUP($G281, SeanRanks!$A$2:$H$303, 7, FALSE)=0, "", VLOOKUP($G281, SeanRanks!$A$2:$H$303, 7, FALSE))</f>
        <v>#N/A</v>
      </c>
    </row>
    <row r="282" ht="14.25" customHeight="1">
      <c r="A282" s="11"/>
      <c r="B282" s="11">
        <f t="shared" si="11"/>
        <v>21</v>
      </c>
      <c r="C282" s="11" t="s">
        <v>106</v>
      </c>
      <c r="D282" s="11"/>
      <c r="E282" s="11"/>
      <c r="F282" s="11" t="str">
        <f>VLOOKUP(G282, SeanRanks!$A$2:$E$302, 4, FALSE)</f>
        <v/>
      </c>
      <c r="G282" s="11" t="s">
        <v>974</v>
      </c>
      <c r="H282" s="11" t="str">
        <f>VLOOKUP($G282, 'ADP Data'!$C$4:$Q$300, 2, FALSE)</f>
        <v>KC</v>
      </c>
      <c r="I282" s="11">
        <f>VLOOKUP(G282, 'ADP Data'!$C$4:$R$498, 12, FALSE)</f>
        <v>279</v>
      </c>
      <c r="J282" s="11" t="str">
        <f>VLOOKUP($G282, SeanRanks!$A$2:$H$303, 5, FALSE)</f>
        <v/>
      </c>
      <c r="K282" s="11" t="str">
        <f>IF(VLOOKUP($G282, SeanRanks!$A$2:$H$303, 6, FALSE)=0, "", VLOOKUP($G282, SeanRanks!$A$2:$H$303, 6, FALSE))</f>
        <v/>
      </c>
      <c r="L282" s="11">
        <f t="shared" si="5"/>
        <v>24</v>
      </c>
      <c r="M282" s="11">
        <f>VLOOKUP($G282, 'ADP Data'!$C$4:$Q$300, 9, FALSE)</f>
        <v>276</v>
      </c>
      <c r="N282" s="11">
        <f t="shared" si="6"/>
        <v>24</v>
      </c>
      <c r="O282" s="11" t="str">
        <f>VLOOKUP($G282, 'ADP Data'!$C$4:$Q$300, 3, FALSE)</f>
        <v>-</v>
      </c>
      <c r="P282" s="11" t="str">
        <f t="shared" si="7"/>
        <v>#VALUE!</v>
      </c>
      <c r="Q282" s="11">
        <f>VLOOKUP($G282, 'ADP Data'!$C$4:$Q$300, 4, FALSE)</f>
        <v>233</v>
      </c>
      <c r="R282" s="11" t="str">
        <f>VLOOKUP($G282, 'ADP Data'!$C$4:$Q$300, 5, FALSE)</f>
        <v>-</v>
      </c>
      <c r="S282" s="11">
        <f>VLOOKUP($G282, 'ADP Data'!$C$4:$Q$300, 6, FALSE)</f>
        <v>249</v>
      </c>
      <c r="T282" s="11">
        <f>VLOOKUP($G282, 'ADP Data'!$C$4:$Q$300, 7, FALSE)</f>
        <v>263</v>
      </c>
      <c r="U282" s="11">
        <f>VLOOKUP($G282, 'ADP Data'!$C$4:$Q$300, 8, FALSE)</f>
        <v>240</v>
      </c>
      <c r="V282" s="11">
        <f t="shared" si="8"/>
        <v>252</v>
      </c>
      <c r="W282" s="11">
        <f t="shared" si="9"/>
        <v>22</v>
      </c>
      <c r="X282" s="11">
        <f t="shared" si="10"/>
        <v>-22</v>
      </c>
      <c r="Y282" s="11" t="str">
        <f>VLOOKUP($G282, SeanRanks!$A$2:$K$303, 10, FALSE)-V282</f>
        <v>#VALUE!</v>
      </c>
      <c r="Z282" s="29" t="str">
        <f>IF(VLOOKUP($G282, SeanRanks!$A$2:$H$303, 7, FALSE)=0, "", VLOOKUP($G282, SeanRanks!$A$2:$H$303, 7, FALSE))</f>
        <v/>
      </c>
    </row>
    <row r="283" ht="14.25" customHeight="1">
      <c r="A283" s="11"/>
      <c r="B283" s="11" t="str">
        <f t="shared" si="11"/>
        <v>#N/A</v>
      </c>
      <c r="C283" s="11" t="s">
        <v>106</v>
      </c>
      <c r="D283" s="11"/>
      <c r="E283" s="11"/>
      <c r="F283" s="11" t="str">
        <f>VLOOKUP(G283, SeanRanks!$A$2:$E$302, 4, FALSE)</f>
        <v>#N/A</v>
      </c>
      <c r="G283" s="11" t="s">
        <v>981</v>
      </c>
      <c r="H283" s="11" t="str">
        <f>VLOOKUP($G283, 'ADP Data'!$C$4:$Q$300, 2, FALSE)</f>
        <v>#N/A</v>
      </c>
      <c r="I283" s="11" t="str">
        <f>VLOOKUP(G283, 'ADP Data'!$C$4:$R$498, 12, FALSE)</f>
        <v>#N/A</v>
      </c>
      <c r="J283" s="11" t="str">
        <f>VLOOKUP($G283, SeanRanks!$A$2:$H$303, 5, FALSE)</f>
        <v>#N/A</v>
      </c>
      <c r="K283" s="11" t="str">
        <f>IF(VLOOKUP($G283, SeanRanks!$A$2:$H$303, 6, FALSE)=0, "", VLOOKUP($G283, SeanRanks!$A$2:$H$303, 6, FALSE))</f>
        <v>#N/A</v>
      </c>
      <c r="L283" s="11">
        <f t="shared" si="5"/>
        <v>16</v>
      </c>
      <c r="M283" s="11" t="str">
        <f>VLOOKUP($G283, 'ADP Data'!$C$4:$Q$300, 9, FALSE)</f>
        <v>#N/A</v>
      </c>
      <c r="N283" s="11" t="str">
        <f t="shared" si="6"/>
        <v>#N/A</v>
      </c>
      <c r="O283" s="11" t="str">
        <f>VLOOKUP($G283, 'ADP Data'!$C$4:$Q$300, 3, FALSE)</f>
        <v>#N/A</v>
      </c>
      <c r="P283" s="11" t="str">
        <f t="shared" si="7"/>
        <v>#N/A</v>
      </c>
      <c r="Q283" s="11" t="str">
        <f>VLOOKUP($G283, 'ADP Data'!$C$4:$Q$300, 4, FALSE)</f>
        <v>#N/A</v>
      </c>
      <c r="R283" s="11" t="str">
        <f>VLOOKUP($G283, 'ADP Data'!$C$4:$Q$300, 5, FALSE)</f>
        <v>#N/A</v>
      </c>
      <c r="S283" s="11" t="str">
        <f>VLOOKUP($G283, 'ADP Data'!$C$4:$Q$300, 6, FALSE)</f>
        <v>#N/A</v>
      </c>
      <c r="T283" s="11" t="str">
        <f>VLOOKUP($G283, 'ADP Data'!$C$4:$Q$300, 7, FALSE)</f>
        <v>#N/A</v>
      </c>
      <c r="U283" s="11" t="str">
        <f>VLOOKUP($G283, 'ADP Data'!$C$4:$Q$300, 8, FALSE)</f>
        <v>#N/A</v>
      </c>
      <c r="V283" s="11" t="str">
        <f t="shared" si="8"/>
        <v>#N/A</v>
      </c>
      <c r="W283" s="11">
        <f t="shared" si="9"/>
        <v>16</v>
      </c>
      <c r="X283" s="11">
        <f t="shared" si="10"/>
        <v>-16</v>
      </c>
      <c r="Y283" s="11" t="str">
        <f>VLOOKUP($G283, SeanRanks!$A$2:$K$303, 10, FALSE)-V283</f>
        <v>#N/A</v>
      </c>
      <c r="Z283" s="29" t="str">
        <f>IF(VLOOKUP($G283, SeanRanks!$A$2:$H$303, 7, FALSE)=0, "", VLOOKUP($G283, SeanRanks!$A$2:$H$303, 7, FALSE))</f>
        <v>#N/A</v>
      </c>
    </row>
    <row r="284" ht="14.25" customHeight="1">
      <c r="A284" s="11"/>
      <c r="B284" s="11" t="str">
        <f t="shared" si="11"/>
        <v>#N/A</v>
      </c>
      <c r="C284" s="11" t="s">
        <v>106</v>
      </c>
      <c r="D284" s="11"/>
      <c r="E284" s="11"/>
      <c r="F284" s="11" t="str">
        <f>VLOOKUP(G284, SeanRanks!$A$2:$E$302, 4, FALSE)</f>
        <v>#N/A</v>
      </c>
      <c r="G284" s="11" t="s">
        <v>976</v>
      </c>
      <c r="H284" s="11" t="str">
        <f>VLOOKUP($G284, 'ADP Data'!$C$4:$Q$300, 2, FALSE)</f>
        <v>#N/A</v>
      </c>
      <c r="I284" s="11" t="str">
        <f>VLOOKUP(G284, 'ADP Data'!$C$4:$R$498, 12, FALSE)</f>
        <v>#N/A</v>
      </c>
      <c r="J284" s="11" t="str">
        <f>VLOOKUP($G284, SeanRanks!$A$2:$H$303, 5, FALSE)</f>
        <v>#N/A</v>
      </c>
      <c r="K284" s="11" t="str">
        <f>IF(VLOOKUP($G284, SeanRanks!$A$2:$H$303, 6, FALSE)=0, "", VLOOKUP($G284, SeanRanks!$A$2:$H$303, 6, FALSE))</f>
        <v>#N/A</v>
      </c>
      <c r="L284" s="11">
        <f t="shared" si="5"/>
        <v>16</v>
      </c>
      <c r="M284" s="11" t="str">
        <f>VLOOKUP($G284, 'ADP Data'!$C$4:$Q$300, 9, FALSE)</f>
        <v>#N/A</v>
      </c>
      <c r="N284" s="11" t="str">
        <f t="shared" si="6"/>
        <v>#N/A</v>
      </c>
      <c r="O284" s="11" t="str">
        <f>VLOOKUP($G284, 'ADP Data'!$C$4:$Q$300, 3, FALSE)</f>
        <v>#N/A</v>
      </c>
      <c r="P284" s="11" t="str">
        <f t="shared" si="7"/>
        <v>#N/A</v>
      </c>
      <c r="Q284" s="11" t="str">
        <f>VLOOKUP($G284, 'ADP Data'!$C$4:$Q$300, 4, FALSE)</f>
        <v>#N/A</v>
      </c>
      <c r="R284" s="11" t="str">
        <f>VLOOKUP($G284, 'ADP Data'!$C$4:$Q$300, 5, FALSE)</f>
        <v>#N/A</v>
      </c>
      <c r="S284" s="11" t="str">
        <f>VLOOKUP($G284, 'ADP Data'!$C$4:$Q$300, 6, FALSE)</f>
        <v>#N/A</v>
      </c>
      <c r="T284" s="11" t="str">
        <f>VLOOKUP($G284, 'ADP Data'!$C$4:$Q$300, 7, FALSE)</f>
        <v>#N/A</v>
      </c>
      <c r="U284" s="11" t="str">
        <f>VLOOKUP($G284, 'ADP Data'!$C$4:$Q$300, 8, FALSE)</f>
        <v>#N/A</v>
      </c>
      <c r="V284" s="11" t="str">
        <f t="shared" si="8"/>
        <v>#N/A</v>
      </c>
      <c r="W284" s="11">
        <f t="shared" si="9"/>
        <v>16</v>
      </c>
      <c r="X284" s="11">
        <f t="shared" si="10"/>
        <v>-16</v>
      </c>
      <c r="Y284" s="11" t="str">
        <f>VLOOKUP($G284, SeanRanks!$A$2:$K$303, 10, FALSE)-V284</f>
        <v>#N/A</v>
      </c>
      <c r="Z284" s="29" t="str">
        <f>IF(VLOOKUP($G284, SeanRanks!$A$2:$H$303, 7, FALSE)=0, "", VLOOKUP($G284, SeanRanks!$A$2:$H$303, 7, FALSE))</f>
        <v>#N/A</v>
      </c>
    </row>
    <row r="285" ht="14.25" customHeight="1">
      <c r="A285" s="11"/>
      <c r="B285" s="11" t="str">
        <f t="shared" si="11"/>
        <v>#N/A</v>
      </c>
      <c r="C285" s="11" t="s">
        <v>106</v>
      </c>
      <c r="D285" s="11"/>
      <c r="E285" s="11"/>
      <c r="F285" s="11" t="str">
        <f>VLOOKUP(G285, SeanRanks!$A$2:$E$302, 4, FALSE)</f>
        <v>#N/A</v>
      </c>
      <c r="G285" s="11" t="s">
        <v>828</v>
      </c>
      <c r="H285" s="11" t="str">
        <f>VLOOKUP($G285, 'ADP Data'!$C$4:$Q$300, 2, FALSE)</f>
        <v>#N/A</v>
      </c>
      <c r="I285" s="11" t="str">
        <f>VLOOKUP(G285, 'ADP Data'!$C$4:$R$498, 12, FALSE)</f>
        <v>#N/A</v>
      </c>
      <c r="J285" s="11" t="str">
        <f>VLOOKUP($G285, SeanRanks!$A$2:$H$303, 5, FALSE)</f>
        <v>#N/A</v>
      </c>
      <c r="K285" s="11" t="str">
        <f>IF(VLOOKUP($G285, SeanRanks!$A$2:$H$303, 6, FALSE)=0, "", VLOOKUP($G285, SeanRanks!$A$2:$H$303, 6, FALSE))</f>
        <v>#N/A</v>
      </c>
      <c r="L285" s="11">
        <f t="shared" si="5"/>
        <v>16</v>
      </c>
      <c r="M285" s="11" t="str">
        <f>VLOOKUP($G285, 'ADP Data'!$C$4:$Q$300, 9, FALSE)</f>
        <v>#N/A</v>
      </c>
      <c r="N285" s="11" t="str">
        <f t="shared" si="6"/>
        <v>#N/A</v>
      </c>
      <c r="O285" s="11" t="str">
        <f>VLOOKUP($G285, 'ADP Data'!$C$4:$Q$300, 3, FALSE)</f>
        <v>#N/A</v>
      </c>
      <c r="P285" s="11" t="str">
        <f t="shared" si="7"/>
        <v>#N/A</v>
      </c>
      <c r="Q285" s="11" t="str">
        <f>VLOOKUP($G285, 'ADP Data'!$C$4:$Q$300, 4, FALSE)</f>
        <v>#N/A</v>
      </c>
      <c r="R285" s="11" t="str">
        <f>VLOOKUP($G285, 'ADP Data'!$C$4:$Q$300, 5, FALSE)</f>
        <v>#N/A</v>
      </c>
      <c r="S285" s="11" t="str">
        <f>VLOOKUP($G285, 'ADP Data'!$C$4:$Q$300, 6, FALSE)</f>
        <v>#N/A</v>
      </c>
      <c r="T285" s="11" t="str">
        <f>VLOOKUP($G285, 'ADP Data'!$C$4:$Q$300, 7, FALSE)</f>
        <v>#N/A</v>
      </c>
      <c r="U285" s="11" t="str">
        <f>VLOOKUP($G285, 'ADP Data'!$C$4:$Q$300, 8, FALSE)</f>
        <v>#N/A</v>
      </c>
      <c r="V285" s="11" t="str">
        <f t="shared" si="8"/>
        <v>#N/A</v>
      </c>
      <c r="W285" s="11">
        <f t="shared" si="9"/>
        <v>16</v>
      </c>
      <c r="X285" s="11">
        <f t="shared" si="10"/>
        <v>-16</v>
      </c>
      <c r="Y285" s="11" t="str">
        <f>VLOOKUP($G285, SeanRanks!$A$2:$K$303, 10, FALSE)-V285</f>
        <v>#N/A</v>
      </c>
      <c r="Z285" s="29" t="str">
        <f>IF(VLOOKUP($G285, SeanRanks!$A$2:$H$303, 7, FALSE)=0, "", VLOOKUP($G285, SeanRanks!$A$2:$H$303, 7, FALSE))</f>
        <v>#N/A</v>
      </c>
    </row>
    <row r="286" ht="14.25" customHeight="1">
      <c r="A286" s="11"/>
      <c r="B286" s="11" t="str">
        <f t="shared" si="11"/>
        <v>#N/A</v>
      </c>
      <c r="C286" s="11" t="s">
        <v>106</v>
      </c>
      <c r="D286" s="11"/>
      <c r="E286" s="11"/>
      <c r="F286" s="11" t="str">
        <f>VLOOKUP(G286, SeanRanks!$A$2:$E$302, 4, FALSE)</f>
        <v>#N/A</v>
      </c>
      <c r="G286" s="11" t="s">
        <v>978</v>
      </c>
      <c r="H286" s="11" t="str">
        <f>VLOOKUP($G286, 'ADP Data'!$C$4:$Q$300, 2, FALSE)</f>
        <v>#N/A</v>
      </c>
      <c r="I286" s="11" t="str">
        <f>VLOOKUP(G286, 'ADP Data'!$C$4:$R$498, 12, FALSE)</f>
        <v>#N/A</v>
      </c>
      <c r="J286" s="11" t="str">
        <f>VLOOKUP($G286, SeanRanks!$A$2:$H$303, 5, FALSE)</f>
        <v>#N/A</v>
      </c>
      <c r="K286" s="11" t="str">
        <f>IF(VLOOKUP($G286, SeanRanks!$A$2:$H$303, 6, FALSE)=0, "", VLOOKUP($G286, SeanRanks!$A$2:$H$303, 6, FALSE))</f>
        <v>#N/A</v>
      </c>
      <c r="L286" s="11">
        <f t="shared" si="5"/>
        <v>16</v>
      </c>
      <c r="M286" s="11" t="str">
        <f>VLOOKUP($G286, 'ADP Data'!$C$4:$Q$300, 9, FALSE)</f>
        <v>#N/A</v>
      </c>
      <c r="N286" s="11" t="str">
        <f t="shared" si="6"/>
        <v>#N/A</v>
      </c>
      <c r="O286" s="11" t="str">
        <f>VLOOKUP($G286, 'ADP Data'!$C$4:$Q$300, 3, FALSE)</f>
        <v>#N/A</v>
      </c>
      <c r="P286" s="11" t="str">
        <f t="shared" si="7"/>
        <v>#N/A</v>
      </c>
      <c r="Q286" s="11" t="str">
        <f>VLOOKUP($G286, 'ADP Data'!$C$4:$Q$300, 4, FALSE)</f>
        <v>#N/A</v>
      </c>
      <c r="R286" s="11" t="str">
        <f>VLOOKUP($G286, 'ADP Data'!$C$4:$Q$300, 5, FALSE)</f>
        <v>#N/A</v>
      </c>
      <c r="S286" s="11" t="str">
        <f>VLOOKUP($G286, 'ADP Data'!$C$4:$Q$300, 6, FALSE)</f>
        <v>#N/A</v>
      </c>
      <c r="T286" s="11" t="str">
        <f>VLOOKUP($G286, 'ADP Data'!$C$4:$Q$300, 7, FALSE)</f>
        <v>#N/A</v>
      </c>
      <c r="U286" s="11" t="str">
        <f>VLOOKUP($G286, 'ADP Data'!$C$4:$Q$300, 8, FALSE)</f>
        <v>#N/A</v>
      </c>
      <c r="V286" s="11" t="str">
        <f t="shared" si="8"/>
        <v>#N/A</v>
      </c>
      <c r="W286" s="11">
        <f t="shared" si="9"/>
        <v>16</v>
      </c>
      <c r="X286" s="11">
        <f t="shared" si="10"/>
        <v>-16</v>
      </c>
      <c r="Y286" s="11" t="str">
        <f>VLOOKUP($G286, SeanRanks!$A$2:$K$303, 10, FALSE)-V286</f>
        <v>#N/A</v>
      </c>
      <c r="Z286" s="29" t="str">
        <f>IF(VLOOKUP($G286, SeanRanks!$A$2:$H$303, 7, FALSE)=0, "", VLOOKUP($G286, SeanRanks!$A$2:$H$303, 7, FALSE))</f>
        <v>#N/A</v>
      </c>
    </row>
    <row r="287" ht="14.25" customHeight="1">
      <c r="A287" s="11"/>
      <c r="B287" s="11" t="str">
        <f t="shared" si="11"/>
        <v>#N/A</v>
      </c>
      <c r="C287" s="11" t="s">
        <v>106</v>
      </c>
      <c r="D287" s="11"/>
      <c r="E287" s="11"/>
      <c r="F287" s="11" t="str">
        <f>VLOOKUP(G287, SeanRanks!$A$2:$E$302, 4, FALSE)</f>
        <v>#N/A</v>
      </c>
      <c r="G287" s="11" t="s">
        <v>975</v>
      </c>
      <c r="H287" s="11" t="str">
        <f>VLOOKUP($G287, 'ADP Data'!$C$4:$Q$300, 2, FALSE)</f>
        <v>#N/A</v>
      </c>
      <c r="I287" s="11" t="str">
        <f>VLOOKUP(G287, 'ADP Data'!$C$4:$R$498, 12, FALSE)</f>
        <v>#N/A</v>
      </c>
      <c r="J287" s="11" t="str">
        <f>VLOOKUP($G287, SeanRanks!$A$2:$H$303, 5, FALSE)</f>
        <v>#N/A</v>
      </c>
      <c r="K287" s="11" t="str">
        <f>IF(VLOOKUP($G287, SeanRanks!$A$2:$H$303, 6, FALSE)=0, "", VLOOKUP($G287, SeanRanks!$A$2:$H$303, 6, FALSE))</f>
        <v>#N/A</v>
      </c>
      <c r="L287" s="11">
        <f t="shared" si="5"/>
        <v>16</v>
      </c>
      <c r="M287" s="11" t="str">
        <f>VLOOKUP($G287, 'ADP Data'!$C$4:$Q$300, 9, FALSE)</f>
        <v>#N/A</v>
      </c>
      <c r="N287" s="11" t="str">
        <f t="shared" si="6"/>
        <v>#N/A</v>
      </c>
      <c r="O287" s="11" t="str">
        <f>VLOOKUP($G287, 'ADP Data'!$C$4:$Q$300, 3, FALSE)</f>
        <v>#N/A</v>
      </c>
      <c r="P287" s="11" t="str">
        <f t="shared" si="7"/>
        <v>#N/A</v>
      </c>
      <c r="Q287" s="11" t="str">
        <f>VLOOKUP($G287, 'ADP Data'!$C$4:$Q$300, 4, FALSE)</f>
        <v>#N/A</v>
      </c>
      <c r="R287" s="11" t="str">
        <f>VLOOKUP($G287, 'ADP Data'!$C$4:$Q$300, 5, FALSE)</f>
        <v>#N/A</v>
      </c>
      <c r="S287" s="11" t="str">
        <f>VLOOKUP($G287, 'ADP Data'!$C$4:$Q$300, 6, FALSE)</f>
        <v>#N/A</v>
      </c>
      <c r="T287" s="11" t="str">
        <f>VLOOKUP($G287, 'ADP Data'!$C$4:$Q$300, 7, FALSE)</f>
        <v>#N/A</v>
      </c>
      <c r="U287" s="11" t="str">
        <f>VLOOKUP($G287, 'ADP Data'!$C$4:$Q$300, 8, FALSE)</f>
        <v>#N/A</v>
      </c>
      <c r="V287" s="11" t="str">
        <f t="shared" si="8"/>
        <v>#N/A</v>
      </c>
      <c r="W287" s="11">
        <f t="shared" si="9"/>
        <v>16</v>
      </c>
      <c r="X287" s="11">
        <f t="shared" si="10"/>
        <v>-16</v>
      </c>
      <c r="Y287" s="11" t="str">
        <f>VLOOKUP($G287, SeanRanks!$A$2:$K$303, 10, FALSE)-V287</f>
        <v>#N/A</v>
      </c>
      <c r="Z287" s="29" t="str">
        <f>IF(VLOOKUP($G287, SeanRanks!$A$2:$H$303, 7, FALSE)=0, "", VLOOKUP($G287, SeanRanks!$A$2:$H$303, 7, FALSE))</f>
        <v>#N/A</v>
      </c>
    </row>
    <row r="288" ht="14.25" customHeight="1">
      <c r="A288" s="11"/>
      <c r="B288" s="11" t="str">
        <f t="shared" si="11"/>
        <v>#N/A</v>
      </c>
      <c r="C288" s="11" t="s">
        <v>106</v>
      </c>
      <c r="D288" s="11"/>
      <c r="E288" s="11"/>
      <c r="F288" s="11" t="str">
        <f>VLOOKUP(G288, SeanRanks!$A$2:$E$302, 4, FALSE)</f>
        <v>#N/A</v>
      </c>
      <c r="G288" s="11" t="s">
        <v>982</v>
      </c>
      <c r="H288" s="11" t="str">
        <f>VLOOKUP($G288, 'ADP Data'!$C$4:$Q$300, 2, FALSE)</f>
        <v>#N/A</v>
      </c>
      <c r="I288" s="11" t="str">
        <f>VLOOKUP(G288, 'ADP Data'!$C$4:$R$498, 12, FALSE)</f>
        <v>#N/A</v>
      </c>
      <c r="J288" s="11" t="str">
        <f>VLOOKUP($G288, SeanRanks!$A$2:$H$303, 5, FALSE)</f>
        <v>#N/A</v>
      </c>
      <c r="K288" s="11" t="str">
        <f>IF(VLOOKUP($G288, SeanRanks!$A$2:$H$303, 6, FALSE)=0, "", VLOOKUP($G288, SeanRanks!$A$2:$H$303, 6, FALSE))</f>
        <v>#N/A</v>
      </c>
      <c r="L288" s="11">
        <f t="shared" si="5"/>
        <v>16</v>
      </c>
      <c r="M288" s="11" t="str">
        <f>VLOOKUP($G288, 'ADP Data'!$C$4:$Q$300, 9, FALSE)</f>
        <v>#N/A</v>
      </c>
      <c r="N288" s="11" t="str">
        <f t="shared" si="6"/>
        <v>#N/A</v>
      </c>
      <c r="O288" s="11" t="str">
        <f>VLOOKUP($G288, 'ADP Data'!$C$4:$Q$300, 3, FALSE)</f>
        <v>#N/A</v>
      </c>
      <c r="P288" s="11" t="str">
        <f t="shared" si="7"/>
        <v>#N/A</v>
      </c>
      <c r="Q288" s="11" t="str">
        <f>VLOOKUP($G288, 'ADP Data'!$C$4:$Q$300, 4, FALSE)</f>
        <v>#N/A</v>
      </c>
      <c r="R288" s="11" t="str">
        <f>VLOOKUP($G288, 'ADP Data'!$C$4:$Q$300, 5, FALSE)</f>
        <v>#N/A</v>
      </c>
      <c r="S288" s="11" t="str">
        <f>VLOOKUP($G288, 'ADP Data'!$C$4:$Q$300, 6, FALSE)</f>
        <v>#N/A</v>
      </c>
      <c r="T288" s="11" t="str">
        <f>VLOOKUP($G288, 'ADP Data'!$C$4:$Q$300, 7, FALSE)</f>
        <v>#N/A</v>
      </c>
      <c r="U288" s="11" t="str">
        <f>VLOOKUP($G288, 'ADP Data'!$C$4:$Q$300, 8, FALSE)</f>
        <v>#N/A</v>
      </c>
      <c r="V288" s="11" t="str">
        <f t="shared" si="8"/>
        <v>#N/A</v>
      </c>
      <c r="W288" s="11">
        <f t="shared" si="9"/>
        <v>16</v>
      </c>
      <c r="X288" s="11">
        <f t="shared" si="10"/>
        <v>-16</v>
      </c>
      <c r="Y288" s="11" t="str">
        <f>VLOOKUP($G288, SeanRanks!$A$2:$K$303, 10, FALSE)-V288</f>
        <v>#N/A</v>
      </c>
      <c r="Z288" s="29" t="str">
        <f>IF(VLOOKUP($G288, SeanRanks!$A$2:$H$303, 7, FALSE)=0, "", VLOOKUP($G288, SeanRanks!$A$2:$H$303, 7, FALSE))</f>
        <v>#N/A</v>
      </c>
    </row>
    <row r="289" ht="14.25" customHeight="1">
      <c r="A289" s="11"/>
      <c r="B289" s="11">
        <f t="shared" si="11"/>
        <v>12</v>
      </c>
      <c r="C289" s="11" t="s">
        <v>106</v>
      </c>
      <c r="D289" s="11"/>
      <c r="E289" s="11"/>
      <c r="F289" s="11" t="str">
        <f>VLOOKUP(G289, SeanRanks!$A$2:$E$302, 4, FALSE)</f>
        <v/>
      </c>
      <c r="G289" s="11" t="s">
        <v>586</v>
      </c>
      <c r="H289" s="11" t="str">
        <f>VLOOKUP($G289, 'ADP Data'!$C$4:$Q$300, 2, FALSE)</f>
        <v>LAC</v>
      </c>
      <c r="I289" s="11" t="str">
        <f>VLOOKUP(G289, 'ADP Data'!$C$4:$R$498, 12, FALSE)</f>
        <v>-</v>
      </c>
      <c r="J289" s="11" t="str">
        <f>VLOOKUP($G289, SeanRanks!$A$2:$H$303, 5, FALSE)</f>
        <v/>
      </c>
      <c r="K289" s="11" t="str">
        <f>IF(VLOOKUP($G289, SeanRanks!$A$2:$H$303, 6, FALSE)=0, "", VLOOKUP($G289, SeanRanks!$A$2:$H$303, 6, FALSE))</f>
        <v/>
      </c>
      <c r="L289" s="11">
        <f t="shared" si="5"/>
        <v>12</v>
      </c>
      <c r="M289" s="11">
        <f>VLOOKUP($G289, 'ADP Data'!$C$4:$Q$300, 9, FALSE)</f>
        <v>132</v>
      </c>
      <c r="N289" s="11">
        <f t="shared" si="6"/>
        <v>-12</v>
      </c>
      <c r="O289" s="11">
        <f>VLOOKUP($G289, 'ADP Data'!$C$4:$Q$300, 3, FALSE)</f>
        <v>157</v>
      </c>
      <c r="P289" s="11">
        <f t="shared" si="7"/>
        <v>-25</v>
      </c>
      <c r="Q289" s="11"/>
      <c r="R289" s="11"/>
      <c r="S289" s="11"/>
      <c r="T289" s="11"/>
      <c r="U289" s="11"/>
      <c r="V289" s="11">
        <f t="shared" si="8"/>
        <v>144</v>
      </c>
      <c r="W289" s="11">
        <f t="shared" si="9"/>
        <v>13</v>
      </c>
      <c r="X289" s="11">
        <f t="shared" si="10"/>
        <v>-13</v>
      </c>
      <c r="Y289" s="11">
        <f>VLOOKUP($G289, SeanRanks!$A$2:$K$303, 10, FALSE)-V289</f>
        <v>49</v>
      </c>
      <c r="Z289" s="29" t="str">
        <f>IF(VLOOKUP($G289, SeanRanks!$A$2:$H$303, 7, FALSE)=0, "", VLOOKUP($G289, SeanRanks!$A$2:$H$303, 7, FALSE))</f>
        <v/>
      </c>
    </row>
    <row r="290" ht="14.25" customHeight="1">
      <c r="A290" s="11"/>
      <c r="B290" s="11" t="str">
        <f t="shared" si="11"/>
        <v>#N/A</v>
      </c>
      <c r="C290" s="11" t="s">
        <v>106</v>
      </c>
      <c r="D290" s="11"/>
      <c r="E290" s="11"/>
      <c r="F290" s="11" t="str">
        <f>VLOOKUP(G290, SeanRanks!$A$2:$E$302, 4, FALSE)</f>
        <v>#N/A</v>
      </c>
      <c r="G290" s="11" t="s">
        <v>983</v>
      </c>
      <c r="H290" s="11" t="str">
        <f>VLOOKUP($G290, 'ADP Data'!$C$4:$Q$300, 2, FALSE)</f>
        <v>#N/A</v>
      </c>
      <c r="I290" s="11" t="str">
        <f>VLOOKUP(G290, 'ADP Data'!$C$4:$R$498, 12, FALSE)</f>
        <v>#N/A</v>
      </c>
      <c r="J290" s="11" t="str">
        <f>VLOOKUP($G290, SeanRanks!$A$2:$H$303, 5, FALSE)</f>
        <v>#N/A</v>
      </c>
      <c r="K290" s="11" t="str">
        <f>IF(VLOOKUP($G290, SeanRanks!$A$2:$H$303, 6, FALSE)=0, "", VLOOKUP($G290, SeanRanks!$A$2:$H$303, 6, FALSE))</f>
        <v>#N/A</v>
      </c>
      <c r="L290" s="11">
        <f t="shared" si="5"/>
        <v>16</v>
      </c>
      <c r="M290" s="11" t="str">
        <f>VLOOKUP($G290, 'ADP Data'!$C$4:$Q$300, 9, FALSE)</f>
        <v>#N/A</v>
      </c>
      <c r="N290" s="11" t="str">
        <f t="shared" si="6"/>
        <v>#N/A</v>
      </c>
      <c r="O290" s="11" t="str">
        <f>VLOOKUP($G290, 'ADP Data'!$C$4:$Q$300, 3, FALSE)</f>
        <v>#N/A</v>
      </c>
      <c r="P290" s="11" t="str">
        <f t="shared" si="7"/>
        <v>#N/A</v>
      </c>
      <c r="Q290" s="11"/>
      <c r="R290" s="11"/>
      <c r="S290" s="11"/>
      <c r="T290" s="11"/>
      <c r="U290" s="11"/>
      <c r="V290" s="11" t="str">
        <f t="shared" si="8"/>
        <v>#N/A</v>
      </c>
      <c r="W290" s="11">
        <f t="shared" si="9"/>
        <v>16</v>
      </c>
      <c r="X290" s="11">
        <f t="shared" si="10"/>
        <v>-16</v>
      </c>
      <c r="Y290" s="11" t="str">
        <f>VLOOKUP($G290, SeanRanks!$A$2:$K$303, 10, FALSE)-V290</f>
        <v>#N/A</v>
      </c>
      <c r="Z290" s="29" t="str">
        <f>IF(VLOOKUP($G290, SeanRanks!$A$2:$H$303, 7, FALSE)=0, "", VLOOKUP($G290, SeanRanks!$A$2:$H$303, 7, FALSE))</f>
        <v>#N/A</v>
      </c>
    </row>
    <row r="291" ht="14.25" customHeight="1">
      <c r="A291" s="11"/>
      <c r="B291" s="11">
        <f t="shared" si="11"/>
        <v>22</v>
      </c>
      <c r="C291" s="11" t="s">
        <v>106</v>
      </c>
      <c r="D291" s="11"/>
      <c r="E291" s="11"/>
      <c r="F291" s="11" t="str">
        <f>VLOOKUP(G291, SeanRanks!$A$2:$E$302, 4, FALSE)</f>
        <v>#N/A</v>
      </c>
      <c r="G291" s="11" t="s">
        <v>984</v>
      </c>
      <c r="H291" s="11" t="str">
        <f>VLOOKUP($G291, 'ADP Data'!$C$4:$Q$300, 2, FALSE)</f>
        <v>WAS</v>
      </c>
      <c r="I291" s="11" t="str">
        <f>VLOOKUP(G291, 'ADP Data'!$C$4:$R$498, 12, FALSE)</f>
        <v>-</v>
      </c>
      <c r="J291" s="11" t="str">
        <f>VLOOKUP($G291, SeanRanks!$A$2:$H$303, 5, FALSE)</f>
        <v>#N/A</v>
      </c>
      <c r="K291" s="11" t="str">
        <f>IF(VLOOKUP($G291, SeanRanks!$A$2:$H$303, 6, FALSE)=0, "", VLOOKUP($G291, SeanRanks!$A$2:$H$303, 6, FALSE))</f>
        <v>#N/A</v>
      </c>
      <c r="L291" s="11">
        <f t="shared" si="5"/>
        <v>22</v>
      </c>
      <c r="M291" s="11">
        <f>VLOOKUP($G291, 'ADP Data'!$C$4:$Q$300, 9, FALSE)</f>
        <v>257</v>
      </c>
      <c r="N291" s="11">
        <f t="shared" si="6"/>
        <v>52</v>
      </c>
      <c r="O291" s="11">
        <f>VLOOKUP($G291, 'ADP Data'!$C$4:$Q$300, 3, FALSE)</f>
        <v>153</v>
      </c>
      <c r="P291" s="11">
        <f t="shared" si="7"/>
        <v>104</v>
      </c>
      <c r="Q291" s="11"/>
      <c r="R291" s="11"/>
      <c r="S291" s="11"/>
      <c r="T291" s="11"/>
      <c r="U291" s="11"/>
      <c r="V291" s="11">
        <f t="shared" si="8"/>
        <v>205</v>
      </c>
      <c r="W291" s="11">
        <f t="shared" si="9"/>
        <v>18</v>
      </c>
      <c r="X291" s="11">
        <f t="shared" si="10"/>
        <v>-18</v>
      </c>
      <c r="Y291" s="11" t="str">
        <f>VLOOKUP($G291, SeanRanks!$A$2:$K$303, 10, FALSE)-V291</f>
        <v>#N/A</v>
      </c>
      <c r="Z291" s="29" t="str">
        <f>IF(VLOOKUP($G291, SeanRanks!$A$2:$H$303, 7, FALSE)=0, "", VLOOKUP($G291, SeanRanks!$A$2:$H$303, 7, FALSE))</f>
        <v>#N/A</v>
      </c>
    </row>
    <row r="292" ht="14.25" customHeight="1">
      <c r="A292" s="11"/>
      <c r="B292" s="11" t="str">
        <f t="shared" si="11"/>
        <v>#N/A</v>
      </c>
      <c r="C292" s="11" t="s">
        <v>106</v>
      </c>
      <c r="D292" s="11"/>
      <c r="E292" s="11"/>
      <c r="F292" s="11" t="str">
        <f>VLOOKUP(G292, SeanRanks!$A$2:$E$302, 4, FALSE)</f>
        <v>#N/A</v>
      </c>
      <c r="G292" s="11" t="s">
        <v>582</v>
      </c>
      <c r="H292" s="11" t="str">
        <f>VLOOKUP($G292, 'ADP Data'!$C$4:$Q$300, 2, FALSE)</f>
        <v>#N/A</v>
      </c>
      <c r="I292" s="11" t="str">
        <f>VLOOKUP(G292, 'ADP Data'!$C$4:$R$498, 12, FALSE)</f>
        <v>#N/A</v>
      </c>
      <c r="J292" s="11" t="str">
        <f>VLOOKUP($G292, SeanRanks!$A$2:$H$303, 5, FALSE)</f>
        <v>#N/A</v>
      </c>
      <c r="K292" s="11" t="str">
        <f>IF(VLOOKUP($G292, SeanRanks!$A$2:$H$303, 6, FALSE)=0, "", VLOOKUP($G292, SeanRanks!$A$2:$H$303, 6, FALSE))</f>
        <v>#N/A</v>
      </c>
      <c r="L292" s="11">
        <f t="shared" si="5"/>
        <v>16</v>
      </c>
      <c r="M292" s="11" t="str">
        <f>VLOOKUP($G292, 'ADP Data'!$C$4:$Q$300, 9, FALSE)</f>
        <v>#N/A</v>
      </c>
      <c r="N292" s="11" t="str">
        <f t="shared" si="6"/>
        <v>#N/A</v>
      </c>
      <c r="O292" s="11" t="str">
        <f>VLOOKUP($G292, 'ADP Data'!$C$4:$Q$300, 3, FALSE)</f>
        <v>#N/A</v>
      </c>
      <c r="P292" s="11" t="str">
        <f t="shared" si="7"/>
        <v>#N/A</v>
      </c>
      <c r="Q292" s="11"/>
      <c r="R292" s="11"/>
      <c r="S292" s="11"/>
      <c r="T292" s="11"/>
      <c r="U292" s="11"/>
      <c r="V292" s="11" t="str">
        <f t="shared" si="8"/>
        <v>#N/A</v>
      </c>
      <c r="W292" s="11">
        <f t="shared" si="9"/>
        <v>16</v>
      </c>
      <c r="X292" s="11">
        <f t="shared" si="10"/>
        <v>-16</v>
      </c>
      <c r="Y292" s="11" t="str">
        <f>VLOOKUP($G292, SeanRanks!$A$2:$K$303, 10, FALSE)-V292</f>
        <v>#N/A</v>
      </c>
      <c r="Z292" s="29" t="str">
        <f>IF(VLOOKUP($G292, SeanRanks!$A$2:$H$303, 7, FALSE)=0, "", VLOOKUP($G292, SeanRanks!$A$2:$H$303, 7, FALSE))</f>
        <v>#N/A</v>
      </c>
    </row>
    <row r="293" ht="14.25" customHeight="1">
      <c r="A293" s="11"/>
      <c r="B293" s="11" t="str">
        <f t="shared" si="11"/>
        <v>#N/A</v>
      </c>
      <c r="C293" s="11" t="s">
        <v>106</v>
      </c>
      <c r="D293" s="11"/>
      <c r="E293" s="11"/>
      <c r="F293" s="11" t="str">
        <f>VLOOKUP(G293, SeanRanks!$A$2:$E$302, 4, FALSE)</f>
        <v>#N/A</v>
      </c>
      <c r="G293" s="11" t="s">
        <v>985</v>
      </c>
      <c r="H293" s="11" t="str">
        <f>VLOOKUP($G293, 'ADP Data'!$C$4:$Q$300, 2, FALSE)</f>
        <v>#N/A</v>
      </c>
      <c r="I293" s="11" t="str">
        <f>VLOOKUP(G293, 'ADP Data'!$C$4:$R$498, 12, FALSE)</f>
        <v>#N/A</v>
      </c>
      <c r="J293" s="11" t="str">
        <f>VLOOKUP($G293, SeanRanks!$A$2:$H$303, 5, FALSE)</f>
        <v>#N/A</v>
      </c>
      <c r="K293" s="11" t="str">
        <f>IF(VLOOKUP($G293, SeanRanks!$A$2:$H$303, 6, FALSE)=0, "", VLOOKUP($G293, SeanRanks!$A$2:$H$303, 6, FALSE))</f>
        <v>#N/A</v>
      </c>
      <c r="L293" s="11">
        <f t="shared" si="5"/>
        <v>16</v>
      </c>
      <c r="M293" s="11" t="str">
        <f>VLOOKUP($G293, 'ADP Data'!$C$4:$Q$300, 9, FALSE)</f>
        <v>#N/A</v>
      </c>
      <c r="N293" s="11" t="str">
        <f t="shared" si="6"/>
        <v>#N/A</v>
      </c>
      <c r="O293" s="11" t="str">
        <f>VLOOKUP($G293, 'ADP Data'!$C$4:$Q$300, 3, FALSE)</f>
        <v>#N/A</v>
      </c>
      <c r="P293" s="11" t="str">
        <f t="shared" si="7"/>
        <v>#N/A</v>
      </c>
      <c r="Q293" s="11"/>
      <c r="R293" s="11"/>
      <c r="S293" s="11"/>
      <c r="T293" s="11"/>
      <c r="U293" s="11"/>
      <c r="V293" s="11" t="str">
        <f t="shared" si="8"/>
        <v>#N/A</v>
      </c>
      <c r="W293" s="11">
        <f t="shared" si="9"/>
        <v>16</v>
      </c>
      <c r="X293" s="11">
        <f t="shared" si="10"/>
        <v>-16</v>
      </c>
      <c r="Y293" s="11" t="str">
        <f>VLOOKUP($G293, SeanRanks!$A$2:$K$303, 10, FALSE)-V293</f>
        <v>#N/A</v>
      </c>
      <c r="Z293" s="29" t="str">
        <f>IF(VLOOKUP($G293, SeanRanks!$A$2:$H$303, 7, FALSE)=0, "", VLOOKUP($G293, SeanRanks!$A$2:$H$303, 7, FALSE))</f>
        <v>#N/A</v>
      </c>
    </row>
    <row r="294" ht="14.25" customHeight="1">
      <c r="A294" s="11"/>
      <c r="B294" s="11" t="str">
        <f t="shared" si="11"/>
        <v>#N/A</v>
      </c>
      <c r="C294" s="11" t="s">
        <v>106</v>
      </c>
      <c r="D294" s="11"/>
      <c r="E294" s="11"/>
      <c r="F294" s="11" t="str">
        <f>VLOOKUP(G294, SeanRanks!$A$2:$E$302, 4, FALSE)</f>
        <v>#N/A</v>
      </c>
      <c r="G294" s="11" t="s">
        <v>986</v>
      </c>
      <c r="H294" s="11" t="str">
        <f>VLOOKUP($G294, 'ADP Data'!$C$4:$Q$300, 2, FALSE)</f>
        <v>#N/A</v>
      </c>
      <c r="I294" s="11" t="str">
        <f>VLOOKUP(G294, 'ADP Data'!$C$4:$R$498, 12, FALSE)</f>
        <v>#N/A</v>
      </c>
      <c r="J294" s="11" t="str">
        <f>VLOOKUP($G294, SeanRanks!$A$2:$H$303, 5, FALSE)</f>
        <v>#N/A</v>
      </c>
      <c r="K294" s="11" t="str">
        <f>IF(VLOOKUP($G294, SeanRanks!$A$2:$H$303, 6, FALSE)=0, "", VLOOKUP($G294, SeanRanks!$A$2:$H$303, 6, FALSE))</f>
        <v>#N/A</v>
      </c>
      <c r="L294" s="11">
        <f t="shared" si="5"/>
        <v>16</v>
      </c>
      <c r="M294" s="11" t="str">
        <f>VLOOKUP($G294, 'ADP Data'!$C$4:$Q$300, 9, FALSE)</f>
        <v>#N/A</v>
      </c>
      <c r="N294" s="11" t="str">
        <f t="shared" si="6"/>
        <v>#N/A</v>
      </c>
      <c r="O294" s="11" t="str">
        <f>VLOOKUP($G294, 'ADP Data'!$C$4:$Q$300, 3, FALSE)</f>
        <v>#N/A</v>
      </c>
      <c r="P294" s="11" t="str">
        <f t="shared" si="7"/>
        <v>#N/A</v>
      </c>
      <c r="Q294" s="11" t="str">
        <f>VLOOKUP($G294, 'ADP Data'!$C$4:$Q$300, 4, FALSE)</f>
        <v>#N/A</v>
      </c>
      <c r="R294" s="11" t="str">
        <f>VLOOKUP($G294, 'ADP Data'!$C$4:$Q$300, 5, FALSE)</f>
        <v>#N/A</v>
      </c>
      <c r="S294" s="11" t="str">
        <f>VLOOKUP($G294, 'ADP Data'!$C$4:$Q$300, 6, FALSE)</f>
        <v>#N/A</v>
      </c>
      <c r="T294" s="11" t="str">
        <f>VLOOKUP($G294, 'ADP Data'!$C$4:$Q$300, 7, FALSE)</f>
        <v>#N/A</v>
      </c>
      <c r="U294" s="11" t="str">
        <f>VLOOKUP($G294, 'ADP Data'!$C$4:$Q$300, 8, FALSE)</f>
        <v>#N/A</v>
      </c>
      <c r="V294" s="11" t="str">
        <f t="shared" si="8"/>
        <v>#N/A</v>
      </c>
      <c r="W294" s="11">
        <f t="shared" si="9"/>
        <v>16</v>
      </c>
      <c r="X294" s="11">
        <f t="shared" si="10"/>
        <v>-16</v>
      </c>
      <c r="Y294" s="11" t="str">
        <f>VLOOKUP($G294, SeanRanks!$A$2:$K$303, 10, FALSE)-V294</f>
        <v>#N/A</v>
      </c>
      <c r="Z294" s="29" t="str">
        <f>IF(VLOOKUP($G294, SeanRanks!$A$2:$H$303, 7, FALSE)=0, "", VLOOKUP($G294, SeanRanks!$A$2:$H$303, 7, FALSE))</f>
        <v>#N/A</v>
      </c>
    </row>
    <row r="295" ht="14.25" customHeight="1">
      <c r="A295" s="11"/>
      <c r="B295" s="11"/>
      <c r="C295" s="11" t="s">
        <v>106</v>
      </c>
      <c r="D295" s="11"/>
      <c r="E295" s="11"/>
      <c r="F295" s="11" t="str">
        <f>VLOOKUP(G295, SeanRanks!$A$2:$E$302, 4, FALSE)</f>
        <v>#N/A</v>
      </c>
      <c r="G295" s="11" t="s">
        <v>987</v>
      </c>
      <c r="H295" s="11" t="str">
        <f>VLOOKUP($G295, 'ADP Data'!$C$4:$Q$300, 2, FALSE)</f>
        <v>#N/A</v>
      </c>
      <c r="I295" s="11" t="str">
        <f>VLOOKUP(G295, 'ADP Data'!$C$4:$R$498, 12, FALSE)</f>
        <v>#N/A</v>
      </c>
      <c r="J295" s="11" t="str">
        <f>VLOOKUP($G295, SeanRanks!$A$2:$H$303, 5, FALSE)</f>
        <v>#N/A</v>
      </c>
      <c r="K295" s="11" t="str">
        <f>IF(VLOOKUP($G295, SeanRanks!$A$2:$H$303, 6, FALSE)=0, "", VLOOKUP($G295, SeanRanks!$A$2:$H$303, 6, FALSE))</f>
        <v>#N/A</v>
      </c>
      <c r="L295" s="11">
        <f t="shared" si="5"/>
        <v>16</v>
      </c>
      <c r="M295" s="11" t="str">
        <f>VLOOKUP($G295, 'ADP Data'!$C$4:$Q$300, 9, FALSE)</f>
        <v>#N/A</v>
      </c>
      <c r="N295" s="11" t="str">
        <f t="shared" si="6"/>
        <v>#N/A</v>
      </c>
      <c r="O295" s="11" t="str">
        <f>VLOOKUP($G295, 'ADP Data'!$C$4:$Q$300, 3, FALSE)</f>
        <v>#N/A</v>
      </c>
      <c r="P295" s="11" t="str">
        <f t="shared" si="7"/>
        <v>#N/A</v>
      </c>
      <c r="Q295" s="11" t="str">
        <f>VLOOKUP($G295, 'ADP Data'!$C$4:$Q$300, 4, FALSE)</f>
        <v>#N/A</v>
      </c>
      <c r="R295" s="11" t="str">
        <f>VLOOKUP($G295, 'ADP Data'!$C$4:$Q$300, 5, FALSE)</f>
        <v>#N/A</v>
      </c>
      <c r="S295" s="11" t="str">
        <f>VLOOKUP($G295, 'ADP Data'!$C$4:$Q$300, 6, FALSE)</f>
        <v>#N/A</v>
      </c>
      <c r="T295" s="11" t="str">
        <f>VLOOKUP($G295, 'ADP Data'!$C$4:$Q$300, 7, FALSE)</f>
        <v>#N/A</v>
      </c>
      <c r="U295" s="11" t="str">
        <f>VLOOKUP($G295, 'ADP Data'!$C$4:$Q$300, 8, FALSE)</f>
        <v>#N/A</v>
      </c>
      <c r="V295" s="11" t="str">
        <f t="shared" si="8"/>
        <v>#N/A</v>
      </c>
      <c r="W295" s="11">
        <f t="shared" si="9"/>
        <v>16</v>
      </c>
      <c r="X295" s="11">
        <f t="shared" si="10"/>
        <v>-16</v>
      </c>
      <c r="Y295" s="11" t="str">
        <f>VLOOKUP($G295, SeanRanks!$A$2:$K$303, 10, FALSE)-V295</f>
        <v>#N/A</v>
      </c>
      <c r="Z295" s="29" t="str">
        <f>IF(VLOOKUP($G295, SeanRanks!$A$2:$H$303, 7, FALSE)=0, "", VLOOKUP($G295, SeanRanks!$A$2:$H$303, 7, FALSE))</f>
        <v>#N/A</v>
      </c>
    </row>
    <row r="296" ht="14.25" customHeight="1">
      <c r="A296" s="11"/>
      <c r="B296" s="11">
        <f>IFERROR(INT(AVERAGE(Q296:U296)/12)+1, INT(AVERAGE(M296)/12)+1)</f>
        <v>23</v>
      </c>
      <c r="C296" s="11" t="s">
        <v>106</v>
      </c>
      <c r="D296" s="11"/>
      <c r="E296" s="11"/>
      <c r="F296" s="11" t="str">
        <f>VLOOKUP(G296, SeanRanks!$A$2:$E$302, 4, FALSE)</f>
        <v/>
      </c>
      <c r="G296" s="11" t="s">
        <v>827</v>
      </c>
      <c r="H296" s="11" t="str">
        <f>VLOOKUP($G296, 'ADP Data'!$C$4:$Q$300, 2, FALSE)</f>
        <v>NYG</v>
      </c>
      <c r="I296" s="11">
        <f>VLOOKUP(G296, 'ADP Data'!$C$4:$R$498, 12, FALSE)</f>
        <v>207</v>
      </c>
      <c r="J296" s="11" t="str">
        <f>VLOOKUP($G296, SeanRanks!$A$2:$H$303, 5, FALSE)</f>
        <v/>
      </c>
      <c r="K296" s="11" t="str">
        <f>IF(VLOOKUP($G296, SeanRanks!$A$2:$H$303, 6, FALSE)=0, "", VLOOKUP($G296, SeanRanks!$A$2:$H$303, 6, FALSE))</f>
        <v/>
      </c>
      <c r="L296" s="11">
        <f t="shared" si="5"/>
        <v>23</v>
      </c>
      <c r="M296" s="11">
        <f>VLOOKUP($G296, 'ADP Data'!$C$4:$Q$300, 9, FALSE)</f>
        <v>267</v>
      </c>
      <c r="N296" s="11">
        <f t="shared" si="6"/>
        <v>1</v>
      </c>
      <c r="O296" s="11" t="str">
        <f>VLOOKUP($G296, 'ADP Data'!$C$4:$Q$300, 3, FALSE)</f>
        <v>-</v>
      </c>
      <c r="P296" s="11" t="str">
        <f t="shared" si="7"/>
        <v>#VALUE!</v>
      </c>
      <c r="Q296" s="11" t="str">
        <f>VLOOKUP($G296, 'ADP Data'!$C$4:$Q$300, 4, FALSE)</f>
        <v>-</v>
      </c>
      <c r="R296" s="11">
        <f>VLOOKUP($G296, 'ADP Data'!$C$4:$Q$300, 5, FALSE)</f>
        <v>328</v>
      </c>
      <c r="S296" s="11">
        <f>VLOOKUP($G296, 'ADP Data'!$C$4:$Q$300, 6, FALSE)</f>
        <v>201</v>
      </c>
      <c r="T296" s="11">
        <f>VLOOKUP($G296, 'ADP Data'!$C$4:$Q$300, 7, FALSE)</f>
        <v>243</v>
      </c>
      <c r="U296" s="11">
        <f>VLOOKUP($G296, 'ADP Data'!$C$4:$Q$300, 8, FALSE)</f>
        <v>294</v>
      </c>
      <c r="V296" s="11">
        <f t="shared" si="8"/>
        <v>266</v>
      </c>
      <c r="W296" s="11">
        <f t="shared" si="9"/>
        <v>23</v>
      </c>
      <c r="X296" s="11">
        <f t="shared" si="10"/>
        <v>-23</v>
      </c>
      <c r="Y296" s="11">
        <f>VLOOKUP($G296, SeanRanks!$A$2:$K$303, 10, FALSE)-V296</f>
        <v>-66</v>
      </c>
      <c r="Z296" s="29" t="str">
        <f>IF(VLOOKUP($G296, SeanRanks!$A$2:$H$303, 7, FALSE)=0, "", VLOOKUP($G296, SeanRanks!$A$2:$H$303, 7, FALSE))</f>
        <v/>
      </c>
    </row>
    <row r="297" ht="14.25" customHeight="1">
      <c r="A297" s="11"/>
      <c r="B297" s="11"/>
      <c r="C297" s="11" t="s">
        <v>106</v>
      </c>
      <c r="D297" s="11"/>
      <c r="E297" s="11"/>
      <c r="F297" s="11" t="str">
        <f>VLOOKUP(G297, SeanRanks!$A$2:$E$302, 4, FALSE)</f>
        <v>#N/A</v>
      </c>
      <c r="G297" s="11" t="s">
        <v>988</v>
      </c>
      <c r="H297" s="11" t="str">
        <f>VLOOKUP($G297, 'ADP Data'!$C$4:$Q$300, 2, FALSE)</f>
        <v>#N/A</v>
      </c>
      <c r="I297" s="11" t="str">
        <f>VLOOKUP(G297, 'ADP Data'!$C$4:$R$498, 12, FALSE)</f>
        <v>#N/A</v>
      </c>
      <c r="J297" s="11" t="str">
        <f>VLOOKUP($G297, SeanRanks!$A$2:$H$303, 5, FALSE)</f>
        <v>#N/A</v>
      </c>
      <c r="K297" s="11" t="str">
        <f>IF(VLOOKUP($G297, SeanRanks!$A$2:$H$303, 6, FALSE)=0, "", VLOOKUP($G297, SeanRanks!$A$2:$H$303, 6, FALSE))</f>
        <v>#N/A</v>
      </c>
      <c r="L297" s="11">
        <f t="shared" si="5"/>
        <v>16</v>
      </c>
      <c r="M297" s="11" t="str">
        <f>VLOOKUP($G297, 'ADP Data'!$C$4:$Q$300, 9, FALSE)</f>
        <v>#N/A</v>
      </c>
      <c r="N297" s="11" t="str">
        <f t="shared" si="6"/>
        <v>#N/A</v>
      </c>
      <c r="O297" s="11" t="str">
        <f>VLOOKUP($G297, 'ADP Data'!$C$4:$Q$300, 3, FALSE)</f>
        <v>#N/A</v>
      </c>
      <c r="P297" s="11" t="str">
        <f t="shared" si="7"/>
        <v>#N/A</v>
      </c>
      <c r="Q297" s="11" t="str">
        <f>VLOOKUP($G297, 'ADP Data'!$C$4:$Q$300, 4, FALSE)</f>
        <v>#N/A</v>
      </c>
      <c r="R297" s="11" t="str">
        <f>VLOOKUP($G297, 'ADP Data'!$C$4:$Q$300, 5, FALSE)</f>
        <v>#N/A</v>
      </c>
      <c r="S297" s="11" t="str">
        <f>VLOOKUP($G297, 'ADP Data'!$C$4:$Q$300, 6, FALSE)</f>
        <v>#N/A</v>
      </c>
      <c r="T297" s="11" t="str">
        <f>VLOOKUP($G297, 'ADP Data'!$C$4:$Q$300, 7, FALSE)</f>
        <v>#N/A</v>
      </c>
      <c r="U297" s="11" t="str">
        <f>VLOOKUP($G297, 'ADP Data'!$C$4:$Q$300, 8, FALSE)</f>
        <v>#N/A</v>
      </c>
      <c r="V297" s="11" t="str">
        <f t="shared" si="8"/>
        <v>#N/A</v>
      </c>
      <c r="W297" s="11">
        <f t="shared" si="9"/>
        <v>16</v>
      </c>
      <c r="X297" s="11">
        <f t="shared" si="10"/>
        <v>-16</v>
      </c>
      <c r="Y297" s="11" t="str">
        <f>VLOOKUP($G297, SeanRanks!$A$2:$K$303, 10, FALSE)-V297</f>
        <v>#N/A</v>
      </c>
      <c r="Z297" s="29" t="str">
        <f>IF(VLOOKUP($G297, SeanRanks!$A$2:$H$303, 7, FALSE)=0, "", VLOOKUP($G297, SeanRanks!$A$2:$H$303, 7, FALSE))</f>
        <v>#N/A</v>
      </c>
    </row>
    <row r="298" ht="14.25" customHeight="1">
      <c r="A298" s="11"/>
      <c r="B298" s="11">
        <f t="shared" ref="B298:B300" si="12">IFERROR(INT(AVERAGE(Q298:U298)/12)+1, INT(AVERAGE(M298)/12)+1)</f>
        <v>23</v>
      </c>
      <c r="C298" s="11" t="s">
        <v>106</v>
      </c>
      <c r="D298" s="11"/>
      <c r="E298" s="11"/>
      <c r="F298" s="11" t="str">
        <f>VLOOKUP(G298, SeanRanks!$A$2:$E$302, 4, FALSE)</f>
        <v/>
      </c>
      <c r="G298" s="11" t="s">
        <v>989</v>
      </c>
      <c r="H298" s="11" t="str">
        <f>VLOOKUP($G298, 'ADP Data'!$C$4:$Q$300, 2, FALSE)</f>
        <v>PIT</v>
      </c>
      <c r="I298" s="11">
        <f>VLOOKUP(G298, 'ADP Data'!$C$4:$R$498, 12, FALSE)</f>
        <v>250</v>
      </c>
      <c r="J298" s="11" t="str">
        <f>VLOOKUP($G298, SeanRanks!$A$2:$H$303, 5, FALSE)</f>
        <v/>
      </c>
      <c r="K298" s="11" t="str">
        <f>IF(VLOOKUP($G298, SeanRanks!$A$2:$H$303, 6, FALSE)=0, "", VLOOKUP($G298, SeanRanks!$A$2:$H$303, 6, FALSE))</f>
        <v/>
      </c>
      <c r="L298" s="11">
        <f t="shared" si="5"/>
        <v>23</v>
      </c>
      <c r="M298" s="11">
        <f>VLOOKUP($G298, 'ADP Data'!$C$4:$Q$300, 9, FALSE)</f>
        <v>274</v>
      </c>
      <c r="N298" s="11">
        <f t="shared" si="6"/>
        <v>1</v>
      </c>
      <c r="O298" s="11" t="str">
        <f>VLOOKUP($G298, 'ADP Data'!$C$4:$Q$300, 3, FALSE)</f>
        <v>-</v>
      </c>
      <c r="P298" s="11" t="str">
        <f t="shared" si="7"/>
        <v>#VALUE!</v>
      </c>
      <c r="Q298" s="11" t="str">
        <f>VLOOKUP($G298, 'ADP Data'!$C$4:$Q$300, 4, FALSE)</f>
        <v>-</v>
      </c>
      <c r="R298" s="11">
        <f>VLOOKUP($G298, 'ADP Data'!$C$4:$Q$300, 5, FALSE)</f>
        <v>302</v>
      </c>
      <c r="S298" s="11">
        <f>VLOOKUP($G298, 'ADP Data'!$C$4:$Q$300, 6, FALSE)</f>
        <v>262</v>
      </c>
      <c r="T298" s="11">
        <f>VLOOKUP($G298, 'ADP Data'!$C$4:$Q$300, 7, FALSE)</f>
        <v>250</v>
      </c>
      <c r="U298" s="11">
        <f>VLOOKUP($G298, 'ADP Data'!$C$4:$Q$300, 8, FALSE)</f>
        <v>277</v>
      </c>
      <c r="V298" s="11">
        <f t="shared" si="8"/>
        <v>273</v>
      </c>
      <c r="W298" s="11">
        <f t="shared" si="9"/>
        <v>23</v>
      </c>
      <c r="X298" s="11">
        <f t="shared" si="10"/>
        <v>-23</v>
      </c>
      <c r="Y298" s="11" t="str">
        <f>VLOOKUP($G298, SeanRanks!$A$2:$K$303, 10, FALSE)-V298</f>
        <v>#VALUE!</v>
      </c>
      <c r="Z298" s="29" t="str">
        <f>IF(VLOOKUP($G298, SeanRanks!$A$2:$H$303, 7, FALSE)=0, "", VLOOKUP($G298, SeanRanks!$A$2:$H$303, 7, FALSE))</f>
        <v/>
      </c>
    </row>
    <row r="299" ht="14.25" customHeight="1">
      <c r="A299" s="11"/>
      <c r="B299" s="11" t="str">
        <f t="shared" si="12"/>
        <v>#N/A</v>
      </c>
      <c r="C299" s="11" t="s">
        <v>106</v>
      </c>
      <c r="D299" s="11"/>
      <c r="E299" s="11"/>
      <c r="F299" s="11" t="str">
        <f>VLOOKUP(G299, SeanRanks!$A$2:$E$302, 4, FALSE)</f>
        <v>#N/A</v>
      </c>
      <c r="G299" s="11" t="s">
        <v>990</v>
      </c>
      <c r="H299" s="11" t="str">
        <f>VLOOKUP($G299, 'ADP Data'!$C$4:$Q$300, 2, FALSE)</f>
        <v>#N/A</v>
      </c>
      <c r="I299" s="11" t="str">
        <f>VLOOKUP(G299, 'ADP Data'!$C$4:$R$498, 12, FALSE)</f>
        <v>#N/A</v>
      </c>
      <c r="J299" s="11" t="str">
        <f>VLOOKUP($G299, SeanRanks!$A$2:$H$303, 5, FALSE)</f>
        <v>#N/A</v>
      </c>
      <c r="K299" s="11" t="str">
        <f>IF(VLOOKUP($G299, SeanRanks!$A$2:$H$303, 6, FALSE)=0, "", VLOOKUP($G299, SeanRanks!$A$2:$H$303, 6, FALSE))</f>
        <v>#N/A</v>
      </c>
      <c r="L299" s="11">
        <f t="shared" si="5"/>
        <v>16</v>
      </c>
      <c r="M299" s="11" t="str">
        <f>VLOOKUP($G299, 'ADP Data'!$C$4:$Q$300, 9, FALSE)</f>
        <v>#N/A</v>
      </c>
      <c r="N299" s="11" t="str">
        <f t="shared" si="6"/>
        <v>#N/A</v>
      </c>
      <c r="O299" s="11" t="str">
        <f>VLOOKUP($G299, 'ADP Data'!$C$4:$Q$300, 3, FALSE)</f>
        <v>#N/A</v>
      </c>
      <c r="P299" s="11" t="str">
        <f t="shared" si="7"/>
        <v>#N/A</v>
      </c>
      <c r="Q299" s="11" t="str">
        <f>VLOOKUP($G299, 'ADP Data'!$C$4:$Q$300, 4, FALSE)</f>
        <v>#N/A</v>
      </c>
      <c r="R299" s="11" t="str">
        <f>VLOOKUP($G299, 'ADP Data'!$C$4:$Q$300, 5, FALSE)</f>
        <v>#N/A</v>
      </c>
      <c r="S299" s="11" t="str">
        <f>VLOOKUP($G299, 'ADP Data'!$C$4:$Q$300, 6, FALSE)</f>
        <v>#N/A</v>
      </c>
      <c r="T299" s="11" t="str">
        <f>VLOOKUP($G299, 'ADP Data'!$C$4:$Q$300, 7, FALSE)</f>
        <v>#N/A</v>
      </c>
      <c r="U299" s="11" t="str">
        <f>VLOOKUP($G299, 'ADP Data'!$C$4:$Q$300, 8, FALSE)</f>
        <v>#N/A</v>
      </c>
      <c r="V299" s="11" t="str">
        <f t="shared" si="8"/>
        <v>#N/A</v>
      </c>
      <c r="W299" s="11">
        <f t="shared" si="9"/>
        <v>16</v>
      </c>
      <c r="X299" s="11">
        <f t="shared" si="10"/>
        <v>-16</v>
      </c>
      <c r="Y299" s="11" t="str">
        <f>VLOOKUP($G299, SeanRanks!$A$2:$K$303, 10, FALSE)-V299</f>
        <v>#N/A</v>
      </c>
      <c r="Z299" s="29" t="str">
        <f>IF(VLOOKUP($G299, SeanRanks!$A$2:$H$303, 7, FALSE)=0, "", VLOOKUP($G299, SeanRanks!$A$2:$H$303, 7, FALSE))</f>
        <v>#N/A</v>
      </c>
    </row>
    <row r="300" ht="14.25" customHeight="1">
      <c r="A300" s="11"/>
      <c r="B300" s="11">
        <f t="shared" si="12"/>
        <v>20</v>
      </c>
      <c r="C300" s="11" t="s">
        <v>106</v>
      </c>
      <c r="D300" s="11"/>
      <c r="E300" s="11"/>
      <c r="F300" s="11" t="str">
        <f>VLOOKUP(G300, SeanRanks!$A$2:$E$302, 4, FALSE)</f>
        <v/>
      </c>
      <c r="G300" s="11" t="s">
        <v>688</v>
      </c>
      <c r="H300" s="11" t="str">
        <f>VLOOKUP($G300, 'ADP Data'!$C$4:$Q$300, 2, FALSE)</f>
        <v>NYG</v>
      </c>
      <c r="I300" s="11" t="str">
        <f>VLOOKUP(G300, 'ADP Data'!$C$4:$R$498, 12, FALSE)</f>
        <v>-</v>
      </c>
      <c r="J300" s="11" t="str">
        <f>VLOOKUP($G300, SeanRanks!$A$2:$H$303, 5, FALSE)</f>
        <v/>
      </c>
      <c r="K300" s="11" t="str">
        <f>IF(VLOOKUP($G300, SeanRanks!$A$2:$H$303, 6, FALSE)=0, "", VLOOKUP($G300, SeanRanks!$A$2:$H$303, 6, FALSE))</f>
        <v/>
      </c>
      <c r="L300" s="11">
        <f t="shared" si="5"/>
        <v>20</v>
      </c>
      <c r="M300" s="11">
        <f>VLOOKUP($G300, 'ADP Data'!$C$4:$Q$300, 9, FALSE)</f>
        <v>239</v>
      </c>
      <c r="N300" s="11">
        <f t="shared" si="6"/>
        <v>19</v>
      </c>
      <c r="O300" s="11">
        <f>VLOOKUP($G300, 'ADP Data'!$C$4:$Q$300, 3, FALSE)</f>
        <v>169</v>
      </c>
      <c r="P300" s="11">
        <f t="shared" si="7"/>
        <v>70</v>
      </c>
      <c r="Q300" s="11">
        <f>VLOOKUP($G300, 'ADP Data'!$C$4:$Q$300, 4, FALSE)</f>
        <v>199</v>
      </c>
      <c r="R300" s="11" t="str">
        <f>VLOOKUP($G300, 'ADP Data'!$C$4:$Q$300, 5, FALSE)</f>
        <v>-</v>
      </c>
      <c r="S300" s="11">
        <f>VLOOKUP($G300, 'ADP Data'!$C$4:$Q$300, 6, FALSE)</f>
        <v>281</v>
      </c>
      <c r="T300" s="11">
        <f>VLOOKUP($G300, 'ADP Data'!$C$4:$Q$300, 7, FALSE)</f>
        <v>249</v>
      </c>
      <c r="U300" s="11">
        <f>VLOOKUP($G300, 'ADP Data'!$C$4:$Q$300, 8, FALSE)</f>
        <v>187</v>
      </c>
      <c r="V300" s="11">
        <f t="shared" si="8"/>
        <v>220</v>
      </c>
      <c r="W300" s="11">
        <f t="shared" si="9"/>
        <v>19</v>
      </c>
      <c r="X300" s="11">
        <f t="shared" si="10"/>
        <v>-19</v>
      </c>
      <c r="Y300" s="11" t="str">
        <f>VLOOKUP($G300, SeanRanks!$A$2:$K$303, 10, FALSE)-V300</f>
        <v>#VALUE!</v>
      </c>
      <c r="Z300" s="29" t="str">
        <f>IF(VLOOKUP($G300, SeanRanks!$A$2:$H$303, 7, FALSE)=0, "", VLOOKUP($G300, SeanRanks!$A$2:$H$303, 7, FALSE))</f>
        <v/>
      </c>
    </row>
    <row r="301" ht="14.25" customHeight="1">
      <c r="A301" s="11"/>
      <c r="B301" s="11"/>
      <c r="C301" s="11" t="s">
        <v>106</v>
      </c>
      <c r="D301" s="11"/>
      <c r="E301" s="11"/>
      <c r="F301" s="11" t="str">
        <f>VLOOKUP(G301, SeanRanks!$A$2:$E$302, 4, FALSE)</f>
        <v>#N/A</v>
      </c>
      <c r="G301" s="11" t="s">
        <v>991</v>
      </c>
      <c r="H301" s="11" t="str">
        <f>VLOOKUP($G301, 'ADP Data'!$C$4:$Q$300, 2, FALSE)</f>
        <v>#N/A</v>
      </c>
      <c r="I301" s="11" t="str">
        <f>VLOOKUP(G301, 'ADP Data'!$C$4:$R$498, 12, FALSE)</f>
        <v>#N/A</v>
      </c>
      <c r="J301" s="11" t="str">
        <f>VLOOKUP($G301, SeanRanks!$A$2:$H$303, 5, FALSE)</f>
        <v>#N/A</v>
      </c>
      <c r="K301" s="11" t="str">
        <f>IF(VLOOKUP($G301, SeanRanks!$A$2:$H$303, 6, FALSE)=0, "", VLOOKUP($G301, SeanRanks!$A$2:$H$303, 6, FALSE))</f>
        <v>#N/A</v>
      </c>
      <c r="L301" s="11">
        <f t="shared" si="5"/>
        <v>16</v>
      </c>
      <c r="M301" s="11" t="str">
        <f>VLOOKUP($G301, 'ADP Data'!$C$4:$Q$300, 9, FALSE)</f>
        <v>#N/A</v>
      </c>
      <c r="N301" s="11" t="str">
        <f t="shared" si="6"/>
        <v>#N/A</v>
      </c>
      <c r="O301" s="11" t="str">
        <f>VLOOKUP($G301, 'ADP Data'!$C$4:$Q$300, 3, FALSE)</f>
        <v>#N/A</v>
      </c>
      <c r="P301" s="11" t="str">
        <f t="shared" si="7"/>
        <v>#N/A</v>
      </c>
      <c r="Q301" s="11" t="str">
        <f>VLOOKUP($G301, 'ADP Data'!$C$4:$Q$300, 4, FALSE)</f>
        <v>#N/A</v>
      </c>
      <c r="R301" s="11" t="str">
        <f>VLOOKUP($G301, 'ADP Data'!$C$4:$Q$300, 5, FALSE)</f>
        <v>#N/A</v>
      </c>
      <c r="S301" s="11" t="str">
        <f>VLOOKUP($G301, 'ADP Data'!$C$4:$Q$300, 6, FALSE)</f>
        <v>#N/A</v>
      </c>
      <c r="T301" s="11" t="str">
        <f>VLOOKUP($G301, 'ADP Data'!$C$4:$Q$300, 7, FALSE)</f>
        <v>#N/A</v>
      </c>
      <c r="U301" s="11" t="str">
        <f>VLOOKUP($G301, 'ADP Data'!$C$4:$Q$300, 8, FALSE)</f>
        <v>#N/A</v>
      </c>
      <c r="V301" s="11" t="str">
        <f t="shared" si="8"/>
        <v>#N/A</v>
      </c>
      <c r="W301" s="11">
        <f t="shared" si="9"/>
        <v>16</v>
      </c>
      <c r="X301" s="11">
        <f t="shared" si="10"/>
        <v>-16</v>
      </c>
      <c r="Y301" s="11" t="str">
        <f>VLOOKUP($G301, SeanRanks!$A$2:$K$303, 10, FALSE)-V301</f>
        <v>#N/A</v>
      </c>
      <c r="Z301" s="29" t="str">
        <f>IF(VLOOKUP($G301, SeanRanks!$A$2:$H$303, 7, FALSE)=0, "", VLOOKUP($G301, SeanRanks!$A$2:$H$303, 7, FALSE))</f>
        <v>#N/A</v>
      </c>
    </row>
    <row r="302" ht="14.25" customHeight="1">
      <c r="A302" s="11"/>
      <c r="B302" s="11" t="str">
        <f t="shared" ref="B302:B306" si="13">IFERROR(INT(AVERAGE(Q302:U302)/12)+1, INT(AVERAGE(M302)/12)+1)</f>
        <v>#N/A</v>
      </c>
      <c r="C302" s="11" t="s">
        <v>106</v>
      </c>
      <c r="D302" s="11"/>
      <c r="E302" s="11"/>
      <c r="F302" s="11" t="str">
        <f>VLOOKUP(G302, SeanRanks!$A$2:$E$302, 4, FALSE)</f>
        <v>#N/A</v>
      </c>
      <c r="G302" s="11" t="s">
        <v>992</v>
      </c>
      <c r="H302" s="11" t="str">
        <f>VLOOKUP($G302, 'ADP Data'!$C$4:$Q$300, 2, FALSE)</f>
        <v>#N/A</v>
      </c>
      <c r="I302" s="11" t="str">
        <f>VLOOKUP(G302, 'ADP Data'!$C$4:$R$498, 12, FALSE)</f>
        <v>#N/A</v>
      </c>
      <c r="J302" s="11" t="str">
        <f>VLOOKUP($G302, SeanRanks!$A$2:$H$303, 5, FALSE)</f>
        <v>#N/A</v>
      </c>
      <c r="K302" s="11" t="str">
        <f>IF(VLOOKUP($G302, SeanRanks!$A$2:$H$303, 6, FALSE)=0, "", VLOOKUP($G302, SeanRanks!$A$2:$H$303, 6, FALSE))</f>
        <v>#N/A</v>
      </c>
      <c r="L302" s="11">
        <f t="shared" si="5"/>
        <v>16</v>
      </c>
      <c r="M302" s="11" t="str">
        <f>VLOOKUP($G302, 'ADP Data'!$C$4:$Q$300, 9, FALSE)</f>
        <v>#N/A</v>
      </c>
      <c r="N302" s="11" t="str">
        <f t="shared" si="6"/>
        <v>#N/A</v>
      </c>
      <c r="O302" s="11" t="str">
        <f>VLOOKUP($G302, 'ADP Data'!$C$4:$Q$300, 3, FALSE)</f>
        <v>#N/A</v>
      </c>
      <c r="P302" s="11" t="str">
        <f t="shared" si="7"/>
        <v>#N/A</v>
      </c>
      <c r="Q302" s="11" t="str">
        <f>VLOOKUP($G302, 'ADP Data'!$C$4:$Q$300, 4, FALSE)</f>
        <v>#N/A</v>
      </c>
      <c r="R302" s="11" t="str">
        <f>VLOOKUP($G302, 'ADP Data'!$C$4:$Q$300, 5, FALSE)</f>
        <v>#N/A</v>
      </c>
      <c r="S302" s="11" t="str">
        <f>VLOOKUP($G302, 'ADP Data'!$C$4:$Q$300, 6, FALSE)</f>
        <v>#N/A</v>
      </c>
      <c r="T302" s="11" t="str">
        <f>VLOOKUP($G302, 'ADP Data'!$C$4:$Q$300, 7, FALSE)</f>
        <v>#N/A</v>
      </c>
      <c r="U302" s="11" t="str">
        <f>VLOOKUP($G302, 'ADP Data'!$C$4:$Q$300, 8, FALSE)</f>
        <v>#N/A</v>
      </c>
      <c r="V302" s="11" t="str">
        <f t="shared" si="8"/>
        <v>#N/A</v>
      </c>
      <c r="W302" s="11">
        <f t="shared" si="9"/>
        <v>16</v>
      </c>
      <c r="X302" s="11">
        <f t="shared" si="10"/>
        <v>-16</v>
      </c>
      <c r="Y302" s="11" t="str">
        <f>VLOOKUP($G302, SeanRanks!$A$2:$K$303, 10, FALSE)-V302</f>
        <v>#N/A</v>
      </c>
      <c r="Z302" s="29" t="str">
        <f>IF(VLOOKUP($G302, SeanRanks!$A$2:$H$303, 7, FALSE)=0, "", VLOOKUP($G302, SeanRanks!$A$2:$H$303, 7, FALSE))</f>
        <v>#N/A</v>
      </c>
    </row>
    <row r="303" ht="14.25" customHeight="1">
      <c r="A303" s="11"/>
      <c r="B303" s="11">
        <f t="shared" si="13"/>
        <v>23</v>
      </c>
      <c r="C303" s="11" t="s">
        <v>106</v>
      </c>
      <c r="D303" s="11"/>
      <c r="E303" s="11"/>
      <c r="F303" s="11" t="str">
        <f>VLOOKUP(G303, SeanRanks!$A$2:$E$302, 4, FALSE)</f>
        <v/>
      </c>
      <c r="G303" s="11" t="s">
        <v>993</v>
      </c>
      <c r="H303" s="11" t="str">
        <f>VLOOKUP($G303, 'ADP Data'!$C$4:$Q$300, 2, FALSE)</f>
        <v>LAR</v>
      </c>
      <c r="I303" s="11">
        <f>VLOOKUP(G303, 'ADP Data'!$C$4:$R$498, 12, FALSE)</f>
        <v>238</v>
      </c>
      <c r="J303" s="11" t="str">
        <f>VLOOKUP($G303, SeanRanks!$A$2:$H$303, 5, FALSE)</f>
        <v/>
      </c>
      <c r="K303" s="11" t="str">
        <f>IF(VLOOKUP($G303, SeanRanks!$A$2:$H$303, 6, FALSE)=0, "", VLOOKUP($G303, SeanRanks!$A$2:$H$303, 6, FALSE))</f>
        <v/>
      </c>
      <c r="L303" s="11">
        <f t="shared" si="5"/>
        <v>23</v>
      </c>
      <c r="M303" s="11">
        <f>VLOOKUP($G303, 'ADP Data'!$C$4:$Q$300, 9, FALSE)</f>
        <v>270</v>
      </c>
      <c r="N303" s="11">
        <f t="shared" si="6"/>
        <v>4</v>
      </c>
      <c r="O303" s="11" t="str">
        <f>VLOOKUP($G303, 'ADP Data'!$C$4:$Q$300, 3, FALSE)</f>
        <v>-</v>
      </c>
      <c r="P303" s="11" t="str">
        <f t="shared" si="7"/>
        <v>#VALUE!</v>
      </c>
      <c r="Q303" s="11" t="str">
        <f>VLOOKUP($G303, 'ADP Data'!$C$4:$Q$300, 4, FALSE)</f>
        <v>-</v>
      </c>
      <c r="R303" s="11" t="str">
        <f>VLOOKUP($G303, 'ADP Data'!$C$4:$Q$300, 5, FALSE)</f>
        <v>-</v>
      </c>
      <c r="S303" s="11">
        <f>VLOOKUP($G303, 'ADP Data'!$C$4:$Q$300, 6, FALSE)</f>
        <v>241</v>
      </c>
      <c r="T303" s="11">
        <f>VLOOKUP($G303, 'ADP Data'!$C$4:$Q$300, 7, FALSE)</f>
        <v>274</v>
      </c>
      <c r="U303" s="11">
        <f>VLOOKUP($G303, 'ADP Data'!$C$4:$Q$300, 8, FALSE)</f>
        <v>282</v>
      </c>
      <c r="V303" s="11">
        <f t="shared" si="8"/>
        <v>266</v>
      </c>
      <c r="W303" s="11">
        <f t="shared" si="9"/>
        <v>23</v>
      </c>
      <c r="X303" s="11">
        <f t="shared" si="10"/>
        <v>-23</v>
      </c>
      <c r="Y303" s="11" t="str">
        <f>VLOOKUP($G303, SeanRanks!$A$2:$K$303, 10, FALSE)-V303</f>
        <v>#VALUE!</v>
      </c>
      <c r="Z303" s="29" t="str">
        <f>IF(VLOOKUP($G303, SeanRanks!$A$2:$H$303, 7, FALSE)=0, "", VLOOKUP($G303, SeanRanks!$A$2:$H$303, 7, FALSE))</f>
        <v/>
      </c>
    </row>
    <row r="304" ht="14.25" customHeight="1">
      <c r="A304" s="11"/>
      <c r="B304" s="11" t="str">
        <f t="shared" si="13"/>
        <v>#N/A</v>
      </c>
      <c r="C304" s="11" t="s">
        <v>106</v>
      </c>
      <c r="D304" s="11"/>
      <c r="E304" s="11"/>
      <c r="F304" s="11" t="str">
        <f>VLOOKUP(G304, SeanRanks!$A$2:$E$302, 4, FALSE)</f>
        <v>#N/A</v>
      </c>
      <c r="G304" s="11" t="s">
        <v>994</v>
      </c>
      <c r="H304" s="11" t="str">
        <f>VLOOKUP($G304, 'ADP Data'!$C$4:$Q$300, 2, FALSE)</f>
        <v>#N/A</v>
      </c>
      <c r="I304" s="11" t="str">
        <f>VLOOKUP(G304, 'ADP Data'!$C$4:$R$498, 12, FALSE)</f>
        <v>#N/A</v>
      </c>
      <c r="J304" s="11" t="str">
        <f>VLOOKUP($G304, SeanRanks!$A$2:$H$303, 5, FALSE)</f>
        <v>#N/A</v>
      </c>
      <c r="K304" s="11" t="str">
        <f>IF(VLOOKUP($G304, SeanRanks!$A$2:$H$303, 6, FALSE)=0, "", VLOOKUP($G304, SeanRanks!$A$2:$H$303, 6, FALSE))</f>
        <v>#N/A</v>
      </c>
      <c r="L304" s="11">
        <f t="shared" si="5"/>
        <v>16</v>
      </c>
      <c r="M304" s="11" t="str">
        <f>VLOOKUP($G304, 'ADP Data'!$C$4:$Q$300, 9, FALSE)</f>
        <v>#N/A</v>
      </c>
      <c r="N304" s="11" t="str">
        <f t="shared" si="6"/>
        <v>#N/A</v>
      </c>
      <c r="O304" s="11" t="str">
        <f>VLOOKUP($G304, 'ADP Data'!$C$4:$Q$300, 3, FALSE)</f>
        <v>#N/A</v>
      </c>
      <c r="P304" s="11" t="str">
        <f t="shared" si="7"/>
        <v>#N/A</v>
      </c>
      <c r="Q304" s="11" t="str">
        <f>VLOOKUP($G304, 'ADP Data'!$C$4:$Q$300, 4, FALSE)</f>
        <v>#N/A</v>
      </c>
      <c r="R304" s="11" t="str">
        <f>VLOOKUP($G304, 'ADP Data'!$C$4:$Q$300, 5, FALSE)</f>
        <v>#N/A</v>
      </c>
      <c r="S304" s="11" t="str">
        <f>VLOOKUP($G304, 'ADP Data'!$C$4:$Q$300, 6, FALSE)</f>
        <v>#N/A</v>
      </c>
      <c r="T304" s="11" t="str">
        <f>VLOOKUP($G304, 'ADP Data'!$C$4:$Q$300, 7, FALSE)</f>
        <v>#N/A</v>
      </c>
      <c r="U304" s="11" t="str">
        <f>VLOOKUP($G304, 'ADP Data'!$C$4:$Q$300, 8, FALSE)</f>
        <v>#N/A</v>
      </c>
      <c r="V304" s="11" t="str">
        <f t="shared" si="8"/>
        <v>#N/A</v>
      </c>
      <c r="W304" s="11">
        <f t="shared" si="9"/>
        <v>16</v>
      </c>
      <c r="X304" s="11">
        <f t="shared" si="10"/>
        <v>-16</v>
      </c>
      <c r="Y304" s="11" t="str">
        <f>VLOOKUP($G304, SeanRanks!$A$2:$K$303, 10, FALSE)-V304</f>
        <v>#N/A</v>
      </c>
      <c r="Z304" s="29" t="str">
        <f>IF(VLOOKUP($G304, SeanRanks!$A$2:$H$303, 7, FALSE)=0, "", VLOOKUP($G304, SeanRanks!$A$2:$H$303, 7, FALSE))</f>
        <v>#N/A</v>
      </c>
    </row>
    <row r="305" ht="14.25" customHeight="1">
      <c r="A305" s="11"/>
      <c r="B305" s="11" t="str">
        <f t="shared" si="13"/>
        <v>#N/A</v>
      </c>
      <c r="C305" s="11" t="s">
        <v>106</v>
      </c>
      <c r="D305" s="11"/>
      <c r="E305" s="11"/>
      <c r="F305" s="11" t="str">
        <f>VLOOKUP(G305, SeanRanks!$A$2:$E$302, 4, FALSE)</f>
        <v>#N/A</v>
      </c>
      <c r="G305" s="11" t="s">
        <v>977</v>
      </c>
      <c r="H305" s="11" t="str">
        <f>VLOOKUP($G305, 'ADP Data'!$C$4:$Q$300, 2, FALSE)</f>
        <v>#N/A</v>
      </c>
      <c r="I305" s="11" t="str">
        <f>VLOOKUP(G305, 'ADP Data'!$C$4:$R$498, 12, FALSE)</f>
        <v>#N/A</v>
      </c>
      <c r="J305" s="11" t="str">
        <f>VLOOKUP($G305, SeanRanks!$A$2:$H$303, 5, FALSE)</f>
        <v>#N/A</v>
      </c>
      <c r="K305" s="11" t="str">
        <f>IF(VLOOKUP($G305, SeanRanks!$A$2:$H$303, 6, FALSE)=0, "", VLOOKUP($G305, SeanRanks!$A$2:$H$303, 6, FALSE))</f>
        <v>#N/A</v>
      </c>
      <c r="L305" s="11">
        <f t="shared" si="5"/>
        <v>16</v>
      </c>
      <c r="M305" s="11" t="str">
        <f>VLOOKUP($G305, 'ADP Data'!$C$4:$Q$300, 9, FALSE)</f>
        <v>#N/A</v>
      </c>
      <c r="N305" s="11" t="str">
        <f t="shared" si="6"/>
        <v>#N/A</v>
      </c>
      <c r="O305" s="11" t="str">
        <f>VLOOKUP($G305, 'ADP Data'!$C$4:$Q$300, 3, FALSE)</f>
        <v>#N/A</v>
      </c>
      <c r="P305" s="11" t="str">
        <f t="shared" si="7"/>
        <v>#N/A</v>
      </c>
      <c r="Q305" s="11" t="str">
        <f>VLOOKUP($G305, 'ADP Data'!$C$4:$Q$300, 4, FALSE)</f>
        <v>#N/A</v>
      </c>
      <c r="R305" s="11" t="str">
        <f>VLOOKUP($G305, 'ADP Data'!$C$4:$Q$300, 5, FALSE)</f>
        <v>#N/A</v>
      </c>
      <c r="S305" s="11" t="str">
        <f>VLOOKUP($G305, 'ADP Data'!$C$4:$Q$300, 6, FALSE)</f>
        <v>#N/A</v>
      </c>
      <c r="T305" s="11" t="str">
        <f>VLOOKUP($G305, 'ADP Data'!$C$4:$Q$300, 7, FALSE)</f>
        <v>#N/A</v>
      </c>
      <c r="U305" s="11" t="str">
        <f>VLOOKUP($G305, 'ADP Data'!$C$4:$Q$300, 8, FALSE)</f>
        <v>#N/A</v>
      </c>
      <c r="V305" s="11" t="str">
        <f t="shared" si="8"/>
        <v>#N/A</v>
      </c>
      <c r="W305" s="11">
        <f t="shared" si="9"/>
        <v>16</v>
      </c>
      <c r="X305" s="11">
        <f t="shared" si="10"/>
        <v>-16</v>
      </c>
      <c r="Y305" s="11" t="str">
        <f>VLOOKUP($G305, SeanRanks!$A$2:$K$303, 10, FALSE)-V305</f>
        <v>#N/A</v>
      </c>
      <c r="Z305" s="29" t="str">
        <f>IF(VLOOKUP($G305, SeanRanks!$A$2:$H$303, 7, FALSE)=0, "", VLOOKUP($G305, SeanRanks!$A$2:$H$303, 7, FALSE))</f>
        <v>#N/A</v>
      </c>
    </row>
    <row r="306" ht="14.25" customHeight="1">
      <c r="A306" s="11"/>
      <c r="B306" s="11" t="str">
        <f t="shared" si="13"/>
        <v>#N/A</v>
      </c>
      <c r="C306" s="11" t="s">
        <v>106</v>
      </c>
      <c r="D306" s="11"/>
      <c r="E306" s="11"/>
      <c r="F306" s="11" t="str">
        <f>VLOOKUP(G306, SeanRanks!$A$2:$E$302, 4, FALSE)</f>
        <v>#N/A</v>
      </c>
      <c r="G306" s="11" t="s">
        <v>554</v>
      </c>
      <c r="H306" s="11" t="str">
        <f>VLOOKUP($G306, 'ADP Data'!$C$4:$Q$300, 2, FALSE)</f>
        <v>#N/A</v>
      </c>
      <c r="I306" s="11" t="str">
        <f>VLOOKUP(G306, 'ADP Data'!$C$4:$R$498, 12, FALSE)</f>
        <v>#N/A</v>
      </c>
      <c r="J306" s="11" t="str">
        <f>VLOOKUP($G306, SeanRanks!$A$2:$H$303, 5, FALSE)</f>
        <v>#N/A</v>
      </c>
      <c r="K306" s="11" t="str">
        <f>IF(VLOOKUP($G306, SeanRanks!$A$2:$H$303, 6, FALSE)=0, "", VLOOKUP($G306, SeanRanks!$A$2:$H$303, 6, FALSE))</f>
        <v>#N/A</v>
      </c>
      <c r="L306" s="11">
        <f t="shared" si="5"/>
        <v>16</v>
      </c>
      <c r="M306" s="11" t="str">
        <f>VLOOKUP($G306, 'ADP Data'!$C$4:$Q$300, 9, FALSE)</f>
        <v>#N/A</v>
      </c>
      <c r="N306" s="11" t="str">
        <f t="shared" si="6"/>
        <v>#N/A</v>
      </c>
      <c r="O306" s="11" t="str">
        <f>VLOOKUP($G306, 'ADP Data'!$C$4:$Q$300, 3, FALSE)</f>
        <v>#N/A</v>
      </c>
      <c r="P306" s="11" t="str">
        <f t="shared" si="7"/>
        <v>#N/A</v>
      </c>
      <c r="Q306" s="11" t="str">
        <f>VLOOKUP($G306, 'ADP Data'!$C$4:$Q$300, 4, FALSE)</f>
        <v>#N/A</v>
      </c>
      <c r="R306" s="11" t="str">
        <f>VLOOKUP($G306, 'ADP Data'!$C$4:$Q$300, 5, FALSE)</f>
        <v>#N/A</v>
      </c>
      <c r="S306" s="11" t="str">
        <f>VLOOKUP($G306, 'ADP Data'!$C$4:$Q$300, 6, FALSE)</f>
        <v>#N/A</v>
      </c>
      <c r="T306" s="11" t="str">
        <f>VLOOKUP($G306, 'ADP Data'!$C$4:$Q$300, 7, FALSE)</f>
        <v>#N/A</v>
      </c>
      <c r="U306" s="11" t="str">
        <f>VLOOKUP($G306, 'ADP Data'!$C$4:$Q$300, 8, FALSE)</f>
        <v>#N/A</v>
      </c>
      <c r="V306" s="11" t="str">
        <f t="shared" si="8"/>
        <v>#N/A</v>
      </c>
      <c r="W306" s="11">
        <f t="shared" si="9"/>
        <v>16</v>
      </c>
      <c r="X306" s="11">
        <f t="shared" si="10"/>
        <v>-16</v>
      </c>
      <c r="Y306" s="11" t="str">
        <f>VLOOKUP($G306, SeanRanks!$A$2:$K$303, 10, FALSE)-V306</f>
        <v>#N/A</v>
      </c>
      <c r="Z306" s="29" t="str">
        <f>IF(VLOOKUP($G306, SeanRanks!$A$2:$H$303, 7, FALSE)=0, "", VLOOKUP($G306, SeanRanks!$A$2:$H$303, 7, FALSE))</f>
        <v>#N/A</v>
      </c>
    </row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>
      <c r="F312" s="1" t="s">
        <v>22</v>
      </c>
    </row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6:$Z$306">
    <sortState ref="A6:Z306">
      <sortCondition ref="V6:V306"/>
    </sortState>
  </autoFilter>
  <mergeCells count="1">
    <mergeCell ref="A1:C1"/>
  </mergeCells>
  <conditionalFormatting sqref="K8:K306">
    <cfRule type="colorScale" priority="1">
      <colorScale>
        <cfvo type="formula" val="12"/>
        <cfvo type="percentile" val="50"/>
        <cfvo type="max"/>
        <color rgb="FF63BE7B"/>
        <color rgb="FFFFEB84"/>
        <color rgb="FFF8696B"/>
      </colorScale>
    </cfRule>
  </conditionalFormatting>
  <conditionalFormatting sqref="K5:Z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7:L306">
    <cfRule type="cellIs" dxfId="1" priority="3" operator="lessThan">
      <formula>B7</formula>
    </cfRule>
  </conditionalFormatting>
  <conditionalFormatting sqref="L7:L306">
    <cfRule type="cellIs" dxfId="2" priority="4" operator="greaterThan">
      <formula>B7</formula>
    </cfRule>
  </conditionalFormatting>
  <conditionalFormatting sqref="N7:N306">
    <cfRule type="colorScale" priority="5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P7:P306">
    <cfRule type="colorScale" priority="6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X7:X30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7:Y306">
    <cfRule type="colorScale" priority="8">
      <colorScale>
        <cfvo type="formula" val="-12"/>
        <cfvo type="formula" val="0"/>
        <cfvo type="formula" val="12"/>
        <color rgb="FFF8696B"/>
        <color rgb="FFD8D8D8"/>
        <color rgb="FF63BE7B"/>
      </colorScale>
    </cfRule>
  </conditionalFormatting>
  <conditionalFormatting sqref="B7:G7 B8:E262 B263:B302 C263:C306 D263:E302 F8:F306 G8:G296 J7:K306 Y7:Z306">
    <cfRule type="expression" dxfId="0" priority="9">
      <formula>$C7="No"</formula>
    </cfRule>
  </conditionalFormatting>
  <printOptions/>
  <pageMargins bottom="0.75" footer="0.0" header="0.0" left="0.7" right="0.7" top="0.75"/>
  <pageSetup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2" width="8.71"/>
    <col customWidth="1" min="3" max="5" width="9.71"/>
    <col customWidth="1" min="6" max="6" width="8.71"/>
    <col customWidth="1" min="7" max="7" width="21.14"/>
    <col customWidth="1" min="8" max="9" width="8.71"/>
    <col customWidth="1" min="10" max="10" width="21.0"/>
    <col customWidth="1" min="11" max="14" width="8.71"/>
    <col customWidth="1" min="15" max="21" width="8.86"/>
    <col customWidth="1" min="22" max="32" width="8.71"/>
  </cols>
  <sheetData>
    <row r="1" ht="14.25" customHeight="1">
      <c r="A1" s="2" t="s">
        <v>0</v>
      </c>
      <c r="D1" s="3"/>
      <c r="E1" s="3"/>
      <c r="F1" s="3"/>
      <c r="G1" s="3"/>
      <c r="H1" s="4"/>
      <c r="I1" s="3"/>
      <c r="J1" s="3" t="s">
        <v>4</v>
      </c>
      <c r="K1" s="6">
        <v>1.0</v>
      </c>
      <c r="L1" s="6">
        <v>2.0</v>
      </c>
      <c r="M1" s="6">
        <v>3.0</v>
      </c>
      <c r="N1" s="6">
        <v>4.0</v>
      </c>
      <c r="O1" s="6">
        <v>5.0</v>
      </c>
      <c r="P1" s="6">
        <v>6.0</v>
      </c>
      <c r="Q1" s="6">
        <v>7.0</v>
      </c>
      <c r="R1" s="6">
        <v>8.0</v>
      </c>
      <c r="S1" s="6">
        <v>9.0</v>
      </c>
      <c r="T1" s="6">
        <v>10.0</v>
      </c>
      <c r="U1" s="6">
        <v>11.0</v>
      </c>
      <c r="V1" s="6">
        <v>12.0</v>
      </c>
      <c r="W1" s="6">
        <v>13.0</v>
      </c>
      <c r="X1" s="6">
        <v>14.0</v>
      </c>
      <c r="Y1" s="6">
        <v>15.0</v>
      </c>
      <c r="Z1" s="6">
        <v>16.0</v>
      </c>
      <c r="AB1" s="6"/>
      <c r="AC1" s="6"/>
      <c r="AD1" s="6"/>
      <c r="AF1" s="3"/>
    </row>
    <row r="2" ht="14.25" customHeight="1">
      <c r="A2" s="1" t="s">
        <v>26</v>
      </c>
      <c r="B2" s="3" t="s">
        <v>28</v>
      </c>
      <c r="C2" s="3"/>
      <c r="D2" s="3"/>
      <c r="E2" s="3"/>
      <c r="F2" s="3"/>
      <c r="G2" s="3"/>
      <c r="H2" s="4" t="s">
        <v>30</v>
      </c>
      <c r="I2" s="3">
        <v>3.0</v>
      </c>
      <c r="J2" s="3" t="s">
        <v>32</v>
      </c>
      <c r="K2" s="3">
        <f t="shared" ref="K2:Z2" si="1">COUNTIF($D$7:$D$301, K1)</f>
        <v>3</v>
      </c>
      <c r="L2" s="3">
        <f t="shared" si="1"/>
        <v>19</v>
      </c>
      <c r="M2" s="3">
        <f t="shared" si="1"/>
        <v>5</v>
      </c>
      <c r="N2" s="3">
        <f t="shared" si="1"/>
        <v>19</v>
      </c>
      <c r="O2" s="3">
        <f t="shared" si="1"/>
        <v>5</v>
      </c>
      <c r="P2" s="3">
        <f t="shared" si="1"/>
        <v>17</v>
      </c>
      <c r="Q2" s="3">
        <f t="shared" si="1"/>
        <v>8</v>
      </c>
      <c r="R2" s="15">
        <f t="shared" si="1"/>
        <v>0</v>
      </c>
      <c r="S2" s="3">
        <f t="shared" si="1"/>
        <v>21</v>
      </c>
      <c r="T2" s="3">
        <f t="shared" si="1"/>
        <v>3</v>
      </c>
      <c r="U2" s="3">
        <f t="shared" si="1"/>
        <v>4</v>
      </c>
      <c r="V2" s="3">
        <f t="shared" si="1"/>
        <v>1</v>
      </c>
      <c r="W2" s="3">
        <f t="shared" si="1"/>
        <v>1</v>
      </c>
      <c r="X2" s="15">
        <f t="shared" si="1"/>
        <v>0</v>
      </c>
      <c r="Y2" s="3">
        <f t="shared" si="1"/>
        <v>0</v>
      </c>
      <c r="Z2" s="3">
        <f t="shared" si="1"/>
        <v>0</v>
      </c>
      <c r="AD2" s="3"/>
      <c r="AF2" s="3"/>
    </row>
    <row r="3" ht="14.25" customHeight="1">
      <c r="B3" s="3" t="s">
        <v>41</v>
      </c>
      <c r="C3" s="3"/>
      <c r="D3" s="3"/>
      <c r="E3" s="3"/>
      <c r="F3" s="3"/>
      <c r="G3" s="3"/>
      <c r="H3" s="4" t="s">
        <v>42</v>
      </c>
      <c r="I3" s="3">
        <f>24-I2+1</f>
        <v>22</v>
      </c>
      <c r="J3" s="3" t="s">
        <v>46</v>
      </c>
      <c r="K3" s="3">
        <f>K2</f>
        <v>3</v>
      </c>
      <c r="L3" s="3">
        <f t="shared" ref="L3:Z3" si="2">K3+L2</f>
        <v>22</v>
      </c>
      <c r="M3" s="3">
        <f t="shared" si="2"/>
        <v>27</v>
      </c>
      <c r="N3" s="3">
        <f t="shared" si="2"/>
        <v>46</v>
      </c>
      <c r="O3" s="3">
        <f t="shared" si="2"/>
        <v>51</v>
      </c>
      <c r="P3" s="3">
        <f t="shared" si="2"/>
        <v>68</v>
      </c>
      <c r="Q3" s="3">
        <f t="shared" si="2"/>
        <v>76</v>
      </c>
      <c r="R3" s="3">
        <f t="shared" si="2"/>
        <v>76</v>
      </c>
      <c r="S3" s="3">
        <f t="shared" si="2"/>
        <v>97</v>
      </c>
      <c r="T3" s="3">
        <f t="shared" si="2"/>
        <v>100</v>
      </c>
      <c r="U3" s="3">
        <f t="shared" si="2"/>
        <v>104</v>
      </c>
      <c r="V3" s="3">
        <f t="shared" si="2"/>
        <v>105</v>
      </c>
      <c r="W3" s="3">
        <f t="shared" si="2"/>
        <v>106</v>
      </c>
      <c r="X3" s="3">
        <f t="shared" si="2"/>
        <v>106</v>
      </c>
      <c r="Y3" s="3">
        <f t="shared" si="2"/>
        <v>106</v>
      </c>
      <c r="Z3" s="3">
        <f t="shared" si="2"/>
        <v>106</v>
      </c>
      <c r="AD3" s="3"/>
      <c r="AF3" s="3"/>
    </row>
    <row r="4" ht="14.25" customHeight="1">
      <c r="B4" s="1" t="s">
        <v>53</v>
      </c>
      <c r="C4" s="3"/>
      <c r="D4" s="3"/>
      <c r="E4" s="3"/>
      <c r="G4" s="3"/>
      <c r="H4" s="4"/>
      <c r="I4" s="3"/>
      <c r="J4" s="3" t="s">
        <v>54</v>
      </c>
      <c r="K4" s="3">
        <f>I2</f>
        <v>3</v>
      </c>
      <c r="L4" s="3">
        <f>I3</f>
        <v>22</v>
      </c>
      <c r="M4" s="3">
        <f>L4+5</f>
        <v>27</v>
      </c>
      <c r="N4" s="3">
        <f>M4+19</f>
        <v>46</v>
      </c>
      <c r="O4" s="3">
        <f>N4+5</f>
        <v>51</v>
      </c>
      <c r="P4" s="3">
        <f>O4+19</f>
        <v>70</v>
      </c>
      <c r="Q4" s="3">
        <f>P4+5</f>
        <v>75</v>
      </c>
      <c r="R4" s="3">
        <f>Q4+19</f>
        <v>94</v>
      </c>
      <c r="S4" s="3">
        <f>R4+5</f>
        <v>99</v>
      </c>
      <c r="T4" s="3">
        <f>S4+19</f>
        <v>118</v>
      </c>
      <c r="U4" s="3">
        <f>T4+5</f>
        <v>123</v>
      </c>
      <c r="V4" s="3">
        <f>U4+19</f>
        <v>142</v>
      </c>
      <c r="W4" s="3">
        <f>V4+5</f>
        <v>147</v>
      </c>
      <c r="X4" s="3">
        <f>W4+19</f>
        <v>166</v>
      </c>
      <c r="Y4" s="3">
        <f>X4+5</f>
        <v>171</v>
      </c>
      <c r="Z4" s="3">
        <f>Y4+19</f>
        <v>190</v>
      </c>
      <c r="AD4" s="3"/>
      <c r="AF4" s="3"/>
    </row>
    <row r="5" ht="14.25" customHeight="1">
      <c r="C5" s="3"/>
      <c r="D5" s="3"/>
      <c r="E5" s="3"/>
      <c r="F5" s="3"/>
      <c r="G5" s="3"/>
      <c r="H5" s="4"/>
      <c r="I5" s="3"/>
      <c r="J5" s="3" t="s">
        <v>68</v>
      </c>
      <c r="K5" s="3">
        <f t="shared" ref="K5:Z5" si="3">K3-K4</f>
        <v>0</v>
      </c>
      <c r="L5" s="3">
        <f t="shared" si="3"/>
        <v>0</v>
      </c>
      <c r="M5" s="3">
        <f t="shared" si="3"/>
        <v>0</v>
      </c>
      <c r="N5" s="3">
        <f t="shared" si="3"/>
        <v>0</v>
      </c>
      <c r="O5" s="3">
        <f t="shared" si="3"/>
        <v>0</v>
      </c>
      <c r="P5" s="3">
        <f t="shared" si="3"/>
        <v>-2</v>
      </c>
      <c r="Q5" s="3">
        <f t="shared" si="3"/>
        <v>1</v>
      </c>
      <c r="R5" s="3">
        <f t="shared" si="3"/>
        <v>-18</v>
      </c>
      <c r="S5" s="3">
        <f t="shared" si="3"/>
        <v>-2</v>
      </c>
      <c r="T5" s="3">
        <f t="shared" si="3"/>
        <v>-18</v>
      </c>
      <c r="U5" s="3">
        <f t="shared" si="3"/>
        <v>-19</v>
      </c>
      <c r="V5" s="3">
        <f t="shared" si="3"/>
        <v>-37</v>
      </c>
      <c r="W5" s="3">
        <f t="shared" si="3"/>
        <v>-41</v>
      </c>
      <c r="X5" s="3">
        <f t="shared" si="3"/>
        <v>-60</v>
      </c>
      <c r="Y5" s="3">
        <f t="shared" si="3"/>
        <v>-65</v>
      </c>
      <c r="Z5" s="3">
        <f t="shared" si="3"/>
        <v>-84</v>
      </c>
      <c r="AD5" s="3"/>
      <c r="AF5" s="3"/>
    </row>
    <row r="6" ht="14.25" customHeight="1">
      <c r="A6" s="20" t="s">
        <v>72</v>
      </c>
      <c r="B6" s="21" t="s">
        <v>76</v>
      </c>
      <c r="C6" s="22" t="s">
        <v>77</v>
      </c>
      <c r="D6" s="22" t="s">
        <v>9</v>
      </c>
      <c r="E6" s="22" t="s">
        <v>78</v>
      </c>
      <c r="F6" s="22" t="s">
        <v>10</v>
      </c>
      <c r="G6" s="6" t="s">
        <v>5</v>
      </c>
      <c r="H6" s="6" t="s">
        <v>7</v>
      </c>
      <c r="I6" s="6" t="s">
        <v>8</v>
      </c>
      <c r="J6" s="6" t="s">
        <v>11</v>
      </c>
      <c r="K6" s="6" t="s">
        <v>12</v>
      </c>
      <c r="L6" s="23" t="s">
        <v>81</v>
      </c>
      <c r="M6" s="23" t="s">
        <v>17</v>
      </c>
      <c r="N6" s="21" t="s">
        <v>82</v>
      </c>
      <c r="O6" s="20" t="s">
        <v>16</v>
      </c>
      <c r="P6" s="24" t="s">
        <v>86</v>
      </c>
      <c r="Q6" s="20" t="s">
        <v>13</v>
      </c>
      <c r="R6" s="20" t="s">
        <v>15</v>
      </c>
      <c r="S6" s="20" t="s">
        <v>20</v>
      </c>
      <c r="T6" s="20" t="s">
        <v>27</v>
      </c>
      <c r="U6" s="20" t="s">
        <v>23</v>
      </c>
      <c r="V6" s="21" t="s">
        <v>87</v>
      </c>
      <c r="W6" s="21" t="s">
        <v>88</v>
      </c>
      <c r="X6" s="21" t="s">
        <v>89</v>
      </c>
      <c r="Y6" s="21" t="s">
        <v>90</v>
      </c>
      <c r="Z6" s="6" t="s">
        <v>14</v>
      </c>
    </row>
    <row r="7" ht="14.25" hidden="1" customHeight="1">
      <c r="A7" s="11"/>
      <c r="B7" s="11">
        <f t="shared" ref="B7:B262" si="4">IFERROR(INT(AVERAGE(Q7:U7)/12)+1, INT(AVERAGE(M7)/12)+1)</f>
        <v>1</v>
      </c>
      <c r="C7" s="11" t="s">
        <v>95</v>
      </c>
      <c r="D7" s="11">
        <v>1.0</v>
      </c>
      <c r="E7" s="11"/>
      <c r="F7" s="11" t="str">
        <f>VLOOKUP(G7, SeanRanks!$A$2:$E$302, 4, FALSE)</f>
        <v/>
      </c>
      <c r="G7" s="11" t="s">
        <v>57</v>
      </c>
      <c r="H7" s="11" t="str">
        <f>VLOOKUP($G7, 'ADP Data'!$C$4:$Q$300, 2, FALSE)</f>
        <v>SF</v>
      </c>
      <c r="I7" s="11">
        <f>VLOOKUP(G7, 'ADP Data'!$C$4:$R$498, 12, FALSE)</f>
        <v>7</v>
      </c>
      <c r="J7" s="26" t="str">
        <f>VLOOKUP($G7, SeanRanks!$A$2:$H$303, 5, FALSE)</f>
        <v/>
      </c>
      <c r="K7" s="11" t="str">
        <f>VLOOKUP($G7, SeanRanks!$A$2:$H$303, 6, FALSE)</f>
        <v>RB1 - 1 - Elite floor/ceiling</v>
      </c>
      <c r="L7" s="11">
        <f t="shared" ref="L7:L306" si="5">IFERROR(INT(M7/8)+1, 16)</f>
        <v>2</v>
      </c>
      <c r="M7" s="11">
        <f>VLOOKUP($G7, 'ADP Data'!$C$4:$Q$300, 9, FALSE)</f>
        <v>10</v>
      </c>
      <c r="N7" s="11">
        <f t="shared" ref="N7:N306" si="6">M7-V7</f>
        <v>2</v>
      </c>
      <c r="O7" s="11">
        <f>VLOOKUP($G7, 'ADP Data'!$C$4:$Q$300, 3, FALSE)</f>
        <v>8</v>
      </c>
      <c r="P7" s="11">
        <f t="shared" ref="P7:P306" si="7">M7-O7</f>
        <v>2</v>
      </c>
      <c r="Q7" s="11">
        <f>VLOOKUP($G7, 'ADP Data'!$C$4:$Q$300, 4, FALSE)</f>
        <v>7</v>
      </c>
      <c r="R7" s="11">
        <f>VLOOKUP($G7, 'ADP Data'!$C$4:$Q$300, 5, FALSE)</f>
        <v>7</v>
      </c>
      <c r="S7" s="11">
        <f>VLOOKUP($G7, 'ADP Data'!$C$4:$Q$300, 6, FALSE)</f>
        <v>8</v>
      </c>
      <c r="T7" s="11">
        <f>VLOOKUP($G7, 'ADP Data'!$C$4:$Q$300, 7, FALSE)</f>
        <v>7</v>
      </c>
      <c r="U7" s="11">
        <f>VLOOKUP($G7, 'ADP Data'!$C$4:$Q$300, 8, FALSE)</f>
        <v>11</v>
      </c>
      <c r="V7" s="11">
        <f t="shared" ref="V7:V306" si="8">INT(AVERAGE(M7, O7,Q7:U7))</f>
        <v>8</v>
      </c>
      <c r="W7" s="11">
        <f t="shared" ref="W7:W306" si="9">IFERROR(INT(V7/8)+1, 16)</f>
        <v>2</v>
      </c>
      <c r="X7" s="11">
        <f t="shared" ref="X7:X306" si="10">D7-W7</f>
        <v>-1</v>
      </c>
      <c r="Y7" s="11">
        <f>VLOOKUP($G7, SeanRanks!$A$2:$K$303, 10, FALSE)-V7</f>
        <v>1</v>
      </c>
      <c r="Z7" s="29">
        <f>IF(VLOOKUP($G7, SeanRanks!$A$2:$H$303, 7, FALSE)=0, "", VLOOKUP($G7, SeanRanks!$A$2:$H$303, 7, FALSE))</f>
        <v>4</v>
      </c>
    </row>
    <row r="8" ht="14.25" hidden="1" customHeight="1">
      <c r="A8" s="11" t="s">
        <v>106</v>
      </c>
      <c r="B8" s="11">
        <f t="shared" si="4"/>
        <v>3</v>
      </c>
      <c r="C8" s="11" t="s">
        <v>95</v>
      </c>
      <c r="D8" s="11">
        <v>1.0</v>
      </c>
      <c r="E8" s="11"/>
      <c r="F8" s="11" t="str">
        <f>VLOOKUP(G8, SeanRanks!$A$2:$E$302, 4, FALSE)</f>
        <v/>
      </c>
      <c r="G8" s="11" t="s">
        <v>132</v>
      </c>
      <c r="H8" s="11" t="str">
        <f>VLOOKUP($G8, 'ADP Data'!$C$4:$Q$300, 2, FALSE)</f>
        <v>MIA</v>
      </c>
      <c r="I8" s="11">
        <f>VLOOKUP(G8, 'ADP Data'!$C$4:$R$498, 12, FALSE)</f>
        <v>33</v>
      </c>
      <c r="J8" s="30" t="str">
        <f>VLOOKUP($G8, SeanRanks!$A$2:$H$303, 5, FALSE)</f>
        <v>Yes</v>
      </c>
      <c r="K8" s="11" t="str">
        <f>IF(VLOOKUP($G8, SeanRanks!$A$2:$H$303, 6, FALSE)=0, "", VLOOKUP($G8, SeanRanks!$A$2:$H$303, 6, FALSE))</f>
        <v>WR2 - 1 - WR1 upside</v>
      </c>
      <c r="L8" s="11">
        <f t="shared" si="5"/>
        <v>4</v>
      </c>
      <c r="M8" s="11">
        <f>VLOOKUP($G8, 'ADP Data'!$C$4:$Q$300, 9, FALSE)</f>
        <v>27</v>
      </c>
      <c r="N8" s="11">
        <f t="shared" si="6"/>
        <v>-7</v>
      </c>
      <c r="O8" s="11">
        <f>VLOOKUP($G8, 'ADP Data'!$C$4:$Q$300, 3, FALSE)</f>
        <v>39</v>
      </c>
      <c r="P8" s="11">
        <f t="shared" si="7"/>
        <v>-12</v>
      </c>
      <c r="Q8" s="11">
        <f>VLOOKUP($G8, 'ADP Data'!$C$4:$Q$300, 4, FALSE)</f>
        <v>31</v>
      </c>
      <c r="R8" s="11">
        <f>VLOOKUP($G8, 'ADP Data'!$C$4:$Q$300, 5, FALSE)</f>
        <v>36</v>
      </c>
      <c r="S8" s="11">
        <f>VLOOKUP($G8, 'ADP Data'!$C$4:$Q$300, 6, FALSE)</f>
        <v>36</v>
      </c>
      <c r="T8" s="11">
        <f>VLOOKUP($G8, 'ADP Data'!$C$4:$Q$300, 7, FALSE)</f>
        <v>33</v>
      </c>
      <c r="U8" s="11">
        <f>VLOOKUP($G8, 'ADP Data'!$C$4:$Q$300, 8, FALSE)</f>
        <v>36</v>
      </c>
      <c r="V8" s="11">
        <f t="shared" si="8"/>
        <v>34</v>
      </c>
      <c r="W8" s="11">
        <f t="shared" si="9"/>
        <v>5</v>
      </c>
      <c r="X8" s="11">
        <f t="shared" si="10"/>
        <v>-4</v>
      </c>
      <c r="Y8" s="11">
        <f>VLOOKUP($G8, SeanRanks!$A$2:$K$303, 10, FALSE)-V8</f>
        <v>8</v>
      </c>
      <c r="Z8" s="29">
        <f>IF(VLOOKUP($G8, SeanRanks!$A$2:$H$303, 7, FALSE)=0, "", VLOOKUP($G8, SeanRanks!$A$2:$H$303, 7, FALSE))</f>
        <v>16</v>
      </c>
    </row>
    <row r="9" ht="14.25" hidden="1" customHeight="1">
      <c r="A9" s="11"/>
      <c r="B9" s="11">
        <f t="shared" si="4"/>
        <v>1</v>
      </c>
      <c r="C9" s="11" t="s">
        <v>95</v>
      </c>
      <c r="D9" s="11">
        <v>1.0</v>
      </c>
      <c r="E9" s="11" t="s">
        <v>151</v>
      </c>
      <c r="F9" s="11" t="str">
        <f>VLOOKUP(G9, SeanRanks!$A$2:$E$302, 4, FALSE)</f>
        <v/>
      </c>
      <c r="G9" s="11" t="s">
        <v>70</v>
      </c>
      <c r="H9" s="11" t="str">
        <f>VLOOKUP($G9, 'ADP Data'!$C$4:$Q$300, 2, FALSE)</f>
        <v>DAL</v>
      </c>
      <c r="I9" s="11">
        <f>VLOOKUP(G9, 'ADP Data'!$C$4:$R$498, 12, FALSE)</f>
        <v>3</v>
      </c>
      <c r="J9" s="30" t="str">
        <f>VLOOKUP($G9, SeanRanks!$A$2:$H$303, 5, FALSE)</f>
        <v/>
      </c>
      <c r="K9" s="11" t="str">
        <f>IF(VLOOKUP($G9, SeanRanks!$A$2:$H$303, 6, FALSE)=0, "", VLOOKUP($G9, SeanRanks!$A$2:$H$303, 6, FALSE))</f>
        <v>WR1 - 1 - Elite</v>
      </c>
      <c r="L9" s="11">
        <f t="shared" si="5"/>
        <v>1</v>
      </c>
      <c r="M9" s="11">
        <f>VLOOKUP($G9, 'ADP Data'!$C$4:$Q$300, 9, FALSE)</f>
        <v>6</v>
      </c>
      <c r="N9" s="11">
        <f t="shared" si="6"/>
        <v>2</v>
      </c>
      <c r="O9" s="11">
        <f>VLOOKUP($G9, 'ADP Data'!$C$4:$Q$300, 3, FALSE)</f>
        <v>5</v>
      </c>
      <c r="P9" s="11">
        <f t="shared" si="7"/>
        <v>1</v>
      </c>
      <c r="Q9" s="11">
        <f>VLOOKUP($G9, 'ADP Data'!$C$4:$Q$300, 4, FALSE)</f>
        <v>6</v>
      </c>
      <c r="R9" s="11">
        <f>VLOOKUP($G9, 'ADP Data'!$C$4:$Q$300, 5, FALSE)</f>
        <v>5</v>
      </c>
      <c r="S9" s="11">
        <f>VLOOKUP($G9, 'ADP Data'!$C$4:$Q$300, 6, FALSE)</f>
        <v>4</v>
      </c>
      <c r="T9" s="11">
        <f>VLOOKUP($G9, 'ADP Data'!$C$4:$Q$300, 7, FALSE)</f>
        <v>4</v>
      </c>
      <c r="U9" s="11">
        <f>VLOOKUP($G9, 'ADP Data'!$C$4:$Q$300, 8, FALSE)</f>
        <v>3</v>
      </c>
      <c r="V9" s="11">
        <f t="shared" si="8"/>
        <v>4</v>
      </c>
      <c r="W9" s="11">
        <f t="shared" si="9"/>
        <v>1</v>
      </c>
      <c r="X9" s="11">
        <f t="shared" si="10"/>
        <v>0</v>
      </c>
      <c r="Y9" s="11">
        <f>VLOOKUP($G9, SeanRanks!$A$2:$K$303, 10, FALSE)-V9</f>
        <v>1</v>
      </c>
      <c r="Z9" s="29">
        <f>IF(VLOOKUP($G9, SeanRanks!$A$2:$H$303, 7, FALSE)=0, "", VLOOKUP($G9, SeanRanks!$A$2:$H$303, 7, FALSE))</f>
        <v>3</v>
      </c>
    </row>
    <row r="10" ht="14.25" hidden="1" customHeight="1">
      <c r="A10" s="11"/>
      <c r="B10" s="11">
        <f t="shared" si="4"/>
        <v>4</v>
      </c>
      <c r="C10" s="11" t="s">
        <v>95</v>
      </c>
      <c r="D10" s="11">
        <v>2.0</v>
      </c>
      <c r="E10" s="11"/>
      <c r="F10" s="11" t="str">
        <f>VLOOKUP(G10, SeanRanks!$A$2:$E$302, 4, FALSE)</f>
        <v/>
      </c>
      <c r="G10" s="11" t="s">
        <v>147</v>
      </c>
      <c r="H10" s="11" t="str">
        <f>VLOOKUP($G10, 'ADP Data'!$C$4:$Q$300, 2, FALSE)</f>
        <v>NYJ</v>
      </c>
      <c r="I10" s="11">
        <f>VLOOKUP(G10, 'ADP Data'!$C$4:$R$498, 12, FALSE)</f>
        <v>47</v>
      </c>
      <c r="J10" s="26" t="str">
        <f>VLOOKUP($G10, SeanRanks!$A$2:$H$303, 5, FALSE)</f>
        <v/>
      </c>
      <c r="K10" s="11" t="str">
        <f>IF(VLOOKUP($G10, SeanRanks!$A$2:$H$303, 6, FALSE)=0, "", VLOOKUP($G10, SeanRanks!$A$2:$H$303, 6, FALSE))</f>
        <v>RB2 - 1 - Clear path to spikes</v>
      </c>
      <c r="L10" s="11">
        <f t="shared" si="5"/>
        <v>5</v>
      </c>
      <c r="M10" s="11">
        <f>VLOOKUP($G10, 'ADP Data'!$C$4:$Q$300, 9, FALSE)</f>
        <v>32</v>
      </c>
      <c r="N10" s="11">
        <f t="shared" si="6"/>
        <v>-7</v>
      </c>
      <c r="O10" s="11">
        <f>VLOOKUP($G10, 'ADP Data'!$C$4:$Q$300, 3, FALSE)</f>
        <v>41</v>
      </c>
      <c r="P10" s="11">
        <f t="shared" si="7"/>
        <v>-9</v>
      </c>
      <c r="Q10" s="11">
        <f>VLOOKUP($G10, 'ADP Data'!$C$4:$Q$300, 4, FALSE)</f>
        <v>51</v>
      </c>
      <c r="R10" s="11">
        <f>VLOOKUP($G10, 'ADP Data'!$C$4:$Q$300, 5, FALSE)</f>
        <v>41</v>
      </c>
      <c r="S10" s="11">
        <f>VLOOKUP($G10, 'ADP Data'!$C$4:$Q$300, 6, FALSE)</f>
        <v>42</v>
      </c>
      <c r="T10" s="11">
        <f>VLOOKUP($G10, 'ADP Data'!$C$4:$Q$300, 7, FALSE)</f>
        <v>39</v>
      </c>
      <c r="U10" s="11">
        <f>VLOOKUP($G10, 'ADP Data'!$C$4:$Q$300, 8, FALSE)</f>
        <v>31</v>
      </c>
      <c r="V10" s="11">
        <f t="shared" si="8"/>
        <v>39</v>
      </c>
      <c r="W10" s="11">
        <f t="shared" si="9"/>
        <v>5</v>
      </c>
      <c r="X10" s="11">
        <f t="shared" si="10"/>
        <v>-3</v>
      </c>
      <c r="Y10" s="11">
        <f>VLOOKUP($G10, SeanRanks!$A$2:$K$303, 10, FALSE)-V10</f>
        <v>11</v>
      </c>
      <c r="Z10" s="29">
        <f>IF(VLOOKUP($G10, SeanRanks!$A$2:$H$303, 7, FALSE)=0, "", VLOOKUP($G10, SeanRanks!$A$2:$H$303, 7, FALSE))</f>
        <v>16</v>
      </c>
    </row>
    <row r="11" ht="14.25" hidden="1" customHeight="1">
      <c r="A11" s="11"/>
      <c r="B11" s="11">
        <f t="shared" si="4"/>
        <v>1</v>
      </c>
      <c r="C11" s="11" t="s">
        <v>95</v>
      </c>
      <c r="D11" s="11">
        <v>2.0</v>
      </c>
      <c r="E11" s="11"/>
      <c r="F11" s="11" t="str">
        <f>VLOOKUP(G11, SeanRanks!$A$2:$E$302, 4, FALSE)</f>
        <v/>
      </c>
      <c r="G11" s="11" t="s">
        <v>39</v>
      </c>
      <c r="H11" s="11" t="str">
        <f>VLOOKUP($G11, 'ADP Data'!$C$4:$Q$300, 2, FALSE)</f>
        <v>ATL</v>
      </c>
      <c r="I11" s="11">
        <f>VLOOKUP(G11, 'ADP Data'!$C$4:$R$498, 12, FALSE)</f>
        <v>2</v>
      </c>
      <c r="J11" s="26" t="str">
        <f>VLOOKUP($G11, SeanRanks!$A$2:$H$303, 5, FALSE)</f>
        <v/>
      </c>
      <c r="K11" s="11" t="str">
        <f>IF(VLOOKUP($G11, SeanRanks!$A$2:$H$303, 6, FALSE)=0, "", VLOOKUP($G11, SeanRanks!$A$2:$H$303, 6, FALSE))</f>
        <v>RB1 - 1 - Elite floor/ceiling</v>
      </c>
      <c r="L11" s="11">
        <f t="shared" si="5"/>
        <v>1</v>
      </c>
      <c r="M11" s="11">
        <f>VLOOKUP($G11, 'ADP Data'!$C$4:$Q$300, 9, FALSE)</f>
        <v>3</v>
      </c>
      <c r="N11" s="11">
        <f t="shared" si="6"/>
        <v>1</v>
      </c>
      <c r="O11" s="11">
        <f>VLOOKUP($G11, 'ADP Data'!$C$4:$Q$300, 3, FALSE)</f>
        <v>2</v>
      </c>
      <c r="P11" s="11">
        <f t="shared" si="7"/>
        <v>1</v>
      </c>
      <c r="Q11" s="11">
        <f>VLOOKUP($G11, 'ADP Data'!$C$4:$Q$300, 4, FALSE)</f>
        <v>2</v>
      </c>
      <c r="R11" s="11">
        <f>VLOOKUP($G11, 'ADP Data'!$C$4:$Q$300, 5, FALSE)</f>
        <v>2</v>
      </c>
      <c r="S11" s="11">
        <f>VLOOKUP($G11, 'ADP Data'!$C$4:$Q$300, 6, FALSE)</f>
        <v>2</v>
      </c>
      <c r="T11" s="11">
        <f>VLOOKUP($G11, 'ADP Data'!$C$4:$Q$300, 7, FALSE)</f>
        <v>2</v>
      </c>
      <c r="U11" s="11">
        <f>VLOOKUP($G11, 'ADP Data'!$C$4:$Q$300, 8, FALSE)</f>
        <v>2</v>
      </c>
      <c r="V11" s="11">
        <f t="shared" si="8"/>
        <v>2</v>
      </c>
      <c r="W11" s="11">
        <f t="shared" si="9"/>
        <v>1</v>
      </c>
      <c r="X11" s="11">
        <f t="shared" si="10"/>
        <v>1</v>
      </c>
      <c r="Y11" s="11">
        <f>VLOOKUP($G11, SeanRanks!$A$2:$K$303, 10, FALSE)-V11</f>
        <v>0</v>
      </c>
      <c r="Z11" s="29">
        <f>IF(VLOOKUP($G11, SeanRanks!$A$2:$H$303, 7, FALSE)=0, "", VLOOKUP($G11, SeanRanks!$A$2:$H$303, 7, FALSE))</f>
        <v>1</v>
      </c>
    </row>
    <row r="12" ht="14.25" hidden="1" customHeight="1">
      <c r="A12" s="11"/>
      <c r="B12" s="11">
        <f t="shared" si="4"/>
        <v>1</v>
      </c>
      <c r="C12" s="11" t="s">
        <v>95</v>
      </c>
      <c r="D12" s="11">
        <v>2.0</v>
      </c>
      <c r="E12" s="11"/>
      <c r="F12" s="11" t="str">
        <f>VLOOKUP(G12, SeanRanks!$A$2:$E$302, 4, FALSE)</f>
        <v/>
      </c>
      <c r="G12" s="11" t="s">
        <v>44</v>
      </c>
      <c r="H12" s="11" t="str">
        <f>VLOOKUP($G12, 'ADP Data'!$C$4:$Q$300, 2, FALSE)</f>
        <v>CIN</v>
      </c>
      <c r="I12" s="11">
        <f>VLOOKUP(G12, 'ADP Data'!$C$4:$R$498, 12, FALSE)</f>
        <v>1</v>
      </c>
      <c r="J12" s="30" t="str">
        <f>VLOOKUP($G12, SeanRanks!$A$2:$H$303, 5, FALSE)</f>
        <v/>
      </c>
      <c r="K12" s="11" t="str">
        <f>IF(VLOOKUP($G12, SeanRanks!$A$2:$H$303, 6, FALSE)=0, "", VLOOKUP($G12, SeanRanks!$A$2:$H$303, 6, FALSE))</f>
        <v>WR1 - 1 - Elite</v>
      </c>
      <c r="L12" s="11">
        <f t="shared" si="5"/>
        <v>1</v>
      </c>
      <c r="M12" s="11">
        <f>VLOOKUP($G12, 'ADP Data'!$C$4:$Q$300, 9, FALSE)</f>
        <v>1</v>
      </c>
      <c r="N12" s="11">
        <f t="shared" si="6"/>
        <v>0</v>
      </c>
      <c r="O12" s="11">
        <f>VLOOKUP($G12, 'ADP Data'!$C$4:$Q$300, 3, FALSE)</f>
        <v>1</v>
      </c>
      <c r="P12" s="11">
        <f t="shared" si="7"/>
        <v>0</v>
      </c>
      <c r="Q12" s="11">
        <f>VLOOKUP($G12, 'ADP Data'!$C$4:$Q$300, 4, FALSE)</f>
        <v>1</v>
      </c>
      <c r="R12" s="11">
        <f>VLOOKUP($G12, 'ADP Data'!$C$4:$Q$300, 5, FALSE)</f>
        <v>1</v>
      </c>
      <c r="S12" s="11">
        <f>VLOOKUP($G12, 'ADP Data'!$C$4:$Q$300, 6, FALSE)</f>
        <v>1</v>
      </c>
      <c r="T12" s="11">
        <f>VLOOKUP($G12, 'ADP Data'!$C$4:$Q$300, 7, FALSE)</f>
        <v>1</v>
      </c>
      <c r="U12" s="11">
        <f>VLOOKUP($G12, 'ADP Data'!$C$4:$Q$300, 8, FALSE)</f>
        <v>1</v>
      </c>
      <c r="V12" s="11">
        <f t="shared" si="8"/>
        <v>1</v>
      </c>
      <c r="W12" s="11">
        <f t="shared" si="9"/>
        <v>1</v>
      </c>
      <c r="X12" s="11">
        <f t="shared" si="10"/>
        <v>1</v>
      </c>
      <c r="Y12" s="11">
        <f>VLOOKUP($G12, SeanRanks!$A$2:$K$303, 10, FALSE)-V12</f>
        <v>0</v>
      </c>
      <c r="Z12" s="29">
        <f>IF(VLOOKUP($G12, SeanRanks!$A$2:$H$303, 7, FALSE)=0, "", VLOOKUP($G12, SeanRanks!$A$2:$H$303, 7, FALSE))</f>
        <v>1</v>
      </c>
    </row>
    <row r="13" ht="14.25" hidden="1" customHeight="1">
      <c r="A13" s="11"/>
      <c r="B13" s="11">
        <f t="shared" si="4"/>
        <v>2</v>
      </c>
      <c r="C13" s="11" t="s">
        <v>95</v>
      </c>
      <c r="D13" s="11"/>
      <c r="E13" s="11"/>
      <c r="F13" s="11" t="str">
        <f>VLOOKUP(G13, SeanRanks!$A$2:$E$302, 4, FALSE)</f>
        <v/>
      </c>
      <c r="G13" s="11" t="s">
        <v>113</v>
      </c>
      <c r="H13" s="11" t="str">
        <f>VLOOKUP($G13, 'ADP Data'!$C$4:$Q$300, 2, FALSE)</f>
        <v>PHI</v>
      </c>
      <c r="I13" s="11">
        <f>VLOOKUP(G13, 'ADP Data'!$C$4:$R$498, 12, FALSE)</f>
        <v>17</v>
      </c>
      <c r="J13" s="30" t="str">
        <f>VLOOKUP($G13, SeanRanks!$A$2:$H$303, 5, FALSE)</f>
        <v/>
      </c>
      <c r="K13" s="11" t="str">
        <f>IF(VLOOKUP($G13, SeanRanks!$A$2:$H$303, 6, FALSE)=0, "", VLOOKUP($G13, SeanRanks!$A$2:$H$303, 6, FALSE))</f>
        <v>WR1 - 3 - Inconsistent</v>
      </c>
      <c r="L13" s="11">
        <f t="shared" si="5"/>
        <v>3</v>
      </c>
      <c r="M13" s="11">
        <f>VLOOKUP($G13, 'ADP Data'!$C$4:$Q$300, 9, FALSE)</f>
        <v>18</v>
      </c>
      <c r="N13" s="11">
        <f t="shared" si="6"/>
        <v>-2</v>
      </c>
      <c r="O13" s="11">
        <f>VLOOKUP($G13, 'ADP Data'!$C$4:$Q$300, 3, FALSE)</f>
        <v>27</v>
      </c>
      <c r="P13" s="11">
        <f t="shared" si="7"/>
        <v>-9</v>
      </c>
      <c r="Q13" s="11">
        <f>VLOOKUP($G13, 'ADP Data'!$C$4:$Q$300, 4, FALSE)</f>
        <v>18</v>
      </c>
      <c r="R13" s="11">
        <f>VLOOKUP($G13, 'ADP Data'!$C$4:$Q$300, 5, FALSE)</f>
        <v>22</v>
      </c>
      <c r="S13" s="11">
        <f>VLOOKUP($G13, 'ADP Data'!$C$4:$Q$300, 6, FALSE)</f>
        <v>23</v>
      </c>
      <c r="T13" s="11">
        <f>VLOOKUP($G13, 'ADP Data'!$C$4:$Q$300, 7, FALSE)</f>
        <v>21</v>
      </c>
      <c r="U13" s="11">
        <f>VLOOKUP($G13, 'ADP Data'!$C$4:$Q$300, 8, FALSE)</f>
        <v>15</v>
      </c>
      <c r="V13" s="11">
        <f t="shared" si="8"/>
        <v>20</v>
      </c>
      <c r="W13" s="11">
        <f t="shared" si="9"/>
        <v>3</v>
      </c>
      <c r="X13" s="11">
        <f t="shared" si="10"/>
        <v>-3</v>
      </c>
      <c r="Y13" s="11">
        <f>VLOOKUP($G13, SeanRanks!$A$2:$K$303, 10, FALSE)-V13</f>
        <v>-2</v>
      </c>
      <c r="Z13" s="29">
        <f>IF(VLOOKUP($G13, SeanRanks!$A$2:$H$303, 7, FALSE)=0, "", VLOOKUP($G13, SeanRanks!$A$2:$H$303, 7, FALSE))</f>
        <v>11</v>
      </c>
    </row>
    <row r="14" ht="14.25" hidden="1" customHeight="1">
      <c r="A14" s="11"/>
      <c r="B14" s="11">
        <f t="shared" si="4"/>
        <v>1</v>
      </c>
      <c r="C14" s="11" t="s">
        <v>95</v>
      </c>
      <c r="D14" s="11"/>
      <c r="E14" s="11"/>
      <c r="F14" s="11" t="str">
        <f>VLOOKUP(G14, SeanRanks!$A$2:$E$302, 4, FALSE)</f>
        <v/>
      </c>
      <c r="G14" s="11" t="s">
        <v>74</v>
      </c>
      <c r="H14" s="11" t="str">
        <f>VLOOKUP($G14, 'ADP Data'!$C$4:$Q$300, 2, FALSE)</f>
        <v>MIN</v>
      </c>
      <c r="I14" s="11">
        <f>VLOOKUP(G14, 'ADP Data'!$C$4:$R$498, 12, FALSE)</f>
        <v>5</v>
      </c>
      <c r="J14" s="30" t="str">
        <f>VLOOKUP($G14, SeanRanks!$A$2:$H$303, 5, FALSE)</f>
        <v/>
      </c>
      <c r="K14" s="11" t="str">
        <f>IF(VLOOKUP($G14, SeanRanks!$A$2:$H$303, 6, FALSE)=0, "", VLOOKUP($G14, SeanRanks!$A$2:$H$303, 6, FALSE))</f>
        <v>WR1 - 1 - Elite</v>
      </c>
      <c r="L14" s="11">
        <f t="shared" si="5"/>
        <v>1</v>
      </c>
      <c r="M14" s="11">
        <f>VLOOKUP($G14, 'ADP Data'!$C$4:$Q$300, 9, FALSE)</f>
        <v>5</v>
      </c>
      <c r="N14" s="11">
        <f t="shared" si="6"/>
        <v>0</v>
      </c>
      <c r="O14" s="11">
        <f>VLOOKUP($G14, 'ADP Data'!$C$4:$Q$300, 3, FALSE)</f>
        <v>6</v>
      </c>
      <c r="P14" s="11">
        <f t="shared" si="7"/>
        <v>-1</v>
      </c>
      <c r="Q14" s="11">
        <f>VLOOKUP($G14, 'ADP Data'!$C$4:$Q$300, 4, FALSE)</f>
        <v>4</v>
      </c>
      <c r="R14" s="11">
        <f>VLOOKUP($G14, 'ADP Data'!$C$4:$Q$300, 5, FALSE)</f>
        <v>3</v>
      </c>
      <c r="S14" s="11">
        <f>VLOOKUP($G14, 'ADP Data'!$C$4:$Q$300, 6, FALSE)</f>
        <v>6</v>
      </c>
      <c r="T14" s="11">
        <f>VLOOKUP($G14, 'ADP Data'!$C$4:$Q$300, 7, FALSE)</f>
        <v>6</v>
      </c>
      <c r="U14" s="11">
        <f>VLOOKUP($G14, 'ADP Data'!$C$4:$Q$300, 8, FALSE)</f>
        <v>5</v>
      </c>
      <c r="V14" s="11">
        <f t="shared" si="8"/>
        <v>5</v>
      </c>
      <c r="W14" s="11">
        <f t="shared" si="9"/>
        <v>1</v>
      </c>
      <c r="X14" s="11">
        <f t="shared" si="10"/>
        <v>-1</v>
      </c>
      <c r="Y14" s="11">
        <f>VLOOKUP($G14, SeanRanks!$A$2:$K$303, 10, FALSE)-V14</f>
        <v>1</v>
      </c>
      <c r="Z14" s="29">
        <f>IF(VLOOKUP($G14, SeanRanks!$A$2:$H$303, 7, FALSE)=0, "", VLOOKUP($G14, SeanRanks!$A$2:$H$303, 7, FALSE))</f>
        <v>2</v>
      </c>
    </row>
    <row r="15" ht="14.25" hidden="1" customHeight="1">
      <c r="A15" s="11"/>
      <c r="B15" s="11">
        <f t="shared" si="4"/>
        <v>1</v>
      </c>
      <c r="C15" s="11" t="s">
        <v>95</v>
      </c>
      <c r="D15" s="11">
        <v>2.0</v>
      </c>
      <c r="E15" s="11"/>
      <c r="F15" s="11" t="str">
        <f>VLOOKUP(G15, SeanRanks!$A$2:$E$302, 4, FALSE)</f>
        <v/>
      </c>
      <c r="G15" s="11" t="s">
        <v>64</v>
      </c>
      <c r="H15" s="11" t="str">
        <f>VLOOKUP($G15, 'ADP Data'!$C$4:$Q$300, 2, FALSE)</f>
        <v>DET</v>
      </c>
      <c r="I15" s="11">
        <f>VLOOKUP(G15, 'ADP Data'!$C$4:$R$498, 12, FALSE)</f>
        <v>9</v>
      </c>
      <c r="J15" s="30" t="str">
        <f>VLOOKUP($G15, SeanRanks!$A$2:$H$303, 5, FALSE)</f>
        <v/>
      </c>
      <c r="K15" s="11" t="str">
        <f>IF(VLOOKUP($G15, SeanRanks!$A$2:$H$303, 6, FALSE)=0, "", VLOOKUP($G15, SeanRanks!$A$2:$H$303, 6, FALSE))</f>
        <v>WR1 - 2 - High Floor</v>
      </c>
      <c r="L15" s="11">
        <f t="shared" si="5"/>
        <v>2</v>
      </c>
      <c r="M15" s="11">
        <f>VLOOKUP($G15, 'ADP Data'!$C$4:$Q$300, 9, FALSE)</f>
        <v>8</v>
      </c>
      <c r="N15" s="11">
        <f t="shared" si="6"/>
        <v>-1</v>
      </c>
      <c r="O15" s="11">
        <f>VLOOKUP($G15, 'ADP Data'!$C$4:$Q$300, 3, FALSE)</f>
        <v>12</v>
      </c>
      <c r="P15" s="11">
        <f t="shared" si="7"/>
        <v>-4</v>
      </c>
      <c r="Q15" s="11">
        <f>VLOOKUP($G15, 'ADP Data'!$C$4:$Q$300, 4, FALSE)</f>
        <v>8</v>
      </c>
      <c r="R15" s="11">
        <f>VLOOKUP($G15, 'ADP Data'!$C$4:$Q$300, 5, FALSE)</f>
        <v>11</v>
      </c>
      <c r="S15" s="11">
        <f>VLOOKUP($G15, 'ADP Data'!$C$4:$Q$300, 6, FALSE)</f>
        <v>11</v>
      </c>
      <c r="T15" s="11">
        <f>VLOOKUP($G15, 'ADP Data'!$C$4:$Q$300, 7, FALSE)</f>
        <v>9</v>
      </c>
      <c r="U15" s="11">
        <f>VLOOKUP($G15, 'ADP Data'!$C$4:$Q$300, 8, FALSE)</f>
        <v>8</v>
      </c>
      <c r="V15" s="11">
        <f t="shared" si="8"/>
        <v>9</v>
      </c>
      <c r="W15" s="11">
        <f t="shared" si="9"/>
        <v>2</v>
      </c>
      <c r="X15" s="11">
        <f t="shared" si="10"/>
        <v>0</v>
      </c>
      <c r="Y15" s="11">
        <f>VLOOKUP($G15, SeanRanks!$A$2:$K$303, 10, FALSE)-V15</f>
        <v>-1</v>
      </c>
      <c r="Z15" s="29">
        <f>IF(VLOOKUP($G15, SeanRanks!$A$2:$H$303, 7, FALSE)=0, "", VLOOKUP($G15, SeanRanks!$A$2:$H$303, 7, FALSE))</f>
        <v>6</v>
      </c>
    </row>
    <row r="16" ht="14.25" hidden="1" customHeight="1">
      <c r="A16" s="11"/>
      <c r="B16" s="11">
        <f t="shared" si="4"/>
        <v>2</v>
      </c>
      <c r="C16" s="11" t="s">
        <v>95</v>
      </c>
      <c r="D16" s="11"/>
      <c r="E16" s="11"/>
      <c r="F16" s="11" t="str">
        <f>VLOOKUP(G16, SeanRanks!$A$2:$E$302, 4, FALSE)</f>
        <v/>
      </c>
      <c r="G16" s="11" t="s">
        <v>61</v>
      </c>
      <c r="H16" s="11" t="str">
        <f>VLOOKUP($G16, 'ADP Data'!$C$4:$Q$300, 2, FALSE)</f>
        <v>IND</v>
      </c>
      <c r="I16" s="11">
        <f>VLOOKUP(G16, 'ADP Data'!$C$4:$R$498, 12, FALSE)</f>
        <v>20</v>
      </c>
      <c r="J16" s="26" t="str">
        <f>VLOOKUP($G16, SeanRanks!$A$2:$H$303, 5, FALSE)</f>
        <v>No</v>
      </c>
      <c r="K16" s="11" t="str">
        <f>IF(VLOOKUP($G16, SeanRanks!$A$2:$H$303, 6, FALSE)=0, "", VLOOKUP($G16, SeanRanks!$A$2:$H$303, 6, FALSE))</f>
        <v>RB1 - 2 - Elite ceiling/questions</v>
      </c>
      <c r="L16" s="11">
        <f t="shared" si="5"/>
        <v>3</v>
      </c>
      <c r="M16" s="11">
        <f>VLOOKUP($G16, 'ADP Data'!$C$4:$Q$300, 9, FALSE)</f>
        <v>20</v>
      </c>
      <c r="N16" s="11">
        <f t="shared" si="6"/>
        <v>1</v>
      </c>
      <c r="O16" s="11">
        <f>VLOOKUP($G16, 'ADP Data'!$C$4:$Q$300, 3, FALSE)</f>
        <v>21</v>
      </c>
      <c r="P16" s="11">
        <f t="shared" si="7"/>
        <v>-1</v>
      </c>
      <c r="Q16" s="11">
        <f>VLOOKUP($G16, 'ADP Data'!$C$4:$Q$300, 4, FALSE)</f>
        <v>15</v>
      </c>
      <c r="R16" s="11">
        <f>VLOOKUP($G16, 'ADP Data'!$C$4:$Q$300, 5, FALSE)</f>
        <v>20</v>
      </c>
      <c r="S16" s="11">
        <f>VLOOKUP($G16, 'ADP Data'!$C$4:$Q$300, 6, FALSE)</f>
        <v>21</v>
      </c>
      <c r="T16" s="11">
        <f>VLOOKUP($G16, 'ADP Data'!$C$4:$Q$300, 7, FALSE)</f>
        <v>20</v>
      </c>
      <c r="U16" s="11">
        <f>VLOOKUP($G16, 'ADP Data'!$C$4:$Q$300, 8, FALSE)</f>
        <v>22</v>
      </c>
      <c r="V16" s="11">
        <f t="shared" si="8"/>
        <v>19</v>
      </c>
      <c r="W16" s="11">
        <f t="shared" si="9"/>
        <v>3</v>
      </c>
      <c r="X16" s="11">
        <f t="shared" si="10"/>
        <v>-3</v>
      </c>
      <c r="Y16" s="11">
        <f>VLOOKUP($G16, SeanRanks!$A$2:$K$303, 10, FALSE)-V16</f>
        <v>0</v>
      </c>
      <c r="Z16" s="29">
        <f>IF(VLOOKUP($G16, SeanRanks!$A$2:$H$303, 7, FALSE)=0, "", VLOOKUP($G16, SeanRanks!$A$2:$H$303, 7, FALSE))</f>
        <v>12</v>
      </c>
    </row>
    <row r="17" ht="14.25" hidden="1" customHeight="1">
      <c r="A17" s="11"/>
      <c r="B17" s="11">
        <f t="shared" si="4"/>
        <v>1</v>
      </c>
      <c r="C17" s="11" t="s">
        <v>95</v>
      </c>
      <c r="D17" s="11">
        <v>2.0</v>
      </c>
      <c r="E17" s="27"/>
      <c r="F17" s="11" t="str">
        <f>VLOOKUP(G17, SeanRanks!$A$2:$E$302, 4, FALSE)</f>
        <v/>
      </c>
      <c r="G17" s="11" t="s">
        <v>48</v>
      </c>
      <c r="H17" s="11" t="str">
        <f>VLOOKUP($G17, 'ADP Data'!$C$4:$Q$300, 2, FALSE)</f>
        <v>LAR</v>
      </c>
      <c r="I17" s="11">
        <f>VLOOKUP(G17, 'ADP Data'!$C$4:$R$498, 12, FALSE)</f>
        <v>13</v>
      </c>
      <c r="J17" s="33" t="str">
        <f>VLOOKUP($G17, SeanRanks!$A$2:$H$303, 5, FALSE)</f>
        <v/>
      </c>
      <c r="K17" s="11" t="str">
        <f>IF(VLOOKUP($G17, SeanRanks!$A$2:$H$303, 6, FALSE)=0, "", VLOOKUP($G17, SeanRanks!$A$2:$H$303, 6, FALSE))</f>
        <v>WR1 - 2 - High Floor</v>
      </c>
      <c r="L17" s="11">
        <f t="shared" si="5"/>
        <v>2</v>
      </c>
      <c r="M17" s="11">
        <f>VLOOKUP($G17, 'ADP Data'!$C$4:$Q$300, 9, FALSE)</f>
        <v>11</v>
      </c>
      <c r="N17" s="11">
        <f t="shared" si="6"/>
        <v>0</v>
      </c>
      <c r="O17" s="11">
        <f>VLOOKUP($G17, 'ADP Data'!$C$4:$Q$300, 3, FALSE)</f>
        <v>14</v>
      </c>
      <c r="P17" s="11">
        <f t="shared" si="7"/>
        <v>-3</v>
      </c>
      <c r="Q17" s="11">
        <f>VLOOKUP($G17, 'ADP Data'!$C$4:$Q$300, 4, FALSE)</f>
        <v>9</v>
      </c>
      <c r="R17" s="11">
        <f>VLOOKUP($G17, 'ADP Data'!$C$4:$Q$300, 5, FALSE)</f>
        <v>8</v>
      </c>
      <c r="S17" s="11">
        <f>VLOOKUP($G17, 'ADP Data'!$C$4:$Q$300, 6, FALSE)</f>
        <v>15</v>
      </c>
      <c r="T17" s="11">
        <f>VLOOKUP($G17, 'ADP Data'!$C$4:$Q$300, 7, FALSE)</f>
        <v>14</v>
      </c>
      <c r="U17" s="11">
        <f>VLOOKUP($G17, 'ADP Data'!$C$4:$Q$300, 8, FALSE)</f>
        <v>7</v>
      </c>
      <c r="V17" s="11">
        <f t="shared" si="8"/>
        <v>11</v>
      </c>
      <c r="W17" s="11">
        <f t="shared" si="9"/>
        <v>2</v>
      </c>
      <c r="X17" s="11">
        <f t="shared" si="10"/>
        <v>0</v>
      </c>
      <c r="Y17" s="11">
        <f>VLOOKUP($G17, SeanRanks!$A$2:$K$303, 10, FALSE)-V17</f>
        <v>5</v>
      </c>
      <c r="Z17" s="29">
        <f>IF(VLOOKUP($G17, SeanRanks!$A$2:$H$303, 7, FALSE)=0, "", VLOOKUP($G17, SeanRanks!$A$2:$H$303, 7, FALSE))</f>
        <v>9</v>
      </c>
    </row>
    <row r="18" ht="14.25" hidden="1" customHeight="1">
      <c r="A18" s="11"/>
      <c r="B18" s="11">
        <f t="shared" si="4"/>
        <v>4</v>
      </c>
      <c r="C18" s="11" t="s">
        <v>95</v>
      </c>
      <c r="D18" s="11"/>
      <c r="E18" s="11"/>
      <c r="F18" s="11" t="str">
        <f>VLOOKUP(G18, SeanRanks!$A$2:$E$302, 4, FALSE)</f>
        <v/>
      </c>
      <c r="G18" s="11" t="s">
        <v>156</v>
      </c>
      <c r="H18" s="11" t="str">
        <f>VLOOKUP($G18, 'ADP Data'!$C$4:$Q$300, 2, FALSE)</f>
        <v>NYJ</v>
      </c>
      <c r="I18" s="11">
        <f>VLOOKUP(G18, 'ADP Data'!$C$4:$R$498, 12, FALSE)</f>
        <v>28</v>
      </c>
      <c r="J18" s="33" t="str">
        <f>VLOOKUP($G18, SeanRanks!$A$2:$H$303, 5, FALSE)</f>
        <v/>
      </c>
      <c r="K18" s="11" t="str">
        <f>IF(VLOOKUP($G18, SeanRanks!$A$2:$H$303, 6, FALSE)=0, "", VLOOKUP($G18, SeanRanks!$A$2:$H$303, 6, FALSE))</f>
        <v>WR2 - 1 - WR1 upside</v>
      </c>
      <c r="L18" s="11">
        <f t="shared" si="5"/>
        <v>5</v>
      </c>
      <c r="M18" s="11">
        <f>VLOOKUP($G18, 'ADP Data'!$C$4:$Q$300, 9, FALSE)</f>
        <v>34</v>
      </c>
      <c r="N18" s="11">
        <f t="shared" si="6"/>
        <v>-4</v>
      </c>
      <c r="O18" s="11">
        <f>VLOOKUP($G18, 'ADP Data'!$C$4:$Q$300, 3, FALSE)</f>
        <v>51</v>
      </c>
      <c r="P18" s="11">
        <f t="shared" si="7"/>
        <v>-17</v>
      </c>
      <c r="Q18" s="11">
        <f>VLOOKUP($G18, 'ADP Data'!$C$4:$Q$300, 4, FALSE)</f>
        <v>41</v>
      </c>
      <c r="R18" s="11">
        <f>VLOOKUP($G18, 'ADP Data'!$C$4:$Q$300, 5, FALSE)</f>
        <v>37</v>
      </c>
      <c r="S18" s="11">
        <f>VLOOKUP($G18, 'ADP Data'!$C$4:$Q$300, 6, FALSE)</f>
        <v>39</v>
      </c>
      <c r="T18" s="11">
        <f>VLOOKUP($G18, 'ADP Data'!$C$4:$Q$300, 7, FALSE)</f>
        <v>30</v>
      </c>
      <c r="U18" s="11">
        <f>VLOOKUP($G18, 'ADP Data'!$C$4:$Q$300, 8, FALSE)</f>
        <v>37</v>
      </c>
      <c r="V18" s="11">
        <f t="shared" si="8"/>
        <v>38</v>
      </c>
      <c r="W18" s="11">
        <f t="shared" si="9"/>
        <v>5</v>
      </c>
      <c r="X18" s="11">
        <f t="shared" si="10"/>
        <v>-5</v>
      </c>
      <c r="Y18" s="11">
        <f>VLOOKUP($G18, SeanRanks!$A$2:$K$303, 10, FALSE)-V18</f>
        <v>1</v>
      </c>
      <c r="Z18" s="29">
        <f>IF(VLOOKUP($G18, SeanRanks!$A$2:$H$303, 7, FALSE)=0, "", VLOOKUP($G18, SeanRanks!$A$2:$H$303, 7, FALSE))</f>
        <v>17</v>
      </c>
    </row>
    <row r="19" ht="14.25" hidden="1" customHeight="1">
      <c r="A19" s="11"/>
      <c r="B19" s="11">
        <f t="shared" si="4"/>
        <v>1</v>
      </c>
      <c r="C19" s="11" t="s">
        <v>95</v>
      </c>
      <c r="D19" s="11">
        <v>2.0</v>
      </c>
      <c r="E19" s="11"/>
      <c r="F19" s="11" t="str">
        <f>VLOOKUP(G19, SeanRanks!$A$2:$E$302, 4, FALSE)</f>
        <v/>
      </c>
      <c r="G19" s="11" t="s">
        <v>84</v>
      </c>
      <c r="H19" s="11" t="str">
        <f>VLOOKUP($G19, 'ADP Data'!$C$4:$Q$300, 2, FALSE)</f>
        <v>PHI</v>
      </c>
      <c r="I19" s="11">
        <f>VLOOKUP(G19, 'ADP Data'!$C$4:$R$498, 12, FALSE)</f>
        <v>6</v>
      </c>
      <c r="J19" s="26" t="str">
        <f>VLOOKUP($G19, SeanRanks!$A$2:$H$303, 5, FALSE)</f>
        <v/>
      </c>
      <c r="K19" s="11" t="str">
        <f>IF(VLOOKUP($G19, SeanRanks!$A$2:$H$303, 6, FALSE)=0, "", VLOOKUP($G19, SeanRanks!$A$2:$H$303, 6, FALSE))</f>
        <v>RB1 - 1 - Elite floor/ceiling</v>
      </c>
      <c r="L19" s="11">
        <f t="shared" si="5"/>
        <v>1</v>
      </c>
      <c r="M19" s="11">
        <f>VLOOKUP($G19, 'ADP Data'!$C$4:$Q$300, 9, FALSE)</f>
        <v>2</v>
      </c>
      <c r="N19" s="11">
        <f t="shared" si="6"/>
        <v>-2</v>
      </c>
      <c r="O19" s="11">
        <f>VLOOKUP($G19, 'ADP Data'!$C$4:$Q$300, 3, FALSE)</f>
        <v>3</v>
      </c>
      <c r="P19" s="11">
        <f t="shared" si="7"/>
        <v>-1</v>
      </c>
      <c r="Q19" s="11">
        <f>VLOOKUP($G19, 'ADP Data'!$C$4:$Q$300, 4, FALSE)</f>
        <v>3</v>
      </c>
      <c r="R19" s="11">
        <f>VLOOKUP($G19, 'ADP Data'!$C$4:$Q$300, 5, FALSE)</f>
        <v>6</v>
      </c>
      <c r="S19" s="11">
        <f>VLOOKUP($G19, 'ADP Data'!$C$4:$Q$300, 6, FALSE)</f>
        <v>5</v>
      </c>
      <c r="T19" s="11">
        <f>VLOOKUP($G19, 'ADP Data'!$C$4:$Q$300, 7, FALSE)</f>
        <v>5</v>
      </c>
      <c r="U19" s="11">
        <f>VLOOKUP($G19, 'ADP Data'!$C$4:$Q$300, 8, FALSE)</f>
        <v>4</v>
      </c>
      <c r="V19" s="11">
        <f t="shared" si="8"/>
        <v>4</v>
      </c>
      <c r="W19" s="11">
        <f t="shared" si="9"/>
        <v>1</v>
      </c>
      <c r="X19" s="11">
        <f t="shared" si="10"/>
        <v>1</v>
      </c>
      <c r="Y19" s="11">
        <f>VLOOKUP($G19, SeanRanks!$A$2:$K$303, 10, FALSE)-V19</f>
        <v>-1</v>
      </c>
      <c r="Z19" s="29">
        <f>IF(VLOOKUP($G19, SeanRanks!$A$2:$H$303, 7, FALSE)=0, "", VLOOKUP($G19, SeanRanks!$A$2:$H$303, 7, FALSE))</f>
        <v>2</v>
      </c>
    </row>
    <row r="20" ht="14.25" hidden="1" customHeight="1">
      <c r="A20" s="11"/>
      <c r="B20" s="11">
        <f t="shared" si="4"/>
        <v>1</v>
      </c>
      <c r="C20" s="11" t="s">
        <v>95</v>
      </c>
      <c r="D20" s="11">
        <v>2.0</v>
      </c>
      <c r="E20" s="11"/>
      <c r="F20" s="11" t="str">
        <f>VLOOKUP(G20, SeanRanks!$A$2:$E$302, 4, FALSE)</f>
        <v/>
      </c>
      <c r="G20" s="11" t="s">
        <v>25</v>
      </c>
      <c r="H20" s="11" t="str">
        <f>VLOOKUP($G20, 'ADP Data'!$C$4:$Q$300, 2, FALSE)</f>
        <v>DET</v>
      </c>
      <c r="I20" s="11">
        <f>VLOOKUP(G20, 'ADP Data'!$C$4:$R$498, 12, FALSE)</f>
        <v>4</v>
      </c>
      <c r="J20" s="26" t="str">
        <f>VLOOKUP($G20, SeanRanks!$A$2:$H$303, 5, FALSE)</f>
        <v/>
      </c>
      <c r="K20" s="11" t="str">
        <f>IF(VLOOKUP($G20, SeanRanks!$A$2:$H$303, 6, FALSE)=0, "", VLOOKUP($G20, SeanRanks!$A$2:$H$303, 6, FALSE))</f>
        <v>RB1 - 1 - Elite floor/ceiling</v>
      </c>
      <c r="L20" s="11">
        <f t="shared" si="5"/>
        <v>1</v>
      </c>
      <c r="M20" s="11">
        <f>VLOOKUP($G20, 'ADP Data'!$C$4:$Q$300, 9, FALSE)</f>
        <v>4</v>
      </c>
      <c r="N20" s="11">
        <f t="shared" si="6"/>
        <v>0</v>
      </c>
      <c r="O20" s="11">
        <f>VLOOKUP($G20, 'ADP Data'!$C$4:$Q$300, 3, FALSE)</f>
        <v>4</v>
      </c>
      <c r="P20" s="11">
        <f t="shared" si="7"/>
        <v>0</v>
      </c>
      <c r="Q20" s="11">
        <f>VLOOKUP($G20, 'ADP Data'!$C$4:$Q$300, 4, FALSE)</f>
        <v>5</v>
      </c>
      <c r="R20" s="11">
        <f>VLOOKUP($G20, 'ADP Data'!$C$4:$Q$300, 5, FALSE)</f>
        <v>4</v>
      </c>
      <c r="S20" s="11">
        <f>VLOOKUP($G20, 'ADP Data'!$C$4:$Q$300, 6, FALSE)</f>
        <v>3</v>
      </c>
      <c r="T20" s="11">
        <f>VLOOKUP($G20, 'ADP Data'!$C$4:$Q$300, 7, FALSE)</f>
        <v>3</v>
      </c>
      <c r="U20" s="11">
        <f>VLOOKUP($G20, 'ADP Data'!$C$4:$Q$300, 8, FALSE)</f>
        <v>6</v>
      </c>
      <c r="V20" s="11">
        <f t="shared" si="8"/>
        <v>4</v>
      </c>
      <c r="W20" s="11">
        <f t="shared" si="9"/>
        <v>1</v>
      </c>
      <c r="X20" s="11">
        <f t="shared" si="10"/>
        <v>1</v>
      </c>
      <c r="Y20" s="11">
        <f>VLOOKUP($G20, SeanRanks!$A$2:$K$303, 10, FALSE)-V20</f>
        <v>0</v>
      </c>
      <c r="Z20" s="29">
        <f>IF(VLOOKUP($G20, SeanRanks!$A$2:$H$303, 7, FALSE)=0, "", VLOOKUP($G20, SeanRanks!$A$2:$H$303, 7, FALSE))</f>
        <v>3</v>
      </c>
    </row>
    <row r="21" ht="14.25" hidden="1" customHeight="1">
      <c r="A21" s="11"/>
      <c r="B21" s="11">
        <f t="shared" si="4"/>
        <v>4</v>
      </c>
      <c r="C21" s="11" t="s">
        <v>95</v>
      </c>
      <c r="D21" s="11">
        <v>2.0</v>
      </c>
      <c r="E21" s="11"/>
      <c r="F21" s="11" t="str">
        <f>VLOOKUP(G21, SeanRanks!$A$2:$E$302, 4, FALSE)</f>
        <v/>
      </c>
      <c r="G21" s="11" t="s">
        <v>228</v>
      </c>
      <c r="H21" s="11" t="str">
        <f>VLOOKUP($G21, 'ADP Data'!$C$4:$Q$300, 2, FALSE)</f>
        <v>ARI</v>
      </c>
      <c r="I21" s="11">
        <f>VLOOKUP(G21, 'ADP Data'!$C$4:$R$498, 12, FALSE)</f>
        <v>37</v>
      </c>
      <c r="J21" s="33" t="str">
        <f>VLOOKUP($G21, SeanRanks!$A$2:$H$303, 5, FALSE)</f>
        <v>Yes</v>
      </c>
      <c r="K21" s="11" t="str">
        <f>IF(VLOOKUP($G21, SeanRanks!$A$2:$H$303, 6, FALSE)=0, "", VLOOKUP($G21, SeanRanks!$A$2:$H$303, 6, FALSE))</f>
        <v>WR2 - 1 - WR1 upside</v>
      </c>
      <c r="L21" s="11">
        <f t="shared" si="5"/>
        <v>5</v>
      </c>
      <c r="M21" s="11">
        <f>VLOOKUP($G21, 'ADP Data'!$C$4:$Q$300, 9, FALSE)</f>
        <v>36</v>
      </c>
      <c r="N21" s="11">
        <f t="shared" si="6"/>
        <v>-4</v>
      </c>
      <c r="O21" s="11">
        <f>VLOOKUP($G21, 'ADP Data'!$C$4:$Q$300, 3, FALSE)</f>
        <v>46</v>
      </c>
      <c r="P21" s="11">
        <f t="shared" si="7"/>
        <v>-10</v>
      </c>
      <c r="Q21" s="11">
        <f>VLOOKUP($G21, 'ADP Data'!$C$4:$Q$300, 4, FALSE)</f>
        <v>44</v>
      </c>
      <c r="R21" s="11">
        <f>VLOOKUP($G21, 'ADP Data'!$C$4:$Q$300, 5, FALSE)</f>
        <v>39</v>
      </c>
      <c r="S21" s="11">
        <f>VLOOKUP($G21, 'ADP Data'!$C$4:$Q$300, 6, FALSE)</f>
        <v>41</v>
      </c>
      <c r="T21" s="11">
        <f>VLOOKUP($G21, 'ADP Data'!$C$4:$Q$300, 7, FALSE)</f>
        <v>34</v>
      </c>
      <c r="U21" s="11">
        <f>VLOOKUP($G21, 'ADP Data'!$C$4:$Q$300, 8, FALSE)</f>
        <v>41</v>
      </c>
      <c r="V21" s="11">
        <f t="shared" si="8"/>
        <v>40</v>
      </c>
      <c r="W21" s="11">
        <f t="shared" si="9"/>
        <v>6</v>
      </c>
      <c r="X21" s="11">
        <f t="shared" si="10"/>
        <v>-4</v>
      </c>
      <c r="Y21" s="11">
        <f>VLOOKUP($G21, SeanRanks!$A$2:$K$303, 10, FALSE)-V21</f>
        <v>-3</v>
      </c>
      <c r="Z21" s="29">
        <f>IF(VLOOKUP($G21, SeanRanks!$A$2:$H$303, 7, FALSE)=0, "", VLOOKUP($G21, SeanRanks!$A$2:$H$303, 7, FALSE))</f>
        <v>14</v>
      </c>
    </row>
    <row r="22" ht="14.25" hidden="1" customHeight="1">
      <c r="A22" s="11" t="s">
        <v>106</v>
      </c>
      <c r="B22" s="11">
        <f t="shared" si="4"/>
        <v>3</v>
      </c>
      <c r="C22" s="11" t="s">
        <v>95</v>
      </c>
      <c r="D22" s="11">
        <v>2.0</v>
      </c>
      <c r="E22" s="11"/>
      <c r="F22" s="11" t="str">
        <f>VLOOKUP(G22, SeanRanks!$A$2:$E$302, 4, FALSE)</f>
        <v/>
      </c>
      <c r="G22" s="11" t="s">
        <v>138</v>
      </c>
      <c r="H22" s="11" t="str">
        <f>VLOOKUP($G22, 'ADP Data'!$C$4:$Q$300, 2, FALSE)</f>
        <v>LAR</v>
      </c>
      <c r="I22" s="11">
        <f>VLOOKUP(G22, 'ADP Data'!$C$4:$R$498, 12, FALSE)</f>
        <v>31</v>
      </c>
      <c r="J22" s="26" t="str">
        <f>VLOOKUP($G22, SeanRanks!$A$2:$H$303, 5, FALSE)</f>
        <v/>
      </c>
      <c r="K22" s="11" t="str">
        <f>IF(VLOOKUP($G22, SeanRanks!$A$2:$H$303, 6, FALSE)=0, "", VLOOKUP($G22, SeanRanks!$A$2:$H$303, 6, FALSE))</f>
        <v>RB1 - 2 - Elite ceiling/questions</v>
      </c>
      <c r="L22" s="11">
        <f t="shared" si="5"/>
        <v>4</v>
      </c>
      <c r="M22" s="11">
        <f>VLOOKUP($G22, 'ADP Data'!$C$4:$Q$300, 9, FALSE)</f>
        <v>25</v>
      </c>
      <c r="N22" s="11">
        <f t="shared" si="6"/>
        <v>0</v>
      </c>
      <c r="O22" s="11">
        <f>VLOOKUP($G22, 'ADP Data'!$C$4:$Q$300, 3, FALSE)</f>
        <v>18</v>
      </c>
      <c r="P22" s="11">
        <f t="shared" si="7"/>
        <v>7</v>
      </c>
      <c r="Q22" s="11">
        <f>VLOOKUP($G22, 'ADP Data'!$C$4:$Q$300, 4, FALSE)</f>
        <v>29</v>
      </c>
      <c r="R22" s="11">
        <f>VLOOKUP($G22, 'ADP Data'!$C$4:$Q$300, 5, FALSE)</f>
        <v>30</v>
      </c>
      <c r="S22" s="11">
        <f>VLOOKUP($G22, 'ADP Data'!$C$4:$Q$300, 6, FALSE)</f>
        <v>26</v>
      </c>
      <c r="T22" s="11">
        <f>VLOOKUP($G22, 'ADP Data'!$C$4:$Q$300, 7, FALSE)</f>
        <v>27</v>
      </c>
      <c r="U22" s="11">
        <f>VLOOKUP($G22, 'ADP Data'!$C$4:$Q$300, 8, FALSE)</f>
        <v>25</v>
      </c>
      <c r="V22" s="11">
        <f t="shared" si="8"/>
        <v>25</v>
      </c>
      <c r="W22" s="11">
        <f t="shared" si="9"/>
        <v>4</v>
      </c>
      <c r="X22" s="11">
        <f t="shared" si="10"/>
        <v>-2</v>
      </c>
      <c r="Y22" s="11">
        <f>VLOOKUP($G22, SeanRanks!$A$2:$K$303, 10, FALSE)-V22</f>
        <v>2</v>
      </c>
      <c r="Z22" s="29">
        <f>IF(VLOOKUP($G22, SeanRanks!$A$2:$H$303, 7, FALSE)=0, "", VLOOKUP($G22, SeanRanks!$A$2:$H$303, 7, FALSE))</f>
        <v>11</v>
      </c>
    </row>
    <row r="23" ht="14.25" hidden="1" customHeight="1">
      <c r="A23" s="11"/>
      <c r="B23" s="11">
        <f t="shared" si="4"/>
        <v>2</v>
      </c>
      <c r="C23" s="11" t="s">
        <v>95</v>
      </c>
      <c r="D23" s="11">
        <v>2.0</v>
      </c>
      <c r="E23" s="11"/>
      <c r="F23" s="11" t="str">
        <f>VLOOKUP(G23, SeanRanks!$A$2:$E$302, 4, FALSE)</f>
        <v/>
      </c>
      <c r="G23" s="11" t="s">
        <v>108</v>
      </c>
      <c r="H23" s="11" t="str">
        <f>VLOOKUP($G23, 'ADP Data'!$C$4:$Q$300, 2, FALSE)</f>
        <v>BAL</v>
      </c>
      <c r="I23" s="11">
        <f>VLOOKUP(G23, 'ADP Data'!$C$4:$R$498, 12, FALSE)</f>
        <v>15</v>
      </c>
      <c r="J23" s="26" t="str">
        <f>VLOOKUP($G23, SeanRanks!$A$2:$H$303, 5, FALSE)</f>
        <v/>
      </c>
      <c r="K23" s="11" t="str">
        <f>IF(VLOOKUP($G23, SeanRanks!$A$2:$H$303, 6, FALSE)=0, "", VLOOKUP($G23, SeanRanks!$A$2:$H$303, 6, FALSE))</f>
        <v>RB1 - 2 - Elite ceiling/questions</v>
      </c>
      <c r="L23" s="11">
        <f t="shared" si="5"/>
        <v>1</v>
      </c>
      <c r="M23" s="11">
        <f>VLOOKUP($G23, 'ADP Data'!$C$4:$Q$300, 9, FALSE)</f>
        <v>7</v>
      </c>
      <c r="N23" s="11">
        <f t="shared" si="6"/>
        <v>-3</v>
      </c>
      <c r="O23" s="11">
        <f>VLOOKUP($G23, 'ADP Data'!$C$4:$Q$300, 3, FALSE)</f>
        <v>7</v>
      </c>
      <c r="P23" s="11">
        <f t="shared" si="7"/>
        <v>0</v>
      </c>
      <c r="Q23" s="11">
        <f>VLOOKUP($G23, 'ADP Data'!$C$4:$Q$300, 4, FALSE)</f>
        <v>12</v>
      </c>
      <c r="R23" s="11">
        <f>VLOOKUP($G23, 'ADP Data'!$C$4:$Q$300, 5, FALSE)</f>
        <v>13</v>
      </c>
      <c r="S23" s="11">
        <f>VLOOKUP($G23, 'ADP Data'!$C$4:$Q$300, 6, FALSE)</f>
        <v>14</v>
      </c>
      <c r="T23" s="11">
        <f>VLOOKUP($G23, 'ADP Data'!$C$4:$Q$300, 7, FALSE)</f>
        <v>13</v>
      </c>
      <c r="U23" s="11">
        <f>VLOOKUP($G23, 'ADP Data'!$C$4:$Q$300, 8, FALSE)</f>
        <v>10</v>
      </c>
      <c r="V23" s="11">
        <f t="shared" si="8"/>
        <v>10</v>
      </c>
      <c r="W23" s="11">
        <f t="shared" si="9"/>
        <v>2</v>
      </c>
      <c r="X23" s="11">
        <f t="shared" si="10"/>
        <v>0</v>
      </c>
      <c r="Y23" s="11">
        <f>VLOOKUP($G23, SeanRanks!$A$2:$K$303, 10, FALSE)-V23</f>
        <v>1</v>
      </c>
      <c r="Z23" s="29">
        <f>IF(VLOOKUP($G23, SeanRanks!$A$2:$H$303, 7, FALSE)=0, "", VLOOKUP($G23, SeanRanks!$A$2:$H$303, 7, FALSE))</f>
        <v>8</v>
      </c>
    </row>
    <row r="24" ht="14.25" hidden="1" customHeight="1">
      <c r="A24" s="11"/>
      <c r="B24" s="11">
        <f t="shared" si="4"/>
        <v>7</v>
      </c>
      <c r="C24" s="11" t="s">
        <v>95</v>
      </c>
      <c r="D24" s="11"/>
      <c r="E24" s="11"/>
      <c r="F24" s="11" t="str">
        <f>VLOOKUP(G24, SeanRanks!$A$2:$E$302, 4, FALSE)</f>
        <v/>
      </c>
      <c r="G24" s="11" t="s">
        <v>130</v>
      </c>
      <c r="H24" s="11" t="str">
        <f>VLOOKUP($G24, 'ADP Data'!$C$4:$Q$300, 2, FALSE)</f>
        <v>NO</v>
      </c>
      <c r="I24" s="11">
        <f>VLOOKUP(G24, 'ADP Data'!$C$4:$R$498, 12, FALSE)</f>
        <v>71</v>
      </c>
      <c r="J24" s="33" t="str">
        <f>VLOOKUP($G24, SeanRanks!$A$2:$H$303, 5, FALSE)</f>
        <v/>
      </c>
      <c r="K24" s="11" t="str">
        <f>IF(VLOOKUP($G24, SeanRanks!$A$2:$H$303, 6, FALSE)=0, "", VLOOKUP($G24, SeanRanks!$A$2:$H$303, 6, FALSE))</f>
        <v>WR3 - 2 - mid, but path to big upside</v>
      </c>
      <c r="L24" s="11">
        <f t="shared" si="5"/>
        <v>10</v>
      </c>
      <c r="M24" s="11">
        <f>VLOOKUP($G24, 'ADP Data'!$C$4:$Q$300, 9, FALSE)</f>
        <v>73</v>
      </c>
      <c r="N24" s="11">
        <f t="shared" si="6"/>
        <v>-9</v>
      </c>
      <c r="O24" s="11">
        <f>VLOOKUP($G24, 'ADP Data'!$C$4:$Q$300, 3, FALSE)</f>
        <v>101</v>
      </c>
      <c r="P24" s="11">
        <f t="shared" si="7"/>
        <v>-28</v>
      </c>
      <c r="Q24" s="11">
        <f>VLOOKUP($G24, 'ADP Data'!$C$4:$Q$300, 4, FALSE)</f>
        <v>84</v>
      </c>
      <c r="R24" s="11">
        <f>VLOOKUP($G24, 'ADP Data'!$C$4:$Q$300, 5, FALSE)</f>
        <v>78</v>
      </c>
      <c r="S24" s="11">
        <f>VLOOKUP($G24, 'ADP Data'!$C$4:$Q$300, 6, FALSE)</f>
        <v>82</v>
      </c>
      <c r="T24" s="11">
        <f>VLOOKUP($G24, 'ADP Data'!$C$4:$Q$300, 7, FALSE)</f>
        <v>72</v>
      </c>
      <c r="U24" s="11">
        <f>VLOOKUP($G24, 'ADP Data'!$C$4:$Q$300, 8, FALSE)</f>
        <v>87</v>
      </c>
      <c r="V24" s="11">
        <f t="shared" si="8"/>
        <v>82</v>
      </c>
      <c r="W24" s="11">
        <f t="shared" si="9"/>
        <v>11</v>
      </c>
      <c r="X24" s="11">
        <f t="shared" si="10"/>
        <v>-11</v>
      </c>
      <c r="Y24" s="11">
        <f>VLOOKUP($G24, SeanRanks!$A$2:$K$303, 10, FALSE)-V24</f>
        <v>-16</v>
      </c>
      <c r="Z24" s="29">
        <f>IF(VLOOKUP($G24, SeanRanks!$A$2:$H$303, 7, FALSE)=0, "", VLOOKUP($G24, SeanRanks!$A$2:$H$303, 7, FALSE))</f>
        <v>32</v>
      </c>
    </row>
    <row r="25" ht="14.25" hidden="1" customHeight="1">
      <c r="A25" s="11"/>
      <c r="B25" s="11">
        <f t="shared" si="4"/>
        <v>6</v>
      </c>
      <c r="C25" s="11" t="s">
        <v>95</v>
      </c>
      <c r="D25" s="11">
        <v>2.0</v>
      </c>
      <c r="E25" s="11"/>
      <c r="F25" s="11" t="str">
        <f>VLOOKUP(G25, SeanRanks!$A$2:$E$302, 4, FALSE)</f>
        <v/>
      </c>
      <c r="G25" s="11" t="s">
        <v>418</v>
      </c>
      <c r="H25" s="11" t="str">
        <f>VLOOKUP($G25, 'ADP Data'!$C$4:$Q$300, 2, FALSE)</f>
        <v>KC</v>
      </c>
      <c r="I25" s="11">
        <f>VLOOKUP(G25, 'ADP Data'!$C$4:$R$498, 12, FALSE)</f>
        <v>68</v>
      </c>
      <c r="J25" s="26" t="str">
        <f>VLOOKUP($G25, SeanRanks!$A$2:$H$303, 5, FALSE)</f>
        <v/>
      </c>
      <c r="K25" s="11" t="str">
        <f>IF(VLOOKUP($G25, SeanRanks!$A$2:$H$303, 6, FALSE)=0, "", VLOOKUP($G25, SeanRanks!$A$2:$H$303, 6, FALSE))</f>
        <v>RB2 - 2 - Path to spikes</v>
      </c>
      <c r="L25" s="11">
        <f t="shared" si="5"/>
        <v>8</v>
      </c>
      <c r="M25" s="11">
        <f>VLOOKUP($G25, 'ADP Data'!$C$4:$Q$300, 9, FALSE)</f>
        <v>61</v>
      </c>
      <c r="N25" s="11">
        <f t="shared" si="6"/>
        <v>-4</v>
      </c>
      <c r="O25" s="11">
        <f>VLOOKUP($G25, 'ADP Data'!$C$4:$Q$300, 3, FALSE)</f>
        <v>66</v>
      </c>
      <c r="P25" s="11">
        <f t="shared" si="7"/>
        <v>-5</v>
      </c>
      <c r="Q25" s="11">
        <f>VLOOKUP($G25, 'ADP Data'!$C$4:$Q$300, 4, FALSE)</f>
        <v>63</v>
      </c>
      <c r="R25" s="11">
        <f>VLOOKUP($G25, 'ADP Data'!$C$4:$Q$300, 5, FALSE)</f>
        <v>77</v>
      </c>
      <c r="S25" s="11">
        <f>VLOOKUP($G25, 'ADP Data'!$C$4:$Q$300, 6, FALSE)</f>
        <v>62</v>
      </c>
      <c r="T25" s="11">
        <f>VLOOKUP($G25, 'ADP Data'!$C$4:$Q$300, 7, FALSE)</f>
        <v>67</v>
      </c>
      <c r="U25" s="11">
        <f>VLOOKUP($G25, 'ADP Data'!$C$4:$Q$300, 8, FALSE)</f>
        <v>59</v>
      </c>
      <c r="V25" s="11">
        <f t="shared" si="8"/>
        <v>65</v>
      </c>
      <c r="W25" s="11">
        <f t="shared" si="9"/>
        <v>9</v>
      </c>
      <c r="X25" s="11">
        <f t="shared" si="10"/>
        <v>-7</v>
      </c>
      <c r="Y25" s="11">
        <f>VLOOKUP($G25, SeanRanks!$A$2:$K$303, 10, FALSE)-V25</f>
        <v>0</v>
      </c>
      <c r="Z25" s="29">
        <f>IF(VLOOKUP($G25, SeanRanks!$A$2:$H$303, 7, FALSE)=0, "", VLOOKUP($G25, SeanRanks!$A$2:$H$303, 7, FALSE))</f>
        <v>23</v>
      </c>
    </row>
    <row r="26" ht="14.25" hidden="1" customHeight="1">
      <c r="A26" s="11"/>
      <c r="B26" s="11">
        <f t="shared" si="4"/>
        <v>4</v>
      </c>
      <c r="C26" s="11" t="s">
        <v>95</v>
      </c>
      <c r="D26" s="11">
        <v>2.0</v>
      </c>
      <c r="E26" s="11"/>
      <c r="F26" s="11" t="str">
        <f>VLOOKUP(G26, SeanRanks!$A$2:$E$302, 4, FALSE)</f>
        <v/>
      </c>
      <c r="G26" s="11" t="s">
        <v>197</v>
      </c>
      <c r="H26" s="11" t="str">
        <f>VLOOKUP($G26, 'ADP Data'!$C$4:$Q$300, 2, FALSE)</f>
        <v>LAR</v>
      </c>
      <c r="I26" s="11">
        <f>VLOOKUP(G26, 'ADP Data'!$C$4:$R$498, 12, FALSE)</f>
        <v>41</v>
      </c>
      <c r="J26" s="33" t="str">
        <f>VLOOKUP($G26, SeanRanks!$A$2:$H$303, 5, FALSE)</f>
        <v/>
      </c>
      <c r="K26" s="11" t="str">
        <f>IF(VLOOKUP($G26, SeanRanks!$A$2:$H$303, 6, FALSE)=0, "", VLOOKUP($G26, SeanRanks!$A$2:$H$303, 6, FALSE))</f>
        <v>WR2 - 2 - Upside with risk</v>
      </c>
      <c r="L26" s="11">
        <f t="shared" si="5"/>
        <v>6</v>
      </c>
      <c r="M26" s="11">
        <f>VLOOKUP($G26, 'ADP Data'!$C$4:$Q$300, 9, FALSE)</f>
        <v>44</v>
      </c>
      <c r="N26" s="11">
        <f t="shared" si="6"/>
        <v>3</v>
      </c>
      <c r="O26" s="11">
        <f>VLOOKUP($G26, 'ADP Data'!$C$4:$Q$300, 3, FALSE)</f>
        <v>34</v>
      </c>
      <c r="P26" s="11">
        <f t="shared" si="7"/>
        <v>10</v>
      </c>
      <c r="Q26" s="11">
        <f>VLOOKUP($G26, 'ADP Data'!$C$4:$Q$300, 4, FALSE)</f>
        <v>34</v>
      </c>
      <c r="R26" s="11">
        <f>VLOOKUP($G26, 'ADP Data'!$C$4:$Q$300, 5, FALSE)</f>
        <v>47</v>
      </c>
      <c r="S26" s="11">
        <f>VLOOKUP($G26, 'ADP Data'!$C$4:$Q$300, 6, FALSE)</f>
        <v>43</v>
      </c>
      <c r="T26" s="11">
        <f>VLOOKUP($G26, 'ADP Data'!$C$4:$Q$300, 7, FALSE)</f>
        <v>37</v>
      </c>
      <c r="U26" s="11">
        <f>VLOOKUP($G26, 'ADP Data'!$C$4:$Q$300, 8, FALSE)</f>
        <v>48</v>
      </c>
      <c r="V26" s="11">
        <f t="shared" si="8"/>
        <v>41</v>
      </c>
      <c r="W26" s="11">
        <f t="shared" si="9"/>
        <v>6</v>
      </c>
      <c r="X26" s="11">
        <f t="shared" si="10"/>
        <v>-4</v>
      </c>
      <c r="Y26" s="11">
        <f>VLOOKUP($G26, SeanRanks!$A$2:$K$303, 10, FALSE)-V26</f>
        <v>2</v>
      </c>
      <c r="Z26" s="29">
        <f>IF(VLOOKUP($G26, SeanRanks!$A$2:$H$303, 7, FALSE)=0, "", VLOOKUP($G26, SeanRanks!$A$2:$H$303, 7, FALSE))</f>
        <v>19</v>
      </c>
    </row>
    <row r="27" ht="14.25" hidden="1" customHeight="1">
      <c r="A27" s="11"/>
      <c r="B27" s="11">
        <f t="shared" si="4"/>
        <v>9</v>
      </c>
      <c r="C27" s="11" t="s">
        <v>95</v>
      </c>
      <c r="D27" s="11">
        <v>2.0</v>
      </c>
      <c r="E27" s="27"/>
      <c r="F27" s="11" t="str">
        <f>VLOOKUP(G27, SeanRanks!$A$2:$E$302, 4, FALSE)</f>
        <v/>
      </c>
      <c r="G27" s="11" t="s">
        <v>168</v>
      </c>
      <c r="H27" s="11" t="str">
        <f>VLOOKUP($G27, 'ADP Data'!$C$4:$Q$300, 2, FALSE)</f>
        <v>JAX</v>
      </c>
      <c r="I27" s="11">
        <f>VLOOKUP(G27, 'ADP Data'!$C$4:$R$498, 12, FALSE)</f>
        <v>101</v>
      </c>
      <c r="J27" s="36" t="str">
        <f>VLOOKUP($G27, SeanRanks!$A$2:$H$303, 5, FALSE)</f>
        <v/>
      </c>
      <c r="K27" s="11" t="str">
        <f>IF(VLOOKUP($G27, SeanRanks!$A$2:$H$303, 6, FALSE)=0, "", VLOOKUP($G27, SeanRanks!$A$2:$H$303, 6, FALSE))</f>
        <v>RB3 - 2 - low ceiling</v>
      </c>
      <c r="L27" s="11">
        <f t="shared" si="5"/>
        <v>11</v>
      </c>
      <c r="M27" s="11">
        <f>VLOOKUP($G27, 'ADP Data'!$C$4:$Q$300, 9, FALSE)</f>
        <v>85</v>
      </c>
      <c r="N27" s="11">
        <f t="shared" si="6"/>
        <v>-14</v>
      </c>
      <c r="O27" s="11">
        <f>VLOOKUP($G27, 'ADP Data'!$C$4:$Q$300, 3, FALSE)</f>
        <v>90</v>
      </c>
      <c r="P27" s="11">
        <f t="shared" si="7"/>
        <v>-5</v>
      </c>
      <c r="Q27" s="11">
        <f>VLOOKUP($G27, 'ADP Data'!$C$4:$Q$300, 4, FALSE)</f>
        <v>116</v>
      </c>
      <c r="R27" s="11">
        <f>VLOOKUP($G27, 'ADP Data'!$C$4:$Q$300, 5, FALSE)</f>
        <v>102</v>
      </c>
      <c r="S27" s="11">
        <f>VLOOKUP($G27, 'ADP Data'!$C$4:$Q$300, 6, FALSE)</f>
        <v>94</v>
      </c>
      <c r="T27" s="11">
        <f>VLOOKUP($G27, 'ADP Data'!$C$4:$Q$300, 7, FALSE)</f>
        <v>90</v>
      </c>
      <c r="U27" s="11">
        <f>VLOOKUP($G27, 'ADP Data'!$C$4:$Q$300, 8, FALSE)</f>
        <v>121</v>
      </c>
      <c r="V27" s="11">
        <f t="shared" si="8"/>
        <v>99</v>
      </c>
      <c r="W27" s="11">
        <f t="shared" si="9"/>
        <v>13</v>
      </c>
      <c r="X27" s="11">
        <f t="shared" si="10"/>
        <v>-11</v>
      </c>
      <c r="Y27" s="11">
        <f>VLOOKUP($G27, SeanRanks!$A$2:$K$303, 10, FALSE)-V27</f>
        <v>-3</v>
      </c>
      <c r="Z27" s="29">
        <f>IF(VLOOKUP($G27, SeanRanks!$A$2:$H$303, 7, FALSE)=0, "", VLOOKUP($G27, SeanRanks!$A$2:$H$303, 7, FALSE))</f>
        <v>33</v>
      </c>
    </row>
    <row r="28" ht="14.25" hidden="1" customHeight="1">
      <c r="A28" s="11" t="s">
        <v>106</v>
      </c>
      <c r="B28" s="11">
        <f t="shared" si="4"/>
        <v>2</v>
      </c>
      <c r="C28" s="11" t="s">
        <v>95</v>
      </c>
      <c r="D28" s="11"/>
      <c r="E28" s="11"/>
      <c r="F28" s="11" t="str">
        <f>VLOOKUP(G28, SeanRanks!$A$2:$E$302, 4, FALSE)</f>
        <v/>
      </c>
      <c r="G28" s="11" t="s">
        <v>114</v>
      </c>
      <c r="H28" s="11" t="str">
        <f>VLOOKUP($G28, 'ADP Data'!$C$4:$Q$300, 2, FALSE)</f>
        <v>ATL</v>
      </c>
      <c r="I28" s="11">
        <f>VLOOKUP(G28, 'ADP Data'!$C$4:$R$498, 12, FALSE)</f>
        <v>14</v>
      </c>
      <c r="J28" s="37" t="str">
        <f>VLOOKUP($G28, SeanRanks!$A$2:$H$303, 5, FALSE)</f>
        <v/>
      </c>
      <c r="K28" s="11" t="str">
        <f>IF(VLOOKUP($G28, SeanRanks!$A$2:$H$303, 6, FALSE)=0, "", VLOOKUP($G28, SeanRanks!$A$2:$H$303, 6, FALSE))</f>
        <v>WR1 - 2 - High Floor</v>
      </c>
      <c r="L28" s="11">
        <f t="shared" si="5"/>
        <v>3</v>
      </c>
      <c r="M28" s="11">
        <f>VLOOKUP($G28, 'ADP Data'!$C$4:$Q$300, 9, FALSE)</f>
        <v>17</v>
      </c>
      <c r="N28" s="11">
        <f t="shared" si="6"/>
        <v>-1</v>
      </c>
      <c r="O28" s="11">
        <f>VLOOKUP($G28, 'ADP Data'!$C$4:$Q$300, 3, FALSE)</f>
        <v>23</v>
      </c>
      <c r="P28" s="11">
        <f t="shared" si="7"/>
        <v>-6</v>
      </c>
      <c r="Q28" s="11">
        <f>VLOOKUP($G28, 'ADP Data'!$C$4:$Q$300, 4, FALSE)</f>
        <v>21</v>
      </c>
      <c r="R28" s="11">
        <f>VLOOKUP($G28, 'ADP Data'!$C$4:$Q$300, 5, FALSE)</f>
        <v>16</v>
      </c>
      <c r="S28" s="11">
        <f>VLOOKUP($G28, 'ADP Data'!$C$4:$Q$300, 6, FALSE)</f>
        <v>19</v>
      </c>
      <c r="T28" s="11">
        <f>VLOOKUP($G28, 'ADP Data'!$C$4:$Q$300, 7, FALSE)</f>
        <v>15</v>
      </c>
      <c r="U28" s="11">
        <f>VLOOKUP($G28, 'ADP Data'!$C$4:$Q$300, 8, FALSE)</f>
        <v>20</v>
      </c>
      <c r="V28" s="11">
        <f t="shared" si="8"/>
        <v>18</v>
      </c>
      <c r="W28" s="11">
        <f t="shared" si="9"/>
        <v>3</v>
      </c>
      <c r="X28" s="11">
        <f t="shared" si="10"/>
        <v>-3</v>
      </c>
      <c r="Y28" s="11">
        <f>VLOOKUP($G28, SeanRanks!$A$2:$K$303, 10, FALSE)-V28</f>
        <v>-6</v>
      </c>
      <c r="Z28" s="29">
        <f>IF(VLOOKUP($G28, SeanRanks!$A$2:$H$303, 7, FALSE)=0, "", VLOOKUP($G28, SeanRanks!$A$2:$H$303, 7, FALSE))</f>
        <v>7</v>
      </c>
    </row>
    <row r="29" ht="14.25" hidden="1" customHeight="1">
      <c r="A29" s="11"/>
      <c r="B29" s="11">
        <f t="shared" si="4"/>
        <v>2</v>
      </c>
      <c r="C29" s="11" t="s">
        <v>95</v>
      </c>
      <c r="D29" s="11"/>
      <c r="E29" s="11"/>
      <c r="F29" s="11" t="str">
        <f>VLOOKUP(G29, SeanRanks!$A$2:$E$302, 4, FALSE)</f>
        <v/>
      </c>
      <c r="G29" s="11" t="s">
        <v>92</v>
      </c>
      <c r="H29" s="11" t="str">
        <f>VLOOKUP($G29, 'ADP Data'!$C$4:$Q$300, 2, FALSE)</f>
        <v>MIA</v>
      </c>
      <c r="I29" s="11">
        <f>VLOOKUP(G29, 'ADP Data'!$C$4:$R$498, 12, FALSE)</f>
        <v>18</v>
      </c>
      <c r="J29" s="26" t="str">
        <f>VLOOKUP($G29, SeanRanks!$A$2:$H$303, 5, FALSE)</f>
        <v/>
      </c>
      <c r="K29" s="11" t="str">
        <f>IF(VLOOKUP($G29, SeanRanks!$A$2:$H$303, 6, FALSE)=0, "", VLOOKUP($G29, SeanRanks!$A$2:$H$303, 6, FALSE))</f>
        <v>RB1 - 2 - Elite ceiling/questions</v>
      </c>
      <c r="L29" s="11">
        <f t="shared" si="5"/>
        <v>2</v>
      </c>
      <c r="M29" s="11">
        <f>VLOOKUP($G29, 'ADP Data'!$C$4:$Q$300, 9, FALSE)</f>
        <v>14</v>
      </c>
      <c r="N29" s="11">
        <f t="shared" si="6"/>
        <v>-1</v>
      </c>
      <c r="O29" s="11">
        <f>VLOOKUP($G29, 'ADP Data'!$C$4:$Q$300, 3, FALSE)</f>
        <v>16</v>
      </c>
      <c r="P29" s="11">
        <f t="shared" si="7"/>
        <v>-2</v>
      </c>
      <c r="Q29" s="11">
        <f>VLOOKUP($G29, 'ADP Data'!$C$4:$Q$300, 4, FALSE)</f>
        <v>14</v>
      </c>
      <c r="R29" s="11">
        <f>VLOOKUP($G29, 'ADP Data'!$C$4:$Q$300, 5, FALSE)</f>
        <v>15</v>
      </c>
      <c r="S29" s="11">
        <f>VLOOKUP($G29, 'ADP Data'!$C$4:$Q$300, 6, FALSE)</f>
        <v>18</v>
      </c>
      <c r="T29" s="11">
        <f>VLOOKUP($G29, 'ADP Data'!$C$4:$Q$300, 7, FALSE)</f>
        <v>16</v>
      </c>
      <c r="U29" s="11">
        <f>VLOOKUP($G29, 'ADP Data'!$C$4:$Q$300, 8, FALSE)</f>
        <v>14</v>
      </c>
      <c r="V29" s="11">
        <f t="shared" si="8"/>
        <v>15</v>
      </c>
      <c r="W29" s="11">
        <f t="shared" si="9"/>
        <v>2</v>
      </c>
      <c r="X29" s="11">
        <f t="shared" si="10"/>
        <v>-2</v>
      </c>
      <c r="Y29" s="11">
        <f>VLOOKUP($G29, SeanRanks!$A$2:$K$303, 10, FALSE)-V29</f>
        <v>5</v>
      </c>
      <c r="Z29" s="29">
        <f>IF(VLOOKUP($G29, SeanRanks!$A$2:$H$303, 7, FALSE)=0, "", VLOOKUP($G29, SeanRanks!$A$2:$H$303, 7, FALSE))</f>
        <v>6</v>
      </c>
    </row>
    <row r="30" ht="14.25" hidden="1" customHeight="1">
      <c r="A30" s="11" t="s">
        <v>106</v>
      </c>
      <c r="B30" s="11">
        <f t="shared" si="4"/>
        <v>6</v>
      </c>
      <c r="C30" s="11" t="s">
        <v>95</v>
      </c>
      <c r="D30" s="11">
        <v>3.0</v>
      </c>
      <c r="E30" s="11"/>
      <c r="F30" s="11" t="str">
        <f>VLOOKUP(G30, SeanRanks!$A$2:$E$302, 4, FALSE)</f>
        <v/>
      </c>
      <c r="G30" s="11" t="s">
        <v>321</v>
      </c>
      <c r="H30" s="11" t="str">
        <f>VLOOKUP($G30, 'ADP Data'!$C$4:$Q$300, 2, FALSE)</f>
        <v>KC</v>
      </c>
      <c r="I30" s="11">
        <f>VLOOKUP(G30, 'ADP Data'!$C$4:$R$498, 12, FALSE)</f>
        <v>79</v>
      </c>
      <c r="J30" s="38" t="str">
        <f>VLOOKUP($G30, SeanRanks!$A$2:$H$303, 5, FALSE)</f>
        <v>No</v>
      </c>
      <c r="K30" s="11" t="str">
        <f>IF(VLOOKUP($G30, SeanRanks!$A$2:$H$303, 6, FALSE)=0, "", VLOOKUP($G30, SeanRanks!$A$2:$H$303, 6, FALSE))</f>
        <v>TE1 - 3 - Weekly Start</v>
      </c>
      <c r="L30" s="11">
        <f t="shared" si="5"/>
        <v>9</v>
      </c>
      <c r="M30" s="11">
        <f>VLOOKUP($G30, 'ADP Data'!$C$4:$Q$300, 9, FALSE)</f>
        <v>67</v>
      </c>
      <c r="N30" s="11">
        <f t="shared" si="6"/>
        <v>-1</v>
      </c>
      <c r="O30" s="11">
        <f>VLOOKUP($G30, 'ADP Data'!$C$4:$Q$300, 3, FALSE)</f>
        <v>61</v>
      </c>
      <c r="P30" s="11">
        <f t="shared" si="7"/>
        <v>6</v>
      </c>
      <c r="Q30" s="11">
        <f>VLOOKUP($G30, 'ADP Data'!$C$4:$Q$300, 4, FALSE)</f>
        <v>57</v>
      </c>
      <c r="R30" s="11">
        <f>VLOOKUP($G30, 'ADP Data'!$C$4:$Q$300, 5, FALSE)</f>
        <v>88</v>
      </c>
      <c r="S30" s="11">
        <f>VLOOKUP($G30, 'ADP Data'!$C$4:$Q$300, 6, FALSE)</f>
        <v>63</v>
      </c>
      <c r="T30" s="11">
        <f>VLOOKUP($G30, 'ADP Data'!$C$4:$Q$300, 7, FALSE)</f>
        <v>82</v>
      </c>
      <c r="U30" s="11">
        <f>VLOOKUP($G30, 'ADP Data'!$C$4:$Q$300, 8, FALSE)</f>
        <v>58</v>
      </c>
      <c r="V30" s="11">
        <f t="shared" si="8"/>
        <v>68</v>
      </c>
      <c r="W30" s="11">
        <f t="shared" si="9"/>
        <v>9</v>
      </c>
      <c r="X30" s="11">
        <f t="shared" si="10"/>
        <v>-6</v>
      </c>
      <c r="Y30" s="11">
        <f>VLOOKUP($G30, SeanRanks!$A$2:$K$303, 10, FALSE)-V30</f>
        <v>14</v>
      </c>
      <c r="Z30" s="29">
        <f>IF(VLOOKUP($G30, SeanRanks!$A$2:$H$303, 7, FALSE)=0, "", VLOOKUP($G30, SeanRanks!$A$2:$H$303, 7, FALSE))</f>
        <v>9</v>
      </c>
    </row>
    <row r="31" ht="14.25" hidden="1" customHeight="1">
      <c r="A31" s="11"/>
      <c r="B31" s="11">
        <f t="shared" si="4"/>
        <v>8</v>
      </c>
      <c r="C31" s="11" t="s">
        <v>95</v>
      </c>
      <c r="D31" s="11">
        <v>2.0</v>
      </c>
      <c r="E31" s="11"/>
      <c r="F31" s="11" t="str">
        <f>VLOOKUP(G31, SeanRanks!$A$2:$E$302, 4, FALSE)</f>
        <v/>
      </c>
      <c r="G31" s="11" t="s">
        <v>364</v>
      </c>
      <c r="H31" s="11" t="str">
        <f>VLOOKUP($G31, 'ADP Data'!$C$4:$Q$300, 2, FALSE)</f>
        <v>WAS</v>
      </c>
      <c r="I31" s="11">
        <f>VLOOKUP(G31, 'ADP Data'!$C$4:$R$498, 12, FALSE)</f>
        <v>69</v>
      </c>
      <c r="J31" s="37" t="str">
        <f>VLOOKUP($G31, SeanRanks!$A$2:$H$303, 5, FALSE)</f>
        <v>Yes</v>
      </c>
      <c r="K31" s="11" t="str">
        <f>IF(VLOOKUP($G31, SeanRanks!$A$2:$H$303, 6, FALSE)=0, "", VLOOKUP($G31, SeanRanks!$A$2:$H$303, 6, FALSE))</f>
        <v>WR4 - 1 - path to WR2</v>
      </c>
      <c r="L31" s="11">
        <f t="shared" si="5"/>
        <v>11</v>
      </c>
      <c r="M31" s="11">
        <f>VLOOKUP($G31, 'ADP Data'!$C$4:$Q$300, 9, FALSE)</f>
        <v>84</v>
      </c>
      <c r="N31" s="11">
        <f t="shared" si="6"/>
        <v>0</v>
      </c>
      <c r="O31" s="11">
        <f>VLOOKUP($G31, 'ADP Data'!$C$4:$Q$300, 3, FALSE)</f>
        <v>75</v>
      </c>
      <c r="P31" s="11">
        <f t="shared" si="7"/>
        <v>9</v>
      </c>
      <c r="Q31" s="11">
        <f>VLOOKUP($G31, 'ADP Data'!$C$4:$Q$300, 4, FALSE)</f>
        <v>95</v>
      </c>
      <c r="R31" s="11">
        <f>VLOOKUP($G31, 'ADP Data'!$C$4:$Q$300, 5, FALSE)</f>
        <v>83</v>
      </c>
      <c r="S31" s="11">
        <f>VLOOKUP($G31, 'ADP Data'!$C$4:$Q$300, 6, FALSE)</f>
        <v>83</v>
      </c>
      <c r="T31" s="11">
        <f>VLOOKUP($G31, 'ADP Data'!$C$4:$Q$300, 7, FALSE)</f>
        <v>75</v>
      </c>
      <c r="U31" s="11">
        <f>VLOOKUP($G31, 'ADP Data'!$C$4:$Q$300, 8, FALSE)</f>
        <v>96</v>
      </c>
      <c r="V31" s="11">
        <f t="shared" si="8"/>
        <v>84</v>
      </c>
      <c r="W31" s="11">
        <f t="shared" si="9"/>
        <v>11</v>
      </c>
      <c r="X31" s="11">
        <f t="shared" si="10"/>
        <v>-9</v>
      </c>
      <c r="Y31" s="11">
        <f>VLOOKUP($G31, SeanRanks!$A$2:$K$303, 10, FALSE)-V31</f>
        <v>10</v>
      </c>
      <c r="Z31" s="29">
        <f>IF(VLOOKUP($G31, SeanRanks!$A$2:$H$303, 7, FALSE)=0, "", VLOOKUP($G31, SeanRanks!$A$2:$H$303, 7, FALSE))</f>
        <v>41</v>
      </c>
    </row>
    <row r="32" ht="14.25" hidden="1" customHeight="1">
      <c r="A32" s="11"/>
      <c r="B32" s="11">
        <f t="shared" si="4"/>
        <v>2</v>
      </c>
      <c r="C32" s="11" t="s">
        <v>95</v>
      </c>
      <c r="D32" s="11">
        <v>4.0</v>
      </c>
      <c r="E32" s="11"/>
      <c r="F32" s="11" t="str">
        <f>VLOOKUP(G32, SeanRanks!$A$2:$E$302, 4, FALSE)</f>
        <v/>
      </c>
      <c r="G32" s="11" t="s">
        <v>136</v>
      </c>
      <c r="H32" s="11" t="str">
        <f>VLOOKUP($G32, 'ADP Data'!$C$4:$Q$300, 2, FALSE)</f>
        <v>BUF</v>
      </c>
      <c r="I32" s="11">
        <f>VLOOKUP(G32, 'ADP Data'!$C$4:$R$498, 12, FALSE)</f>
        <v>26</v>
      </c>
      <c r="J32" s="39" t="str">
        <f>VLOOKUP($G32, SeanRanks!$A$2:$H$303, 5, FALSE)</f>
        <v/>
      </c>
      <c r="K32" s="11" t="str">
        <f>IF(VLOOKUP($G32, SeanRanks!$A$2:$H$303, 6, FALSE)=0, "", VLOOKUP($G32, SeanRanks!$A$2:$H$303, 6, FALSE))</f>
        <v>QB1 - 1 - Elite</v>
      </c>
      <c r="L32" s="11">
        <f t="shared" si="5"/>
        <v>3</v>
      </c>
      <c r="M32" s="11">
        <f>VLOOKUP($G32, 'ADP Data'!$C$4:$Q$300, 9, FALSE)</f>
        <v>21</v>
      </c>
      <c r="N32" s="11">
        <f t="shared" si="6"/>
        <v>-1</v>
      </c>
      <c r="O32" s="11">
        <f>VLOOKUP($G32, 'ADP Data'!$C$4:$Q$300, 3, FALSE)</f>
        <v>15</v>
      </c>
      <c r="P32" s="11">
        <f t="shared" si="7"/>
        <v>6</v>
      </c>
      <c r="Q32" s="11">
        <f>VLOOKUP($G32, 'ADP Data'!$C$4:$Q$300, 4, FALSE)</f>
        <v>19</v>
      </c>
      <c r="R32" s="11">
        <f>VLOOKUP($G32, 'ADP Data'!$C$4:$Q$300, 5, FALSE)</f>
        <v>27</v>
      </c>
      <c r="S32" s="11">
        <f>VLOOKUP($G32, 'ADP Data'!$C$4:$Q$300, 6, FALSE)</f>
        <v>27</v>
      </c>
      <c r="T32" s="11">
        <f>VLOOKUP($G32, 'ADP Data'!$C$4:$Q$300, 7, FALSE)</f>
        <v>25</v>
      </c>
      <c r="U32" s="11">
        <f>VLOOKUP($G32, 'ADP Data'!$C$4:$Q$300, 8, FALSE)</f>
        <v>21</v>
      </c>
      <c r="V32" s="11">
        <f t="shared" si="8"/>
        <v>22</v>
      </c>
      <c r="W32" s="11">
        <f t="shared" si="9"/>
        <v>3</v>
      </c>
      <c r="X32" s="11">
        <f t="shared" si="10"/>
        <v>1</v>
      </c>
      <c r="Y32" s="11">
        <f>VLOOKUP($G32, SeanRanks!$A$2:$K$303, 10, FALSE)-V32</f>
        <v>6</v>
      </c>
      <c r="Z32" s="29">
        <f>IF(VLOOKUP($G32, SeanRanks!$A$2:$H$303, 7, FALSE)=0, "", VLOOKUP($G32, SeanRanks!$A$2:$H$303, 7, FALSE))</f>
        <v>2</v>
      </c>
    </row>
    <row r="33" ht="14.25" hidden="1" customHeight="1">
      <c r="A33" s="11"/>
      <c r="B33" s="11">
        <f t="shared" si="4"/>
        <v>4</v>
      </c>
      <c r="C33" s="11" t="s">
        <v>95</v>
      </c>
      <c r="D33" s="11">
        <v>2.0</v>
      </c>
      <c r="E33" s="11"/>
      <c r="F33" s="11" t="str">
        <f>VLOOKUP(G33, SeanRanks!$A$2:$E$302, 4, FALSE)</f>
        <v/>
      </c>
      <c r="G33" s="11" t="s">
        <v>220</v>
      </c>
      <c r="H33" s="11" t="str">
        <f>VLOOKUP($G33, 'ADP Data'!$C$4:$Q$300, 2, FALSE)</f>
        <v>TB</v>
      </c>
      <c r="I33" s="11">
        <f>VLOOKUP(G33, 'ADP Data'!$C$4:$R$498, 12, FALSE)</f>
        <v>32</v>
      </c>
      <c r="J33" s="37" t="str">
        <f>VLOOKUP($G33, SeanRanks!$A$2:$H$303, 5, FALSE)</f>
        <v/>
      </c>
      <c r="K33" s="11" t="str">
        <f>IF(VLOOKUP($G33, SeanRanks!$A$2:$H$303, 6, FALSE)=0, "", VLOOKUP($G33, SeanRanks!$A$2:$H$303, 6, FALSE))</f>
        <v>WR2 - 1 - WR1 upside</v>
      </c>
      <c r="L33" s="11">
        <f t="shared" si="5"/>
        <v>5</v>
      </c>
      <c r="M33" s="11">
        <f>VLOOKUP($G33, 'ADP Data'!$C$4:$Q$300, 9, FALSE)</f>
        <v>39</v>
      </c>
      <c r="N33" s="11">
        <f t="shared" si="6"/>
        <v>1</v>
      </c>
      <c r="O33" s="11">
        <f>VLOOKUP($G33, 'ADP Data'!$C$4:$Q$300, 3, FALSE)</f>
        <v>36</v>
      </c>
      <c r="P33" s="11">
        <f t="shared" si="7"/>
        <v>3</v>
      </c>
      <c r="Q33" s="11">
        <f>VLOOKUP($G33, 'ADP Data'!$C$4:$Q$300, 4, FALSE)</f>
        <v>43</v>
      </c>
      <c r="R33" s="11">
        <f>VLOOKUP($G33, 'ADP Data'!$C$4:$Q$300, 5, FALSE)</f>
        <v>44</v>
      </c>
      <c r="S33" s="11">
        <f>VLOOKUP($G33, 'ADP Data'!$C$4:$Q$300, 6, FALSE)</f>
        <v>38</v>
      </c>
      <c r="T33" s="11">
        <f>VLOOKUP($G33, 'ADP Data'!$C$4:$Q$300, 7, FALSE)</f>
        <v>38</v>
      </c>
      <c r="U33" s="11">
        <f>VLOOKUP($G33, 'ADP Data'!$C$4:$Q$300, 8, FALSE)</f>
        <v>32</v>
      </c>
      <c r="V33" s="11">
        <f t="shared" si="8"/>
        <v>38</v>
      </c>
      <c r="W33" s="11">
        <f t="shared" si="9"/>
        <v>5</v>
      </c>
      <c r="X33" s="11">
        <f t="shared" si="10"/>
        <v>-3</v>
      </c>
      <c r="Y33" s="11">
        <f>VLOOKUP($G33, SeanRanks!$A$2:$K$303, 10, FALSE)-V33</f>
        <v>-6</v>
      </c>
      <c r="Z33" s="29">
        <f>IF(VLOOKUP($G33, SeanRanks!$A$2:$H$303, 7, FALSE)=0, "", VLOOKUP($G33, SeanRanks!$A$2:$H$303, 7, FALSE))</f>
        <v>15</v>
      </c>
    </row>
    <row r="34" ht="14.25" hidden="1" customHeight="1">
      <c r="A34" s="11"/>
      <c r="B34" s="11">
        <f t="shared" si="4"/>
        <v>5</v>
      </c>
      <c r="C34" s="11" t="s">
        <v>95</v>
      </c>
      <c r="D34" s="11">
        <v>4.0</v>
      </c>
      <c r="E34" s="11"/>
      <c r="F34" s="11" t="str">
        <f>VLOOKUP(G34, SeanRanks!$A$2:$E$302, 4, FALSE)</f>
        <v/>
      </c>
      <c r="G34" s="11" t="s">
        <v>319</v>
      </c>
      <c r="H34" s="11" t="str">
        <f>VLOOKUP($G34, 'ADP Data'!$C$4:$Q$300, 2, FALSE)</f>
        <v>KC</v>
      </c>
      <c r="I34" s="11">
        <f>VLOOKUP(G34, 'ADP Data'!$C$4:$R$498, 12, FALSE)</f>
        <v>76</v>
      </c>
      <c r="J34" s="39" t="str">
        <f>VLOOKUP($G34, SeanRanks!$A$2:$H$303, 5, FALSE)</f>
        <v/>
      </c>
      <c r="K34" s="11" t="str">
        <f>IF(VLOOKUP($G34, SeanRanks!$A$2:$H$303, 6, FALSE)=0, "", VLOOKUP($G34, SeanRanks!$A$2:$H$303, 6, FALSE))</f>
        <v>QB1 - 4 - Weekly Start</v>
      </c>
      <c r="L34" s="11">
        <f t="shared" si="5"/>
        <v>8</v>
      </c>
      <c r="M34" s="11">
        <f>VLOOKUP($G34, 'ADP Data'!$C$4:$Q$300, 9, FALSE)</f>
        <v>57</v>
      </c>
      <c r="N34" s="11">
        <f t="shared" si="6"/>
        <v>1</v>
      </c>
      <c r="O34" s="11">
        <f>VLOOKUP($G34, 'ADP Data'!$C$4:$Q$300, 3, FALSE)</f>
        <v>47</v>
      </c>
      <c r="P34" s="11">
        <f t="shared" si="7"/>
        <v>10</v>
      </c>
      <c r="Q34" s="11">
        <f>VLOOKUP($G34, 'ADP Data'!$C$4:$Q$300, 4, FALSE)</f>
        <v>42</v>
      </c>
      <c r="R34" s="11">
        <f>VLOOKUP($G34, 'ADP Data'!$C$4:$Q$300, 5, FALSE)</f>
        <v>69</v>
      </c>
      <c r="S34" s="11">
        <f>VLOOKUP($G34, 'ADP Data'!$C$4:$Q$300, 6, FALSE)</f>
        <v>73</v>
      </c>
      <c r="T34" s="11">
        <f>VLOOKUP($G34, 'ADP Data'!$C$4:$Q$300, 7, FALSE)</f>
        <v>66</v>
      </c>
      <c r="U34" s="11">
        <f>VLOOKUP($G34, 'ADP Data'!$C$4:$Q$300, 8, FALSE)</f>
        <v>42</v>
      </c>
      <c r="V34" s="11">
        <f t="shared" si="8"/>
        <v>56</v>
      </c>
      <c r="W34" s="11">
        <f t="shared" si="9"/>
        <v>8</v>
      </c>
      <c r="X34" s="11">
        <f t="shared" si="10"/>
        <v>-4</v>
      </c>
      <c r="Y34" s="11">
        <f>VLOOKUP($G34, SeanRanks!$A$2:$K$303, 10, FALSE)-V34</f>
        <v>20</v>
      </c>
      <c r="Z34" s="29">
        <f>IF(VLOOKUP($G34, SeanRanks!$A$2:$H$303, 7, FALSE)=0, "", VLOOKUP($G34, SeanRanks!$A$2:$H$303, 7, FALSE))</f>
        <v>9</v>
      </c>
    </row>
    <row r="35" ht="14.25" hidden="1" customHeight="1">
      <c r="A35" s="11"/>
      <c r="B35" s="11">
        <f t="shared" si="4"/>
        <v>13</v>
      </c>
      <c r="C35" s="11" t="s">
        <v>95</v>
      </c>
      <c r="D35" s="11">
        <v>2.0</v>
      </c>
      <c r="E35" s="11"/>
      <c r="F35" s="11" t="str">
        <f>VLOOKUP(G35, SeanRanks!$A$2:$E$302, 4, FALSE)</f>
        <v/>
      </c>
      <c r="G35" s="11" t="s">
        <v>624</v>
      </c>
      <c r="H35" s="11" t="str">
        <f>VLOOKUP($G35, 'ADP Data'!$C$4:$Q$300, 2, FALSE)</f>
        <v>SF</v>
      </c>
      <c r="I35" s="11">
        <f>VLOOKUP(G35, 'ADP Data'!$C$4:$R$498, 12, FALSE)</f>
        <v>152</v>
      </c>
      <c r="J35" s="37" t="str">
        <f>VLOOKUP($G35, SeanRanks!$A$2:$H$303, 5, FALSE)</f>
        <v>Yes</v>
      </c>
      <c r="K35" s="11" t="str">
        <f>IF(VLOOKUP($G35, SeanRanks!$A$2:$H$303, 6, FALSE)=0, "", VLOOKUP($G35, SeanRanks!$A$2:$H$303, 6, FALSE))</f>
        <v>WR5 - 1 - upside path</v>
      </c>
      <c r="L35" s="11">
        <f t="shared" si="5"/>
        <v>15</v>
      </c>
      <c r="M35" s="11">
        <f>VLOOKUP($G35, 'ADP Data'!$C$4:$Q$300, 9, FALSE)</f>
        <v>115</v>
      </c>
      <c r="N35" s="11">
        <f t="shared" si="6"/>
        <v>-33</v>
      </c>
      <c r="O35" s="11">
        <f>VLOOKUP($G35, 'ADP Data'!$C$4:$Q$300, 3, FALSE)</f>
        <v>162</v>
      </c>
      <c r="P35" s="11">
        <f t="shared" si="7"/>
        <v>-47</v>
      </c>
      <c r="Q35" s="11">
        <f>VLOOKUP($G35, 'ADP Data'!$C$4:$Q$300, 4, FALSE)</f>
        <v>169</v>
      </c>
      <c r="R35" s="11">
        <f>VLOOKUP($G35, 'ADP Data'!$C$4:$Q$300, 5, FALSE)</f>
        <v>165</v>
      </c>
      <c r="S35" s="11">
        <f>VLOOKUP($G35, 'ADP Data'!$C$4:$Q$300, 6, FALSE)</f>
        <v>154</v>
      </c>
      <c r="T35" s="11">
        <f>VLOOKUP($G35, 'ADP Data'!$C$4:$Q$300, 7, FALSE)</f>
        <v>148</v>
      </c>
      <c r="U35" s="11">
        <f>VLOOKUP($G35, 'ADP Data'!$C$4:$Q$300, 8, FALSE)</f>
        <v>127</v>
      </c>
      <c r="V35" s="11">
        <f t="shared" si="8"/>
        <v>148</v>
      </c>
      <c r="W35" s="11">
        <f t="shared" si="9"/>
        <v>19</v>
      </c>
      <c r="X35" s="11">
        <f t="shared" si="10"/>
        <v>-17</v>
      </c>
      <c r="Y35" s="11">
        <f>VLOOKUP($G35, SeanRanks!$A$2:$K$303, 10, FALSE)-V35</f>
        <v>-7</v>
      </c>
      <c r="Z35" s="29">
        <f>IF(VLOOKUP($G35, SeanRanks!$A$2:$H$303, 7, FALSE)=0, "", VLOOKUP($G35, SeanRanks!$A$2:$H$303, 7, FALSE))</f>
        <v>48</v>
      </c>
    </row>
    <row r="36" ht="14.25" hidden="1" customHeight="1">
      <c r="A36" s="11"/>
      <c r="B36" s="11">
        <f t="shared" si="4"/>
        <v>5</v>
      </c>
      <c r="C36" s="11" t="s">
        <v>95</v>
      </c>
      <c r="D36" s="11"/>
      <c r="E36" s="11"/>
      <c r="F36" s="11" t="str">
        <f>VLOOKUP(G36, SeanRanks!$A$2:$E$302, 4, FALSE)</f>
        <v/>
      </c>
      <c r="G36" s="11" t="s">
        <v>246</v>
      </c>
      <c r="H36" s="11" t="str">
        <f>VLOOKUP($G36, 'ADP Data'!$C$4:$Q$300, 2, FALSE)</f>
        <v>DET</v>
      </c>
      <c r="I36" s="11">
        <f>VLOOKUP(G36, 'ADP Data'!$C$4:$R$498, 12, FALSE)</f>
        <v>73</v>
      </c>
      <c r="J36" s="38" t="str">
        <f>VLOOKUP($G36, SeanRanks!$A$2:$H$303, 5, FALSE)</f>
        <v/>
      </c>
      <c r="K36" s="11" t="str">
        <f>IF(VLOOKUP($G36, SeanRanks!$A$2:$H$303, 6, FALSE)=0, "", VLOOKUP($G36, SeanRanks!$A$2:$H$303, 6, FALSE))</f>
        <v>TE1 - 2 - Very Good</v>
      </c>
      <c r="L36" s="11">
        <f t="shared" si="5"/>
        <v>7</v>
      </c>
      <c r="M36" s="11">
        <f>VLOOKUP($G36, 'ADP Data'!$C$4:$Q$300, 9, FALSE)</f>
        <v>51</v>
      </c>
      <c r="N36" s="11">
        <f t="shared" si="6"/>
        <v>-5</v>
      </c>
      <c r="O36" s="11">
        <f>VLOOKUP($G36, 'ADP Data'!$C$4:$Q$300, 3, FALSE)</f>
        <v>58</v>
      </c>
      <c r="P36" s="11">
        <f t="shared" si="7"/>
        <v>-7</v>
      </c>
      <c r="Q36" s="11">
        <f>VLOOKUP($G36, 'ADP Data'!$C$4:$Q$300, 4, FALSE)</f>
        <v>49</v>
      </c>
      <c r="R36" s="11">
        <f>VLOOKUP($G36, 'ADP Data'!$C$4:$Q$300, 5, FALSE)</f>
        <v>67</v>
      </c>
      <c r="S36" s="11">
        <f>VLOOKUP($G36, 'ADP Data'!$C$4:$Q$300, 6, FALSE)</f>
        <v>53</v>
      </c>
      <c r="T36" s="11">
        <f>VLOOKUP($G36, 'ADP Data'!$C$4:$Q$300, 7, FALSE)</f>
        <v>71</v>
      </c>
      <c r="U36" s="11">
        <f>VLOOKUP($G36, 'ADP Data'!$C$4:$Q$300, 8, FALSE)</f>
        <v>43</v>
      </c>
      <c r="V36" s="11">
        <f t="shared" si="8"/>
        <v>56</v>
      </c>
      <c r="W36" s="11">
        <f t="shared" si="9"/>
        <v>8</v>
      </c>
      <c r="X36" s="11">
        <f t="shared" si="10"/>
        <v>-8</v>
      </c>
      <c r="Y36" s="11">
        <f>VLOOKUP($G36, SeanRanks!$A$2:$K$303, 10, FALSE)-V36</f>
        <v>12</v>
      </c>
      <c r="Z36" s="29">
        <f>IF(VLOOKUP($G36, SeanRanks!$A$2:$H$303, 7, FALSE)=0, "", VLOOKUP($G36, SeanRanks!$A$2:$H$303, 7, FALSE))</f>
        <v>4</v>
      </c>
    </row>
    <row r="37" ht="14.25" hidden="1" customHeight="1">
      <c r="A37" s="11"/>
      <c r="B37" s="11">
        <f t="shared" si="4"/>
        <v>6</v>
      </c>
      <c r="C37" s="11" t="s">
        <v>95</v>
      </c>
      <c r="D37" s="11">
        <v>2.0</v>
      </c>
      <c r="E37" s="11" t="s">
        <v>151</v>
      </c>
      <c r="F37" s="11" t="str">
        <f>VLOOKUP(G37, SeanRanks!$A$2:$E$302, 4, FALSE)</f>
        <v/>
      </c>
      <c r="G37" s="11" t="s">
        <v>175</v>
      </c>
      <c r="H37" s="11" t="str">
        <f>VLOOKUP($G37, 'ADP Data'!$C$4:$Q$300, 2, FALSE)</f>
        <v>MIA</v>
      </c>
      <c r="I37" s="11">
        <f>VLOOKUP(G37, 'ADP Data'!$C$4:$R$498, 12, FALSE)</f>
        <v>57</v>
      </c>
      <c r="J37" s="37" t="str">
        <f>VLOOKUP($G37, SeanRanks!$A$2:$H$303, 5, FALSE)</f>
        <v>No</v>
      </c>
      <c r="K37" s="11" t="str">
        <f>IF(VLOOKUP($G37, SeanRanks!$A$2:$H$303, 6, FALSE)=0, "", VLOOKUP($G37, SeanRanks!$A$2:$H$303, 6, FALSE))</f>
        <v>WR3 - 2 - mid, but path to big upside</v>
      </c>
      <c r="L37" s="11">
        <f t="shared" si="5"/>
        <v>9</v>
      </c>
      <c r="M37" s="11">
        <f>VLOOKUP($G37, 'ADP Data'!$C$4:$Q$300, 9, FALSE)</f>
        <v>70</v>
      </c>
      <c r="N37" s="11">
        <f t="shared" si="6"/>
        <v>0</v>
      </c>
      <c r="O37" s="11">
        <f>VLOOKUP($G37, 'ADP Data'!$C$4:$Q$300, 3, FALSE)</f>
        <v>79</v>
      </c>
      <c r="P37" s="11">
        <f t="shared" si="7"/>
        <v>-9</v>
      </c>
      <c r="Q37" s="11">
        <f>VLOOKUP($G37, 'ADP Data'!$C$4:$Q$300, 4, FALSE)</f>
        <v>64</v>
      </c>
      <c r="R37" s="11">
        <f>VLOOKUP($G37, 'ADP Data'!$C$4:$Q$300, 5, FALSE)</f>
        <v>70</v>
      </c>
      <c r="S37" s="11">
        <f>VLOOKUP($G37, 'ADP Data'!$C$4:$Q$300, 6, FALSE)</f>
        <v>66</v>
      </c>
      <c r="T37" s="11">
        <f>VLOOKUP($G37, 'ADP Data'!$C$4:$Q$300, 7, FALSE)</f>
        <v>58</v>
      </c>
      <c r="U37" s="11">
        <f>VLOOKUP($G37, 'ADP Data'!$C$4:$Q$300, 8, FALSE)</f>
        <v>84</v>
      </c>
      <c r="V37" s="11">
        <f t="shared" si="8"/>
        <v>70</v>
      </c>
      <c r="W37" s="11">
        <f t="shared" si="9"/>
        <v>9</v>
      </c>
      <c r="X37" s="11">
        <f t="shared" si="10"/>
        <v>-7</v>
      </c>
      <c r="Y37" s="11">
        <f>VLOOKUP($G37, SeanRanks!$A$2:$K$303, 10, FALSE)-V37</f>
        <v>-22</v>
      </c>
      <c r="Z37" s="29">
        <f>IF(VLOOKUP($G37, SeanRanks!$A$2:$H$303, 7, FALSE)=0, "", VLOOKUP($G37, SeanRanks!$A$2:$H$303, 7, FALSE))</f>
        <v>31</v>
      </c>
    </row>
    <row r="38" ht="14.25" hidden="1" customHeight="1">
      <c r="A38" s="11"/>
      <c r="B38" s="11">
        <f t="shared" si="4"/>
        <v>2</v>
      </c>
      <c r="C38" s="11" t="s">
        <v>95</v>
      </c>
      <c r="D38" s="11"/>
      <c r="E38" s="27"/>
      <c r="F38" s="11" t="str">
        <f>VLOOKUP(G38, SeanRanks!$A$2:$E$302, 4, FALSE)</f>
        <v/>
      </c>
      <c r="G38" s="11" t="s">
        <v>118</v>
      </c>
      <c r="H38" s="11" t="str">
        <f>VLOOKUP($G38, 'ADP Data'!$C$4:$Q$300, 2, FALSE)</f>
        <v>HOU</v>
      </c>
      <c r="I38" s="11">
        <f>VLOOKUP(G38, 'ADP Data'!$C$4:$R$498, 12, FALSE)</f>
        <v>8</v>
      </c>
      <c r="J38" s="37" t="str">
        <f>VLOOKUP($G38, SeanRanks!$A$2:$H$303, 5, FALSE)</f>
        <v/>
      </c>
      <c r="K38" s="11" t="str">
        <f>IF(VLOOKUP($G38, SeanRanks!$A$2:$H$303, 6, FALSE)=0, "", VLOOKUP($G38, SeanRanks!$A$2:$H$303, 6, FALSE))</f>
        <v>WR1 - 2 - High Floor</v>
      </c>
      <c r="L38" s="11">
        <f t="shared" si="5"/>
        <v>2</v>
      </c>
      <c r="M38" s="11">
        <f>VLOOKUP($G38, 'ADP Data'!$C$4:$Q$300, 9, FALSE)</f>
        <v>13</v>
      </c>
      <c r="N38" s="11">
        <f t="shared" si="6"/>
        <v>0</v>
      </c>
      <c r="O38" s="11">
        <f>VLOOKUP($G38, 'ADP Data'!$C$4:$Q$300, 3, FALSE)</f>
        <v>13</v>
      </c>
      <c r="P38" s="11">
        <f t="shared" si="7"/>
        <v>0</v>
      </c>
      <c r="Q38" s="11">
        <f>VLOOKUP($G38, 'ADP Data'!$C$4:$Q$300, 4, FALSE)</f>
        <v>13</v>
      </c>
      <c r="R38" s="11">
        <f>VLOOKUP($G38, 'ADP Data'!$C$4:$Q$300, 5, FALSE)</f>
        <v>12</v>
      </c>
      <c r="S38" s="11">
        <f>VLOOKUP($G38, 'ADP Data'!$C$4:$Q$300, 6, FALSE)</f>
        <v>12</v>
      </c>
      <c r="T38" s="11">
        <f>VLOOKUP($G38, 'ADP Data'!$C$4:$Q$300, 7, FALSE)</f>
        <v>12</v>
      </c>
      <c r="U38" s="11">
        <f>VLOOKUP($G38, 'ADP Data'!$C$4:$Q$300, 8, FALSE)</f>
        <v>16</v>
      </c>
      <c r="V38" s="11">
        <f t="shared" si="8"/>
        <v>13</v>
      </c>
      <c r="W38" s="11">
        <f t="shared" si="9"/>
        <v>2</v>
      </c>
      <c r="X38" s="11">
        <f t="shared" si="10"/>
        <v>-2</v>
      </c>
      <c r="Y38" s="11">
        <f>VLOOKUP($G38, SeanRanks!$A$2:$K$303, 10, FALSE)-V38</f>
        <v>-6</v>
      </c>
      <c r="Z38" s="29">
        <f>IF(VLOOKUP($G38, SeanRanks!$A$2:$H$303, 7, FALSE)=0, "", VLOOKUP($G38, SeanRanks!$A$2:$H$303, 7, FALSE))</f>
        <v>4</v>
      </c>
    </row>
    <row r="39" ht="14.25" hidden="1" customHeight="1">
      <c r="A39" s="11" t="s">
        <v>106</v>
      </c>
      <c r="B39" s="11">
        <f t="shared" si="4"/>
        <v>4</v>
      </c>
      <c r="C39" s="11" t="s">
        <v>95</v>
      </c>
      <c r="D39" s="11">
        <v>4.0</v>
      </c>
      <c r="E39" s="11"/>
      <c r="F39" s="11" t="str">
        <f>VLOOKUP(G39, SeanRanks!$A$2:$E$302, 4, FALSE)</f>
        <v/>
      </c>
      <c r="G39" s="11" t="s">
        <v>234</v>
      </c>
      <c r="H39" s="11" t="str">
        <f>VLOOKUP($G39, 'ADP Data'!$C$4:$Q$300, 2, FALSE)</f>
        <v>PHI</v>
      </c>
      <c r="I39" s="11">
        <f>VLOOKUP(G39, 'ADP Data'!$C$4:$R$498, 12, FALSE)</f>
        <v>42</v>
      </c>
      <c r="J39" s="39" t="str">
        <f>VLOOKUP($G39, SeanRanks!$A$2:$H$303, 5, FALSE)</f>
        <v/>
      </c>
      <c r="K39" s="11" t="str">
        <f>IF(VLOOKUP($G39, SeanRanks!$A$2:$H$303, 6, FALSE)=0, "", VLOOKUP($G39, SeanRanks!$A$2:$H$303, 6, FALSE))</f>
        <v>QB1 - 2 - QB1 Upside</v>
      </c>
      <c r="L39" s="11">
        <f t="shared" si="5"/>
        <v>5</v>
      </c>
      <c r="M39" s="11">
        <f>VLOOKUP($G39, 'ADP Data'!$C$4:$Q$300, 9, FALSE)</f>
        <v>37</v>
      </c>
      <c r="N39" s="11">
        <f t="shared" si="6"/>
        <v>0</v>
      </c>
      <c r="O39" s="11">
        <f>VLOOKUP($G39, 'ADP Data'!$C$4:$Q$300, 3, FALSE)</f>
        <v>31</v>
      </c>
      <c r="P39" s="11">
        <f t="shared" si="7"/>
        <v>6</v>
      </c>
      <c r="Q39" s="11">
        <f>VLOOKUP($G39, 'ADP Data'!$C$4:$Q$300, 4, FALSE)</f>
        <v>28</v>
      </c>
      <c r="R39" s="11">
        <f>VLOOKUP($G39, 'ADP Data'!$C$4:$Q$300, 5, FALSE)</f>
        <v>51</v>
      </c>
      <c r="S39" s="11">
        <f>VLOOKUP($G39, 'ADP Data'!$C$4:$Q$300, 6, FALSE)</f>
        <v>40</v>
      </c>
      <c r="T39" s="11">
        <f>VLOOKUP($G39, 'ADP Data'!$C$4:$Q$300, 7, FALSE)</f>
        <v>43</v>
      </c>
      <c r="U39" s="11">
        <f>VLOOKUP($G39, 'ADP Data'!$C$4:$Q$300, 8, FALSE)</f>
        <v>34</v>
      </c>
      <c r="V39" s="11">
        <f t="shared" si="8"/>
        <v>37</v>
      </c>
      <c r="W39" s="11">
        <f t="shared" si="9"/>
        <v>5</v>
      </c>
      <c r="X39" s="11">
        <f t="shared" si="10"/>
        <v>-1</v>
      </c>
      <c r="Y39" s="11">
        <f>VLOOKUP($G39, SeanRanks!$A$2:$K$303, 10, FALSE)-V39</f>
        <v>-2</v>
      </c>
      <c r="Z39" s="29">
        <f>IF(VLOOKUP($G39, SeanRanks!$A$2:$H$303, 7, FALSE)=0, "", VLOOKUP($G39, SeanRanks!$A$2:$H$303, 7, FALSE))</f>
        <v>3</v>
      </c>
    </row>
    <row r="40" ht="14.25" hidden="1" customHeight="1">
      <c r="A40" s="11"/>
      <c r="B40" s="11">
        <f t="shared" si="4"/>
        <v>10</v>
      </c>
      <c r="C40" s="11" t="s">
        <v>95</v>
      </c>
      <c r="D40" s="11">
        <v>3.0</v>
      </c>
      <c r="E40" s="11" t="s">
        <v>151</v>
      </c>
      <c r="F40" s="11" t="str">
        <f>VLOOKUP(G40, SeanRanks!$A$2:$E$302, 4, FALSE)</f>
        <v/>
      </c>
      <c r="G40" s="11" t="s">
        <v>286</v>
      </c>
      <c r="H40" s="11" t="str">
        <f>VLOOKUP($G40, 'ADP Data'!$C$4:$Q$300, 2, FALSE)</f>
        <v>IND</v>
      </c>
      <c r="I40" s="11">
        <f>VLOOKUP(G40, 'ADP Data'!$C$4:$R$498, 12, FALSE)</f>
        <v>85</v>
      </c>
      <c r="J40" s="40" t="str">
        <f>VLOOKUP($G40, SeanRanks!$A$2:$H$303, 5, FALSE)</f>
        <v>No</v>
      </c>
      <c r="K40" s="11" t="str">
        <f>IF(VLOOKUP($G40, SeanRanks!$A$2:$H$303, 6, FALSE)=0, "", VLOOKUP($G40, SeanRanks!$A$2:$H$303, 6, FALSE))</f>
        <v>WR4 - 2 - unclear path to WR2</v>
      </c>
      <c r="L40" s="11">
        <f t="shared" si="5"/>
        <v>15</v>
      </c>
      <c r="M40" s="11">
        <f>VLOOKUP($G40, 'ADP Data'!$C$4:$Q$300, 9, FALSE)</f>
        <v>114</v>
      </c>
      <c r="N40" s="11">
        <f t="shared" si="6"/>
        <v>4</v>
      </c>
      <c r="O40" s="11">
        <f>VLOOKUP($G40, 'ADP Data'!$C$4:$Q$300, 3, FALSE)</f>
        <v>94</v>
      </c>
      <c r="P40" s="11">
        <f t="shared" si="7"/>
        <v>20</v>
      </c>
      <c r="Q40" s="11">
        <f>VLOOKUP($G40, 'ADP Data'!$C$4:$Q$300, 4, FALSE)</f>
        <v>92</v>
      </c>
      <c r="R40" s="11">
        <f>VLOOKUP($G40, 'ADP Data'!$C$4:$Q$300, 5, FALSE)</f>
        <v>113</v>
      </c>
      <c r="S40" s="11">
        <f>VLOOKUP($G40, 'ADP Data'!$C$4:$Q$300, 6, FALSE)</f>
        <v>99</v>
      </c>
      <c r="T40" s="11">
        <f>VLOOKUP($G40, 'ADP Data'!$C$4:$Q$300, 7, FALSE)</f>
        <v>97</v>
      </c>
      <c r="U40" s="11">
        <f>VLOOKUP($G40, 'ADP Data'!$C$4:$Q$300, 8, FALSE)</f>
        <v>164</v>
      </c>
      <c r="V40" s="11">
        <f t="shared" si="8"/>
        <v>110</v>
      </c>
      <c r="W40" s="11">
        <f t="shared" si="9"/>
        <v>14</v>
      </c>
      <c r="X40" s="11">
        <f t="shared" si="10"/>
        <v>-11</v>
      </c>
      <c r="Y40" s="11">
        <f>VLOOKUP($G40, SeanRanks!$A$2:$K$303, 10, FALSE)-V40</f>
        <v>4</v>
      </c>
      <c r="Z40" s="29">
        <f>IF(VLOOKUP($G40, SeanRanks!$A$2:$H$303, 7, FALSE)=0, "", VLOOKUP($G40, SeanRanks!$A$2:$H$303, 7, FALSE))</f>
        <v>47</v>
      </c>
    </row>
    <row r="41" ht="14.25" hidden="1" customHeight="1">
      <c r="A41" s="11"/>
      <c r="B41" s="11">
        <f t="shared" si="4"/>
        <v>2</v>
      </c>
      <c r="C41" s="11" t="s">
        <v>95</v>
      </c>
      <c r="D41" s="11">
        <v>4.0</v>
      </c>
      <c r="E41" s="11"/>
      <c r="F41" s="11" t="str">
        <f>VLOOKUP(G41, SeanRanks!$A$2:$E$302, 4, FALSE)</f>
        <v/>
      </c>
      <c r="G41" s="11" t="s">
        <v>153</v>
      </c>
      <c r="H41" s="11" t="str">
        <f>VLOOKUP($G41, 'ADP Data'!$C$4:$Q$300, 2, FALSE)</f>
        <v>GB</v>
      </c>
      <c r="I41" s="11">
        <f>VLOOKUP(G41, 'ADP Data'!$C$4:$R$498, 12, FALSE)</f>
        <v>23</v>
      </c>
      <c r="J41" s="36" t="str">
        <f>VLOOKUP($G41, SeanRanks!$A$2:$H$303, 5, FALSE)</f>
        <v/>
      </c>
      <c r="K41" s="11" t="str">
        <f>IF(VLOOKUP($G41, SeanRanks!$A$2:$H$303, 6, FALSE)=0, "", VLOOKUP($G41, SeanRanks!$A$2:$H$303, 6, FALSE))</f>
        <v>RB1 - 2 - Elite ceiling/questions</v>
      </c>
      <c r="L41" s="11">
        <f t="shared" si="5"/>
        <v>2</v>
      </c>
      <c r="M41" s="11">
        <f>VLOOKUP($G41, 'ADP Data'!$C$4:$Q$300, 9, FALSE)</f>
        <v>15</v>
      </c>
      <c r="N41" s="11">
        <f t="shared" si="6"/>
        <v>-3</v>
      </c>
      <c r="O41" s="11">
        <f>VLOOKUP($G41, 'ADP Data'!$C$4:$Q$300, 3, FALSE)</f>
        <v>10</v>
      </c>
      <c r="P41" s="11">
        <f t="shared" si="7"/>
        <v>5</v>
      </c>
      <c r="Q41" s="11">
        <f>VLOOKUP($G41, 'ADP Data'!$C$4:$Q$300, 4, FALSE)</f>
        <v>17</v>
      </c>
      <c r="R41" s="11">
        <f>VLOOKUP($G41, 'ADP Data'!$C$4:$Q$300, 5, FALSE)</f>
        <v>23</v>
      </c>
      <c r="S41" s="11">
        <f>VLOOKUP($G41, 'ADP Data'!$C$4:$Q$300, 6, FALSE)</f>
        <v>22</v>
      </c>
      <c r="T41" s="11">
        <f>VLOOKUP($G41, 'ADP Data'!$C$4:$Q$300, 7, FALSE)</f>
        <v>22</v>
      </c>
      <c r="U41" s="11">
        <f>VLOOKUP($G41, 'ADP Data'!$C$4:$Q$300, 8, FALSE)</f>
        <v>19</v>
      </c>
      <c r="V41" s="11">
        <f t="shared" si="8"/>
        <v>18</v>
      </c>
      <c r="W41" s="11">
        <f t="shared" si="9"/>
        <v>3</v>
      </c>
      <c r="X41" s="11">
        <f t="shared" si="10"/>
        <v>1</v>
      </c>
      <c r="Y41" s="11">
        <f>VLOOKUP($G41, SeanRanks!$A$2:$K$303, 10, FALSE)-V41</f>
        <v>-3</v>
      </c>
      <c r="Z41" s="29">
        <f>IF(VLOOKUP($G41, SeanRanks!$A$2:$H$303, 7, FALSE)=0, "", VLOOKUP($G41, SeanRanks!$A$2:$H$303, 7, FALSE))</f>
        <v>7</v>
      </c>
    </row>
    <row r="42" ht="14.25" hidden="1" customHeight="1">
      <c r="A42" s="11"/>
      <c r="B42" s="11">
        <f t="shared" si="4"/>
        <v>9</v>
      </c>
      <c r="C42" s="11" t="s">
        <v>95</v>
      </c>
      <c r="D42" s="11">
        <v>2.0</v>
      </c>
      <c r="E42" s="11"/>
      <c r="F42" s="11" t="str">
        <f>VLOOKUP(G42, SeanRanks!$A$2:$E$302, 4, FALSE)</f>
        <v/>
      </c>
      <c r="G42" s="11" t="s">
        <v>458</v>
      </c>
      <c r="H42" s="11" t="str">
        <f>VLOOKUP($G42, 'ADP Data'!$C$4:$Q$300, 2, FALSE)</f>
        <v>SEA</v>
      </c>
      <c r="I42" s="11">
        <f>VLOOKUP(G42, 'ADP Data'!$C$4:$R$498, 12, FALSE)</f>
        <v>97</v>
      </c>
      <c r="J42" s="40" t="str">
        <f>VLOOKUP($G42, SeanRanks!$A$2:$H$303, 5, FALSE)</f>
        <v/>
      </c>
      <c r="K42" s="11" t="str">
        <f>IF(VLOOKUP($G42, SeanRanks!$A$2:$H$303, 6, FALSE)=0, "", VLOOKUP($G42, SeanRanks!$A$2:$H$303, 6, FALSE))</f>
        <v>WR5 - 2 - floor play not league winner</v>
      </c>
      <c r="L42" s="11">
        <f t="shared" si="5"/>
        <v>12</v>
      </c>
      <c r="M42" s="11">
        <f>VLOOKUP($G42, 'ADP Data'!$C$4:$Q$300, 9, FALSE)</f>
        <v>88</v>
      </c>
      <c r="N42" s="11">
        <f t="shared" si="6"/>
        <v>-7</v>
      </c>
      <c r="O42" s="11">
        <f>VLOOKUP($G42, 'ADP Data'!$C$4:$Q$300, 3, FALSE)</f>
        <v>95</v>
      </c>
      <c r="P42" s="11">
        <f t="shared" si="7"/>
        <v>-7</v>
      </c>
      <c r="Q42" s="11">
        <f>VLOOKUP($G42, 'ADP Data'!$C$4:$Q$300, 4, FALSE)</f>
        <v>86</v>
      </c>
      <c r="R42" s="11">
        <f>VLOOKUP($G42, 'ADP Data'!$C$4:$Q$300, 5, FALSE)</f>
        <v>97</v>
      </c>
      <c r="S42" s="11">
        <f>VLOOKUP($G42, 'ADP Data'!$C$4:$Q$300, 6, FALSE)</f>
        <v>101</v>
      </c>
      <c r="T42" s="11">
        <f>VLOOKUP($G42, 'ADP Data'!$C$4:$Q$300, 7, FALSE)</f>
        <v>91</v>
      </c>
      <c r="U42" s="11">
        <f>VLOOKUP($G42, 'ADP Data'!$C$4:$Q$300, 8, FALSE)</f>
        <v>109</v>
      </c>
      <c r="V42" s="11">
        <f t="shared" si="8"/>
        <v>95</v>
      </c>
      <c r="W42" s="11">
        <f t="shared" si="9"/>
        <v>12</v>
      </c>
      <c r="X42" s="11">
        <f t="shared" si="10"/>
        <v>-10</v>
      </c>
      <c r="Y42" s="11">
        <f>VLOOKUP($G42, SeanRanks!$A$2:$K$303, 10, FALSE)-V42</f>
        <v>26</v>
      </c>
      <c r="Z42" s="29">
        <f>IF(VLOOKUP($G42, SeanRanks!$A$2:$H$303, 7, FALSE)=0, "", VLOOKUP($G42, SeanRanks!$A$2:$H$303, 7, FALSE))</f>
        <v>55</v>
      </c>
    </row>
    <row r="43" ht="14.25" hidden="1" customHeight="1">
      <c r="A43" s="11"/>
      <c r="B43" s="11">
        <f t="shared" si="4"/>
        <v>5</v>
      </c>
      <c r="C43" s="11" t="s">
        <v>95</v>
      </c>
      <c r="D43" s="11">
        <v>2.0</v>
      </c>
      <c r="E43" s="11" t="s">
        <v>151</v>
      </c>
      <c r="F43" s="11" t="str">
        <f>VLOOKUP(G43, SeanRanks!$A$2:$E$302, 4, FALSE)</f>
        <v/>
      </c>
      <c r="G43" s="11" t="s">
        <v>250</v>
      </c>
      <c r="H43" s="11" t="str">
        <f>VLOOKUP($G43, 'ADP Data'!$C$4:$Q$300, 2, FALSE)</f>
        <v>PIT</v>
      </c>
      <c r="I43" s="11">
        <f>VLOOKUP(G43, 'ADP Data'!$C$4:$R$498, 12, FALSE)</f>
        <v>56</v>
      </c>
      <c r="J43" s="37" t="str">
        <f>VLOOKUP($G43, SeanRanks!$A$2:$H$303, 5, FALSE)</f>
        <v/>
      </c>
      <c r="K43" s="11" t="str">
        <f>IF(VLOOKUP($G43, SeanRanks!$A$2:$H$303, 6, FALSE)=0, "", VLOOKUP($G43, SeanRanks!$A$2:$H$303, 6, FALSE))</f>
        <v>WR2 - 2 - Upside with risk</v>
      </c>
      <c r="L43" s="11">
        <f t="shared" si="5"/>
        <v>6</v>
      </c>
      <c r="M43" s="11">
        <f>VLOOKUP($G43, 'ADP Data'!$C$4:$Q$300, 9, FALSE)</f>
        <v>46</v>
      </c>
      <c r="N43" s="11">
        <f t="shared" si="6"/>
        <v>-4</v>
      </c>
      <c r="O43" s="11">
        <f>VLOOKUP($G43, 'ADP Data'!$C$4:$Q$300, 3, FALSE)</f>
        <v>48</v>
      </c>
      <c r="P43" s="11">
        <f t="shared" si="7"/>
        <v>-2</v>
      </c>
      <c r="Q43" s="11">
        <f>VLOOKUP($G43, 'ADP Data'!$C$4:$Q$300, 4, FALSE)</f>
        <v>45</v>
      </c>
      <c r="R43" s="11">
        <f>VLOOKUP($G43, 'ADP Data'!$C$4:$Q$300, 5, FALSE)</f>
        <v>63</v>
      </c>
      <c r="S43" s="11">
        <f>VLOOKUP($G43, 'ADP Data'!$C$4:$Q$300, 6, FALSE)</f>
        <v>52</v>
      </c>
      <c r="T43" s="11">
        <f>VLOOKUP($G43, 'ADP Data'!$C$4:$Q$300, 7, FALSE)</f>
        <v>50</v>
      </c>
      <c r="U43" s="11">
        <f>VLOOKUP($G43, 'ADP Data'!$C$4:$Q$300, 8, FALSE)</f>
        <v>52</v>
      </c>
      <c r="V43" s="11">
        <f t="shared" si="8"/>
        <v>50</v>
      </c>
      <c r="W43" s="11">
        <f t="shared" si="9"/>
        <v>7</v>
      </c>
      <c r="X43" s="11">
        <f t="shared" si="10"/>
        <v>-5</v>
      </c>
      <c r="Y43" s="11">
        <f>VLOOKUP($G43, SeanRanks!$A$2:$K$303, 10, FALSE)-V43</f>
        <v>-1</v>
      </c>
      <c r="Z43" s="29">
        <f>IF(VLOOKUP($G43, SeanRanks!$A$2:$H$303, 7, FALSE)=0, "", VLOOKUP($G43, SeanRanks!$A$2:$H$303, 7, FALSE))</f>
        <v>20</v>
      </c>
    </row>
    <row r="44" ht="14.25" hidden="1" customHeight="1">
      <c r="A44" s="11"/>
      <c r="B44" s="11">
        <f t="shared" si="4"/>
        <v>3</v>
      </c>
      <c r="C44" s="11" t="s">
        <v>95</v>
      </c>
      <c r="D44" s="11"/>
      <c r="E44" s="11"/>
      <c r="F44" s="11" t="str">
        <f>VLOOKUP(G44, SeanRanks!$A$2:$E$302, 4, FALSE)</f>
        <v/>
      </c>
      <c r="G44" s="11" t="s">
        <v>66</v>
      </c>
      <c r="H44" s="11" t="str">
        <f>VLOOKUP($G44, 'ADP Data'!$C$4:$Q$300, 2, FALSE)</f>
        <v>BUF</v>
      </c>
      <c r="I44" s="11">
        <f>VLOOKUP(G44, 'ADP Data'!$C$4:$R$498, 12, FALSE)</f>
        <v>44</v>
      </c>
      <c r="J44" s="36" t="str">
        <f>VLOOKUP($G44, SeanRanks!$A$2:$H$303, 5, FALSE)</f>
        <v/>
      </c>
      <c r="K44" s="11" t="str">
        <f>IF(VLOOKUP($G44, SeanRanks!$A$2:$H$303, 6, FALSE)=0, "", VLOOKUP($G44, SeanRanks!$A$2:$H$303, 6, FALSE))</f>
        <v>RB2 - 1 - Clear path to spikes</v>
      </c>
      <c r="L44" s="11">
        <f t="shared" si="5"/>
        <v>4</v>
      </c>
      <c r="M44" s="11">
        <f>VLOOKUP($G44, 'ADP Data'!$C$4:$Q$300, 9, FALSE)</f>
        <v>30</v>
      </c>
      <c r="N44" s="11">
        <f t="shared" si="6"/>
        <v>-2</v>
      </c>
      <c r="O44" s="11">
        <f>VLOOKUP($G44, 'ADP Data'!$C$4:$Q$300, 3, FALSE)</f>
        <v>26</v>
      </c>
      <c r="P44" s="11">
        <f t="shared" si="7"/>
        <v>4</v>
      </c>
      <c r="Q44" s="11">
        <f>VLOOKUP($G44, 'ADP Data'!$C$4:$Q$300, 4, FALSE)</f>
        <v>32</v>
      </c>
      <c r="R44" s="11">
        <f>VLOOKUP($G44, 'ADP Data'!$C$4:$Q$300, 5, FALSE)</f>
        <v>40</v>
      </c>
      <c r="S44" s="11">
        <f>VLOOKUP($G44, 'ADP Data'!$C$4:$Q$300, 6, FALSE)</f>
        <v>33</v>
      </c>
      <c r="T44" s="11">
        <f>VLOOKUP($G44, 'ADP Data'!$C$4:$Q$300, 7, FALSE)</f>
        <v>36</v>
      </c>
      <c r="U44" s="11">
        <f>VLOOKUP($G44, 'ADP Data'!$C$4:$Q$300, 8, FALSE)</f>
        <v>30</v>
      </c>
      <c r="V44" s="11">
        <f t="shared" si="8"/>
        <v>32</v>
      </c>
      <c r="W44" s="11">
        <f t="shared" si="9"/>
        <v>5</v>
      </c>
      <c r="X44" s="11">
        <f t="shared" si="10"/>
        <v>-5</v>
      </c>
      <c r="Y44" s="11">
        <f>VLOOKUP($G44, SeanRanks!$A$2:$K$303, 10, FALSE)-V44</f>
        <v>2</v>
      </c>
      <c r="Z44" s="29">
        <f>IF(VLOOKUP($G44, SeanRanks!$A$2:$H$303, 7, FALSE)=0, "", VLOOKUP($G44, SeanRanks!$A$2:$H$303, 7, FALSE))</f>
        <v>15</v>
      </c>
    </row>
    <row r="45" ht="14.25" hidden="1" customHeight="1">
      <c r="A45" s="11" t="s">
        <v>106</v>
      </c>
      <c r="B45" s="11">
        <f t="shared" si="4"/>
        <v>5</v>
      </c>
      <c r="C45" s="11" t="s">
        <v>95</v>
      </c>
      <c r="D45" s="11">
        <v>3.0</v>
      </c>
      <c r="E45" s="11"/>
      <c r="F45" s="11" t="str">
        <f>VLOOKUP(G45, SeanRanks!$A$2:$E$302, 4, FALSE)</f>
        <v/>
      </c>
      <c r="G45" s="11" t="s">
        <v>142</v>
      </c>
      <c r="H45" s="11" t="str">
        <f>VLOOKUP($G45, 'ADP Data'!$C$4:$Q$300, 2, FALSE)</f>
        <v>PHI</v>
      </c>
      <c r="I45" s="11">
        <f>VLOOKUP(G45, 'ADP Data'!$C$4:$R$498, 12, FALSE)</f>
        <v>54</v>
      </c>
      <c r="J45" s="40" t="str">
        <f>VLOOKUP($G45, SeanRanks!$A$2:$H$303, 5, FALSE)</f>
        <v/>
      </c>
      <c r="K45" s="11" t="str">
        <f>IF(VLOOKUP($G45, SeanRanks!$A$2:$H$303, 6, FALSE)=0, "", VLOOKUP($G45, SeanRanks!$A$2:$H$303, 6, FALSE))</f>
        <v>WR2 - 2 - Upside with risk</v>
      </c>
      <c r="L45" s="11">
        <f t="shared" si="5"/>
        <v>7</v>
      </c>
      <c r="M45" s="11">
        <f>VLOOKUP($G45, 'ADP Data'!$C$4:$Q$300, 9, FALSE)</f>
        <v>53</v>
      </c>
      <c r="N45" s="11">
        <f t="shared" si="6"/>
        <v>-5</v>
      </c>
      <c r="O45" s="11">
        <f>VLOOKUP($G45, 'ADP Data'!$C$4:$Q$300, 3, FALSE)</f>
        <v>60</v>
      </c>
      <c r="P45" s="11">
        <f t="shared" si="7"/>
        <v>-7</v>
      </c>
      <c r="Q45" s="11">
        <f>VLOOKUP($G45, 'ADP Data'!$C$4:$Q$300, 4, FALSE)</f>
        <v>61</v>
      </c>
      <c r="R45" s="11">
        <f>VLOOKUP($G45, 'ADP Data'!$C$4:$Q$300, 5, FALSE)</f>
        <v>62</v>
      </c>
      <c r="S45" s="11">
        <f>VLOOKUP($G45, 'ADP Data'!$C$4:$Q$300, 6, FALSE)</f>
        <v>60</v>
      </c>
      <c r="T45" s="11">
        <f>VLOOKUP($G45, 'ADP Data'!$C$4:$Q$300, 7, FALSE)</f>
        <v>56</v>
      </c>
      <c r="U45" s="11">
        <f>VLOOKUP($G45, 'ADP Data'!$C$4:$Q$300, 8, FALSE)</f>
        <v>60</v>
      </c>
      <c r="V45" s="11">
        <f t="shared" si="8"/>
        <v>58</v>
      </c>
      <c r="W45" s="11">
        <f t="shared" si="9"/>
        <v>8</v>
      </c>
      <c r="X45" s="11">
        <f t="shared" si="10"/>
        <v>-5</v>
      </c>
      <c r="Y45" s="11">
        <f>VLOOKUP($G45, SeanRanks!$A$2:$K$303, 10, FALSE)-V45</f>
        <v>-13</v>
      </c>
      <c r="Z45" s="29">
        <f>IF(VLOOKUP($G45, SeanRanks!$A$2:$H$303, 7, FALSE)=0, "", VLOOKUP($G45, SeanRanks!$A$2:$H$303, 7, FALSE))</f>
        <v>18</v>
      </c>
    </row>
    <row r="46" ht="14.25" hidden="1" customHeight="1">
      <c r="A46" s="11"/>
      <c r="B46" s="11">
        <f t="shared" si="4"/>
        <v>13</v>
      </c>
      <c r="C46" s="11" t="s">
        <v>95</v>
      </c>
      <c r="D46" s="11">
        <v>4.0</v>
      </c>
      <c r="E46" s="11"/>
      <c r="F46" s="11" t="str">
        <f>VLOOKUP(G46, SeanRanks!$A$2:$E$302, 4, FALSE)</f>
        <v/>
      </c>
      <c r="G46" s="11" t="s">
        <v>332</v>
      </c>
      <c r="H46" s="11" t="str">
        <f>VLOOKUP($G46, 'ADP Data'!$C$4:$Q$300, 2, FALSE)</f>
        <v>TB</v>
      </c>
      <c r="I46" s="11">
        <f>VLOOKUP(G46, 'ADP Data'!$C$4:$R$498, 12, FALSE)</f>
        <v>169</v>
      </c>
      <c r="J46" s="48" t="str">
        <f>VLOOKUP($G46, SeanRanks!$A$2:$H$303, 5, FALSE)</f>
        <v/>
      </c>
      <c r="K46" s="11" t="str">
        <f>IF(VLOOKUP($G46, SeanRanks!$A$2:$H$303, 6, FALSE)=0, "", VLOOKUP($G46, SeanRanks!$A$2:$H$303, 6, FALSE))</f>
        <v>RB4 - 2 - low ceiling</v>
      </c>
      <c r="L46" s="11">
        <f t="shared" si="5"/>
        <v>17</v>
      </c>
      <c r="M46" s="11">
        <f>VLOOKUP($G46, 'ADP Data'!$C$4:$Q$300, 9, FALSE)</f>
        <v>129</v>
      </c>
      <c r="N46" s="11">
        <f t="shared" si="6"/>
        <v>-18</v>
      </c>
      <c r="O46" s="11">
        <f>VLOOKUP($G46, 'ADP Data'!$C$4:$Q$300, 3, FALSE)</f>
        <v>133</v>
      </c>
      <c r="P46" s="11">
        <f t="shared" si="7"/>
        <v>-4</v>
      </c>
      <c r="Q46" s="11">
        <f>VLOOKUP($G46, 'ADP Data'!$C$4:$Q$300, 4, FALSE)</f>
        <v>150</v>
      </c>
      <c r="R46" s="11">
        <f>VLOOKUP($G46, 'ADP Data'!$C$4:$Q$300, 5, FALSE)</f>
        <v>167</v>
      </c>
      <c r="S46" s="11">
        <f>VLOOKUP($G46, 'ADP Data'!$C$4:$Q$300, 6, FALSE)</f>
        <v>149</v>
      </c>
      <c r="T46" s="11">
        <f>VLOOKUP($G46, 'ADP Data'!$C$4:$Q$300, 7, FALSE)</f>
        <v>153</v>
      </c>
      <c r="U46" s="11">
        <f>VLOOKUP($G46, 'ADP Data'!$C$4:$Q$300, 8, FALSE)</f>
        <v>149</v>
      </c>
      <c r="V46" s="11">
        <f t="shared" si="8"/>
        <v>147</v>
      </c>
      <c r="W46" s="11">
        <f t="shared" si="9"/>
        <v>19</v>
      </c>
      <c r="X46" s="11">
        <f t="shared" si="10"/>
        <v>-15</v>
      </c>
      <c r="Y46" s="11">
        <f>VLOOKUP($G46, SeanRanks!$A$2:$K$303, 10, FALSE)-V46</f>
        <v>-23</v>
      </c>
      <c r="Z46" s="29">
        <f>IF(VLOOKUP($G46, SeanRanks!$A$2:$H$303, 7, FALSE)=0, "", VLOOKUP($G46, SeanRanks!$A$2:$H$303, 7, FALSE))</f>
        <v>48</v>
      </c>
    </row>
    <row r="47" ht="14.25" hidden="1" customHeight="1">
      <c r="A47" s="11"/>
      <c r="B47" s="11">
        <f t="shared" si="4"/>
        <v>5</v>
      </c>
      <c r="C47" s="11" t="s">
        <v>95</v>
      </c>
      <c r="D47" s="11">
        <v>4.0</v>
      </c>
      <c r="E47" s="11"/>
      <c r="F47" s="11" t="str">
        <f>VLOOKUP(G47, SeanRanks!$A$2:$E$302, 4, FALSE)</f>
        <v/>
      </c>
      <c r="G47" s="11" t="s">
        <v>187</v>
      </c>
      <c r="H47" s="11" t="str">
        <f>VLOOKUP($G47, 'ADP Data'!$C$4:$Q$300, 2, FALSE)</f>
        <v>CHI</v>
      </c>
      <c r="I47" s="11">
        <f>VLOOKUP(G47, 'ADP Data'!$C$4:$R$498, 12, FALSE)</f>
        <v>50</v>
      </c>
      <c r="J47" s="49" t="str">
        <f>VLOOKUP($G47, SeanRanks!$A$2:$H$303, 5, FALSE)</f>
        <v/>
      </c>
      <c r="K47" s="11" t="str">
        <f>IF(VLOOKUP($G47, SeanRanks!$A$2:$H$303, 6, FALSE)=0, "", VLOOKUP($G47, SeanRanks!$A$2:$H$303, 6, FALSE))</f>
        <v>WR3 - 1 - </v>
      </c>
      <c r="L47" s="11">
        <f t="shared" si="5"/>
        <v>7</v>
      </c>
      <c r="M47" s="11">
        <f>VLOOKUP($G47, 'ADP Data'!$C$4:$Q$300, 9, FALSE)</f>
        <v>48</v>
      </c>
      <c r="N47" s="11">
        <f t="shared" si="6"/>
        <v>-3</v>
      </c>
      <c r="O47" s="11">
        <f>VLOOKUP($G47, 'ADP Data'!$C$4:$Q$300, 3, FALSE)</f>
        <v>52</v>
      </c>
      <c r="P47" s="11">
        <f t="shared" si="7"/>
        <v>-4</v>
      </c>
      <c r="Q47" s="11">
        <f>VLOOKUP($G47, 'ADP Data'!$C$4:$Q$300, 4, FALSE)</f>
        <v>54</v>
      </c>
      <c r="R47" s="11">
        <f>VLOOKUP($G47, 'ADP Data'!$C$4:$Q$300, 5, FALSE)</f>
        <v>54</v>
      </c>
      <c r="S47" s="11">
        <f>VLOOKUP($G47, 'ADP Data'!$C$4:$Q$300, 6, FALSE)</f>
        <v>55</v>
      </c>
      <c r="T47" s="11">
        <f>VLOOKUP($G47, 'ADP Data'!$C$4:$Q$300, 7, FALSE)</f>
        <v>48</v>
      </c>
      <c r="U47" s="11">
        <f>VLOOKUP($G47, 'ADP Data'!$C$4:$Q$300, 8, FALSE)</f>
        <v>46</v>
      </c>
      <c r="V47" s="11">
        <f t="shared" si="8"/>
        <v>51</v>
      </c>
      <c r="W47" s="11">
        <f t="shared" si="9"/>
        <v>7</v>
      </c>
      <c r="X47" s="11">
        <f t="shared" si="10"/>
        <v>-3</v>
      </c>
      <c r="Y47" s="11">
        <f>VLOOKUP($G47, SeanRanks!$A$2:$K$303, 10, FALSE)-V47</f>
        <v>9</v>
      </c>
      <c r="Z47" s="29">
        <f>IF(VLOOKUP($G47, SeanRanks!$A$2:$H$303, 7, FALSE)=0, "", VLOOKUP($G47, SeanRanks!$A$2:$H$303, 7, FALSE))</f>
        <v>28</v>
      </c>
    </row>
    <row r="48" ht="14.25" hidden="1" customHeight="1">
      <c r="A48" s="11"/>
      <c r="B48" s="11">
        <f t="shared" si="4"/>
        <v>3</v>
      </c>
      <c r="C48" s="11" t="s">
        <v>95</v>
      </c>
      <c r="D48" s="11">
        <v>4.0</v>
      </c>
      <c r="E48" s="11"/>
      <c r="F48" s="11" t="str">
        <f>VLOOKUP(G48, SeanRanks!$A$2:$E$302, 4, FALSE)</f>
        <v/>
      </c>
      <c r="G48" s="11" t="s">
        <v>183</v>
      </c>
      <c r="H48" s="11" t="str">
        <f>VLOOKUP($G48, 'ADP Data'!$C$4:$Q$300, 2, FALSE)</f>
        <v>BAL</v>
      </c>
      <c r="I48" s="11">
        <f>VLOOKUP(G48, 'ADP Data'!$C$4:$R$498, 12, FALSE)</f>
        <v>30</v>
      </c>
      <c r="J48" s="39" t="str">
        <f>VLOOKUP($G48, SeanRanks!$A$2:$H$303, 5, FALSE)</f>
        <v/>
      </c>
      <c r="K48" s="11" t="str">
        <f>IF(VLOOKUP($G48, SeanRanks!$A$2:$H$303, 6, FALSE)=0, "", VLOOKUP($G48, SeanRanks!$A$2:$H$303, 6, FALSE))</f>
        <v>QB1 - 1 - Elite</v>
      </c>
      <c r="L48" s="11">
        <f t="shared" si="5"/>
        <v>3</v>
      </c>
      <c r="M48" s="11">
        <f>VLOOKUP($G48, 'ADP Data'!$C$4:$Q$300, 9, FALSE)</f>
        <v>23</v>
      </c>
      <c r="N48" s="11">
        <f t="shared" si="6"/>
        <v>0</v>
      </c>
      <c r="O48" s="11">
        <f>VLOOKUP($G48, 'ADP Data'!$C$4:$Q$300, 3, FALSE)</f>
        <v>17</v>
      </c>
      <c r="P48" s="11">
        <f t="shared" si="7"/>
        <v>6</v>
      </c>
      <c r="Q48" s="11">
        <f>VLOOKUP($G48, 'ADP Data'!$C$4:$Q$300, 4, FALSE)</f>
        <v>23</v>
      </c>
      <c r="R48" s="11">
        <f>VLOOKUP($G48, 'ADP Data'!$C$4:$Q$300, 5, FALSE)</f>
        <v>31</v>
      </c>
      <c r="S48" s="11">
        <f>VLOOKUP($G48, 'ADP Data'!$C$4:$Q$300, 6, FALSE)</f>
        <v>29</v>
      </c>
      <c r="T48" s="11">
        <f>VLOOKUP($G48, 'ADP Data'!$C$4:$Q$300, 7, FALSE)</f>
        <v>24</v>
      </c>
      <c r="U48" s="11">
        <f>VLOOKUP($G48, 'ADP Data'!$C$4:$Q$300, 8, FALSE)</f>
        <v>18</v>
      </c>
      <c r="V48" s="11">
        <f t="shared" si="8"/>
        <v>23</v>
      </c>
      <c r="W48" s="11">
        <f t="shared" si="9"/>
        <v>3</v>
      </c>
      <c r="X48" s="11">
        <f t="shared" si="10"/>
        <v>1</v>
      </c>
      <c r="Y48" s="11">
        <f>VLOOKUP($G48, SeanRanks!$A$2:$K$303, 10, FALSE)-V48</f>
        <v>3</v>
      </c>
      <c r="Z48" s="29">
        <f>IF(VLOOKUP($G48, SeanRanks!$A$2:$H$303, 7, FALSE)=0, "", VLOOKUP($G48, SeanRanks!$A$2:$H$303, 7, FALSE))</f>
        <v>1</v>
      </c>
    </row>
    <row r="49" ht="14.25" hidden="1" customHeight="1">
      <c r="A49" s="11"/>
      <c r="B49" s="11">
        <f t="shared" si="4"/>
        <v>2</v>
      </c>
      <c r="C49" s="11" t="s">
        <v>95</v>
      </c>
      <c r="D49" s="11">
        <v>4.0</v>
      </c>
      <c r="E49" s="11"/>
      <c r="F49" s="11" t="str">
        <f>VLOOKUP(G49, SeanRanks!$A$2:$E$302, 4, FALSE)</f>
        <v/>
      </c>
      <c r="G49" s="11" t="s">
        <v>124</v>
      </c>
      <c r="H49" s="11" t="str">
        <f>VLOOKUP($G49, 'ADP Data'!$C$4:$Q$300, 2, FALSE)</f>
        <v>ARI</v>
      </c>
      <c r="I49" s="11">
        <f>VLOOKUP(G49, 'ADP Data'!$C$4:$R$498, 12, FALSE)</f>
        <v>24</v>
      </c>
      <c r="J49" s="38" t="str">
        <f>VLOOKUP($G49, SeanRanks!$A$2:$H$303, 5, FALSE)</f>
        <v/>
      </c>
      <c r="K49" s="11" t="str">
        <f>IF(VLOOKUP($G49, SeanRanks!$A$2:$H$303, 6, FALSE)=0, "", VLOOKUP($G49, SeanRanks!$A$2:$H$303, 6, FALSE))</f>
        <v>TE1 - 1 - Elite</v>
      </c>
      <c r="L49" s="11">
        <f t="shared" si="5"/>
        <v>4</v>
      </c>
      <c r="M49" s="11">
        <f>VLOOKUP($G49, 'ADP Data'!$C$4:$Q$300, 9, FALSE)</f>
        <v>26</v>
      </c>
      <c r="N49" s="11">
        <f t="shared" si="6"/>
        <v>1</v>
      </c>
      <c r="O49" s="11">
        <f>VLOOKUP($G49, 'ADP Data'!$C$4:$Q$300, 3, FALSE)</f>
        <v>35</v>
      </c>
      <c r="P49" s="11">
        <f t="shared" si="7"/>
        <v>-9</v>
      </c>
      <c r="Q49" s="11">
        <f>VLOOKUP($G49, 'ADP Data'!$C$4:$Q$300, 4, FALSE)</f>
        <v>25</v>
      </c>
      <c r="R49" s="11">
        <f>VLOOKUP($G49, 'ADP Data'!$C$4:$Q$300, 5, FALSE)</f>
        <v>28</v>
      </c>
      <c r="S49" s="11">
        <f>VLOOKUP($G49, 'ADP Data'!$C$4:$Q$300, 6, FALSE)</f>
        <v>13</v>
      </c>
      <c r="T49" s="11">
        <f>VLOOKUP($G49, 'ADP Data'!$C$4:$Q$300, 7, FALSE)</f>
        <v>26</v>
      </c>
      <c r="U49" s="11">
        <f>VLOOKUP($G49, 'ADP Data'!$C$4:$Q$300, 8, FALSE)</f>
        <v>27</v>
      </c>
      <c r="V49" s="11">
        <f t="shared" si="8"/>
        <v>25</v>
      </c>
      <c r="W49" s="11">
        <f t="shared" si="9"/>
        <v>4</v>
      </c>
      <c r="X49" s="11">
        <f t="shared" si="10"/>
        <v>0</v>
      </c>
      <c r="Y49" s="11">
        <f>VLOOKUP($G49, SeanRanks!$A$2:$K$303, 10, FALSE)-V49</f>
        <v>-1</v>
      </c>
      <c r="Z49" s="29">
        <f>IF(VLOOKUP($G49, SeanRanks!$A$2:$H$303, 7, FALSE)=0, "", VLOOKUP($G49, SeanRanks!$A$2:$H$303, 7, FALSE))</f>
        <v>2</v>
      </c>
    </row>
    <row r="50" ht="14.25" hidden="1" customHeight="1">
      <c r="A50" s="11"/>
      <c r="B50" s="11">
        <f t="shared" si="4"/>
        <v>1</v>
      </c>
      <c r="C50" s="11" t="s">
        <v>95</v>
      </c>
      <c r="D50" s="11">
        <v>3.0</v>
      </c>
      <c r="E50" s="11" t="s">
        <v>151</v>
      </c>
      <c r="F50" s="11" t="str">
        <f>VLOOKUP(G50, SeanRanks!$A$2:$E$302, 4, FALSE)</f>
        <v/>
      </c>
      <c r="G50" s="11" t="s">
        <v>127</v>
      </c>
      <c r="H50" s="11" t="str">
        <f>VLOOKUP($G50, 'ADP Data'!$C$4:$Q$300, 2, FALSE)</f>
        <v>NYG</v>
      </c>
      <c r="I50" s="11">
        <f>VLOOKUP(G50, 'ADP Data'!$C$4:$R$498, 12, FALSE)</f>
        <v>10</v>
      </c>
      <c r="J50" s="37" t="str">
        <f>VLOOKUP($G50, SeanRanks!$A$2:$H$303, 5, FALSE)</f>
        <v/>
      </c>
      <c r="K50" s="11" t="str">
        <f>IF(VLOOKUP($G50, SeanRanks!$A$2:$H$303, 6, FALSE)=0, "", VLOOKUP($G50, SeanRanks!$A$2:$H$303, 6, FALSE))</f>
        <v>WR1 - 2 - High Floor</v>
      </c>
      <c r="L50" s="11">
        <f t="shared" si="5"/>
        <v>2</v>
      </c>
      <c r="M50" s="11">
        <f>VLOOKUP($G50, 'ADP Data'!$C$4:$Q$300, 9, FALSE)</f>
        <v>12</v>
      </c>
      <c r="N50" s="11">
        <f t="shared" si="6"/>
        <v>3</v>
      </c>
      <c r="O50" s="11">
        <f>VLOOKUP($G50, 'ADP Data'!$C$4:$Q$300, 3, FALSE)</f>
        <v>11</v>
      </c>
      <c r="P50" s="11">
        <f t="shared" si="7"/>
        <v>1</v>
      </c>
      <c r="Q50" s="11">
        <f>VLOOKUP($G50, 'ADP Data'!$C$4:$Q$300, 4, FALSE)</f>
        <v>10</v>
      </c>
      <c r="R50" s="11">
        <f>VLOOKUP($G50, 'ADP Data'!$C$4:$Q$300, 5, FALSE)</f>
        <v>9</v>
      </c>
      <c r="S50" s="11">
        <f>VLOOKUP($G50, 'ADP Data'!$C$4:$Q$300, 6, FALSE)</f>
        <v>10</v>
      </c>
      <c r="T50" s="11">
        <f>VLOOKUP($G50, 'ADP Data'!$C$4:$Q$300, 7, FALSE)</f>
        <v>8</v>
      </c>
      <c r="U50" s="11">
        <f>VLOOKUP($G50, 'ADP Data'!$C$4:$Q$300, 8, FALSE)</f>
        <v>9</v>
      </c>
      <c r="V50" s="11">
        <f t="shared" si="8"/>
        <v>9</v>
      </c>
      <c r="W50" s="11">
        <f t="shared" si="9"/>
        <v>2</v>
      </c>
      <c r="X50" s="11">
        <f t="shared" si="10"/>
        <v>1</v>
      </c>
      <c r="Y50" s="11">
        <f>VLOOKUP($G50, SeanRanks!$A$2:$K$303, 10, FALSE)-V50</f>
        <v>1</v>
      </c>
      <c r="Z50" s="29">
        <f>IF(VLOOKUP($G50, SeanRanks!$A$2:$H$303, 7, FALSE)=0, "", VLOOKUP($G50, SeanRanks!$A$2:$H$303, 7, FALSE))</f>
        <v>5</v>
      </c>
    </row>
    <row r="51" ht="14.25" hidden="1" customHeight="1">
      <c r="A51" s="11"/>
      <c r="B51" s="11">
        <f t="shared" si="4"/>
        <v>7</v>
      </c>
      <c r="C51" s="11" t="s">
        <v>95</v>
      </c>
      <c r="D51" s="11">
        <v>4.0</v>
      </c>
      <c r="E51" s="11"/>
      <c r="F51" s="11" t="str">
        <f>VLOOKUP(G51, SeanRanks!$A$2:$E$302, 4, FALSE)</f>
        <v/>
      </c>
      <c r="G51" s="11" t="s">
        <v>357</v>
      </c>
      <c r="H51" s="11" t="str">
        <f>VLOOKUP($G51, 'ADP Data'!$C$4:$Q$300, 2, FALSE)</f>
        <v>BAL</v>
      </c>
      <c r="I51" s="11">
        <f>VLOOKUP(G51, 'ADP Data'!$C$4:$R$498, 12, FALSE)</f>
        <v>93</v>
      </c>
      <c r="J51" s="38" t="str">
        <f>VLOOKUP($G51, SeanRanks!$A$2:$H$303, 5, FALSE)</f>
        <v>No</v>
      </c>
      <c r="K51" s="11" t="str">
        <f>IF(VLOOKUP($G51, SeanRanks!$A$2:$H$303, 6, FALSE)=0, "", VLOOKUP($G51, SeanRanks!$A$2:$H$303, 6, FALSE))</f>
        <v>TE1 - 3 - Weekly Start</v>
      </c>
      <c r="L51" s="11">
        <f t="shared" si="5"/>
        <v>10</v>
      </c>
      <c r="M51" s="11">
        <f>VLOOKUP($G51, 'ADP Data'!$C$4:$Q$300, 9, FALSE)</f>
        <v>77</v>
      </c>
      <c r="N51" s="11">
        <f t="shared" si="6"/>
        <v>0</v>
      </c>
      <c r="O51" s="11">
        <f>VLOOKUP($G51, 'ADP Data'!$C$4:$Q$300, 3, FALSE)</f>
        <v>73</v>
      </c>
      <c r="P51" s="11">
        <f t="shared" si="7"/>
        <v>4</v>
      </c>
      <c r="Q51" s="11">
        <f>VLOOKUP($G51, 'ADP Data'!$C$4:$Q$300, 4, FALSE)</f>
        <v>73</v>
      </c>
      <c r="R51" s="11">
        <f>VLOOKUP($G51, 'ADP Data'!$C$4:$Q$300, 5, FALSE)</f>
        <v>95</v>
      </c>
      <c r="S51" s="11">
        <f>VLOOKUP($G51, 'ADP Data'!$C$4:$Q$300, 6, FALSE)</f>
        <v>79</v>
      </c>
      <c r="T51" s="11">
        <f>VLOOKUP($G51, 'ADP Data'!$C$4:$Q$300, 7, FALSE)</f>
        <v>93</v>
      </c>
      <c r="U51" s="11">
        <f>VLOOKUP($G51, 'ADP Data'!$C$4:$Q$300, 8, FALSE)</f>
        <v>53</v>
      </c>
      <c r="V51" s="11">
        <f t="shared" si="8"/>
        <v>77</v>
      </c>
      <c r="W51" s="11">
        <f t="shared" si="9"/>
        <v>10</v>
      </c>
      <c r="X51" s="11">
        <f t="shared" si="10"/>
        <v>-6</v>
      </c>
      <c r="Y51" s="11">
        <f>VLOOKUP($G51, SeanRanks!$A$2:$K$303, 10, FALSE)-V51</f>
        <v>2</v>
      </c>
      <c r="Z51" s="29">
        <f>IF(VLOOKUP($G51, SeanRanks!$A$2:$H$303, 7, FALSE)=0, "", VLOOKUP($G51, SeanRanks!$A$2:$H$303, 7, FALSE))</f>
        <v>7</v>
      </c>
    </row>
    <row r="52" ht="14.25" hidden="1" customHeight="1">
      <c r="A52" s="11"/>
      <c r="B52" s="11">
        <f t="shared" si="4"/>
        <v>12</v>
      </c>
      <c r="C52" s="11" t="s">
        <v>95</v>
      </c>
      <c r="D52" s="11">
        <v>4.0</v>
      </c>
      <c r="E52" s="11"/>
      <c r="F52" s="11" t="str">
        <f>VLOOKUP(G52, SeanRanks!$A$2:$E$302, 4, FALSE)</f>
        <v/>
      </c>
      <c r="G52" s="11" t="s">
        <v>789</v>
      </c>
      <c r="H52" s="11" t="str">
        <f>VLOOKUP($G52, 'ADP Data'!$C$4:$Q$300, 2, FALSE)</f>
        <v>HOU</v>
      </c>
      <c r="I52" s="11">
        <f>VLOOKUP(G52, 'ADP Data'!$C$4:$R$498, 12, FALSE)</f>
        <v>162</v>
      </c>
      <c r="J52" s="48" t="str">
        <f>VLOOKUP($G52, SeanRanks!$A$2:$H$303, 5, FALSE)</f>
        <v/>
      </c>
      <c r="K52" s="11" t="str">
        <f>IF(VLOOKUP($G52, SeanRanks!$A$2:$H$303, 6, FALSE)=0, "", VLOOKUP($G52, SeanRanks!$A$2:$H$303, 6, FALSE))</f>
        <v>RB2 - 2 - Path to spikes</v>
      </c>
      <c r="L52" s="11">
        <f t="shared" si="5"/>
        <v>8</v>
      </c>
      <c r="M52" s="11">
        <f>VLOOKUP($G52, 'ADP Data'!$C$4:$Q$300, 9, FALSE)</f>
        <v>63</v>
      </c>
      <c r="N52" s="11">
        <f t="shared" si="6"/>
        <v>-53</v>
      </c>
      <c r="O52" s="11">
        <f>VLOOKUP($G52, 'ADP Data'!$C$4:$Q$300, 3, FALSE)</f>
        <v>81</v>
      </c>
      <c r="P52" s="11">
        <f t="shared" si="7"/>
        <v>-18</v>
      </c>
      <c r="Q52" s="11">
        <f>VLOOKUP($G52, 'ADP Data'!$C$4:$Q$300, 4, FALSE)</f>
        <v>121</v>
      </c>
      <c r="R52" s="11">
        <f>VLOOKUP($G52, 'ADP Data'!$C$4:$Q$300, 5, FALSE)</f>
        <v>262</v>
      </c>
      <c r="S52" s="11">
        <f>VLOOKUP($G52, 'ADP Data'!$C$4:$Q$300, 6, FALSE)</f>
        <v>115</v>
      </c>
      <c r="T52" s="11">
        <f>VLOOKUP($G52, 'ADP Data'!$C$4:$Q$300, 7, FALSE)</f>
        <v>110</v>
      </c>
      <c r="U52" s="11">
        <f>VLOOKUP($G52, 'ADP Data'!$C$4:$Q$300, 8, FALSE)</f>
        <v>65</v>
      </c>
      <c r="V52" s="11">
        <f t="shared" si="8"/>
        <v>116</v>
      </c>
      <c r="W52" s="11">
        <f t="shared" si="9"/>
        <v>15</v>
      </c>
      <c r="X52" s="11">
        <f t="shared" si="10"/>
        <v>-11</v>
      </c>
      <c r="Y52" s="11">
        <f>VLOOKUP($G52, SeanRanks!$A$2:$K$303, 10, FALSE)-V52</f>
        <v>45</v>
      </c>
      <c r="Z52" s="29">
        <f>IF(VLOOKUP($G52, SeanRanks!$A$2:$H$303, 7, FALSE)=0, "", VLOOKUP($G52, SeanRanks!$A$2:$H$303, 7, FALSE))</f>
        <v>22</v>
      </c>
    </row>
    <row r="53" ht="14.25" hidden="1" customHeight="1">
      <c r="A53" s="11" t="s">
        <v>106</v>
      </c>
      <c r="B53" s="11">
        <f t="shared" si="4"/>
        <v>8</v>
      </c>
      <c r="C53" s="11" t="s">
        <v>95</v>
      </c>
      <c r="D53" s="11">
        <v>4.0</v>
      </c>
      <c r="E53" s="11"/>
      <c r="F53" s="11" t="str">
        <f>VLOOKUP(G53, SeanRanks!$A$2:$E$302, 4, FALSE)</f>
        <v/>
      </c>
      <c r="G53" s="11" t="s">
        <v>299</v>
      </c>
      <c r="H53" s="11" t="str">
        <f>VLOOKUP($G53, 'ADP Data'!$C$4:$Q$300, 2, FALSE)</f>
        <v>NE</v>
      </c>
      <c r="I53" s="11">
        <f>VLOOKUP(G53, 'ADP Data'!$C$4:$R$498, 12, FALSE)</f>
        <v>67</v>
      </c>
      <c r="J53" s="49" t="str">
        <f>VLOOKUP($G53, SeanRanks!$A$2:$H$303, 5, FALSE)</f>
        <v/>
      </c>
      <c r="K53" s="11" t="str">
        <f>IF(VLOOKUP($G53, SeanRanks!$A$2:$H$303, 6, FALSE)=0, "", VLOOKUP($G53, SeanRanks!$A$2:$H$303, 6, FALSE))</f>
        <v>WR3 - 3 - lower ceiling</v>
      </c>
      <c r="L53" s="11">
        <f t="shared" si="5"/>
        <v>12</v>
      </c>
      <c r="M53" s="11">
        <f>VLOOKUP($G53, 'ADP Data'!$C$4:$Q$300, 9, FALSE)</f>
        <v>89</v>
      </c>
      <c r="N53" s="11">
        <f t="shared" si="6"/>
        <v>2</v>
      </c>
      <c r="O53" s="11">
        <f>VLOOKUP($G53, 'ADP Data'!$C$4:$Q$300, 3, FALSE)</f>
        <v>91</v>
      </c>
      <c r="P53" s="11">
        <f t="shared" si="7"/>
        <v>-2</v>
      </c>
      <c r="Q53" s="11">
        <f>VLOOKUP($G53, 'ADP Data'!$C$4:$Q$300, 4, FALSE)</f>
        <v>88</v>
      </c>
      <c r="R53" s="11">
        <f>VLOOKUP($G53, 'ADP Data'!$C$4:$Q$300, 5, FALSE)</f>
        <v>89</v>
      </c>
      <c r="S53" s="11">
        <f>VLOOKUP($G53, 'ADP Data'!$C$4:$Q$300, 6, FALSE)</f>
        <v>85</v>
      </c>
      <c r="T53" s="11">
        <f>VLOOKUP($G53, 'ADP Data'!$C$4:$Q$300, 7, FALSE)</f>
        <v>77</v>
      </c>
      <c r="U53" s="11">
        <f>VLOOKUP($G53, 'ADP Data'!$C$4:$Q$300, 8, FALSE)</f>
        <v>95</v>
      </c>
      <c r="V53" s="11">
        <f t="shared" si="8"/>
        <v>87</v>
      </c>
      <c r="W53" s="11">
        <f t="shared" si="9"/>
        <v>11</v>
      </c>
      <c r="X53" s="11">
        <f t="shared" si="10"/>
        <v>-7</v>
      </c>
      <c r="Y53" s="11">
        <f>VLOOKUP($G53, SeanRanks!$A$2:$K$303, 10, FALSE)-V53</f>
        <v>-10</v>
      </c>
      <c r="Z53" s="29">
        <f>IF(VLOOKUP($G53, SeanRanks!$A$2:$H$303, 7, FALSE)=0, "", VLOOKUP($G53, SeanRanks!$A$2:$H$303, 7, FALSE))</f>
        <v>38</v>
      </c>
    </row>
    <row r="54" ht="14.25" hidden="1" customHeight="1">
      <c r="A54" s="11"/>
      <c r="B54" s="11">
        <f t="shared" si="4"/>
        <v>4</v>
      </c>
      <c r="C54" s="11" t="s">
        <v>95</v>
      </c>
      <c r="D54" s="11">
        <v>4.0</v>
      </c>
      <c r="E54" s="11" t="s">
        <v>151</v>
      </c>
      <c r="F54" s="11" t="str">
        <f>VLOOKUP(G54, SeanRanks!$A$2:$E$302, 4, FALSE)</f>
        <v/>
      </c>
      <c r="G54" s="11" t="s">
        <v>101</v>
      </c>
      <c r="H54" s="11" t="str">
        <f>VLOOKUP($G54, 'ADP Data'!$C$4:$Q$300, 2, FALSE)</f>
        <v>SEA</v>
      </c>
      <c r="I54" s="11">
        <f>VLOOKUP(G54, 'ADP Data'!$C$4:$R$498, 12, FALSE)</f>
        <v>39</v>
      </c>
      <c r="J54" s="52" t="str">
        <f>VLOOKUP($G54, SeanRanks!$A$2:$H$303, 5, FALSE)</f>
        <v/>
      </c>
      <c r="K54" s="11" t="str">
        <f>IF(VLOOKUP($G54, SeanRanks!$A$2:$H$303, 6, FALSE)=0, "", VLOOKUP($G54, SeanRanks!$A$2:$H$303, 6, FALSE))</f>
        <v>RB2 - 1 - Clear path to spikes</v>
      </c>
      <c r="L54" s="11">
        <f t="shared" si="5"/>
        <v>6</v>
      </c>
      <c r="M54" s="11">
        <f>VLOOKUP($G54, 'ADP Data'!$C$4:$Q$300, 9, FALSE)</f>
        <v>43</v>
      </c>
      <c r="N54" s="11">
        <f t="shared" si="6"/>
        <v>2</v>
      </c>
      <c r="O54" s="11">
        <f>VLOOKUP($G54, 'ADP Data'!$C$4:$Q$300, 3, FALSE)</f>
        <v>33</v>
      </c>
      <c r="P54" s="11">
        <f t="shared" si="7"/>
        <v>10</v>
      </c>
      <c r="Q54" s="11">
        <f>VLOOKUP($G54, 'ADP Data'!$C$4:$Q$300, 4, FALSE)</f>
        <v>47</v>
      </c>
      <c r="R54" s="11">
        <f>VLOOKUP($G54, 'ADP Data'!$C$4:$Q$300, 5, FALSE)</f>
        <v>55</v>
      </c>
      <c r="S54" s="11">
        <f>VLOOKUP($G54, 'ADP Data'!$C$4:$Q$300, 6, FALSE)</f>
        <v>34</v>
      </c>
      <c r="T54" s="11">
        <f>VLOOKUP($G54, 'ADP Data'!$C$4:$Q$300, 7, FALSE)</f>
        <v>41</v>
      </c>
      <c r="U54" s="11">
        <f>VLOOKUP($G54, 'ADP Data'!$C$4:$Q$300, 8, FALSE)</f>
        <v>40</v>
      </c>
      <c r="V54" s="11">
        <f t="shared" si="8"/>
        <v>41</v>
      </c>
      <c r="W54" s="11">
        <f t="shared" si="9"/>
        <v>6</v>
      </c>
      <c r="X54" s="11">
        <f t="shared" si="10"/>
        <v>-2</v>
      </c>
      <c r="Y54" s="11">
        <f>VLOOKUP($G54, SeanRanks!$A$2:$K$303, 10, FALSE)-V54</f>
        <v>-3</v>
      </c>
      <c r="Z54" s="29">
        <f>IF(VLOOKUP($G54, SeanRanks!$A$2:$H$303, 7, FALSE)=0, "", VLOOKUP($G54, SeanRanks!$A$2:$H$303, 7, FALSE))</f>
        <v>13</v>
      </c>
    </row>
    <row r="55" ht="14.25" hidden="1" customHeight="1">
      <c r="A55" s="11"/>
      <c r="B55" s="11">
        <f t="shared" si="4"/>
        <v>4</v>
      </c>
      <c r="C55" s="11" t="s">
        <v>95</v>
      </c>
      <c r="D55" s="11">
        <v>4.0</v>
      </c>
      <c r="E55" s="11" t="s">
        <v>151</v>
      </c>
      <c r="F55" s="11" t="str">
        <f>VLOOKUP(G55, SeanRanks!$A$2:$E$302, 4, FALSE)</f>
        <v/>
      </c>
      <c r="G55" s="11" t="s">
        <v>416</v>
      </c>
      <c r="H55" s="11" t="str">
        <f>VLOOKUP($G55, 'ADP Data'!$C$4:$Q$300, 2, FALSE)</f>
        <v>NO</v>
      </c>
      <c r="I55" s="11">
        <f>VLOOKUP(G55, 'ADP Data'!$C$4:$R$498, 12, FALSE)</f>
        <v>52</v>
      </c>
      <c r="J55" s="52" t="str">
        <f>VLOOKUP($G55, SeanRanks!$A$2:$H$303, 5, FALSE)</f>
        <v/>
      </c>
      <c r="K55" s="11" t="str">
        <f>IF(VLOOKUP($G55, SeanRanks!$A$2:$H$303, 6, FALSE)=0, "", VLOOKUP($G55, SeanRanks!$A$2:$H$303, 6, FALSE))</f>
        <v>RB2 - 1 - Clear path to spikes</v>
      </c>
      <c r="L55" s="11">
        <f t="shared" si="5"/>
        <v>6</v>
      </c>
      <c r="M55" s="11">
        <f>VLOOKUP($G55, 'ADP Data'!$C$4:$Q$300, 9, FALSE)</f>
        <v>40</v>
      </c>
      <c r="N55" s="11">
        <f t="shared" si="6"/>
        <v>-1</v>
      </c>
      <c r="O55" s="11">
        <f>VLOOKUP($G55, 'ADP Data'!$C$4:$Q$300, 3, FALSE)</f>
        <v>28</v>
      </c>
      <c r="P55" s="11">
        <f t="shared" si="7"/>
        <v>12</v>
      </c>
      <c r="Q55" s="11">
        <f>VLOOKUP($G55, 'ADP Data'!$C$4:$Q$300, 4, FALSE)</f>
        <v>38</v>
      </c>
      <c r="R55" s="11">
        <f>VLOOKUP($G55, 'ADP Data'!$C$4:$Q$300, 5, FALSE)</f>
        <v>53</v>
      </c>
      <c r="S55" s="11">
        <f>VLOOKUP($G55, 'ADP Data'!$C$4:$Q$300, 6, FALSE)</f>
        <v>37</v>
      </c>
      <c r="T55" s="11">
        <f>VLOOKUP($G55, 'ADP Data'!$C$4:$Q$300, 7, FALSE)</f>
        <v>49</v>
      </c>
      <c r="U55" s="11">
        <f>VLOOKUP($G55, 'ADP Data'!$C$4:$Q$300, 8, FALSE)</f>
        <v>44</v>
      </c>
      <c r="V55" s="11">
        <f t="shared" si="8"/>
        <v>41</v>
      </c>
      <c r="W55" s="11">
        <f t="shared" si="9"/>
        <v>6</v>
      </c>
      <c r="X55" s="11">
        <f t="shared" si="10"/>
        <v>-2</v>
      </c>
      <c r="Y55" s="11">
        <f>VLOOKUP($G55, SeanRanks!$A$2:$K$303, 10, FALSE)-V55</f>
        <v>0</v>
      </c>
      <c r="Z55" s="29">
        <f>IF(VLOOKUP($G55, SeanRanks!$A$2:$H$303, 7, FALSE)=0, "", VLOOKUP($G55, SeanRanks!$A$2:$H$303, 7, FALSE))</f>
        <v>18</v>
      </c>
    </row>
    <row r="56" ht="14.25" hidden="1" customHeight="1">
      <c r="A56" s="11" t="s">
        <v>106</v>
      </c>
      <c r="B56" s="11">
        <f t="shared" si="4"/>
        <v>11</v>
      </c>
      <c r="C56" s="11" t="s">
        <v>95</v>
      </c>
      <c r="D56" s="11">
        <v>5.0</v>
      </c>
      <c r="E56" s="11"/>
      <c r="F56" s="11" t="str">
        <f>VLOOKUP(G56, SeanRanks!$A$2:$E$302, 4, FALSE)</f>
        <v/>
      </c>
      <c r="G56" s="11" t="s">
        <v>334</v>
      </c>
      <c r="H56" s="11" t="str">
        <f>VLOOKUP($G56, 'ADP Data'!$C$4:$Q$300, 2, FALSE)</f>
        <v>BUF</v>
      </c>
      <c r="I56" s="11">
        <f>VLOOKUP(G56, 'ADP Data'!$C$4:$R$498, 12, FALSE)</f>
        <v>131</v>
      </c>
      <c r="J56" s="53" t="str">
        <f>VLOOKUP($G56, SeanRanks!$A$2:$H$303, 5, FALSE)</f>
        <v/>
      </c>
      <c r="K56" s="11" t="str">
        <f>IF(VLOOKUP($G56, SeanRanks!$A$2:$H$303, 6, FALSE)=0, "", VLOOKUP($G56, SeanRanks!$A$2:$H$303, 6, FALSE))</f>
        <v/>
      </c>
      <c r="L56" s="11">
        <f t="shared" si="5"/>
        <v>15</v>
      </c>
      <c r="M56" s="11">
        <f>VLOOKUP($G56, 'ADP Data'!$C$4:$Q$300, 9, FALSE)</f>
        <v>119</v>
      </c>
      <c r="N56" s="11">
        <f t="shared" si="6"/>
        <v>-9</v>
      </c>
      <c r="O56" s="11">
        <f>VLOOKUP($G56, 'ADP Data'!$C$4:$Q$300, 3, FALSE)</f>
        <v>142</v>
      </c>
      <c r="P56" s="11">
        <f t="shared" si="7"/>
        <v>-23</v>
      </c>
      <c r="Q56" s="11">
        <f>VLOOKUP($G56, 'ADP Data'!$C$4:$Q$300, 4, FALSE)</f>
        <v>126</v>
      </c>
      <c r="R56" s="11">
        <f>VLOOKUP($G56, 'ADP Data'!$C$4:$Q$300, 5, FALSE)</f>
        <v>142</v>
      </c>
      <c r="S56" s="11">
        <f>VLOOKUP($G56, 'ADP Data'!$C$4:$Q$300, 6, FALSE)</f>
        <v>107</v>
      </c>
      <c r="T56" s="11">
        <f>VLOOKUP($G56, 'ADP Data'!$C$4:$Q$300, 7, FALSE)</f>
        <v>133</v>
      </c>
      <c r="U56" s="11">
        <f>VLOOKUP($G56, 'ADP Data'!$C$4:$Q$300, 8, FALSE)</f>
        <v>128</v>
      </c>
      <c r="V56" s="11">
        <f t="shared" si="8"/>
        <v>128</v>
      </c>
      <c r="W56" s="11">
        <f t="shared" si="9"/>
        <v>17</v>
      </c>
      <c r="X56" s="11">
        <f t="shared" si="10"/>
        <v>-12</v>
      </c>
      <c r="Y56" s="11">
        <f>VLOOKUP($G56, SeanRanks!$A$2:$K$303, 10, FALSE)-V56</f>
        <v>-8</v>
      </c>
      <c r="Z56" s="29" t="str">
        <f>IF(VLOOKUP($G56, SeanRanks!$A$2:$H$303, 7, FALSE)=0, "", VLOOKUP($G56, SeanRanks!$A$2:$H$303, 7, FALSE))</f>
        <v/>
      </c>
    </row>
    <row r="57" ht="14.25" hidden="1" customHeight="1">
      <c r="A57" s="11" t="s">
        <v>106</v>
      </c>
      <c r="B57" s="11">
        <f t="shared" si="4"/>
        <v>21</v>
      </c>
      <c r="C57" s="11" t="s">
        <v>95</v>
      </c>
      <c r="D57" s="11">
        <v>3.0</v>
      </c>
      <c r="E57" s="11"/>
      <c r="F57" s="11" t="str">
        <f>VLOOKUP(G57, SeanRanks!$A$2:$E$302, 4, FALSE)</f>
        <v/>
      </c>
      <c r="G57" s="11" t="s">
        <v>796</v>
      </c>
      <c r="H57" s="11" t="str">
        <f>VLOOKUP($G57, 'ADP Data'!$C$4:$Q$300, 2, FALSE)</f>
        <v>LV</v>
      </c>
      <c r="I57" s="11">
        <f>VLOOKUP(G57, 'ADP Data'!$C$4:$R$498, 12, FALSE)</f>
        <v>197</v>
      </c>
      <c r="J57" s="40" t="str">
        <f>VLOOKUP($G57, SeanRanks!$A$2:$H$303, 5, FALSE)</f>
        <v/>
      </c>
      <c r="K57" s="11" t="str">
        <f>IF(VLOOKUP($G57, SeanRanks!$A$2:$H$303, 6, FALSE)=0, "", VLOOKUP($G57, SeanRanks!$A$2:$H$303, 6, FALSE))</f>
        <v/>
      </c>
      <c r="L57" s="11">
        <f t="shared" si="5"/>
        <v>32</v>
      </c>
      <c r="M57" s="11">
        <f>VLOOKUP($G57, 'ADP Data'!$C$4:$Q$300, 9, FALSE)</f>
        <v>250</v>
      </c>
      <c r="N57" s="11">
        <f t="shared" si="6"/>
        <v>17</v>
      </c>
      <c r="O57" s="11">
        <f>VLOOKUP($G57, 'ADP Data'!$C$4:$Q$300, 3, FALSE)</f>
        <v>143</v>
      </c>
      <c r="P57" s="11">
        <f t="shared" si="7"/>
        <v>107</v>
      </c>
      <c r="Q57" s="11">
        <f>VLOOKUP($G57, 'ADP Data'!$C$4:$Q$300, 4, FALSE)</f>
        <v>189</v>
      </c>
      <c r="R57" s="11">
        <f>VLOOKUP($G57, 'ADP Data'!$C$4:$Q$300, 5, FALSE)</f>
        <v>308</v>
      </c>
      <c r="S57" s="11">
        <f>VLOOKUP($G57, 'ADP Data'!$C$4:$Q$300, 6, FALSE)</f>
        <v>227</v>
      </c>
      <c r="T57" s="11">
        <f>VLOOKUP($G57, 'ADP Data'!$C$4:$Q$300, 7, FALSE)</f>
        <v>229</v>
      </c>
      <c r="U57" s="11">
        <f>VLOOKUP($G57, 'ADP Data'!$C$4:$Q$300, 8, FALSE)</f>
        <v>290</v>
      </c>
      <c r="V57" s="11">
        <f t="shared" si="8"/>
        <v>233</v>
      </c>
      <c r="W57" s="11">
        <f t="shared" si="9"/>
        <v>30</v>
      </c>
      <c r="X57" s="11">
        <f t="shared" si="10"/>
        <v>-27</v>
      </c>
      <c r="Y57" s="11">
        <f>VLOOKUP($G57, SeanRanks!$A$2:$K$303, 10, FALSE)-V57</f>
        <v>17</v>
      </c>
      <c r="Z57" s="29" t="str">
        <f>IF(VLOOKUP($G57, SeanRanks!$A$2:$H$303, 7, FALSE)=0, "", VLOOKUP($G57, SeanRanks!$A$2:$H$303, 7, FALSE))</f>
        <v/>
      </c>
    </row>
    <row r="58" ht="14.25" hidden="1" customHeight="1">
      <c r="A58" s="11"/>
      <c r="B58" s="11">
        <f t="shared" si="4"/>
        <v>12</v>
      </c>
      <c r="C58" s="11" t="s">
        <v>95</v>
      </c>
      <c r="D58" s="11">
        <v>6.0</v>
      </c>
      <c r="E58" s="11"/>
      <c r="F58" s="11" t="str">
        <f>VLOOKUP(G58, SeanRanks!$A$2:$E$302, 4, FALSE)</f>
        <v/>
      </c>
      <c r="G58" s="11" t="s">
        <v>424</v>
      </c>
      <c r="H58" s="11" t="str">
        <f>VLOOKUP($G58, 'ADP Data'!$C$4:$Q$300, 2, FALSE)</f>
        <v>HOU</v>
      </c>
      <c r="I58" s="11">
        <f>VLOOKUP(G58, 'ADP Data'!$C$4:$R$498, 12, FALSE)</f>
        <v>129</v>
      </c>
      <c r="J58" s="54" t="str">
        <f>VLOOKUP($G58, SeanRanks!$A$2:$H$303, 5, FALSE)</f>
        <v/>
      </c>
      <c r="K58" s="11" t="str">
        <f>IF(VLOOKUP($G58, SeanRanks!$A$2:$H$303, 6, FALSE)=0, "", VLOOKUP($G58, SeanRanks!$A$2:$H$303, 6, FALSE))</f>
        <v>QB2 - 2 - Not League Winner</v>
      </c>
      <c r="L58" s="11">
        <f t="shared" si="5"/>
        <v>16</v>
      </c>
      <c r="M58" s="11">
        <f>VLOOKUP($G58, 'ADP Data'!$C$4:$Q$300, 9, FALSE)</f>
        <v>125</v>
      </c>
      <c r="N58" s="11">
        <f t="shared" si="6"/>
        <v>-8</v>
      </c>
      <c r="O58" s="11">
        <f>VLOOKUP($G58, 'ADP Data'!$C$4:$Q$300, 3, FALSE)</f>
        <v>135</v>
      </c>
      <c r="P58" s="11">
        <f t="shared" si="7"/>
        <v>-10</v>
      </c>
      <c r="Q58" s="11">
        <f>VLOOKUP($G58, 'ADP Data'!$C$4:$Q$300, 4, FALSE)</f>
        <v>127</v>
      </c>
      <c r="R58" s="11">
        <f>VLOOKUP($G58, 'ADP Data'!$C$4:$Q$300, 5, FALSE)</f>
        <v>141</v>
      </c>
      <c r="S58" s="11">
        <f>VLOOKUP($G58, 'ADP Data'!$C$4:$Q$300, 6, FALSE)</f>
        <v>142</v>
      </c>
      <c r="T58" s="11">
        <f>VLOOKUP($G58, 'ADP Data'!$C$4:$Q$300, 7, FALSE)</f>
        <v>131</v>
      </c>
      <c r="U58" s="11">
        <f>VLOOKUP($G58, 'ADP Data'!$C$4:$Q$300, 8, FALSE)</f>
        <v>132</v>
      </c>
      <c r="V58" s="11">
        <f t="shared" si="8"/>
        <v>133</v>
      </c>
      <c r="W58" s="11">
        <f t="shared" si="9"/>
        <v>17</v>
      </c>
      <c r="X58" s="11">
        <f t="shared" si="10"/>
        <v>-11</v>
      </c>
      <c r="Y58" s="11">
        <f>VLOOKUP($G58, SeanRanks!$A$2:$K$303, 10, FALSE)-V58</f>
        <v>-4</v>
      </c>
      <c r="Z58" s="29">
        <f>IF(VLOOKUP($G58, SeanRanks!$A$2:$H$303, 7, FALSE)=0, "", VLOOKUP($G58, SeanRanks!$A$2:$H$303, 7, FALSE))</f>
        <v>18</v>
      </c>
    </row>
    <row r="59" ht="14.25" hidden="1" customHeight="1">
      <c r="A59" s="11"/>
      <c r="B59" s="11">
        <f t="shared" si="4"/>
        <v>21</v>
      </c>
      <c r="C59" s="11" t="s">
        <v>95</v>
      </c>
      <c r="D59" s="11"/>
      <c r="E59" s="27"/>
      <c r="F59" s="11" t="str">
        <f>VLOOKUP(G59, SeanRanks!$A$2:$E$302, 4, FALSE)</f>
        <v/>
      </c>
      <c r="G59" s="11" t="s">
        <v>798</v>
      </c>
      <c r="H59" s="11" t="str">
        <f>VLOOKUP($G59, 'ADP Data'!$C$4:$Q$300, 2, FALSE)</f>
        <v>IND</v>
      </c>
      <c r="I59" s="11">
        <f>VLOOKUP(G59, 'ADP Data'!$C$4:$R$498, 12, FALSE)</f>
        <v>227</v>
      </c>
      <c r="J59" s="54" t="str">
        <f>VLOOKUP($G59, SeanRanks!$A$2:$H$303, 5, FALSE)</f>
        <v/>
      </c>
      <c r="K59" s="11" t="str">
        <f>IF(VLOOKUP($G59, SeanRanks!$A$2:$H$303, 6, FALSE)=0, "", VLOOKUP($G59, SeanRanks!$A$2:$H$303, 6, FALSE))</f>
        <v>QB3 - League Winner?</v>
      </c>
      <c r="L59" s="11">
        <f t="shared" si="5"/>
        <v>29</v>
      </c>
      <c r="M59" s="11">
        <f>VLOOKUP($G59, 'ADP Data'!$C$4:$Q$300, 9, FALSE)</f>
        <v>224</v>
      </c>
      <c r="N59" s="11">
        <f t="shared" si="6"/>
        <v>-18</v>
      </c>
      <c r="O59" s="11" t="str">
        <f>VLOOKUP($G59, 'ADP Data'!$C$4:$Q$300, 3, FALSE)</f>
        <v>-</v>
      </c>
      <c r="P59" s="11" t="str">
        <f t="shared" si="7"/>
        <v>#VALUE!</v>
      </c>
      <c r="Q59" s="11">
        <f>VLOOKUP($G59, 'ADP Data'!$C$4:$Q$300, 4, FALSE)</f>
        <v>241</v>
      </c>
      <c r="R59" s="11">
        <f>VLOOKUP($G59, 'ADP Data'!$C$4:$Q$300, 5, FALSE)</f>
        <v>284</v>
      </c>
      <c r="S59" s="11">
        <f>VLOOKUP($G59, 'ADP Data'!$C$4:$Q$300, 6, FALSE)</f>
        <v>248</v>
      </c>
      <c r="T59" s="11">
        <f>VLOOKUP($G59, 'ADP Data'!$C$4:$Q$300, 7, FALSE)</f>
        <v>230</v>
      </c>
      <c r="U59" s="11">
        <f>VLOOKUP($G59, 'ADP Data'!$C$4:$Q$300, 8, FALSE)</f>
        <v>228</v>
      </c>
      <c r="V59" s="11">
        <f t="shared" si="8"/>
        <v>242</v>
      </c>
      <c r="W59" s="11">
        <f t="shared" si="9"/>
        <v>31</v>
      </c>
      <c r="X59" s="11">
        <f t="shared" si="10"/>
        <v>-31</v>
      </c>
      <c r="Y59" s="11" t="str">
        <f>VLOOKUP($G59, SeanRanks!$A$2:$K$303, 10, FALSE)-V59</f>
        <v>#VALUE!</v>
      </c>
      <c r="Z59" s="29" t="str">
        <f>IF(VLOOKUP($G59, SeanRanks!$A$2:$H$303, 7, FALSE)=0, "", VLOOKUP($G59, SeanRanks!$A$2:$H$303, 7, FALSE))</f>
        <v/>
      </c>
    </row>
    <row r="60" ht="14.25" hidden="1" customHeight="1">
      <c r="A60" s="11"/>
      <c r="B60" s="11" t="str">
        <f t="shared" si="4"/>
        <v>#N/A</v>
      </c>
      <c r="C60" s="11" t="s">
        <v>95</v>
      </c>
      <c r="D60" s="11"/>
      <c r="E60" s="11"/>
      <c r="F60" s="11" t="str">
        <f>VLOOKUP(G60, SeanRanks!$A$2:$E$302, 4, FALSE)</f>
        <v>#N/A</v>
      </c>
      <c r="G60" s="11" t="s">
        <v>472</v>
      </c>
      <c r="H60" s="11" t="str">
        <f>VLOOKUP($G60, 'ADP Data'!$C$4:$Q$300, 2, FALSE)</f>
        <v>#N/A</v>
      </c>
      <c r="I60" s="11" t="str">
        <f>VLOOKUP(G60, 'ADP Data'!$C$4:$R$498, 12, FALSE)</f>
        <v>#N/A</v>
      </c>
      <c r="J60" s="49" t="str">
        <f>VLOOKUP($G60, SeanRanks!$A$2:$H$303, 5, FALSE)</f>
        <v>#N/A</v>
      </c>
      <c r="K60" s="11" t="str">
        <f>IF(VLOOKUP($G60, SeanRanks!$A$2:$H$303, 6, FALSE)=0, "", VLOOKUP($G60, SeanRanks!$A$2:$H$303, 6, FALSE))</f>
        <v>#N/A</v>
      </c>
      <c r="L60" s="11">
        <f t="shared" si="5"/>
        <v>16</v>
      </c>
      <c r="M60" s="11" t="str">
        <f>VLOOKUP($G60, 'ADP Data'!$C$4:$Q$300, 9, FALSE)</f>
        <v>#N/A</v>
      </c>
      <c r="N60" s="11" t="str">
        <f t="shared" si="6"/>
        <v>#N/A</v>
      </c>
      <c r="O60" s="11" t="str">
        <f>VLOOKUP($G60, 'ADP Data'!$C$4:$Q$300, 3, FALSE)</f>
        <v>#N/A</v>
      </c>
      <c r="P60" s="11" t="str">
        <f t="shared" si="7"/>
        <v>#N/A</v>
      </c>
      <c r="Q60" s="11" t="str">
        <f>VLOOKUP($G60, 'ADP Data'!$C$4:$Q$300, 4, FALSE)</f>
        <v>#N/A</v>
      </c>
      <c r="R60" s="11" t="str">
        <f>VLOOKUP($G60, 'ADP Data'!$C$4:$Q$300, 5, FALSE)</f>
        <v>#N/A</v>
      </c>
      <c r="S60" s="11" t="str">
        <f>VLOOKUP($G60, 'ADP Data'!$C$4:$Q$300, 6, FALSE)</f>
        <v>#N/A</v>
      </c>
      <c r="T60" s="11" t="str">
        <f>VLOOKUP($G60, 'ADP Data'!$C$4:$Q$300, 7, FALSE)</f>
        <v>#N/A</v>
      </c>
      <c r="U60" s="11" t="str">
        <f>VLOOKUP($G60, 'ADP Data'!$C$4:$Q$300, 8, FALSE)</f>
        <v>#N/A</v>
      </c>
      <c r="V60" s="11" t="str">
        <f t="shared" si="8"/>
        <v>#N/A</v>
      </c>
      <c r="W60" s="11">
        <f t="shared" si="9"/>
        <v>16</v>
      </c>
      <c r="X60" s="11">
        <f t="shared" si="10"/>
        <v>-16</v>
      </c>
      <c r="Y60" s="11" t="str">
        <f>VLOOKUP($G60, SeanRanks!$A$2:$K$303, 10, FALSE)-V60</f>
        <v>#N/A</v>
      </c>
      <c r="Z60" s="29" t="str">
        <f>IF(VLOOKUP($G60, SeanRanks!$A$2:$H$303, 7, FALSE)=0, "", VLOOKUP($G60, SeanRanks!$A$2:$H$303, 7, FALSE))</f>
        <v>#N/A</v>
      </c>
    </row>
    <row r="61" ht="14.25" hidden="1" customHeight="1">
      <c r="A61" s="11"/>
      <c r="B61" s="11">
        <f t="shared" si="4"/>
        <v>4</v>
      </c>
      <c r="C61" s="11" t="s">
        <v>95</v>
      </c>
      <c r="D61" s="11">
        <v>5.0</v>
      </c>
      <c r="E61" s="11"/>
      <c r="F61" s="11" t="str">
        <f>VLOOKUP(G61, SeanRanks!$A$2:$E$302, 4, FALSE)</f>
        <v/>
      </c>
      <c r="G61" s="11" t="s">
        <v>284</v>
      </c>
      <c r="H61" s="11" t="str">
        <f>VLOOKUP($G61, 'ADP Data'!$C$4:$Q$300, 2, FALSE)</f>
        <v>SF</v>
      </c>
      <c r="I61" s="11">
        <f>VLOOKUP(G61, 'ADP Data'!$C$4:$R$498, 12, FALSE)</f>
        <v>34</v>
      </c>
      <c r="J61" s="53" t="str">
        <f>VLOOKUP($G61, SeanRanks!$A$2:$H$303, 5, FALSE)</f>
        <v/>
      </c>
      <c r="K61" s="11" t="str">
        <f>IF(VLOOKUP($G61, SeanRanks!$A$2:$H$303, 6, FALSE)=0, "", VLOOKUP($G61, SeanRanks!$A$2:$H$303, 6, FALSE))</f>
        <v>TE1 - 1 - Elite</v>
      </c>
      <c r="L61" s="11">
        <f t="shared" si="5"/>
        <v>5</v>
      </c>
      <c r="M61" s="11">
        <f>VLOOKUP($G61, 'ADP Data'!$C$4:$Q$300, 9, FALSE)</f>
        <v>38</v>
      </c>
      <c r="N61" s="11">
        <f t="shared" si="6"/>
        <v>1</v>
      </c>
      <c r="O61" s="11">
        <f>VLOOKUP($G61, 'ADP Data'!$C$4:$Q$300, 3, FALSE)</f>
        <v>38</v>
      </c>
      <c r="P61" s="11">
        <f t="shared" si="7"/>
        <v>0</v>
      </c>
      <c r="Q61" s="11">
        <f>VLOOKUP($G61, 'ADP Data'!$C$4:$Q$300, 4, FALSE)</f>
        <v>35</v>
      </c>
      <c r="R61" s="11">
        <f>VLOOKUP($G61, 'ADP Data'!$C$4:$Q$300, 5, FALSE)</f>
        <v>49</v>
      </c>
      <c r="S61" s="11">
        <f>VLOOKUP($G61, 'ADP Data'!$C$4:$Q$300, 6, FALSE)</f>
        <v>24</v>
      </c>
      <c r="T61" s="11">
        <f>VLOOKUP($G61, 'ADP Data'!$C$4:$Q$300, 7, FALSE)</f>
        <v>40</v>
      </c>
      <c r="U61" s="11">
        <f>VLOOKUP($G61, 'ADP Data'!$C$4:$Q$300, 8, FALSE)</f>
        <v>38</v>
      </c>
      <c r="V61" s="11">
        <f t="shared" si="8"/>
        <v>37</v>
      </c>
      <c r="W61" s="11">
        <f t="shared" si="9"/>
        <v>5</v>
      </c>
      <c r="X61" s="11">
        <f t="shared" si="10"/>
        <v>0</v>
      </c>
      <c r="Y61" s="11">
        <f>VLOOKUP($G61, SeanRanks!$A$2:$K$303, 10, FALSE)-V61</f>
        <v>-12</v>
      </c>
      <c r="Z61" s="29">
        <f>IF(VLOOKUP($G61, SeanRanks!$A$2:$H$303, 7, FALSE)=0, "", VLOOKUP($G61, SeanRanks!$A$2:$H$303, 7, FALSE))</f>
        <v>3</v>
      </c>
    </row>
    <row r="62" ht="14.25" hidden="1" customHeight="1">
      <c r="A62" s="11"/>
      <c r="B62" s="11">
        <f t="shared" si="4"/>
        <v>6</v>
      </c>
      <c r="C62" s="11" t="s">
        <v>95</v>
      </c>
      <c r="D62" s="11">
        <v>4.0</v>
      </c>
      <c r="E62" s="11"/>
      <c r="F62" s="11" t="str">
        <f>VLOOKUP(G62, SeanRanks!$A$2:$E$302, 4, FALSE)</f>
        <v/>
      </c>
      <c r="G62" s="11" t="s">
        <v>150</v>
      </c>
      <c r="H62" s="11" t="str">
        <f>VLOOKUP($G62, 'ADP Data'!$C$4:$Q$300, 2, FALSE)</f>
        <v>BAL</v>
      </c>
      <c r="I62" s="11">
        <f>VLOOKUP(G62, 'ADP Data'!$C$4:$R$498, 12, FALSE)</f>
        <v>59</v>
      </c>
      <c r="J62" s="49" t="str">
        <f>VLOOKUP($G62, SeanRanks!$A$2:$H$303, 5, FALSE)</f>
        <v/>
      </c>
      <c r="K62" s="11" t="str">
        <f>IF(VLOOKUP($G62, SeanRanks!$A$2:$H$303, 6, FALSE)=0, "", VLOOKUP($G62, SeanRanks!$A$2:$H$303, 6, FALSE))</f>
        <v>WR3 - 1 - </v>
      </c>
      <c r="L62" s="11">
        <f t="shared" si="5"/>
        <v>7</v>
      </c>
      <c r="M62" s="11">
        <f>VLOOKUP($G62, 'ADP Data'!$C$4:$Q$300, 9, FALSE)</f>
        <v>55</v>
      </c>
      <c r="N62" s="11">
        <f t="shared" si="6"/>
        <v>-7</v>
      </c>
      <c r="O62" s="11">
        <f>VLOOKUP($G62, 'ADP Data'!$C$4:$Q$300, 3, FALSE)</f>
        <v>63</v>
      </c>
      <c r="P62" s="11">
        <f t="shared" si="7"/>
        <v>-8</v>
      </c>
      <c r="Q62" s="11">
        <f>VLOOKUP($G62, 'ADP Data'!$C$4:$Q$300, 4, FALSE)</f>
        <v>55</v>
      </c>
      <c r="R62" s="11">
        <f>VLOOKUP($G62, 'ADP Data'!$C$4:$Q$300, 5, FALSE)</f>
        <v>66</v>
      </c>
      <c r="S62" s="11">
        <f>VLOOKUP($G62, 'ADP Data'!$C$4:$Q$300, 6, FALSE)</f>
        <v>65</v>
      </c>
      <c r="T62" s="11">
        <f>VLOOKUP($G62, 'ADP Data'!$C$4:$Q$300, 7, FALSE)</f>
        <v>57</v>
      </c>
      <c r="U62" s="11">
        <f>VLOOKUP($G62, 'ADP Data'!$C$4:$Q$300, 8, FALSE)</f>
        <v>73</v>
      </c>
      <c r="V62" s="11">
        <f t="shared" si="8"/>
        <v>62</v>
      </c>
      <c r="W62" s="11">
        <f t="shared" si="9"/>
        <v>8</v>
      </c>
      <c r="X62" s="11">
        <f t="shared" si="10"/>
        <v>-4</v>
      </c>
      <c r="Y62" s="11">
        <f>VLOOKUP($G62, SeanRanks!$A$2:$K$303, 10, FALSE)-V62</f>
        <v>-10</v>
      </c>
      <c r="Z62" s="29">
        <f>IF(VLOOKUP($G62, SeanRanks!$A$2:$H$303, 7, FALSE)=0, "", VLOOKUP($G62, SeanRanks!$A$2:$H$303, 7, FALSE))</f>
        <v>27</v>
      </c>
    </row>
    <row r="63" ht="14.25" hidden="1" customHeight="1">
      <c r="A63" s="11"/>
      <c r="B63" s="11">
        <f t="shared" si="4"/>
        <v>3</v>
      </c>
      <c r="C63" s="11" t="s">
        <v>95</v>
      </c>
      <c r="D63" s="11">
        <v>4.0</v>
      </c>
      <c r="E63" s="11"/>
      <c r="F63" s="11" t="str">
        <f>VLOOKUP(G63, SeanRanks!$A$2:$E$302, 4, FALSE)</f>
        <v/>
      </c>
      <c r="G63" s="11" t="s">
        <v>158</v>
      </c>
      <c r="H63" s="11" t="str">
        <f>VLOOKUP($G63, 'ADP Data'!$C$4:$Q$300, 2, FALSE)</f>
        <v>CIN</v>
      </c>
      <c r="I63" s="11">
        <f>VLOOKUP(G63, 'ADP Data'!$C$4:$R$498, 12, FALSE)</f>
        <v>25</v>
      </c>
      <c r="J63" s="30" t="str">
        <f>VLOOKUP($G63, SeanRanks!$A$2:$H$303, 5, FALSE)</f>
        <v/>
      </c>
      <c r="K63" s="11" t="str">
        <f>IF(VLOOKUP($G63, SeanRanks!$A$2:$H$303, 6, FALSE)=0, "", VLOOKUP($G63, SeanRanks!$A$2:$H$303, 6, FALSE))</f>
        <v>WR1 - 3 - Inconsistent</v>
      </c>
      <c r="L63" s="11">
        <f t="shared" si="5"/>
        <v>4</v>
      </c>
      <c r="M63" s="11">
        <f>VLOOKUP($G63, 'ADP Data'!$C$4:$Q$300, 9, FALSE)</f>
        <v>31</v>
      </c>
      <c r="N63" s="11">
        <f t="shared" si="6"/>
        <v>1</v>
      </c>
      <c r="O63" s="11">
        <f>VLOOKUP($G63, 'ADP Data'!$C$4:$Q$300, 3, FALSE)</f>
        <v>32</v>
      </c>
      <c r="P63" s="11">
        <f t="shared" si="7"/>
        <v>-1</v>
      </c>
      <c r="Q63" s="11">
        <f>VLOOKUP($G63, 'ADP Data'!$C$4:$Q$300, 4, FALSE)</f>
        <v>26</v>
      </c>
      <c r="R63" s="11">
        <f>VLOOKUP($G63, 'ADP Data'!$C$4:$Q$300, 5, FALSE)</f>
        <v>33</v>
      </c>
      <c r="S63" s="11">
        <f>VLOOKUP($G63, 'ADP Data'!$C$4:$Q$300, 6, FALSE)</f>
        <v>30</v>
      </c>
      <c r="T63" s="11">
        <f>VLOOKUP($G63, 'ADP Data'!$C$4:$Q$300, 7, FALSE)</f>
        <v>29</v>
      </c>
      <c r="U63" s="11">
        <f>VLOOKUP($G63, 'ADP Data'!$C$4:$Q$300, 8, FALSE)</f>
        <v>33</v>
      </c>
      <c r="V63" s="11">
        <f t="shared" si="8"/>
        <v>30</v>
      </c>
      <c r="W63" s="11">
        <f t="shared" si="9"/>
        <v>4</v>
      </c>
      <c r="X63" s="11">
        <f t="shared" si="10"/>
        <v>0</v>
      </c>
      <c r="Y63" s="11">
        <f>VLOOKUP($G63, SeanRanks!$A$2:$K$303, 10, FALSE)-V63</f>
        <v>-1</v>
      </c>
      <c r="Z63" s="29">
        <f>IF(VLOOKUP($G63, SeanRanks!$A$2:$H$303, 7, FALSE)=0, "", VLOOKUP($G63, SeanRanks!$A$2:$H$303, 7, FALSE))</f>
        <v>12</v>
      </c>
    </row>
    <row r="64" ht="14.25" hidden="1" customHeight="1">
      <c r="A64" s="11"/>
      <c r="B64" s="11">
        <f t="shared" si="4"/>
        <v>6</v>
      </c>
      <c r="C64" s="11" t="s">
        <v>95</v>
      </c>
      <c r="D64" s="11">
        <v>4.0</v>
      </c>
      <c r="E64" s="11"/>
      <c r="F64" s="11" t="str">
        <f>VLOOKUP(G64, SeanRanks!$A$2:$E$302, 4, FALSE)</f>
        <v/>
      </c>
      <c r="G64" s="11" t="s">
        <v>121</v>
      </c>
      <c r="H64" s="11" t="str">
        <f>VLOOKUP($G64, 'ADP Data'!$C$4:$Q$300, 2, FALSE)</f>
        <v>DAL</v>
      </c>
      <c r="I64" s="11">
        <f>VLOOKUP(G64, 'ADP Data'!$C$4:$R$498, 12, FALSE)</f>
        <v>45</v>
      </c>
      <c r="J64" s="49" t="str">
        <f>VLOOKUP($G64, SeanRanks!$A$2:$H$303, 5, FALSE)</f>
        <v>Yes</v>
      </c>
      <c r="K64" s="11" t="str">
        <f>IF(VLOOKUP($G64, SeanRanks!$A$2:$H$303, 6, FALSE)=0, "", VLOOKUP($G64, SeanRanks!$A$2:$H$303, 6, FALSE))</f>
        <v>WR2 - 2 - Upside with risk</v>
      </c>
      <c r="L64" s="11">
        <f t="shared" si="5"/>
        <v>8</v>
      </c>
      <c r="M64" s="11">
        <f>VLOOKUP($G64, 'ADP Data'!$C$4:$Q$300, 9, FALSE)</f>
        <v>62</v>
      </c>
      <c r="N64" s="11">
        <f t="shared" si="6"/>
        <v>-1</v>
      </c>
      <c r="O64" s="11">
        <f>VLOOKUP($G64, 'ADP Data'!$C$4:$Q$300, 3, FALSE)</f>
        <v>62</v>
      </c>
      <c r="P64" s="11">
        <f t="shared" si="7"/>
        <v>0</v>
      </c>
      <c r="Q64" s="11">
        <f>VLOOKUP($G64, 'ADP Data'!$C$4:$Q$300, 4, FALSE)</f>
        <v>67</v>
      </c>
      <c r="R64" s="11">
        <f>VLOOKUP($G64, 'ADP Data'!$C$4:$Q$300, 5, FALSE)</f>
        <v>73</v>
      </c>
      <c r="S64" s="11">
        <f>VLOOKUP($G64, 'ADP Data'!$C$4:$Q$300, 6, FALSE)</f>
        <v>54</v>
      </c>
      <c r="T64" s="11">
        <f>VLOOKUP($G64, 'ADP Data'!$C$4:$Q$300, 7, FALSE)</f>
        <v>52</v>
      </c>
      <c r="U64" s="11">
        <f>VLOOKUP($G64, 'ADP Data'!$C$4:$Q$300, 8, FALSE)</f>
        <v>75</v>
      </c>
      <c r="V64" s="11">
        <f t="shared" si="8"/>
        <v>63</v>
      </c>
      <c r="W64" s="11">
        <f t="shared" si="9"/>
        <v>8</v>
      </c>
      <c r="X64" s="11">
        <f t="shared" si="10"/>
        <v>-4</v>
      </c>
      <c r="Y64" s="11">
        <f>VLOOKUP($G64, SeanRanks!$A$2:$K$303, 10, FALSE)-V64</f>
        <v>-16</v>
      </c>
      <c r="Z64" s="29">
        <f>IF(VLOOKUP($G64, SeanRanks!$A$2:$H$303, 7, FALSE)=0, "", VLOOKUP($G64, SeanRanks!$A$2:$H$303, 7, FALSE))</f>
        <v>21</v>
      </c>
    </row>
    <row r="65" ht="14.25" hidden="1" customHeight="1">
      <c r="A65" s="11"/>
      <c r="B65" s="11">
        <f t="shared" si="4"/>
        <v>6</v>
      </c>
      <c r="C65" s="11" t="s">
        <v>95</v>
      </c>
      <c r="D65" s="11">
        <v>4.0</v>
      </c>
      <c r="E65" s="11"/>
      <c r="F65" s="11" t="str">
        <f>VLOOKUP(G65, SeanRanks!$A$2:$E$302, 4, FALSE)</f>
        <v/>
      </c>
      <c r="G65" s="11" t="s">
        <v>134</v>
      </c>
      <c r="H65" s="11" t="str">
        <f>VLOOKUP($G65, 'ADP Data'!$C$4:$Q$300, 2, FALSE)</f>
        <v>KC</v>
      </c>
      <c r="I65" s="11">
        <f>VLOOKUP(G65, 'ADP Data'!$C$4:$R$498, 12, FALSE)</f>
        <v>70</v>
      </c>
      <c r="J65" s="49" t="str">
        <f>VLOOKUP($G65, SeanRanks!$A$2:$H$303, 5, FALSE)</f>
        <v>Yes</v>
      </c>
      <c r="K65" s="11" t="str">
        <f>IF(VLOOKUP($G65, SeanRanks!$A$2:$H$303, 6, FALSE)=0, "", VLOOKUP($G65, SeanRanks!$A$2:$H$303, 6, FALSE))</f>
        <v>WR3 - 1 - </v>
      </c>
      <c r="L65" s="11">
        <f t="shared" si="5"/>
        <v>7</v>
      </c>
      <c r="M65" s="11">
        <f>VLOOKUP($G65, 'ADP Data'!$C$4:$Q$300, 9, FALSE)</f>
        <v>49</v>
      </c>
      <c r="N65" s="11">
        <f t="shared" si="6"/>
        <v>-19</v>
      </c>
      <c r="O65" s="11">
        <f>VLOOKUP($G65, 'ADP Data'!$C$4:$Q$300, 3, FALSE)</f>
        <v>84</v>
      </c>
      <c r="P65" s="11">
        <f t="shared" si="7"/>
        <v>-35</v>
      </c>
      <c r="Q65" s="11">
        <f>VLOOKUP($G65, 'ADP Data'!$C$4:$Q$300, 4, FALSE)</f>
        <v>71</v>
      </c>
      <c r="R65" s="11">
        <f>VLOOKUP($G65, 'ADP Data'!$C$4:$Q$300, 5, FALSE)</f>
        <v>98</v>
      </c>
      <c r="S65" s="11">
        <f>VLOOKUP($G65, 'ADP Data'!$C$4:$Q$300, 6, FALSE)</f>
        <v>72</v>
      </c>
      <c r="T65" s="11">
        <f>VLOOKUP($G65, 'ADP Data'!$C$4:$Q$300, 7, FALSE)</f>
        <v>60</v>
      </c>
      <c r="U65" s="11">
        <f>VLOOKUP($G65, 'ADP Data'!$C$4:$Q$300, 8, FALSE)</f>
        <v>47</v>
      </c>
      <c r="V65" s="11">
        <f t="shared" si="8"/>
        <v>68</v>
      </c>
      <c r="W65" s="11">
        <f t="shared" si="9"/>
        <v>9</v>
      </c>
      <c r="X65" s="11">
        <f t="shared" si="10"/>
        <v>-5</v>
      </c>
      <c r="Y65" s="11">
        <f>VLOOKUP($G65, SeanRanks!$A$2:$K$303, 10, FALSE)-V65</f>
        <v>6</v>
      </c>
      <c r="Z65" s="29">
        <f>IF(VLOOKUP($G65, SeanRanks!$A$2:$H$303, 7, FALSE)=0, "", VLOOKUP($G65, SeanRanks!$A$2:$H$303, 7, FALSE))</f>
        <v>29</v>
      </c>
    </row>
    <row r="66" ht="14.25" hidden="1" customHeight="1">
      <c r="A66" s="11"/>
      <c r="B66" s="11">
        <f t="shared" si="4"/>
        <v>12</v>
      </c>
      <c r="C66" s="11" t="s">
        <v>95</v>
      </c>
      <c r="D66" s="11">
        <v>6.0</v>
      </c>
      <c r="E66" s="11"/>
      <c r="F66" s="11" t="str">
        <f>VLOOKUP(G66, SeanRanks!$A$2:$E$302, 4, FALSE)</f>
        <v/>
      </c>
      <c r="G66" s="11" t="s">
        <v>248</v>
      </c>
      <c r="H66" s="11" t="str">
        <f>VLOOKUP($G66, 'ADP Data'!$C$4:$Q$300, 2, FALSE)</f>
        <v>ATL</v>
      </c>
      <c r="I66" s="11">
        <f>VLOOKUP(G66, 'ADP Data'!$C$4:$R$498, 12, FALSE)</f>
        <v>137</v>
      </c>
      <c r="J66" s="55" t="str">
        <f>VLOOKUP($G66, SeanRanks!$A$2:$H$303, 5, FALSE)</f>
        <v>Yes</v>
      </c>
      <c r="K66" s="11" t="str">
        <f>IF(VLOOKUP($G66, SeanRanks!$A$2:$H$303, 6, FALSE)=0, "", VLOOKUP($G66, SeanRanks!$A$2:$H$303, 6, FALSE))</f>
        <v>TE2 - 1 - Big Upside</v>
      </c>
      <c r="L66" s="11">
        <f t="shared" si="5"/>
        <v>16</v>
      </c>
      <c r="M66" s="11">
        <f>VLOOKUP($G66, 'ADP Data'!$C$4:$Q$300, 9, FALSE)</f>
        <v>121</v>
      </c>
      <c r="N66" s="11">
        <f t="shared" si="6"/>
        <v>-15</v>
      </c>
      <c r="O66" s="11">
        <f>VLOOKUP($G66, 'ADP Data'!$C$4:$Q$300, 3, FALSE)</f>
        <v>148</v>
      </c>
      <c r="P66" s="11">
        <f t="shared" si="7"/>
        <v>-27</v>
      </c>
      <c r="Q66" s="11">
        <f>VLOOKUP($G66, 'ADP Data'!$C$4:$Q$300, 4, FALSE)</f>
        <v>141</v>
      </c>
      <c r="R66" s="11">
        <f>VLOOKUP($G66, 'ADP Data'!$C$4:$Q$300, 5, FALSE)</f>
        <v>166</v>
      </c>
      <c r="S66" s="11">
        <f>VLOOKUP($G66, 'ADP Data'!$C$4:$Q$300, 6, FALSE)</f>
        <v>114</v>
      </c>
      <c r="T66" s="11">
        <f>VLOOKUP($G66, 'ADP Data'!$C$4:$Q$300, 7, FALSE)</f>
        <v>136</v>
      </c>
      <c r="U66" s="11">
        <f>VLOOKUP($G66, 'ADP Data'!$C$4:$Q$300, 8, FALSE)</f>
        <v>129</v>
      </c>
      <c r="V66" s="11">
        <f t="shared" si="8"/>
        <v>136</v>
      </c>
      <c r="W66" s="11">
        <f t="shared" si="9"/>
        <v>18</v>
      </c>
      <c r="X66" s="11">
        <f t="shared" si="10"/>
        <v>-12</v>
      </c>
      <c r="Y66" s="11">
        <f>VLOOKUP($G66, SeanRanks!$A$2:$K$303, 10, FALSE)-V66</f>
        <v>23</v>
      </c>
      <c r="Z66" s="29">
        <f>IF(VLOOKUP($G66, SeanRanks!$A$2:$H$303, 7, FALSE)=0, "", VLOOKUP($G66, SeanRanks!$A$2:$H$303, 7, FALSE))</f>
        <v>15</v>
      </c>
    </row>
    <row r="67" ht="14.25" hidden="1" customHeight="1">
      <c r="A67" s="11"/>
      <c r="B67" s="11">
        <f t="shared" si="4"/>
        <v>6</v>
      </c>
      <c r="C67" s="11" t="s">
        <v>95</v>
      </c>
      <c r="D67" s="11">
        <v>4.0</v>
      </c>
      <c r="E67" s="11"/>
      <c r="F67" s="11" t="str">
        <f>VLOOKUP(G67, SeanRanks!$A$2:$E$302, 4, FALSE)</f>
        <v/>
      </c>
      <c r="G67" s="11" t="s">
        <v>185</v>
      </c>
      <c r="H67" s="11" t="str">
        <f>VLOOKUP($G67, 'ADP Data'!$C$4:$Q$300, 2, FALSE)</f>
        <v>DET</v>
      </c>
      <c r="I67" s="11">
        <f>VLOOKUP(G67, 'ADP Data'!$C$4:$R$498, 12, FALSE)</f>
        <v>74</v>
      </c>
      <c r="J67" s="52" t="str">
        <f>VLOOKUP($G67, SeanRanks!$A$2:$H$303, 5, FALSE)</f>
        <v/>
      </c>
      <c r="K67" s="11" t="str">
        <f>IF(VLOOKUP($G67, SeanRanks!$A$2:$H$303, 6, FALSE)=0, "", VLOOKUP($G67, SeanRanks!$A$2:$H$303, 6, FALSE))</f>
        <v>RB2 - 2 - Path to spikes</v>
      </c>
      <c r="L67" s="11">
        <f t="shared" si="5"/>
        <v>7</v>
      </c>
      <c r="M67" s="11">
        <f>VLOOKUP($G67, 'ADP Data'!$C$4:$Q$300, 9, FALSE)</f>
        <v>52</v>
      </c>
      <c r="N67" s="11">
        <f t="shared" si="6"/>
        <v>-11</v>
      </c>
      <c r="O67" s="11">
        <f>VLOOKUP($G67, 'ADP Data'!$C$4:$Q$300, 3, FALSE)</f>
        <v>57</v>
      </c>
      <c r="P67" s="11">
        <f t="shared" si="7"/>
        <v>-5</v>
      </c>
      <c r="Q67" s="11">
        <f>VLOOKUP($G67, 'ADP Data'!$C$4:$Q$300, 4, FALSE)</f>
        <v>59</v>
      </c>
      <c r="R67" s="11">
        <f>VLOOKUP($G67, 'ADP Data'!$C$4:$Q$300, 5, FALSE)</f>
        <v>74</v>
      </c>
      <c r="S67" s="11">
        <f>VLOOKUP($G67, 'ADP Data'!$C$4:$Q$300, 6, FALSE)</f>
        <v>68</v>
      </c>
      <c r="T67" s="11">
        <f>VLOOKUP($G67, 'ADP Data'!$C$4:$Q$300, 7, FALSE)</f>
        <v>70</v>
      </c>
      <c r="U67" s="11">
        <f>VLOOKUP($G67, 'ADP Data'!$C$4:$Q$300, 8, FALSE)</f>
        <v>67</v>
      </c>
      <c r="V67" s="11">
        <f t="shared" si="8"/>
        <v>63</v>
      </c>
      <c r="W67" s="11">
        <f t="shared" si="9"/>
        <v>8</v>
      </c>
      <c r="X67" s="11">
        <f t="shared" si="10"/>
        <v>-4</v>
      </c>
      <c r="Y67" s="11">
        <f>VLOOKUP($G67, SeanRanks!$A$2:$K$303, 10, FALSE)-V67</f>
        <v>-2</v>
      </c>
      <c r="Z67" s="29">
        <f>IF(VLOOKUP($G67, SeanRanks!$A$2:$H$303, 7, FALSE)=0, "", VLOOKUP($G67, SeanRanks!$A$2:$H$303, 7, FALSE))</f>
        <v>21</v>
      </c>
    </row>
    <row r="68" ht="14.25" hidden="1" customHeight="1">
      <c r="A68" s="11"/>
      <c r="B68" s="11">
        <f t="shared" si="4"/>
        <v>5</v>
      </c>
      <c r="C68" s="11" t="s">
        <v>95</v>
      </c>
      <c r="D68" s="11">
        <v>5.0</v>
      </c>
      <c r="E68" s="11" t="s">
        <v>151</v>
      </c>
      <c r="F68" s="11" t="str">
        <f>VLOOKUP(G68, SeanRanks!$A$2:$E$302, 4, FALSE)</f>
        <v/>
      </c>
      <c r="G68" s="11" t="s">
        <v>498</v>
      </c>
      <c r="H68" s="11" t="str">
        <f>VLOOKUP($G68, 'ADP Data'!$C$4:$Q$300, 2, FALSE)</f>
        <v>ARI</v>
      </c>
      <c r="I68" s="11">
        <f>VLOOKUP(G68, 'ADP Data'!$C$4:$R$498, 12, FALSE)</f>
        <v>61</v>
      </c>
      <c r="J68" s="52" t="str">
        <f>VLOOKUP($G68, SeanRanks!$A$2:$H$303, 5, FALSE)</f>
        <v/>
      </c>
      <c r="K68" s="11" t="str">
        <f>IF(VLOOKUP($G68, SeanRanks!$A$2:$H$303, 6, FALSE)=0, "", VLOOKUP($G68, SeanRanks!$A$2:$H$303, 6, FALSE))</f>
        <v>RB2 - 1 - Clear path to spikes</v>
      </c>
      <c r="L68" s="11">
        <f t="shared" si="5"/>
        <v>6</v>
      </c>
      <c r="M68" s="11">
        <f>VLOOKUP($G68, 'ADP Data'!$C$4:$Q$300, 9, FALSE)</f>
        <v>47</v>
      </c>
      <c r="N68" s="11">
        <f t="shared" si="6"/>
        <v>-3</v>
      </c>
      <c r="O68" s="11">
        <f>VLOOKUP($G68, 'ADP Data'!$C$4:$Q$300, 3, FALSE)</f>
        <v>42</v>
      </c>
      <c r="P68" s="11">
        <f t="shared" si="7"/>
        <v>5</v>
      </c>
      <c r="Q68" s="11">
        <f>VLOOKUP($G68, 'ADP Data'!$C$4:$Q$300, 4, FALSE)</f>
        <v>46</v>
      </c>
      <c r="R68" s="11">
        <f>VLOOKUP($G68, 'ADP Data'!$C$4:$Q$300, 5, FALSE)</f>
        <v>65</v>
      </c>
      <c r="S68" s="11">
        <f>VLOOKUP($G68, 'ADP Data'!$C$4:$Q$300, 6, FALSE)</f>
        <v>49</v>
      </c>
      <c r="T68" s="11">
        <f>VLOOKUP($G68, 'ADP Data'!$C$4:$Q$300, 7, FALSE)</f>
        <v>55</v>
      </c>
      <c r="U68" s="11">
        <f>VLOOKUP($G68, 'ADP Data'!$C$4:$Q$300, 8, FALSE)</f>
        <v>49</v>
      </c>
      <c r="V68" s="11">
        <f t="shared" si="8"/>
        <v>50</v>
      </c>
      <c r="W68" s="11">
        <f t="shared" si="9"/>
        <v>7</v>
      </c>
      <c r="X68" s="11">
        <f t="shared" si="10"/>
        <v>-2</v>
      </c>
      <c r="Y68" s="11">
        <f>VLOOKUP($G68, SeanRanks!$A$2:$K$303, 10, FALSE)-V68</f>
        <v>-6</v>
      </c>
      <c r="Z68" s="29">
        <f>IF(VLOOKUP($G68, SeanRanks!$A$2:$H$303, 7, FALSE)=0, "", VLOOKUP($G68, SeanRanks!$A$2:$H$303, 7, FALSE))</f>
        <v>19</v>
      </c>
    </row>
    <row r="69" ht="14.25" hidden="1" customHeight="1">
      <c r="A69" s="11"/>
      <c r="B69" s="11">
        <f t="shared" si="4"/>
        <v>8</v>
      </c>
      <c r="C69" s="11" t="s">
        <v>95</v>
      </c>
      <c r="D69" s="11">
        <v>7.0</v>
      </c>
      <c r="E69" s="11"/>
      <c r="F69" s="11" t="str">
        <f>VLOOKUP(G69, SeanRanks!$A$2:$E$302, 4, FALSE)</f>
        <v/>
      </c>
      <c r="G69" s="11" t="s">
        <v>666</v>
      </c>
      <c r="H69" s="11" t="str">
        <f>VLOOKUP($G69, 'ADP Data'!$C$4:$Q$300, 2, FALSE)</f>
        <v>DEN</v>
      </c>
      <c r="I69" s="11">
        <f>VLOOKUP(G69, 'ADP Data'!$C$4:$R$498, 12, FALSE)</f>
        <v>100</v>
      </c>
      <c r="J69" s="55" t="str">
        <f>VLOOKUP($G69, SeanRanks!$A$2:$H$303, 5, FALSE)</f>
        <v>No</v>
      </c>
      <c r="K69" s="11" t="str">
        <f>IF(VLOOKUP($G69, SeanRanks!$A$2:$H$303, 6, FALSE)=0, "", VLOOKUP($G69, SeanRanks!$A$2:$H$303, 6, FALSE))</f>
        <v>TE1 - 3 - Weekly Start</v>
      </c>
      <c r="L69" s="11">
        <f t="shared" si="5"/>
        <v>11</v>
      </c>
      <c r="M69" s="11">
        <f>VLOOKUP($G69, 'ADP Data'!$C$4:$Q$300, 9, FALSE)</f>
        <v>87</v>
      </c>
      <c r="N69" s="11">
        <f t="shared" si="6"/>
        <v>0</v>
      </c>
      <c r="O69" s="11">
        <f>VLOOKUP($G69, 'ADP Data'!$C$4:$Q$300, 3, FALSE)</f>
        <v>97</v>
      </c>
      <c r="P69" s="11">
        <f t="shared" si="7"/>
        <v>-10</v>
      </c>
      <c r="Q69" s="11">
        <f>VLOOKUP($G69, 'ADP Data'!$C$4:$Q$300, 4, FALSE)</f>
        <v>78</v>
      </c>
      <c r="R69" s="11">
        <f>VLOOKUP($G69, 'ADP Data'!$C$4:$Q$300, 5, FALSE)</f>
        <v>103</v>
      </c>
      <c r="S69" s="11">
        <f>VLOOKUP($G69, 'ADP Data'!$C$4:$Q$300, 6, FALSE)</f>
        <v>75</v>
      </c>
      <c r="T69" s="11">
        <f>VLOOKUP($G69, 'ADP Data'!$C$4:$Q$300, 7, FALSE)</f>
        <v>95</v>
      </c>
      <c r="U69" s="11">
        <f>VLOOKUP($G69, 'ADP Data'!$C$4:$Q$300, 8, FALSE)</f>
        <v>74</v>
      </c>
      <c r="V69" s="11">
        <f t="shared" si="8"/>
        <v>87</v>
      </c>
      <c r="W69" s="11">
        <f t="shared" si="9"/>
        <v>11</v>
      </c>
      <c r="X69" s="11">
        <f t="shared" si="10"/>
        <v>-4</v>
      </c>
      <c r="Y69" s="11">
        <f>VLOOKUP($G69, SeanRanks!$A$2:$K$303, 10, FALSE)-V69</f>
        <v>5</v>
      </c>
      <c r="Z69" s="29">
        <f>IF(VLOOKUP($G69, SeanRanks!$A$2:$H$303, 7, FALSE)=0, "", VLOOKUP($G69, SeanRanks!$A$2:$H$303, 7, FALSE))</f>
        <v>8</v>
      </c>
    </row>
    <row r="70" ht="14.25" hidden="1" customHeight="1">
      <c r="A70" s="11"/>
      <c r="B70" s="11">
        <f t="shared" si="4"/>
        <v>4</v>
      </c>
      <c r="C70" s="11" t="s">
        <v>95</v>
      </c>
      <c r="D70" s="11">
        <v>4.0</v>
      </c>
      <c r="E70" s="11"/>
      <c r="F70" s="11" t="str">
        <f>VLOOKUP(G70, SeanRanks!$A$2:$E$302, 4, FALSE)</f>
        <v/>
      </c>
      <c r="G70" s="11" t="s">
        <v>191</v>
      </c>
      <c r="H70" s="11" t="str">
        <f>VLOOKUP($G70, 'ADP Data'!$C$4:$Q$300, 2, FALSE)</f>
        <v>WAS</v>
      </c>
      <c r="I70" s="11">
        <f>VLOOKUP(G70, 'ADP Data'!$C$4:$R$498, 12, FALSE)</f>
        <v>40</v>
      </c>
      <c r="J70" s="49" t="str">
        <f>VLOOKUP($G70, SeanRanks!$A$2:$H$303, 5, FALSE)</f>
        <v/>
      </c>
      <c r="K70" s="11" t="str">
        <f>IF(VLOOKUP($G70, SeanRanks!$A$2:$H$303, 6, FALSE)=0, "", VLOOKUP($G70, SeanRanks!$A$2:$H$303, 6, FALSE))</f>
        <v>WR2 - 2 - Upside with risk</v>
      </c>
      <c r="L70" s="11">
        <f t="shared" si="5"/>
        <v>6</v>
      </c>
      <c r="M70" s="11">
        <f>VLOOKUP($G70, 'ADP Data'!$C$4:$Q$300, 9, FALSE)</f>
        <v>42</v>
      </c>
      <c r="N70" s="11">
        <f t="shared" si="6"/>
        <v>0</v>
      </c>
      <c r="O70" s="11">
        <f>VLOOKUP($G70, 'ADP Data'!$C$4:$Q$300, 3, FALSE)</f>
        <v>45</v>
      </c>
      <c r="P70" s="11">
        <f t="shared" si="7"/>
        <v>-3</v>
      </c>
      <c r="Q70" s="11">
        <f>VLOOKUP($G70, 'ADP Data'!$C$4:$Q$300, 4, FALSE)</f>
        <v>36</v>
      </c>
      <c r="R70" s="11">
        <f>VLOOKUP($G70, 'ADP Data'!$C$4:$Q$300, 5, FALSE)</f>
        <v>56</v>
      </c>
      <c r="S70" s="11">
        <f>VLOOKUP($G70, 'ADP Data'!$C$4:$Q$300, 6, FALSE)</f>
        <v>46</v>
      </c>
      <c r="T70" s="11">
        <f>VLOOKUP($G70, 'ADP Data'!$C$4:$Q$300, 7, FALSE)</f>
        <v>44</v>
      </c>
      <c r="U70" s="11">
        <f>VLOOKUP($G70, 'ADP Data'!$C$4:$Q$300, 8, FALSE)</f>
        <v>28</v>
      </c>
      <c r="V70" s="11">
        <f t="shared" si="8"/>
        <v>42</v>
      </c>
      <c r="W70" s="11">
        <f t="shared" si="9"/>
        <v>6</v>
      </c>
      <c r="X70" s="11">
        <f t="shared" si="10"/>
        <v>-2</v>
      </c>
      <c r="Y70" s="11">
        <f>VLOOKUP($G70, SeanRanks!$A$2:$K$303, 10, FALSE)-V70</f>
        <v>-6</v>
      </c>
      <c r="Z70" s="29">
        <f>IF(VLOOKUP($G70, SeanRanks!$A$2:$H$303, 7, FALSE)=0, "", VLOOKUP($G70, SeanRanks!$A$2:$H$303, 7, FALSE))</f>
        <v>17</v>
      </c>
    </row>
    <row r="71" ht="14.25" hidden="1" customHeight="1">
      <c r="A71" s="11"/>
      <c r="B71" s="11">
        <f t="shared" si="4"/>
        <v>7</v>
      </c>
      <c r="C71" s="11" t="s">
        <v>95</v>
      </c>
      <c r="D71" s="11">
        <v>5.0</v>
      </c>
      <c r="E71" s="11"/>
      <c r="F71" s="11" t="str">
        <f>VLOOKUP(G71, SeanRanks!$A$2:$E$302, 4, FALSE)</f>
        <v/>
      </c>
      <c r="G71" s="11" t="s">
        <v>350</v>
      </c>
      <c r="H71" s="11" t="str">
        <f>VLOOKUP($G71, 'ADP Data'!$C$4:$Q$300, 2, FALSE)</f>
        <v>MIN</v>
      </c>
      <c r="I71" s="11">
        <f>VLOOKUP(G71, 'ADP Data'!$C$4:$R$498, 12, FALSE)</f>
        <v>75</v>
      </c>
      <c r="J71" s="48" t="str">
        <f>VLOOKUP($G71, SeanRanks!$A$2:$H$303, 5, FALSE)</f>
        <v/>
      </c>
      <c r="K71" s="11" t="str">
        <f>IF(VLOOKUP($G71, SeanRanks!$A$2:$H$303, 6, FALSE)=0, "", VLOOKUP($G71, SeanRanks!$A$2:$H$303, 6, FALSE))</f>
        <v>RB2 - 2 - Path to spikes</v>
      </c>
      <c r="L71" s="11">
        <f t="shared" si="5"/>
        <v>9</v>
      </c>
      <c r="M71" s="11">
        <f>VLOOKUP($G71, 'ADP Data'!$C$4:$Q$300, 9, FALSE)</f>
        <v>65</v>
      </c>
      <c r="N71" s="11">
        <f t="shared" si="6"/>
        <v>-4</v>
      </c>
      <c r="O71" s="11">
        <f>VLOOKUP($G71, 'ADP Data'!$C$4:$Q$300, 3, FALSE)</f>
        <v>56</v>
      </c>
      <c r="P71" s="11">
        <f t="shared" si="7"/>
        <v>9</v>
      </c>
      <c r="Q71" s="11">
        <f>VLOOKUP($G71, 'ADP Data'!$C$4:$Q$300, 4, FALSE)</f>
        <v>70</v>
      </c>
      <c r="R71" s="11">
        <f>VLOOKUP($G71, 'ADP Data'!$C$4:$Q$300, 5, FALSE)</f>
        <v>76</v>
      </c>
      <c r="S71" s="11">
        <f>VLOOKUP($G71, 'ADP Data'!$C$4:$Q$300, 6, FALSE)</f>
        <v>70</v>
      </c>
      <c r="T71" s="11">
        <f>VLOOKUP($G71, 'ADP Data'!$C$4:$Q$300, 7, FALSE)</f>
        <v>74</v>
      </c>
      <c r="U71" s="11">
        <f>VLOOKUP($G71, 'ADP Data'!$C$4:$Q$300, 8, FALSE)</f>
        <v>77</v>
      </c>
      <c r="V71" s="11">
        <f t="shared" si="8"/>
        <v>69</v>
      </c>
      <c r="W71" s="11">
        <f t="shared" si="9"/>
        <v>9</v>
      </c>
      <c r="X71" s="11">
        <f t="shared" si="10"/>
        <v>-4</v>
      </c>
      <c r="Y71" s="11">
        <f>VLOOKUP($G71, SeanRanks!$A$2:$K$303, 10, FALSE)-V71</f>
        <v>1</v>
      </c>
      <c r="Z71" s="29">
        <f>IF(VLOOKUP($G71, SeanRanks!$A$2:$H$303, 7, FALSE)=0, "", VLOOKUP($G71, SeanRanks!$A$2:$H$303, 7, FALSE))</f>
        <v>25</v>
      </c>
    </row>
    <row r="72" ht="14.25" hidden="1" customHeight="1">
      <c r="A72" s="11"/>
      <c r="B72" s="11">
        <f t="shared" si="4"/>
        <v>4</v>
      </c>
      <c r="C72" s="11" t="s">
        <v>95</v>
      </c>
      <c r="D72" s="11">
        <v>6.0</v>
      </c>
      <c r="E72" s="11"/>
      <c r="F72" s="11" t="str">
        <f>VLOOKUP(G72, SeanRanks!$A$2:$E$302, 4, FALSE)</f>
        <v/>
      </c>
      <c r="G72" s="11" t="s">
        <v>212</v>
      </c>
      <c r="H72" s="11" t="str">
        <f>VLOOKUP($G72, 'ADP Data'!$C$4:$Q$300, 2, FALSE)</f>
        <v>CIN</v>
      </c>
      <c r="I72" s="11">
        <f>VLOOKUP(G72, 'ADP Data'!$C$4:$R$498, 12, FALSE)</f>
        <v>53</v>
      </c>
      <c r="J72" s="54" t="str">
        <f>VLOOKUP($G72, SeanRanks!$A$2:$H$303, 5, FALSE)</f>
        <v/>
      </c>
      <c r="K72" s="11" t="str">
        <f>IF(VLOOKUP($G72, SeanRanks!$A$2:$H$303, 6, FALSE)=0, "", VLOOKUP($G72, SeanRanks!$A$2:$H$303, 6, FALSE))</f>
        <v>QB1 - 2 - QB1 Upside</v>
      </c>
      <c r="L72" s="11">
        <f t="shared" si="5"/>
        <v>6</v>
      </c>
      <c r="M72" s="11">
        <f>VLOOKUP($G72, 'ADP Data'!$C$4:$Q$300, 9, FALSE)</f>
        <v>41</v>
      </c>
      <c r="N72" s="11">
        <f t="shared" si="6"/>
        <v>5</v>
      </c>
      <c r="O72" s="11">
        <f>VLOOKUP($G72, 'ADP Data'!$C$4:$Q$300, 3, FALSE)</f>
        <v>25</v>
      </c>
      <c r="P72" s="11">
        <f t="shared" si="7"/>
        <v>16</v>
      </c>
      <c r="Q72" s="11">
        <f>VLOOKUP($G72, 'ADP Data'!$C$4:$Q$300, 4, FALSE)</f>
        <v>33</v>
      </c>
      <c r="R72" s="11">
        <f>VLOOKUP($G72, 'ADP Data'!$C$4:$Q$300, 5, FALSE)</f>
        <v>45</v>
      </c>
      <c r="S72" s="11">
        <f>VLOOKUP($G72, 'ADP Data'!$C$4:$Q$300, 6, FALSE)</f>
        <v>45</v>
      </c>
      <c r="T72" s="11">
        <f>VLOOKUP($G72, 'ADP Data'!$C$4:$Q$300, 7, FALSE)</f>
        <v>32</v>
      </c>
      <c r="U72" s="11">
        <f>VLOOKUP($G72, 'ADP Data'!$C$4:$Q$300, 8, FALSE)</f>
        <v>35</v>
      </c>
      <c r="V72" s="11">
        <f t="shared" si="8"/>
        <v>36</v>
      </c>
      <c r="W72" s="11">
        <f t="shared" si="9"/>
        <v>5</v>
      </c>
      <c r="X72" s="11">
        <f t="shared" si="10"/>
        <v>1</v>
      </c>
      <c r="Y72" s="11">
        <f>VLOOKUP($G72, SeanRanks!$A$2:$K$303, 10, FALSE)-V72</f>
        <v>17</v>
      </c>
      <c r="Z72" s="29">
        <f>IF(VLOOKUP($G72, SeanRanks!$A$2:$H$303, 7, FALSE)=0, "", VLOOKUP($G72, SeanRanks!$A$2:$H$303, 7, FALSE))</f>
        <v>5</v>
      </c>
    </row>
    <row r="73" ht="14.25" hidden="1" customHeight="1">
      <c r="A73" s="11"/>
      <c r="B73" s="11">
        <f t="shared" si="4"/>
        <v>8</v>
      </c>
      <c r="C73" s="11" t="s">
        <v>95</v>
      </c>
      <c r="D73" s="11">
        <v>5.0</v>
      </c>
      <c r="E73" s="11"/>
      <c r="F73" s="11" t="str">
        <f>VLOOKUP(G73, SeanRanks!$A$2:$E$302, 4, FALSE)</f>
        <v/>
      </c>
      <c r="G73" s="11" t="s">
        <v>361</v>
      </c>
      <c r="H73" s="11" t="str">
        <f>VLOOKUP($G73, 'ADP Data'!$C$4:$Q$300, 2, FALSE)</f>
        <v>ARI</v>
      </c>
      <c r="I73" s="11">
        <f>VLOOKUP(G73, 'ADP Data'!$C$4:$R$498, 12, FALSE)</f>
        <v>104</v>
      </c>
      <c r="J73" s="54" t="str">
        <f>VLOOKUP($G73, SeanRanks!$A$2:$H$303, 5, FALSE)</f>
        <v/>
      </c>
      <c r="K73" s="11" t="str">
        <f>IF(VLOOKUP($G73, SeanRanks!$A$2:$H$303, 6, FALSE)=0, "", VLOOKUP($G73, SeanRanks!$A$2:$H$303, 6, FALSE))</f>
        <v>QB1 - 3 - Top 5 Ceiling</v>
      </c>
      <c r="L73" s="11">
        <f t="shared" si="5"/>
        <v>12</v>
      </c>
      <c r="M73" s="11">
        <f>VLOOKUP($G73, 'ADP Data'!$C$4:$Q$300, 9, FALSE)</f>
        <v>91</v>
      </c>
      <c r="N73" s="11">
        <f t="shared" si="6"/>
        <v>0</v>
      </c>
      <c r="O73" s="11">
        <f>VLOOKUP($G73, 'ADP Data'!$C$4:$Q$300, 3, FALSE)</f>
        <v>82</v>
      </c>
      <c r="P73" s="11">
        <f t="shared" si="7"/>
        <v>9</v>
      </c>
      <c r="Q73" s="11">
        <f>VLOOKUP($G73, 'ADP Data'!$C$4:$Q$300, 4, FALSE)</f>
        <v>77</v>
      </c>
      <c r="R73" s="11">
        <f>VLOOKUP($G73, 'ADP Data'!$C$4:$Q$300, 5, FALSE)</f>
        <v>101</v>
      </c>
      <c r="S73" s="11">
        <f>VLOOKUP($G73, 'ADP Data'!$C$4:$Q$300, 6, FALSE)</f>
        <v>105</v>
      </c>
      <c r="T73" s="11">
        <f>VLOOKUP($G73, 'ADP Data'!$C$4:$Q$300, 7, FALSE)</f>
        <v>104</v>
      </c>
      <c r="U73" s="11">
        <f>VLOOKUP($G73, 'ADP Data'!$C$4:$Q$300, 8, FALSE)</f>
        <v>81</v>
      </c>
      <c r="V73" s="11">
        <f t="shared" si="8"/>
        <v>91</v>
      </c>
      <c r="W73" s="11">
        <f t="shared" si="9"/>
        <v>12</v>
      </c>
      <c r="X73" s="11">
        <f t="shared" si="10"/>
        <v>-7</v>
      </c>
      <c r="Y73" s="11">
        <f>VLOOKUP($G73, SeanRanks!$A$2:$K$303, 10, FALSE)-V73</f>
        <v>7</v>
      </c>
      <c r="Z73" s="29">
        <f>IF(VLOOKUP($G73, SeanRanks!$A$2:$H$303, 7, FALSE)=0, "", VLOOKUP($G73, SeanRanks!$A$2:$H$303, 7, FALSE))</f>
        <v>8</v>
      </c>
    </row>
    <row r="74" ht="14.25" hidden="1" customHeight="1">
      <c r="A74" s="11"/>
      <c r="B74" s="11">
        <f t="shared" si="4"/>
        <v>6</v>
      </c>
      <c r="C74" s="11" t="s">
        <v>95</v>
      </c>
      <c r="D74" s="11">
        <v>6.0</v>
      </c>
      <c r="E74" s="11"/>
      <c r="F74" s="11" t="str">
        <f>VLOOKUP(G74, SeanRanks!$A$2:$E$302, 4, FALSE)</f>
        <v/>
      </c>
      <c r="G74" s="11" t="s">
        <v>444</v>
      </c>
      <c r="H74" s="11" t="str">
        <f>VLOOKUP($G74, 'ADP Data'!$C$4:$Q$300, 2, FALSE)</f>
        <v>TEN</v>
      </c>
      <c r="I74" s="11">
        <f>VLOOKUP(G74, 'ADP Data'!$C$4:$R$498, 12, FALSE)</f>
        <v>51</v>
      </c>
      <c r="J74" s="49" t="str">
        <f>VLOOKUP($G74, SeanRanks!$A$2:$H$303, 5, FALSE)</f>
        <v>Yes</v>
      </c>
      <c r="K74" s="11" t="str">
        <f>IF(VLOOKUP($G74, SeanRanks!$A$2:$H$303, 6, FALSE)=0, "", VLOOKUP($G74, SeanRanks!$A$2:$H$303, 6, FALSE))</f>
        <v>WR3 - 1 - </v>
      </c>
      <c r="L74" s="11">
        <f t="shared" si="5"/>
        <v>10</v>
      </c>
      <c r="M74" s="11">
        <f>VLOOKUP($G74, 'ADP Data'!$C$4:$Q$300, 9, FALSE)</f>
        <v>72</v>
      </c>
      <c r="N74" s="11">
        <f t="shared" si="6"/>
        <v>8</v>
      </c>
      <c r="O74" s="11">
        <f>VLOOKUP($G74, 'ADP Data'!$C$4:$Q$300, 3, FALSE)</f>
        <v>67</v>
      </c>
      <c r="P74" s="11">
        <f t="shared" si="7"/>
        <v>5</v>
      </c>
      <c r="Q74" s="11">
        <f>VLOOKUP($G74, 'ADP Data'!$C$4:$Q$300, 4, FALSE)</f>
        <v>60</v>
      </c>
      <c r="R74" s="11">
        <f>VLOOKUP($G74, 'ADP Data'!$C$4:$Q$300, 5, FALSE)</f>
        <v>72</v>
      </c>
      <c r="S74" s="11">
        <f>VLOOKUP($G74, 'ADP Data'!$C$4:$Q$300, 6, FALSE)</f>
        <v>59</v>
      </c>
      <c r="T74" s="11">
        <f>VLOOKUP($G74, 'ADP Data'!$C$4:$Q$300, 7, FALSE)</f>
        <v>54</v>
      </c>
      <c r="U74" s="11">
        <f>VLOOKUP($G74, 'ADP Data'!$C$4:$Q$300, 8, FALSE)</f>
        <v>66</v>
      </c>
      <c r="V74" s="11">
        <f t="shared" si="8"/>
        <v>64</v>
      </c>
      <c r="W74" s="11">
        <f t="shared" si="9"/>
        <v>9</v>
      </c>
      <c r="X74" s="11">
        <f t="shared" si="10"/>
        <v>-3</v>
      </c>
      <c r="Y74" s="11">
        <f>VLOOKUP($G74, SeanRanks!$A$2:$K$303, 10, FALSE)-V74</f>
        <v>-6</v>
      </c>
      <c r="Z74" s="29">
        <f>IF(VLOOKUP($G74, SeanRanks!$A$2:$H$303, 7, FALSE)=0, "", VLOOKUP($G74, SeanRanks!$A$2:$H$303, 7, FALSE))</f>
        <v>25</v>
      </c>
    </row>
    <row r="75" ht="14.25" hidden="1" customHeight="1">
      <c r="A75" s="11"/>
      <c r="B75" s="11">
        <f t="shared" si="4"/>
        <v>11</v>
      </c>
      <c r="C75" s="11" t="s">
        <v>95</v>
      </c>
      <c r="D75" s="11">
        <v>6.0</v>
      </c>
      <c r="E75" s="11"/>
      <c r="F75" s="11" t="str">
        <f>VLOOKUP(G75, SeanRanks!$A$2:$E$302, 4, FALSE)</f>
        <v/>
      </c>
      <c r="G75" s="11" t="s">
        <v>226</v>
      </c>
      <c r="H75" s="11" t="str">
        <f>VLOOKUP($G75, 'ADP Data'!$C$4:$Q$300, 2, FALSE)</f>
        <v>NE</v>
      </c>
      <c r="I75" s="11">
        <f>VLOOKUP(G75, 'ADP Data'!$C$4:$R$498, 12, FALSE)</f>
        <v>135</v>
      </c>
      <c r="J75" s="48" t="str">
        <f>VLOOKUP($G75, SeanRanks!$A$2:$H$303, 5, FALSE)</f>
        <v/>
      </c>
      <c r="K75" s="11" t="str">
        <f>IF(VLOOKUP($G75, SeanRanks!$A$2:$H$303, 6, FALSE)=0, "", VLOOKUP($G75, SeanRanks!$A$2:$H$303, 6, FALSE))</f>
        <v>RB3 - 2 - low ceiling</v>
      </c>
      <c r="L75" s="11">
        <f t="shared" si="5"/>
        <v>14</v>
      </c>
      <c r="M75" s="11">
        <f>VLOOKUP($G75, 'ADP Data'!$C$4:$Q$300, 9, FALSE)</f>
        <v>111</v>
      </c>
      <c r="N75" s="11">
        <f t="shared" si="6"/>
        <v>-6</v>
      </c>
      <c r="O75" s="11">
        <f>VLOOKUP($G75, 'ADP Data'!$C$4:$Q$300, 3, FALSE)</f>
        <v>109</v>
      </c>
      <c r="P75" s="11">
        <f t="shared" si="7"/>
        <v>2</v>
      </c>
      <c r="Q75" s="11">
        <f>VLOOKUP($G75, 'ADP Data'!$C$4:$Q$300, 4, FALSE)</f>
        <v>107</v>
      </c>
      <c r="R75" s="11">
        <f>VLOOKUP($G75, 'ADP Data'!$C$4:$Q$300, 5, FALSE)</f>
        <v>118</v>
      </c>
      <c r="S75" s="11">
        <f>VLOOKUP($G75, 'ADP Data'!$C$4:$Q$300, 6, FALSE)</f>
        <v>126</v>
      </c>
      <c r="T75" s="11">
        <f>VLOOKUP($G75, 'ADP Data'!$C$4:$Q$300, 7, FALSE)</f>
        <v>121</v>
      </c>
      <c r="U75" s="11">
        <f>VLOOKUP($G75, 'ADP Data'!$C$4:$Q$300, 8, FALSE)</f>
        <v>130</v>
      </c>
      <c r="V75" s="11">
        <f t="shared" si="8"/>
        <v>117</v>
      </c>
      <c r="W75" s="11">
        <f t="shared" si="9"/>
        <v>15</v>
      </c>
      <c r="X75" s="11">
        <f t="shared" si="10"/>
        <v>-9</v>
      </c>
      <c r="Y75" s="11">
        <f>VLOOKUP($G75, SeanRanks!$A$2:$K$303, 10, FALSE)-V75</f>
        <v>-1</v>
      </c>
      <c r="Z75" s="29">
        <f>IF(VLOOKUP($G75, SeanRanks!$A$2:$H$303, 7, FALSE)=0, "", VLOOKUP($G75, SeanRanks!$A$2:$H$303, 7, FALSE))</f>
        <v>37</v>
      </c>
    </row>
    <row r="76" ht="14.25" hidden="1" customHeight="1">
      <c r="A76" s="11"/>
      <c r="B76" s="11">
        <f t="shared" si="4"/>
        <v>9</v>
      </c>
      <c r="C76" s="11" t="s">
        <v>95</v>
      </c>
      <c r="D76" s="11">
        <v>7.0</v>
      </c>
      <c r="E76" s="11"/>
      <c r="F76" s="11" t="str">
        <f>VLOOKUP(G76, SeanRanks!$A$2:$E$302, 4, FALSE)</f>
        <v/>
      </c>
      <c r="G76" s="11" t="s">
        <v>259</v>
      </c>
      <c r="H76" s="11" t="str">
        <f>VLOOKUP($G76, 'ADP Data'!$C$4:$Q$300, 2, FALSE)</f>
        <v>DAL</v>
      </c>
      <c r="I76" s="11">
        <f>VLOOKUP(G76, 'ADP Data'!$C$4:$R$498, 12, FALSE)</f>
        <v>94</v>
      </c>
      <c r="J76" s="56" t="str">
        <f>VLOOKUP($G76, SeanRanks!$A$2:$H$303, 5, FALSE)</f>
        <v/>
      </c>
      <c r="K76" s="11" t="str">
        <f>IF(VLOOKUP($G76, SeanRanks!$A$2:$H$303, 6, FALSE)=0, "", VLOOKUP($G76, SeanRanks!$A$2:$H$303, 6, FALSE))</f>
        <v>QB1 - 4 - Weekly Start</v>
      </c>
      <c r="L76" s="11">
        <f t="shared" si="5"/>
        <v>15</v>
      </c>
      <c r="M76" s="11">
        <f>VLOOKUP($G76, 'ADP Data'!$C$4:$Q$300, 9, FALSE)</f>
        <v>117</v>
      </c>
      <c r="N76" s="11">
        <f t="shared" si="6"/>
        <v>15</v>
      </c>
      <c r="O76" s="11">
        <f>VLOOKUP($G76, 'ADP Data'!$C$4:$Q$300, 3, FALSE)</f>
        <v>77</v>
      </c>
      <c r="P76" s="11">
        <f t="shared" si="7"/>
        <v>40</v>
      </c>
      <c r="Q76" s="11">
        <f>VLOOKUP($G76, 'ADP Data'!$C$4:$Q$300, 4, FALSE)</f>
        <v>99</v>
      </c>
      <c r="R76" s="11">
        <f>VLOOKUP($G76, 'ADP Data'!$C$4:$Q$300, 5, FALSE)</f>
        <v>120</v>
      </c>
      <c r="S76" s="11">
        <f>VLOOKUP($G76, 'ADP Data'!$C$4:$Q$300, 6, FALSE)</f>
        <v>97</v>
      </c>
      <c r="T76" s="11">
        <f>VLOOKUP($G76, 'ADP Data'!$C$4:$Q$300, 7, FALSE)</f>
        <v>87</v>
      </c>
      <c r="U76" s="11">
        <f>VLOOKUP($G76, 'ADP Data'!$C$4:$Q$300, 8, FALSE)</f>
        <v>117</v>
      </c>
      <c r="V76" s="11">
        <f t="shared" si="8"/>
        <v>102</v>
      </c>
      <c r="W76" s="11">
        <f t="shared" si="9"/>
        <v>13</v>
      </c>
      <c r="X76" s="11">
        <f t="shared" si="10"/>
        <v>-6</v>
      </c>
      <c r="Y76" s="11">
        <f>VLOOKUP($G76, SeanRanks!$A$2:$K$303, 10, FALSE)-V76</f>
        <v>-14</v>
      </c>
      <c r="Z76" s="29">
        <f>IF(VLOOKUP($G76, SeanRanks!$A$2:$H$303, 7, FALSE)=0, "", VLOOKUP($G76, SeanRanks!$A$2:$H$303, 7, FALSE))</f>
        <v>11</v>
      </c>
    </row>
    <row r="77" ht="14.25" hidden="1" customHeight="1">
      <c r="A77" s="11"/>
      <c r="B77" s="11">
        <f t="shared" si="4"/>
        <v>6</v>
      </c>
      <c r="C77" s="11" t="s">
        <v>95</v>
      </c>
      <c r="D77" s="11">
        <v>6.0</v>
      </c>
      <c r="E77" s="11"/>
      <c r="F77" s="11" t="str">
        <f>VLOOKUP(G77, SeanRanks!$A$2:$E$302, 4, FALSE)</f>
        <v/>
      </c>
      <c r="G77" s="11" t="s">
        <v>181</v>
      </c>
      <c r="H77" s="11" t="str">
        <f>VLOOKUP($G77, 'ADP Data'!$C$4:$Q$300, 2, FALSE)</f>
        <v>CHI</v>
      </c>
      <c r="I77" s="11">
        <f>VLOOKUP(G77, 'ADP Data'!$C$4:$R$498, 12, FALSE)</f>
        <v>58</v>
      </c>
      <c r="J77" s="52" t="str">
        <f>VLOOKUP($G77, SeanRanks!$A$2:$H$303, 5, FALSE)</f>
        <v>No</v>
      </c>
      <c r="K77" s="11" t="str">
        <f>IF(VLOOKUP($G77, SeanRanks!$A$2:$H$303, 6, FALSE)=0, "", VLOOKUP($G77, SeanRanks!$A$2:$H$303, 6, FALSE))</f>
        <v>RB2 - 2 - Path to spikes</v>
      </c>
      <c r="L77" s="11">
        <f t="shared" si="5"/>
        <v>9</v>
      </c>
      <c r="M77" s="11">
        <f>VLOOKUP($G77, 'ADP Data'!$C$4:$Q$300, 9, FALSE)</f>
        <v>68</v>
      </c>
      <c r="N77" s="11">
        <f t="shared" si="6"/>
        <v>8</v>
      </c>
      <c r="O77" s="11">
        <f>VLOOKUP($G77, 'ADP Data'!$C$4:$Q$300, 3, FALSE)</f>
        <v>49</v>
      </c>
      <c r="P77" s="11">
        <f t="shared" si="7"/>
        <v>19</v>
      </c>
      <c r="Q77" s="11">
        <f>VLOOKUP($G77, 'ADP Data'!$C$4:$Q$300, 4, FALSE)</f>
        <v>53</v>
      </c>
      <c r="R77" s="11">
        <f>VLOOKUP($G77, 'ADP Data'!$C$4:$Q$300, 5, FALSE)</f>
        <v>80</v>
      </c>
      <c r="S77" s="11">
        <f>VLOOKUP($G77, 'ADP Data'!$C$4:$Q$300, 6, FALSE)</f>
        <v>56</v>
      </c>
      <c r="T77" s="11">
        <f>VLOOKUP($G77, 'ADP Data'!$C$4:$Q$300, 7, FALSE)</f>
        <v>59</v>
      </c>
      <c r="U77" s="11">
        <f>VLOOKUP($G77, 'ADP Data'!$C$4:$Q$300, 8, FALSE)</f>
        <v>57</v>
      </c>
      <c r="V77" s="11">
        <f t="shared" si="8"/>
        <v>60</v>
      </c>
      <c r="W77" s="11">
        <f t="shared" si="9"/>
        <v>8</v>
      </c>
      <c r="X77" s="11">
        <f t="shared" si="10"/>
        <v>-2</v>
      </c>
      <c r="Y77" s="11">
        <f>VLOOKUP($G77, SeanRanks!$A$2:$K$303, 10, FALSE)-V77</f>
        <v>4</v>
      </c>
      <c r="Z77" s="29">
        <f>IF(VLOOKUP($G77, SeanRanks!$A$2:$H$303, 7, FALSE)=0, "", VLOOKUP($G77, SeanRanks!$A$2:$H$303, 7, FALSE))</f>
        <v>26</v>
      </c>
    </row>
    <row r="78" ht="14.25" hidden="1" customHeight="1">
      <c r="A78" s="11"/>
      <c r="B78" s="11" t="str">
        <f t="shared" si="4"/>
        <v>#N/A</v>
      </c>
      <c r="C78" s="11" t="s">
        <v>95</v>
      </c>
      <c r="D78" s="11">
        <v>7.0</v>
      </c>
      <c r="E78" s="11"/>
      <c r="F78" s="11" t="str">
        <f>VLOOKUP(G78, SeanRanks!$A$2:$E$302, 4, FALSE)</f>
        <v>#N/A</v>
      </c>
      <c r="G78" s="11" t="s">
        <v>816</v>
      </c>
      <c r="H78" s="11" t="str">
        <f>VLOOKUP($G78, 'ADP Data'!$C$4:$Q$300, 2, FALSE)</f>
        <v>#N/A</v>
      </c>
      <c r="I78" s="11" t="str">
        <f>VLOOKUP(G78, 'ADP Data'!$C$4:$R$498, 12, FALSE)</f>
        <v>#N/A</v>
      </c>
      <c r="J78" s="48" t="str">
        <f>VLOOKUP($G78, SeanRanks!$A$2:$H$303, 5, FALSE)</f>
        <v>#N/A</v>
      </c>
      <c r="K78" s="11" t="str">
        <f>IF(VLOOKUP($G78, SeanRanks!$A$2:$H$303, 6, FALSE)=0, "", VLOOKUP($G78, SeanRanks!$A$2:$H$303, 6, FALSE))</f>
        <v>#N/A</v>
      </c>
      <c r="L78" s="11">
        <f t="shared" si="5"/>
        <v>16</v>
      </c>
      <c r="M78" s="11" t="str">
        <f>VLOOKUP($G78, 'ADP Data'!$C$4:$Q$300, 9, FALSE)</f>
        <v>#N/A</v>
      </c>
      <c r="N78" s="11" t="str">
        <f t="shared" si="6"/>
        <v>#N/A</v>
      </c>
      <c r="O78" s="11" t="str">
        <f>VLOOKUP($G78, 'ADP Data'!$C$4:$Q$300, 3, FALSE)</f>
        <v>#N/A</v>
      </c>
      <c r="P78" s="11" t="str">
        <f t="shared" si="7"/>
        <v>#N/A</v>
      </c>
      <c r="Q78" s="11" t="str">
        <f>VLOOKUP($G78, 'ADP Data'!$C$4:$Q$300, 4, FALSE)</f>
        <v>#N/A</v>
      </c>
      <c r="R78" s="11" t="str">
        <f>VLOOKUP($G78, 'ADP Data'!$C$4:$Q$300, 5, FALSE)</f>
        <v>#N/A</v>
      </c>
      <c r="S78" s="11" t="str">
        <f>VLOOKUP($G78, 'ADP Data'!$C$4:$Q$300, 6, FALSE)</f>
        <v>#N/A</v>
      </c>
      <c r="T78" s="11" t="str">
        <f>VLOOKUP($G78, 'ADP Data'!$C$4:$Q$300, 7, FALSE)</f>
        <v>#N/A</v>
      </c>
      <c r="U78" s="11" t="str">
        <f>VLOOKUP($G78, 'ADP Data'!$C$4:$Q$300, 8, FALSE)</f>
        <v>#N/A</v>
      </c>
      <c r="V78" s="11" t="str">
        <f t="shared" si="8"/>
        <v>#N/A</v>
      </c>
      <c r="W78" s="11">
        <f t="shared" si="9"/>
        <v>16</v>
      </c>
      <c r="X78" s="11">
        <f t="shared" si="10"/>
        <v>-9</v>
      </c>
      <c r="Y78" s="11" t="str">
        <f>VLOOKUP($G78, SeanRanks!$A$2:$K$303, 10, FALSE)-V78</f>
        <v>#N/A</v>
      </c>
      <c r="Z78" s="29" t="str">
        <f>IF(VLOOKUP($G78, SeanRanks!$A$2:$H$303, 7, FALSE)=0, "", VLOOKUP($G78, SeanRanks!$A$2:$H$303, 7, FALSE))</f>
        <v>#N/A</v>
      </c>
    </row>
    <row r="79" ht="14.25" hidden="1" customHeight="1">
      <c r="A79" s="11"/>
      <c r="B79" s="11">
        <f t="shared" si="4"/>
        <v>12</v>
      </c>
      <c r="C79" s="11" t="s">
        <v>95</v>
      </c>
      <c r="D79" s="11">
        <v>6.0</v>
      </c>
      <c r="E79" s="11"/>
      <c r="F79" s="11" t="str">
        <f>VLOOKUP(G79, SeanRanks!$A$2:$E$302, 4, FALSE)</f>
        <v/>
      </c>
      <c r="G79" s="11" t="s">
        <v>653</v>
      </c>
      <c r="H79" s="11" t="str">
        <f>VLOOKUP($G79, 'ADP Data'!$C$4:$Q$300, 2, FALSE)</f>
        <v>HOU</v>
      </c>
      <c r="I79" s="11">
        <f>VLOOKUP(G79, 'ADP Data'!$C$4:$R$498, 12, FALSE)</f>
        <v>103</v>
      </c>
      <c r="J79" s="30" t="str">
        <f>VLOOKUP($G79, SeanRanks!$A$2:$H$303, 5, FALSE)</f>
        <v/>
      </c>
      <c r="K79" s="11" t="str">
        <f>IF(VLOOKUP($G79, SeanRanks!$A$2:$H$303, 6, FALSE)=0, "", VLOOKUP($G79, SeanRanks!$A$2:$H$303, 6, FALSE))</f>
        <v>WR5 - 2 - floor play not league winner</v>
      </c>
      <c r="L79" s="11">
        <f t="shared" si="5"/>
        <v>19</v>
      </c>
      <c r="M79" s="11">
        <f>VLOOKUP($G79, 'ADP Data'!$C$4:$Q$300, 9, FALSE)</f>
        <v>148</v>
      </c>
      <c r="N79" s="11">
        <f t="shared" si="6"/>
        <v>6</v>
      </c>
      <c r="O79" s="11">
        <f>VLOOKUP($G79, 'ADP Data'!$C$4:$Q$300, 3, FALSE)</f>
        <v>137</v>
      </c>
      <c r="P79" s="11">
        <f t="shared" si="7"/>
        <v>11</v>
      </c>
      <c r="Q79" s="11">
        <f>VLOOKUP($G79, 'ADP Data'!$C$4:$Q$300, 4, FALSE)</f>
        <v>178</v>
      </c>
      <c r="R79" s="11">
        <f>VLOOKUP($G79, 'ADP Data'!$C$4:$Q$300, 5, FALSE)</f>
        <v>124</v>
      </c>
      <c r="S79" s="11">
        <f>VLOOKUP($G79, 'ADP Data'!$C$4:$Q$300, 6, FALSE)</f>
        <v>131</v>
      </c>
      <c r="T79" s="11">
        <f>VLOOKUP($G79, 'ADP Data'!$C$4:$Q$300, 7, FALSE)</f>
        <v>108</v>
      </c>
      <c r="U79" s="11">
        <f>VLOOKUP($G79, 'ADP Data'!$C$4:$Q$300, 8, FALSE)</f>
        <v>172</v>
      </c>
      <c r="V79" s="11">
        <f t="shared" si="8"/>
        <v>142</v>
      </c>
      <c r="W79" s="11">
        <f t="shared" si="9"/>
        <v>18</v>
      </c>
      <c r="X79" s="11">
        <f t="shared" si="10"/>
        <v>-12</v>
      </c>
      <c r="Y79" s="11">
        <f>VLOOKUP($G79, SeanRanks!$A$2:$K$303, 10, FALSE)-V79</f>
        <v>-9</v>
      </c>
      <c r="Z79" s="29">
        <f>IF(VLOOKUP($G79, SeanRanks!$A$2:$H$303, 7, FALSE)=0, "", VLOOKUP($G79, SeanRanks!$A$2:$H$303, 7, FALSE))</f>
        <v>57</v>
      </c>
    </row>
    <row r="80" ht="14.25" hidden="1" customHeight="1">
      <c r="A80" s="11"/>
      <c r="B80" s="11">
        <f t="shared" si="4"/>
        <v>12</v>
      </c>
      <c r="C80" s="11" t="s">
        <v>95</v>
      </c>
      <c r="D80" s="11" t="s">
        <v>817</v>
      </c>
      <c r="E80" s="11"/>
      <c r="F80" s="11" t="str">
        <f>VLOOKUP(G80, SeanRanks!$A$2:$E$302, 4, FALSE)</f>
        <v/>
      </c>
      <c r="G80" s="11" t="s">
        <v>661</v>
      </c>
      <c r="H80" s="11" t="str">
        <f>VLOOKUP($G80, 'ADP Data'!$C$4:$Q$300, 2, FALSE)</f>
        <v>LAC</v>
      </c>
      <c r="I80" s="11">
        <f>VLOOKUP(G80, 'ADP Data'!$C$4:$R$498, 12, FALSE)</f>
        <v>157</v>
      </c>
      <c r="J80" s="48" t="str">
        <f>VLOOKUP($G80, SeanRanks!$A$2:$H$303, 5, FALSE)</f>
        <v/>
      </c>
      <c r="K80" s="11" t="str">
        <f>IF(VLOOKUP($G80, SeanRanks!$A$2:$H$303, 6, FALSE)=0, "", VLOOKUP($G80, SeanRanks!$A$2:$H$303, 6, FALSE))</f>
        <v>RB4 - 1 - Path to spikes</v>
      </c>
      <c r="L80" s="11">
        <f t="shared" si="5"/>
        <v>14</v>
      </c>
      <c r="M80" s="11">
        <f>VLOOKUP($G80, 'ADP Data'!$C$4:$Q$300, 9, FALSE)</f>
        <v>108</v>
      </c>
      <c r="N80" s="11">
        <f t="shared" si="6"/>
        <v>-29</v>
      </c>
      <c r="O80" s="11">
        <f>VLOOKUP($G80, 'ADP Data'!$C$4:$Q$300, 3, FALSE)</f>
        <v>138</v>
      </c>
      <c r="P80" s="11">
        <f t="shared" si="7"/>
        <v>-30</v>
      </c>
      <c r="Q80" s="11">
        <f>VLOOKUP($G80, 'ADP Data'!$C$4:$Q$300, 4, FALSE)</f>
        <v>162</v>
      </c>
      <c r="R80" s="11">
        <f>VLOOKUP($G80, 'ADP Data'!$C$4:$Q$300, 5, FALSE)</f>
        <v>150</v>
      </c>
      <c r="S80" s="11">
        <f>VLOOKUP($G80, 'ADP Data'!$C$4:$Q$300, 6, FALSE)</f>
        <v>148</v>
      </c>
      <c r="T80" s="11">
        <f>VLOOKUP($G80, 'ADP Data'!$C$4:$Q$300, 7, FALSE)</f>
        <v>137</v>
      </c>
      <c r="U80" s="11">
        <f>VLOOKUP($G80, 'ADP Data'!$C$4:$Q$300, 8, FALSE)</f>
        <v>118</v>
      </c>
      <c r="V80" s="11">
        <f t="shared" si="8"/>
        <v>137</v>
      </c>
      <c r="W80" s="11">
        <f t="shared" si="9"/>
        <v>18</v>
      </c>
      <c r="X80" s="11" t="str">
        <f t="shared" si="10"/>
        <v>#VALUE!</v>
      </c>
      <c r="Y80" s="11">
        <f>VLOOKUP($G80, SeanRanks!$A$2:$K$303, 10, FALSE)-V80</f>
        <v>18</v>
      </c>
      <c r="Z80" s="29">
        <f>IF(VLOOKUP($G80, SeanRanks!$A$2:$H$303, 7, FALSE)=0, "", VLOOKUP($G80, SeanRanks!$A$2:$H$303, 7, FALSE))</f>
        <v>39</v>
      </c>
    </row>
    <row r="81" ht="14.25" hidden="1" customHeight="1">
      <c r="A81" s="11"/>
      <c r="B81" s="11">
        <f t="shared" si="4"/>
        <v>9</v>
      </c>
      <c r="C81" s="11" t="s">
        <v>95</v>
      </c>
      <c r="D81" s="11">
        <v>6.0</v>
      </c>
      <c r="E81" s="11"/>
      <c r="F81" s="11" t="str">
        <f>VLOOKUP(G81, SeanRanks!$A$2:$E$302, 4, FALSE)</f>
        <v/>
      </c>
      <c r="G81" s="11" t="s">
        <v>270</v>
      </c>
      <c r="H81" s="11" t="str">
        <f>VLOOKUP($G81, 'ADP Data'!$C$4:$Q$300, 2, FALSE)</f>
        <v>TB</v>
      </c>
      <c r="I81" s="11">
        <f>VLOOKUP(G81, 'ADP Data'!$C$4:$R$498, 12, FALSE)</f>
        <v>117</v>
      </c>
      <c r="J81" s="30" t="str">
        <f>VLOOKUP($G81, SeanRanks!$A$2:$H$303, 5, FALSE)</f>
        <v/>
      </c>
      <c r="K81" s="11" t="str">
        <f>IF(VLOOKUP($G81, SeanRanks!$A$2:$H$303, 6, FALSE)=0, "", VLOOKUP($G81, SeanRanks!$A$2:$H$303, 6, FALSE))</f>
        <v>WR4 - 1 - path to WR2</v>
      </c>
      <c r="L81" s="11">
        <f t="shared" si="5"/>
        <v>12</v>
      </c>
      <c r="M81" s="11">
        <f>VLOOKUP($G81, 'ADP Data'!$C$4:$Q$300, 9, FALSE)</f>
        <v>90</v>
      </c>
      <c r="N81" s="11">
        <f t="shared" si="6"/>
        <v>-14</v>
      </c>
      <c r="O81" s="11">
        <f>VLOOKUP($G81, 'ADP Data'!$C$4:$Q$300, 3, FALSE)</f>
        <v>107</v>
      </c>
      <c r="P81" s="11">
        <f t="shared" si="7"/>
        <v>-17</v>
      </c>
      <c r="Q81" s="11">
        <f>VLOOKUP($G81, 'ADP Data'!$C$4:$Q$300, 4, FALSE)</f>
        <v>102</v>
      </c>
      <c r="R81" s="11">
        <f>VLOOKUP($G81, 'ADP Data'!$C$4:$Q$300, 5, FALSE)</f>
        <v>127</v>
      </c>
      <c r="S81" s="11">
        <f>VLOOKUP($G81, 'ADP Data'!$C$4:$Q$300, 6, FALSE)</f>
        <v>118</v>
      </c>
      <c r="T81" s="11">
        <f>VLOOKUP($G81, 'ADP Data'!$C$4:$Q$300, 7, FALSE)</f>
        <v>100</v>
      </c>
      <c r="U81" s="11">
        <f>VLOOKUP($G81, 'ADP Data'!$C$4:$Q$300, 8, FALSE)</f>
        <v>90</v>
      </c>
      <c r="V81" s="11">
        <f t="shared" si="8"/>
        <v>104</v>
      </c>
      <c r="W81" s="11">
        <f t="shared" si="9"/>
        <v>14</v>
      </c>
      <c r="X81" s="11">
        <f t="shared" si="10"/>
        <v>-8</v>
      </c>
      <c r="Y81" s="11">
        <f>VLOOKUP($G81, SeanRanks!$A$2:$K$303, 10, FALSE)-V81</f>
        <v>23</v>
      </c>
      <c r="Z81" s="29">
        <f>IF(VLOOKUP($G81, SeanRanks!$A$2:$H$303, 7, FALSE)=0, "", VLOOKUP($G81, SeanRanks!$A$2:$H$303, 7, FALSE))</f>
        <v>42</v>
      </c>
    </row>
    <row r="82" ht="14.25" hidden="1" customHeight="1">
      <c r="A82" s="11"/>
      <c r="B82" s="11">
        <f t="shared" si="4"/>
        <v>12</v>
      </c>
      <c r="C82" s="11" t="s">
        <v>95</v>
      </c>
      <c r="D82" s="11"/>
      <c r="E82" s="11"/>
      <c r="F82" s="11" t="str">
        <f>VLOOKUP(G82, SeanRanks!$A$2:$E$302, 4, FALSE)</f>
        <v/>
      </c>
      <c r="G82" s="11" t="s">
        <v>376</v>
      </c>
      <c r="H82" s="11" t="str">
        <f>VLOOKUP($G82, 'ADP Data'!$C$4:$Q$300, 2, FALSE)</f>
        <v>GB</v>
      </c>
      <c r="I82" s="11">
        <f>VLOOKUP(G82, 'ADP Data'!$C$4:$R$498, 12, FALSE)</f>
        <v>133</v>
      </c>
      <c r="J82" s="56" t="str">
        <f>VLOOKUP($G82, SeanRanks!$A$2:$H$303, 5, FALSE)</f>
        <v/>
      </c>
      <c r="K82" s="11" t="str">
        <f>IF(VLOOKUP($G82, SeanRanks!$A$2:$H$303, 6, FALSE)=0, "", VLOOKUP($G82, SeanRanks!$A$2:$H$303, 6, FALSE))</f>
        <v>QB2 - 1 - League Winner</v>
      </c>
      <c r="L82" s="11">
        <f t="shared" si="5"/>
        <v>18</v>
      </c>
      <c r="M82" s="11">
        <f>VLOOKUP($G82, 'ADP Data'!$C$4:$Q$300, 9, FALSE)</f>
        <v>142</v>
      </c>
      <c r="N82" s="11">
        <f t="shared" si="6"/>
        <v>5</v>
      </c>
      <c r="O82" s="11">
        <f>VLOOKUP($G82, 'ADP Data'!$C$4:$Q$300, 3, FALSE)</f>
        <v>123</v>
      </c>
      <c r="P82" s="11">
        <f t="shared" si="7"/>
        <v>19</v>
      </c>
      <c r="Q82" s="11">
        <f>VLOOKUP($G82, 'ADP Data'!$C$4:$Q$300, 4, FALSE)</f>
        <v>125</v>
      </c>
      <c r="R82" s="11">
        <f>VLOOKUP($G82, 'ADP Data'!$C$4:$Q$300, 5, FALSE)</f>
        <v>160</v>
      </c>
      <c r="S82" s="11">
        <f>VLOOKUP($G82, 'ADP Data'!$C$4:$Q$300, 6, FALSE)</f>
        <v>147</v>
      </c>
      <c r="T82" s="11">
        <f>VLOOKUP($G82, 'ADP Data'!$C$4:$Q$300, 7, FALSE)</f>
        <v>127</v>
      </c>
      <c r="U82" s="11">
        <f>VLOOKUP($G82, 'ADP Data'!$C$4:$Q$300, 8, FALSE)</f>
        <v>140</v>
      </c>
      <c r="V82" s="11">
        <f t="shared" si="8"/>
        <v>137</v>
      </c>
      <c r="W82" s="11">
        <f t="shared" si="9"/>
        <v>18</v>
      </c>
      <c r="X82" s="11">
        <f t="shared" si="10"/>
        <v>-18</v>
      </c>
      <c r="Y82" s="11">
        <f>VLOOKUP($G82, SeanRanks!$A$2:$K$303, 10, FALSE)-V82</f>
        <v>-26</v>
      </c>
      <c r="Z82" s="29">
        <f>IF(VLOOKUP($G82, SeanRanks!$A$2:$H$303, 7, FALSE)=0, "", VLOOKUP($G82, SeanRanks!$A$2:$H$303, 7, FALSE))</f>
        <v>15</v>
      </c>
    </row>
    <row r="83" ht="14.25" hidden="1" customHeight="1">
      <c r="A83" s="11"/>
      <c r="B83" s="11">
        <f t="shared" si="4"/>
        <v>21</v>
      </c>
      <c r="C83" s="11" t="s">
        <v>95</v>
      </c>
      <c r="D83" s="11">
        <v>6.0</v>
      </c>
      <c r="E83" s="11"/>
      <c r="F83" s="11" t="str">
        <f>VLOOKUP(G83, SeanRanks!$A$2:$E$302, 4, FALSE)</f>
        <v/>
      </c>
      <c r="G83" s="11" t="s">
        <v>819</v>
      </c>
      <c r="H83" s="11" t="str">
        <f>VLOOKUP($G83, 'ADP Data'!$C$4:$Q$300, 2, FALSE)</f>
        <v>LV</v>
      </c>
      <c r="I83" s="11">
        <f>VLOOKUP(G83, 'ADP Data'!$C$4:$R$498, 12, FALSE)</f>
        <v>245</v>
      </c>
      <c r="J83" s="52" t="str">
        <f>VLOOKUP($G83, SeanRanks!$A$2:$H$303, 5, FALSE)</f>
        <v/>
      </c>
      <c r="K83" s="11" t="str">
        <f>IF(VLOOKUP($G83, SeanRanks!$A$2:$H$303, 6, FALSE)=0, "", VLOOKUP($G83, SeanRanks!$A$2:$H$303, 6, FALSE))</f>
        <v/>
      </c>
      <c r="L83" s="11">
        <f t="shared" si="5"/>
        <v>33</v>
      </c>
      <c r="M83" s="11">
        <f>VLOOKUP($G83, 'ADP Data'!$C$4:$Q$300, 9, FALSE)</f>
        <v>260</v>
      </c>
      <c r="N83" s="11">
        <f t="shared" si="6"/>
        <v>19</v>
      </c>
      <c r="O83" s="11">
        <f>VLOOKUP($G83, 'ADP Data'!$C$4:$Q$300, 3, FALSE)</f>
        <v>191</v>
      </c>
      <c r="P83" s="11">
        <f t="shared" si="7"/>
        <v>69</v>
      </c>
      <c r="Q83" s="11" t="str">
        <f>VLOOKUP($G83, 'ADP Data'!$C$4:$Q$300, 4, FALSE)</f>
        <v>-</v>
      </c>
      <c r="R83" s="11">
        <f>VLOOKUP($G83, 'ADP Data'!$C$4:$Q$300, 5, FALSE)</f>
        <v>288</v>
      </c>
      <c r="S83" s="11">
        <f>VLOOKUP($G83, 'ADP Data'!$C$4:$Q$300, 6, FALSE)</f>
        <v>221</v>
      </c>
      <c r="T83" s="11">
        <f>VLOOKUP($G83, 'ADP Data'!$C$4:$Q$300, 7, FALSE)</f>
        <v>242</v>
      </c>
      <c r="U83" s="11">
        <f>VLOOKUP($G83, 'ADP Data'!$C$4:$Q$300, 8, FALSE)</f>
        <v>247</v>
      </c>
      <c r="V83" s="11">
        <f t="shared" si="8"/>
        <v>241</v>
      </c>
      <c r="W83" s="11">
        <f t="shared" si="9"/>
        <v>31</v>
      </c>
      <c r="X83" s="11">
        <f t="shared" si="10"/>
        <v>-25</v>
      </c>
      <c r="Y83" s="11" t="str">
        <f>VLOOKUP($G83, SeanRanks!$A$2:$K$303, 10, FALSE)-V83</f>
        <v>#VALUE!</v>
      </c>
      <c r="Z83" s="29" t="str">
        <f>IF(VLOOKUP($G83, SeanRanks!$A$2:$H$303, 7, FALSE)=0, "", VLOOKUP($G83, SeanRanks!$A$2:$H$303, 7, FALSE))</f>
        <v/>
      </c>
    </row>
    <row r="84" ht="14.25" hidden="1" customHeight="1">
      <c r="A84" s="11"/>
      <c r="B84" s="11">
        <f t="shared" si="4"/>
        <v>13</v>
      </c>
      <c r="C84" s="11" t="s">
        <v>95</v>
      </c>
      <c r="D84" s="11">
        <v>6.0</v>
      </c>
      <c r="E84" s="11"/>
      <c r="F84" s="11" t="str">
        <f>VLOOKUP(G84, SeanRanks!$A$2:$E$302, 4, FALSE)</f>
        <v/>
      </c>
      <c r="G84" s="11" t="s">
        <v>428</v>
      </c>
      <c r="H84" s="11" t="str">
        <f>VLOOKUP($G84, 'ADP Data'!$C$4:$Q$300, 2, FALSE)</f>
        <v>LAC</v>
      </c>
      <c r="I84" s="11">
        <f>VLOOKUP(G84, 'ADP Data'!$C$4:$R$498, 12, FALSE)</f>
        <v>113</v>
      </c>
      <c r="J84" s="30" t="str">
        <f>VLOOKUP($G84, SeanRanks!$A$2:$H$303, 5, FALSE)</f>
        <v/>
      </c>
      <c r="K84" s="11" t="str">
        <f>IF(VLOOKUP($G84, SeanRanks!$A$2:$H$303, 6, FALSE)=0, "", VLOOKUP($G84, SeanRanks!$A$2:$H$303, 6, FALSE))</f>
        <v>WR5 - 2 - floor play not league winner</v>
      </c>
      <c r="L84" s="11">
        <f t="shared" si="5"/>
        <v>21</v>
      </c>
      <c r="M84" s="11">
        <f>VLOOKUP($G84, 'ADP Data'!$C$4:$Q$300, 9, FALSE)</f>
        <v>164</v>
      </c>
      <c r="N84" s="11">
        <f t="shared" si="6"/>
        <v>15</v>
      </c>
      <c r="O84" s="11">
        <f>VLOOKUP($G84, 'ADP Data'!$C$4:$Q$300, 3, FALSE)</f>
        <v>150</v>
      </c>
      <c r="P84" s="11">
        <f t="shared" si="7"/>
        <v>14</v>
      </c>
      <c r="Q84" s="11">
        <f>VLOOKUP($G84, 'ADP Data'!$C$4:$Q$300, 4, FALSE)</f>
        <v>118</v>
      </c>
      <c r="R84" s="11">
        <f>VLOOKUP($G84, 'ADP Data'!$C$4:$Q$300, 5, FALSE)</f>
        <v>136</v>
      </c>
      <c r="S84" s="11">
        <f>VLOOKUP($G84, 'ADP Data'!$C$4:$Q$300, 6, FALSE)</f>
        <v>134</v>
      </c>
      <c r="T84" s="11">
        <f>VLOOKUP($G84, 'ADP Data'!$C$4:$Q$300, 7, FALSE)</f>
        <v>122</v>
      </c>
      <c r="U84" s="11">
        <f>VLOOKUP($G84, 'ADP Data'!$C$4:$Q$300, 8, FALSE)</f>
        <v>222</v>
      </c>
      <c r="V84" s="11">
        <f t="shared" si="8"/>
        <v>149</v>
      </c>
      <c r="W84" s="11">
        <f t="shared" si="9"/>
        <v>19</v>
      </c>
      <c r="X84" s="11">
        <f t="shared" si="10"/>
        <v>-13</v>
      </c>
      <c r="Y84" s="11">
        <f>VLOOKUP($G84, SeanRanks!$A$2:$K$303, 10, FALSE)-V84</f>
        <v>-9</v>
      </c>
      <c r="Z84" s="29">
        <f>IF(VLOOKUP($G84, SeanRanks!$A$2:$H$303, 7, FALSE)=0, "", VLOOKUP($G84, SeanRanks!$A$2:$H$303, 7, FALSE))</f>
        <v>58</v>
      </c>
    </row>
    <row r="85" ht="14.25" hidden="1" customHeight="1">
      <c r="A85" s="11"/>
      <c r="B85" s="11">
        <f t="shared" si="4"/>
        <v>12</v>
      </c>
      <c r="C85" s="11" t="s">
        <v>95</v>
      </c>
      <c r="D85" s="11">
        <v>9.0</v>
      </c>
      <c r="E85" s="11"/>
      <c r="F85" s="11" t="str">
        <f>VLOOKUP(G85, SeanRanks!$A$2:$E$302, 4, FALSE)</f>
        <v/>
      </c>
      <c r="G85" s="11" t="s">
        <v>348</v>
      </c>
      <c r="H85" s="11" t="str">
        <f>VLOOKUP($G85, 'ADP Data'!$C$4:$Q$300, 2, FALSE)</f>
        <v>DAL</v>
      </c>
      <c r="I85" s="11">
        <f>VLOOKUP(G85, 'ADP Data'!$C$4:$R$498, 12, FALSE)</f>
        <v>138</v>
      </c>
      <c r="J85" s="57" t="str">
        <f>VLOOKUP($G85, SeanRanks!$A$2:$H$303, 5, FALSE)</f>
        <v>Yes</v>
      </c>
      <c r="K85" s="11" t="str">
        <f>IF(VLOOKUP($G85, SeanRanks!$A$2:$H$303, 6, FALSE)=0, "", VLOOKUP($G85, SeanRanks!$A$2:$H$303, 6, FALSE))</f>
        <v>TE2 - 1 - Big Upside</v>
      </c>
      <c r="L85" s="11">
        <f t="shared" si="5"/>
        <v>18</v>
      </c>
      <c r="M85" s="11">
        <f>VLOOKUP($G85, 'ADP Data'!$C$4:$Q$300, 9, FALSE)</f>
        <v>137</v>
      </c>
      <c r="N85" s="11">
        <f t="shared" si="6"/>
        <v>0</v>
      </c>
      <c r="O85" s="11">
        <f>VLOOKUP($G85, 'ADP Data'!$C$4:$Q$300, 3, FALSE)</f>
        <v>139</v>
      </c>
      <c r="P85" s="11">
        <f t="shared" si="7"/>
        <v>-2</v>
      </c>
      <c r="Q85" s="11">
        <f>VLOOKUP($G85, 'ADP Data'!$C$4:$Q$300, 4, FALSE)</f>
        <v>137</v>
      </c>
      <c r="R85" s="11">
        <f>VLOOKUP($G85, 'ADP Data'!$C$4:$Q$300, 5, FALSE)</f>
        <v>163</v>
      </c>
      <c r="S85" s="11">
        <f>VLOOKUP($G85, 'ADP Data'!$C$4:$Q$300, 6, FALSE)</f>
        <v>100</v>
      </c>
      <c r="T85" s="11">
        <f>VLOOKUP($G85, 'ADP Data'!$C$4:$Q$300, 7, FALSE)</f>
        <v>130</v>
      </c>
      <c r="U85" s="11">
        <f>VLOOKUP($G85, 'ADP Data'!$C$4:$Q$300, 8, FALSE)</f>
        <v>159</v>
      </c>
      <c r="V85" s="11">
        <f t="shared" si="8"/>
        <v>137</v>
      </c>
      <c r="W85" s="11">
        <f t="shared" si="9"/>
        <v>18</v>
      </c>
      <c r="X85" s="11">
        <f t="shared" si="10"/>
        <v>-9</v>
      </c>
      <c r="Y85" s="11">
        <f>VLOOKUP($G85, SeanRanks!$A$2:$K$303, 10, FALSE)-V85</f>
        <v>-22</v>
      </c>
      <c r="Z85" s="29">
        <f>IF(VLOOKUP($G85, SeanRanks!$A$2:$H$303, 7, FALSE)=0, "", VLOOKUP($G85, SeanRanks!$A$2:$H$303, 7, FALSE))</f>
        <v>14</v>
      </c>
    </row>
    <row r="86" ht="14.25" hidden="1" customHeight="1">
      <c r="A86" s="11" t="s">
        <v>106</v>
      </c>
      <c r="B86" s="11" t="str">
        <f t="shared" si="4"/>
        <v>#N/A</v>
      </c>
      <c r="C86" s="11" t="s">
        <v>95</v>
      </c>
      <c r="D86" s="11">
        <v>6.0</v>
      </c>
      <c r="E86" s="11"/>
      <c r="F86" s="11" t="str">
        <f>VLOOKUP(G86, SeanRanks!$A$2:$E$302, 4, FALSE)</f>
        <v/>
      </c>
      <c r="G86" s="11" t="s">
        <v>831</v>
      </c>
      <c r="H86" s="11" t="str">
        <f>VLOOKUP($G86, 'ADP Data'!$C$4:$Q$300, 2, FALSE)</f>
        <v>#N/A</v>
      </c>
      <c r="I86" s="11" t="str">
        <f>VLOOKUP(G86, 'ADP Data'!$C$4:$R$498, 12, FALSE)</f>
        <v>#N/A</v>
      </c>
      <c r="J86" s="30" t="str">
        <f>VLOOKUP($G86, SeanRanks!$A$2:$H$303, 5, FALSE)</f>
        <v/>
      </c>
      <c r="K86" s="11" t="str">
        <f>IF(VLOOKUP($G86, SeanRanks!$A$2:$H$303, 6, FALSE)=0, "", VLOOKUP($G86, SeanRanks!$A$2:$H$303, 6, FALSE))</f>
        <v/>
      </c>
      <c r="L86" s="11">
        <f t="shared" si="5"/>
        <v>16</v>
      </c>
      <c r="M86" s="11" t="str">
        <f>VLOOKUP($G86, 'ADP Data'!$C$4:$Q$300, 9, FALSE)</f>
        <v>#N/A</v>
      </c>
      <c r="N86" s="11" t="str">
        <f t="shared" si="6"/>
        <v>#N/A</v>
      </c>
      <c r="O86" s="11" t="str">
        <f>VLOOKUP($G86, 'ADP Data'!$C$4:$Q$300, 3, FALSE)</f>
        <v>#N/A</v>
      </c>
      <c r="P86" s="11" t="str">
        <f t="shared" si="7"/>
        <v>#N/A</v>
      </c>
      <c r="Q86" s="11" t="str">
        <f>VLOOKUP($G86, 'ADP Data'!$C$4:$Q$300, 4, FALSE)</f>
        <v>#N/A</v>
      </c>
      <c r="R86" s="11" t="str">
        <f>VLOOKUP($G86, 'ADP Data'!$C$4:$Q$300, 5, FALSE)</f>
        <v>#N/A</v>
      </c>
      <c r="S86" s="11" t="str">
        <f>VLOOKUP($G86, 'ADP Data'!$C$4:$Q$300, 6, FALSE)</f>
        <v>#N/A</v>
      </c>
      <c r="T86" s="11" t="str">
        <f>VLOOKUP($G86, 'ADP Data'!$C$4:$Q$300, 7, FALSE)</f>
        <v>#N/A</v>
      </c>
      <c r="U86" s="11" t="str">
        <f>VLOOKUP($G86, 'ADP Data'!$C$4:$Q$300, 8, FALSE)</f>
        <v>#N/A</v>
      </c>
      <c r="V86" s="11" t="str">
        <f t="shared" si="8"/>
        <v>#N/A</v>
      </c>
      <c r="W86" s="11">
        <f t="shared" si="9"/>
        <v>16</v>
      </c>
      <c r="X86" s="11">
        <f t="shared" si="10"/>
        <v>-10</v>
      </c>
      <c r="Y86" s="11" t="str">
        <f>VLOOKUP($G86, SeanRanks!$A$2:$K$303, 10, FALSE)-V86</f>
        <v>#N/A</v>
      </c>
      <c r="Z86" s="29" t="str">
        <f>IF(VLOOKUP($G86, SeanRanks!$A$2:$H$303, 7, FALSE)=0, "", VLOOKUP($G86, SeanRanks!$A$2:$H$303, 7, FALSE))</f>
        <v/>
      </c>
    </row>
    <row r="87" ht="14.25" hidden="1" customHeight="1">
      <c r="A87" s="11"/>
      <c r="B87" s="11">
        <f t="shared" si="4"/>
        <v>11</v>
      </c>
      <c r="C87" s="11" t="s">
        <v>95</v>
      </c>
      <c r="D87" s="11">
        <v>6.0</v>
      </c>
      <c r="E87" s="27"/>
      <c r="F87" s="11" t="str">
        <f>VLOOKUP(G87, SeanRanks!$A$2:$E$302, 4, FALSE)</f>
        <v/>
      </c>
      <c r="G87" s="11" t="s">
        <v>301</v>
      </c>
      <c r="H87" s="11" t="str">
        <f>VLOOKUP($G87, 'ADP Data'!$C$4:$Q$300, 2, FALSE)</f>
        <v>GB</v>
      </c>
      <c r="I87" s="11">
        <f>VLOOKUP(G87, 'ADP Data'!$C$4:$R$498, 12, FALSE)</f>
        <v>107</v>
      </c>
      <c r="J87" s="49" t="str">
        <f>VLOOKUP($G87, SeanRanks!$A$2:$H$303, 5, FALSE)</f>
        <v/>
      </c>
      <c r="K87" s="11" t="str">
        <f>IF(VLOOKUP($G87, SeanRanks!$A$2:$H$303, 6, FALSE)=0, "", VLOOKUP($G87, SeanRanks!$A$2:$H$303, 6, FALSE))</f>
        <v>WR4 - 2 - unclear path to WR2</v>
      </c>
      <c r="L87" s="11">
        <f t="shared" si="5"/>
        <v>13</v>
      </c>
      <c r="M87" s="11">
        <f>VLOOKUP($G87, 'ADP Data'!$C$4:$Q$300, 9, FALSE)</f>
        <v>99</v>
      </c>
      <c r="N87" s="11">
        <f t="shared" si="6"/>
        <v>-24</v>
      </c>
      <c r="O87" s="11">
        <f>VLOOKUP($G87, 'ADP Data'!$C$4:$Q$300, 3, FALSE)</f>
        <v>134</v>
      </c>
      <c r="P87" s="11">
        <f t="shared" si="7"/>
        <v>-35</v>
      </c>
      <c r="Q87" s="11">
        <f>VLOOKUP($G87, 'ADP Data'!$C$4:$Q$300, 4, FALSE)</f>
        <v>128</v>
      </c>
      <c r="R87" s="11">
        <f>VLOOKUP($G87, 'ADP Data'!$C$4:$Q$300, 5, FALSE)</f>
        <v>145</v>
      </c>
      <c r="S87" s="11">
        <f>VLOOKUP($G87, 'ADP Data'!$C$4:$Q$300, 6, FALSE)</f>
        <v>116</v>
      </c>
      <c r="T87" s="11">
        <f>VLOOKUP($G87, 'ADP Data'!$C$4:$Q$300, 7, FALSE)</f>
        <v>105</v>
      </c>
      <c r="U87" s="11">
        <f>VLOOKUP($G87, 'ADP Data'!$C$4:$Q$300, 8, FALSE)</f>
        <v>134</v>
      </c>
      <c r="V87" s="11">
        <f t="shared" si="8"/>
        <v>123</v>
      </c>
      <c r="W87" s="11">
        <f t="shared" si="9"/>
        <v>16</v>
      </c>
      <c r="X87" s="11">
        <f t="shared" si="10"/>
        <v>-10</v>
      </c>
      <c r="Y87" s="11">
        <f>VLOOKUP($G87, SeanRanks!$A$2:$K$303, 10, FALSE)-V87</f>
        <v>-13</v>
      </c>
      <c r="Z87" s="29">
        <f>IF(VLOOKUP($G87, SeanRanks!$A$2:$H$303, 7, FALSE)=0, "", VLOOKUP($G87, SeanRanks!$A$2:$H$303, 7, FALSE))</f>
        <v>43</v>
      </c>
    </row>
    <row r="88" ht="14.25" hidden="1" customHeight="1">
      <c r="A88" s="11"/>
      <c r="B88" s="11">
        <f t="shared" si="4"/>
        <v>6</v>
      </c>
      <c r="C88" s="11" t="s">
        <v>131</v>
      </c>
      <c r="D88" s="11">
        <v>6.0</v>
      </c>
      <c r="E88" s="11"/>
      <c r="F88" s="11" t="str">
        <f>VLOOKUP(G88, SeanRanks!$A$2:$E$302, 4, FALSE)</f>
        <v/>
      </c>
      <c r="G88" s="11" t="s">
        <v>255</v>
      </c>
      <c r="H88" s="11" t="str">
        <f>VLOOKUP($G88, 'ADP Data'!$C$4:$Q$300, 2, FALSE)</f>
        <v>TEN</v>
      </c>
      <c r="I88" s="11">
        <f>VLOOKUP(G88, 'ADP Data'!$C$4:$R$498, 12, FALSE)</f>
        <v>62</v>
      </c>
      <c r="J88" s="58" t="str">
        <f>VLOOKUP($G88, SeanRanks!$A$2:$H$303, 5, FALSE)</f>
        <v/>
      </c>
      <c r="K88" s="11" t="str">
        <f>IF(VLOOKUP($G88, SeanRanks!$A$2:$H$303, 6, FALSE)=0, "", VLOOKUP($G88, SeanRanks!$A$2:$H$303, 6, FALSE))</f>
        <v>RB2 - 2 - Path to spikes</v>
      </c>
      <c r="L88" s="11">
        <f t="shared" si="5"/>
        <v>9</v>
      </c>
      <c r="M88" s="11">
        <f>VLOOKUP($G88, 'ADP Data'!$C$4:$Q$300, 9, FALSE)</f>
        <v>69</v>
      </c>
      <c r="N88" s="11">
        <f t="shared" si="6"/>
        <v>1</v>
      </c>
      <c r="O88" s="11">
        <f>VLOOKUP($G88, 'ADP Data'!$C$4:$Q$300, 3, FALSE)</f>
        <v>59</v>
      </c>
      <c r="P88" s="11">
        <f t="shared" si="7"/>
        <v>10</v>
      </c>
      <c r="Q88" s="11">
        <f>VLOOKUP($G88, 'ADP Data'!$C$4:$Q$300, 4, FALSE)</f>
        <v>69</v>
      </c>
      <c r="R88" s="11">
        <f>VLOOKUP($G88, 'ADP Data'!$C$4:$Q$300, 5, FALSE)</f>
        <v>79</v>
      </c>
      <c r="S88" s="11">
        <f>VLOOKUP($G88, 'ADP Data'!$C$4:$Q$300, 6, FALSE)</f>
        <v>58</v>
      </c>
      <c r="T88" s="11">
        <f>VLOOKUP($G88, 'ADP Data'!$C$4:$Q$300, 7, FALSE)</f>
        <v>69</v>
      </c>
      <c r="U88" s="11">
        <f>VLOOKUP($G88, 'ADP Data'!$C$4:$Q$300, 8, FALSE)</f>
        <v>78</v>
      </c>
      <c r="V88" s="11">
        <f t="shared" si="8"/>
        <v>68</v>
      </c>
      <c r="W88" s="11">
        <f t="shared" si="9"/>
        <v>9</v>
      </c>
      <c r="X88" s="11">
        <f t="shared" si="10"/>
        <v>-3</v>
      </c>
      <c r="Y88" s="11">
        <f>VLOOKUP($G88, SeanRanks!$A$2:$K$303, 10, FALSE)-V88</f>
        <v>-14</v>
      </c>
      <c r="Z88" s="29">
        <f>IF(VLOOKUP($G88, SeanRanks!$A$2:$H$303, 7, FALSE)=0, "", VLOOKUP($G88, SeanRanks!$A$2:$H$303, 7, FALSE))</f>
        <v>24</v>
      </c>
    </row>
    <row r="89" ht="14.25" hidden="1" customHeight="1">
      <c r="A89" s="11"/>
      <c r="B89" s="11">
        <f t="shared" si="4"/>
        <v>5</v>
      </c>
      <c r="C89" s="11" t="s">
        <v>95</v>
      </c>
      <c r="D89" s="11">
        <v>7.0</v>
      </c>
      <c r="E89" s="11"/>
      <c r="F89" s="11" t="str">
        <f>VLOOKUP(G89, SeanRanks!$A$2:$E$302, 4, FALSE)</f>
        <v/>
      </c>
      <c r="G89" s="11" t="s">
        <v>353</v>
      </c>
      <c r="H89" s="11" t="str">
        <f>VLOOKUP($G89, 'ADP Data'!$C$4:$Q$300, 2, FALSE)</f>
        <v>KC</v>
      </c>
      <c r="I89" s="11">
        <f>VLOOKUP(G89, 'ADP Data'!$C$4:$R$498, 12, FALSE)</f>
        <v>43</v>
      </c>
      <c r="J89" s="33" t="str">
        <f>VLOOKUP($G89, SeanRanks!$A$2:$H$303, 5, FALSE)</f>
        <v/>
      </c>
      <c r="K89" s="11" t="str">
        <f>IF(VLOOKUP($G89, SeanRanks!$A$2:$H$303, 6, FALSE)=0, "", VLOOKUP($G89, SeanRanks!$A$2:$H$303, 6, FALSE))</f>
        <v>WR2 - 2 - Upside with risk</v>
      </c>
      <c r="L89" s="11">
        <f t="shared" si="5"/>
        <v>8</v>
      </c>
      <c r="M89" s="11">
        <f>VLOOKUP($G89, 'ADP Data'!$C$4:$Q$300, 9, FALSE)</f>
        <v>58</v>
      </c>
      <c r="N89" s="11">
        <f t="shared" si="6"/>
        <v>5</v>
      </c>
      <c r="O89" s="11">
        <f>VLOOKUP($G89, 'ADP Data'!$C$4:$Q$300, 3, FALSE)</f>
        <v>50</v>
      </c>
      <c r="P89" s="11">
        <f t="shared" si="7"/>
        <v>8</v>
      </c>
      <c r="Q89" s="11">
        <f>VLOOKUP($G89, 'ADP Data'!$C$4:$Q$300, 4, FALSE)</f>
        <v>50</v>
      </c>
      <c r="R89" s="11">
        <f>VLOOKUP($G89, 'ADP Data'!$C$4:$Q$300, 5, FALSE)</f>
        <v>57</v>
      </c>
      <c r="S89" s="11">
        <f>VLOOKUP($G89, 'ADP Data'!$C$4:$Q$300, 6, FALSE)</f>
        <v>48</v>
      </c>
      <c r="T89" s="11">
        <f>VLOOKUP($G89, 'ADP Data'!$C$4:$Q$300, 7, FALSE)</f>
        <v>45</v>
      </c>
      <c r="U89" s="11">
        <f>VLOOKUP($G89, 'ADP Data'!$C$4:$Q$300, 8, FALSE)</f>
        <v>68</v>
      </c>
      <c r="V89" s="11">
        <f t="shared" si="8"/>
        <v>53</v>
      </c>
      <c r="W89" s="11">
        <f t="shared" si="9"/>
        <v>7</v>
      </c>
      <c r="X89" s="11">
        <f t="shared" si="10"/>
        <v>0</v>
      </c>
      <c r="Y89" s="11">
        <f>VLOOKUP($G89, SeanRanks!$A$2:$K$303, 10, FALSE)-V89</f>
        <v>-2</v>
      </c>
      <c r="Z89" s="29">
        <f>IF(VLOOKUP($G89, SeanRanks!$A$2:$H$303, 7, FALSE)=0, "", VLOOKUP($G89, SeanRanks!$A$2:$H$303, 7, FALSE))</f>
        <v>22</v>
      </c>
    </row>
    <row r="90" ht="14.25" hidden="1" customHeight="1">
      <c r="A90" s="11"/>
      <c r="B90" s="11">
        <f t="shared" si="4"/>
        <v>8</v>
      </c>
      <c r="C90" s="11" t="s">
        <v>95</v>
      </c>
      <c r="D90" s="11">
        <v>9.0</v>
      </c>
      <c r="E90" s="11"/>
      <c r="F90" s="11" t="str">
        <f>VLOOKUP(G90, SeanRanks!$A$2:$E$302, 4, FALSE)</f>
        <v/>
      </c>
      <c r="G90" s="11" t="s">
        <v>578</v>
      </c>
      <c r="H90" s="11" t="str">
        <f>VLOOKUP($G90, 'ADP Data'!$C$4:$Q$300, 2, FALSE)</f>
        <v>CLE</v>
      </c>
      <c r="I90" s="11">
        <f>VLOOKUP(G90, 'ADP Data'!$C$4:$R$498, 12, FALSE)</f>
        <v>105</v>
      </c>
      <c r="J90" s="57" t="str">
        <f>VLOOKUP($G90, SeanRanks!$A$2:$H$303, 5, FALSE)</f>
        <v/>
      </c>
      <c r="K90" s="11" t="str">
        <f>IF(VLOOKUP($G90, SeanRanks!$A$2:$H$303, 6, FALSE)=0, "", VLOOKUP($G90, SeanRanks!$A$2:$H$303, 6, FALSE))</f>
        <v>TE1 - 3 - Weekly Start</v>
      </c>
      <c r="L90" s="11">
        <f t="shared" si="5"/>
        <v>12</v>
      </c>
      <c r="M90" s="11">
        <f>VLOOKUP($G90, 'ADP Data'!$C$4:$Q$300, 9, FALSE)</f>
        <v>92</v>
      </c>
      <c r="N90" s="11">
        <f t="shared" si="6"/>
        <v>6</v>
      </c>
      <c r="O90" s="11">
        <f>VLOOKUP($G90, 'ADP Data'!$C$4:$Q$300, 3, FALSE)</f>
        <v>74</v>
      </c>
      <c r="P90" s="11">
        <f t="shared" si="7"/>
        <v>18</v>
      </c>
      <c r="Q90" s="11">
        <f>VLOOKUP($G90, 'ADP Data'!$C$4:$Q$300, 4, FALSE)</f>
        <v>72</v>
      </c>
      <c r="R90" s="11">
        <f>VLOOKUP($G90, 'ADP Data'!$C$4:$Q$300, 5, FALSE)</f>
        <v>108</v>
      </c>
      <c r="S90" s="11">
        <f>VLOOKUP($G90, 'ADP Data'!$C$4:$Q$300, 6, FALSE)</f>
        <v>76</v>
      </c>
      <c r="T90" s="11">
        <f>VLOOKUP($G90, 'ADP Data'!$C$4:$Q$300, 7, FALSE)</f>
        <v>101</v>
      </c>
      <c r="U90" s="11">
        <f>VLOOKUP($G90, 'ADP Data'!$C$4:$Q$300, 8, FALSE)</f>
        <v>85</v>
      </c>
      <c r="V90" s="11">
        <f t="shared" si="8"/>
        <v>86</v>
      </c>
      <c r="W90" s="11">
        <f t="shared" si="9"/>
        <v>11</v>
      </c>
      <c r="X90" s="11">
        <f t="shared" si="10"/>
        <v>-2</v>
      </c>
      <c r="Y90" s="11">
        <f>VLOOKUP($G90, SeanRanks!$A$2:$K$303, 10, FALSE)-V90</f>
        <v>11</v>
      </c>
      <c r="Z90" s="29">
        <f>IF(VLOOKUP($G90, SeanRanks!$A$2:$H$303, 7, FALSE)=0, "", VLOOKUP($G90, SeanRanks!$A$2:$H$303, 7, FALSE))</f>
        <v>10</v>
      </c>
    </row>
    <row r="91" ht="14.25" hidden="1" customHeight="1">
      <c r="A91" s="11"/>
      <c r="B91" s="11">
        <f t="shared" si="4"/>
        <v>10</v>
      </c>
      <c r="C91" s="11" t="s">
        <v>95</v>
      </c>
      <c r="D91" s="11">
        <v>7.0</v>
      </c>
      <c r="E91" s="11"/>
      <c r="F91" s="11" t="str">
        <f>VLOOKUP(G91, SeanRanks!$A$2:$E$302, 4, FALSE)</f>
        <v/>
      </c>
      <c r="G91" s="11" t="s">
        <v>144</v>
      </c>
      <c r="H91" s="11" t="str">
        <f>VLOOKUP($G91, 'ADP Data'!$C$4:$Q$300, 2, FALSE)</f>
        <v>DAL</v>
      </c>
      <c r="I91" s="11">
        <f>VLOOKUP(G91, 'ADP Data'!$C$4:$R$498, 12, FALSE)</f>
        <v>122</v>
      </c>
      <c r="J91" s="59" t="str">
        <f>VLOOKUP($G91, SeanRanks!$A$2:$H$303, 5, FALSE)</f>
        <v>No</v>
      </c>
      <c r="K91" s="11" t="str">
        <f>IF(VLOOKUP($G91, SeanRanks!$A$2:$H$303, 6, FALSE)=0, "", VLOOKUP($G91, SeanRanks!$A$2:$H$303, 6, FALSE))</f>
        <v>RB4 - 2 - low ceiling</v>
      </c>
      <c r="L91" s="11">
        <f t="shared" si="5"/>
        <v>13</v>
      </c>
      <c r="M91" s="11">
        <f>VLOOKUP($G91, 'ADP Data'!$C$4:$Q$300, 9, FALSE)</f>
        <v>100</v>
      </c>
      <c r="N91" s="11">
        <f t="shared" si="6"/>
        <v>-12</v>
      </c>
      <c r="O91" s="11">
        <f>VLOOKUP($G91, 'ADP Data'!$C$4:$Q$300, 3, FALSE)</f>
        <v>108</v>
      </c>
      <c r="P91" s="11">
        <f t="shared" si="7"/>
        <v>-8</v>
      </c>
      <c r="Q91" s="11">
        <f>VLOOKUP($G91, 'ADP Data'!$C$4:$Q$300, 4, FALSE)</f>
        <v>103</v>
      </c>
      <c r="R91" s="11">
        <f>VLOOKUP($G91, 'ADP Data'!$C$4:$Q$300, 5, FALSE)</f>
        <v>117</v>
      </c>
      <c r="S91" s="11">
        <f>VLOOKUP($G91, 'ADP Data'!$C$4:$Q$300, 6, FALSE)</f>
        <v>106</v>
      </c>
      <c r="T91" s="11">
        <f>VLOOKUP($G91, 'ADP Data'!$C$4:$Q$300, 7, FALSE)</f>
        <v>106</v>
      </c>
      <c r="U91" s="11">
        <f>VLOOKUP($G91, 'ADP Data'!$C$4:$Q$300, 8, FALSE)</f>
        <v>150</v>
      </c>
      <c r="V91" s="11">
        <f t="shared" si="8"/>
        <v>112</v>
      </c>
      <c r="W91" s="11">
        <f t="shared" si="9"/>
        <v>15</v>
      </c>
      <c r="X91" s="11">
        <f t="shared" si="10"/>
        <v>-8</v>
      </c>
      <c r="Y91" s="11">
        <f>VLOOKUP($G91, SeanRanks!$A$2:$K$303, 10, FALSE)-V91</f>
        <v>0</v>
      </c>
      <c r="Z91" s="29">
        <f>IF(VLOOKUP($G91, SeanRanks!$A$2:$H$303, 7, FALSE)=0, "", VLOOKUP($G91, SeanRanks!$A$2:$H$303, 7, FALSE))</f>
        <v>52</v>
      </c>
    </row>
    <row r="92" ht="14.25" hidden="1" customHeight="1">
      <c r="A92" s="11" t="s">
        <v>106</v>
      </c>
      <c r="B92" s="11">
        <f t="shared" si="4"/>
        <v>8</v>
      </c>
      <c r="C92" s="11" t="s">
        <v>95</v>
      </c>
      <c r="D92" s="11">
        <v>6.0</v>
      </c>
      <c r="E92" s="11"/>
      <c r="F92" s="11" t="str">
        <f>VLOOKUP(G92, SeanRanks!$A$2:$E$302, 4, FALSE)</f>
        <v/>
      </c>
      <c r="G92" s="11" t="s">
        <v>236</v>
      </c>
      <c r="H92" s="11" t="str">
        <f>VLOOKUP($G92, 'ADP Data'!$C$4:$Q$300, 2, FALSE)</f>
        <v>PIT</v>
      </c>
      <c r="I92" s="11">
        <f>VLOOKUP(G92, 'ADP Data'!$C$4:$R$498, 12, FALSE)</f>
        <v>86</v>
      </c>
      <c r="J92" s="48" t="str">
        <f>VLOOKUP($G92, SeanRanks!$A$2:$H$303, 5, FALSE)</f>
        <v/>
      </c>
      <c r="K92" s="11" t="str">
        <f>IF(VLOOKUP($G92, SeanRanks!$A$2:$H$303, 6, FALSE)=0, "", VLOOKUP($G92, SeanRanks!$A$2:$H$303, 6, FALSE))</f>
        <v>RB3 - 2 - low ceiling</v>
      </c>
      <c r="L92" s="11">
        <f t="shared" si="5"/>
        <v>11</v>
      </c>
      <c r="M92" s="11">
        <f>VLOOKUP($G92, 'ADP Data'!$C$4:$Q$300, 9, FALSE)</f>
        <v>86</v>
      </c>
      <c r="N92" s="11">
        <f t="shared" si="6"/>
        <v>-4</v>
      </c>
      <c r="O92" s="11">
        <f>VLOOKUP($G92, 'ADP Data'!$C$4:$Q$300, 3, FALSE)</f>
        <v>88</v>
      </c>
      <c r="P92" s="11">
        <f t="shared" si="7"/>
        <v>-2</v>
      </c>
      <c r="Q92" s="11">
        <f>VLOOKUP($G92, 'ADP Data'!$C$4:$Q$300, 4, FALSE)</f>
        <v>85</v>
      </c>
      <c r="R92" s="11">
        <f>VLOOKUP($G92, 'ADP Data'!$C$4:$Q$300, 5, FALSE)</f>
        <v>96</v>
      </c>
      <c r="S92" s="11">
        <f>VLOOKUP($G92, 'ADP Data'!$C$4:$Q$300, 6, FALSE)</f>
        <v>84</v>
      </c>
      <c r="T92" s="11">
        <f>VLOOKUP($G92, 'ADP Data'!$C$4:$Q$300, 7, FALSE)</f>
        <v>86</v>
      </c>
      <c r="U92" s="11">
        <f>VLOOKUP($G92, 'ADP Data'!$C$4:$Q$300, 8, FALSE)</f>
        <v>107</v>
      </c>
      <c r="V92" s="11">
        <f t="shared" si="8"/>
        <v>90</v>
      </c>
      <c r="W92" s="11">
        <f t="shared" si="9"/>
        <v>12</v>
      </c>
      <c r="X92" s="11">
        <f t="shared" si="10"/>
        <v>-6</v>
      </c>
      <c r="Y92" s="11">
        <f>VLOOKUP($G92, SeanRanks!$A$2:$K$303, 10, FALSE)-V92</f>
        <v>-15</v>
      </c>
      <c r="Z92" s="29">
        <f>IF(VLOOKUP($G92, SeanRanks!$A$2:$H$303, 7, FALSE)=0, "", VLOOKUP($G92, SeanRanks!$A$2:$H$303, 7, FALSE))</f>
        <v>35</v>
      </c>
    </row>
    <row r="93" ht="14.25" hidden="1" customHeight="1">
      <c r="A93" s="11"/>
      <c r="B93" s="11">
        <f t="shared" si="4"/>
        <v>7</v>
      </c>
      <c r="C93" s="11" t="s">
        <v>95</v>
      </c>
      <c r="D93" s="11">
        <v>9.0</v>
      </c>
      <c r="E93" s="11"/>
      <c r="F93" s="11" t="str">
        <f>VLOOKUP(G93, SeanRanks!$A$2:$E$302, 4, FALSE)</f>
        <v/>
      </c>
      <c r="G93" s="11" t="s">
        <v>208</v>
      </c>
      <c r="H93" s="11" t="str">
        <f>VLOOKUP($G93, 'ADP Data'!$C$4:$Q$300, 2, FALSE)</f>
        <v>CHI</v>
      </c>
      <c r="I93" s="11">
        <f>VLOOKUP(G93, 'ADP Data'!$C$4:$R$498, 12, FALSE)</f>
        <v>66</v>
      </c>
      <c r="J93" s="33" t="str">
        <f>VLOOKUP($G93, SeanRanks!$A$2:$H$303, 5, FALSE)</f>
        <v/>
      </c>
      <c r="K93" s="11" t="str">
        <f>IF(VLOOKUP($G93, SeanRanks!$A$2:$H$303, 6, FALSE)=0, "", VLOOKUP($G93, SeanRanks!$A$2:$H$303, 6, FALSE))</f>
        <v>WR3 - 2 - mid, but path to big upside</v>
      </c>
      <c r="L93" s="11">
        <f t="shared" si="5"/>
        <v>11</v>
      </c>
      <c r="M93" s="11">
        <f>VLOOKUP($G93, 'ADP Data'!$C$4:$Q$300, 9, FALSE)</f>
        <v>80</v>
      </c>
      <c r="N93" s="11">
        <f t="shared" si="6"/>
        <v>0</v>
      </c>
      <c r="O93" s="11">
        <f>VLOOKUP($G93, 'ADP Data'!$C$4:$Q$300, 3, FALSE)</f>
        <v>99</v>
      </c>
      <c r="P93" s="11">
        <f t="shared" si="7"/>
        <v>-19</v>
      </c>
      <c r="Q93" s="11">
        <f>VLOOKUP($G93, 'ADP Data'!$C$4:$Q$300, 4, FALSE)</f>
        <v>76</v>
      </c>
      <c r="R93" s="11">
        <f>VLOOKUP($G93, 'ADP Data'!$C$4:$Q$300, 5, FALSE)</f>
        <v>75</v>
      </c>
      <c r="S93" s="11">
        <f>VLOOKUP($G93, 'ADP Data'!$C$4:$Q$300, 6, FALSE)</f>
        <v>77</v>
      </c>
      <c r="T93" s="11">
        <f>VLOOKUP($G93, 'ADP Data'!$C$4:$Q$300, 7, FALSE)</f>
        <v>64</v>
      </c>
      <c r="U93" s="11">
        <f>VLOOKUP($G93, 'ADP Data'!$C$4:$Q$300, 8, FALSE)</f>
        <v>89</v>
      </c>
      <c r="V93" s="11">
        <f t="shared" si="8"/>
        <v>80</v>
      </c>
      <c r="W93" s="11">
        <f t="shared" si="9"/>
        <v>11</v>
      </c>
      <c r="X93" s="11">
        <f t="shared" si="10"/>
        <v>-2</v>
      </c>
      <c r="Y93" s="11">
        <f>VLOOKUP($G93, SeanRanks!$A$2:$K$303, 10, FALSE)-V93</f>
        <v>-17</v>
      </c>
      <c r="Z93" s="29">
        <f>IF(VLOOKUP($G93, SeanRanks!$A$2:$H$303, 7, FALSE)=0, "", VLOOKUP($G93, SeanRanks!$A$2:$H$303, 7, FALSE))</f>
        <v>33</v>
      </c>
    </row>
    <row r="94" ht="14.25" hidden="1" customHeight="1">
      <c r="A94" s="11"/>
      <c r="B94" s="11">
        <f t="shared" si="4"/>
        <v>3</v>
      </c>
      <c r="C94" s="11" t="s">
        <v>95</v>
      </c>
      <c r="D94" s="11">
        <v>6.0</v>
      </c>
      <c r="E94" s="11"/>
      <c r="F94" s="11" t="str">
        <f>VLOOKUP(G94, SeanRanks!$A$2:$E$302, 4, FALSE)</f>
        <v/>
      </c>
      <c r="G94" s="11" t="s">
        <v>51</v>
      </c>
      <c r="H94" s="11" t="str">
        <f>VLOOKUP($G94, 'ADP Data'!$C$4:$Q$300, 2, FALSE)</f>
        <v>SEA</v>
      </c>
      <c r="I94" s="11">
        <f>VLOOKUP(G94, 'ADP Data'!$C$4:$R$498, 12, FALSE)</f>
        <v>29</v>
      </c>
      <c r="J94" s="33" t="str">
        <f>VLOOKUP($G94, SeanRanks!$A$2:$H$303, 5, FALSE)</f>
        <v/>
      </c>
      <c r="K94" s="11" t="str">
        <f>IF(VLOOKUP($G94, SeanRanks!$A$2:$H$303, 6, FALSE)=0, "", VLOOKUP($G94, SeanRanks!$A$2:$H$303, 6, FALSE))</f>
        <v>WR2 - 1 - WR1 upside</v>
      </c>
      <c r="L94" s="11">
        <f t="shared" si="5"/>
        <v>4</v>
      </c>
      <c r="M94" s="11">
        <f>VLOOKUP($G94, 'ADP Data'!$C$4:$Q$300, 9, FALSE)</f>
        <v>29</v>
      </c>
      <c r="N94" s="11">
        <f t="shared" si="6"/>
        <v>-4</v>
      </c>
      <c r="O94" s="11">
        <f>VLOOKUP($G94, 'ADP Data'!$C$4:$Q$300, 3, FALSE)</f>
        <v>40</v>
      </c>
      <c r="P94" s="11">
        <f t="shared" si="7"/>
        <v>-11</v>
      </c>
      <c r="Q94" s="11">
        <f>VLOOKUP($G94, 'ADP Data'!$C$4:$Q$300, 4, FALSE)</f>
        <v>37</v>
      </c>
      <c r="R94" s="11">
        <f>VLOOKUP($G94, 'ADP Data'!$C$4:$Q$300, 5, FALSE)</f>
        <v>32</v>
      </c>
      <c r="S94" s="11">
        <f>VLOOKUP($G94, 'ADP Data'!$C$4:$Q$300, 6, FALSE)</f>
        <v>31</v>
      </c>
      <c r="T94" s="11">
        <f>VLOOKUP($G94, 'ADP Data'!$C$4:$Q$300, 7, FALSE)</f>
        <v>28</v>
      </c>
      <c r="U94" s="11">
        <f>VLOOKUP($G94, 'ADP Data'!$C$4:$Q$300, 8, FALSE)</f>
        <v>39</v>
      </c>
      <c r="V94" s="11">
        <f t="shared" si="8"/>
        <v>33</v>
      </c>
      <c r="W94" s="11">
        <f t="shared" si="9"/>
        <v>5</v>
      </c>
      <c r="X94" s="11">
        <f t="shared" si="10"/>
        <v>1</v>
      </c>
      <c r="Y94" s="11">
        <f>VLOOKUP($G94, SeanRanks!$A$2:$K$303, 10, FALSE)-V94</f>
        <v>0</v>
      </c>
      <c r="Z94" s="29">
        <f>IF(VLOOKUP($G94, SeanRanks!$A$2:$H$303, 7, FALSE)=0, "", VLOOKUP($G94, SeanRanks!$A$2:$H$303, 7, FALSE))</f>
        <v>13</v>
      </c>
    </row>
    <row r="95" ht="14.25" hidden="1" customHeight="1">
      <c r="A95" s="11"/>
      <c r="B95" s="11" t="str">
        <f t="shared" si="4"/>
        <v>#N/A</v>
      </c>
      <c r="C95" s="11" t="s">
        <v>95</v>
      </c>
      <c r="D95" s="11">
        <v>6.0</v>
      </c>
      <c r="E95" s="11"/>
      <c r="F95" s="11" t="str">
        <f>VLOOKUP(G95, SeanRanks!$A$2:$E$302, 4, FALSE)</f>
        <v>#N/A</v>
      </c>
      <c r="G95" s="11" t="s">
        <v>218</v>
      </c>
      <c r="H95" s="11" t="str">
        <f>VLOOKUP($G95, 'ADP Data'!$C$4:$Q$300, 2, FALSE)</f>
        <v>#N/A</v>
      </c>
      <c r="I95" s="11" t="str">
        <f>VLOOKUP(G95, 'ADP Data'!$C$4:$R$498, 12, FALSE)</f>
        <v>#N/A</v>
      </c>
      <c r="J95" s="33" t="str">
        <f>VLOOKUP($G95, SeanRanks!$A$2:$H$303, 5, FALSE)</f>
        <v>#N/A</v>
      </c>
      <c r="K95" s="11" t="str">
        <f>IF(VLOOKUP($G95, SeanRanks!$A$2:$H$303, 6, FALSE)=0, "", VLOOKUP($G95, SeanRanks!$A$2:$H$303, 6, FALSE))</f>
        <v>#N/A</v>
      </c>
      <c r="L95" s="11">
        <f t="shared" si="5"/>
        <v>16</v>
      </c>
      <c r="M95" s="11" t="str">
        <f>VLOOKUP($G95, 'ADP Data'!$C$4:$Q$300, 9, FALSE)</f>
        <v>#N/A</v>
      </c>
      <c r="N95" s="11" t="str">
        <f t="shared" si="6"/>
        <v>#N/A</v>
      </c>
      <c r="O95" s="11" t="str">
        <f>VLOOKUP($G95, 'ADP Data'!$C$4:$Q$300, 3, FALSE)</f>
        <v>#N/A</v>
      </c>
      <c r="P95" s="11" t="str">
        <f t="shared" si="7"/>
        <v>#N/A</v>
      </c>
      <c r="Q95" s="11" t="str">
        <f>VLOOKUP($G95, 'ADP Data'!$C$4:$Q$300, 4, FALSE)</f>
        <v>#N/A</v>
      </c>
      <c r="R95" s="11" t="str">
        <f>VLOOKUP($G95, 'ADP Data'!$C$4:$Q$300, 5, FALSE)</f>
        <v>#N/A</v>
      </c>
      <c r="S95" s="11" t="str">
        <f>VLOOKUP($G95, 'ADP Data'!$C$4:$Q$300, 6, FALSE)</f>
        <v>#N/A</v>
      </c>
      <c r="T95" s="11" t="str">
        <f>VLOOKUP($G95, 'ADP Data'!$C$4:$Q$300, 7, FALSE)</f>
        <v>#N/A</v>
      </c>
      <c r="U95" s="11" t="str">
        <f>VLOOKUP($G95, 'ADP Data'!$C$4:$Q$300, 8, FALSE)</f>
        <v>#N/A</v>
      </c>
      <c r="V95" s="11" t="str">
        <f t="shared" si="8"/>
        <v>#N/A</v>
      </c>
      <c r="W95" s="11">
        <f t="shared" si="9"/>
        <v>16</v>
      </c>
      <c r="X95" s="11">
        <f t="shared" si="10"/>
        <v>-10</v>
      </c>
      <c r="Y95" s="11" t="str">
        <f>VLOOKUP($G95, SeanRanks!$A$2:$K$303, 10, FALSE)-V95</f>
        <v>#N/A</v>
      </c>
      <c r="Z95" s="29" t="str">
        <f>IF(VLOOKUP($G95, SeanRanks!$A$2:$H$303, 7, FALSE)=0, "", VLOOKUP($G95, SeanRanks!$A$2:$H$303, 7, FALSE))</f>
        <v>#N/A</v>
      </c>
    </row>
    <row r="96" ht="14.25" hidden="1" customHeight="1">
      <c r="A96" s="11"/>
      <c r="B96" s="11">
        <f t="shared" si="4"/>
        <v>9</v>
      </c>
      <c r="C96" s="11" t="s">
        <v>106</v>
      </c>
      <c r="D96" s="11">
        <v>7.0</v>
      </c>
      <c r="E96" s="11"/>
      <c r="F96" s="11" t="str">
        <f>VLOOKUP(G96, SeanRanks!$A$2:$E$302, 4, FALSE)</f>
        <v/>
      </c>
      <c r="G96" s="11" t="s">
        <v>315</v>
      </c>
      <c r="H96" s="11" t="str">
        <f>VLOOKUP($G96, 'ADP Data'!$C$4:$Q$300, 2, FALSE)</f>
        <v>SF</v>
      </c>
      <c r="I96" s="11">
        <f>VLOOKUP(G96, 'ADP Data'!$C$4:$R$498, 12, FALSE)</f>
        <v>106</v>
      </c>
      <c r="J96" s="60" t="str">
        <f>VLOOKUP($G96, SeanRanks!$A$2:$H$303, 5, FALSE)</f>
        <v/>
      </c>
      <c r="K96" s="11" t="str">
        <f>IF(VLOOKUP($G96, SeanRanks!$A$2:$H$303, 6, FALSE)=0, "", VLOOKUP($G96, SeanRanks!$A$2:$H$303, 6, FALSE))</f>
        <v>QB1 - 4 - Weekly Start</v>
      </c>
      <c r="L96" s="11">
        <f t="shared" si="5"/>
        <v>15</v>
      </c>
      <c r="M96" s="11">
        <f>VLOOKUP($G96, 'ADP Data'!$C$4:$Q$300, 9, FALSE)</f>
        <v>112</v>
      </c>
      <c r="N96" s="11">
        <f t="shared" si="6"/>
        <v>10</v>
      </c>
      <c r="O96" s="11">
        <f>VLOOKUP($G96, 'ADP Data'!$C$4:$Q$300, 3, FALSE)</f>
        <v>89</v>
      </c>
      <c r="P96" s="11">
        <f t="shared" si="7"/>
        <v>23</v>
      </c>
      <c r="Q96" s="11">
        <f>VLOOKUP($G96, 'ADP Data'!$C$4:$Q$300, 4, FALSE)</f>
        <v>79</v>
      </c>
      <c r="R96" s="11">
        <f>VLOOKUP($G96, 'ADP Data'!$C$4:$Q$300, 5, FALSE)</f>
        <v>111</v>
      </c>
      <c r="S96" s="11">
        <f>VLOOKUP($G96, 'ADP Data'!$C$4:$Q$300, 6, FALSE)</f>
        <v>110</v>
      </c>
      <c r="T96" s="11">
        <f>VLOOKUP($G96, 'ADP Data'!$C$4:$Q$300, 7, FALSE)</f>
        <v>107</v>
      </c>
      <c r="U96" s="11">
        <f>VLOOKUP($G96, 'ADP Data'!$C$4:$Q$300, 8, FALSE)</f>
        <v>106</v>
      </c>
      <c r="V96" s="11">
        <f t="shared" si="8"/>
        <v>102</v>
      </c>
      <c r="W96" s="11">
        <f t="shared" si="9"/>
        <v>13</v>
      </c>
      <c r="X96" s="11">
        <f t="shared" si="10"/>
        <v>-6</v>
      </c>
      <c r="Y96" s="11">
        <f>VLOOKUP($G96, SeanRanks!$A$2:$K$303, 10, FALSE)-V96</f>
        <v>-16</v>
      </c>
      <c r="Z96" s="29">
        <f>IF(VLOOKUP($G96, SeanRanks!$A$2:$H$303, 7, FALSE)=0, "", VLOOKUP($G96, SeanRanks!$A$2:$H$303, 7, FALSE))</f>
        <v>12</v>
      </c>
    </row>
    <row r="97" ht="14.25" hidden="1" customHeight="1">
      <c r="A97" s="11"/>
      <c r="B97" s="11">
        <f t="shared" si="4"/>
        <v>3</v>
      </c>
      <c r="C97" s="11" t="s">
        <v>95</v>
      </c>
      <c r="D97" s="11">
        <v>7.0</v>
      </c>
      <c r="E97" s="11"/>
      <c r="F97" s="11" t="str">
        <f>VLOOKUP(G97, SeanRanks!$A$2:$E$302, 4, FALSE)</f>
        <v/>
      </c>
      <c r="G97" s="11" t="s">
        <v>224</v>
      </c>
      <c r="H97" s="11" t="str">
        <f>VLOOKUP($G97, 'ADP Data'!$C$4:$Q$300, 2, FALSE)</f>
        <v>WAS</v>
      </c>
      <c r="I97" s="11">
        <f>VLOOKUP(G97, 'ADP Data'!$C$4:$R$498, 12, FALSE)</f>
        <v>36</v>
      </c>
      <c r="J97" s="60" t="str">
        <f>VLOOKUP($G97, SeanRanks!$A$2:$H$303, 5, FALSE)</f>
        <v/>
      </c>
      <c r="K97" s="11" t="str">
        <f>IF(VLOOKUP($G97, SeanRanks!$A$2:$H$303, 6, FALSE)=0, "", VLOOKUP($G97, SeanRanks!$A$2:$H$303, 6, FALSE))</f>
        <v>QB1 - 2 - QB1 Upside</v>
      </c>
      <c r="L97" s="11">
        <f t="shared" si="5"/>
        <v>5</v>
      </c>
      <c r="M97" s="11">
        <f>VLOOKUP($G97, 'ADP Data'!$C$4:$Q$300, 9, FALSE)</f>
        <v>33</v>
      </c>
      <c r="N97" s="11">
        <f t="shared" si="6"/>
        <v>0</v>
      </c>
      <c r="O97" s="11">
        <f>VLOOKUP($G97, 'ADP Data'!$C$4:$Q$300, 3, FALSE)</f>
        <v>30</v>
      </c>
      <c r="P97" s="11">
        <f t="shared" si="7"/>
        <v>3</v>
      </c>
      <c r="Q97" s="11">
        <f>VLOOKUP($G97, 'ADP Data'!$C$4:$Q$300, 4, FALSE)</f>
        <v>27</v>
      </c>
      <c r="R97" s="11">
        <f>VLOOKUP($G97, 'ADP Data'!$C$4:$Q$300, 5, FALSE)</f>
        <v>42</v>
      </c>
      <c r="S97" s="11">
        <f>VLOOKUP($G97, 'ADP Data'!$C$4:$Q$300, 6, FALSE)</f>
        <v>35</v>
      </c>
      <c r="T97" s="11">
        <f>VLOOKUP($G97, 'ADP Data'!$C$4:$Q$300, 7, FALSE)</f>
        <v>35</v>
      </c>
      <c r="U97" s="11">
        <f>VLOOKUP($G97, 'ADP Data'!$C$4:$Q$300, 8, FALSE)</f>
        <v>29</v>
      </c>
      <c r="V97" s="11">
        <f t="shared" si="8"/>
        <v>33</v>
      </c>
      <c r="W97" s="11">
        <f t="shared" si="9"/>
        <v>5</v>
      </c>
      <c r="X97" s="11">
        <f t="shared" si="10"/>
        <v>2</v>
      </c>
      <c r="Y97" s="11">
        <f>VLOOKUP($G97, SeanRanks!$A$2:$K$303, 10, FALSE)-V97</f>
        <v>-3</v>
      </c>
      <c r="Z97" s="29">
        <f>IF(VLOOKUP($G97, SeanRanks!$A$2:$H$303, 7, FALSE)=0, "", VLOOKUP($G97, SeanRanks!$A$2:$H$303, 7, FALSE))</f>
        <v>4</v>
      </c>
    </row>
    <row r="98" ht="14.25" hidden="1" customHeight="1">
      <c r="A98" s="11"/>
      <c r="B98" s="11">
        <f t="shared" si="4"/>
        <v>12</v>
      </c>
      <c r="C98" s="11" t="s">
        <v>95</v>
      </c>
      <c r="D98" s="11">
        <v>6.0</v>
      </c>
      <c r="E98" s="11"/>
      <c r="F98" s="11" t="str">
        <f>VLOOKUP(G98, SeanRanks!$A$2:$E$302, 4, FALSE)</f>
        <v/>
      </c>
      <c r="G98" s="11" t="s">
        <v>422</v>
      </c>
      <c r="H98" s="11" t="str">
        <f>VLOOKUP($G98, 'ADP Data'!$C$4:$Q$300, 2, FALSE)</f>
        <v>SF</v>
      </c>
      <c r="I98" s="11">
        <f>VLOOKUP(G98, 'ADP Data'!$C$4:$R$498, 12, FALSE)</f>
        <v>148</v>
      </c>
      <c r="J98" s="58" t="str">
        <f>VLOOKUP($G98, SeanRanks!$A$2:$H$303, 5, FALSE)</f>
        <v/>
      </c>
      <c r="K98" s="11" t="str">
        <f>IF(VLOOKUP($G98, SeanRanks!$A$2:$H$303, 6, FALSE)=0, "", VLOOKUP($G98, SeanRanks!$A$2:$H$303, 6, FALSE))</f>
        <v>RB3 - 2 - low ceiling</v>
      </c>
      <c r="L98" s="11">
        <f t="shared" si="5"/>
        <v>10</v>
      </c>
      <c r="M98" s="11">
        <f>VLOOKUP($G98, 'ADP Data'!$C$4:$Q$300, 9, FALSE)</f>
        <v>78</v>
      </c>
      <c r="N98" s="11">
        <f t="shared" si="6"/>
        <v>-47</v>
      </c>
      <c r="O98" s="11">
        <f>VLOOKUP($G98, 'ADP Data'!$C$4:$Q$300, 3, FALSE)</f>
        <v>125</v>
      </c>
      <c r="P98" s="11">
        <f t="shared" si="7"/>
        <v>-47</v>
      </c>
      <c r="Q98" s="11">
        <f>VLOOKUP($G98, 'ADP Data'!$C$4:$Q$300, 4, FALSE)</f>
        <v>168</v>
      </c>
      <c r="R98" s="11">
        <f>VLOOKUP($G98, 'ADP Data'!$C$4:$Q$300, 5, FALSE)</f>
        <v>177</v>
      </c>
      <c r="S98" s="11">
        <f>VLOOKUP($G98, 'ADP Data'!$C$4:$Q$300, 6, FALSE)</f>
        <v>125</v>
      </c>
      <c r="T98" s="11">
        <f>VLOOKUP($G98, 'ADP Data'!$C$4:$Q$300, 7, FALSE)</f>
        <v>102</v>
      </c>
      <c r="U98" s="11">
        <f>VLOOKUP($G98, 'ADP Data'!$C$4:$Q$300, 8, FALSE)</f>
        <v>103</v>
      </c>
      <c r="V98" s="11">
        <f t="shared" si="8"/>
        <v>125</v>
      </c>
      <c r="W98" s="11">
        <f t="shared" si="9"/>
        <v>16</v>
      </c>
      <c r="X98" s="11">
        <f t="shared" si="10"/>
        <v>-10</v>
      </c>
      <c r="Y98" s="11">
        <f>VLOOKUP($G98, SeanRanks!$A$2:$K$303, 10, FALSE)-V98</f>
        <v>22</v>
      </c>
      <c r="Z98" s="29">
        <f>IF(VLOOKUP($G98, SeanRanks!$A$2:$H$303, 7, FALSE)=0, "", VLOOKUP($G98, SeanRanks!$A$2:$H$303, 7, FALSE))</f>
        <v>36</v>
      </c>
    </row>
    <row r="99" ht="14.25" hidden="1" customHeight="1">
      <c r="A99" s="11"/>
      <c r="B99" s="11">
        <f t="shared" si="4"/>
        <v>16</v>
      </c>
      <c r="C99" s="11" t="s">
        <v>95</v>
      </c>
      <c r="D99" s="11"/>
      <c r="E99" s="11"/>
      <c r="F99" s="11" t="str">
        <f>VLOOKUP(G99, SeanRanks!$A$2:$E$302, 4, FALSE)</f>
        <v/>
      </c>
      <c r="G99" s="11" t="s">
        <v>393</v>
      </c>
      <c r="H99" s="11" t="str">
        <f>VLOOKUP($G99, 'ADP Data'!$C$4:$Q$300, 2, FALSE)</f>
        <v>TEN</v>
      </c>
      <c r="I99" s="11">
        <f>VLOOKUP(G99, 'ADP Data'!$C$4:$R$498, 12, FALSE)</f>
        <v>181</v>
      </c>
      <c r="J99" s="58" t="str">
        <f>VLOOKUP($G99, SeanRanks!$A$2:$H$303, 5, FALSE)</f>
        <v/>
      </c>
      <c r="K99" s="11" t="str">
        <f>IF(VLOOKUP($G99, SeanRanks!$A$2:$H$303, 6, FALSE)=0, "", VLOOKUP($G99, SeanRanks!$A$2:$H$303, 6, FALSE))</f>
        <v>RB4 - 1 - Path to spikes</v>
      </c>
      <c r="L99" s="11">
        <f t="shared" si="5"/>
        <v>16</v>
      </c>
      <c r="M99" s="11">
        <f>VLOOKUP($G99, 'ADP Data'!$C$4:$Q$300, 9, FALSE)</f>
        <v>123</v>
      </c>
      <c r="N99" s="11">
        <f t="shared" si="6"/>
        <v>-48</v>
      </c>
      <c r="O99" s="11">
        <f>VLOOKUP($G99, 'ADP Data'!$C$4:$Q$300, 3, FALSE)</f>
        <v>163</v>
      </c>
      <c r="P99" s="11">
        <f t="shared" si="7"/>
        <v>-40</v>
      </c>
      <c r="Q99" s="11">
        <f>VLOOKUP($G99, 'ADP Data'!$C$4:$Q$300, 4, FALSE)</f>
        <v>165</v>
      </c>
      <c r="R99" s="11">
        <f>VLOOKUP($G99, 'ADP Data'!$C$4:$Q$300, 5, FALSE)</f>
        <v>253</v>
      </c>
      <c r="S99" s="11">
        <f>VLOOKUP($G99, 'ADP Data'!$C$4:$Q$300, 6, FALSE)</f>
        <v>152</v>
      </c>
      <c r="T99" s="11">
        <f>VLOOKUP($G99, 'ADP Data'!$C$4:$Q$300, 7, FALSE)</f>
        <v>149</v>
      </c>
      <c r="U99" s="11">
        <f>VLOOKUP($G99, 'ADP Data'!$C$4:$Q$300, 8, FALSE)</f>
        <v>198</v>
      </c>
      <c r="V99" s="11">
        <f t="shared" si="8"/>
        <v>171</v>
      </c>
      <c r="W99" s="11">
        <f t="shared" si="9"/>
        <v>22</v>
      </c>
      <c r="X99" s="11">
        <f t="shared" si="10"/>
        <v>-22</v>
      </c>
      <c r="Y99" s="11">
        <f>VLOOKUP($G99, SeanRanks!$A$2:$K$303, 10, FALSE)-V99</f>
        <v>-40</v>
      </c>
      <c r="Z99" s="29">
        <f>IF(VLOOKUP($G99, SeanRanks!$A$2:$H$303, 7, FALSE)=0, "", VLOOKUP($G99, SeanRanks!$A$2:$H$303, 7, FALSE))</f>
        <v>40</v>
      </c>
    </row>
    <row r="100" ht="14.25" customHeight="1">
      <c r="A100" s="11"/>
      <c r="B100" s="11">
        <f t="shared" si="4"/>
        <v>12</v>
      </c>
      <c r="C100" s="11" t="s">
        <v>106</v>
      </c>
      <c r="D100" s="11">
        <v>9.0</v>
      </c>
      <c r="E100" s="11"/>
      <c r="F100" s="11" t="str">
        <f>VLOOKUP(G100, SeanRanks!$A$2:$E$302, 4, FALSE)</f>
        <v/>
      </c>
      <c r="G100" s="11" t="s">
        <v>848</v>
      </c>
      <c r="H100" s="11" t="str">
        <f>VLOOKUP($G100, 'ADP Data'!$C$4:$Q$300, 2, FALSE)</f>
        <v>WAS</v>
      </c>
      <c r="I100" s="11">
        <f>VLOOKUP(G100, 'ADP Data'!$C$4:$R$498, 12, FALSE)</f>
        <v>124</v>
      </c>
      <c r="J100" s="58" t="str">
        <f>VLOOKUP($G100, SeanRanks!$A$2:$H$303, 5, FALSE)</f>
        <v/>
      </c>
      <c r="K100" s="11" t="str">
        <f>IF(VLOOKUP($G100, SeanRanks!$A$2:$H$303, 6, FALSE)=0, "", VLOOKUP($G100, SeanRanks!$A$2:$H$303, 6, FALSE))</f>
        <v>RB4 - 2 - low ceiling</v>
      </c>
      <c r="L100" s="11">
        <f t="shared" si="5"/>
        <v>17</v>
      </c>
      <c r="M100" s="11">
        <f>VLOOKUP($G100, 'ADP Data'!$C$4:$Q$300, 9, FALSE)</f>
        <v>130</v>
      </c>
      <c r="N100" s="11">
        <f t="shared" si="6"/>
        <v>5</v>
      </c>
      <c r="O100" s="11">
        <f>VLOOKUP($G100, 'ADP Data'!$C$4:$Q$300, 3, FALSE)</f>
        <v>86</v>
      </c>
      <c r="P100" s="11">
        <f t="shared" si="7"/>
        <v>44</v>
      </c>
      <c r="Q100" s="11">
        <f>VLOOKUP($G100, 'ADP Data'!$C$4:$Q$300, 4, FALSE)</f>
        <v>96</v>
      </c>
      <c r="R100" s="11">
        <f>VLOOKUP($G100, 'ADP Data'!$C$4:$Q$300, 5, FALSE)</f>
        <v>172</v>
      </c>
      <c r="S100" s="11">
        <f>VLOOKUP($G100, 'ADP Data'!$C$4:$Q$300, 6, FALSE)</f>
        <v>109</v>
      </c>
      <c r="T100" s="11">
        <f>VLOOKUP($G100, 'ADP Data'!$C$4:$Q$300, 7, FALSE)</f>
        <v>142</v>
      </c>
      <c r="U100" s="11">
        <f>VLOOKUP($G100, 'ADP Data'!$C$4:$Q$300, 8, FALSE)</f>
        <v>143</v>
      </c>
      <c r="V100" s="11">
        <f t="shared" si="8"/>
        <v>125</v>
      </c>
      <c r="W100" s="11">
        <f t="shared" si="9"/>
        <v>16</v>
      </c>
      <c r="X100" s="11">
        <f t="shared" si="10"/>
        <v>-7</v>
      </c>
      <c r="Y100" s="11">
        <f>VLOOKUP($G100, SeanRanks!$A$2:$K$303, 10, FALSE)-V100</f>
        <v>-21</v>
      </c>
      <c r="Z100" s="29">
        <f>IF(VLOOKUP($G100, SeanRanks!$A$2:$H$303, 7, FALSE)=0, "", VLOOKUP($G100, SeanRanks!$A$2:$H$303, 7, FALSE))</f>
        <v>49</v>
      </c>
    </row>
    <row r="101" ht="14.25" hidden="1" customHeight="1">
      <c r="A101" s="11"/>
      <c r="B101" s="11" t="str">
        <f t="shared" si="4"/>
        <v>#N/A</v>
      </c>
      <c r="C101" s="11" t="s">
        <v>95</v>
      </c>
      <c r="D101" s="11">
        <v>7.0</v>
      </c>
      <c r="E101" s="11"/>
      <c r="F101" s="11" t="str">
        <f>VLOOKUP(G101, SeanRanks!$A$2:$E$302, 4, FALSE)</f>
        <v>#N/A</v>
      </c>
      <c r="G101" s="11" t="s">
        <v>850</v>
      </c>
      <c r="H101" s="11" t="str">
        <f>VLOOKUP($G101, 'ADP Data'!$C$4:$Q$300, 2, FALSE)</f>
        <v>#N/A</v>
      </c>
      <c r="I101" s="11" t="str">
        <f>VLOOKUP(G101, 'ADP Data'!$C$4:$R$498, 12, FALSE)</f>
        <v>#N/A</v>
      </c>
      <c r="J101" s="59" t="str">
        <f>VLOOKUP($G101, SeanRanks!$A$2:$H$303, 5, FALSE)</f>
        <v>#N/A</v>
      </c>
      <c r="K101" s="11" t="str">
        <f>IF(VLOOKUP($G101, SeanRanks!$A$2:$H$303, 6, FALSE)=0, "", VLOOKUP($G101, SeanRanks!$A$2:$H$303, 6, FALSE))</f>
        <v>#N/A</v>
      </c>
      <c r="L101" s="11">
        <f t="shared" si="5"/>
        <v>16</v>
      </c>
      <c r="M101" s="11" t="str">
        <f>VLOOKUP($G101, 'ADP Data'!$C$4:$Q$300, 9, FALSE)</f>
        <v>#N/A</v>
      </c>
      <c r="N101" s="11" t="str">
        <f t="shared" si="6"/>
        <v>#N/A</v>
      </c>
      <c r="O101" s="11" t="str">
        <f>VLOOKUP($G101, 'ADP Data'!$C$4:$Q$300, 3, FALSE)</f>
        <v>#N/A</v>
      </c>
      <c r="P101" s="11" t="str">
        <f t="shared" si="7"/>
        <v>#N/A</v>
      </c>
      <c r="Q101" s="11" t="str">
        <f>VLOOKUP($G101, 'ADP Data'!$C$4:$Q$300, 4, FALSE)</f>
        <v>#N/A</v>
      </c>
      <c r="R101" s="11" t="str">
        <f>VLOOKUP($G101, 'ADP Data'!$C$4:$Q$300, 5, FALSE)</f>
        <v>#N/A</v>
      </c>
      <c r="S101" s="11" t="str">
        <f>VLOOKUP($G101, 'ADP Data'!$C$4:$Q$300, 6, FALSE)</f>
        <v>#N/A</v>
      </c>
      <c r="T101" s="11" t="str">
        <f>VLOOKUP($G101, 'ADP Data'!$C$4:$Q$300, 7, FALSE)</f>
        <v>#N/A</v>
      </c>
      <c r="U101" s="11" t="str">
        <f>VLOOKUP($G101, 'ADP Data'!$C$4:$Q$300, 8, FALSE)</f>
        <v>#N/A</v>
      </c>
      <c r="V101" s="11" t="str">
        <f t="shared" si="8"/>
        <v>#N/A</v>
      </c>
      <c r="W101" s="11">
        <f t="shared" si="9"/>
        <v>16</v>
      </c>
      <c r="X101" s="11">
        <f t="shared" si="10"/>
        <v>-9</v>
      </c>
      <c r="Y101" s="11" t="str">
        <f>VLOOKUP($G101, SeanRanks!$A$2:$K$303, 10, FALSE)-V101</f>
        <v>#N/A</v>
      </c>
      <c r="Z101" s="29" t="str">
        <f>IF(VLOOKUP($G101, SeanRanks!$A$2:$H$303, 7, FALSE)=0, "", VLOOKUP($G101, SeanRanks!$A$2:$H$303, 7, FALSE))</f>
        <v>#N/A</v>
      </c>
    </row>
    <row r="102" ht="14.25" hidden="1" customHeight="1">
      <c r="A102" s="11"/>
      <c r="B102" s="11">
        <f t="shared" si="4"/>
        <v>14</v>
      </c>
      <c r="C102" s="11" t="s">
        <v>106</v>
      </c>
      <c r="D102" s="11">
        <v>9.0</v>
      </c>
      <c r="E102" s="11"/>
      <c r="F102" s="11" t="str">
        <f>VLOOKUP(G102, SeanRanks!$A$2:$E$302, 4, FALSE)</f>
        <v/>
      </c>
      <c r="G102" s="11" t="s">
        <v>826</v>
      </c>
      <c r="H102" s="11" t="str">
        <f>VLOOKUP($G102, 'ADP Data'!$C$4:$Q$300, 2, FALSE)</f>
        <v>KC</v>
      </c>
      <c r="I102" s="11">
        <f>VLOOKUP(G102, 'ADP Data'!$C$4:$R$498, 12, FALSE)</f>
        <v>151</v>
      </c>
      <c r="J102" s="37" t="str">
        <f>VLOOKUP($G102, SeanRanks!$A$2:$H$303, 5, FALSE)</f>
        <v/>
      </c>
      <c r="K102" s="11" t="str">
        <f>IF(VLOOKUP($G102, SeanRanks!$A$2:$H$303, 6, FALSE)=0, "", VLOOKUP($G102, SeanRanks!$A$2:$H$303, 6, FALSE))</f>
        <v/>
      </c>
      <c r="L102" s="11">
        <f t="shared" si="5"/>
        <v>24</v>
      </c>
      <c r="M102" s="11">
        <f>VLOOKUP($G102, 'ADP Data'!$C$4:$Q$300, 9, FALSE)</f>
        <v>190</v>
      </c>
      <c r="N102" s="11">
        <f t="shared" si="6"/>
        <v>16</v>
      </c>
      <c r="O102" s="11">
        <f>VLOOKUP($G102, 'ADP Data'!$C$4:$Q$300, 3, FALSE)</f>
        <v>214</v>
      </c>
      <c r="P102" s="11">
        <f t="shared" si="7"/>
        <v>-24</v>
      </c>
      <c r="Q102" s="11">
        <f>VLOOKUP($G102, 'ADP Data'!$C$4:$Q$300, 4, FALSE)</f>
        <v>170</v>
      </c>
      <c r="R102" s="11">
        <f>VLOOKUP($G102, 'ADP Data'!$C$4:$Q$300, 5, FALSE)</f>
        <v>211</v>
      </c>
      <c r="S102" s="11">
        <f>VLOOKUP($G102, 'ADP Data'!$C$4:$Q$300, 6, FALSE)</f>
        <v>162</v>
      </c>
      <c r="T102" s="11">
        <f>VLOOKUP($G102, 'ADP Data'!$C$4:$Q$300, 7, FALSE)</f>
        <v>150</v>
      </c>
      <c r="U102" s="11">
        <f>VLOOKUP($G102, 'ADP Data'!$C$4:$Q$300, 8, FALSE)</f>
        <v>126</v>
      </c>
      <c r="V102" s="11">
        <f t="shared" si="8"/>
        <v>174</v>
      </c>
      <c r="W102" s="11">
        <f t="shared" si="9"/>
        <v>22</v>
      </c>
      <c r="X102" s="11">
        <f t="shared" si="10"/>
        <v>-13</v>
      </c>
      <c r="Y102" s="11">
        <f>VLOOKUP($G102, SeanRanks!$A$2:$K$303, 10, FALSE)-V102</f>
        <v>0</v>
      </c>
      <c r="Z102" s="29" t="str">
        <f>IF(VLOOKUP($G102, SeanRanks!$A$2:$H$303, 7, FALSE)=0, "", VLOOKUP($G102, SeanRanks!$A$2:$H$303, 7, FALSE))</f>
        <v/>
      </c>
    </row>
    <row r="103" ht="14.25" hidden="1" customHeight="1">
      <c r="A103" s="11" t="s">
        <v>106</v>
      </c>
      <c r="B103" s="11" t="str">
        <f t="shared" si="4"/>
        <v>#N/A</v>
      </c>
      <c r="C103" s="11" t="s">
        <v>95</v>
      </c>
      <c r="D103" s="11">
        <v>9.0</v>
      </c>
      <c r="E103" s="11"/>
      <c r="F103" s="11" t="str">
        <f>VLOOKUP(G103, SeanRanks!$A$2:$E$302, 4, FALSE)</f>
        <v>#N/A</v>
      </c>
      <c r="G103" s="11" t="s">
        <v>253</v>
      </c>
      <c r="H103" s="11" t="str">
        <f>VLOOKUP($G103, 'ADP Data'!$C$4:$Q$300, 2, FALSE)</f>
        <v>#N/A</v>
      </c>
      <c r="I103" s="11" t="str">
        <f>VLOOKUP(G103, 'ADP Data'!$C$4:$R$498, 12, FALSE)</f>
        <v>#N/A</v>
      </c>
      <c r="J103" s="48" t="str">
        <f>VLOOKUP($G103, SeanRanks!$A$2:$H$303, 5, FALSE)</f>
        <v>#N/A</v>
      </c>
      <c r="K103" s="11" t="str">
        <f>IF(VLOOKUP($G103, SeanRanks!$A$2:$H$303, 6, FALSE)=0, "", VLOOKUP($G103, SeanRanks!$A$2:$H$303, 6, FALSE))</f>
        <v>#N/A</v>
      </c>
      <c r="L103" s="11">
        <f t="shared" si="5"/>
        <v>16</v>
      </c>
      <c r="M103" s="11" t="str">
        <f>VLOOKUP($G103, 'ADP Data'!$C$4:$Q$300, 9, FALSE)</f>
        <v>#N/A</v>
      </c>
      <c r="N103" s="11" t="str">
        <f t="shared" si="6"/>
        <v>#N/A</v>
      </c>
      <c r="O103" s="11" t="str">
        <f>VLOOKUP($G103, 'ADP Data'!$C$4:$Q$300, 3, FALSE)</f>
        <v>#N/A</v>
      </c>
      <c r="P103" s="11" t="str">
        <f t="shared" si="7"/>
        <v>#N/A</v>
      </c>
      <c r="Q103" s="11" t="str">
        <f>VLOOKUP($G103, 'ADP Data'!$C$4:$Q$300, 4, FALSE)</f>
        <v>#N/A</v>
      </c>
      <c r="R103" s="11" t="str">
        <f>VLOOKUP($G103, 'ADP Data'!$C$4:$Q$300, 5, FALSE)</f>
        <v>#N/A</v>
      </c>
      <c r="S103" s="11" t="str">
        <f>VLOOKUP($G103, 'ADP Data'!$C$4:$Q$300, 6, FALSE)</f>
        <v>#N/A</v>
      </c>
      <c r="T103" s="11" t="str">
        <f>VLOOKUP($G103, 'ADP Data'!$C$4:$Q$300, 7, FALSE)</f>
        <v>#N/A</v>
      </c>
      <c r="U103" s="11" t="str">
        <f>VLOOKUP($G103, 'ADP Data'!$C$4:$Q$300, 8, FALSE)</f>
        <v>#N/A</v>
      </c>
      <c r="V103" s="11" t="str">
        <f t="shared" si="8"/>
        <v>#N/A</v>
      </c>
      <c r="W103" s="11">
        <f t="shared" si="9"/>
        <v>16</v>
      </c>
      <c r="X103" s="11">
        <f t="shared" si="10"/>
        <v>-7</v>
      </c>
      <c r="Y103" s="11" t="str">
        <f>VLOOKUP($G103, SeanRanks!$A$2:$K$303, 10, FALSE)-V103</f>
        <v>#N/A</v>
      </c>
      <c r="Z103" s="29" t="str">
        <f>IF(VLOOKUP($G103, SeanRanks!$A$2:$H$303, 7, FALSE)=0, "", VLOOKUP($G103, SeanRanks!$A$2:$H$303, 7, FALSE))</f>
        <v>#N/A</v>
      </c>
    </row>
    <row r="104" ht="14.25" hidden="1" customHeight="1">
      <c r="A104" s="11"/>
      <c r="B104" s="11" t="str">
        <f t="shared" si="4"/>
        <v>#N/A</v>
      </c>
      <c r="C104" s="11" t="s">
        <v>95</v>
      </c>
      <c r="D104" s="11">
        <v>9.0</v>
      </c>
      <c r="E104" s="11"/>
      <c r="F104" s="11" t="str">
        <f>VLOOKUP(G104, SeanRanks!$A$2:$E$302, 4, FALSE)</f>
        <v>#N/A</v>
      </c>
      <c r="G104" s="11" t="s">
        <v>859</v>
      </c>
      <c r="H104" s="11" t="str">
        <f>VLOOKUP($G104, 'ADP Data'!$C$4:$Q$300, 2, FALSE)</f>
        <v>#N/A</v>
      </c>
      <c r="I104" s="11" t="str">
        <f>VLOOKUP(G104, 'ADP Data'!$C$4:$R$498, 12, FALSE)</f>
        <v>#N/A</v>
      </c>
      <c r="J104" s="58" t="str">
        <f>VLOOKUP($G104, SeanRanks!$A$2:$H$303, 5, FALSE)</f>
        <v>#N/A</v>
      </c>
      <c r="K104" s="11" t="str">
        <f>IF(VLOOKUP($G104, SeanRanks!$A$2:$H$303, 6, FALSE)=0, "", VLOOKUP($G104, SeanRanks!$A$2:$H$303, 6, FALSE))</f>
        <v>#N/A</v>
      </c>
      <c r="L104" s="11">
        <f t="shared" si="5"/>
        <v>16</v>
      </c>
      <c r="M104" s="11" t="str">
        <f>VLOOKUP($G104, 'ADP Data'!$C$4:$Q$300, 9, FALSE)</f>
        <v>#N/A</v>
      </c>
      <c r="N104" s="11" t="str">
        <f t="shared" si="6"/>
        <v>#N/A</v>
      </c>
      <c r="O104" s="11" t="str">
        <f>VLOOKUP($G104, 'ADP Data'!$C$4:$Q$300, 3, FALSE)</f>
        <v>#N/A</v>
      </c>
      <c r="P104" s="11" t="str">
        <f t="shared" si="7"/>
        <v>#N/A</v>
      </c>
      <c r="Q104" s="11" t="str">
        <f>VLOOKUP($G104, 'ADP Data'!$C$4:$Q$300, 4, FALSE)</f>
        <v>#N/A</v>
      </c>
      <c r="R104" s="11" t="str">
        <f>VLOOKUP($G104, 'ADP Data'!$C$4:$Q$300, 5, FALSE)</f>
        <v>#N/A</v>
      </c>
      <c r="S104" s="11" t="str">
        <f>VLOOKUP($G104, 'ADP Data'!$C$4:$Q$300, 6, FALSE)</f>
        <v>#N/A</v>
      </c>
      <c r="T104" s="11" t="str">
        <f>VLOOKUP($G104, 'ADP Data'!$C$4:$Q$300, 7, FALSE)</f>
        <v>#N/A</v>
      </c>
      <c r="U104" s="11" t="str">
        <f>VLOOKUP($G104, 'ADP Data'!$C$4:$Q$300, 8, FALSE)</f>
        <v>#N/A</v>
      </c>
      <c r="V104" s="11" t="str">
        <f t="shared" si="8"/>
        <v>#N/A</v>
      </c>
      <c r="W104" s="11">
        <f t="shared" si="9"/>
        <v>16</v>
      </c>
      <c r="X104" s="11">
        <f t="shared" si="10"/>
        <v>-7</v>
      </c>
      <c r="Y104" s="11" t="str">
        <f>VLOOKUP($G104, SeanRanks!$A$2:$K$303, 10, FALSE)-V104</f>
        <v>#N/A</v>
      </c>
      <c r="Z104" s="29" t="str">
        <f>IF(VLOOKUP($G104, SeanRanks!$A$2:$H$303, 7, FALSE)=0, "", VLOOKUP($G104, SeanRanks!$A$2:$H$303, 7, FALSE))</f>
        <v>#N/A</v>
      </c>
    </row>
    <row r="105" ht="14.25" hidden="1" customHeight="1">
      <c r="A105" s="11"/>
      <c r="B105" s="11">
        <f t="shared" si="4"/>
        <v>2</v>
      </c>
      <c r="C105" s="11" t="s">
        <v>95</v>
      </c>
      <c r="D105" s="11">
        <v>10.0</v>
      </c>
      <c r="E105" s="11"/>
      <c r="F105" s="11" t="str">
        <f>VLOOKUP(G105, SeanRanks!$A$2:$E$302, 4, FALSE)</f>
        <v/>
      </c>
      <c r="G105" s="11" t="s">
        <v>111</v>
      </c>
      <c r="H105" s="11" t="str">
        <f>VLOOKUP($G105, 'ADP Data'!$C$4:$Q$300, 2, FALSE)</f>
        <v>LV</v>
      </c>
      <c r="I105" s="11">
        <f>VLOOKUP(G105, 'ADP Data'!$C$4:$R$498, 12, FALSE)</f>
        <v>19</v>
      </c>
      <c r="J105" s="57" t="str">
        <f>VLOOKUP($G105, SeanRanks!$A$2:$H$303, 5, FALSE)</f>
        <v/>
      </c>
      <c r="K105" s="11" t="str">
        <f>IF(VLOOKUP($G105, SeanRanks!$A$2:$H$303, 6, FALSE)=0, "", VLOOKUP($G105, SeanRanks!$A$2:$H$303, 6, FALSE))</f>
        <v>TE1 - 1 - Elite</v>
      </c>
      <c r="L105" s="11">
        <f t="shared" si="5"/>
        <v>3</v>
      </c>
      <c r="M105" s="11">
        <f>VLOOKUP($G105, 'ADP Data'!$C$4:$Q$300, 9, FALSE)</f>
        <v>19</v>
      </c>
      <c r="N105" s="11">
        <f t="shared" si="6"/>
        <v>2</v>
      </c>
      <c r="O105" s="11">
        <f>VLOOKUP($G105, 'ADP Data'!$C$4:$Q$300, 3, FALSE)</f>
        <v>24</v>
      </c>
      <c r="P105" s="11">
        <f t="shared" si="7"/>
        <v>-5</v>
      </c>
      <c r="Q105" s="11">
        <f>VLOOKUP($G105, 'ADP Data'!$C$4:$Q$300, 4, FALSE)</f>
        <v>20</v>
      </c>
      <c r="R105" s="11">
        <f>VLOOKUP($G105, 'ADP Data'!$C$4:$Q$300, 5, FALSE)</f>
        <v>19</v>
      </c>
      <c r="S105" s="11">
        <f>VLOOKUP($G105, 'ADP Data'!$C$4:$Q$300, 6, FALSE)</f>
        <v>7</v>
      </c>
      <c r="T105" s="11">
        <f>VLOOKUP($G105, 'ADP Data'!$C$4:$Q$300, 7, FALSE)</f>
        <v>18</v>
      </c>
      <c r="U105" s="11">
        <f>VLOOKUP($G105, 'ADP Data'!$C$4:$Q$300, 8, FALSE)</f>
        <v>17</v>
      </c>
      <c r="V105" s="11">
        <f t="shared" si="8"/>
        <v>17</v>
      </c>
      <c r="W105" s="11">
        <f t="shared" si="9"/>
        <v>3</v>
      </c>
      <c r="X105" s="11">
        <f t="shared" si="10"/>
        <v>7</v>
      </c>
      <c r="Y105" s="11">
        <f>VLOOKUP($G105, SeanRanks!$A$2:$K$303, 10, FALSE)-V105</f>
        <v>6</v>
      </c>
      <c r="Z105" s="29">
        <f>IF(VLOOKUP($G105, SeanRanks!$A$2:$H$303, 7, FALSE)=0, "", VLOOKUP($G105, SeanRanks!$A$2:$H$303, 7, FALSE))</f>
        <v>1</v>
      </c>
    </row>
    <row r="106" ht="14.25" hidden="1" customHeight="1">
      <c r="A106" s="11"/>
      <c r="B106" s="11">
        <f t="shared" si="4"/>
        <v>3</v>
      </c>
      <c r="C106" s="11" t="s">
        <v>106</v>
      </c>
      <c r="D106" s="11">
        <v>9.0</v>
      </c>
      <c r="E106" s="11"/>
      <c r="F106" s="11" t="str">
        <f>VLOOKUP(G106, SeanRanks!$A$2:$E$302, 4, FALSE)</f>
        <v/>
      </c>
      <c r="G106" s="11" t="s">
        <v>173</v>
      </c>
      <c r="H106" s="11" t="str">
        <f>VLOOKUP($G106, 'ADP Data'!$C$4:$Q$300, 2, FALSE)</f>
        <v>LAC</v>
      </c>
      <c r="I106" s="11">
        <f>VLOOKUP(G106, 'ADP Data'!$C$4:$R$498, 12, FALSE)</f>
        <v>22</v>
      </c>
      <c r="J106" s="33" t="str">
        <f>VLOOKUP($G106, SeanRanks!$A$2:$H$303, 5, FALSE)</f>
        <v/>
      </c>
      <c r="K106" s="11" t="str">
        <f>IF(VLOOKUP($G106, SeanRanks!$A$2:$H$303, 6, FALSE)=0, "", VLOOKUP($G106, SeanRanks!$A$2:$H$303, 6, FALSE))</f>
        <v>WR1 - 3 - Inconsistent</v>
      </c>
      <c r="L106" s="11">
        <f t="shared" si="5"/>
        <v>4</v>
      </c>
      <c r="M106" s="11">
        <f>VLOOKUP($G106, 'ADP Data'!$C$4:$Q$300, 9, FALSE)</f>
        <v>24</v>
      </c>
      <c r="N106" s="11">
        <f t="shared" si="6"/>
        <v>-1</v>
      </c>
      <c r="O106" s="11">
        <f>VLOOKUP($G106, 'ADP Data'!$C$4:$Q$300, 3, FALSE)</f>
        <v>29</v>
      </c>
      <c r="P106" s="11">
        <f t="shared" si="7"/>
        <v>-5</v>
      </c>
      <c r="Q106" s="11">
        <f>VLOOKUP($G106, 'ADP Data'!$C$4:$Q$300, 4, FALSE)</f>
        <v>30</v>
      </c>
      <c r="R106" s="11">
        <f>VLOOKUP($G106, 'ADP Data'!$C$4:$Q$300, 5, FALSE)</f>
        <v>24</v>
      </c>
      <c r="S106" s="11">
        <f>VLOOKUP($G106, 'ADP Data'!$C$4:$Q$300, 6, FALSE)</f>
        <v>25</v>
      </c>
      <c r="T106" s="11">
        <f>VLOOKUP($G106, 'ADP Data'!$C$4:$Q$300, 7, FALSE)</f>
        <v>23</v>
      </c>
      <c r="U106" s="11">
        <f>VLOOKUP($G106, 'ADP Data'!$C$4:$Q$300, 8, FALSE)</f>
        <v>23</v>
      </c>
      <c r="V106" s="11">
        <f t="shared" si="8"/>
        <v>25</v>
      </c>
      <c r="W106" s="11">
        <f t="shared" si="9"/>
        <v>4</v>
      </c>
      <c r="X106" s="11">
        <f t="shared" si="10"/>
        <v>5</v>
      </c>
      <c r="Y106" s="11">
        <f>VLOOKUP($G106, SeanRanks!$A$2:$K$303, 10, FALSE)-V106</f>
        <v>-3</v>
      </c>
      <c r="Z106" s="29">
        <f>IF(VLOOKUP($G106, SeanRanks!$A$2:$H$303, 7, FALSE)=0, "", VLOOKUP($G106, SeanRanks!$A$2:$H$303, 7, FALSE))</f>
        <v>10</v>
      </c>
    </row>
    <row r="107" ht="14.25" hidden="1" customHeight="1">
      <c r="A107" s="11"/>
      <c r="B107" s="11">
        <f t="shared" si="4"/>
        <v>5</v>
      </c>
      <c r="C107" s="11" t="s">
        <v>95</v>
      </c>
      <c r="D107" s="11">
        <v>9.0</v>
      </c>
      <c r="E107" s="11"/>
      <c r="F107" s="11" t="str">
        <f>VLOOKUP(G107, SeanRanks!$A$2:$E$302, 4, FALSE)</f>
        <v/>
      </c>
      <c r="G107" s="11" t="s">
        <v>261</v>
      </c>
      <c r="H107" s="11" t="str">
        <f>VLOOKUP($G107, 'ADP Data'!$C$4:$Q$300, 2, FALSE)</f>
        <v>DEN</v>
      </c>
      <c r="I107" s="11">
        <f>VLOOKUP(G107, 'ADP Data'!$C$4:$R$498, 12, FALSE)</f>
        <v>46</v>
      </c>
      <c r="J107" s="37" t="str">
        <f>VLOOKUP($G107, SeanRanks!$A$2:$H$303, 5, FALSE)</f>
        <v>Yes</v>
      </c>
      <c r="K107" s="11" t="str">
        <f>IF(VLOOKUP($G107, SeanRanks!$A$2:$H$303, 6, FALSE)=0, "", VLOOKUP($G107, SeanRanks!$A$2:$H$303, 6, FALSE))</f>
        <v>WR3 - 1 - </v>
      </c>
      <c r="L107" s="11">
        <f t="shared" si="5"/>
        <v>7</v>
      </c>
      <c r="M107" s="11">
        <f>VLOOKUP($G107, 'ADP Data'!$C$4:$Q$300, 9, FALSE)</f>
        <v>50</v>
      </c>
      <c r="N107" s="11">
        <f t="shared" si="6"/>
        <v>-3</v>
      </c>
      <c r="O107" s="11">
        <f>VLOOKUP($G107, 'ADP Data'!$C$4:$Q$300, 3, FALSE)</f>
        <v>53</v>
      </c>
      <c r="P107" s="11">
        <f t="shared" si="7"/>
        <v>-3</v>
      </c>
      <c r="Q107" s="11">
        <f>VLOOKUP($G107, 'ADP Data'!$C$4:$Q$300, 4, FALSE)</f>
        <v>58</v>
      </c>
      <c r="R107" s="11">
        <f>VLOOKUP($G107, 'ADP Data'!$C$4:$Q$300, 5, FALSE)</f>
        <v>59</v>
      </c>
      <c r="S107" s="11">
        <f>VLOOKUP($G107, 'ADP Data'!$C$4:$Q$300, 6, FALSE)</f>
        <v>50</v>
      </c>
      <c r="T107" s="11">
        <f>VLOOKUP($G107, 'ADP Data'!$C$4:$Q$300, 7, FALSE)</f>
        <v>47</v>
      </c>
      <c r="U107" s="11">
        <f>VLOOKUP($G107, 'ADP Data'!$C$4:$Q$300, 8, FALSE)</f>
        <v>56</v>
      </c>
      <c r="V107" s="11">
        <f t="shared" si="8"/>
        <v>53</v>
      </c>
      <c r="W107" s="11">
        <f t="shared" si="9"/>
        <v>7</v>
      </c>
      <c r="X107" s="11">
        <f t="shared" si="10"/>
        <v>2</v>
      </c>
      <c r="Y107" s="11">
        <f>VLOOKUP($G107, SeanRanks!$A$2:$K$303, 10, FALSE)-V107</f>
        <v>6</v>
      </c>
      <c r="Z107" s="29">
        <f>IF(VLOOKUP($G107, SeanRanks!$A$2:$H$303, 7, FALSE)=0, "", VLOOKUP($G107, SeanRanks!$A$2:$H$303, 7, FALSE))</f>
        <v>26</v>
      </c>
    </row>
    <row r="108" ht="14.25" hidden="1" customHeight="1">
      <c r="A108" s="11"/>
      <c r="B108" s="11">
        <f t="shared" si="4"/>
        <v>2</v>
      </c>
      <c r="C108" s="11" t="s">
        <v>95</v>
      </c>
      <c r="D108" s="11">
        <v>9.0</v>
      </c>
      <c r="E108" s="11"/>
      <c r="F108" s="11" t="str">
        <f>VLOOKUP(G108, SeanRanks!$A$2:$E$302, 4, FALSE)</f>
        <v/>
      </c>
      <c r="G108" s="11" t="s">
        <v>242</v>
      </c>
      <c r="H108" s="11" t="str">
        <f>VLOOKUP($G108, 'ADP Data'!$C$4:$Q$300, 2, FALSE)</f>
        <v>JAX</v>
      </c>
      <c r="I108" s="11">
        <f>VLOOKUP(G108, 'ADP Data'!$C$4:$R$498, 12, FALSE)</f>
        <v>11</v>
      </c>
      <c r="J108" s="33" t="str">
        <f>VLOOKUP($G108, SeanRanks!$A$2:$H$303, 5, FALSE)</f>
        <v/>
      </c>
      <c r="K108" s="11" t="str">
        <f>IF(VLOOKUP($G108, SeanRanks!$A$2:$H$303, 6, FALSE)=0, "", VLOOKUP($G108, SeanRanks!$A$2:$H$303, 6, FALSE))</f>
        <v>WR1 - 2 - High Floor</v>
      </c>
      <c r="L108" s="11">
        <f t="shared" si="5"/>
        <v>3</v>
      </c>
      <c r="M108" s="11">
        <f>VLOOKUP($G108, 'ADP Data'!$C$4:$Q$300, 9, FALSE)</f>
        <v>16</v>
      </c>
      <c r="N108" s="11">
        <f t="shared" si="6"/>
        <v>1</v>
      </c>
      <c r="O108" s="11">
        <f>VLOOKUP($G108, 'ADP Data'!$C$4:$Q$300, 3, FALSE)</f>
        <v>20</v>
      </c>
      <c r="P108" s="11">
        <f t="shared" si="7"/>
        <v>-4</v>
      </c>
      <c r="Q108" s="11">
        <f>VLOOKUP($G108, 'ADP Data'!$C$4:$Q$300, 4, FALSE)</f>
        <v>16</v>
      </c>
      <c r="R108" s="11">
        <f>VLOOKUP($G108, 'ADP Data'!$C$4:$Q$300, 5, FALSE)</f>
        <v>14</v>
      </c>
      <c r="S108" s="11">
        <f>VLOOKUP($G108, 'ADP Data'!$C$4:$Q$300, 6, FALSE)</f>
        <v>16</v>
      </c>
      <c r="T108" s="11">
        <f>VLOOKUP($G108, 'ADP Data'!$C$4:$Q$300, 7, FALSE)</f>
        <v>11</v>
      </c>
      <c r="U108" s="11">
        <f>VLOOKUP($G108, 'ADP Data'!$C$4:$Q$300, 8, FALSE)</f>
        <v>13</v>
      </c>
      <c r="V108" s="11">
        <f t="shared" si="8"/>
        <v>15</v>
      </c>
      <c r="W108" s="11">
        <f t="shared" si="9"/>
        <v>2</v>
      </c>
      <c r="X108" s="11">
        <f t="shared" si="10"/>
        <v>7</v>
      </c>
      <c r="Y108" s="11">
        <f>VLOOKUP($G108, SeanRanks!$A$2:$K$303, 10, FALSE)-V108</f>
        <v>-2</v>
      </c>
      <c r="Z108" s="29">
        <f>IF(VLOOKUP($G108, SeanRanks!$A$2:$H$303, 7, FALSE)=0, "", VLOOKUP($G108, SeanRanks!$A$2:$H$303, 7, FALSE))</f>
        <v>8</v>
      </c>
    </row>
    <row r="109" ht="14.25" hidden="1" customHeight="1">
      <c r="A109" s="11"/>
      <c r="B109" s="11">
        <f t="shared" si="4"/>
        <v>10</v>
      </c>
      <c r="C109" s="11" t="s">
        <v>106</v>
      </c>
      <c r="D109" s="11">
        <v>9.0</v>
      </c>
      <c r="E109" s="27"/>
      <c r="F109" s="11" t="str">
        <f>VLOOKUP(G109, SeanRanks!$A$2:$E$302, 4, FALSE)</f>
        <v/>
      </c>
      <c r="G109" s="11" t="s">
        <v>672</v>
      </c>
      <c r="H109" s="11" t="str">
        <f>VLOOKUP($G109, 'ADP Data'!$C$4:$Q$300, 2, FALSE)</f>
        <v>BUF</v>
      </c>
      <c r="I109" s="11">
        <f>VLOOKUP(G109, 'ADP Data'!$C$4:$R$498, 12, FALSE)</f>
        <v>78</v>
      </c>
      <c r="J109" s="37" t="str">
        <f>VLOOKUP($G109, SeanRanks!$A$2:$H$303, 5, FALSE)</f>
        <v/>
      </c>
      <c r="K109" s="11" t="str">
        <f>IF(VLOOKUP($G109, SeanRanks!$A$2:$H$303, 6, FALSE)=0, "", VLOOKUP($G109, SeanRanks!$A$2:$H$303, 6, FALSE))</f>
        <v>WR5 - 1 - upside path</v>
      </c>
      <c r="L109" s="11">
        <f t="shared" si="5"/>
        <v>15</v>
      </c>
      <c r="M109" s="11">
        <f>VLOOKUP($G109, 'ADP Data'!$C$4:$Q$300, 9, FALSE)</f>
        <v>118</v>
      </c>
      <c r="N109" s="11">
        <f t="shared" si="6"/>
        <v>3</v>
      </c>
      <c r="O109" s="11">
        <f>VLOOKUP($G109, 'ADP Data'!$C$4:$Q$300, 3, FALSE)</f>
        <v>113</v>
      </c>
      <c r="P109" s="11">
        <f t="shared" si="7"/>
        <v>5</v>
      </c>
      <c r="Q109" s="11">
        <f>VLOOKUP($G109, 'ADP Data'!$C$4:$Q$300, 4, FALSE)</f>
        <v>111</v>
      </c>
      <c r="R109" s="11">
        <f>VLOOKUP($G109, 'ADP Data'!$C$4:$Q$300, 5, FALSE)</f>
        <v>126</v>
      </c>
      <c r="S109" s="11">
        <f>VLOOKUP($G109, 'ADP Data'!$C$4:$Q$300, 6, FALSE)</f>
        <v>102</v>
      </c>
      <c r="T109" s="11">
        <f>VLOOKUP($G109, 'ADP Data'!$C$4:$Q$300, 7, FALSE)</f>
        <v>99</v>
      </c>
      <c r="U109" s="11">
        <f>VLOOKUP($G109, 'ADP Data'!$C$4:$Q$300, 8, FALSE)</f>
        <v>139</v>
      </c>
      <c r="V109" s="11">
        <f t="shared" si="8"/>
        <v>115</v>
      </c>
      <c r="W109" s="11">
        <f t="shared" si="9"/>
        <v>15</v>
      </c>
      <c r="X109" s="11">
        <f t="shared" si="10"/>
        <v>-6</v>
      </c>
      <c r="Y109" s="11">
        <f>VLOOKUP($G109, SeanRanks!$A$2:$K$303, 10, FALSE)-V109</f>
        <v>7</v>
      </c>
      <c r="Z109" s="29">
        <f>IF(VLOOKUP($G109, SeanRanks!$A$2:$H$303, 7, FALSE)=0, "", VLOOKUP($G109, SeanRanks!$A$2:$H$303, 7, FALSE))</f>
        <v>51</v>
      </c>
    </row>
    <row r="110" ht="14.25" hidden="1" customHeight="1">
      <c r="A110" s="11"/>
      <c r="B110" s="11">
        <f t="shared" si="4"/>
        <v>20</v>
      </c>
      <c r="C110" s="11" t="s">
        <v>106</v>
      </c>
      <c r="D110" s="11">
        <v>9.0</v>
      </c>
      <c r="E110" s="11"/>
      <c r="F110" s="11" t="str">
        <f>VLOOKUP(G110, SeanRanks!$A$2:$E$302, 4, FALSE)</f>
        <v/>
      </c>
      <c r="G110" s="11" t="s">
        <v>869</v>
      </c>
      <c r="H110" s="11" t="str">
        <f>VLOOKUP($G110, 'ADP Data'!$C$4:$Q$300, 2, FALSE)</f>
        <v>BAL</v>
      </c>
      <c r="I110" s="11">
        <f>VLOOKUP(G110, 'ADP Data'!$C$4:$R$498, 12, FALSE)</f>
        <v>225</v>
      </c>
      <c r="J110" s="37" t="str">
        <f>VLOOKUP($G110, SeanRanks!$A$2:$H$303, 5, FALSE)</f>
        <v/>
      </c>
      <c r="K110" s="11" t="str">
        <f>IF(VLOOKUP($G110, SeanRanks!$A$2:$H$303, 6, FALSE)=0, "", VLOOKUP($G110, SeanRanks!$A$2:$H$303, 6, FALSE))</f>
        <v/>
      </c>
      <c r="L110" s="11">
        <f t="shared" si="5"/>
        <v>26</v>
      </c>
      <c r="M110" s="11">
        <f>VLOOKUP($G110, 'ADP Data'!$C$4:$Q$300, 9, FALSE)</f>
        <v>205</v>
      </c>
      <c r="N110" s="11">
        <f t="shared" si="6"/>
        <v>-27</v>
      </c>
      <c r="O110" s="11" t="str">
        <f>VLOOKUP($G110, 'ADP Data'!$C$4:$Q$300, 3, FALSE)</f>
        <v>-</v>
      </c>
      <c r="P110" s="11" t="str">
        <f t="shared" si="7"/>
        <v>#VALUE!</v>
      </c>
      <c r="Q110" s="11" t="str">
        <f>VLOOKUP($G110, 'ADP Data'!$C$4:$Q$300, 4, FALSE)</f>
        <v>-</v>
      </c>
      <c r="R110" s="11">
        <f>VLOOKUP($G110, 'ADP Data'!$C$4:$Q$300, 5, FALSE)</f>
        <v>319</v>
      </c>
      <c r="S110" s="11">
        <f>VLOOKUP($G110, 'ADP Data'!$C$4:$Q$300, 6, FALSE)</f>
        <v>229</v>
      </c>
      <c r="T110" s="11">
        <f>VLOOKUP($G110, 'ADP Data'!$C$4:$Q$300, 7, FALSE)</f>
        <v>218</v>
      </c>
      <c r="U110" s="11">
        <f>VLOOKUP($G110, 'ADP Data'!$C$4:$Q$300, 8, FALSE)</f>
        <v>191</v>
      </c>
      <c r="V110" s="11">
        <f t="shared" si="8"/>
        <v>232</v>
      </c>
      <c r="W110" s="11">
        <f t="shared" si="9"/>
        <v>30</v>
      </c>
      <c r="X110" s="11">
        <f t="shared" si="10"/>
        <v>-21</v>
      </c>
      <c r="Y110" s="11">
        <f>VLOOKUP($G110, SeanRanks!$A$2:$K$303, 10, FALSE)-V110</f>
        <v>11</v>
      </c>
      <c r="Z110" s="29" t="str">
        <f>IF(VLOOKUP($G110, SeanRanks!$A$2:$H$303, 7, FALSE)=0, "", VLOOKUP($G110, SeanRanks!$A$2:$H$303, 7, FALSE))</f>
        <v/>
      </c>
    </row>
    <row r="111" ht="14.25" hidden="1" customHeight="1">
      <c r="A111" s="11"/>
      <c r="B111" s="11">
        <f t="shared" si="4"/>
        <v>11</v>
      </c>
      <c r="C111" s="11" t="s">
        <v>106</v>
      </c>
      <c r="D111" s="11">
        <v>10.0</v>
      </c>
      <c r="E111" s="11"/>
      <c r="F111" s="11" t="str">
        <f>VLOOKUP(G111, SeanRanks!$A$2:$E$302, 4, FALSE)</f>
        <v/>
      </c>
      <c r="G111" s="11" t="s">
        <v>244</v>
      </c>
      <c r="H111" s="11" t="str">
        <f>VLOOKUP($G111, 'ADP Data'!$C$4:$Q$300, 2, FALSE)</f>
        <v>CHI</v>
      </c>
      <c r="I111" s="11">
        <f>VLOOKUP(G111, 'ADP Data'!$C$4:$R$498, 12, FALSE)</f>
        <v>108</v>
      </c>
      <c r="J111" s="59" t="str">
        <f>VLOOKUP($G111, SeanRanks!$A$2:$H$303, 5, FALSE)</f>
        <v/>
      </c>
      <c r="K111" s="11" t="str">
        <f>IF(VLOOKUP($G111, SeanRanks!$A$2:$H$303, 6, FALSE)=0, "", VLOOKUP($G111, SeanRanks!$A$2:$H$303, 6, FALSE))</f>
        <v>QB2 - 1 - League Winner</v>
      </c>
      <c r="L111" s="11">
        <f t="shared" si="5"/>
        <v>16</v>
      </c>
      <c r="M111" s="11">
        <f>VLOOKUP($G111, 'ADP Data'!$C$4:$Q$300, 9, FALSE)</f>
        <v>126</v>
      </c>
      <c r="N111" s="11">
        <f t="shared" si="6"/>
        <v>4</v>
      </c>
      <c r="O111" s="11">
        <f>VLOOKUP($G111, 'ADP Data'!$C$4:$Q$300, 3, FALSE)</f>
        <v>120</v>
      </c>
      <c r="P111" s="11">
        <f t="shared" si="7"/>
        <v>6</v>
      </c>
      <c r="Q111" s="11">
        <f>VLOOKUP($G111, 'ADP Data'!$C$4:$Q$300, 4, FALSE)</f>
        <v>112</v>
      </c>
      <c r="R111" s="11">
        <f>VLOOKUP($G111, 'ADP Data'!$C$4:$Q$300, 5, FALSE)</f>
        <v>155</v>
      </c>
      <c r="S111" s="11">
        <f>VLOOKUP($G111, 'ADP Data'!$C$4:$Q$300, 6, FALSE)</f>
        <v>124</v>
      </c>
      <c r="T111" s="11">
        <f>VLOOKUP($G111, 'ADP Data'!$C$4:$Q$300, 7, FALSE)</f>
        <v>109</v>
      </c>
      <c r="U111" s="11">
        <f>VLOOKUP($G111, 'ADP Data'!$C$4:$Q$300, 8, FALSE)</f>
        <v>114</v>
      </c>
      <c r="V111" s="11">
        <f t="shared" si="8"/>
        <v>122</v>
      </c>
      <c r="W111" s="11">
        <f t="shared" si="9"/>
        <v>16</v>
      </c>
      <c r="X111" s="11">
        <f t="shared" si="10"/>
        <v>-6</v>
      </c>
      <c r="Y111" s="11">
        <f>VLOOKUP($G111, SeanRanks!$A$2:$K$303, 10, FALSE)-V111</f>
        <v>-19</v>
      </c>
      <c r="Z111" s="29">
        <f>IF(VLOOKUP($G111, SeanRanks!$A$2:$H$303, 7, FALSE)=0, "", VLOOKUP($G111, SeanRanks!$A$2:$H$303, 7, FALSE))</f>
        <v>13</v>
      </c>
    </row>
    <row r="112" ht="14.25" hidden="1" customHeight="1">
      <c r="A112" s="11"/>
      <c r="B112" s="11">
        <f t="shared" si="4"/>
        <v>8</v>
      </c>
      <c r="C112" s="11" t="s">
        <v>106</v>
      </c>
      <c r="D112" s="11">
        <v>9.0</v>
      </c>
      <c r="E112" s="11"/>
      <c r="F112" s="11" t="str">
        <f>VLOOKUP(G112, SeanRanks!$A$2:$E$302, 4, FALSE)</f>
        <v/>
      </c>
      <c r="G112" s="11" t="s">
        <v>303</v>
      </c>
      <c r="H112" s="11" t="str">
        <f>VLOOKUP($G112, 'ADP Data'!$C$4:$Q$300, 2, FALSE)</f>
        <v>MIN</v>
      </c>
      <c r="I112" s="11">
        <f>VLOOKUP(G112, 'ADP Data'!$C$4:$R$498, 12, FALSE)</f>
        <v>82</v>
      </c>
      <c r="J112" s="37" t="str">
        <f>VLOOKUP($G112, SeanRanks!$A$2:$H$303, 5, FALSE)</f>
        <v/>
      </c>
      <c r="K112" s="11" t="str">
        <f>IF(VLOOKUP($G112, SeanRanks!$A$2:$H$303, 6, FALSE)=0, "", VLOOKUP($G112, SeanRanks!$A$2:$H$303, 6, FALSE))</f>
        <v>WR3 - 3 - lower ceiling</v>
      </c>
      <c r="L112" s="11">
        <f t="shared" si="5"/>
        <v>11</v>
      </c>
      <c r="M112" s="11">
        <f>VLOOKUP($G112, 'ADP Data'!$C$4:$Q$300, 9, FALSE)</f>
        <v>81</v>
      </c>
      <c r="N112" s="11">
        <f t="shared" si="6"/>
        <v>-13</v>
      </c>
      <c r="O112" s="11">
        <f>VLOOKUP($G112, 'ADP Data'!$C$4:$Q$300, 3, FALSE)</f>
        <v>103</v>
      </c>
      <c r="P112" s="11">
        <f t="shared" si="7"/>
        <v>-22</v>
      </c>
      <c r="Q112" s="11">
        <f>VLOOKUP($G112, 'ADP Data'!$C$4:$Q$300, 4, FALSE)</f>
        <v>110</v>
      </c>
      <c r="R112" s="11">
        <f>VLOOKUP($G112, 'ADP Data'!$C$4:$Q$300, 5, FALSE)</f>
        <v>93</v>
      </c>
      <c r="S112" s="11">
        <f>VLOOKUP($G112, 'ADP Data'!$C$4:$Q$300, 6, FALSE)</f>
        <v>95</v>
      </c>
      <c r="T112" s="11">
        <f>VLOOKUP($G112, 'ADP Data'!$C$4:$Q$300, 7, FALSE)</f>
        <v>84</v>
      </c>
      <c r="U112" s="11">
        <f>VLOOKUP($G112, 'ADP Data'!$C$4:$Q$300, 8, FALSE)</f>
        <v>94</v>
      </c>
      <c r="V112" s="11">
        <f t="shared" si="8"/>
        <v>94</v>
      </c>
      <c r="W112" s="11">
        <f t="shared" si="9"/>
        <v>12</v>
      </c>
      <c r="X112" s="11">
        <f t="shared" si="10"/>
        <v>-3</v>
      </c>
      <c r="Y112" s="11">
        <f>VLOOKUP($G112, SeanRanks!$A$2:$K$303, 10, FALSE)-V112</f>
        <v>-10</v>
      </c>
      <c r="Z112" s="29">
        <f>IF(VLOOKUP($G112, SeanRanks!$A$2:$H$303, 7, FALSE)=0, "", VLOOKUP($G112, SeanRanks!$A$2:$H$303, 7, FALSE))</f>
        <v>36</v>
      </c>
    </row>
    <row r="113" ht="14.25" hidden="1" customHeight="1">
      <c r="A113" s="11"/>
      <c r="B113" s="11">
        <f t="shared" si="4"/>
        <v>12</v>
      </c>
      <c r="C113" s="11" t="s">
        <v>106</v>
      </c>
      <c r="D113" s="11">
        <v>9.0</v>
      </c>
      <c r="E113" s="11"/>
      <c r="F113" s="11" t="str">
        <f>VLOOKUP(G113, SeanRanks!$A$2:$E$302, 4, FALSE)</f>
        <v/>
      </c>
      <c r="G113" s="11" t="s">
        <v>328</v>
      </c>
      <c r="H113" s="11" t="str">
        <f>VLOOKUP($G113, 'ADP Data'!$C$4:$Q$300, 2, FALSE)</f>
        <v>PHI</v>
      </c>
      <c r="I113" s="11">
        <f>VLOOKUP(G113, 'ADP Data'!$C$4:$R$498, 12, FALSE)</f>
        <v>144</v>
      </c>
      <c r="J113" s="57" t="str">
        <f>VLOOKUP($G113, SeanRanks!$A$2:$H$303, 5, FALSE)</f>
        <v/>
      </c>
      <c r="K113" s="11" t="str">
        <f>IF(VLOOKUP($G113, SeanRanks!$A$2:$H$303, 6, FALSE)=0, "", VLOOKUP($G113, SeanRanks!$A$2:$H$303, 6, FALSE))</f>
        <v/>
      </c>
      <c r="L113" s="11">
        <f t="shared" si="5"/>
        <v>18</v>
      </c>
      <c r="M113" s="11">
        <f>VLOOKUP($G113, 'ADP Data'!$C$4:$Q$300, 9, FALSE)</f>
        <v>138</v>
      </c>
      <c r="N113" s="11">
        <f t="shared" si="6"/>
        <v>-2</v>
      </c>
      <c r="O113" s="11">
        <f>VLOOKUP($G113, 'ADP Data'!$C$4:$Q$300, 3, FALSE)</f>
        <v>124</v>
      </c>
      <c r="P113" s="11">
        <f t="shared" si="7"/>
        <v>14</v>
      </c>
      <c r="Q113" s="11">
        <f>VLOOKUP($G113, 'ADP Data'!$C$4:$Q$300, 4, FALSE)</f>
        <v>131</v>
      </c>
      <c r="R113" s="11">
        <f>VLOOKUP($G113, 'ADP Data'!$C$4:$Q$300, 5, FALSE)</f>
        <v>170</v>
      </c>
      <c r="S113" s="11">
        <f>VLOOKUP($G113, 'ADP Data'!$C$4:$Q$300, 6, FALSE)</f>
        <v>123</v>
      </c>
      <c r="T113" s="11">
        <f>VLOOKUP($G113, 'ADP Data'!$C$4:$Q$300, 7, FALSE)</f>
        <v>152</v>
      </c>
      <c r="U113" s="11">
        <f>VLOOKUP($G113, 'ADP Data'!$C$4:$Q$300, 8, FALSE)</f>
        <v>142</v>
      </c>
      <c r="V113" s="11">
        <f t="shared" si="8"/>
        <v>140</v>
      </c>
      <c r="W113" s="11">
        <f t="shared" si="9"/>
        <v>18</v>
      </c>
      <c r="X113" s="11">
        <f t="shared" si="10"/>
        <v>-9</v>
      </c>
      <c r="Y113" s="11">
        <f>VLOOKUP($G113, SeanRanks!$A$2:$K$303, 10, FALSE)-V113</f>
        <v>-22</v>
      </c>
      <c r="Z113" s="29" t="str">
        <f>IF(VLOOKUP($G113, SeanRanks!$A$2:$H$303, 7, FALSE)=0, "", VLOOKUP($G113, SeanRanks!$A$2:$H$303, 7, FALSE))</f>
        <v/>
      </c>
    </row>
    <row r="114" ht="14.25" hidden="1" customHeight="1">
      <c r="A114" s="11"/>
      <c r="B114" s="11">
        <f t="shared" si="4"/>
        <v>2</v>
      </c>
      <c r="C114" s="11" t="s">
        <v>95</v>
      </c>
      <c r="D114" s="11">
        <v>9.0</v>
      </c>
      <c r="E114" s="11"/>
      <c r="F114" s="11" t="str">
        <f>VLOOKUP(G114, SeanRanks!$A$2:$E$302, 4, FALSE)</f>
        <v/>
      </c>
      <c r="G114" s="11" t="s">
        <v>80</v>
      </c>
      <c r="H114" s="11" t="str">
        <f>VLOOKUP($G114, 'ADP Data'!$C$4:$Q$300, 2, FALSE)</f>
        <v>CIN</v>
      </c>
      <c r="I114" s="11">
        <f>VLOOKUP(G114, 'ADP Data'!$C$4:$R$498, 12, FALSE)</f>
        <v>16</v>
      </c>
      <c r="J114" s="58" t="str">
        <f>VLOOKUP($G114, SeanRanks!$A$2:$H$303, 5, FALSE)</f>
        <v>Yes</v>
      </c>
      <c r="K114" s="11" t="str">
        <f>IF(VLOOKUP($G114, SeanRanks!$A$2:$H$303, 6, FALSE)=0, "", VLOOKUP($G114, SeanRanks!$A$2:$H$303, 6, FALSE))</f>
        <v>RB1 - 2 - Elite ceiling/questions</v>
      </c>
      <c r="L114" s="11">
        <f t="shared" si="5"/>
        <v>4</v>
      </c>
      <c r="M114" s="11">
        <f>VLOOKUP($G114, 'ADP Data'!$C$4:$Q$300, 9, FALSE)</f>
        <v>28</v>
      </c>
      <c r="N114" s="11">
        <f t="shared" si="6"/>
        <v>7</v>
      </c>
      <c r="O114" s="11">
        <f>VLOOKUP($G114, 'ADP Data'!$C$4:$Q$300, 3, FALSE)</f>
        <v>19</v>
      </c>
      <c r="P114" s="11">
        <f t="shared" si="7"/>
        <v>9</v>
      </c>
      <c r="Q114" s="11">
        <f>VLOOKUP($G114, 'ADP Data'!$C$4:$Q$300, 4, FALSE)</f>
        <v>24</v>
      </c>
      <c r="R114" s="11">
        <f>VLOOKUP($G114, 'ADP Data'!$C$4:$Q$300, 5, FALSE)</f>
        <v>18</v>
      </c>
      <c r="S114" s="11">
        <f>VLOOKUP($G114, 'ADP Data'!$C$4:$Q$300, 6, FALSE)</f>
        <v>17</v>
      </c>
      <c r="T114" s="11">
        <f>VLOOKUP($G114, 'ADP Data'!$C$4:$Q$300, 7, FALSE)</f>
        <v>17</v>
      </c>
      <c r="U114" s="11">
        <f>VLOOKUP($G114, 'ADP Data'!$C$4:$Q$300, 8, FALSE)</f>
        <v>26</v>
      </c>
      <c r="V114" s="11">
        <f t="shared" si="8"/>
        <v>21</v>
      </c>
      <c r="W114" s="11">
        <f t="shared" si="9"/>
        <v>3</v>
      </c>
      <c r="X114" s="11">
        <f t="shared" si="10"/>
        <v>6</v>
      </c>
      <c r="Y114" s="11">
        <f>VLOOKUP($G114, SeanRanks!$A$2:$K$303, 10, FALSE)-V114</f>
        <v>0</v>
      </c>
      <c r="Z114" s="29">
        <f>IF(VLOOKUP($G114, SeanRanks!$A$2:$H$303, 7, FALSE)=0, "", VLOOKUP($G114, SeanRanks!$A$2:$H$303, 7, FALSE))</f>
        <v>10</v>
      </c>
    </row>
    <row r="115" ht="14.25" hidden="1" customHeight="1">
      <c r="A115" s="11"/>
      <c r="B115" s="11">
        <f t="shared" si="4"/>
        <v>5</v>
      </c>
      <c r="C115" s="11" t="s">
        <v>95</v>
      </c>
      <c r="D115" s="11">
        <v>9.0</v>
      </c>
      <c r="E115" s="11"/>
      <c r="F115" s="11" t="str">
        <f>VLOOKUP(G115, SeanRanks!$A$2:$E$302, 4, FALSE)</f>
        <v/>
      </c>
      <c r="G115" s="11" t="s">
        <v>203</v>
      </c>
      <c r="H115" s="11" t="str">
        <f>VLOOKUP($G115, 'ADP Data'!$C$4:$Q$300, 2, FALSE)</f>
        <v>DET</v>
      </c>
      <c r="I115" s="11">
        <f>VLOOKUP(G115, 'ADP Data'!$C$4:$R$498, 12, FALSE)</f>
        <v>48</v>
      </c>
      <c r="J115" s="40" t="str">
        <f>VLOOKUP($G115, SeanRanks!$A$2:$H$303, 5, FALSE)</f>
        <v/>
      </c>
      <c r="K115" s="11" t="str">
        <f>IF(VLOOKUP($G115, SeanRanks!$A$2:$H$303, 6, FALSE)=0, "", VLOOKUP($G115, SeanRanks!$A$2:$H$303, 6, FALSE))</f>
        <v>WR3 - 1 - </v>
      </c>
      <c r="L115" s="11">
        <f t="shared" si="5"/>
        <v>8</v>
      </c>
      <c r="M115" s="11">
        <f>VLOOKUP($G115, 'ADP Data'!$C$4:$Q$300, 9, FALSE)</f>
        <v>60</v>
      </c>
      <c r="N115" s="11">
        <f t="shared" si="6"/>
        <v>1</v>
      </c>
      <c r="O115" s="11">
        <f>VLOOKUP($G115, 'ADP Data'!$C$4:$Q$300, 3, FALSE)</f>
        <v>64</v>
      </c>
      <c r="P115" s="11">
        <f t="shared" si="7"/>
        <v>-4</v>
      </c>
      <c r="Q115" s="11">
        <f>VLOOKUP($G115, 'ADP Data'!$C$4:$Q$300, 4, FALSE)</f>
        <v>65</v>
      </c>
      <c r="R115" s="11">
        <f>VLOOKUP($G115, 'ADP Data'!$C$4:$Q$300, 5, FALSE)</f>
        <v>64</v>
      </c>
      <c r="S115" s="11">
        <f>VLOOKUP($G115, 'ADP Data'!$C$4:$Q$300, 6, FALSE)</f>
        <v>57</v>
      </c>
      <c r="T115" s="11">
        <f>VLOOKUP($G115, 'ADP Data'!$C$4:$Q$300, 7, FALSE)</f>
        <v>53</v>
      </c>
      <c r="U115" s="11">
        <f>VLOOKUP($G115, 'ADP Data'!$C$4:$Q$300, 8, FALSE)</f>
        <v>51</v>
      </c>
      <c r="V115" s="11">
        <f t="shared" si="8"/>
        <v>59</v>
      </c>
      <c r="W115" s="11">
        <f t="shared" si="9"/>
        <v>8</v>
      </c>
      <c r="X115" s="11">
        <f t="shared" si="10"/>
        <v>1</v>
      </c>
      <c r="Y115" s="11">
        <f>VLOOKUP($G115, SeanRanks!$A$2:$K$303, 10, FALSE)-V115</f>
        <v>-2</v>
      </c>
      <c r="Z115" s="29">
        <f>IF(VLOOKUP($G115, SeanRanks!$A$2:$H$303, 7, FALSE)=0, "", VLOOKUP($G115, SeanRanks!$A$2:$H$303, 7, FALSE))</f>
        <v>23</v>
      </c>
    </row>
    <row r="116" ht="14.25" hidden="1" customHeight="1">
      <c r="A116" s="11"/>
      <c r="B116" s="11">
        <f t="shared" si="4"/>
        <v>13</v>
      </c>
      <c r="C116" s="11" t="s">
        <v>95</v>
      </c>
      <c r="D116" s="11">
        <v>11.0</v>
      </c>
      <c r="E116" s="11"/>
      <c r="F116" s="11" t="str">
        <f>VLOOKUP(G116, SeanRanks!$A$2:$E$302, 4, FALSE)</f>
        <v/>
      </c>
      <c r="G116" s="11" t="s">
        <v>874</v>
      </c>
      <c r="H116" s="11" t="str">
        <f>VLOOKUP($G116, 'ADP Data'!$C$4:$Q$300, 2, FALSE)</f>
        <v>HOU</v>
      </c>
      <c r="I116" s="11">
        <f>VLOOKUP(G116, 'ADP Data'!$C$4:$R$498, 12, FALSE)</f>
        <v>145</v>
      </c>
      <c r="J116" s="59" t="str">
        <f>VLOOKUP($G116, SeanRanks!$A$2:$H$303, 5, FALSE)</f>
        <v/>
      </c>
      <c r="K116" s="11" t="str">
        <f>IF(VLOOKUP($G116, SeanRanks!$A$2:$H$303, 6, FALSE)=0, "", VLOOKUP($G116, SeanRanks!$A$2:$H$303, 6, FALSE))</f>
        <v>RB4 - 2 - low ceiling</v>
      </c>
      <c r="L116" s="11">
        <f t="shared" si="5"/>
        <v>18</v>
      </c>
      <c r="M116" s="11">
        <f>VLOOKUP($G116, 'ADP Data'!$C$4:$Q$300, 9, FALSE)</f>
        <v>141</v>
      </c>
      <c r="N116" s="11">
        <f t="shared" si="6"/>
        <v>-6</v>
      </c>
      <c r="O116" s="11">
        <f>VLOOKUP($G116, 'ADP Data'!$C$4:$Q$300, 3, FALSE)</f>
        <v>111</v>
      </c>
      <c r="P116" s="11">
        <f t="shared" si="7"/>
        <v>30</v>
      </c>
      <c r="Q116" s="11">
        <f>VLOOKUP($G116, 'ADP Data'!$C$4:$Q$300, 4, FALSE)</f>
        <v>133</v>
      </c>
      <c r="R116" s="11">
        <f>VLOOKUP($G116, 'ADP Data'!$C$4:$Q$300, 5, FALSE)</f>
        <v>194</v>
      </c>
      <c r="S116" s="11">
        <f>VLOOKUP($G116, 'ADP Data'!$C$4:$Q$300, 6, FALSE)</f>
        <v>128</v>
      </c>
      <c r="T116" s="11">
        <f>VLOOKUP($G116, 'ADP Data'!$C$4:$Q$300, 7, FALSE)</f>
        <v>147</v>
      </c>
      <c r="U116" s="11">
        <f>VLOOKUP($G116, 'ADP Data'!$C$4:$Q$300, 8, FALSE)</f>
        <v>175</v>
      </c>
      <c r="V116" s="11">
        <f t="shared" si="8"/>
        <v>147</v>
      </c>
      <c r="W116" s="11">
        <f t="shared" si="9"/>
        <v>19</v>
      </c>
      <c r="X116" s="11">
        <f t="shared" si="10"/>
        <v>-8</v>
      </c>
      <c r="Y116" s="11">
        <f>VLOOKUP($G116, SeanRanks!$A$2:$K$303, 10, FALSE)-V116</f>
        <v>-8</v>
      </c>
      <c r="Z116" s="29">
        <f>IF(VLOOKUP($G116, SeanRanks!$A$2:$H$303, 7, FALSE)=0, "", VLOOKUP($G116, SeanRanks!$A$2:$H$303, 7, FALSE))</f>
        <v>47</v>
      </c>
    </row>
    <row r="117" ht="14.25" hidden="1" customHeight="1">
      <c r="A117" s="11"/>
      <c r="B117" s="11">
        <f t="shared" si="4"/>
        <v>16</v>
      </c>
      <c r="C117" s="11" t="s">
        <v>106</v>
      </c>
      <c r="D117" s="11">
        <v>9.0</v>
      </c>
      <c r="E117" s="11"/>
      <c r="F117" s="11" t="str">
        <f>VLOOKUP(G117, SeanRanks!$A$2:$E$302, 4, FALSE)</f>
        <v/>
      </c>
      <c r="G117" s="11" t="s">
        <v>639</v>
      </c>
      <c r="H117" s="11" t="str">
        <f>VLOOKUP($G117, 'ADP Data'!$C$4:$Q$300, 2, FALSE)</f>
        <v>MIA</v>
      </c>
      <c r="I117" s="11">
        <f>VLOOKUP(G117, 'ADP Data'!$C$4:$R$498, 12, FALSE)</f>
        <v>153</v>
      </c>
      <c r="J117" s="60" t="str">
        <f>VLOOKUP($G117, SeanRanks!$A$2:$H$303, 5, FALSE)</f>
        <v/>
      </c>
      <c r="K117" s="11" t="str">
        <f>IF(VLOOKUP($G117, SeanRanks!$A$2:$H$303, 6, FALSE)=0, "", VLOOKUP($G117, SeanRanks!$A$2:$H$303, 6, FALSE))</f>
        <v>Don’t Draft - Streamer</v>
      </c>
      <c r="L117" s="11">
        <f t="shared" si="5"/>
        <v>25</v>
      </c>
      <c r="M117" s="11">
        <f>VLOOKUP($G117, 'ADP Data'!$C$4:$Q$300, 9, FALSE)</f>
        <v>198</v>
      </c>
      <c r="N117" s="11">
        <f t="shared" si="6"/>
        <v>15</v>
      </c>
      <c r="O117" s="11">
        <f>VLOOKUP($G117, 'ADP Data'!$C$4:$Q$300, 3, FALSE)</f>
        <v>154</v>
      </c>
      <c r="P117" s="11">
        <f t="shared" si="7"/>
        <v>44</v>
      </c>
      <c r="Q117" s="11">
        <f>VLOOKUP($G117, 'ADP Data'!$C$4:$Q$300, 4, FALSE)</f>
        <v>166</v>
      </c>
      <c r="R117" s="11">
        <f>VLOOKUP($G117, 'ADP Data'!$C$4:$Q$300, 5, FALSE)</f>
        <v>217</v>
      </c>
      <c r="S117" s="11">
        <f>VLOOKUP($G117, 'ADP Data'!$C$4:$Q$300, 6, FALSE)</f>
        <v>183</v>
      </c>
      <c r="T117" s="11">
        <f>VLOOKUP($G117, 'ADP Data'!$C$4:$Q$300, 7, FALSE)</f>
        <v>174</v>
      </c>
      <c r="U117" s="11">
        <f>VLOOKUP($G117, 'ADP Data'!$C$4:$Q$300, 8, FALSE)</f>
        <v>193</v>
      </c>
      <c r="V117" s="11">
        <f t="shared" si="8"/>
        <v>183</v>
      </c>
      <c r="W117" s="11">
        <f t="shared" si="9"/>
        <v>23</v>
      </c>
      <c r="X117" s="11">
        <f t="shared" si="10"/>
        <v>-14</v>
      </c>
      <c r="Y117" s="11">
        <f>VLOOKUP($G117, SeanRanks!$A$2:$K$303, 10, FALSE)-V117</f>
        <v>-31</v>
      </c>
      <c r="Z117" s="29">
        <f>IF(VLOOKUP($G117, SeanRanks!$A$2:$H$303, 7, FALSE)=0, "", VLOOKUP($G117, SeanRanks!$A$2:$H$303, 7, FALSE))</f>
        <v>20</v>
      </c>
    </row>
    <row r="118" ht="14.25" hidden="1" customHeight="1">
      <c r="A118" s="11"/>
      <c r="B118" s="11">
        <f t="shared" si="4"/>
        <v>10</v>
      </c>
      <c r="C118" s="11" t="s">
        <v>106</v>
      </c>
      <c r="D118" s="11">
        <v>9.0</v>
      </c>
      <c r="E118" s="11"/>
      <c r="F118" s="11" t="str">
        <f>VLOOKUP(G118, SeanRanks!$A$2:$E$302, 4, FALSE)</f>
        <v/>
      </c>
      <c r="G118" s="11" t="s">
        <v>346</v>
      </c>
      <c r="H118" s="11" t="str">
        <f>VLOOKUP($G118, 'ADP Data'!$C$4:$Q$300, 2, FALSE)</f>
        <v>DET</v>
      </c>
      <c r="I118" s="11">
        <f>VLOOKUP(G118, 'ADP Data'!$C$4:$R$498, 12, FALSE)</f>
        <v>119</v>
      </c>
      <c r="J118" s="60" t="str">
        <f>VLOOKUP($G118, SeanRanks!$A$2:$H$303, 5, FALSE)</f>
        <v/>
      </c>
      <c r="K118" s="11" t="str">
        <f>IF(VLOOKUP($G118, SeanRanks!$A$2:$H$303, 6, FALSE)=0, "", VLOOKUP($G118, SeanRanks!$A$2:$H$303, 6, FALSE))</f>
        <v>QB2 - 2 - Not League Winner</v>
      </c>
      <c r="L118" s="11">
        <f t="shared" si="5"/>
        <v>13</v>
      </c>
      <c r="M118" s="11">
        <f>VLOOKUP($G118, 'ADP Data'!$C$4:$Q$300, 9, FALSE)</f>
        <v>97</v>
      </c>
      <c r="N118" s="11">
        <f t="shared" si="6"/>
        <v>-12</v>
      </c>
      <c r="O118" s="11">
        <f>VLOOKUP($G118, 'ADP Data'!$C$4:$Q$300, 3, FALSE)</f>
        <v>93</v>
      </c>
      <c r="P118" s="11">
        <f t="shared" si="7"/>
        <v>4</v>
      </c>
      <c r="Q118" s="11">
        <f>VLOOKUP($G118, 'ADP Data'!$C$4:$Q$300, 4, FALSE)</f>
        <v>123</v>
      </c>
      <c r="R118" s="11">
        <f>VLOOKUP($G118, 'ADP Data'!$C$4:$Q$300, 5, FALSE)</f>
        <v>115</v>
      </c>
      <c r="S118" s="11">
        <f>VLOOKUP($G118, 'ADP Data'!$C$4:$Q$300, 6, FALSE)</f>
        <v>132</v>
      </c>
      <c r="T118" s="11">
        <f>VLOOKUP($G118, 'ADP Data'!$C$4:$Q$300, 7, FALSE)</f>
        <v>103</v>
      </c>
      <c r="U118" s="11">
        <f>VLOOKUP($G118, 'ADP Data'!$C$4:$Q$300, 8, FALSE)</f>
        <v>105</v>
      </c>
      <c r="V118" s="11">
        <f t="shared" si="8"/>
        <v>109</v>
      </c>
      <c r="W118" s="11">
        <f t="shared" si="9"/>
        <v>14</v>
      </c>
      <c r="X118" s="11">
        <f t="shared" si="10"/>
        <v>-5</v>
      </c>
      <c r="Y118" s="11">
        <f>VLOOKUP($G118, SeanRanks!$A$2:$K$303, 10, FALSE)-V118</f>
        <v>4</v>
      </c>
      <c r="Z118" s="29">
        <f>IF(VLOOKUP($G118, SeanRanks!$A$2:$H$303, 7, FALSE)=0, "", VLOOKUP($G118, SeanRanks!$A$2:$H$303, 7, FALSE))</f>
        <v>16</v>
      </c>
    </row>
    <row r="119" ht="14.25" hidden="1" customHeight="1">
      <c r="A119" s="11"/>
      <c r="B119" s="11" t="str">
        <f t="shared" si="4"/>
        <v>#N/A</v>
      </c>
      <c r="C119" s="11" t="s">
        <v>106</v>
      </c>
      <c r="D119" s="11"/>
      <c r="E119" s="11"/>
      <c r="F119" s="11" t="str">
        <f>VLOOKUP(G119, SeanRanks!$A$2:$E$302, 4, FALSE)</f>
        <v>#N/A</v>
      </c>
      <c r="G119" s="11" t="s">
        <v>875</v>
      </c>
      <c r="H119" s="11" t="str">
        <f>VLOOKUP($G119, 'ADP Data'!$C$4:$Q$300, 2, FALSE)</f>
        <v>#N/A</v>
      </c>
      <c r="I119" s="11" t="str">
        <f>VLOOKUP(G119, 'ADP Data'!$C$4:$R$498, 12, FALSE)</f>
        <v>#N/A</v>
      </c>
      <c r="J119" s="58" t="str">
        <f>VLOOKUP($G119, SeanRanks!$A$2:$H$303, 5, FALSE)</f>
        <v>#N/A</v>
      </c>
      <c r="K119" s="11" t="str">
        <f>IF(VLOOKUP($G119, SeanRanks!$A$2:$H$303, 6, FALSE)=0, "", VLOOKUP($G119, SeanRanks!$A$2:$H$303, 6, FALSE))</f>
        <v>#N/A</v>
      </c>
      <c r="L119" s="11">
        <f t="shared" si="5"/>
        <v>16</v>
      </c>
      <c r="M119" s="11" t="str">
        <f>VLOOKUP($G119, 'ADP Data'!$C$4:$Q$300, 9, FALSE)</f>
        <v>#N/A</v>
      </c>
      <c r="N119" s="11" t="str">
        <f t="shared" si="6"/>
        <v>#N/A</v>
      </c>
      <c r="O119" s="11" t="str">
        <f>VLOOKUP($G119, 'ADP Data'!$C$4:$Q$300, 3, FALSE)</f>
        <v>#N/A</v>
      </c>
      <c r="P119" s="11" t="str">
        <f t="shared" si="7"/>
        <v>#N/A</v>
      </c>
      <c r="Q119" s="11" t="str">
        <f>VLOOKUP($G119, 'ADP Data'!$C$4:$Q$300, 4, FALSE)</f>
        <v>#N/A</v>
      </c>
      <c r="R119" s="11" t="str">
        <f>VLOOKUP($G119, 'ADP Data'!$C$4:$Q$300, 5, FALSE)</f>
        <v>#N/A</v>
      </c>
      <c r="S119" s="11" t="str">
        <f>VLOOKUP($G119, 'ADP Data'!$C$4:$Q$300, 6, FALSE)</f>
        <v>#N/A</v>
      </c>
      <c r="T119" s="11" t="str">
        <f>VLOOKUP($G119, 'ADP Data'!$C$4:$Q$300, 7, FALSE)</f>
        <v>#N/A</v>
      </c>
      <c r="U119" s="11" t="str">
        <f>VLOOKUP($G119, 'ADP Data'!$C$4:$Q$300, 8, FALSE)</f>
        <v>#N/A</v>
      </c>
      <c r="V119" s="11" t="str">
        <f t="shared" si="8"/>
        <v>#N/A</v>
      </c>
      <c r="W119" s="11">
        <f t="shared" si="9"/>
        <v>16</v>
      </c>
      <c r="X119" s="11">
        <f t="shared" si="10"/>
        <v>-16</v>
      </c>
      <c r="Y119" s="11" t="str">
        <f>VLOOKUP($G119, SeanRanks!$A$2:$K$303, 10, FALSE)-V119</f>
        <v>#N/A</v>
      </c>
      <c r="Z119" s="29" t="str">
        <f>IF(VLOOKUP($G119, SeanRanks!$A$2:$H$303, 7, FALSE)=0, "", VLOOKUP($G119, SeanRanks!$A$2:$H$303, 7, FALSE))</f>
        <v>#N/A</v>
      </c>
    </row>
    <row r="120" ht="14.25" hidden="1" customHeight="1">
      <c r="A120" s="11" t="s">
        <v>106</v>
      </c>
      <c r="B120" s="11">
        <f t="shared" si="4"/>
        <v>15</v>
      </c>
      <c r="C120" s="11" t="s">
        <v>95</v>
      </c>
      <c r="D120" s="11">
        <v>9.0</v>
      </c>
      <c r="E120" s="11"/>
      <c r="F120" s="11" t="str">
        <f>VLOOKUP(G120, SeanRanks!$A$2:$E$302, 4, FALSE)</f>
        <v/>
      </c>
      <c r="G120" s="11" t="s">
        <v>876</v>
      </c>
      <c r="H120" s="11" t="str">
        <f>VLOOKUP($G120, 'ADP Data'!$C$4:$Q$300, 2, FALSE)</f>
        <v>CLE</v>
      </c>
      <c r="I120" s="11">
        <f>VLOOKUP(G120, 'ADP Data'!$C$4:$R$498, 12, FALSE)</f>
        <v>168</v>
      </c>
      <c r="J120" s="59" t="str">
        <f>VLOOKUP($G120, SeanRanks!$A$2:$H$303, 5, FALSE)</f>
        <v/>
      </c>
      <c r="K120" s="11" t="str">
        <f>IF(VLOOKUP($G120, SeanRanks!$A$2:$H$303, 6, FALSE)=0, "", VLOOKUP($G120, SeanRanks!$A$2:$H$303, 6, FALSE))</f>
        <v>Don’t draft - replacement value</v>
      </c>
      <c r="L120" s="11">
        <f t="shared" si="5"/>
        <v>20</v>
      </c>
      <c r="M120" s="11">
        <f>VLOOKUP($G120, 'ADP Data'!$C$4:$Q$300, 9, FALSE)</f>
        <v>157</v>
      </c>
      <c r="N120" s="11">
        <f t="shared" si="6"/>
        <v>-10</v>
      </c>
      <c r="O120" s="11">
        <f>VLOOKUP($G120, 'ADP Data'!$C$4:$Q$300, 3, FALSE)</f>
        <v>147</v>
      </c>
      <c r="P120" s="11">
        <f t="shared" si="7"/>
        <v>10</v>
      </c>
      <c r="Q120" s="11">
        <f>VLOOKUP($G120, 'ADP Data'!$C$4:$Q$300, 4, FALSE)</f>
        <v>147</v>
      </c>
      <c r="R120" s="11">
        <f>VLOOKUP($G120, 'ADP Data'!$C$4:$Q$300, 5, FALSE)</f>
        <v>181</v>
      </c>
      <c r="S120" s="11">
        <f>VLOOKUP($G120, 'ADP Data'!$C$4:$Q$300, 6, FALSE)</f>
        <v>146</v>
      </c>
      <c r="T120" s="11">
        <f>VLOOKUP($G120, 'ADP Data'!$C$4:$Q$300, 7, FALSE)</f>
        <v>151</v>
      </c>
      <c r="U120" s="11">
        <f>VLOOKUP($G120, 'ADP Data'!$C$4:$Q$300, 8, FALSE)</f>
        <v>244</v>
      </c>
      <c r="V120" s="11">
        <f t="shared" si="8"/>
        <v>167</v>
      </c>
      <c r="W120" s="11">
        <f t="shared" si="9"/>
        <v>21</v>
      </c>
      <c r="X120" s="11">
        <f t="shared" si="10"/>
        <v>-12</v>
      </c>
      <c r="Y120" s="11">
        <f>VLOOKUP($G120, SeanRanks!$A$2:$K$303, 10, FALSE)-V120</f>
        <v>-44</v>
      </c>
      <c r="Z120" s="29">
        <f>IF(VLOOKUP($G120, SeanRanks!$A$2:$H$303, 7, FALSE)=0, "", VLOOKUP($G120, SeanRanks!$A$2:$H$303, 7, FALSE))</f>
        <v>56</v>
      </c>
    </row>
    <row r="121" ht="14.25" hidden="1" customHeight="1">
      <c r="A121" s="11"/>
      <c r="B121" s="11" t="str">
        <f t="shared" si="4"/>
        <v>#N/A</v>
      </c>
      <c r="C121" s="11" t="s">
        <v>106</v>
      </c>
      <c r="D121" s="11">
        <v>9.0</v>
      </c>
      <c r="E121" s="11"/>
      <c r="F121" s="11" t="str">
        <f>VLOOKUP(G121, SeanRanks!$A$2:$E$302, 4, FALSE)</f>
        <v>#N/A</v>
      </c>
      <c r="G121" s="11" t="s">
        <v>877</v>
      </c>
      <c r="H121" s="11" t="str">
        <f>VLOOKUP($G121, 'ADP Data'!$C$4:$Q$300, 2, FALSE)</f>
        <v>#N/A</v>
      </c>
      <c r="I121" s="11" t="str">
        <f>VLOOKUP(G121, 'ADP Data'!$C$4:$R$498, 12, FALSE)</f>
        <v>#N/A</v>
      </c>
      <c r="J121" s="58" t="str">
        <f>VLOOKUP($G121, SeanRanks!$A$2:$H$303, 5, FALSE)</f>
        <v>#N/A</v>
      </c>
      <c r="K121" s="11" t="str">
        <f>IF(VLOOKUP($G121, SeanRanks!$A$2:$H$303, 6, FALSE)=0, "", VLOOKUP($G121, SeanRanks!$A$2:$H$303, 6, FALSE))</f>
        <v>#N/A</v>
      </c>
      <c r="L121" s="11">
        <f t="shared" si="5"/>
        <v>16</v>
      </c>
      <c r="M121" s="11" t="str">
        <f>VLOOKUP($G121, 'ADP Data'!$C$4:$Q$300, 9, FALSE)</f>
        <v>#N/A</v>
      </c>
      <c r="N121" s="11" t="str">
        <f t="shared" si="6"/>
        <v>#N/A</v>
      </c>
      <c r="O121" s="11" t="str">
        <f>VLOOKUP($G121, 'ADP Data'!$C$4:$Q$300, 3, FALSE)</f>
        <v>#N/A</v>
      </c>
      <c r="P121" s="11" t="str">
        <f t="shared" si="7"/>
        <v>#N/A</v>
      </c>
      <c r="Q121" s="11" t="str">
        <f>VLOOKUP($G121, 'ADP Data'!$C$4:$Q$300, 4, FALSE)</f>
        <v>#N/A</v>
      </c>
      <c r="R121" s="11" t="str">
        <f>VLOOKUP($G121, 'ADP Data'!$C$4:$Q$300, 5, FALSE)</f>
        <v>#N/A</v>
      </c>
      <c r="S121" s="11" t="str">
        <f>VLOOKUP($G121, 'ADP Data'!$C$4:$Q$300, 6, FALSE)</f>
        <v>#N/A</v>
      </c>
      <c r="T121" s="11" t="str">
        <f>VLOOKUP($G121, 'ADP Data'!$C$4:$Q$300, 7, FALSE)</f>
        <v>#N/A</v>
      </c>
      <c r="U121" s="11" t="str">
        <f>VLOOKUP($G121, 'ADP Data'!$C$4:$Q$300, 8, FALSE)</f>
        <v>#N/A</v>
      </c>
      <c r="V121" s="11" t="str">
        <f t="shared" si="8"/>
        <v>#N/A</v>
      </c>
      <c r="W121" s="11">
        <f t="shared" si="9"/>
        <v>16</v>
      </c>
      <c r="X121" s="11">
        <f t="shared" si="10"/>
        <v>-7</v>
      </c>
      <c r="Y121" s="11" t="str">
        <f>VLOOKUP($G121, SeanRanks!$A$2:$K$303, 10, FALSE)-V121</f>
        <v>#N/A</v>
      </c>
      <c r="Z121" s="29" t="str">
        <f>IF(VLOOKUP($G121, SeanRanks!$A$2:$H$303, 7, FALSE)=0, "", VLOOKUP($G121, SeanRanks!$A$2:$H$303, 7, FALSE))</f>
        <v>#N/A</v>
      </c>
    </row>
    <row r="122" ht="14.25" hidden="1" customHeight="1">
      <c r="A122" s="11"/>
      <c r="B122" s="11">
        <f t="shared" si="4"/>
        <v>14</v>
      </c>
      <c r="C122" s="11" t="s">
        <v>106</v>
      </c>
      <c r="D122" s="11">
        <v>10.0</v>
      </c>
      <c r="E122" s="11"/>
      <c r="F122" s="11" t="str">
        <f>VLOOKUP(G122, SeanRanks!$A$2:$E$302, 4, FALSE)</f>
        <v/>
      </c>
      <c r="G122" s="11" t="s">
        <v>268</v>
      </c>
      <c r="H122" s="11" t="str">
        <f>VLOOKUP($G122, 'ADP Data'!$C$4:$Q$300, 2, FALSE)</f>
        <v>JAX</v>
      </c>
      <c r="I122" s="11">
        <f>VLOOKUP(G122, 'ADP Data'!$C$4:$R$498, 12, FALSE)</f>
        <v>132</v>
      </c>
      <c r="J122" s="59" t="str">
        <f>VLOOKUP($G122, SeanRanks!$A$2:$H$303, 5, FALSE)</f>
        <v/>
      </c>
      <c r="K122" s="11" t="str">
        <f>IF(VLOOKUP($G122, SeanRanks!$A$2:$H$303, 6, FALSE)=0, "", VLOOKUP($G122, SeanRanks!$A$2:$H$303, 6, FALSE))</f>
        <v>QB2 - 2 - Not League Winner</v>
      </c>
      <c r="L122" s="11">
        <f t="shared" si="5"/>
        <v>22</v>
      </c>
      <c r="M122" s="11">
        <f>VLOOKUP($G122, 'ADP Data'!$C$4:$Q$300, 9, FALSE)</f>
        <v>168</v>
      </c>
      <c r="N122" s="11">
        <f t="shared" si="6"/>
        <v>9</v>
      </c>
      <c r="O122" s="11">
        <f>VLOOKUP($G122, 'ADP Data'!$C$4:$Q$300, 3, FALSE)</f>
        <v>151</v>
      </c>
      <c r="P122" s="11">
        <f t="shared" si="7"/>
        <v>17</v>
      </c>
      <c r="Q122" s="11">
        <f>VLOOKUP($G122, 'ADP Data'!$C$4:$Q$300, 4, FALSE)</f>
        <v>172</v>
      </c>
      <c r="R122" s="11">
        <f>VLOOKUP($G122, 'ADP Data'!$C$4:$Q$300, 5, FALSE)</f>
        <v>162</v>
      </c>
      <c r="S122" s="11">
        <f>VLOOKUP($G122, 'ADP Data'!$C$4:$Q$300, 6, FALSE)</f>
        <v>144</v>
      </c>
      <c r="T122" s="11">
        <f>VLOOKUP($G122, 'ADP Data'!$C$4:$Q$300, 7, FALSE)</f>
        <v>138</v>
      </c>
      <c r="U122" s="11">
        <f>VLOOKUP($G122, 'ADP Data'!$C$4:$Q$300, 8, FALSE)</f>
        <v>178</v>
      </c>
      <c r="V122" s="11">
        <f t="shared" si="8"/>
        <v>159</v>
      </c>
      <c r="W122" s="11">
        <f t="shared" si="9"/>
        <v>20</v>
      </c>
      <c r="X122" s="11">
        <f t="shared" si="10"/>
        <v>-10</v>
      </c>
      <c r="Y122" s="11">
        <f>VLOOKUP($G122, SeanRanks!$A$2:$K$303, 10, FALSE)-V122</f>
        <v>-27</v>
      </c>
      <c r="Z122" s="29">
        <f>IF(VLOOKUP($G122, SeanRanks!$A$2:$H$303, 7, FALSE)=0, "", VLOOKUP($G122, SeanRanks!$A$2:$H$303, 7, FALSE))</f>
        <v>19</v>
      </c>
    </row>
    <row r="123" ht="14.25" hidden="1" customHeight="1">
      <c r="A123" s="11"/>
      <c r="B123" s="11">
        <f t="shared" si="4"/>
        <v>9</v>
      </c>
      <c r="C123" s="11" t="s">
        <v>106</v>
      </c>
      <c r="D123" s="11"/>
      <c r="E123" s="11"/>
      <c r="F123" s="11" t="str">
        <f>VLOOKUP(G123, SeanRanks!$A$2:$E$302, 4, FALSE)</f>
        <v/>
      </c>
      <c r="G123" s="11" t="s">
        <v>374</v>
      </c>
      <c r="H123" s="11" t="str">
        <f>VLOOKUP($G123, 'ADP Data'!$C$4:$Q$300, 2, FALSE)</f>
        <v>BUF</v>
      </c>
      <c r="I123" s="11">
        <f>VLOOKUP(G123, 'ADP Data'!$C$4:$R$498, 12, FALSE)</f>
        <v>92</v>
      </c>
      <c r="J123" s="49" t="str">
        <f>VLOOKUP($G123, SeanRanks!$A$2:$H$303, 5, FALSE)</f>
        <v/>
      </c>
      <c r="K123" s="11" t="str">
        <f>IF(VLOOKUP($G123, SeanRanks!$A$2:$H$303, 6, FALSE)=0, "", VLOOKUP($G123, SeanRanks!$A$2:$H$303, 6, FALSE))</f>
        <v>WR4 - 2 - unclear path to WR2</v>
      </c>
      <c r="L123" s="11">
        <f t="shared" si="5"/>
        <v>12</v>
      </c>
      <c r="M123" s="11">
        <f>VLOOKUP($G123, 'ADP Data'!$C$4:$Q$300, 9, FALSE)</f>
        <v>93</v>
      </c>
      <c r="N123" s="11">
        <f t="shared" si="6"/>
        <v>-11</v>
      </c>
      <c r="O123" s="11">
        <f>VLOOKUP($G123, 'ADP Data'!$C$4:$Q$300, 3, FALSE)</f>
        <v>118</v>
      </c>
      <c r="P123" s="11">
        <f t="shared" si="7"/>
        <v>-25</v>
      </c>
      <c r="Q123" s="11">
        <f>VLOOKUP($G123, 'ADP Data'!$C$4:$Q$300, 4, FALSE)</f>
        <v>108</v>
      </c>
      <c r="R123" s="11">
        <f>VLOOKUP($G123, 'ADP Data'!$C$4:$Q$300, 5, FALSE)</f>
        <v>116</v>
      </c>
      <c r="S123" s="11">
        <f>VLOOKUP($G123, 'ADP Data'!$C$4:$Q$300, 6, FALSE)</f>
        <v>103</v>
      </c>
      <c r="T123" s="11">
        <f>VLOOKUP($G123, 'ADP Data'!$C$4:$Q$300, 7, FALSE)</f>
        <v>88</v>
      </c>
      <c r="U123" s="11">
        <f>VLOOKUP($G123, 'ADP Data'!$C$4:$Q$300, 8, FALSE)</f>
        <v>102</v>
      </c>
      <c r="V123" s="11">
        <f t="shared" si="8"/>
        <v>104</v>
      </c>
      <c r="W123" s="11">
        <f t="shared" si="9"/>
        <v>14</v>
      </c>
      <c r="X123" s="11">
        <f t="shared" si="10"/>
        <v>-14</v>
      </c>
      <c r="Y123" s="11">
        <f>VLOOKUP($G123, SeanRanks!$A$2:$K$303, 10, FALSE)-V123</f>
        <v>2</v>
      </c>
      <c r="Z123" s="29">
        <f>IF(VLOOKUP($G123, SeanRanks!$A$2:$H$303, 7, FALSE)=0, "", VLOOKUP($G123, SeanRanks!$A$2:$H$303, 7, FALSE))</f>
        <v>45</v>
      </c>
    </row>
    <row r="124" ht="14.25" hidden="1" customHeight="1">
      <c r="A124" s="11"/>
      <c r="B124" s="11">
        <f t="shared" si="4"/>
        <v>21</v>
      </c>
      <c r="C124" s="11" t="s">
        <v>106</v>
      </c>
      <c r="D124" s="11"/>
      <c r="E124" s="11"/>
      <c r="F124" s="11" t="str">
        <f>VLOOKUP(G124, SeanRanks!$A$2:$E$302, 4, FALSE)</f>
        <v/>
      </c>
      <c r="G124" s="11" t="s">
        <v>420</v>
      </c>
      <c r="H124" s="11" t="str">
        <f>VLOOKUP($G124, 'ADP Data'!$C$4:$Q$300, 2, FALSE)</f>
        <v>HOU</v>
      </c>
      <c r="I124" s="11">
        <f>VLOOKUP(G124, 'ADP Data'!$C$4:$R$498, 12, FALSE)</f>
        <v>226</v>
      </c>
      <c r="J124" s="61" t="str">
        <f>VLOOKUP($G124, SeanRanks!$A$2:$H$303, 5, FALSE)</f>
        <v/>
      </c>
      <c r="K124" s="11" t="str">
        <f>IF(VLOOKUP($G124, SeanRanks!$A$2:$H$303, 6, FALSE)=0, "", VLOOKUP($G124, SeanRanks!$A$2:$H$303, 6, FALSE))</f>
        <v/>
      </c>
      <c r="L124" s="11">
        <f t="shared" si="5"/>
        <v>31</v>
      </c>
      <c r="M124" s="11">
        <f>VLOOKUP($G124, 'ADP Data'!$C$4:$Q$300, 9, FALSE)</f>
        <v>241</v>
      </c>
      <c r="N124" s="11">
        <f t="shared" si="6"/>
        <v>-3</v>
      </c>
      <c r="O124" s="11" t="str">
        <f>VLOOKUP($G124, 'ADP Data'!$C$4:$Q$300, 3, FALSE)</f>
        <v>-</v>
      </c>
      <c r="P124" s="11" t="str">
        <f t="shared" si="7"/>
        <v>#VALUE!</v>
      </c>
      <c r="Q124" s="11">
        <f>VLOOKUP($G124, 'ADP Data'!$C$4:$Q$300, 4, FALSE)</f>
        <v>267</v>
      </c>
      <c r="R124" s="11">
        <f>VLOOKUP($G124, 'ADP Data'!$C$4:$Q$300, 5, FALSE)</f>
        <v>287</v>
      </c>
      <c r="S124" s="11">
        <f>VLOOKUP($G124, 'ADP Data'!$C$4:$Q$300, 6, FALSE)</f>
        <v>210</v>
      </c>
      <c r="T124" s="11">
        <f>VLOOKUP($G124, 'ADP Data'!$C$4:$Q$300, 7, FALSE)</f>
        <v>248</v>
      </c>
      <c r="U124" s="11">
        <f>VLOOKUP($G124, 'ADP Data'!$C$4:$Q$300, 8, FALSE)</f>
        <v>216</v>
      </c>
      <c r="V124" s="11">
        <f t="shared" si="8"/>
        <v>244</v>
      </c>
      <c r="W124" s="11">
        <f t="shared" si="9"/>
        <v>31</v>
      </c>
      <c r="X124" s="11">
        <f t="shared" si="10"/>
        <v>-31</v>
      </c>
      <c r="Y124" s="11">
        <f>VLOOKUP($G124, SeanRanks!$A$2:$K$303, 10, FALSE)-V124</f>
        <v>-14</v>
      </c>
      <c r="Z124" s="29" t="str">
        <f>IF(VLOOKUP($G124, SeanRanks!$A$2:$H$303, 7, FALSE)=0, "", VLOOKUP($G124, SeanRanks!$A$2:$H$303, 7, FALSE))</f>
        <v/>
      </c>
    </row>
    <row r="125" ht="14.25" customHeight="1">
      <c r="A125" s="11"/>
      <c r="B125" s="11">
        <f t="shared" si="4"/>
        <v>18</v>
      </c>
      <c r="C125" s="11" t="s">
        <v>106</v>
      </c>
      <c r="D125" s="11"/>
      <c r="E125" s="11"/>
      <c r="F125" s="11" t="str">
        <f>VLOOKUP(G125, SeanRanks!$A$2:$E$302, 4, FALSE)</f>
        <v/>
      </c>
      <c r="G125" s="11" t="s">
        <v>282</v>
      </c>
      <c r="H125" s="11" t="str">
        <f>VLOOKUP($G125, 'ADP Data'!$C$4:$Q$300, 2, FALSE)</f>
        <v>LAR</v>
      </c>
      <c r="I125" s="11">
        <f>VLOOKUP(G125, 'ADP Data'!$C$4:$R$498, 12, FALSE)</f>
        <v>216</v>
      </c>
      <c r="J125" s="59" t="str">
        <f>VLOOKUP($G125, SeanRanks!$A$2:$H$303, 5, FALSE)</f>
        <v/>
      </c>
      <c r="K125" s="11" t="str">
        <f>IF(VLOOKUP($G125, SeanRanks!$A$2:$H$303, 6, FALSE)=0, "", VLOOKUP($G125, SeanRanks!$A$2:$H$303, 6, FALSE))</f>
        <v/>
      </c>
      <c r="L125" s="11">
        <f t="shared" si="5"/>
        <v>26</v>
      </c>
      <c r="M125" s="11">
        <f>VLOOKUP($G125, 'ADP Data'!$C$4:$Q$300, 9, FALSE)</f>
        <v>200</v>
      </c>
      <c r="N125" s="11">
        <f t="shared" si="6"/>
        <v>-10</v>
      </c>
      <c r="O125" s="11" t="str">
        <f>VLOOKUP($G125, 'ADP Data'!$C$4:$Q$300, 3, FALSE)</f>
        <v>-</v>
      </c>
      <c r="P125" s="11" t="str">
        <f t="shared" si="7"/>
        <v>#VALUE!</v>
      </c>
      <c r="Q125" s="11" t="str">
        <f>VLOOKUP($G125, 'ADP Data'!$C$4:$Q$300, 4, FALSE)</f>
        <v>-</v>
      </c>
      <c r="R125" s="11">
        <f>VLOOKUP($G125, 'ADP Data'!$C$4:$Q$300, 5, FALSE)</f>
        <v>248</v>
      </c>
      <c r="S125" s="11">
        <f>VLOOKUP($G125, 'ADP Data'!$C$4:$Q$300, 6, FALSE)</f>
        <v>176</v>
      </c>
      <c r="T125" s="11">
        <f>VLOOKUP($G125, 'ADP Data'!$C$4:$Q$300, 7, FALSE)</f>
        <v>181</v>
      </c>
      <c r="U125" s="11">
        <f>VLOOKUP($G125, 'ADP Data'!$C$4:$Q$300, 8, FALSE)</f>
        <v>245</v>
      </c>
      <c r="V125" s="11">
        <f t="shared" si="8"/>
        <v>210</v>
      </c>
      <c r="W125" s="11">
        <f t="shared" si="9"/>
        <v>27</v>
      </c>
      <c r="X125" s="11">
        <f t="shared" si="10"/>
        <v>-27</v>
      </c>
      <c r="Y125" s="11">
        <f>VLOOKUP($G125, SeanRanks!$A$2:$K$303, 10, FALSE)-V125</f>
        <v>-31</v>
      </c>
      <c r="Z125" s="29" t="str">
        <f>IF(VLOOKUP($G125, SeanRanks!$A$2:$H$303, 7, FALSE)=0, "", VLOOKUP($G125, SeanRanks!$A$2:$H$303, 7, FALSE))</f>
        <v/>
      </c>
    </row>
    <row r="126" ht="14.25" hidden="1" customHeight="1">
      <c r="A126" s="11"/>
      <c r="B126" s="11">
        <f t="shared" si="4"/>
        <v>18</v>
      </c>
      <c r="C126" s="11" t="s">
        <v>106</v>
      </c>
      <c r="D126" s="11">
        <v>11.0</v>
      </c>
      <c r="E126" s="11"/>
      <c r="F126" s="11" t="str">
        <f>VLOOKUP(G126, SeanRanks!$A$2:$E$302, 4, FALSE)</f>
        <v/>
      </c>
      <c r="G126" s="11" t="s">
        <v>552</v>
      </c>
      <c r="H126" s="11" t="str">
        <f>VLOOKUP($G126, 'ADP Data'!$C$4:$Q$300, 2, FALSE)</f>
        <v>PIT</v>
      </c>
      <c r="I126" s="11">
        <f>VLOOKUP(G126, 'ADP Data'!$C$4:$R$498, 12, FALSE)</f>
        <v>228</v>
      </c>
      <c r="J126" s="57" t="str">
        <f>VLOOKUP($G126, SeanRanks!$A$2:$H$303, 5, FALSE)</f>
        <v/>
      </c>
      <c r="K126" s="11" t="str">
        <f>IF(VLOOKUP($G126, SeanRanks!$A$2:$H$303, 6, FALSE)=0, "", VLOOKUP($G126, SeanRanks!$A$2:$H$303, 6, FALSE))</f>
        <v/>
      </c>
      <c r="L126" s="11">
        <f t="shared" si="5"/>
        <v>26</v>
      </c>
      <c r="M126" s="11">
        <f>VLOOKUP($G126, 'ADP Data'!$C$4:$Q$300, 9, FALSE)</f>
        <v>202</v>
      </c>
      <c r="N126" s="11">
        <f t="shared" si="6"/>
        <v>-3</v>
      </c>
      <c r="O126" s="11" t="str">
        <f>VLOOKUP($G126, 'ADP Data'!$C$4:$Q$300, 3, FALSE)</f>
        <v>-</v>
      </c>
      <c r="P126" s="11" t="str">
        <f t="shared" si="7"/>
        <v>#VALUE!</v>
      </c>
      <c r="Q126" s="11">
        <f>VLOOKUP($G126, 'ADP Data'!$C$4:$Q$300, 4, FALSE)</f>
        <v>198</v>
      </c>
      <c r="R126" s="11">
        <f>VLOOKUP($G126, 'ADP Data'!$C$4:$Q$300, 5, FALSE)</f>
        <v>239</v>
      </c>
      <c r="S126" s="11">
        <f>VLOOKUP($G126, 'ADP Data'!$C$4:$Q$300, 6, FALSE)</f>
        <v>196</v>
      </c>
      <c r="T126" s="11">
        <f>VLOOKUP($G126, 'ADP Data'!$C$4:$Q$300, 7, FALSE)</f>
        <v>221</v>
      </c>
      <c r="U126" s="11">
        <f>VLOOKUP($G126, 'ADP Data'!$C$4:$Q$300, 8, FALSE)</f>
        <v>176</v>
      </c>
      <c r="V126" s="11">
        <f t="shared" si="8"/>
        <v>205</v>
      </c>
      <c r="W126" s="11">
        <f t="shared" si="9"/>
        <v>26</v>
      </c>
      <c r="X126" s="11">
        <f t="shared" si="10"/>
        <v>-15</v>
      </c>
      <c r="Y126" s="11">
        <f>VLOOKUP($G126, SeanRanks!$A$2:$K$303, 10, FALSE)-V126</f>
        <v>23</v>
      </c>
      <c r="Z126" s="29" t="str">
        <f>IF(VLOOKUP($G126, SeanRanks!$A$2:$H$303, 7, FALSE)=0, "", VLOOKUP($G126, SeanRanks!$A$2:$H$303, 7, FALSE))</f>
        <v/>
      </c>
    </row>
    <row r="127" ht="14.25" hidden="1" customHeight="1">
      <c r="A127" s="11"/>
      <c r="B127" s="11">
        <f t="shared" si="4"/>
        <v>21</v>
      </c>
      <c r="C127" s="11" t="s">
        <v>106</v>
      </c>
      <c r="D127" s="11">
        <v>11.0</v>
      </c>
      <c r="E127" s="11"/>
      <c r="F127" s="11" t="str">
        <f>VLOOKUP(G127, SeanRanks!$A$2:$E$302, 4, FALSE)</f>
        <v/>
      </c>
      <c r="G127" s="11" t="s">
        <v>880</v>
      </c>
      <c r="H127" s="11" t="str">
        <f>VLOOKUP($G127, 'ADP Data'!$C$4:$Q$300, 2, FALSE)</f>
        <v>TEN</v>
      </c>
      <c r="I127" s="11">
        <f>VLOOKUP(G127, 'ADP Data'!$C$4:$R$498, 12, FALSE)</f>
        <v>223</v>
      </c>
      <c r="J127" s="49" t="str">
        <f>VLOOKUP($G127, SeanRanks!$A$2:$H$303, 5, FALSE)</f>
        <v/>
      </c>
      <c r="K127" s="11" t="str">
        <f>IF(VLOOKUP($G127, SeanRanks!$A$2:$H$303, 6, FALSE)=0, "", VLOOKUP($G127, SeanRanks!$A$2:$H$303, 6, FALSE))</f>
        <v/>
      </c>
      <c r="L127" s="11">
        <f t="shared" si="5"/>
        <v>30</v>
      </c>
      <c r="M127" s="11">
        <f>VLOOKUP($G127, 'ADP Data'!$C$4:$Q$300, 9, FALSE)</f>
        <v>235</v>
      </c>
      <c r="N127" s="11">
        <f t="shared" si="6"/>
        <v>-8</v>
      </c>
      <c r="O127" s="11" t="str">
        <f>VLOOKUP($G127, 'ADP Data'!$C$4:$Q$300, 3, FALSE)</f>
        <v>-</v>
      </c>
      <c r="P127" s="11" t="str">
        <f t="shared" si="7"/>
        <v>#VALUE!</v>
      </c>
      <c r="Q127" s="11" t="str">
        <f>VLOOKUP($G127, 'ADP Data'!$C$4:$Q$300, 4, FALSE)</f>
        <v>-</v>
      </c>
      <c r="R127" s="11">
        <f>VLOOKUP($G127, 'ADP Data'!$C$4:$Q$300, 5, FALSE)</f>
        <v>316</v>
      </c>
      <c r="S127" s="11">
        <f>VLOOKUP($G127, 'ADP Data'!$C$4:$Q$300, 6, FALSE)</f>
        <v>202</v>
      </c>
      <c r="T127" s="11">
        <f>VLOOKUP($G127, 'ADP Data'!$C$4:$Q$300, 7, FALSE)</f>
        <v>228</v>
      </c>
      <c r="U127" s="11">
        <f>VLOOKUP($G127, 'ADP Data'!$C$4:$Q$300, 8, FALSE)</f>
        <v>238</v>
      </c>
      <c r="V127" s="11">
        <f t="shared" si="8"/>
        <v>243</v>
      </c>
      <c r="W127" s="11">
        <f t="shared" si="9"/>
        <v>31</v>
      </c>
      <c r="X127" s="11">
        <f t="shared" si="10"/>
        <v>-20</v>
      </c>
      <c r="Y127" s="11" t="str">
        <f>VLOOKUP($G127, SeanRanks!$A$2:$K$303, 10, FALSE)-V127</f>
        <v>#VALUE!</v>
      </c>
      <c r="Z127" s="29" t="str">
        <f>IF(VLOOKUP($G127, SeanRanks!$A$2:$H$303, 7, FALSE)=0, "", VLOOKUP($G127, SeanRanks!$A$2:$H$303, 7, FALSE))</f>
        <v/>
      </c>
    </row>
    <row r="128" ht="14.25" hidden="1" customHeight="1">
      <c r="A128" s="11"/>
      <c r="B128" s="11">
        <f t="shared" si="4"/>
        <v>17</v>
      </c>
      <c r="C128" s="11" t="s">
        <v>106</v>
      </c>
      <c r="D128" s="11">
        <v>12.0</v>
      </c>
      <c r="E128" s="11"/>
      <c r="F128" s="11" t="str">
        <f>VLOOKUP(G128, SeanRanks!$A$2:$E$302, 4, FALSE)</f>
        <v/>
      </c>
      <c r="G128" s="11" t="s">
        <v>359</v>
      </c>
      <c r="H128" s="11" t="str">
        <f>VLOOKUP($G128, 'ADP Data'!$C$4:$Q$300, 2, FALSE)</f>
        <v>GB</v>
      </c>
      <c r="I128" s="11">
        <f>VLOOKUP(G128, 'ADP Data'!$C$4:$R$498, 12, FALSE)</f>
        <v>142</v>
      </c>
      <c r="J128" s="49" t="str">
        <f>VLOOKUP($G128, SeanRanks!$A$2:$H$303, 5, FALSE)</f>
        <v/>
      </c>
      <c r="K128" s="11" t="str">
        <f>IF(VLOOKUP($G128, SeanRanks!$A$2:$H$303, 6, FALSE)=0, "", VLOOKUP($G128, SeanRanks!$A$2:$H$303, 6, FALSE))</f>
        <v/>
      </c>
      <c r="L128" s="11">
        <f t="shared" si="5"/>
        <v>27</v>
      </c>
      <c r="M128" s="11">
        <f>VLOOKUP($G128, 'ADP Data'!$C$4:$Q$300, 9, FALSE)</f>
        <v>210</v>
      </c>
      <c r="N128" s="11">
        <f t="shared" si="6"/>
        <v>12</v>
      </c>
      <c r="O128" s="11">
        <f>VLOOKUP($G128, 'ADP Data'!$C$4:$Q$300, 3, FALSE)</f>
        <v>205</v>
      </c>
      <c r="P128" s="11">
        <f t="shared" si="7"/>
        <v>5</v>
      </c>
      <c r="Q128" s="11" t="str">
        <f>VLOOKUP($G128, 'ADP Data'!$C$4:$Q$300, 4, FALSE)</f>
        <v>-</v>
      </c>
      <c r="R128" s="11">
        <f>VLOOKUP($G128, 'ADP Data'!$C$4:$Q$300, 5, FALSE)</f>
        <v>219</v>
      </c>
      <c r="S128" s="11">
        <f>VLOOKUP($G128, 'ADP Data'!$C$4:$Q$300, 6, FALSE)</f>
        <v>172</v>
      </c>
      <c r="T128" s="11">
        <f>VLOOKUP($G128, 'ADP Data'!$C$4:$Q$300, 7, FALSE)</f>
        <v>163</v>
      </c>
      <c r="U128" s="11">
        <f>VLOOKUP($G128, 'ADP Data'!$C$4:$Q$300, 8, FALSE)</f>
        <v>223</v>
      </c>
      <c r="V128" s="11">
        <f t="shared" si="8"/>
        <v>198</v>
      </c>
      <c r="W128" s="11">
        <f t="shared" si="9"/>
        <v>25</v>
      </c>
      <c r="X128" s="11">
        <f t="shared" si="10"/>
        <v>-13</v>
      </c>
      <c r="Y128" s="11">
        <f>VLOOKUP($G128, SeanRanks!$A$2:$K$303, 10, FALSE)-V128</f>
        <v>-20</v>
      </c>
      <c r="Z128" s="29" t="str">
        <f>IF(VLOOKUP($G128, SeanRanks!$A$2:$H$303, 7, FALSE)=0, "", VLOOKUP($G128, SeanRanks!$A$2:$H$303, 7, FALSE))</f>
        <v/>
      </c>
    </row>
    <row r="129" ht="14.25" hidden="1" customHeight="1">
      <c r="A129" s="11"/>
      <c r="B129" s="11">
        <f t="shared" si="4"/>
        <v>16</v>
      </c>
      <c r="C129" s="11" t="s">
        <v>106</v>
      </c>
      <c r="D129" s="11"/>
      <c r="E129" s="11"/>
      <c r="F129" s="11" t="str">
        <f>VLOOKUP(G129, SeanRanks!$A$2:$E$302, 4, FALSE)</f>
        <v/>
      </c>
      <c r="G129" s="11" t="s">
        <v>676</v>
      </c>
      <c r="H129" s="11" t="str">
        <f>VLOOKUP($G129, 'ADP Data'!$C$4:$Q$300, 2, FALSE)</f>
        <v>SF</v>
      </c>
      <c r="I129" s="11" t="str">
        <f>VLOOKUP(G129, 'ADP Data'!$C$4:$R$498, 12, FALSE)</f>
        <v>-</v>
      </c>
      <c r="J129" s="11" t="str">
        <f>VLOOKUP($G129, SeanRanks!$A$2:$H$303, 5, FALSE)</f>
        <v/>
      </c>
      <c r="K129" s="11" t="str">
        <f>IF(VLOOKUP($G129, SeanRanks!$A$2:$H$303, 6, FALSE)=0, "", VLOOKUP($G129, SeanRanks!$A$2:$H$303, 6, FALSE))</f>
        <v/>
      </c>
      <c r="L129" s="11">
        <f t="shared" si="5"/>
        <v>20</v>
      </c>
      <c r="M129" s="11">
        <f>VLOOKUP($G129, 'ADP Data'!$C$4:$Q$300, 9, FALSE)</f>
        <v>156</v>
      </c>
      <c r="N129" s="11">
        <f t="shared" si="6"/>
        <v>-21</v>
      </c>
      <c r="O129" s="11">
        <f>VLOOKUP($G129, 'ADP Data'!$C$4:$Q$300, 3, FALSE)</f>
        <v>181</v>
      </c>
      <c r="P129" s="11">
        <f t="shared" si="7"/>
        <v>-25</v>
      </c>
      <c r="Q129" s="11">
        <f>VLOOKUP($G129, 'ADP Data'!$C$4:$Q$300, 4, FALSE)</f>
        <v>188</v>
      </c>
      <c r="R129" s="11">
        <f>VLOOKUP($G129, 'ADP Data'!$C$4:$Q$300, 5, FALSE)</f>
        <v>229</v>
      </c>
      <c r="S129" s="11">
        <f>VLOOKUP($G129, 'ADP Data'!$C$4:$Q$300, 6, FALSE)</f>
        <v>230</v>
      </c>
      <c r="T129" s="11">
        <f>VLOOKUP($G129, 'ADP Data'!$C$4:$Q$300, 7, FALSE)</f>
        <v>185</v>
      </c>
      <c r="U129" s="11">
        <f>VLOOKUP($G129, 'ADP Data'!$C$4:$Q$300, 8, FALSE)</f>
        <v>76</v>
      </c>
      <c r="V129" s="11">
        <f t="shared" si="8"/>
        <v>177</v>
      </c>
      <c r="W129" s="11">
        <f t="shared" si="9"/>
        <v>23</v>
      </c>
      <c r="X129" s="11">
        <f t="shared" si="10"/>
        <v>-23</v>
      </c>
      <c r="Y129" s="11" t="str">
        <f>VLOOKUP($G129, SeanRanks!$A$2:$K$303, 10, FALSE)-V129</f>
        <v>#VALUE!</v>
      </c>
      <c r="Z129" s="29" t="str">
        <f>IF(VLOOKUP($G129, SeanRanks!$A$2:$H$303, 7, FALSE)=0, "", VLOOKUP($G129, SeanRanks!$A$2:$H$303, 7, FALSE))</f>
        <v/>
      </c>
    </row>
    <row r="130" ht="14.25" hidden="1" customHeight="1">
      <c r="A130" s="11"/>
      <c r="B130" s="11">
        <f t="shared" si="4"/>
        <v>10</v>
      </c>
      <c r="C130" s="11" t="s">
        <v>106</v>
      </c>
      <c r="D130" s="11"/>
      <c r="E130" s="11"/>
      <c r="F130" s="11" t="str">
        <f>VLOOKUP(G130, SeanRanks!$A$2:$E$302, 4, FALSE)</f>
        <v/>
      </c>
      <c r="G130" s="11" t="s">
        <v>266</v>
      </c>
      <c r="H130" s="11" t="str">
        <f>VLOOKUP($G130, 'ADP Data'!$C$4:$Q$300, 2, FALSE)</f>
        <v>LAC</v>
      </c>
      <c r="I130" s="11">
        <f>VLOOKUP(G130, 'ADP Data'!$C$4:$R$498, 12, FALSE)</f>
        <v>128</v>
      </c>
      <c r="J130" s="58" t="str">
        <f>VLOOKUP($G130, SeanRanks!$A$2:$H$303, 5, FALSE)</f>
        <v/>
      </c>
      <c r="K130" s="11" t="str">
        <f>IF(VLOOKUP($G130, SeanRanks!$A$2:$H$303, 6, FALSE)=0, "", VLOOKUP($G130, SeanRanks!$A$2:$H$303, 6, FALSE))</f>
        <v>QB2 - 2 - Not League Winner</v>
      </c>
      <c r="L130" s="11">
        <f t="shared" si="5"/>
        <v>14</v>
      </c>
      <c r="M130" s="11">
        <f>VLOOKUP($G130, 'ADP Data'!$C$4:$Q$300, 9, FALSE)</f>
        <v>109</v>
      </c>
      <c r="N130" s="11">
        <f t="shared" si="6"/>
        <v>-8</v>
      </c>
      <c r="O130" s="11">
        <f>VLOOKUP($G130, 'ADP Data'!$C$4:$Q$300, 3, FALSE)</f>
        <v>122</v>
      </c>
      <c r="P130" s="11">
        <f t="shared" si="7"/>
        <v>-13</v>
      </c>
      <c r="Q130" s="11">
        <f>VLOOKUP($G130, 'ADP Data'!$C$4:$Q$300, 4, FALSE)</f>
        <v>91</v>
      </c>
      <c r="R130" s="11">
        <f>VLOOKUP($G130, 'ADP Data'!$C$4:$Q$300, 5, FALSE)</f>
        <v>122</v>
      </c>
      <c r="S130" s="11">
        <f>VLOOKUP($G130, 'ADP Data'!$C$4:$Q$300, 6, FALSE)</f>
        <v>135</v>
      </c>
      <c r="T130" s="11">
        <f>VLOOKUP($G130, 'ADP Data'!$C$4:$Q$300, 7, FALSE)</f>
        <v>120</v>
      </c>
      <c r="U130" s="11">
        <f>VLOOKUP($G130, 'ADP Data'!$C$4:$Q$300, 8, FALSE)</f>
        <v>124</v>
      </c>
      <c r="V130" s="11">
        <f t="shared" si="8"/>
        <v>117</v>
      </c>
      <c r="W130" s="11">
        <f t="shared" si="9"/>
        <v>15</v>
      </c>
      <c r="X130" s="11">
        <f t="shared" si="10"/>
        <v>-15</v>
      </c>
      <c r="Y130" s="11">
        <f>VLOOKUP($G130, SeanRanks!$A$2:$K$303, 10, FALSE)-V130</f>
        <v>-12</v>
      </c>
      <c r="Z130" s="29">
        <f>IF(VLOOKUP($G130, SeanRanks!$A$2:$H$303, 7, FALSE)=0, "", VLOOKUP($G130, SeanRanks!$A$2:$H$303, 7, FALSE))</f>
        <v>17</v>
      </c>
    </row>
    <row r="131" ht="14.25" hidden="1" customHeight="1">
      <c r="A131" s="11"/>
      <c r="B131" s="11">
        <f t="shared" si="4"/>
        <v>14</v>
      </c>
      <c r="C131" s="11" t="s">
        <v>95</v>
      </c>
      <c r="D131" s="11"/>
      <c r="E131" s="11"/>
      <c r="F131" s="11" t="str">
        <f>VLOOKUP(G131, SeanRanks!$A$2:$E$302, 4, FALSE)</f>
        <v/>
      </c>
      <c r="G131" s="11" t="s">
        <v>829</v>
      </c>
      <c r="H131" s="11" t="str">
        <f>VLOOKUP($G131, 'ADP Data'!$C$4:$Q$300, 2, FALSE)</f>
        <v>ARI</v>
      </c>
      <c r="I131" s="11">
        <f>VLOOKUP(G131, 'ADP Data'!$C$4:$R$498, 12, FALSE)</f>
        <v>139</v>
      </c>
      <c r="J131" s="59" t="str">
        <f>VLOOKUP($G131, SeanRanks!$A$2:$H$303, 5, FALSE)</f>
        <v/>
      </c>
      <c r="K131" s="11" t="str">
        <f>IF(VLOOKUP($G131, SeanRanks!$A$2:$H$303, 6, FALSE)=0, "", VLOOKUP($G131, SeanRanks!$A$2:$H$303, 6, FALSE))</f>
        <v>RB4 - 1 - Path to spikes</v>
      </c>
      <c r="L131" s="11">
        <f t="shared" si="5"/>
        <v>18</v>
      </c>
      <c r="M131" s="11">
        <f>VLOOKUP($G131, 'ADP Data'!$C$4:$Q$300, 9, FALSE)</f>
        <v>143</v>
      </c>
      <c r="N131" s="11">
        <f t="shared" si="6"/>
        <v>-10</v>
      </c>
      <c r="O131" s="11">
        <f>VLOOKUP($G131, 'ADP Data'!$C$4:$Q$300, 3, FALSE)</f>
        <v>149</v>
      </c>
      <c r="P131" s="11">
        <f t="shared" si="7"/>
        <v>-6</v>
      </c>
      <c r="Q131" s="11">
        <f>VLOOKUP($G131, 'ADP Data'!$C$4:$Q$300, 4, FALSE)</f>
        <v>151</v>
      </c>
      <c r="R131" s="11">
        <f>VLOOKUP($G131, 'ADP Data'!$C$4:$Q$300, 5, FALSE)</f>
        <v>159</v>
      </c>
      <c r="S131" s="11">
        <f>VLOOKUP($G131, 'ADP Data'!$C$4:$Q$300, 6, FALSE)</f>
        <v>121</v>
      </c>
      <c r="T131" s="11">
        <f>VLOOKUP($G131, 'ADP Data'!$C$4:$Q$300, 7, FALSE)</f>
        <v>123</v>
      </c>
      <c r="U131" s="11">
        <f>VLOOKUP($G131, 'ADP Data'!$C$4:$Q$300, 8, FALSE)</f>
        <v>227</v>
      </c>
      <c r="V131" s="11">
        <f t="shared" si="8"/>
        <v>153</v>
      </c>
      <c r="W131" s="11">
        <f t="shared" si="9"/>
        <v>20</v>
      </c>
      <c r="X131" s="11">
        <f t="shared" si="10"/>
        <v>-20</v>
      </c>
      <c r="Y131" s="11">
        <f>VLOOKUP($G131, SeanRanks!$A$2:$K$303, 10, FALSE)-V131</f>
        <v>-16</v>
      </c>
      <c r="Z131" s="29">
        <f>IF(VLOOKUP($G131, SeanRanks!$A$2:$H$303, 7, FALSE)=0, "", VLOOKUP($G131, SeanRanks!$A$2:$H$303, 7, FALSE))</f>
        <v>44</v>
      </c>
    </row>
    <row r="132" ht="14.25" hidden="1" customHeight="1">
      <c r="A132" s="11"/>
      <c r="B132" s="11">
        <f t="shared" si="4"/>
        <v>8</v>
      </c>
      <c r="C132" s="11" t="s">
        <v>106</v>
      </c>
      <c r="D132" s="11"/>
      <c r="E132" s="11"/>
      <c r="F132" s="11" t="str">
        <f>VLOOKUP(G132, SeanRanks!$A$2:$E$302, 4, FALSE)</f>
        <v/>
      </c>
      <c r="G132" s="11" t="s">
        <v>342</v>
      </c>
      <c r="H132" s="11" t="str">
        <f>VLOOKUP($G132, 'ADP Data'!$C$4:$Q$300, 2, FALSE)</f>
        <v>LV</v>
      </c>
      <c r="I132" s="11">
        <f>VLOOKUP(G132, 'ADP Data'!$C$4:$R$498, 12, FALSE)</f>
        <v>77</v>
      </c>
      <c r="J132" s="49" t="str">
        <f>VLOOKUP($G132, SeanRanks!$A$2:$H$303, 5, FALSE)</f>
        <v/>
      </c>
      <c r="K132" s="11" t="str">
        <f>IF(VLOOKUP($G132, SeanRanks!$A$2:$H$303, 6, FALSE)=0, "", VLOOKUP($G132, SeanRanks!$A$2:$H$303, 6, FALSE))</f>
        <v>WR3 - 3 - lower ceiling</v>
      </c>
      <c r="L132" s="11">
        <f t="shared" si="5"/>
        <v>11</v>
      </c>
      <c r="M132" s="11">
        <f>VLOOKUP($G132, 'ADP Data'!$C$4:$Q$300, 9, FALSE)</f>
        <v>83</v>
      </c>
      <c r="N132" s="11">
        <f t="shared" si="6"/>
        <v>-4</v>
      </c>
      <c r="O132" s="11">
        <f>VLOOKUP($G132, 'ADP Data'!$C$4:$Q$300, 3, FALSE)</f>
        <v>85</v>
      </c>
      <c r="P132" s="11">
        <f t="shared" si="7"/>
        <v>-2</v>
      </c>
      <c r="Q132" s="11">
        <f>VLOOKUP($G132, 'ADP Data'!$C$4:$Q$300, 4, FALSE)</f>
        <v>82</v>
      </c>
      <c r="R132" s="11">
        <f>VLOOKUP($G132, 'ADP Data'!$C$4:$Q$300, 5, FALSE)</f>
        <v>86</v>
      </c>
      <c r="S132" s="11">
        <f>VLOOKUP($G132, 'ADP Data'!$C$4:$Q$300, 6, FALSE)</f>
        <v>87</v>
      </c>
      <c r="T132" s="11">
        <f>VLOOKUP($G132, 'ADP Data'!$C$4:$Q$300, 7, FALSE)</f>
        <v>73</v>
      </c>
      <c r="U132" s="11">
        <f>VLOOKUP($G132, 'ADP Data'!$C$4:$Q$300, 8, FALSE)</f>
        <v>119</v>
      </c>
      <c r="V132" s="11">
        <f t="shared" si="8"/>
        <v>87</v>
      </c>
      <c r="W132" s="11">
        <f t="shared" si="9"/>
        <v>11</v>
      </c>
      <c r="X132" s="11">
        <f t="shared" si="10"/>
        <v>-11</v>
      </c>
      <c r="Y132" s="11">
        <f>VLOOKUP($G132, SeanRanks!$A$2:$K$303, 10, FALSE)-V132</f>
        <v>0</v>
      </c>
      <c r="Z132" s="29">
        <f>IF(VLOOKUP($G132, SeanRanks!$A$2:$H$303, 7, FALSE)=0, "", VLOOKUP($G132, SeanRanks!$A$2:$H$303, 7, FALSE))</f>
        <v>35</v>
      </c>
    </row>
    <row r="133" ht="14.25" hidden="1" customHeight="1">
      <c r="A133" s="11"/>
      <c r="B133" s="11" t="str">
        <f t="shared" si="4"/>
        <v>#N/A</v>
      </c>
      <c r="C133" s="11" t="s">
        <v>106</v>
      </c>
      <c r="D133" s="11"/>
      <c r="E133" s="11"/>
      <c r="F133" s="11" t="str">
        <f>VLOOKUP(G133, SeanRanks!$A$2:$E$302, 4, FALSE)</f>
        <v>#N/A</v>
      </c>
      <c r="G133" s="11" t="s">
        <v>881</v>
      </c>
      <c r="H133" s="11" t="str">
        <f>VLOOKUP($G133, 'ADP Data'!$C$4:$Q$300, 2, FALSE)</f>
        <v>#N/A</v>
      </c>
      <c r="I133" s="11" t="str">
        <f>VLOOKUP(G133, 'ADP Data'!$C$4:$R$498, 12, FALSE)</f>
        <v>#N/A</v>
      </c>
      <c r="J133" s="49" t="str">
        <f>VLOOKUP($G133, SeanRanks!$A$2:$H$303, 5, FALSE)</f>
        <v>#N/A</v>
      </c>
      <c r="K133" s="11" t="str">
        <f>IF(VLOOKUP($G133, SeanRanks!$A$2:$H$303, 6, FALSE)=0, "", VLOOKUP($G133, SeanRanks!$A$2:$H$303, 6, FALSE))</f>
        <v>#N/A</v>
      </c>
      <c r="L133" s="11">
        <f t="shared" si="5"/>
        <v>16</v>
      </c>
      <c r="M133" s="11" t="str">
        <f>VLOOKUP($G133, 'ADP Data'!$C$4:$Q$300, 9, FALSE)</f>
        <v>#N/A</v>
      </c>
      <c r="N133" s="11" t="str">
        <f t="shared" si="6"/>
        <v>#N/A</v>
      </c>
      <c r="O133" s="11" t="str">
        <f>VLOOKUP($G133, 'ADP Data'!$C$4:$Q$300, 3, FALSE)</f>
        <v>#N/A</v>
      </c>
      <c r="P133" s="11" t="str">
        <f t="shared" si="7"/>
        <v>#N/A</v>
      </c>
      <c r="Q133" s="11" t="str">
        <f>VLOOKUP($G133, 'ADP Data'!$C$4:$Q$300, 4, FALSE)</f>
        <v>#N/A</v>
      </c>
      <c r="R133" s="11" t="str">
        <f>VLOOKUP($G133, 'ADP Data'!$C$4:$Q$300, 5, FALSE)</f>
        <v>#N/A</v>
      </c>
      <c r="S133" s="11" t="str">
        <f>VLOOKUP($G133, 'ADP Data'!$C$4:$Q$300, 6, FALSE)</f>
        <v>#N/A</v>
      </c>
      <c r="T133" s="11" t="str">
        <f>VLOOKUP($G133, 'ADP Data'!$C$4:$Q$300, 7, FALSE)</f>
        <v>#N/A</v>
      </c>
      <c r="U133" s="11" t="str">
        <f>VLOOKUP($G133, 'ADP Data'!$C$4:$Q$300, 8, FALSE)</f>
        <v>#N/A</v>
      </c>
      <c r="V133" s="11" t="str">
        <f t="shared" si="8"/>
        <v>#N/A</v>
      </c>
      <c r="W133" s="11">
        <f t="shared" si="9"/>
        <v>16</v>
      </c>
      <c r="X133" s="11">
        <f t="shared" si="10"/>
        <v>-16</v>
      </c>
      <c r="Y133" s="11" t="str">
        <f>VLOOKUP($G133, SeanRanks!$A$2:$K$303, 10, FALSE)-V133</f>
        <v>#N/A</v>
      </c>
      <c r="Z133" s="29" t="str">
        <f>IF(VLOOKUP($G133, SeanRanks!$A$2:$H$303, 7, FALSE)=0, "", VLOOKUP($G133, SeanRanks!$A$2:$H$303, 7, FALSE))</f>
        <v>#N/A</v>
      </c>
    </row>
    <row r="134" ht="14.25" hidden="1" customHeight="1">
      <c r="A134" s="11"/>
      <c r="B134" s="11">
        <f t="shared" si="4"/>
        <v>6</v>
      </c>
      <c r="C134" s="11" t="s">
        <v>106</v>
      </c>
      <c r="D134" s="11">
        <v>13.0</v>
      </c>
      <c r="E134" s="11"/>
      <c r="F134" s="11" t="str">
        <f>VLOOKUP(G134, SeanRanks!$A$2:$E$302, 4, FALSE)</f>
        <v/>
      </c>
      <c r="G134" s="11" t="s">
        <v>426</v>
      </c>
      <c r="H134" s="11" t="str">
        <f>VLOOKUP($G134, 'ADP Data'!$C$4:$Q$300, 2, FALSE)</f>
        <v>MIN</v>
      </c>
      <c r="I134" s="11">
        <f>VLOOKUP(G134, 'ADP Data'!$C$4:$R$498, 12, FALSE)</f>
        <v>87</v>
      </c>
      <c r="J134" s="61" t="str">
        <f>VLOOKUP($G134, SeanRanks!$A$2:$H$303, 5, FALSE)</f>
        <v/>
      </c>
      <c r="K134" s="11" t="str">
        <f>IF(VLOOKUP($G134, SeanRanks!$A$2:$H$303, 6, FALSE)=0, "", VLOOKUP($G134, SeanRanks!$A$2:$H$303, 6, FALSE))</f>
        <v>TE1 - 2 - Very Good</v>
      </c>
      <c r="L134" s="11">
        <f t="shared" si="5"/>
        <v>9</v>
      </c>
      <c r="M134" s="11">
        <f>VLOOKUP($G134, 'ADP Data'!$C$4:$Q$300, 9, FALSE)</f>
        <v>64</v>
      </c>
      <c r="N134" s="11">
        <f t="shared" si="6"/>
        <v>-2</v>
      </c>
      <c r="O134" s="11">
        <f>VLOOKUP($G134, 'ADP Data'!$C$4:$Q$300, 3, FALSE)</f>
        <v>71</v>
      </c>
      <c r="P134" s="11">
        <f t="shared" si="7"/>
        <v>-7</v>
      </c>
      <c r="Q134" s="11">
        <f>VLOOKUP($G134, 'ADP Data'!$C$4:$Q$300, 4, FALSE)</f>
        <v>56</v>
      </c>
      <c r="R134" s="11">
        <f>VLOOKUP($G134, 'ADP Data'!$C$4:$Q$300, 5, FALSE)</f>
        <v>82</v>
      </c>
      <c r="S134" s="11">
        <f>VLOOKUP($G134, 'ADP Data'!$C$4:$Q$300, 6, FALSE)</f>
        <v>64</v>
      </c>
      <c r="T134" s="11">
        <f>VLOOKUP($G134, 'ADP Data'!$C$4:$Q$300, 7, FALSE)</f>
        <v>80</v>
      </c>
      <c r="U134" s="11">
        <f>VLOOKUP($G134, 'ADP Data'!$C$4:$Q$300, 8, FALSE)</f>
        <v>50</v>
      </c>
      <c r="V134" s="11">
        <f t="shared" si="8"/>
        <v>66</v>
      </c>
      <c r="W134" s="11">
        <f t="shared" si="9"/>
        <v>9</v>
      </c>
      <c r="X134" s="11">
        <f t="shared" si="10"/>
        <v>4</v>
      </c>
      <c r="Y134" s="11">
        <f>VLOOKUP($G134, SeanRanks!$A$2:$K$303, 10, FALSE)-V134</f>
        <v>7</v>
      </c>
      <c r="Z134" s="29">
        <f>IF(VLOOKUP($G134, SeanRanks!$A$2:$H$303, 7, FALSE)=0, "", VLOOKUP($G134, SeanRanks!$A$2:$H$303, 7, FALSE))</f>
        <v>5</v>
      </c>
    </row>
    <row r="135" ht="14.25" hidden="1" customHeight="1">
      <c r="A135" s="11"/>
      <c r="B135" s="11">
        <f t="shared" si="4"/>
        <v>13</v>
      </c>
      <c r="C135" s="11" t="s">
        <v>106</v>
      </c>
      <c r="D135" s="11"/>
      <c r="E135" s="11"/>
      <c r="F135" s="11" t="str">
        <f>VLOOKUP(G135, SeanRanks!$A$2:$E$302, 4, FALSE)</f>
        <v/>
      </c>
      <c r="G135" s="11" t="s">
        <v>513</v>
      </c>
      <c r="H135" s="11" t="str">
        <f>VLOOKUP($G135, 'ADP Data'!$C$4:$Q$300, 2, FALSE)</f>
        <v>BAL</v>
      </c>
      <c r="I135" s="11" t="str">
        <f>VLOOKUP(G135, 'ADP Data'!$C$4:$R$498, 12, FALSE)</f>
        <v>-</v>
      </c>
      <c r="J135" s="11" t="str">
        <f>VLOOKUP($G135, SeanRanks!$A$2:$H$303, 5, FALSE)</f>
        <v/>
      </c>
      <c r="K135" s="11" t="str">
        <f>IF(VLOOKUP($G135, SeanRanks!$A$2:$H$303, 6, FALSE)=0, "", VLOOKUP($G135, SeanRanks!$A$2:$H$303, 6, FALSE))</f>
        <v/>
      </c>
      <c r="L135" s="11">
        <f t="shared" si="5"/>
        <v>23</v>
      </c>
      <c r="M135" s="11">
        <f>VLOOKUP($G135, 'ADP Data'!$C$4:$Q$300, 9, FALSE)</f>
        <v>181</v>
      </c>
      <c r="N135" s="11">
        <f t="shared" si="6"/>
        <v>34</v>
      </c>
      <c r="O135" s="11">
        <f>VLOOKUP($G135, 'ADP Data'!$C$4:$Q$300, 3, FALSE)</f>
        <v>112</v>
      </c>
      <c r="P135" s="11">
        <f t="shared" si="7"/>
        <v>69</v>
      </c>
      <c r="Q135" s="11">
        <f>VLOOKUP($G135, 'ADP Data'!$C$4:$Q$300, 4, FALSE)</f>
        <v>109</v>
      </c>
      <c r="R135" s="11">
        <f>VLOOKUP($G135, 'ADP Data'!$C$4:$Q$300, 5, FALSE)</f>
        <v>129</v>
      </c>
      <c r="S135" s="11">
        <f>VLOOKUP($G135, 'ADP Data'!$C$4:$Q$300, 6, FALSE)</f>
        <v>212</v>
      </c>
      <c r="T135" s="11">
        <f>VLOOKUP($G135, 'ADP Data'!$C$4:$Q$300, 7, FALSE)</f>
        <v>166</v>
      </c>
      <c r="U135" s="11">
        <f>VLOOKUP($G135, 'ADP Data'!$C$4:$Q$300, 8, FALSE)</f>
        <v>123</v>
      </c>
      <c r="V135" s="11">
        <f t="shared" si="8"/>
        <v>147</v>
      </c>
      <c r="W135" s="11">
        <f t="shared" si="9"/>
        <v>19</v>
      </c>
      <c r="X135" s="11">
        <f t="shared" si="10"/>
        <v>-19</v>
      </c>
      <c r="Y135" s="11">
        <f>VLOOKUP($G135, SeanRanks!$A$2:$K$303, 10, FALSE)-V135</f>
        <v>22</v>
      </c>
      <c r="Z135" s="29" t="str">
        <f>IF(VLOOKUP($G135, SeanRanks!$A$2:$H$303, 7, FALSE)=0, "", VLOOKUP($G135, SeanRanks!$A$2:$H$303, 7, FALSE))</f>
        <v/>
      </c>
    </row>
    <row r="136" ht="14.25" hidden="1" customHeight="1">
      <c r="A136" s="11"/>
      <c r="B136" s="11">
        <f t="shared" si="4"/>
        <v>23</v>
      </c>
      <c r="C136" s="11" t="s">
        <v>106</v>
      </c>
      <c r="D136" s="11"/>
      <c r="E136" s="11"/>
      <c r="F136" s="11" t="str">
        <f>VLOOKUP(G136, SeanRanks!$A$2:$E$302, 4, FALSE)</f>
        <v/>
      </c>
      <c r="G136" s="11" t="s">
        <v>651</v>
      </c>
      <c r="H136" s="11" t="str">
        <f>VLOOKUP($G136, 'ADP Data'!$C$4:$Q$300, 2, FALSE)</f>
        <v>ATL</v>
      </c>
      <c r="I136" s="11">
        <f>VLOOKUP(G136, 'ADP Data'!$C$4:$R$498, 12, FALSE)</f>
        <v>248</v>
      </c>
      <c r="J136" s="59" t="str">
        <f>VLOOKUP($G136, SeanRanks!$A$2:$H$303, 5, FALSE)</f>
        <v/>
      </c>
      <c r="K136" s="11" t="str">
        <f>IF(VLOOKUP($G136, SeanRanks!$A$2:$H$303, 6, FALSE)=0, "", VLOOKUP($G136, SeanRanks!$A$2:$H$303, 6, FALSE))</f>
        <v/>
      </c>
      <c r="L136" s="11">
        <f t="shared" si="5"/>
        <v>16</v>
      </c>
      <c r="M136" s="11" t="str">
        <f>VLOOKUP($G136, 'ADP Data'!$C$4:$Q$300, 9, FALSE)</f>
        <v>-</v>
      </c>
      <c r="N136" s="11" t="str">
        <f t="shared" si="6"/>
        <v>#VALUE!</v>
      </c>
      <c r="O136" s="11" t="str">
        <f>VLOOKUP($G136, 'ADP Data'!$C$4:$Q$300, 3, FALSE)</f>
        <v>-</v>
      </c>
      <c r="P136" s="11" t="str">
        <f t="shared" si="7"/>
        <v>#VALUE!</v>
      </c>
      <c r="Q136" s="11">
        <f>VLOOKUP($G136, 'ADP Data'!$C$4:$Q$300, 4, FALSE)</f>
        <v>231</v>
      </c>
      <c r="R136" s="11" t="str">
        <f>VLOOKUP($G136, 'ADP Data'!$C$4:$Q$300, 5, FALSE)</f>
        <v>-</v>
      </c>
      <c r="S136" s="11">
        <f>VLOOKUP($G136, 'ADP Data'!$C$4:$Q$300, 6, FALSE)</f>
        <v>312</v>
      </c>
      <c r="T136" s="11" t="str">
        <f>VLOOKUP($G136, 'ADP Data'!$C$4:$Q$300, 7, FALSE)</f>
        <v>-</v>
      </c>
      <c r="U136" s="11">
        <f>VLOOKUP($G136, 'ADP Data'!$C$4:$Q$300, 8, FALSE)</f>
        <v>281</v>
      </c>
      <c r="V136" s="11">
        <f t="shared" si="8"/>
        <v>274</v>
      </c>
      <c r="W136" s="11">
        <f t="shared" si="9"/>
        <v>35</v>
      </c>
      <c r="X136" s="11">
        <f t="shared" si="10"/>
        <v>-35</v>
      </c>
      <c r="Y136" s="11" t="str">
        <f>VLOOKUP($G136, SeanRanks!$A$2:$K$303, 10, FALSE)-V136</f>
        <v>#VALUE!</v>
      </c>
      <c r="Z136" s="29" t="str">
        <f>IF(VLOOKUP($G136, SeanRanks!$A$2:$H$303, 7, FALSE)=0, "", VLOOKUP($G136, SeanRanks!$A$2:$H$303, 7, FALSE))</f>
        <v/>
      </c>
    </row>
    <row r="137" ht="14.25" customHeight="1">
      <c r="A137" s="11"/>
      <c r="B137" s="11">
        <f t="shared" si="4"/>
        <v>5</v>
      </c>
      <c r="C137" s="11" t="s">
        <v>106</v>
      </c>
      <c r="D137" s="11"/>
      <c r="E137" s="11"/>
      <c r="F137" s="11" t="str">
        <f>VLOOKUP(G137, SeanRanks!$A$2:$E$302, 4, FALSE)</f>
        <v/>
      </c>
      <c r="G137" s="11" t="s">
        <v>288</v>
      </c>
      <c r="H137" s="11" t="str">
        <f>VLOOKUP($G137, 'ADP Data'!$C$4:$Q$300, 2, FALSE)</f>
        <v>CAR</v>
      </c>
      <c r="I137" s="11">
        <f>VLOOKUP(G137, 'ADP Data'!$C$4:$R$498, 12, FALSE)</f>
        <v>60</v>
      </c>
      <c r="J137" s="36" t="str">
        <f>VLOOKUP($G137, SeanRanks!$A$2:$H$303, 5, FALSE)</f>
        <v/>
      </c>
      <c r="K137" s="11" t="str">
        <f>IF(VLOOKUP($G137, SeanRanks!$A$2:$H$303, 6, FALSE)=0, "", VLOOKUP($G137, SeanRanks!$A$2:$H$303, 6, FALSE))</f>
        <v>RB2 - 1 - Clear path to spikes</v>
      </c>
      <c r="L137" s="11">
        <f t="shared" si="5"/>
        <v>6</v>
      </c>
      <c r="M137" s="11">
        <f>VLOOKUP($G137, 'ADP Data'!$C$4:$Q$300, 9, FALSE)</f>
        <v>45</v>
      </c>
      <c r="N137" s="11">
        <f t="shared" si="6"/>
        <v>-3</v>
      </c>
      <c r="O137" s="11">
        <f>VLOOKUP($G137, 'ADP Data'!$C$4:$Q$300, 3, FALSE)</f>
        <v>44</v>
      </c>
      <c r="P137" s="11">
        <f t="shared" si="7"/>
        <v>1</v>
      </c>
      <c r="Q137" s="11">
        <f>VLOOKUP($G137, 'ADP Data'!$C$4:$Q$300, 4, FALSE)</f>
        <v>40</v>
      </c>
      <c r="R137" s="11">
        <f>VLOOKUP($G137, 'ADP Data'!$C$4:$Q$300, 5, FALSE)</f>
        <v>60</v>
      </c>
      <c r="S137" s="11">
        <f>VLOOKUP($G137, 'ADP Data'!$C$4:$Q$300, 6, FALSE)</f>
        <v>47</v>
      </c>
      <c r="T137" s="11">
        <f>VLOOKUP($G137, 'ADP Data'!$C$4:$Q$300, 7, FALSE)</f>
        <v>51</v>
      </c>
      <c r="U137" s="11">
        <f>VLOOKUP($G137, 'ADP Data'!$C$4:$Q$300, 8, FALSE)</f>
        <v>55</v>
      </c>
      <c r="V137" s="11">
        <f t="shared" si="8"/>
        <v>48</v>
      </c>
      <c r="W137" s="11">
        <f t="shared" si="9"/>
        <v>7</v>
      </c>
      <c r="X137" s="11">
        <f t="shared" si="10"/>
        <v>-7</v>
      </c>
      <c r="Y137" s="11">
        <f>VLOOKUP($G137, SeanRanks!$A$2:$K$303, 10, FALSE)-V137</f>
        <v>-8</v>
      </c>
      <c r="Z137" s="29">
        <f>IF(VLOOKUP($G137, SeanRanks!$A$2:$H$303, 7, FALSE)=0, "", VLOOKUP($G137, SeanRanks!$A$2:$H$303, 7, FALSE))</f>
        <v>17</v>
      </c>
    </row>
    <row r="138" ht="14.25" hidden="1" customHeight="1">
      <c r="A138" s="11"/>
      <c r="B138" s="11">
        <f t="shared" si="4"/>
        <v>18</v>
      </c>
      <c r="C138" s="11" t="s">
        <v>106</v>
      </c>
      <c r="D138" s="11"/>
      <c r="E138" s="11"/>
      <c r="F138" s="11" t="str">
        <f>VLOOKUP(G138, SeanRanks!$A$2:$E$302, 4, FALSE)</f>
        <v/>
      </c>
      <c r="G138" s="11" t="s">
        <v>550</v>
      </c>
      <c r="H138" s="11" t="str">
        <f>VLOOKUP($G138, 'ADP Data'!$C$4:$Q$300, 2, FALSE)</f>
        <v>PIT</v>
      </c>
      <c r="I138" s="11">
        <f>VLOOKUP(G138, 'ADP Data'!$C$4:$R$498, 12, FALSE)</f>
        <v>191</v>
      </c>
      <c r="J138" s="11" t="str">
        <f>VLOOKUP($G138, SeanRanks!$A$2:$H$303, 5, FALSE)</f>
        <v/>
      </c>
      <c r="K138" s="11" t="str">
        <f>IF(VLOOKUP($G138, SeanRanks!$A$2:$H$303, 6, FALSE)=0, "", VLOOKUP($G138, SeanRanks!$A$2:$H$303, 6, FALSE))</f>
        <v>Don’t Draft - Streamer</v>
      </c>
      <c r="L138" s="11">
        <f t="shared" si="5"/>
        <v>29</v>
      </c>
      <c r="M138" s="11">
        <f>VLOOKUP($G138, 'ADP Data'!$C$4:$Q$300, 9, FALSE)</f>
        <v>229</v>
      </c>
      <c r="N138" s="11">
        <f t="shared" si="6"/>
        <v>13</v>
      </c>
      <c r="O138" s="11" t="str">
        <f>VLOOKUP($G138, 'ADP Data'!$C$4:$Q$300, 3, FALSE)</f>
        <v>-</v>
      </c>
      <c r="P138" s="11" t="str">
        <f t="shared" si="7"/>
        <v>#VALUE!</v>
      </c>
      <c r="Q138" s="11">
        <f>VLOOKUP($G138, 'ADP Data'!$C$4:$Q$300, 4, FALSE)</f>
        <v>192</v>
      </c>
      <c r="R138" s="11">
        <f>VLOOKUP($G138, 'ADP Data'!$C$4:$Q$300, 5, FALSE)</f>
        <v>240</v>
      </c>
      <c r="S138" s="11">
        <f>VLOOKUP($G138, 'ADP Data'!$C$4:$Q$300, 6, FALSE)</f>
        <v>222</v>
      </c>
      <c r="T138" s="11">
        <f>VLOOKUP($G138, 'ADP Data'!$C$4:$Q$300, 7, FALSE)</f>
        <v>222</v>
      </c>
      <c r="U138" s="11">
        <f>VLOOKUP($G138, 'ADP Data'!$C$4:$Q$300, 8, FALSE)</f>
        <v>192</v>
      </c>
      <c r="V138" s="11">
        <f t="shared" si="8"/>
        <v>216</v>
      </c>
      <c r="W138" s="11">
        <f t="shared" si="9"/>
        <v>28</v>
      </c>
      <c r="X138" s="11">
        <f t="shared" si="10"/>
        <v>-28</v>
      </c>
      <c r="Y138" s="11">
        <f>VLOOKUP($G138, SeanRanks!$A$2:$K$303, 10, FALSE)-V138</f>
        <v>-18</v>
      </c>
      <c r="Z138" s="29" t="str">
        <f>IF(VLOOKUP($G138, SeanRanks!$A$2:$H$303, 7, FALSE)=0, "", VLOOKUP($G138, SeanRanks!$A$2:$H$303, 7, FALSE))</f>
        <v/>
      </c>
    </row>
    <row r="139" ht="14.25" customHeight="1">
      <c r="A139" s="11"/>
      <c r="B139" s="11">
        <f t="shared" si="4"/>
        <v>10</v>
      </c>
      <c r="C139" s="11" t="s">
        <v>106</v>
      </c>
      <c r="D139" s="11"/>
      <c r="E139" s="11"/>
      <c r="F139" s="11" t="str">
        <f>VLOOKUP(G139, SeanRanks!$A$2:$E$302, 4, FALSE)</f>
        <v/>
      </c>
      <c r="G139" s="11" t="s">
        <v>278</v>
      </c>
      <c r="H139" s="11" t="str">
        <f>VLOOKUP($G139, 'ADP Data'!$C$4:$Q$300, 2, FALSE)</f>
        <v>DEN</v>
      </c>
      <c r="I139" s="11">
        <f>VLOOKUP(G139, 'ADP Data'!$C$4:$R$498, 12, FALSE)</f>
        <v>95</v>
      </c>
      <c r="J139" s="59" t="str">
        <f>VLOOKUP($G139, SeanRanks!$A$2:$H$303, 5, FALSE)</f>
        <v/>
      </c>
      <c r="K139" s="11" t="str">
        <f>IF(VLOOKUP($G139, SeanRanks!$A$2:$H$303, 6, FALSE)=0, "", VLOOKUP($G139, SeanRanks!$A$2:$H$303, 6, FALSE))</f>
        <v>RB3 - 1 - Upside</v>
      </c>
      <c r="L139" s="11">
        <f t="shared" si="5"/>
        <v>14</v>
      </c>
      <c r="M139" s="11">
        <f>VLOOKUP($G139, 'ADP Data'!$C$4:$Q$300, 9, FALSE)</f>
        <v>107</v>
      </c>
      <c r="N139" s="11">
        <f t="shared" si="6"/>
        <v>0</v>
      </c>
      <c r="O139" s="11">
        <f>VLOOKUP($G139, 'ADP Data'!$C$4:$Q$300, 3, FALSE)</f>
        <v>102</v>
      </c>
      <c r="P139" s="11">
        <f t="shared" si="7"/>
        <v>5</v>
      </c>
      <c r="Q139" s="11">
        <f>VLOOKUP($G139, 'ADP Data'!$C$4:$Q$300, 4, FALSE)</f>
        <v>98</v>
      </c>
      <c r="R139" s="11">
        <f>VLOOKUP($G139, 'ADP Data'!$C$4:$Q$300, 5, FALSE)</f>
        <v>119</v>
      </c>
      <c r="S139" s="11">
        <f>VLOOKUP($G139, 'ADP Data'!$C$4:$Q$300, 6, FALSE)</f>
        <v>93</v>
      </c>
      <c r="T139" s="11">
        <f>VLOOKUP($G139, 'ADP Data'!$C$4:$Q$300, 7, FALSE)</f>
        <v>98</v>
      </c>
      <c r="U139" s="11">
        <f>VLOOKUP($G139, 'ADP Data'!$C$4:$Q$300, 8, FALSE)</f>
        <v>136</v>
      </c>
      <c r="V139" s="11">
        <f t="shared" si="8"/>
        <v>107</v>
      </c>
      <c r="W139" s="11">
        <f t="shared" si="9"/>
        <v>14</v>
      </c>
      <c r="X139" s="11">
        <f t="shared" si="10"/>
        <v>-14</v>
      </c>
      <c r="Y139" s="11">
        <f>VLOOKUP($G139, SeanRanks!$A$2:$K$303, 10, FALSE)-V139</f>
        <v>-27</v>
      </c>
      <c r="Z139" s="29">
        <f>IF(VLOOKUP($G139, SeanRanks!$A$2:$H$303, 7, FALSE)=0, "", VLOOKUP($G139, SeanRanks!$A$2:$H$303, 7, FALSE))</f>
        <v>29</v>
      </c>
    </row>
    <row r="140" ht="14.25" hidden="1" customHeight="1">
      <c r="A140" s="11"/>
      <c r="B140" s="11">
        <f t="shared" si="4"/>
        <v>17</v>
      </c>
      <c r="C140" s="11" t="s">
        <v>106</v>
      </c>
      <c r="D140" s="11"/>
      <c r="E140" s="11"/>
      <c r="F140" s="11" t="str">
        <f>VLOOKUP(G140, SeanRanks!$A$2:$E$302, 4, FALSE)</f>
        <v/>
      </c>
      <c r="G140" s="11" t="s">
        <v>883</v>
      </c>
      <c r="H140" s="11" t="str">
        <f>VLOOKUP($G140, 'ADP Data'!$C$4:$Q$300, 2, FALSE)</f>
        <v>BUF</v>
      </c>
      <c r="I140" s="11">
        <f>VLOOKUP(G140, 'ADP Data'!$C$4:$R$498, 12, FALSE)</f>
        <v>127</v>
      </c>
      <c r="J140" s="11" t="str">
        <f>VLOOKUP($G140, SeanRanks!$A$2:$H$303, 5, FALSE)</f>
        <v/>
      </c>
      <c r="K140" s="11" t="str">
        <f>IF(VLOOKUP($G140, SeanRanks!$A$2:$H$303, 6, FALSE)=0, "", VLOOKUP($G140, SeanRanks!$A$2:$H$303, 6, FALSE))</f>
        <v>WR6 - dart throw upside</v>
      </c>
      <c r="L140" s="11">
        <f t="shared" si="5"/>
        <v>22</v>
      </c>
      <c r="M140" s="11">
        <f>VLOOKUP($G140, 'ADP Data'!$C$4:$Q$300, 9, FALSE)</f>
        <v>174</v>
      </c>
      <c r="N140" s="11">
        <f t="shared" si="6"/>
        <v>-14</v>
      </c>
      <c r="O140" s="11" t="str">
        <f>VLOOKUP($G140, 'ADP Data'!$C$4:$Q$300, 3, FALSE)</f>
        <v>-</v>
      </c>
      <c r="P140" s="11" t="str">
        <f t="shared" si="7"/>
        <v>#VALUE!</v>
      </c>
      <c r="Q140" s="11" t="str">
        <f>VLOOKUP($G140, 'ADP Data'!$C$4:$Q$300, 4, FALSE)</f>
        <v>-</v>
      </c>
      <c r="R140" s="11">
        <f>VLOOKUP($G140, 'ADP Data'!$C$4:$Q$300, 5, FALSE)</f>
        <v>221</v>
      </c>
      <c r="S140" s="11">
        <f>VLOOKUP($G140, 'ADP Data'!$C$4:$Q$300, 6, FALSE)</f>
        <v>158</v>
      </c>
      <c r="T140" s="11">
        <f>VLOOKUP($G140, 'ADP Data'!$C$4:$Q$300, 7, FALSE)</f>
        <v>155</v>
      </c>
      <c r="U140" s="11">
        <f>VLOOKUP($G140, 'ADP Data'!$C$4:$Q$300, 8, FALSE)</f>
        <v>235</v>
      </c>
      <c r="V140" s="11">
        <f t="shared" si="8"/>
        <v>188</v>
      </c>
      <c r="W140" s="11">
        <f t="shared" si="9"/>
        <v>24</v>
      </c>
      <c r="X140" s="11">
        <f t="shared" si="10"/>
        <v>-24</v>
      </c>
      <c r="Y140" s="11">
        <f>VLOOKUP($G140, SeanRanks!$A$2:$K$303, 10, FALSE)-V140</f>
        <v>-38</v>
      </c>
      <c r="Z140" s="29">
        <f>IF(VLOOKUP($G140, SeanRanks!$A$2:$H$303, 7, FALSE)=0, "", VLOOKUP($G140, SeanRanks!$A$2:$H$303, 7, FALSE))</f>
        <v>61</v>
      </c>
    </row>
    <row r="141" ht="14.25" hidden="1" customHeight="1">
      <c r="A141" s="11"/>
      <c r="B141" s="11">
        <f t="shared" si="4"/>
        <v>21</v>
      </c>
      <c r="C141" s="11" t="s">
        <v>106</v>
      </c>
      <c r="D141" s="11"/>
      <c r="E141" s="11"/>
      <c r="F141" s="11" t="str">
        <f>VLOOKUP(G141, SeanRanks!$A$2:$E$302, 4, FALSE)</f>
        <v/>
      </c>
      <c r="G141" s="11" t="s">
        <v>588</v>
      </c>
      <c r="H141" s="11" t="str">
        <f>VLOOKUP($G141, 'ADP Data'!$C$4:$Q$300, 2, FALSE)</f>
        <v>DAL</v>
      </c>
      <c r="I141" s="11" t="str">
        <f>VLOOKUP(G141, 'ADP Data'!$C$4:$R$498, 12, FALSE)</f>
        <v>-</v>
      </c>
      <c r="J141" s="11" t="str">
        <f>VLOOKUP($G141, SeanRanks!$A$2:$H$303, 5, FALSE)</f>
        <v/>
      </c>
      <c r="K141" s="11" t="str">
        <f>IF(VLOOKUP($G141, SeanRanks!$A$2:$H$303, 6, FALSE)=0, "", VLOOKUP($G141, SeanRanks!$A$2:$H$303, 6, FALSE))</f>
        <v/>
      </c>
      <c r="L141" s="11">
        <f t="shared" si="5"/>
        <v>36</v>
      </c>
      <c r="M141" s="11">
        <f>VLOOKUP($G141, 'ADP Data'!$C$4:$Q$300, 9, FALSE)</f>
        <v>285</v>
      </c>
      <c r="N141" s="11">
        <f t="shared" si="6"/>
        <v>45</v>
      </c>
      <c r="O141" s="11">
        <f>VLOOKUP($G141, 'ADP Data'!$C$4:$Q$300, 3, FALSE)</f>
        <v>173</v>
      </c>
      <c r="P141" s="11">
        <f t="shared" si="7"/>
        <v>112</v>
      </c>
      <c r="Q141" s="11">
        <f>VLOOKUP($G141, 'ADP Data'!$C$4:$Q$300, 4, FALSE)</f>
        <v>201</v>
      </c>
      <c r="R141" s="11">
        <f>VLOOKUP($G141, 'ADP Data'!$C$4:$Q$300, 5, FALSE)</f>
        <v>344</v>
      </c>
      <c r="S141" s="11">
        <f>VLOOKUP($G141, 'ADP Data'!$C$4:$Q$300, 6, FALSE)</f>
        <v>278</v>
      </c>
      <c r="T141" s="11">
        <f>VLOOKUP($G141, 'ADP Data'!$C$4:$Q$300, 7, FALSE)</f>
        <v>239</v>
      </c>
      <c r="U141" s="11">
        <f>VLOOKUP($G141, 'ADP Data'!$C$4:$Q$300, 8, FALSE)</f>
        <v>165</v>
      </c>
      <c r="V141" s="11">
        <f t="shared" si="8"/>
        <v>240</v>
      </c>
      <c r="W141" s="11">
        <f t="shared" si="9"/>
        <v>31</v>
      </c>
      <c r="X141" s="11">
        <f t="shared" si="10"/>
        <v>-31</v>
      </c>
      <c r="Y141" s="11">
        <f>VLOOKUP($G141, SeanRanks!$A$2:$K$303, 10, FALSE)-V141</f>
        <v>0</v>
      </c>
      <c r="Z141" s="29" t="str">
        <f>IF(VLOOKUP($G141, SeanRanks!$A$2:$H$303, 7, FALSE)=0, "", VLOOKUP($G141, SeanRanks!$A$2:$H$303, 7, FALSE))</f>
        <v/>
      </c>
    </row>
    <row r="142" ht="14.25" hidden="1" customHeight="1">
      <c r="A142" s="11"/>
      <c r="B142" s="11">
        <f t="shared" si="4"/>
        <v>16</v>
      </c>
      <c r="C142" s="11" t="s">
        <v>106</v>
      </c>
      <c r="D142" s="11"/>
      <c r="E142" s="11"/>
      <c r="F142" s="11" t="str">
        <f>VLOOKUP(G142, SeanRanks!$A$2:$E$302, 4, FALSE)</f>
        <v/>
      </c>
      <c r="G142" s="11" t="s">
        <v>310</v>
      </c>
      <c r="H142" s="11" t="str">
        <f>VLOOKUP($G142, 'ADP Data'!$C$4:$Q$300, 2, FALSE)</f>
        <v>LAR</v>
      </c>
      <c r="I142" s="11">
        <f>VLOOKUP(G142, 'ADP Data'!$C$4:$R$498, 12, FALSE)</f>
        <v>176</v>
      </c>
      <c r="J142" s="59" t="str">
        <f>VLOOKUP($G142, SeanRanks!$A$2:$H$303, 5, FALSE)</f>
        <v/>
      </c>
      <c r="K142" s="11" t="str">
        <f>IF(VLOOKUP($G142, SeanRanks!$A$2:$H$303, 6, FALSE)=0, "", VLOOKUP($G142, SeanRanks!$A$2:$H$303, 6, FALSE))</f>
        <v>Don’t Draft - Streamer</v>
      </c>
      <c r="L142" s="11">
        <f t="shared" si="5"/>
        <v>26</v>
      </c>
      <c r="M142" s="11">
        <f>VLOOKUP($G142, 'ADP Data'!$C$4:$Q$300, 9, FALSE)</f>
        <v>207</v>
      </c>
      <c r="N142" s="11">
        <f t="shared" si="6"/>
        <v>18</v>
      </c>
      <c r="O142" s="11">
        <f>VLOOKUP($G142, 'ADP Data'!$C$4:$Q$300, 3, FALSE)</f>
        <v>168</v>
      </c>
      <c r="P142" s="11">
        <f t="shared" si="7"/>
        <v>39</v>
      </c>
      <c r="Q142" s="11">
        <f>VLOOKUP($G142, 'ADP Data'!$C$4:$Q$300, 4, FALSE)</f>
        <v>160</v>
      </c>
      <c r="R142" s="11">
        <f>VLOOKUP($G142, 'ADP Data'!$C$4:$Q$300, 5, FALSE)</f>
        <v>232</v>
      </c>
      <c r="S142" s="11">
        <f>VLOOKUP($G142, 'ADP Data'!$C$4:$Q$300, 6, FALSE)</f>
        <v>197</v>
      </c>
      <c r="T142" s="11">
        <f>VLOOKUP($G142, 'ADP Data'!$C$4:$Q$300, 7, FALSE)</f>
        <v>195</v>
      </c>
      <c r="U142" s="11">
        <f>VLOOKUP($G142, 'ADP Data'!$C$4:$Q$300, 8, FALSE)</f>
        <v>167</v>
      </c>
      <c r="V142" s="11">
        <f t="shared" si="8"/>
        <v>189</v>
      </c>
      <c r="W142" s="11">
        <f t="shared" si="9"/>
        <v>24</v>
      </c>
      <c r="X142" s="11">
        <f t="shared" si="10"/>
        <v>-24</v>
      </c>
      <c r="Y142" s="11">
        <f>VLOOKUP($G142, SeanRanks!$A$2:$K$303, 10, FALSE)-V142</f>
        <v>-38</v>
      </c>
      <c r="Z142" s="29" t="str">
        <f>IF(VLOOKUP($G142, SeanRanks!$A$2:$H$303, 7, FALSE)=0, "", VLOOKUP($G142, SeanRanks!$A$2:$H$303, 7, FALSE))</f>
        <v/>
      </c>
    </row>
    <row r="143" ht="14.25" customHeight="1">
      <c r="A143" s="11"/>
      <c r="B143" s="11">
        <f t="shared" si="4"/>
        <v>16</v>
      </c>
      <c r="C143" s="11" t="s">
        <v>106</v>
      </c>
      <c r="D143" s="11">
        <v>9.0</v>
      </c>
      <c r="E143" s="11"/>
      <c r="F143" s="11" t="str">
        <f>VLOOKUP(G143, SeanRanks!$A$2:$E$302, 4, FALSE)</f>
        <v/>
      </c>
      <c r="G143" s="11" t="s">
        <v>263</v>
      </c>
      <c r="H143" s="11" t="str">
        <f>VLOOKUP($G143, 'ADP Data'!$C$4:$Q$300, 2, FALSE)</f>
        <v>CAR</v>
      </c>
      <c r="I143" s="11">
        <f>VLOOKUP(G143, 'ADP Data'!$C$4:$R$498, 12, FALSE)</f>
        <v>178</v>
      </c>
      <c r="J143" s="11" t="str">
        <f>VLOOKUP($G143, SeanRanks!$A$2:$H$303, 5, FALSE)</f>
        <v/>
      </c>
      <c r="K143" s="11" t="str">
        <f>IF(VLOOKUP($G143, SeanRanks!$A$2:$H$303, 6, FALSE)=0, "", VLOOKUP($G143, SeanRanks!$A$2:$H$303, 6, FALSE))</f>
        <v>RB5 - 1 - upside</v>
      </c>
      <c r="L143" s="11">
        <f t="shared" si="5"/>
        <v>20</v>
      </c>
      <c r="M143" s="11">
        <f>VLOOKUP($G143, 'ADP Data'!$C$4:$Q$300, 9, FALSE)</f>
        <v>158</v>
      </c>
      <c r="N143" s="11">
        <f t="shared" si="6"/>
        <v>-28</v>
      </c>
      <c r="O143" s="11">
        <f>VLOOKUP($G143, 'ADP Data'!$C$4:$Q$300, 3, FALSE)</f>
        <v>210</v>
      </c>
      <c r="P143" s="11">
        <f t="shared" si="7"/>
        <v>-52</v>
      </c>
      <c r="Q143" s="11" t="str">
        <f>VLOOKUP($G143, 'ADP Data'!$C$4:$Q$300, 4, FALSE)</f>
        <v>-</v>
      </c>
      <c r="R143" s="11">
        <f>VLOOKUP($G143, 'ADP Data'!$C$4:$Q$300, 5, FALSE)</f>
        <v>201</v>
      </c>
      <c r="S143" s="11">
        <f>VLOOKUP($G143, 'ADP Data'!$C$4:$Q$300, 6, FALSE)</f>
        <v>165</v>
      </c>
      <c r="T143" s="11">
        <f>VLOOKUP($G143, 'ADP Data'!$C$4:$Q$300, 7, FALSE)</f>
        <v>164</v>
      </c>
      <c r="U143" s="11">
        <f>VLOOKUP($G143, 'ADP Data'!$C$4:$Q$300, 8, FALSE)</f>
        <v>220</v>
      </c>
      <c r="V143" s="11">
        <f t="shared" si="8"/>
        <v>186</v>
      </c>
      <c r="W143" s="11">
        <f t="shared" si="9"/>
        <v>24</v>
      </c>
      <c r="X143" s="11">
        <f t="shared" si="10"/>
        <v>-15</v>
      </c>
      <c r="Y143" s="11">
        <f>VLOOKUP($G143, SeanRanks!$A$2:$K$303, 10, FALSE)-V143</f>
        <v>-29</v>
      </c>
      <c r="Z143" s="29">
        <f>IF(VLOOKUP($G143, SeanRanks!$A$2:$H$303, 7, FALSE)=0, "", VLOOKUP($G143, SeanRanks!$A$2:$H$303, 7, FALSE))</f>
        <v>55</v>
      </c>
    </row>
    <row r="144" ht="14.25" hidden="1" customHeight="1">
      <c r="A144" s="11"/>
      <c r="B144" s="11">
        <f t="shared" si="4"/>
        <v>21</v>
      </c>
      <c r="C144" s="11" t="s">
        <v>106</v>
      </c>
      <c r="D144" s="11"/>
      <c r="E144" s="11"/>
      <c r="F144" s="11" t="str">
        <f>VLOOKUP(G144, SeanRanks!$A$2:$E$302, 4, FALSE)</f>
        <v/>
      </c>
      <c r="G144" s="11" t="s">
        <v>886</v>
      </c>
      <c r="H144" s="11" t="str">
        <f>VLOOKUP($G144, 'ADP Data'!$C$4:$Q$300, 2, FALSE)</f>
        <v>NYJ</v>
      </c>
      <c r="I144" s="11" t="str">
        <f>VLOOKUP(G144, 'ADP Data'!$C$4:$R$498, 12, FALSE)</f>
        <v>-</v>
      </c>
      <c r="J144" s="11" t="str">
        <f>VLOOKUP($G144, SeanRanks!$A$2:$H$303, 5, FALSE)</f>
        <v/>
      </c>
      <c r="K144" s="11" t="str">
        <f>IF(VLOOKUP($G144, SeanRanks!$A$2:$H$303, 6, FALSE)=0, "", VLOOKUP($G144, SeanRanks!$A$2:$H$303, 6, FALSE))</f>
        <v/>
      </c>
      <c r="L144" s="11">
        <f t="shared" si="5"/>
        <v>30</v>
      </c>
      <c r="M144" s="11">
        <f>VLOOKUP($G144, 'ADP Data'!$C$4:$Q$300, 9, FALSE)</f>
        <v>236</v>
      </c>
      <c r="N144" s="11">
        <f t="shared" si="6"/>
        <v>-4</v>
      </c>
      <c r="O144" s="11">
        <f>VLOOKUP($G144, 'ADP Data'!$C$4:$Q$300, 3, FALSE)</f>
        <v>192</v>
      </c>
      <c r="P144" s="11">
        <f t="shared" si="7"/>
        <v>44</v>
      </c>
      <c r="Q144" s="11">
        <f>VLOOKUP($G144, 'ADP Data'!$C$4:$Q$300, 4, FALSE)</f>
        <v>206</v>
      </c>
      <c r="R144" s="11">
        <f>VLOOKUP($G144, 'ADP Data'!$C$4:$Q$300, 5, FALSE)</f>
        <v>329</v>
      </c>
      <c r="S144" s="11">
        <f>VLOOKUP($G144, 'ADP Data'!$C$4:$Q$300, 6, FALSE)</f>
        <v>272</v>
      </c>
      <c r="T144" s="11">
        <f>VLOOKUP($G144, 'ADP Data'!$C$4:$Q$300, 7, FALSE)</f>
        <v>234</v>
      </c>
      <c r="U144" s="11">
        <f>VLOOKUP($G144, 'ADP Data'!$C$4:$Q$300, 8, FALSE)</f>
        <v>213</v>
      </c>
      <c r="V144" s="11">
        <f t="shared" si="8"/>
        <v>240</v>
      </c>
      <c r="W144" s="11">
        <f t="shared" si="9"/>
        <v>31</v>
      </c>
      <c r="X144" s="11">
        <f t="shared" si="10"/>
        <v>-31</v>
      </c>
      <c r="Y144" s="11">
        <f>VLOOKUP($G144, SeanRanks!$A$2:$K$303, 10, FALSE)-V144</f>
        <v>-46</v>
      </c>
      <c r="Z144" s="29" t="str">
        <f>IF(VLOOKUP($G144, SeanRanks!$A$2:$H$303, 7, FALSE)=0, "", VLOOKUP($G144, SeanRanks!$A$2:$H$303, 7, FALSE))</f>
        <v/>
      </c>
    </row>
    <row r="145" ht="14.25" hidden="1" customHeight="1">
      <c r="A145" s="11"/>
      <c r="B145" s="11" t="str">
        <f t="shared" si="4"/>
        <v>#N/A</v>
      </c>
      <c r="C145" s="11" t="s">
        <v>106</v>
      </c>
      <c r="D145" s="11"/>
      <c r="E145" s="11"/>
      <c r="F145" s="11" t="str">
        <f>VLOOKUP(G145, SeanRanks!$A$2:$E$302, 4, FALSE)</f>
        <v>#N/A</v>
      </c>
      <c r="G145" s="11" t="s">
        <v>887</v>
      </c>
      <c r="H145" s="11" t="str">
        <f>VLOOKUP($G145, 'ADP Data'!$C$4:$Q$300, 2, FALSE)</f>
        <v>#N/A</v>
      </c>
      <c r="I145" s="11" t="str">
        <f>VLOOKUP(G145, 'ADP Data'!$C$4:$R$498, 12, FALSE)</f>
        <v>#N/A</v>
      </c>
      <c r="J145" s="11" t="str">
        <f>VLOOKUP($G145, SeanRanks!$A$2:$H$303, 5, FALSE)</f>
        <v>#N/A</v>
      </c>
      <c r="K145" s="11" t="str">
        <f>IF(VLOOKUP($G145, SeanRanks!$A$2:$H$303, 6, FALSE)=0, "", VLOOKUP($G145, SeanRanks!$A$2:$H$303, 6, FALSE))</f>
        <v>#N/A</v>
      </c>
      <c r="L145" s="11">
        <f t="shared" si="5"/>
        <v>16</v>
      </c>
      <c r="M145" s="11" t="str">
        <f>VLOOKUP($G145, 'ADP Data'!$C$4:$Q$300, 9, FALSE)</f>
        <v>#N/A</v>
      </c>
      <c r="N145" s="11" t="str">
        <f t="shared" si="6"/>
        <v>#N/A</v>
      </c>
      <c r="O145" s="11" t="str">
        <f>VLOOKUP($G145, 'ADP Data'!$C$4:$Q$300, 3, FALSE)</f>
        <v>#N/A</v>
      </c>
      <c r="P145" s="11" t="str">
        <f t="shared" si="7"/>
        <v>#N/A</v>
      </c>
      <c r="Q145" s="11" t="str">
        <f>VLOOKUP($G145, 'ADP Data'!$C$4:$Q$300, 4, FALSE)</f>
        <v>#N/A</v>
      </c>
      <c r="R145" s="11" t="str">
        <f>VLOOKUP($G145, 'ADP Data'!$C$4:$Q$300, 5, FALSE)</f>
        <v>#N/A</v>
      </c>
      <c r="S145" s="11" t="str">
        <f>VLOOKUP($G145, 'ADP Data'!$C$4:$Q$300, 6, FALSE)</f>
        <v>#N/A</v>
      </c>
      <c r="T145" s="11" t="str">
        <f>VLOOKUP($G145, 'ADP Data'!$C$4:$Q$300, 7, FALSE)</f>
        <v>#N/A</v>
      </c>
      <c r="U145" s="11" t="str">
        <f>VLOOKUP($G145, 'ADP Data'!$C$4:$Q$300, 8, FALSE)</f>
        <v>#N/A</v>
      </c>
      <c r="V145" s="11" t="str">
        <f t="shared" si="8"/>
        <v>#N/A</v>
      </c>
      <c r="W145" s="11">
        <f t="shared" si="9"/>
        <v>16</v>
      </c>
      <c r="X145" s="11">
        <f t="shared" si="10"/>
        <v>-16</v>
      </c>
      <c r="Y145" s="11" t="str">
        <f>VLOOKUP($G145, SeanRanks!$A$2:$K$303, 10, FALSE)-V145</f>
        <v>#N/A</v>
      </c>
      <c r="Z145" s="29" t="str">
        <f>IF(VLOOKUP($G145, SeanRanks!$A$2:$H$303, 7, FALSE)=0, "", VLOOKUP($G145, SeanRanks!$A$2:$H$303, 7, FALSE))</f>
        <v>#N/A</v>
      </c>
    </row>
    <row r="146" ht="14.25" customHeight="1">
      <c r="A146" s="11"/>
      <c r="B146" s="11">
        <f t="shared" si="4"/>
        <v>10</v>
      </c>
      <c r="C146" s="11" t="s">
        <v>106</v>
      </c>
      <c r="D146" s="11"/>
      <c r="E146" s="11"/>
      <c r="F146" s="11" t="str">
        <f>VLOOKUP(G146, SeanRanks!$A$2:$E$302, 4, FALSE)</f>
        <v/>
      </c>
      <c r="G146" s="11" t="s">
        <v>391</v>
      </c>
      <c r="H146" s="11" t="str">
        <f>VLOOKUP($G146, 'ADP Data'!$C$4:$Q$300, 2, FALSE)</f>
        <v>SEA</v>
      </c>
      <c r="I146" s="11">
        <f>VLOOKUP(G146, 'ADP Data'!$C$4:$R$498, 12, FALSE)</f>
        <v>90</v>
      </c>
      <c r="J146" s="59" t="str">
        <f>VLOOKUP($G146, SeanRanks!$A$2:$H$303, 5, FALSE)</f>
        <v/>
      </c>
      <c r="K146" s="11" t="str">
        <f>IF(VLOOKUP($G146, SeanRanks!$A$2:$H$303, 6, FALSE)=0, "", VLOOKUP($G146, SeanRanks!$A$2:$H$303, 6, FALSE))</f>
        <v>RB3 - 1 - Upside</v>
      </c>
      <c r="L146" s="11">
        <f t="shared" si="5"/>
        <v>14</v>
      </c>
      <c r="M146" s="11">
        <f>VLOOKUP($G146, 'ADP Data'!$C$4:$Q$300, 9, FALSE)</f>
        <v>104</v>
      </c>
      <c r="N146" s="11">
        <f t="shared" si="6"/>
        <v>-6</v>
      </c>
      <c r="O146" s="11">
        <f>VLOOKUP($G146, 'ADP Data'!$C$4:$Q$300, 3, FALSE)</f>
        <v>92</v>
      </c>
      <c r="P146" s="11">
        <f t="shared" si="7"/>
        <v>12</v>
      </c>
      <c r="Q146" s="11">
        <f>VLOOKUP($G146, 'ADP Data'!$C$4:$Q$300, 4, FALSE)</f>
        <v>129</v>
      </c>
      <c r="R146" s="11">
        <f>VLOOKUP($G146, 'ADP Data'!$C$4:$Q$300, 5, FALSE)</f>
        <v>114</v>
      </c>
      <c r="S146" s="11">
        <f>VLOOKUP($G146, 'ADP Data'!$C$4:$Q$300, 6, FALSE)</f>
        <v>86</v>
      </c>
      <c r="T146" s="11">
        <f>VLOOKUP($G146, 'ADP Data'!$C$4:$Q$300, 7, FALSE)</f>
        <v>92</v>
      </c>
      <c r="U146" s="11">
        <f>VLOOKUP($G146, 'ADP Data'!$C$4:$Q$300, 8, FALSE)</f>
        <v>153</v>
      </c>
      <c r="V146" s="11">
        <f t="shared" si="8"/>
        <v>110</v>
      </c>
      <c r="W146" s="11">
        <f t="shared" si="9"/>
        <v>14</v>
      </c>
      <c r="X146" s="11">
        <f t="shared" si="10"/>
        <v>-14</v>
      </c>
      <c r="Y146" s="11">
        <f>VLOOKUP($G146, SeanRanks!$A$2:$K$303, 10, FALSE)-V146</f>
        <v>-32</v>
      </c>
      <c r="Z146" s="29">
        <f>IF(VLOOKUP($G146, SeanRanks!$A$2:$H$303, 7, FALSE)=0, "", VLOOKUP($G146, SeanRanks!$A$2:$H$303, 7, FALSE))</f>
        <v>31</v>
      </c>
    </row>
    <row r="147" ht="14.25" hidden="1" customHeight="1">
      <c r="A147" s="11"/>
      <c r="B147" s="11">
        <f t="shared" si="4"/>
        <v>20</v>
      </c>
      <c r="C147" s="11" t="s">
        <v>106</v>
      </c>
      <c r="D147" s="11"/>
      <c r="E147" s="11"/>
      <c r="F147" s="11" t="str">
        <f>VLOOKUP(G147, SeanRanks!$A$2:$E$302, 4, FALSE)</f>
        <v/>
      </c>
      <c r="G147" s="11" t="s">
        <v>664</v>
      </c>
      <c r="H147" s="11" t="str">
        <f>VLOOKUP($G147, 'ADP Data'!$C$4:$Q$300, 2, FALSE)</f>
        <v>CLE</v>
      </c>
      <c r="I147" s="11" t="str">
        <f>VLOOKUP(G147, 'ADP Data'!$C$4:$R$498, 12, FALSE)</f>
        <v>-</v>
      </c>
      <c r="J147" s="11" t="str">
        <f>VLOOKUP($G147, SeanRanks!$A$2:$H$303, 5, FALSE)</f>
        <v/>
      </c>
      <c r="K147" s="11" t="str">
        <f>IF(VLOOKUP($G147, SeanRanks!$A$2:$H$303, 6, FALSE)=0, "", VLOOKUP($G147, SeanRanks!$A$2:$H$303, 6, FALSE))</f>
        <v/>
      </c>
      <c r="L147" s="11">
        <f t="shared" si="5"/>
        <v>16</v>
      </c>
      <c r="M147" s="11" t="str">
        <f>VLOOKUP($G147, 'ADP Data'!$C$4:$Q$300, 9, FALSE)</f>
        <v>-</v>
      </c>
      <c r="N147" s="11" t="str">
        <f t="shared" si="6"/>
        <v>#VALUE!</v>
      </c>
      <c r="O147" s="11" t="str">
        <f>VLOOKUP($G147, 'ADP Data'!$C$4:$Q$300, 3, FALSE)</f>
        <v>-</v>
      </c>
      <c r="P147" s="11" t="str">
        <f t="shared" si="7"/>
        <v>#VALUE!</v>
      </c>
      <c r="Q147" s="11">
        <f>VLOOKUP($G147, 'ADP Data'!$C$4:$Q$300, 4, FALSE)</f>
        <v>215</v>
      </c>
      <c r="R147" s="11" t="str">
        <f>VLOOKUP($G147, 'ADP Data'!$C$4:$Q$300, 5, FALSE)</f>
        <v>-</v>
      </c>
      <c r="S147" s="11">
        <f>VLOOKUP($G147, 'ADP Data'!$C$4:$Q$300, 6, FALSE)</f>
        <v>318</v>
      </c>
      <c r="T147" s="11">
        <f>VLOOKUP($G147, 'ADP Data'!$C$4:$Q$300, 7, FALSE)</f>
        <v>261</v>
      </c>
      <c r="U147" s="11">
        <f>VLOOKUP($G147, 'ADP Data'!$C$4:$Q$300, 8, FALSE)</f>
        <v>125</v>
      </c>
      <c r="V147" s="11">
        <f t="shared" si="8"/>
        <v>229</v>
      </c>
      <c r="W147" s="11">
        <f t="shared" si="9"/>
        <v>29</v>
      </c>
      <c r="X147" s="11">
        <f t="shared" si="10"/>
        <v>-29</v>
      </c>
      <c r="Y147" s="11">
        <f>VLOOKUP($G147, SeanRanks!$A$2:$K$303, 10, FALSE)-V147</f>
        <v>-12</v>
      </c>
      <c r="Z147" s="29" t="str">
        <f>IF(VLOOKUP($G147, SeanRanks!$A$2:$H$303, 7, FALSE)=0, "", VLOOKUP($G147, SeanRanks!$A$2:$H$303, 7, FALSE))</f>
        <v/>
      </c>
    </row>
    <row r="148" ht="14.25" hidden="1" customHeight="1">
      <c r="A148" s="11"/>
      <c r="B148" s="11">
        <f t="shared" si="4"/>
        <v>22</v>
      </c>
      <c r="C148" s="11" t="s">
        <v>106</v>
      </c>
      <c r="D148" s="11"/>
      <c r="E148" s="11"/>
      <c r="F148" s="11" t="str">
        <f>VLOOKUP(G148, SeanRanks!$A$2:$E$302, 4, FALSE)</f>
        <v/>
      </c>
      <c r="G148" s="11" t="s">
        <v>811</v>
      </c>
      <c r="H148" s="11" t="str">
        <f>VLOOKUP($G148, 'ADP Data'!$C$4:$Q$300, 2, FALSE)</f>
        <v>CHI</v>
      </c>
      <c r="I148" s="11">
        <f>VLOOKUP(G148, 'ADP Data'!$C$4:$R$498, 12, FALSE)</f>
        <v>258</v>
      </c>
      <c r="J148" s="61" t="str">
        <f>VLOOKUP($G148, SeanRanks!$A$2:$H$303, 5, FALSE)</f>
        <v/>
      </c>
      <c r="K148" s="11" t="str">
        <f>IF(VLOOKUP($G148, SeanRanks!$A$2:$H$303, 6, FALSE)=0, "", VLOOKUP($G148, SeanRanks!$A$2:$H$303, 6, FALSE))</f>
        <v/>
      </c>
      <c r="L148" s="11">
        <f t="shared" si="5"/>
        <v>34</v>
      </c>
      <c r="M148" s="11">
        <f>VLOOKUP($G148, 'ADP Data'!$C$4:$Q$300, 9, FALSE)</f>
        <v>271</v>
      </c>
      <c r="N148" s="11">
        <f t="shared" si="6"/>
        <v>15</v>
      </c>
      <c r="O148" s="11" t="str">
        <f>VLOOKUP($G148, 'ADP Data'!$C$4:$Q$300, 3, FALSE)</f>
        <v>-</v>
      </c>
      <c r="P148" s="11" t="str">
        <f t="shared" si="7"/>
        <v>#VALUE!</v>
      </c>
      <c r="Q148" s="11">
        <f>VLOOKUP($G148, 'ADP Data'!$C$4:$Q$300, 4, FALSE)</f>
        <v>225</v>
      </c>
      <c r="R148" s="11">
        <f>VLOOKUP($G148, 'ADP Data'!$C$4:$Q$300, 5, FALSE)</f>
        <v>290</v>
      </c>
      <c r="S148" s="11">
        <f>VLOOKUP($G148, 'ADP Data'!$C$4:$Q$300, 6, FALSE)</f>
        <v>259</v>
      </c>
      <c r="T148" s="11">
        <f>VLOOKUP($G148, 'ADP Data'!$C$4:$Q$300, 7, FALSE)</f>
        <v>266</v>
      </c>
      <c r="U148" s="11">
        <f>VLOOKUP($G148, 'ADP Data'!$C$4:$Q$300, 8, FALSE)</f>
        <v>229</v>
      </c>
      <c r="V148" s="11">
        <f t="shared" si="8"/>
        <v>256</v>
      </c>
      <c r="W148" s="11">
        <f t="shared" si="9"/>
        <v>33</v>
      </c>
      <c r="X148" s="11">
        <f t="shared" si="10"/>
        <v>-33</v>
      </c>
      <c r="Y148" s="11" t="str">
        <f>VLOOKUP($G148, SeanRanks!$A$2:$K$303, 10, FALSE)-V148</f>
        <v>#VALUE!</v>
      </c>
      <c r="Z148" s="29" t="str">
        <f>IF(VLOOKUP($G148, SeanRanks!$A$2:$H$303, 7, FALSE)=0, "", VLOOKUP($G148, SeanRanks!$A$2:$H$303, 7, FALSE))</f>
        <v/>
      </c>
    </row>
    <row r="149" ht="14.25" hidden="1" customHeight="1">
      <c r="A149" s="11"/>
      <c r="B149" s="11">
        <f t="shared" si="4"/>
        <v>7</v>
      </c>
      <c r="C149" s="11" t="s">
        <v>106</v>
      </c>
      <c r="D149" s="11"/>
      <c r="E149" s="11"/>
      <c r="F149" s="11" t="str">
        <f>VLOOKUP(G149, SeanRanks!$A$2:$E$302, 4, FALSE)</f>
        <v/>
      </c>
      <c r="G149" s="11" t="s">
        <v>437</v>
      </c>
      <c r="H149" s="11" t="str">
        <f>VLOOKUP($G149, 'ADP Data'!$C$4:$Q$300, 2, FALSE)</f>
        <v>CLE</v>
      </c>
      <c r="I149" s="11">
        <f>VLOOKUP(G149, 'ADP Data'!$C$4:$R$498, 12, FALSE)</f>
        <v>72</v>
      </c>
      <c r="J149" s="11" t="str">
        <f>VLOOKUP($G149, SeanRanks!$A$2:$H$303, 5, FALSE)</f>
        <v/>
      </c>
      <c r="K149" s="11" t="str">
        <f>IF(VLOOKUP($G149, SeanRanks!$A$2:$H$303, 6, FALSE)=0, "", VLOOKUP($G149, SeanRanks!$A$2:$H$303, 6, FALSE))</f>
        <v>WR3 - 3 - lower ceiling</v>
      </c>
      <c r="L149" s="11">
        <f t="shared" si="5"/>
        <v>10</v>
      </c>
      <c r="M149" s="11">
        <f>VLOOKUP($G149, 'ADP Data'!$C$4:$Q$300, 9, FALSE)</f>
        <v>75</v>
      </c>
      <c r="N149" s="11">
        <f t="shared" si="6"/>
        <v>0</v>
      </c>
      <c r="O149" s="11">
        <f>VLOOKUP($G149, 'ADP Data'!$C$4:$Q$300, 3, FALSE)</f>
        <v>69</v>
      </c>
      <c r="P149" s="11">
        <f t="shared" si="7"/>
        <v>6</v>
      </c>
      <c r="Q149" s="11">
        <f>VLOOKUP($G149, 'ADP Data'!$C$4:$Q$300, 4, FALSE)</f>
        <v>68</v>
      </c>
      <c r="R149" s="11">
        <f>VLOOKUP($G149, 'ADP Data'!$C$4:$Q$300, 5, FALSE)</f>
        <v>81</v>
      </c>
      <c r="S149" s="11">
        <f>VLOOKUP($G149, 'ADP Data'!$C$4:$Q$300, 6, FALSE)</f>
        <v>74</v>
      </c>
      <c r="T149" s="11">
        <f>VLOOKUP($G149, 'ADP Data'!$C$4:$Q$300, 7, FALSE)</f>
        <v>62</v>
      </c>
      <c r="U149" s="11">
        <f>VLOOKUP($G149, 'ADP Data'!$C$4:$Q$300, 8, FALSE)</f>
        <v>98</v>
      </c>
      <c r="V149" s="11">
        <f t="shared" si="8"/>
        <v>75</v>
      </c>
      <c r="W149" s="11">
        <f t="shared" si="9"/>
        <v>10</v>
      </c>
      <c r="X149" s="11">
        <f t="shared" si="10"/>
        <v>-10</v>
      </c>
      <c r="Y149" s="11">
        <f>VLOOKUP($G149, SeanRanks!$A$2:$K$303, 10, FALSE)-V149</f>
        <v>6</v>
      </c>
      <c r="Z149" s="29">
        <f>IF(VLOOKUP($G149, SeanRanks!$A$2:$H$303, 7, FALSE)=0, "", VLOOKUP($G149, SeanRanks!$A$2:$H$303, 7, FALSE))</f>
        <v>37</v>
      </c>
    </row>
    <row r="150" ht="14.25" hidden="1" customHeight="1">
      <c r="A150" s="11"/>
      <c r="B150" s="11" t="str">
        <f t="shared" si="4"/>
        <v>#N/A</v>
      </c>
      <c r="C150" s="11" t="s">
        <v>106</v>
      </c>
      <c r="D150" s="11"/>
      <c r="E150" s="11"/>
      <c r="F150" s="11" t="str">
        <f>VLOOKUP(G150, SeanRanks!$A$2:$E$302, 4, FALSE)</f>
        <v>#N/A</v>
      </c>
      <c r="G150" s="11" t="s">
        <v>888</v>
      </c>
      <c r="H150" s="11" t="str">
        <f>VLOOKUP($G150, 'ADP Data'!$C$4:$Q$300, 2, FALSE)</f>
        <v>#N/A</v>
      </c>
      <c r="I150" s="11" t="str">
        <f>VLOOKUP(G150, 'ADP Data'!$C$4:$R$498, 12, FALSE)</f>
        <v>#N/A</v>
      </c>
      <c r="J150" s="49" t="str">
        <f>VLOOKUP($G150, SeanRanks!$A$2:$H$303, 5, FALSE)</f>
        <v>#N/A</v>
      </c>
      <c r="K150" s="11" t="str">
        <f>IF(VLOOKUP($G150, SeanRanks!$A$2:$H$303, 6, FALSE)=0, "", VLOOKUP($G150, SeanRanks!$A$2:$H$303, 6, FALSE))</f>
        <v>#N/A</v>
      </c>
      <c r="L150" s="11">
        <f t="shared" si="5"/>
        <v>16</v>
      </c>
      <c r="M150" s="11" t="str">
        <f>VLOOKUP($G150, 'ADP Data'!$C$4:$Q$300, 9, FALSE)</f>
        <v>#N/A</v>
      </c>
      <c r="N150" s="11" t="str">
        <f t="shared" si="6"/>
        <v>#N/A</v>
      </c>
      <c r="O150" s="11" t="str">
        <f>VLOOKUP($G150, 'ADP Data'!$C$4:$Q$300, 3, FALSE)</f>
        <v>#N/A</v>
      </c>
      <c r="P150" s="11" t="str">
        <f t="shared" si="7"/>
        <v>#N/A</v>
      </c>
      <c r="Q150" s="11" t="str">
        <f>VLOOKUP($G150, 'ADP Data'!$C$4:$Q$300, 4, FALSE)</f>
        <v>#N/A</v>
      </c>
      <c r="R150" s="11" t="str">
        <f>VLOOKUP($G150, 'ADP Data'!$C$4:$Q$300, 5, FALSE)</f>
        <v>#N/A</v>
      </c>
      <c r="S150" s="11" t="str">
        <f>VLOOKUP($G150, 'ADP Data'!$C$4:$Q$300, 6, FALSE)</f>
        <v>#N/A</v>
      </c>
      <c r="T150" s="11" t="str">
        <f>VLOOKUP($G150, 'ADP Data'!$C$4:$Q$300, 7, FALSE)</f>
        <v>#N/A</v>
      </c>
      <c r="U150" s="11" t="str">
        <f>VLOOKUP($G150, 'ADP Data'!$C$4:$Q$300, 8, FALSE)</f>
        <v>#N/A</v>
      </c>
      <c r="V150" s="11" t="str">
        <f t="shared" si="8"/>
        <v>#N/A</v>
      </c>
      <c r="W150" s="11">
        <f t="shared" si="9"/>
        <v>16</v>
      </c>
      <c r="X150" s="11">
        <f t="shared" si="10"/>
        <v>-16</v>
      </c>
      <c r="Y150" s="11" t="str">
        <f>VLOOKUP($G150, SeanRanks!$A$2:$K$303, 10, FALSE)-V150</f>
        <v>#N/A</v>
      </c>
      <c r="Z150" s="29" t="str">
        <f>IF(VLOOKUP($G150, SeanRanks!$A$2:$H$303, 7, FALSE)=0, "", VLOOKUP($G150, SeanRanks!$A$2:$H$303, 7, FALSE))</f>
        <v>#N/A</v>
      </c>
    </row>
    <row r="151" ht="14.25" hidden="1" customHeight="1">
      <c r="A151" s="11"/>
      <c r="B151" s="11" t="str">
        <f t="shared" si="4"/>
        <v>#N/A</v>
      </c>
      <c r="C151" s="11" t="s">
        <v>106</v>
      </c>
      <c r="D151" s="11"/>
      <c r="E151" s="11"/>
      <c r="F151" s="11" t="str">
        <f>VLOOKUP(G151, SeanRanks!$A$2:$E$302, 4, FALSE)</f>
        <v>#N/A</v>
      </c>
      <c r="G151" s="11" t="s">
        <v>686</v>
      </c>
      <c r="H151" s="11" t="str">
        <f>VLOOKUP($G151, 'ADP Data'!$C$4:$Q$300, 2, FALSE)</f>
        <v>#N/A</v>
      </c>
      <c r="I151" s="11" t="str">
        <f>VLOOKUP(G151, 'ADP Data'!$C$4:$R$498, 12, FALSE)</f>
        <v>#N/A</v>
      </c>
      <c r="J151" s="11" t="str">
        <f>VLOOKUP($G151, SeanRanks!$A$2:$H$303, 5, FALSE)</f>
        <v>#N/A</v>
      </c>
      <c r="K151" s="11" t="str">
        <f>IF(VLOOKUP($G151, SeanRanks!$A$2:$H$303, 6, FALSE)=0, "", VLOOKUP($G151, SeanRanks!$A$2:$H$303, 6, FALSE))</f>
        <v>#N/A</v>
      </c>
      <c r="L151" s="11">
        <f t="shared" si="5"/>
        <v>16</v>
      </c>
      <c r="M151" s="11" t="str">
        <f>VLOOKUP($G151, 'ADP Data'!$C$4:$Q$300, 9, FALSE)</f>
        <v>#N/A</v>
      </c>
      <c r="N151" s="11" t="str">
        <f t="shared" si="6"/>
        <v>#N/A</v>
      </c>
      <c r="O151" s="11" t="str">
        <f>VLOOKUP($G151, 'ADP Data'!$C$4:$Q$300, 3, FALSE)</f>
        <v>#N/A</v>
      </c>
      <c r="P151" s="11" t="str">
        <f t="shared" si="7"/>
        <v>#N/A</v>
      </c>
      <c r="Q151" s="11" t="str">
        <f>VLOOKUP($G151, 'ADP Data'!$C$4:$Q$300, 4, FALSE)</f>
        <v>#N/A</v>
      </c>
      <c r="R151" s="11" t="str">
        <f>VLOOKUP($G151, 'ADP Data'!$C$4:$Q$300, 5, FALSE)</f>
        <v>#N/A</v>
      </c>
      <c r="S151" s="11" t="str">
        <f>VLOOKUP($G151, 'ADP Data'!$C$4:$Q$300, 6, FALSE)</f>
        <v>#N/A</v>
      </c>
      <c r="T151" s="11" t="str">
        <f>VLOOKUP($G151, 'ADP Data'!$C$4:$Q$300, 7, FALSE)</f>
        <v>#N/A</v>
      </c>
      <c r="U151" s="11" t="str">
        <f>VLOOKUP($G151, 'ADP Data'!$C$4:$Q$300, 8, FALSE)</f>
        <v>#N/A</v>
      </c>
      <c r="V151" s="11" t="str">
        <f t="shared" si="8"/>
        <v>#N/A</v>
      </c>
      <c r="W151" s="11">
        <f t="shared" si="9"/>
        <v>16</v>
      </c>
      <c r="X151" s="11">
        <f t="shared" si="10"/>
        <v>-16</v>
      </c>
      <c r="Y151" s="11" t="str">
        <f>VLOOKUP($G151, SeanRanks!$A$2:$K$303, 10, FALSE)-V151</f>
        <v>#N/A</v>
      </c>
      <c r="Z151" s="29" t="str">
        <f>IF(VLOOKUP($G151, SeanRanks!$A$2:$H$303, 7, FALSE)=0, "", VLOOKUP($G151, SeanRanks!$A$2:$H$303, 7, FALSE))</f>
        <v>#N/A</v>
      </c>
    </row>
    <row r="152" ht="14.25" customHeight="1">
      <c r="A152" s="11"/>
      <c r="B152" s="11">
        <f t="shared" si="4"/>
        <v>15</v>
      </c>
      <c r="C152" s="11" t="s">
        <v>106</v>
      </c>
      <c r="D152" s="11"/>
      <c r="E152" s="11"/>
      <c r="F152" s="11" t="str">
        <f>VLOOKUP(G152, SeanRanks!$A$2:$E$302, 4, FALSE)</f>
        <v/>
      </c>
      <c r="G152" s="11" t="s">
        <v>380</v>
      </c>
      <c r="H152" s="11" t="str">
        <f>VLOOKUP($G152, 'ADP Data'!$C$4:$Q$300, 2, FALSE)</f>
        <v>ATL</v>
      </c>
      <c r="I152" s="11">
        <f>VLOOKUP(G152, 'ADP Data'!$C$4:$R$498, 12, FALSE)</f>
        <v>156</v>
      </c>
      <c r="J152" s="59" t="str">
        <f>VLOOKUP($G152, SeanRanks!$A$2:$H$303, 5, FALSE)</f>
        <v/>
      </c>
      <c r="K152" s="11" t="str">
        <f>IF(VLOOKUP($G152, SeanRanks!$A$2:$H$303, 6, FALSE)=0, "", VLOOKUP($G152, SeanRanks!$A$2:$H$303, 6, FALSE))</f>
        <v>RB4 - 1 - Path to spikes</v>
      </c>
      <c r="L152" s="11">
        <f t="shared" si="5"/>
        <v>21</v>
      </c>
      <c r="M152" s="11">
        <f>VLOOKUP($G152, 'ADP Data'!$C$4:$Q$300, 9, FALSE)</f>
        <v>167</v>
      </c>
      <c r="N152" s="11">
        <f t="shared" si="6"/>
        <v>-2</v>
      </c>
      <c r="O152" s="11">
        <f>VLOOKUP($G152, 'ADP Data'!$C$4:$Q$300, 3, FALSE)</f>
        <v>172</v>
      </c>
      <c r="P152" s="11">
        <f t="shared" si="7"/>
        <v>-5</v>
      </c>
      <c r="Q152" s="11">
        <f>VLOOKUP($G152, 'ADP Data'!$C$4:$Q$300, 4, FALSE)</f>
        <v>161</v>
      </c>
      <c r="R152" s="11">
        <f>VLOOKUP($G152, 'ADP Data'!$C$4:$Q$300, 5, FALSE)</f>
        <v>199</v>
      </c>
      <c r="S152" s="11">
        <f>VLOOKUP($G152, 'ADP Data'!$C$4:$Q$300, 6, FALSE)</f>
        <v>151</v>
      </c>
      <c r="T152" s="11">
        <f>VLOOKUP($G152, 'ADP Data'!$C$4:$Q$300, 7, FALSE)</f>
        <v>154</v>
      </c>
      <c r="U152" s="11">
        <f>VLOOKUP($G152, 'ADP Data'!$C$4:$Q$300, 8, FALSE)</f>
        <v>184</v>
      </c>
      <c r="V152" s="11">
        <f t="shared" si="8"/>
        <v>169</v>
      </c>
      <c r="W152" s="11">
        <f t="shared" si="9"/>
        <v>22</v>
      </c>
      <c r="X152" s="11">
        <f t="shared" si="10"/>
        <v>-22</v>
      </c>
      <c r="Y152" s="11">
        <f>VLOOKUP($G152, SeanRanks!$A$2:$K$303, 10, FALSE)-V152</f>
        <v>-23</v>
      </c>
      <c r="Z152" s="29">
        <f>IF(VLOOKUP($G152, SeanRanks!$A$2:$H$303, 7, FALSE)=0, "", VLOOKUP($G152, SeanRanks!$A$2:$H$303, 7, FALSE))</f>
        <v>46</v>
      </c>
    </row>
    <row r="153" ht="14.25" hidden="1" customHeight="1">
      <c r="A153" s="11"/>
      <c r="B153" s="11">
        <f t="shared" si="4"/>
        <v>12</v>
      </c>
      <c r="C153" s="11" t="s">
        <v>106</v>
      </c>
      <c r="D153" s="11">
        <v>11.0</v>
      </c>
      <c r="E153" s="11"/>
      <c r="F153" s="11" t="str">
        <f>VLOOKUP(G153, SeanRanks!$A$2:$E$302, 4, FALSE)</f>
        <v/>
      </c>
      <c r="G153" s="11" t="s">
        <v>385</v>
      </c>
      <c r="H153" s="11" t="str">
        <f>VLOOKUP($G153, 'ADP Data'!$C$4:$Q$300, 2, FALSE)</f>
        <v>NO</v>
      </c>
      <c r="I153" s="11">
        <f>VLOOKUP(G153, 'ADP Data'!$C$4:$R$498, 12, FALSE)</f>
        <v>102</v>
      </c>
      <c r="J153" s="40" t="str">
        <f>VLOOKUP($G153, SeanRanks!$A$2:$H$303, 5, FALSE)</f>
        <v/>
      </c>
      <c r="K153" s="11" t="str">
        <f>IF(VLOOKUP($G153, SeanRanks!$A$2:$H$303, 6, FALSE)=0, "", VLOOKUP($G153, SeanRanks!$A$2:$H$303, 6, FALSE))</f>
        <v>WR4 - 2 - unclear path to WR2</v>
      </c>
      <c r="L153" s="11">
        <f t="shared" si="5"/>
        <v>16</v>
      </c>
      <c r="M153" s="11">
        <f>VLOOKUP($G153, 'ADP Data'!$C$4:$Q$300, 9, FALSE)</f>
        <v>124</v>
      </c>
      <c r="N153" s="11">
        <f t="shared" si="6"/>
        <v>-15</v>
      </c>
      <c r="O153" s="11">
        <f>VLOOKUP($G153, 'ADP Data'!$C$4:$Q$300, 3, FALSE)</f>
        <v>161</v>
      </c>
      <c r="P153" s="11">
        <f t="shared" si="7"/>
        <v>-37</v>
      </c>
      <c r="Q153" s="11">
        <f>VLOOKUP($G153, 'ADP Data'!$C$4:$Q$300, 4, FALSE)</f>
        <v>134</v>
      </c>
      <c r="R153" s="11">
        <f>VLOOKUP($G153, 'ADP Data'!$C$4:$Q$300, 5, FALSE)</f>
        <v>133</v>
      </c>
      <c r="S153" s="11">
        <f>VLOOKUP($G153, 'ADP Data'!$C$4:$Q$300, 6, FALSE)</f>
        <v>127</v>
      </c>
      <c r="T153" s="11">
        <f>VLOOKUP($G153, 'ADP Data'!$C$4:$Q$300, 7, FALSE)</f>
        <v>117</v>
      </c>
      <c r="U153" s="11">
        <f>VLOOKUP($G153, 'ADP Data'!$C$4:$Q$300, 8, FALSE)</f>
        <v>177</v>
      </c>
      <c r="V153" s="11">
        <f t="shared" si="8"/>
        <v>139</v>
      </c>
      <c r="W153" s="11">
        <f t="shared" si="9"/>
        <v>18</v>
      </c>
      <c r="X153" s="11">
        <f t="shared" si="10"/>
        <v>-7</v>
      </c>
      <c r="Y153" s="11">
        <f>VLOOKUP($G153, SeanRanks!$A$2:$K$303, 10, FALSE)-V153</f>
        <v>-31</v>
      </c>
      <c r="Z153" s="29">
        <f>IF(VLOOKUP($G153, SeanRanks!$A$2:$H$303, 7, FALSE)=0, "", VLOOKUP($G153, SeanRanks!$A$2:$H$303, 7, FALSE))</f>
        <v>44</v>
      </c>
    </row>
    <row r="154" ht="14.25" hidden="1" customHeight="1">
      <c r="A154" s="11"/>
      <c r="B154" s="11" t="str">
        <f t="shared" si="4"/>
        <v>#N/A</v>
      </c>
      <c r="C154" s="11" t="s">
        <v>106</v>
      </c>
      <c r="D154" s="11"/>
      <c r="E154" s="11"/>
      <c r="F154" s="11" t="str">
        <f>VLOOKUP(G154, SeanRanks!$A$2:$E$302, 4, FALSE)</f>
        <v>#N/A</v>
      </c>
      <c r="G154" s="11" t="s">
        <v>889</v>
      </c>
      <c r="H154" s="11" t="str">
        <f>VLOOKUP($G154, 'ADP Data'!$C$4:$Q$300, 2, FALSE)</f>
        <v>#N/A</v>
      </c>
      <c r="I154" s="11" t="str">
        <f>VLOOKUP(G154, 'ADP Data'!$C$4:$R$498, 12, FALSE)</f>
        <v>#N/A</v>
      </c>
      <c r="J154" s="11" t="str">
        <f>VLOOKUP($G154, SeanRanks!$A$2:$H$303, 5, FALSE)</f>
        <v>#N/A</v>
      </c>
      <c r="K154" s="11" t="str">
        <f>IF(VLOOKUP($G154, SeanRanks!$A$2:$H$303, 6, FALSE)=0, "", VLOOKUP($G154, SeanRanks!$A$2:$H$303, 6, FALSE))</f>
        <v>#N/A</v>
      </c>
      <c r="L154" s="11">
        <f t="shared" si="5"/>
        <v>16</v>
      </c>
      <c r="M154" s="11" t="str">
        <f>VLOOKUP($G154, 'ADP Data'!$C$4:$Q$300, 9, FALSE)</f>
        <v>#N/A</v>
      </c>
      <c r="N154" s="11" t="str">
        <f t="shared" si="6"/>
        <v>#N/A</v>
      </c>
      <c r="O154" s="11" t="str">
        <f>VLOOKUP($G154, 'ADP Data'!$C$4:$Q$300, 3, FALSE)</f>
        <v>#N/A</v>
      </c>
      <c r="P154" s="11" t="str">
        <f t="shared" si="7"/>
        <v>#N/A</v>
      </c>
      <c r="Q154" s="11" t="str">
        <f>VLOOKUP($G154, 'ADP Data'!$C$4:$Q$300, 4, FALSE)</f>
        <v>#N/A</v>
      </c>
      <c r="R154" s="11" t="str">
        <f>VLOOKUP($G154, 'ADP Data'!$C$4:$Q$300, 5, FALSE)</f>
        <v>#N/A</v>
      </c>
      <c r="S154" s="11" t="str">
        <f>VLOOKUP($G154, 'ADP Data'!$C$4:$Q$300, 6, FALSE)</f>
        <v>#N/A</v>
      </c>
      <c r="T154" s="11" t="str">
        <f>VLOOKUP($G154, 'ADP Data'!$C$4:$Q$300, 7, FALSE)</f>
        <v>#N/A</v>
      </c>
      <c r="U154" s="11" t="str">
        <f>VLOOKUP($G154, 'ADP Data'!$C$4:$Q$300, 8, FALSE)</f>
        <v>#N/A</v>
      </c>
      <c r="V154" s="11" t="str">
        <f t="shared" si="8"/>
        <v>#N/A</v>
      </c>
      <c r="W154" s="11">
        <f t="shared" si="9"/>
        <v>16</v>
      </c>
      <c r="X154" s="11">
        <f t="shared" si="10"/>
        <v>-16</v>
      </c>
      <c r="Y154" s="11" t="str">
        <f>VLOOKUP($G154, SeanRanks!$A$2:$K$303, 10, FALSE)-V154</f>
        <v>#N/A</v>
      </c>
      <c r="Z154" s="29" t="str">
        <f>IF(VLOOKUP($G154, SeanRanks!$A$2:$H$303, 7, FALSE)=0, "", VLOOKUP($G154, SeanRanks!$A$2:$H$303, 7, FALSE))</f>
        <v>#N/A</v>
      </c>
    </row>
    <row r="155" ht="14.25" hidden="1" customHeight="1">
      <c r="A155" s="11"/>
      <c r="B155" s="11" t="str">
        <f t="shared" si="4"/>
        <v>#N/A</v>
      </c>
      <c r="C155" s="11" t="s">
        <v>106</v>
      </c>
      <c r="D155" s="11"/>
      <c r="E155" s="11"/>
      <c r="F155" s="11" t="str">
        <f>VLOOKUP(G155, SeanRanks!$A$2:$E$302, 4, FALSE)</f>
        <v/>
      </c>
      <c r="G155" s="11" t="s">
        <v>890</v>
      </c>
      <c r="H155" s="11" t="str">
        <f>VLOOKUP($G155, 'ADP Data'!$C$4:$Q$300, 2, FALSE)</f>
        <v>#N/A</v>
      </c>
      <c r="I155" s="11" t="str">
        <f>VLOOKUP(G155, 'ADP Data'!$C$4:$R$498, 12, FALSE)</f>
        <v>#N/A</v>
      </c>
      <c r="J155" s="11" t="str">
        <f>VLOOKUP($G155, SeanRanks!$A$2:$H$303, 5, FALSE)</f>
        <v/>
      </c>
      <c r="K155" s="11" t="str">
        <f>IF(VLOOKUP($G155, SeanRanks!$A$2:$H$303, 6, FALSE)=0, "", VLOOKUP($G155, SeanRanks!$A$2:$H$303, 6, FALSE))</f>
        <v/>
      </c>
      <c r="L155" s="11">
        <f t="shared" si="5"/>
        <v>16</v>
      </c>
      <c r="M155" s="11" t="str">
        <f>VLOOKUP($G155, 'ADP Data'!$C$4:$Q$300, 9, FALSE)</f>
        <v>#N/A</v>
      </c>
      <c r="N155" s="11" t="str">
        <f t="shared" si="6"/>
        <v>#N/A</v>
      </c>
      <c r="O155" s="11" t="str">
        <f>VLOOKUP($G155, 'ADP Data'!$C$4:$Q$300, 3, FALSE)</f>
        <v>#N/A</v>
      </c>
      <c r="P155" s="11" t="str">
        <f t="shared" si="7"/>
        <v>#N/A</v>
      </c>
      <c r="Q155" s="11" t="str">
        <f>VLOOKUP($G155, 'ADP Data'!$C$4:$Q$300, 4, FALSE)</f>
        <v>#N/A</v>
      </c>
      <c r="R155" s="11" t="str">
        <f>VLOOKUP($G155, 'ADP Data'!$C$4:$Q$300, 5, FALSE)</f>
        <v>#N/A</v>
      </c>
      <c r="S155" s="11" t="str">
        <f>VLOOKUP($G155, 'ADP Data'!$C$4:$Q$300, 6, FALSE)</f>
        <v>#N/A</v>
      </c>
      <c r="T155" s="11" t="str">
        <f>VLOOKUP($G155, 'ADP Data'!$C$4:$Q$300, 7, FALSE)</f>
        <v>#N/A</v>
      </c>
      <c r="U155" s="11" t="str">
        <f>VLOOKUP($G155, 'ADP Data'!$C$4:$Q$300, 8, FALSE)</f>
        <v>#N/A</v>
      </c>
      <c r="V155" s="11" t="str">
        <f t="shared" si="8"/>
        <v>#N/A</v>
      </c>
      <c r="W155" s="11">
        <f t="shared" si="9"/>
        <v>16</v>
      </c>
      <c r="X155" s="11">
        <f t="shared" si="10"/>
        <v>-16</v>
      </c>
      <c r="Y155" s="11" t="str">
        <f>VLOOKUP($G155, SeanRanks!$A$2:$K$303, 10, FALSE)-V155</f>
        <v>#N/A</v>
      </c>
      <c r="Z155" s="29" t="str">
        <f>IF(VLOOKUP($G155, SeanRanks!$A$2:$H$303, 7, FALSE)=0, "", VLOOKUP($G155, SeanRanks!$A$2:$H$303, 7, FALSE))</f>
        <v/>
      </c>
    </row>
    <row r="156" ht="14.25" hidden="1" customHeight="1">
      <c r="A156" s="11"/>
      <c r="B156" s="11" t="str">
        <f t="shared" si="4"/>
        <v>#N/A</v>
      </c>
      <c r="C156" s="11" t="s">
        <v>106</v>
      </c>
      <c r="D156" s="11"/>
      <c r="E156" s="11"/>
      <c r="F156" s="11" t="str">
        <f>VLOOKUP(G156, SeanRanks!$A$2:$E$302, 4, FALSE)</f>
        <v>#N/A</v>
      </c>
      <c r="G156" s="11" t="s">
        <v>891</v>
      </c>
      <c r="H156" s="11" t="str">
        <f>VLOOKUP($G156, 'ADP Data'!$C$4:$Q$300, 2, FALSE)</f>
        <v>#N/A</v>
      </c>
      <c r="I156" s="11" t="str">
        <f>VLOOKUP(G156, 'ADP Data'!$C$4:$R$498, 12, FALSE)</f>
        <v>#N/A</v>
      </c>
      <c r="J156" s="11" t="str">
        <f>VLOOKUP($G156, SeanRanks!$A$2:$H$303, 5, FALSE)</f>
        <v>#N/A</v>
      </c>
      <c r="K156" s="11" t="str">
        <f>IF(VLOOKUP($G156, SeanRanks!$A$2:$H$303, 6, FALSE)=0, "", VLOOKUP($G156, SeanRanks!$A$2:$H$303, 6, FALSE))</f>
        <v>#N/A</v>
      </c>
      <c r="L156" s="11">
        <f t="shared" si="5"/>
        <v>16</v>
      </c>
      <c r="M156" s="11" t="str">
        <f>VLOOKUP($G156, 'ADP Data'!$C$4:$Q$300, 9, FALSE)</f>
        <v>#N/A</v>
      </c>
      <c r="N156" s="11" t="str">
        <f t="shared" si="6"/>
        <v>#N/A</v>
      </c>
      <c r="O156" s="11" t="str">
        <f>VLOOKUP($G156, 'ADP Data'!$C$4:$Q$300, 3, FALSE)</f>
        <v>#N/A</v>
      </c>
      <c r="P156" s="11" t="str">
        <f t="shared" si="7"/>
        <v>#N/A</v>
      </c>
      <c r="Q156" s="11" t="str">
        <f>VLOOKUP($G156, 'ADP Data'!$C$4:$Q$300, 4, FALSE)</f>
        <v>#N/A</v>
      </c>
      <c r="R156" s="11" t="str">
        <f>VLOOKUP($G156, 'ADP Data'!$C$4:$Q$300, 5, FALSE)</f>
        <v>#N/A</v>
      </c>
      <c r="S156" s="11" t="str">
        <f>VLOOKUP($G156, 'ADP Data'!$C$4:$Q$300, 6, FALSE)</f>
        <v>#N/A</v>
      </c>
      <c r="T156" s="11" t="str">
        <f>VLOOKUP($G156, 'ADP Data'!$C$4:$Q$300, 7, FALSE)</f>
        <v>#N/A</v>
      </c>
      <c r="U156" s="11" t="str">
        <f>VLOOKUP($G156, 'ADP Data'!$C$4:$Q$300, 8, FALSE)</f>
        <v>#N/A</v>
      </c>
      <c r="V156" s="11" t="str">
        <f t="shared" si="8"/>
        <v>#N/A</v>
      </c>
      <c r="W156" s="11">
        <f t="shared" si="9"/>
        <v>16</v>
      </c>
      <c r="X156" s="11">
        <f t="shared" si="10"/>
        <v>-16</v>
      </c>
      <c r="Y156" s="11" t="str">
        <f>VLOOKUP($G156, SeanRanks!$A$2:$K$303, 10, FALSE)-V156</f>
        <v>#N/A</v>
      </c>
      <c r="Z156" s="29" t="str">
        <f>IF(VLOOKUP($G156, SeanRanks!$A$2:$H$303, 7, FALSE)=0, "", VLOOKUP($G156, SeanRanks!$A$2:$H$303, 7, FALSE))</f>
        <v>#N/A</v>
      </c>
    </row>
    <row r="157" ht="14.25" hidden="1" customHeight="1">
      <c r="A157" s="11"/>
      <c r="B157" s="11">
        <f t="shared" si="4"/>
        <v>15</v>
      </c>
      <c r="C157" s="11" t="s">
        <v>106</v>
      </c>
      <c r="D157" s="11"/>
      <c r="E157" s="11"/>
      <c r="F157" s="11" t="str">
        <f>VLOOKUP(G157, SeanRanks!$A$2:$E$302, 4, FALSE)</f>
        <v/>
      </c>
      <c r="G157" s="11" t="s">
        <v>892</v>
      </c>
      <c r="H157" s="11" t="str">
        <f>VLOOKUP($G157, 'ADP Data'!$C$4:$Q$300, 2, FALSE)</f>
        <v>MIN</v>
      </c>
      <c r="I157" s="11">
        <f>VLOOKUP(G157, 'ADP Data'!$C$4:$R$498, 12, FALSE)</f>
        <v>164</v>
      </c>
      <c r="J157" s="11" t="str">
        <f>VLOOKUP($G157, SeanRanks!$A$2:$H$303, 5, FALSE)</f>
        <v/>
      </c>
      <c r="K157" s="11" t="str">
        <f>IF(VLOOKUP($G157, SeanRanks!$A$2:$H$303, 6, FALSE)=0, "", VLOOKUP($G157, SeanRanks!$A$2:$H$303, 6, FALSE))</f>
        <v>WR6 - dart throw upside</v>
      </c>
      <c r="L157" s="11">
        <f t="shared" si="5"/>
        <v>22</v>
      </c>
      <c r="M157" s="11">
        <f>VLOOKUP($G157, 'ADP Data'!$C$4:$Q$300, 9, FALSE)</f>
        <v>171</v>
      </c>
      <c r="N157" s="11">
        <f t="shared" si="6"/>
        <v>0</v>
      </c>
      <c r="O157" s="11">
        <f>VLOOKUP($G157, 'ADP Data'!$C$4:$Q$300, 3, FALSE)</f>
        <v>167</v>
      </c>
      <c r="P157" s="11">
        <f t="shared" si="7"/>
        <v>4</v>
      </c>
      <c r="Q157" s="11">
        <f>VLOOKUP($G157, 'ADP Data'!$C$4:$Q$300, 4, FALSE)</f>
        <v>159</v>
      </c>
      <c r="R157" s="11">
        <f>VLOOKUP($G157, 'ADP Data'!$C$4:$Q$300, 5, FALSE)</f>
        <v>175</v>
      </c>
      <c r="S157" s="11">
        <f>VLOOKUP($G157, 'ADP Data'!$C$4:$Q$300, 6, FALSE)</f>
        <v>168</v>
      </c>
      <c r="T157" s="11">
        <f>VLOOKUP($G157, 'ADP Data'!$C$4:$Q$300, 7, FALSE)</f>
        <v>156</v>
      </c>
      <c r="U157" s="11">
        <f>VLOOKUP($G157, 'ADP Data'!$C$4:$Q$300, 8, FALSE)</f>
        <v>203</v>
      </c>
      <c r="V157" s="11">
        <f t="shared" si="8"/>
        <v>171</v>
      </c>
      <c r="W157" s="11">
        <f t="shared" si="9"/>
        <v>22</v>
      </c>
      <c r="X157" s="11">
        <f t="shared" si="10"/>
        <v>-22</v>
      </c>
      <c r="Y157" s="11">
        <f>VLOOKUP($G157, SeanRanks!$A$2:$K$303, 10, FALSE)-V157</f>
        <v>20</v>
      </c>
      <c r="Z157" s="29">
        <f>IF(VLOOKUP($G157, SeanRanks!$A$2:$H$303, 7, FALSE)=0, "", VLOOKUP($G157, SeanRanks!$A$2:$H$303, 7, FALSE))</f>
        <v>65</v>
      </c>
    </row>
    <row r="158" ht="14.25" hidden="1" customHeight="1">
      <c r="A158" s="11"/>
      <c r="B158" s="11">
        <f t="shared" si="4"/>
        <v>26</v>
      </c>
      <c r="C158" s="11" t="s">
        <v>106</v>
      </c>
      <c r="D158" s="11"/>
      <c r="E158" s="11"/>
      <c r="F158" s="11" t="str">
        <f>VLOOKUP(G158, SeanRanks!$A$2:$E$302, 4, FALSE)</f>
        <v/>
      </c>
      <c r="G158" s="11" t="s">
        <v>508</v>
      </c>
      <c r="H158" s="11" t="str">
        <f>VLOOKUP($G158, 'ADP Data'!$C$4:$Q$300, 2, FALSE)</f>
        <v>GB</v>
      </c>
      <c r="I158" s="11">
        <f>VLOOKUP(G158, 'ADP Data'!$C$4:$R$498, 12, FALSE)</f>
        <v>246</v>
      </c>
      <c r="J158" s="40" t="str">
        <f>VLOOKUP($G158, SeanRanks!$A$2:$H$303, 5, FALSE)</f>
        <v/>
      </c>
      <c r="K158" s="11" t="str">
        <f>IF(VLOOKUP($G158, SeanRanks!$A$2:$H$303, 6, FALSE)=0, "", VLOOKUP($G158, SeanRanks!$A$2:$H$303, 6, FALSE))</f>
        <v/>
      </c>
      <c r="L158" s="11">
        <f t="shared" si="5"/>
        <v>36</v>
      </c>
      <c r="M158" s="11">
        <f>VLOOKUP($G158, 'ADP Data'!$C$4:$Q$300, 9, FALSE)</f>
        <v>284</v>
      </c>
      <c r="N158" s="11">
        <f t="shared" si="6"/>
        <v>-16</v>
      </c>
      <c r="O158" s="11" t="str">
        <f>VLOOKUP($G158, 'ADP Data'!$C$4:$Q$300, 3, FALSE)</f>
        <v>-</v>
      </c>
      <c r="P158" s="11" t="str">
        <f t="shared" si="7"/>
        <v>#VALUE!</v>
      </c>
      <c r="Q158" s="11" t="str">
        <f>VLOOKUP($G158, 'ADP Data'!$C$4:$Q$300, 4, FALSE)</f>
        <v>-</v>
      </c>
      <c r="R158" s="11">
        <f>VLOOKUP($G158, 'ADP Data'!$C$4:$Q$300, 5, FALSE)</f>
        <v>291</v>
      </c>
      <c r="S158" s="11">
        <f>VLOOKUP($G158, 'ADP Data'!$C$4:$Q$300, 6, FALSE)</f>
        <v>322</v>
      </c>
      <c r="T158" s="11">
        <f>VLOOKUP($G158, 'ADP Data'!$C$4:$Q$300, 7, FALSE)</f>
        <v>277</v>
      </c>
      <c r="U158" s="11">
        <f>VLOOKUP($G158, 'ADP Data'!$C$4:$Q$300, 8, FALSE)</f>
        <v>326</v>
      </c>
      <c r="V158" s="11">
        <f t="shared" si="8"/>
        <v>300</v>
      </c>
      <c r="W158" s="11">
        <f t="shared" si="9"/>
        <v>38</v>
      </c>
      <c r="X158" s="11">
        <f t="shared" si="10"/>
        <v>-38</v>
      </c>
      <c r="Y158" s="11" t="str">
        <f>VLOOKUP($G158, SeanRanks!$A$2:$K$303, 10, FALSE)-V158</f>
        <v>#VALUE!</v>
      </c>
      <c r="Z158" s="29" t="str">
        <f>IF(VLOOKUP($G158, SeanRanks!$A$2:$H$303, 7, FALSE)=0, "", VLOOKUP($G158, SeanRanks!$A$2:$H$303, 7, FALSE))</f>
        <v/>
      </c>
    </row>
    <row r="159" ht="14.25" hidden="1" customHeight="1">
      <c r="A159" s="11"/>
      <c r="B159" s="11">
        <f t="shared" si="4"/>
        <v>7</v>
      </c>
      <c r="C159" s="11" t="s">
        <v>106</v>
      </c>
      <c r="D159" s="11"/>
      <c r="E159" s="11"/>
      <c r="F159" s="11" t="str">
        <f>VLOOKUP(G159, SeanRanks!$A$2:$E$302, 4, FALSE)</f>
        <v/>
      </c>
      <c r="G159" s="11" t="s">
        <v>369</v>
      </c>
      <c r="H159" s="11" t="str">
        <f>VLOOKUP($G159, 'ADP Data'!$C$4:$Q$300, 2, FALSE)</f>
        <v>TB</v>
      </c>
      <c r="I159" s="11">
        <f>VLOOKUP(G159, 'ADP Data'!$C$4:$R$498, 12, FALSE)</f>
        <v>99</v>
      </c>
      <c r="J159" s="11" t="str">
        <f>VLOOKUP($G159, SeanRanks!$A$2:$H$303, 5, FALSE)</f>
        <v/>
      </c>
      <c r="K159" s="11" t="str">
        <f>IF(VLOOKUP($G159, SeanRanks!$A$2:$H$303, 6, FALSE)=0, "", VLOOKUP($G159, SeanRanks!$A$2:$H$303, 6, FALSE))</f>
        <v>QB1 - 3 - Top 5 Ceiling</v>
      </c>
      <c r="L159" s="11">
        <f t="shared" si="5"/>
        <v>9</v>
      </c>
      <c r="M159" s="11">
        <f>VLOOKUP($G159, 'ADP Data'!$C$4:$Q$300, 9, FALSE)</f>
        <v>71</v>
      </c>
      <c r="N159" s="11">
        <f t="shared" si="6"/>
        <v>1</v>
      </c>
      <c r="O159" s="11">
        <f>VLOOKUP($G159, 'ADP Data'!$C$4:$Q$300, 3, FALSE)</f>
        <v>54</v>
      </c>
      <c r="P159" s="11">
        <f t="shared" si="7"/>
        <v>17</v>
      </c>
      <c r="Q159" s="11">
        <f>VLOOKUP($G159, 'ADP Data'!$C$4:$Q$300, 4, FALSE)</f>
        <v>52</v>
      </c>
      <c r="R159" s="11">
        <f>VLOOKUP($G159, 'ADP Data'!$C$4:$Q$300, 5, FALSE)</f>
        <v>85</v>
      </c>
      <c r="S159" s="11">
        <f>VLOOKUP($G159, 'ADP Data'!$C$4:$Q$300, 6, FALSE)</f>
        <v>92</v>
      </c>
      <c r="T159" s="11">
        <f>VLOOKUP($G159, 'ADP Data'!$C$4:$Q$300, 7, FALSE)</f>
        <v>78</v>
      </c>
      <c r="U159" s="11">
        <f>VLOOKUP($G159, 'ADP Data'!$C$4:$Q$300, 8, FALSE)</f>
        <v>61</v>
      </c>
      <c r="V159" s="11">
        <f t="shared" si="8"/>
        <v>70</v>
      </c>
      <c r="W159" s="11">
        <f t="shared" si="9"/>
        <v>9</v>
      </c>
      <c r="X159" s="11">
        <f t="shared" si="10"/>
        <v>-9</v>
      </c>
      <c r="Y159" s="11">
        <f>VLOOKUP($G159, SeanRanks!$A$2:$K$303, 10, FALSE)-V159</f>
        <v>20</v>
      </c>
      <c r="Z159" s="29">
        <f>IF(VLOOKUP($G159, SeanRanks!$A$2:$H$303, 7, FALSE)=0, "", VLOOKUP($G159, SeanRanks!$A$2:$H$303, 7, FALSE))</f>
        <v>6</v>
      </c>
    </row>
    <row r="160" ht="14.25" hidden="1" customHeight="1">
      <c r="A160" s="11"/>
      <c r="B160" s="11" t="str">
        <f t="shared" si="4"/>
        <v>#N/A</v>
      </c>
      <c r="C160" s="11" t="s">
        <v>106</v>
      </c>
      <c r="D160" s="11"/>
      <c r="E160" s="11"/>
      <c r="F160" s="11" t="str">
        <f>VLOOKUP(G160, SeanRanks!$A$2:$E$302, 4, FALSE)</f>
        <v>#N/A</v>
      </c>
      <c r="G160" s="11" t="s">
        <v>893</v>
      </c>
      <c r="H160" s="11" t="str">
        <f>VLOOKUP($G160, 'ADP Data'!$C$4:$Q$300, 2, FALSE)</f>
        <v>#N/A</v>
      </c>
      <c r="I160" s="11" t="str">
        <f>VLOOKUP(G160, 'ADP Data'!$C$4:$R$498, 12, FALSE)</f>
        <v>#N/A</v>
      </c>
      <c r="J160" s="61" t="str">
        <f>VLOOKUP($G160, SeanRanks!$A$2:$H$303, 5, FALSE)</f>
        <v>#N/A</v>
      </c>
      <c r="K160" s="11" t="str">
        <f>IF(VLOOKUP($G160, SeanRanks!$A$2:$H$303, 6, FALSE)=0, "", VLOOKUP($G160, SeanRanks!$A$2:$H$303, 6, FALSE))</f>
        <v>#N/A</v>
      </c>
      <c r="L160" s="11">
        <f t="shared" si="5"/>
        <v>16</v>
      </c>
      <c r="M160" s="11" t="str">
        <f>VLOOKUP($G160, 'ADP Data'!$C$4:$Q$300, 9, FALSE)</f>
        <v>#N/A</v>
      </c>
      <c r="N160" s="11" t="str">
        <f t="shared" si="6"/>
        <v>#N/A</v>
      </c>
      <c r="O160" s="11" t="str">
        <f>VLOOKUP($G160, 'ADP Data'!$C$4:$Q$300, 3, FALSE)</f>
        <v>#N/A</v>
      </c>
      <c r="P160" s="11" t="str">
        <f t="shared" si="7"/>
        <v>#N/A</v>
      </c>
      <c r="Q160" s="11" t="str">
        <f>VLOOKUP($G160, 'ADP Data'!$C$4:$Q$300, 4, FALSE)</f>
        <v>#N/A</v>
      </c>
      <c r="R160" s="11" t="str">
        <f>VLOOKUP($G160, 'ADP Data'!$C$4:$Q$300, 5, FALSE)</f>
        <v>#N/A</v>
      </c>
      <c r="S160" s="11" t="str">
        <f>VLOOKUP($G160, 'ADP Data'!$C$4:$Q$300, 6, FALSE)</f>
        <v>#N/A</v>
      </c>
      <c r="T160" s="11" t="str">
        <f>VLOOKUP($G160, 'ADP Data'!$C$4:$Q$300, 7, FALSE)</f>
        <v>#N/A</v>
      </c>
      <c r="U160" s="11" t="str">
        <f>VLOOKUP($G160, 'ADP Data'!$C$4:$Q$300, 8, FALSE)</f>
        <v>#N/A</v>
      </c>
      <c r="V160" s="11" t="str">
        <f t="shared" si="8"/>
        <v>#N/A</v>
      </c>
      <c r="W160" s="11">
        <f t="shared" si="9"/>
        <v>16</v>
      </c>
      <c r="X160" s="11">
        <f t="shared" si="10"/>
        <v>-16</v>
      </c>
      <c r="Y160" s="11" t="str">
        <f>VLOOKUP($G160, SeanRanks!$A$2:$K$303, 10, FALSE)-V160</f>
        <v>#N/A</v>
      </c>
      <c r="Z160" s="29" t="str">
        <f>IF(VLOOKUP($G160, SeanRanks!$A$2:$H$303, 7, FALSE)=0, "", VLOOKUP($G160, SeanRanks!$A$2:$H$303, 7, FALSE))</f>
        <v>#N/A</v>
      </c>
    </row>
    <row r="161" ht="14.25" hidden="1" customHeight="1">
      <c r="A161" s="11"/>
      <c r="B161" s="11">
        <f t="shared" si="4"/>
        <v>23</v>
      </c>
      <c r="C161" s="11" t="s">
        <v>106</v>
      </c>
      <c r="D161" s="11"/>
      <c r="E161" s="11"/>
      <c r="F161" s="11" t="str">
        <f>VLOOKUP(G161, SeanRanks!$A$2:$E$302, 4, FALSE)</f>
        <v/>
      </c>
      <c r="G161" s="11" t="s">
        <v>477</v>
      </c>
      <c r="H161" s="11" t="str">
        <f>VLOOKUP($G161, 'ADP Data'!$C$4:$Q$300, 2, FALSE)</f>
        <v>IND</v>
      </c>
      <c r="I161" s="11">
        <f>VLOOKUP(G161, 'ADP Data'!$C$4:$R$498, 12, FALSE)</f>
        <v>224</v>
      </c>
      <c r="J161" s="11" t="str">
        <f>VLOOKUP($G161, SeanRanks!$A$2:$H$303, 5, FALSE)</f>
        <v/>
      </c>
      <c r="K161" s="11" t="str">
        <f>IF(VLOOKUP($G161, SeanRanks!$A$2:$H$303, 6, FALSE)=0, "", VLOOKUP($G161, SeanRanks!$A$2:$H$303, 6, FALSE))</f>
        <v/>
      </c>
      <c r="L161" s="11">
        <f t="shared" si="5"/>
        <v>32</v>
      </c>
      <c r="M161" s="11">
        <f>VLOOKUP($G161, 'ADP Data'!$C$4:$Q$300, 9, FALSE)</f>
        <v>251</v>
      </c>
      <c r="N161" s="11">
        <f t="shared" si="6"/>
        <v>-14</v>
      </c>
      <c r="O161" s="11" t="str">
        <f>VLOOKUP($G161, 'ADP Data'!$C$4:$Q$300, 3, FALSE)</f>
        <v>-</v>
      </c>
      <c r="P161" s="11" t="str">
        <f t="shared" si="7"/>
        <v>#VALUE!</v>
      </c>
      <c r="Q161" s="11" t="str">
        <f>VLOOKUP($G161, 'ADP Data'!$C$4:$Q$300, 4, FALSE)</f>
        <v>-</v>
      </c>
      <c r="R161" s="11">
        <f>VLOOKUP($G161, 'ADP Data'!$C$4:$Q$300, 5, FALSE)</f>
        <v>307</v>
      </c>
      <c r="S161" s="11">
        <f>VLOOKUP($G161, 'ADP Data'!$C$4:$Q$300, 6, FALSE)</f>
        <v>252</v>
      </c>
      <c r="T161" s="11">
        <f>VLOOKUP($G161, 'ADP Data'!$C$4:$Q$300, 7, FALSE)</f>
        <v>252</v>
      </c>
      <c r="U161" s="11" t="str">
        <f>VLOOKUP($G161, 'ADP Data'!$C$4:$Q$300, 8, FALSE)</f>
        <v>-</v>
      </c>
      <c r="V161" s="11">
        <f t="shared" si="8"/>
        <v>265</v>
      </c>
      <c r="W161" s="11">
        <f t="shared" si="9"/>
        <v>34</v>
      </c>
      <c r="X161" s="11">
        <f t="shared" si="10"/>
        <v>-34</v>
      </c>
      <c r="Y161" s="11">
        <f>VLOOKUP($G161, SeanRanks!$A$2:$K$303, 10, FALSE)-V161</f>
        <v>-18</v>
      </c>
      <c r="Z161" s="29" t="str">
        <f>IF(VLOOKUP($G161, SeanRanks!$A$2:$H$303, 7, FALSE)=0, "", VLOOKUP($G161, SeanRanks!$A$2:$H$303, 7, FALSE))</f>
        <v/>
      </c>
    </row>
    <row r="162" ht="14.25" customHeight="1">
      <c r="A162" s="11"/>
      <c r="B162" s="11">
        <f t="shared" si="4"/>
        <v>18</v>
      </c>
      <c r="C162" s="11" t="s">
        <v>106</v>
      </c>
      <c r="D162" s="11"/>
      <c r="E162" s="11"/>
      <c r="F162" s="11" t="str">
        <f>VLOOKUP(G162, SeanRanks!$A$2:$E$302, 4, FALSE)</f>
        <v/>
      </c>
      <c r="G162" s="11" t="s">
        <v>634</v>
      </c>
      <c r="H162" s="11" t="str">
        <f>VLOOKUP($G162, 'ADP Data'!$C$4:$Q$300, 2, FALSE)</f>
        <v>MIA</v>
      </c>
      <c r="I162" s="11">
        <f>VLOOKUP(G162, 'ADP Data'!$C$4:$R$498, 12, FALSE)</f>
        <v>230</v>
      </c>
      <c r="J162" s="11" t="str">
        <f>VLOOKUP($G162, SeanRanks!$A$2:$H$303, 5, FALSE)</f>
        <v>Yes</v>
      </c>
      <c r="K162" s="11" t="str">
        <f>IF(VLOOKUP($G162, SeanRanks!$A$2:$H$303, 6, FALSE)=0, "", VLOOKUP($G162, SeanRanks!$A$2:$H$303, 6, FALSE))</f>
        <v>RB5 - 1 - upside</v>
      </c>
      <c r="L162" s="11">
        <f t="shared" si="5"/>
        <v>22</v>
      </c>
      <c r="M162" s="11">
        <f>VLOOKUP($G162, 'ADP Data'!$C$4:$Q$300, 9, FALSE)</f>
        <v>172</v>
      </c>
      <c r="N162" s="11">
        <f t="shared" si="6"/>
        <v>-26</v>
      </c>
      <c r="O162" s="11" t="str">
        <f>VLOOKUP($G162, 'ADP Data'!$C$4:$Q$300, 3, FALSE)</f>
        <v>-</v>
      </c>
      <c r="P162" s="11" t="str">
        <f t="shared" si="7"/>
        <v>#VALUE!</v>
      </c>
      <c r="Q162" s="11">
        <f>VLOOKUP($G162, 'ADP Data'!$C$4:$Q$300, 4, FALSE)</f>
        <v>194</v>
      </c>
      <c r="R162" s="11">
        <f>VLOOKUP($G162, 'ADP Data'!$C$4:$Q$300, 5, FALSE)</f>
        <v>226</v>
      </c>
      <c r="S162" s="11">
        <f>VLOOKUP($G162, 'ADP Data'!$C$4:$Q$300, 6, FALSE)</f>
        <v>185</v>
      </c>
      <c r="T162" s="11">
        <f>VLOOKUP($G162, 'ADP Data'!$C$4:$Q$300, 7, FALSE)</f>
        <v>175</v>
      </c>
      <c r="U162" s="11">
        <f>VLOOKUP($G162, 'ADP Data'!$C$4:$Q$300, 8, FALSE)</f>
        <v>241</v>
      </c>
      <c r="V162" s="11">
        <f t="shared" si="8"/>
        <v>198</v>
      </c>
      <c r="W162" s="11">
        <f t="shared" si="9"/>
        <v>25</v>
      </c>
      <c r="X162" s="11">
        <f t="shared" si="10"/>
        <v>-25</v>
      </c>
      <c r="Y162" s="11">
        <f>VLOOKUP($G162, SeanRanks!$A$2:$K$303, 10, FALSE)-V162</f>
        <v>-9</v>
      </c>
      <c r="Z162" s="29">
        <f>IF(VLOOKUP($G162, SeanRanks!$A$2:$H$303, 7, FALSE)=0, "", VLOOKUP($G162, SeanRanks!$A$2:$H$303, 7, FALSE))</f>
        <v>54</v>
      </c>
    </row>
    <row r="163" ht="14.25" hidden="1" customHeight="1">
      <c r="A163" s="11"/>
      <c r="B163" s="11">
        <f t="shared" si="4"/>
        <v>17</v>
      </c>
      <c r="C163" s="11" t="s">
        <v>106</v>
      </c>
      <c r="D163" s="11"/>
      <c r="E163" s="11"/>
      <c r="F163" s="11" t="str">
        <f>VLOOKUP(G163, SeanRanks!$A$2:$E$302, 4, FALSE)</f>
        <v/>
      </c>
      <c r="G163" s="11" t="s">
        <v>572</v>
      </c>
      <c r="H163" s="11" t="str">
        <f>VLOOKUP($G163, 'ADP Data'!$C$4:$Q$300, 2, FALSE)</f>
        <v>KC</v>
      </c>
      <c r="I163" s="11" t="str">
        <f>VLOOKUP(G163, 'ADP Data'!$C$4:$R$498, 12, FALSE)</f>
        <v>-</v>
      </c>
      <c r="J163" s="11" t="str">
        <f>VLOOKUP($G163, SeanRanks!$A$2:$H$303, 5, FALSE)</f>
        <v/>
      </c>
      <c r="K163" s="11" t="str">
        <f>IF(VLOOKUP($G163, SeanRanks!$A$2:$H$303, 6, FALSE)=0, "", VLOOKUP($G163, SeanRanks!$A$2:$H$303, 6, FALSE))</f>
        <v/>
      </c>
      <c r="L163" s="11">
        <f t="shared" si="5"/>
        <v>24</v>
      </c>
      <c r="M163" s="11">
        <f>VLOOKUP($G163, 'ADP Data'!$C$4:$Q$300, 9, FALSE)</f>
        <v>191</v>
      </c>
      <c r="N163" s="11">
        <f t="shared" si="6"/>
        <v>-4</v>
      </c>
      <c r="O163" s="11">
        <f>VLOOKUP($G163, 'ADP Data'!$C$4:$Q$300, 3, FALSE)</f>
        <v>179</v>
      </c>
      <c r="P163" s="11">
        <f t="shared" si="7"/>
        <v>12</v>
      </c>
      <c r="Q163" s="11">
        <f>VLOOKUP($G163, 'ADP Data'!$C$4:$Q$300, 4, FALSE)</f>
        <v>187</v>
      </c>
      <c r="R163" s="11">
        <f>VLOOKUP($G163, 'ADP Data'!$C$4:$Q$300, 5, FALSE)</f>
        <v>235</v>
      </c>
      <c r="S163" s="11">
        <f>VLOOKUP($G163, 'ADP Data'!$C$4:$Q$300, 6, FALSE)</f>
        <v>239</v>
      </c>
      <c r="T163" s="11">
        <f>VLOOKUP($G163, 'ADP Data'!$C$4:$Q$300, 7, FALSE)</f>
        <v>202</v>
      </c>
      <c r="U163" s="11">
        <f>VLOOKUP($G163, 'ADP Data'!$C$4:$Q$300, 8, FALSE)</f>
        <v>137</v>
      </c>
      <c r="V163" s="11">
        <f t="shared" si="8"/>
        <v>195</v>
      </c>
      <c r="W163" s="11">
        <f t="shared" si="9"/>
        <v>25</v>
      </c>
      <c r="X163" s="11">
        <f t="shared" si="10"/>
        <v>-25</v>
      </c>
      <c r="Y163" s="11">
        <f>VLOOKUP($G163, SeanRanks!$A$2:$K$303, 10, FALSE)-V163</f>
        <v>-22</v>
      </c>
      <c r="Z163" s="29" t="str">
        <f>IF(VLOOKUP($G163, SeanRanks!$A$2:$H$303, 7, FALSE)=0, "", VLOOKUP($G163, SeanRanks!$A$2:$H$303, 7, FALSE))</f>
        <v/>
      </c>
    </row>
    <row r="164" ht="14.25" hidden="1" customHeight="1">
      <c r="A164" s="11"/>
      <c r="B164" s="11">
        <f t="shared" si="4"/>
        <v>11</v>
      </c>
      <c r="C164" s="11" t="s">
        <v>106</v>
      </c>
      <c r="D164" s="11"/>
      <c r="E164" s="11"/>
      <c r="F164" s="11" t="str">
        <f>VLOOKUP(G164, SeanRanks!$A$2:$E$302, 4, FALSE)</f>
        <v/>
      </c>
      <c r="G164" s="11" t="s">
        <v>292</v>
      </c>
      <c r="H164" s="11" t="str">
        <f>VLOOKUP($G164, 'ADP Data'!$C$4:$Q$300, 2, FALSE)</f>
        <v>IND</v>
      </c>
      <c r="I164" s="11">
        <f>VLOOKUP(G164, 'ADP Data'!$C$4:$R$498, 12, FALSE)</f>
        <v>96</v>
      </c>
      <c r="J164" s="11" t="str">
        <f>VLOOKUP($G164, SeanRanks!$A$2:$H$303, 5, FALSE)</f>
        <v>No</v>
      </c>
      <c r="K164" s="11" t="str">
        <f>IF(VLOOKUP($G164, SeanRanks!$A$2:$H$303, 6, FALSE)=0, "", VLOOKUP($G164, SeanRanks!$A$2:$H$303, 6, FALSE))</f>
        <v>WR4 - 2 - unclear path to WR2</v>
      </c>
      <c r="L164" s="11">
        <f t="shared" si="5"/>
        <v>14</v>
      </c>
      <c r="M164" s="11">
        <f>VLOOKUP($G164, 'ADP Data'!$C$4:$Q$300, 9, FALSE)</f>
        <v>106</v>
      </c>
      <c r="N164" s="11">
        <f t="shared" si="6"/>
        <v>-15</v>
      </c>
      <c r="O164" s="11">
        <f>VLOOKUP($G164, 'ADP Data'!$C$4:$Q$300, 3, FALSE)</f>
        <v>129</v>
      </c>
      <c r="P164" s="11">
        <f t="shared" si="7"/>
        <v>-23</v>
      </c>
      <c r="Q164" s="11">
        <f>VLOOKUP($G164, 'ADP Data'!$C$4:$Q$300, 4, FALSE)</f>
        <v>135</v>
      </c>
      <c r="R164" s="11">
        <f>VLOOKUP($G164, 'ADP Data'!$C$4:$Q$300, 5, FALSE)</f>
        <v>128</v>
      </c>
      <c r="S164" s="11">
        <f>VLOOKUP($G164, 'ADP Data'!$C$4:$Q$300, 6, FALSE)</f>
        <v>112</v>
      </c>
      <c r="T164" s="11">
        <f>VLOOKUP($G164, 'ADP Data'!$C$4:$Q$300, 7, FALSE)</f>
        <v>96</v>
      </c>
      <c r="U164" s="11">
        <f>VLOOKUP($G164, 'ADP Data'!$C$4:$Q$300, 8, FALSE)</f>
        <v>141</v>
      </c>
      <c r="V164" s="11">
        <f t="shared" si="8"/>
        <v>121</v>
      </c>
      <c r="W164" s="11">
        <f t="shared" si="9"/>
        <v>16</v>
      </c>
      <c r="X164" s="11">
        <f t="shared" si="10"/>
        <v>-16</v>
      </c>
      <c r="Y164" s="11">
        <f>VLOOKUP($G164, SeanRanks!$A$2:$K$303, 10, FALSE)-V164</f>
        <v>-14</v>
      </c>
      <c r="Z164" s="29">
        <f>IF(VLOOKUP($G164, SeanRanks!$A$2:$H$303, 7, FALSE)=0, "", VLOOKUP($G164, SeanRanks!$A$2:$H$303, 7, FALSE))</f>
        <v>46</v>
      </c>
    </row>
    <row r="165" ht="14.25" hidden="1" customHeight="1">
      <c r="A165" s="11"/>
      <c r="B165" s="11">
        <f t="shared" si="4"/>
        <v>12</v>
      </c>
      <c r="C165" s="11" t="s">
        <v>106</v>
      </c>
      <c r="D165" s="11"/>
      <c r="E165" s="11"/>
      <c r="F165" s="11" t="str">
        <f>VLOOKUP(G165, SeanRanks!$A$2:$E$302, 4, FALSE)</f>
        <v/>
      </c>
      <c r="G165" s="11" t="s">
        <v>590</v>
      </c>
      <c r="H165" s="11" t="str">
        <f>VLOOKUP($G165, 'ADP Data'!$C$4:$Q$300, 2, FALSE)</f>
        <v>ATL</v>
      </c>
      <c r="I165" s="11">
        <f>VLOOKUP(G165, 'ADP Data'!$C$4:$R$498, 12, FALSE)</f>
        <v>118</v>
      </c>
      <c r="J165" s="11" t="str">
        <f>VLOOKUP($G165, SeanRanks!$A$2:$H$303, 5, FALSE)</f>
        <v/>
      </c>
      <c r="K165" s="11" t="str">
        <f>IF(VLOOKUP($G165, SeanRanks!$A$2:$H$303, 6, FALSE)=0, "", VLOOKUP($G165, SeanRanks!$A$2:$H$303, 6, FALSE))</f>
        <v>WR5 - 2 - floor play not league winner</v>
      </c>
      <c r="L165" s="11">
        <f t="shared" si="5"/>
        <v>16</v>
      </c>
      <c r="M165" s="11">
        <f>VLOOKUP($G165, 'ADP Data'!$C$4:$Q$300, 9, FALSE)</f>
        <v>120</v>
      </c>
      <c r="N165" s="11">
        <f t="shared" si="6"/>
        <v>-15</v>
      </c>
      <c r="O165" s="11">
        <f>VLOOKUP($G165, 'ADP Data'!$C$4:$Q$300, 3, FALSE)</f>
        <v>121</v>
      </c>
      <c r="P165" s="11">
        <f t="shared" si="7"/>
        <v>-1</v>
      </c>
      <c r="Q165" s="11">
        <f>VLOOKUP($G165, 'ADP Data'!$C$4:$Q$300, 4, FALSE)</f>
        <v>139</v>
      </c>
      <c r="R165" s="11">
        <f>VLOOKUP($G165, 'ADP Data'!$C$4:$Q$300, 5, FALSE)</f>
        <v>132</v>
      </c>
      <c r="S165" s="11">
        <f>VLOOKUP($G165, 'ADP Data'!$C$4:$Q$300, 6, FALSE)</f>
        <v>137</v>
      </c>
      <c r="T165" s="11">
        <f>VLOOKUP($G165, 'ADP Data'!$C$4:$Q$300, 7, FALSE)</f>
        <v>119</v>
      </c>
      <c r="U165" s="11">
        <f>VLOOKUP($G165, 'ADP Data'!$C$4:$Q$300, 8, FALSE)</f>
        <v>183</v>
      </c>
      <c r="V165" s="11">
        <f t="shared" si="8"/>
        <v>135</v>
      </c>
      <c r="W165" s="11">
        <f t="shared" si="9"/>
        <v>17</v>
      </c>
      <c r="X165" s="11">
        <f t="shared" si="10"/>
        <v>-17</v>
      </c>
      <c r="Y165" s="11">
        <f>VLOOKUP($G165, SeanRanks!$A$2:$K$303, 10, FALSE)-V165</f>
        <v>-5</v>
      </c>
      <c r="Z165" s="29">
        <f>IF(VLOOKUP($G165, SeanRanks!$A$2:$H$303, 7, FALSE)=0, "", VLOOKUP($G165, SeanRanks!$A$2:$H$303, 7, FALSE))</f>
        <v>56</v>
      </c>
    </row>
    <row r="166" ht="14.25" hidden="1" customHeight="1">
      <c r="A166" s="11"/>
      <c r="B166" s="11" t="str">
        <f t="shared" si="4"/>
        <v>#N/A</v>
      </c>
      <c r="C166" s="11" t="s">
        <v>106</v>
      </c>
      <c r="D166" s="11"/>
      <c r="E166" s="11"/>
      <c r="F166" s="11" t="str">
        <f>VLOOKUP(G166, SeanRanks!$A$2:$E$302, 4, FALSE)</f>
        <v>#N/A</v>
      </c>
      <c r="G166" s="11" t="s">
        <v>894</v>
      </c>
      <c r="H166" s="11" t="str">
        <f>VLOOKUP($G166, 'ADP Data'!$C$4:$Q$300, 2, FALSE)</f>
        <v>#N/A</v>
      </c>
      <c r="I166" s="11" t="str">
        <f>VLOOKUP(G166, 'ADP Data'!$C$4:$R$498, 12, FALSE)</f>
        <v>#N/A</v>
      </c>
      <c r="J166" s="11" t="str">
        <f>VLOOKUP($G166, SeanRanks!$A$2:$H$303, 5, FALSE)</f>
        <v>#N/A</v>
      </c>
      <c r="K166" s="11" t="str">
        <f>IF(VLOOKUP($G166, SeanRanks!$A$2:$H$303, 6, FALSE)=0, "", VLOOKUP($G166, SeanRanks!$A$2:$H$303, 6, FALSE))</f>
        <v>#N/A</v>
      </c>
      <c r="L166" s="11">
        <f t="shared" si="5"/>
        <v>16</v>
      </c>
      <c r="M166" s="11" t="str">
        <f>VLOOKUP($G166, 'ADP Data'!$C$4:$Q$300, 9, FALSE)</f>
        <v>#N/A</v>
      </c>
      <c r="N166" s="11" t="str">
        <f t="shared" si="6"/>
        <v>#N/A</v>
      </c>
      <c r="O166" s="11" t="str">
        <f>VLOOKUP($G166, 'ADP Data'!$C$4:$Q$300, 3, FALSE)</f>
        <v>#N/A</v>
      </c>
      <c r="P166" s="11" t="str">
        <f t="shared" si="7"/>
        <v>#N/A</v>
      </c>
      <c r="Q166" s="11" t="str">
        <f>VLOOKUP($G166, 'ADP Data'!$C$4:$Q$300, 4, FALSE)</f>
        <v>#N/A</v>
      </c>
      <c r="R166" s="11" t="str">
        <f>VLOOKUP($G166, 'ADP Data'!$C$4:$Q$300, 5, FALSE)</f>
        <v>#N/A</v>
      </c>
      <c r="S166" s="11" t="str">
        <f>VLOOKUP($G166, 'ADP Data'!$C$4:$Q$300, 6, FALSE)</f>
        <v>#N/A</v>
      </c>
      <c r="T166" s="11" t="str">
        <f>VLOOKUP($G166, 'ADP Data'!$C$4:$Q$300, 7, FALSE)</f>
        <v>#N/A</v>
      </c>
      <c r="U166" s="11" t="str">
        <f>VLOOKUP($G166, 'ADP Data'!$C$4:$Q$300, 8, FALSE)</f>
        <v>#N/A</v>
      </c>
      <c r="V166" s="11" t="str">
        <f t="shared" si="8"/>
        <v>#N/A</v>
      </c>
      <c r="W166" s="11">
        <f t="shared" si="9"/>
        <v>16</v>
      </c>
      <c r="X166" s="11">
        <f t="shared" si="10"/>
        <v>-16</v>
      </c>
      <c r="Y166" s="11" t="str">
        <f>VLOOKUP($G166, SeanRanks!$A$2:$K$303, 10, FALSE)-V166</f>
        <v>#N/A</v>
      </c>
      <c r="Z166" s="29" t="str">
        <f>IF(VLOOKUP($G166, SeanRanks!$A$2:$H$303, 7, FALSE)=0, "", VLOOKUP($G166, SeanRanks!$A$2:$H$303, 7, FALSE))</f>
        <v>#N/A</v>
      </c>
    </row>
    <row r="167" ht="14.25" hidden="1" customHeight="1">
      <c r="A167" s="11"/>
      <c r="B167" s="11">
        <f t="shared" si="4"/>
        <v>14</v>
      </c>
      <c r="C167" s="11" t="s">
        <v>106</v>
      </c>
      <c r="D167" s="11"/>
      <c r="E167" s="11"/>
      <c r="F167" s="11" t="str">
        <f>VLOOKUP(G167, SeanRanks!$A$2:$E$302, 4, FALSE)</f>
        <v/>
      </c>
      <c r="G167" s="11" t="s">
        <v>502</v>
      </c>
      <c r="H167" s="11" t="str">
        <f>VLOOKUP($G167, 'ADP Data'!$C$4:$Q$300, 2, FALSE)</f>
        <v>PIT</v>
      </c>
      <c r="I167" s="11" t="str">
        <f>VLOOKUP(G167, 'ADP Data'!$C$4:$R$498, 12, FALSE)</f>
        <v>-</v>
      </c>
      <c r="J167" s="11" t="str">
        <f>VLOOKUP($G167, SeanRanks!$A$2:$H$303, 5, FALSE)</f>
        <v/>
      </c>
      <c r="K167" s="11" t="str">
        <f>IF(VLOOKUP($G167, SeanRanks!$A$2:$H$303, 6, FALSE)=0, "", VLOOKUP($G167, SeanRanks!$A$2:$H$303, 6, FALSE))</f>
        <v/>
      </c>
      <c r="L167" s="11">
        <f t="shared" si="5"/>
        <v>20</v>
      </c>
      <c r="M167" s="11">
        <f>VLOOKUP($G167, 'ADP Data'!$C$4:$Q$300, 9, FALSE)</f>
        <v>154</v>
      </c>
      <c r="N167" s="11">
        <f t="shared" si="6"/>
        <v>-3</v>
      </c>
      <c r="O167" s="11">
        <f>VLOOKUP($G167, 'ADP Data'!$C$4:$Q$300, 3, FALSE)</f>
        <v>132</v>
      </c>
      <c r="P167" s="11">
        <f t="shared" si="7"/>
        <v>22</v>
      </c>
      <c r="Q167" s="11">
        <f>VLOOKUP($G167, 'ADP Data'!$C$4:$Q$300, 4, FALSE)</f>
        <v>90</v>
      </c>
      <c r="R167" s="11">
        <f>VLOOKUP($G167, 'ADP Data'!$C$4:$Q$300, 5, FALSE)</f>
        <v>213</v>
      </c>
      <c r="S167" s="11">
        <f>VLOOKUP($G167, 'ADP Data'!$C$4:$Q$300, 6, FALSE)</f>
        <v>215</v>
      </c>
      <c r="T167" s="11">
        <f>VLOOKUP($G167, 'ADP Data'!$C$4:$Q$300, 7, FALSE)</f>
        <v>167</v>
      </c>
      <c r="U167" s="11">
        <f>VLOOKUP($G167, 'ADP Data'!$C$4:$Q$300, 8, FALSE)</f>
        <v>131</v>
      </c>
      <c r="V167" s="11">
        <f t="shared" si="8"/>
        <v>157</v>
      </c>
      <c r="W167" s="11">
        <f t="shared" si="9"/>
        <v>20</v>
      </c>
      <c r="X167" s="11">
        <f t="shared" si="10"/>
        <v>-20</v>
      </c>
      <c r="Y167" s="11">
        <f>VLOOKUP($G167, SeanRanks!$A$2:$K$303, 10, FALSE)-V167</f>
        <v>9</v>
      </c>
      <c r="Z167" s="29" t="str">
        <f>IF(VLOOKUP($G167, SeanRanks!$A$2:$H$303, 7, FALSE)=0, "", VLOOKUP($G167, SeanRanks!$A$2:$H$303, 7, FALSE))</f>
        <v/>
      </c>
    </row>
    <row r="168" ht="14.25" hidden="1" customHeight="1">
      <c r="A168" s="11"/>
      <c r="B168" s="11">
        <f t="shared" si="4"/>
        <v>18</v>
      </c>
      <c r="C168" s="11" t="s">
        <v>106</v>
      </c>
      <c r="D168" s="11"/>
      <c r="E168" s="11"/>
      <c r="F168" s="11" t="str">
        <f>VLOOKUP(G168, SeanRanks!$A$2:$E$302, 4, FALSE)</f>
        <v/>
      </c>
      <c r="G168" s="11" t="s">
        <v>623</v>
      </c>
      <c r="H168" s="11" t="str">
        <f>VLOOKUP($G168, 'ADP Data'!$C$4:$Q$300, 2, FALSE)</f>
        <v>LV</v>
      </c>
      <c r="I168" s="11">
        <f>VLOOKUP(G168, 'ADP Data'!$C$4:$R$498, 12, FALSE)</f>
        <v>163</v>
      </c>
      <c r="J168" s="11" t="str">
        <f>VLOOKUP($G168, SeanRanks!$A$2:$H$303, 5, FALSE)</f>
        <v/>
      </c>
      <c r="K168" s="11" t="str">
        <f>IF(VLOOKUP($G168, SeanRanks!$A$2:$H$303, 6, FALSE)=0, "", VLOOKUP($G168, SeanRanks!$A$2:$H$303, 6, FALSE))</f>
        <v>Don’t Draft - Streamer</v>
      </c>
      <c r="L168" s="11">
        <f t="shared" si="5"/>
        <v>29</v>
      </c>
      <c r="M168" s="11">
        <f>VLOOKUP($G168, 'ADP Data'!$C$4:$Q$300, 9, FALSE)</f>
        <v>228</v>
      </c>
      <c r="N168" s="11">
        <f t="shared" si="6"/>
        <v>22</v>
      </c>
      <c r="O168" s="11">
        <f>VLOOKUP($G168, 'ADP Data'!$C$4:$Q$300, 3, FALSE)</f>
        <v>176</v>
      </c>
      <c r="P168" s="11">
        <f t="shared" si="7"/>
        <v>52</v>
      </c>
      <c r="Q168" s="11">
        <f>VLOOKUP($G168, 'ADP Data'!$C$4:$Q$300, 4, FALSE)</f>
        <v>207</v>
      </c>
      <c r="R168" s="11">
        <f>VLOOKUP($G168, 'ADP Data'!$C$4:$Q$300, 5, FALSE)</f>
        <v>238</v>
      </c>
      <c r="S168" s="11">
        <f>VLOOKUP($G168, 'ADP Data'!$C$4:$Q$300, 6, FALSE)</f>
        <v>198</v>
      </c>
      <c r="T168" s="11">
        <f>VLOOKUP($G168, 'ADP Data'!$C$4:$Q$300, 7, FALSE)</f>
        <v>191</v>
      </c>
      <c r="U168" s="11">
        <f>VLOOKUP($G168, 'ADP Data'!$C$4:$Q$300, 8, FALSE)</f>
        <v>205</v>
      </c>
      <c r="V168" s="11">
        <f t="shared" si="8"/>
        <v>206</v>
      </c>
      <c r="W168" s="11">
        <f t="shared" si="9"/>
        <v>26</v>
      </c>
      <c r="X168" s="11">
        <f t="shared" si="10"/>
        <v>-26</v>
      </c>
      <c r="Y168" s="11">
        <f>VLOOKUP($G168, SeanRanks!$A$2:$K$303, 10, FALSE)-V168</f>
        <v>-61</v>
      </c>
      <c r="Z168" s="29" t="str">
        <f>IF(VLOOKUP($G168, SeanRanks!$A$2:$H$303, 7, FALSE)=0, "", VLOOKUP($G168, SeanRanks!$A$2:$H$303, 7, FALSE))</f>
        <v/>
      </c>
    </row>
    <row r="169" ht="14.25" hidden="1" customHeight="1">
      <c r="A169" s="11"/>
      <c r="B169" s="11">
        <f t="shared" si="4"/>
        <v>25</v>
      </c>
      <c r="C169" s="11" t="s">
        <v>106</v>
      </c>
      <c r="D169" s="11"/>
      <c r="E169" s="11"/>
      <c r="F169" s="11" t="str">
        <f>VLOOKUP(G169, SeanRanks!$A$2:$E$302, 4, FALSE)</f>
        <v/>
      </c>
      <c r="G169" s="11" t="s">
        <v>895</v>
      </c>
      <c r="H169" s="11" t="str">
        <f>VLOOKUP($G169, 'ADP Data'!$C$4:$Q$300, 2, FALSE)</f>
        <v>LAC</v>
      </c>
      <c r="I169" s="11">
        <f>VLOOKUP(G169, 'ADP Data'!$C$4:$R$498, 12, FALSE)</f>
        <v>270</v>
      </c>
      <c r="J169" s="11" t="str">
        <f>VLOOKUP($G169, SeanRanks!$A$2:$H$303, 5, FALSE)</f>
        <v/>
      </c>
      <c r="K169" s="11" t="str">
        <f>IF(VLOOKUP($G169, SeanRanks!$A$2:$H$303, 6, FALSE)=0, "", VLOOKUP($G169, SeanRanks!$A$2:$H$303, 6, FALSE))</f>
        <v/>
      </c>
      <c r="L169" s="11">
        <f t="shared" si="5"/>
        <v>39</v>
      </c>
      <c r="M169" s="11">
        <f>VLOOKUP($G169, 'ADP Data'!$C$4:$Q$300, 9, FALSE)</f>
        <v>311</v>
      </c>
      <c r="N169" s="11">
        <f t="shared" si="6"/>
        <v>14</v>
      </c>
      <c r="O169" s="11" t="str">
        <f>VLOOKUP($G169, 'ADP Data'!$C$4:$Q$300, 3, FALSE)</f>
        <v>-</v>
      </c>
      <c r="P169" s="11" t="str">
        <f t="shared" si="7"/>
        <v>#VALUE!</v>
      </c>
      <c r="Q169" s="11">
        <f>VLOOKUP($G169, 'ADP Data'!$C$4:$Q$300, 4, FALSE)</f>
        <v>326</v>
      </c>
      <c r="R169" s="11" t="str">
        <f>VLOOKUP($G169, 'ADP Data'!$C$4:$Q$300, 5, FALSE)</f>
        <v>-</v>
      </c>
      <c r="S169" s="11">
        <f>VLOOKUP($G169, 'ADP Data'!$C$4:$Q$300, 6, FALSE)</f>
        <v>291</v>
      </c>
      <c r="T169" s="11" t="str">
        <f>VLOOKUP($G169, 'ADP Data'!$C$4:$Q$300, 7, FALSE)</f>
        <v>-</v>
      </c>
      <c r="U169" s="11">
        <f>VLOOKUP($G169, 'ADP Data'!$C$4:$Q$300, 8, FALSE)</f>
        <v>262</v>
      </c>
      <c r="V169" s="11">
        <f t="shared" si="8"/>
        <v>297</v>
      </c>
      <c r="W169" s="11">
        <f t="shared" si="9"/>
        <v>38</v>
      </c>
      <c r="X169" s="11">
        <f t="shared" si="10"/>
        <v>-38</v>
      </c>
      <c r="Y169" s="11" t="str">
        <f>VLOOKUP($G169, SeanRanks!$A$2:$K$303, 10, FALSE)-V169</f>
        <v>#VALUE!</v>
      </c>
      <c r="Z169" s="29" t="str">
        <f>IF(VLOOKUP($G169, SeanRanks!$A$2:$H$303, 7, FALSE)=0, "", VLOOKUP($G169, SeanRanks!$A$2:$H$303, 7, FALSE))</f>
        <v/>
      </c>
    </row>
    <row r="170" ht="14.25" hidden="1" customHeight="1">
      <c r="A170" s="11"/>
      <c r="B170" s="11" t="str">
        <f t="shared" si="4"/>
        <v>#N/A</v>
      </c>
      <c r="C170" s="11" t="s">
        <v>106</v>
      </c>
      <c r="D170" s="11"/>
      <c r="E170" s="11"/>
      <c r="F170" s="11" t="str">
        <f>VLOOKUP(G170, SeanRanks!$A$2:$E$302, 4, FALSE)</f>
        <v>#N/A</v>
      </c>
      <c r="G170" s="11" t="s">
        <v>896</v>
      </c>
      <c r="H170" s="11" t="str">
        <f>VLOOKUP($G170, 'ADP Data'!$C$4:$Q$300, 2, FALSE)</f>
        <v>#N/A</v>
      </c>
      <c r="I170" s="11" t="str">
        <f>VLOOKUP(G170, 'ADP Data'!$C$4:$R$498, 12, FALSE)</f>
        <v>#N/A</v>
      </c>
      <c r="J170" s="11" t="str">
        <f>VLOOKUP($G170, SeanRanks!$A$2:$H$303, 5, FALSE)</f>
        <v>#N/A</v>
      </c>
      <c r="K170" s="11" t="str">
        <f>IF(VLOOKUP($G170, SeanRanks!$A$2:$H$303, 6, FALSE)=0, "", VLOOKUP($G170, SeanRanks!$A$2:$H$303, 6, FALSE))</f>
        <v>#N/A</v>
      </c>
      <c r="L170" s="11">
        <f t="shared" si="5"/>
        <v>16</v>
      </c>
      <c r="M170" s="11" t="str">
        <f>VLOOKUP($G170, 'ADP Data'!$C$4:$Q$300, 9, FALSE)</f>
        <v>#N/A</v>
      </c>
      <c r="N170" s="11" t="str">
        <f t="shared" si="6"/>
        <v>#N/A</v>
      </c>
      <c r="O170" s="11" t="str">
        <f>VLOOKUP($G170, 'ADP Data'!$C$4:$Q$300, 3, FALSE)</f>
        <v>#N/A</v>
      </c>
      <c r="P170" s="11" t="str">
        <f t="shared" si="7"/>
        <v>#N/A</v>
      </c>
      <c r="Q170" s="11" t="str">
        <f>VLOOKUP($G170, 'ADP Data'!$C$4:$Q$300, 4, FALSE)</f>
        <v>#N/A</v>
      </c>
      <c r="R170" s="11" t="str">
        <f>VLOOKUP($G170, 'ADP Data'!$C$4:$Q$300, 5, FALSE)</f>
        <v>#N/A</v>
      </c>
      <c r="S170" s="11" t="str">
        <f>VLOOKUP($G170, 'ADP Data'!$C$4:$Q$300, 6, FALSE)</f>
        <v>#N/A</v>
      </c>
      <c r="T170" s="11" t="str">
        <f>VLOOKUP($G170, 'ADP Data'!$C$4:$Q$300, 7, FALSE)</f>
        <v>#N/A</v>
      </c>
      <c r="U170" s="11" t="str">
        <f>VLOOKUP($G170, 'ADP Data'!$C$4:$Q$300, 8, FALSE)</f>
        <v>#N/A</v>
      </c>
      <c r="V170" s="11" t="str">
        <f t="shared" si="8"/>
        <v>#N/A</v>
      </c>
      <c r="W170" s="11">
        <f t="shared" si="9"/>
        <v>16</v>
      </c>
      <c r="X170" s="11">
        <f t="shared" si="10"/>
        <v>-16</v>
      </c>
      <c r="Y170" s="11" t="str">
        <f>VLOOKUP($G170, SeanRanks!$A$2:$K$303, 10, FALSE)-V170</f>
        <v>#N/A</v>
      </c>
      <c r="Z170" s="29" t="str">
        <f>IF(VLOOKUP($G170, SeanRanks!$A$2:$H$303, 7, FALSE)=0, "", VLOOKUP($G170, SeanRanks!$A$2:$H$303, 7, FALSE))</f>
        <v>#N/A</v>
      </c>
    </row>
    <row r="171" ht="14.25" hidden="1" customHeight="1">
      <c r="A171" s="11"/>
      <c r="B171" s="11" t="str">
        <f t="shared" si="4"/>
        <v>#N/A</v>
      </c>
      <c r="C171" s="11" t="s">
        <v>106</v>
      </c>
      <c r="D171" s="11"/>
      <c r="E171" s="11"/>
      <c r="F171" s="11" t="str">
        <f>VLOOKUP(G171, SeanRanks!$A$2:$E$302, 4, FALSE)</f>
        <v>#N/A</v>
      </c>
      <c r="G171" s="11" t="s">
        <v>813</v>
      </c>
      <c r="H171" s="11" t="str">
        <f>VLOOKUP($G171, 'ADP Data'!$C$4:$Q$300, 2, FALSE)</f>
        <v>#N/A</v>
      </c>
      <c r="I171" s="11" t="str">
        <f>VLOOKUP(G171, 'ADP Data'!$C$4:$R$498, 12, FALSE)</f>
        <v>#N/A</v>
      </c>
      <c r="J171" s="11" t="str">
        <f>VLOOKUP($G171, SeanRanks!$A$2:$H$303, 5, FALSE)</f>
        <v>#N/A</v>
      </c>
      <c r="K171" s="11" t="str">
        <f>IF(VLOOKUP($G171, SeanRanks!$A$2:$H$303, 6, FALSE)=0, "", VLOOKUP($G171, SeanRanks!$A$2:$H$303, 6, FALSE))</f>
        <v>#N/A</v>
      </c>
      <c r="L171" s="11">
        <f t="shared" si="5"/>
        <v>16</v>
      </c>
      <c r="M171" s="11" t="str">
        <f>VLOOKUP($G171, 'ADP Data'!$C$4:$Q$300, 9, FALSE)</f>
        <v>#N/A</v>
      </c>
      <c r="N171" s="11" t="str">
        <f t="shared" si="6"/>
        <v>#N/A</v>
      </c>
      <c r="O171" s="11" t="str">
        <f>VLOOKUP($G171, 'ADP Data'!$C$4:$Q$300, 3, FALSE)</f>
        <v>#N/A</v>
      </c>
      <c r="P171" s="11" t="str">
        <f t="shared" si="7"/>
        <v>#N/A</v>
      </c>
      <c r="Q171" s="11" t="str">
        <f>VLOOKUP($G171, 'ADP Data'!$C$4:$Q$300, 4, FALSE)</f>
        <v>#N/A</v>
      </c>
      <c r="R171" s="11" t="str">
        <f>VLOOKUP($G171, 'ADP Data'!$C$4:$Q$300, 5, FALSE)</f>
        <v>#N/A</v>
      </c>
      <c r="S171" s="11" t="str">
        <f>VLOOKUP($G171, 'ADP Data'!$C$4:$Q$300, 6, FALSE)</f>
        <v>#N/A</v>
      </c>
      <c r="T171" s="11" t="str">
        <f>VLOOKUP($G171, 'ADP Data'!$C$4:$Q$300, 7, FALSE)</f>
        <v>#N/A</v>
      </c>
      <c r="U171" s="11" t="str">
        <f>VLOOKUP($G171, 'ADP Data'!$C$4:$Q$300, 8, FALSE)</f>
        <v>#N/A</v>
      </c>
      <c r="V171" s="11" t="str">
        <f t="shared" si="8"/>
        <v>#N/A</v>
      </c>
      <c r="W171" s="11">
        <f t="shared" si="9"/>
        <v>16</v>
      </c>
      <c r="X171" s="11">
        <f t="shared" si="10"/>
        <v>-16</v>
      </c>
      <c r="Y171" s="11" t="str">
        <f>VLOOKUP($G171, SeanRanks!$A$2:$K$303, 10, FALSE)-V171</f>
        <v>#N/A</v>
      </c>
      <c r="Z171" s="29" t="str">
        <f>IF(VLOOKUP($G171, SeanRanks!$A$2:$H$303, 7, FALSE)=0, "", VLOOKUP($G171, SeanRanks!$A$2:$H$303, 7, FALSE))</f>
        <v>#N/A</v>
      </c>
    </row>
    <row r="172" ht="14.25" hidden="1" customHeight="1">
      <c r="A172" s="11"/>
      <c r="B172" s="11">
        <f t="shared" si="4"/>
        <v>15</v>
      </c>
      <c r="C172" s="11" t="s">
        <v>106</v>
      </c>
      <c r="D172" s="11"/>
      <c r="E172" s="11"/>
      <c r="F172" s="11" t="str">
        <f>VLOOKUP(G172, SeanRanks!$A$2:$E$302, 4, FALSE)</f>
        <v/>
      </c>
      <c r="G172" s="11" t="s">
        <v>626</v>
      </c>
      <c r="H172" s="11" t="str">
        <f>VLOOKUP($G172, 'ADP Data'!$C$4:$Q$300, 2, FALSE)</f>
        <v>BUF</v>
      </c>
      <c r="I172" s="11" t="str">
        <f>VLOOKUP(G172, 'ADP Data'!$C$4:$R$498, 12, FALSE)</f>
        <v>-</v>
      </c>
      <c r="J172" s="11" t="str">
        <f>VLOOKUP($G172, SeanRanks!$A$2:$H$303, 5, FALSE)</f>
        <v/>
      </c>
      <c r="K172" s="11" t="str">
        <f>IF(VLOOKUP($G172, SeanRanks!$A$2:$H$303, 6, FALSE)=0, "", VLOOKUP($G172, SeanRanks!$A$2:$H$303, 6, FALSE))</f>
        <v/>
      </c>
      <c r="L172" s="11">
        <f t="shared" si="5"/>
        <v>29</v>
      </c>
      <c r="M172" s="11">
        <f>VLOOKUP($G172, 'ADP Data'!$C$4:$Q$300, 9, FALSE)</f>
        <v>231</v>
      </c>
      <c r="N172" s="11">
        <f t="shared" si="6"/>
        <v>56</v>
      </c>
      <c r="O172" s="11">
        <f>VLOOKUP($G172, 'ADP Data'!$C$4:$Q$300, 3, FALSE)</f>
        <v>128</v>
      </c>
      <c r="P172" s="11">
        <f t="shared" si="7"/>
        <v>103</v>
      </c>
      <c r="Q172" s="11">
        <f>VLOOKUP($G172, 'ADP Data'!$C$4:$Q$300, 4, FALSE)</f>
        <v>153</v>
      </c>
      <c r="R172" s="11">
        <f>VLOOKUP($G172, 'ADP Data'!$C$4:$Q$300, 5, FALSE)</f>
        <v>218</v>
      </c>
      <c r="S172" s="11">
        <f>VLOOKUP($G172, 'ADP Data'!$C$4:$Q$300, 6, FALSE)</f>
        <v>224</v>
      </c>
      <c r="T172" s="11">
        <f>VLOOKUP($G172, 'ADP Data'!$C$4:$Q$300, 7, FALSE)</f>
        <v>179</v>
      </c>
      <c r="U172" s="11">
        <f>VLOOKUP($G172, 'ADP Data'!$C$4:$Q$300, 8, FALSE)</f>
        <v>92</v>
      </c>
      <c r="V172" s="11">
        <f t="shared" si="8"/>
        <v>175</v>
      </c>
      <c r="W172" s="11">
        <f t="shared" si="9"/>
        <v>22</v>
      </c>
      <c r="X172" s="11">
        <f t="shared" si="10"/>
        <v>-22</v>
      </c>
      <c r="Y172" s="11">
        <f>VLOOKUP($G172, SeanRanks!$A$2:$K$303, 10, FALSE)-V172</f>
        <v>15</v>
      </c>
      <c r="Z172" s="29" t="str">
        <f>IF(VLOOKUP($G172, SeanRanks!$A$2:$H$303, 7, FALSE)=0, "", VLOOKUP($G172, SeanRanks!$A$2:$H$303, 7, FALSE))</f>
        <v/>
      </c>
    </row>
    <row r="173" ht="14.25" hidden="1" customHeight="1">
      <c r="A173" s="11"/>
      <c r="B173" s="11">
        <f t="shared" si="4"/>
        <v>17</v>
      </c>
      <c r="C173" s="11" t="s">
        <v>106</v>
      </c>
      <c r="D173" s="11"/>
      <c r="E173" s="11"/>
      <c r="F173" s="11" t="str">
        <f>VLOOKUP(G173, SeanRanks!$A$2:$E$302, 4, FALSE)</f>
        <v/>
      </c>
      <c r="G173" s="11" t="s">
        <v>337</v>
      </c>
      <c r="H173" s="11" t="str">
        <f>VLOOKUP($G173, 'ADP Data'!$C$4:$Q$300, 2, FALSE)</f>
        <v>BAL</v>
      </c>
      <c r="I173" s="11">
        <f>VLOOKUP(G173, 'ADP Data'!$C$4:$R$498, 12, FALSE)</f>
        <v>186</v>
      </c>
      <c r="J173" s="11" t="str">
        <f>VLOOKUP($G173, SeanRanks!$A$2:$H$303, 5, FALSE)</f>
        <v/>
      </c>
      <c r="K173" s="11" t="str">
        <f>IF(VLOOKUP($G173, SeanRanks!$A$2:$H$303, 6, FALSE)=0, "", VLOOKUP($G173, SeanRanks!$A$2:$H$303, 6, FALSE))</f>
        <v/>
      </c>
      <c r="L173" s="11">
        <f t="shared" si="5"/>
        <v>22</v>
      </c>
      <c r="M173" s="11">
        <f>VLOOKUP($G173, 'ADP Data'!$C$4:$Q$300, 9, FALSE)</f>
        <v>175</v>
      </c>
      <c r="N173" s="11">
        <f t="shared" si="6"/>
        <v>-14</v>
      </c>
      <c r="O173" s="11">
        <f>VLOOKUP($G173, 'ADP Data'!$C$4:$Q$300, 3, FALSE)</f>
        <v>187</v>
      </c>
      <c r="P173" s="11">
        <f t="shared" si="7"/>
        <v>-12</v>
      </c>
      <c r="Q173" s="11">
        <f>VLOOKUP($G173, 'ADP Data'!$C$4:$Q$300, 4, FALSE)</f>
        <v>203</v>
      </c>
      <c r="R173" s="11">
        <f>VLOOKUP($G173, 'ADP Data'!$C$4:$Q$300, 5, FALSE)</f>
        <v>261</v>
      </c>
      <c r="S173" s="11">
        <f>VLOOKUP($G173, 'ADP Data'!$C$4:$Q$300, 6, FALSE)</f>
        <v>157</v>
      </c>
      <c r="T173" s="11">
        <f>VLOOKUP($G173, 'ADP Data'!$C$4:$Q$300, 7, FALSE)</f>
        <v>182</v>
      </c>
      <c r="U173" s="11">
        <f>VLOOKUP($G173, 'ADP Data'!$C$4:$Q$300, 8, FALSE)</f>
        <v>160</v>
      </c>
      <c r="V173" s="11">
        <f t="shared" si="8"/>
        <v>189</v>
      </c>
      <c r="W173" s="11">
        <f t="shared" si="9"/>
        <v>24</v>
      </c>
      <c r="X173" s="11">
        <f t="shared" si="10"/>
        <v>-24</v>
      </c>
      <c r="Y173" s="11">
        <f>VLOOKUP($G173, SeanRanks!$A$2:$K$303, 10, FALSE)-V173</f>
        <v>53</v>
      </c>
      <c r="Z173" s="29" t="str">
        <f>IF(VLOOKUP($G173, SeanRanks!$A$2:$H$303, 7, FALSE)=0, "", VLOOKUP($G173, SeanRanks!$A$2:$H$303, 7, FALSE))</f>
        <v/>
      </c>
    </row>
    <row r="174" ht="14.25" hidden="1" customHeight="1">
      <c r="A174" s="11"/>
      <c r="B174" s="11" t="str">
        <f t="shared" si="4"/>
        <v>#N/A</v>
      </c>
      <c r="C174" s="11" t="s">
        <v>106</v>
      </c>
      <c r="D174" s="11"/>
      <c r="E174" s="11"/>
      <c r="F174" s="11" t="str">
        <f>VLOOKUP(G174, SeanRanks!$A$2:$E$302, 4, FALSE)</f>
        <v>#N/A</v>
      </c>
      <c r="G174" s="11" t="s">
        <v>897</v>
      </c>
      <c r="H174" s="11" t="str">
        <f>VLOOKUP($G174, 'ADP Data'!$C$4:$Q$300, 2, FALSE)</f>
        <v>#N/A</v>
      </c>
      <c r="I174" s="11" t="str">
        <f>VLOOKUP(G174, 'ADP Data'!$C$4:$R$498, 12, FALSE)</f>
        <v>#N/A</v>
      </c>
      <c r="J174" s="11" t="str">
        <f>VLOOKUP($G174, SeanRanks!$A$2:$H$303, 5, FALSE)</f>
        <v>#N/A</v>
      </c>
      <c r="K174" s="11" t="str">
        <f>IF(VLOOKUP($G174, SeanRanks!$A$2:$H$303, 6, FALSE)=0, "", VLOOKUP($G174, SeanRanks!$A$2:$H$303, 6, FALSE))</f>
        <v>#N/A</v>
      </c>
      <c r="L174" s="11">
        <f t="shared" si="5"/>
        <v>16</v>
      </c>
      <c r="M174" s="11" t="str">
        <f>VLOOKUP($G174, 'ADP Data'!$C$4:$Q$300, 9, FALSE)</f>
        <v>#N/A</v>
      </c>
      <c r="N174" s="11" t="str">
        <f t="shared" si="6"/>
        <v>#N/A</v>
      </c>
      <c r="O174" s="11" t="str">
        <f>VLOOKUP($G174, 'ADP Data'!$C$4:$Q$300, 3, FALSE)</f>
        <v>#N/A</v>
      </c>
      <c r="P174" s="11" t="str">
        <f t="shared" si="7"/>
        <v>#N/A</v>
      </c>
      <c r="Q174" s="11"/>
      <c r="R174" s="11"/>
      <c r="S174" s="11"/>
      <c r="T174" s="11"/>
      <c r="U174" s="11"/>
      <c r="V174" s="11" t="str">
        <f t="shared" si="8"/>
        <v>#N/A</v>
      </c>
      <c r="W174" s="11">
        <f t="shared" si="9"/>
        <v>16</v>
      </c>
      <c r="X174" s="11">
        <f t="shared" si="10"/>
        <v>-16</v>
      </c>
      <c r="Y174" s="11" t="str">
        <f>VLOOKUP($G174, SeanRanks!$A$2:$K$303, 10, FALSE)-V174</f>
        <v>#N/A</v>
      </c>
      <c r="Z174" s="29" t="str">
        <f>IF(VLOOKUP($G174, SeanRanks!$A$2:$H$303, 7, FALSE)=0, "", VLOOKUP($G174, SeanRanks!$A$2:$H$303, 7, FALSE))</f>
        <v>#N/A</v>
      </c>
    </row>
    <row r="175" ht="14.25" hidden="1" customHeight="1">
      <c r="A175" s="11"/>
      <c r="B175" s="11">
        <f t="shared" si="4"/>
        <v>18</v>
      </c>
      <c r="C175" s="11" t="s">
        <v>106</v>
      </c>
      <c r="D175" s="11"/>
      <c r="E175" s="11"/>
      <c r="F175" s="11" t="str">
        <f>VLOOKUP(G175, SeanRanks!$A$2:$E$302, 4, FALSE)</f>
        <v/>
      </c>
      <c r="G175" s="11" t="s">
        <v>556</v>
      </c>
      <c r="H175" s="11" t="str">
        <f>VLOOKUP($G175, 'ADP Data'!$C$4:$Q$300, 2, FALSE)</f>
        <v>TB</v>
      </c>
      <c r="I175" s="11">
        <f>VLOOKUP(G175, 'ADP Data'!$C$4:$R$498, 12, FALSE)</f>
        <v>190</v>
      </c>
      <c r="J175" s="11" t="str">
        <f>VLOOKUP($G175, SeanRanks!$A$2:$H$303, 5, FALSE)</f>
        <v/>
      </c>
      <c r="K175" s="11" t="str">
        <f>IF(VLOOKUP($G175, SeanRanks!$A$2:$H$303, 6, FALSE)=0, "", VLOOKUP($G175, SeanRanks!$A$2:$H$303, 6, FALSE))</f>
        <v/>
      </c>
      <c r="L175" s="11">
        <f t="shared" si="5"/>
        <v>29</v>
      </c>
      <c r="M175" s="11">
        <f>VLOOKUP($G175, 'ADP Data'!$C$4:$Q$300, 9, FALSE)</f>
        <v>227</v>
      </c>
      <c r="N175" s="11">
        <f t="shared" si="6"/>
        <v>17</v>
      </c>
      <c r="O175" s="11" t="str">
        <f>VLOOKUP($G175, 'ADP Data'!$C$4:$Q$300, 3, FALSE)</f>
        <v>-</v>
      </c>
      <c r="P175" s="11" t="str">
        <f t="shared" si="7"/>
        <v>#VALUE!</v>
      </c>
      <c r="Q175" s="11">
        <f>VLOOKUP($G175, 'ADP Data'!$C$4:$Q$300, 4, FALSE)</f>
        <v>200</v>
      </c>
      <c r="R175" s="11">
        <f>VLOOKUP($G175, 'ADP Data'!$C$4:$Q$300, 5, FALSE)</f>
        <v>242</v>
      </c>
      <c r="S175" s="11">
        <f>VLOOKUP($G175, 'ADP Data'!$C$4:$Q$300, 6, FALSE)</f>
        <v>167</v>
      </c>
      <c r="T175" s="11">
        <f>VLOOKUP($G175, 'ADP Data'!$C$4:$Q$300, 7, FALSE)</f>
        <v>215</v>
      </c>
      <c r="U175" s="11">
        <f>VLOOKUP($G175, 'ADP Data'!$C$4:$Q$300, 8, FALSE)</f>
        <v>211</v>
      </c>
      <c r="V175" s="11">
        <f t="shared" si="8"/>
        <v>210</v>
      </c>
      <c r="W175" s="11">
        <f t="shared" si="9"/>
        <v>27</v>
      </c>
      <c r="X175" s="11">
        <f t="shared" si="10"/>
        <v>-27</v>
      </c>
      <c r="Y175" s="11" t="str">
        <f>VLOOKUP($G175, SeanRanks!$A$2:$K$303, 10, FALSE)-V175</f>
        <v>#VALUE!</v>
      </c>
      <c r="Z175" s="29" t="str">
        <f>IF(VLOOKUP($G175, SeanRanks!$A$2:$H$303, 7, FALSE)=0, "", VLOOKUP($G175, SeanRanks!$A$2:$H$303, 7, FALSE))</f>
        <v/>
      </c>
    </row>
    <row r="176" ht="14.25" hidden="1" customHeight="1">
      <c r="A176" s="11"/>
      <c r="B176" s="11" t="str">
        <f t="shared" si="4"/>
        <v>#N/A</v>
      </c>
      <c r="C176" s="11" t="s">
        <v>106</v>
      </c>
      <c r="D176" s="11"/>
      <c r="E176" s="11"/>
      <c r="F176" s="11" t="str">
        <f>VLOOKUP(G176, SeanRanks!$A$2:$E$302, 4, FALSE)</f>
        <v>#N/A</v>
      </c>
      <c r="G176" s="11" t="s">
        <v>898</v>
      </c>
      <c r="H176" s="11" t="str">
        <f>VLOOKUP($G176, 'ADP Data'!$C$4:$Q$300, 2, FALSE)</f>
        <v>#N/A</v>
      </c>
      <c r="I176" s="11" t="str">
        <f>VLOOKUP(G176, 'ADP Data'!$C$4:$R$498, 12, FALSE)</f>
        <v>#N/A</v>
      </c>
      <c r="J176" s="11" t="str">
        <f>VLOOKUP($G176, SeanRanks!$A$2:$H$303, 5, FALSE)</f>
        <v>#N/A</v>
      </c>
      <c r="K176" s="11" t="str">
        <f>IF(VLOOKUP($G176, SeanRanks!$A$2:$H$303, 6, FALSE)=0, "", VLOOKUP($G176, SeanRanks!$A$2:$H$303, 6, FALSE))</f>
        <v>#N/A</v>
      </c>
      <c r="L176" s="11">
        <f t="shared" si="5"/>
        <v>16</v>
      </c>
      <c r="M176" s="11" t="str">
        <f>VLOOKUP($G176, 'ADP Data'!$C$4:$Q$300, 9, FALSE)</f>
        <v>#N/A</v>
      </c>
      <c r="N176" s="11" t="str">
        <f t="shared" si="6"/>
        <v>#N/A</v>
      </c>
      <c r="O176" s="11" t="str">
        <f>VLOOKUP($G176, 'ADP Data'!$C$4:$Q$300, 3, FALSE)</f>
        <v>#N/A</v>
      </c>
      <c r="P176" s="11" t="str">
        <f t="shared" si="7"/>
        <v>#N/A</v>
      </c>
      <c r="Q176" s="11" t="str">
        <f>VLOOKUP($G176, 'ADP Data'!$C$4:$Q$300, 4, FALSE)</f>
        <v>#N/A</v>
      </c>
      <c r="R176" s="11" t="str">
        <f>VLOOKUP($G176, 'ADP Data'!$C$4:$Q$300, 5, FALSE)</f>
        <v>#N/A</v>
      </c>
      <c r="S176" s="11" t="str">
        <f>VLOOKUP($G176, 'ADP Data'!$C$4:$Q$300, 6, FALSE)</f>
        <v>#N/A</v>
      </c>
      <c r="T176" s="11" t="str">
        <f>VLOOKUP($G176, 'ADP Data'!$C$4:$Q$300, 7, FALSE)</f>
        <v>#N/A</v>
      </c>
      <c r="U176" s="11" t="str">
        <f>VLOOKUP($G176, 'ADP Data'!$C$4:$Q$300, 8, FALSE)</f>
        <v>#N/A</v>
      </c>
      <c r="V176" s="11" t="str">
        <f t="shared" si="8"/>
        <v>#N/A</v>
      </c>
      <c r="W176" s="11">
        <f t="shared" si="9"/>
        <v>16</v>
      </c>
      <c r="X176" s="11">
        <f t="shared" si="10"/>
        <v>-16</v>
      </c>
      <c r="Y176" s="11" t="str">
        <f>VLOOKUP($G176, SeanRanks!$A$2:$K$303, 10, FALSE)-V176</f>
        <v>#N/A</v>
      </c>
      <c r="Z176" s="29" t="str">
        <f>IF(VLOOKUP($G176, SeanRanks!$A$2:$H$303, 7, FALSE)=0, "", VLOOKUP($G176, SeanRanks!$A$2:$H$303, 7, FALSE))</f>
        <v>#N/A</v>
      </c>
    </row>
    <row r="177" ht="14.25" hidden="1" customHeight="1">
      <c r="A177" s="11"/>
      <c r="B177" s="11">
        <f t="shared" si="4"/>
        <v>23</v>
      </c>
      <c r="C177" s="11" t="s">
        <v>106</v>
      </c>
      <c r="D177" s="11"/>
      <c r="E177" s="11"/>
      <c r="F177" s="11" t="str">
        <f>VLOOKUP(G177, SeanRanks!$A$2:$E$302, 4, FALSE)</f>
        <v/>
      </c>
      <c r="G177" s="11" t="s">
        <v>273</v>
      </c>
      <c r="H177" s="11" t="str">
        <f>VLOOKUP($G177, 'ADP Data'!$C$4:$Q$300, 2, FALSE)</f>
        <v>ARI</v>
      </c>
      <c r="I177" s="11">
        <f>VLOOKUP(G177, 'ADP Data'!$C$4:$R$498, 12, FALSE)</f>
        <v>219</v>
      </c>
      <c r="J177" s="11" t="str">
        <f>VLOOKUP($G177, SeanRanks!$A$2:$H$303, 5, FALSE)</f>
        <v/>
      </c>
      <c r="K177" s="11" t="str">
        <f>IF(VLOOKUP($G177, SeanRanks!$A$2:$H$303, 6, FALSE)=0, "", VLOOKUP($G177, SeanRanks!$A$2:$H$303, 6, FALSE))</f>
        <v/>
      </c>
      <c r="L177" s="11">
        <f t="shared" si="5"/>
        <v>32</v>
      </c>
      <c r="M177" s="11">
        <f>VLOOKUP($G177, 'ADP Data'!$C$4:$Q$300, 9, FALSE)</f>
        <v>252</v>
      </c>
      <c r="N177" s="11">
        <f t="shared" si="6"/>
        <v>-12</v>
      </c>
      <c r="O177" s="11" t="str">
        <f>VLOOKUP($G177, 'ADP Data'!$C$4:$Q$300, 3, FALSE)</f>
        <v>-</v>
      </c>
      <c r="P177" s="11" t="str">
        <f t="shared" si="7"/>
        <v>#VALUE!</v>
      </c>
      <c r="Q177" s="11" t="str">
        <f>VLOOKUP($G177, 'ADP Data'!$C$4:$Q$300, 4, FALSE)</f>
        <v>-</v>
      </c>
      <c r="R177" s="11">
        <f>VLOOKUP($G177, 'ADP Data'!$C$4:$Q$300, 5, FALSE)</f>
        <v>304</v>
      </c>
      <c r="S177" s="11">
        <f>VLOOKUP($G177, 'ADP Data'!$C$4:$Q$300, 6, FALSE)</f>
        <v>218</v>
      </c>
      <c r="T177" s="11">
        <f>VLOOKUP($G177, 'ADP Data'!$C$4:$Q$300, 7, FALSE)</f>
        <v>213</v>
      </c>
      <c r="U177" s="11">
        <f>VLOOKUP($G177, 'ADP Data'!$C$4:$Q$300, 8, FALSE)</f>
        <v>335</v>
      </c>
      <c r="V177" s="11">
        <f t="shared" si="8"/>
        <v>264</v>
      </c>
      <c r="W177" s="11">
        <f t="shared" si="9"/>
        <v>34</v>
      </c>
      <c r="X177" s="11">
        <f t="shared" si="10"/>
        <v>-34</v>
      </c>
      <c r="Y177" s="11">
        <f>VLOOKUP($G177, SeanRanks!$A$2:$K$303, 10, FALSE)-V177</f>
        <v>-23</v>
      </c>
      <c r="Z177" s="29" t="str">
        <f>IF(VLOOKUP($G177, SeanRanks!$A$2:$H$303, 7, FALSE)=0, "", VLOOKUP($G177, SeanRanks!$A$2:$H$303, 7, FALSE))</f>
        <v/>
      </c>
    </row>
    <row r="178" ht="14.25" hidden="1" customHeight="1">
      <c r="A178" s="11"/>
      <c r="B178" s="11">
        <f t="shared" si="4"/>
        <v>15</v>
      </c>
      <c r="C178" s="11" t="s">
        <v>106</v>
      </c>
      <c r="D178" s="11"/>
      <c r="E178" s="11"/>
      <c r="F178" s="11" t="str">
        <f>VLOOKUP(G178, SeanRanks!$A$2:$E$302, 4, FALSE)</f>
        <v/>
      </c>
      <c r="G178" s="11" t="s">
        <v>405</v>
      </c>
      <c r="H178" s="11" t="str">
        <f>VLOOKUP($G178, 'ADP Data'!$C$4:$Q$300, 2, FALSE)</f>
        <v>NE</v>
      </c>
      <c r="I178" s="11">
        <f>VLOOKUP(G178, 'ADP Data'!$C$4:$R$498, 12, FALSE)</f>
        <v>160</v>
      </c>
      <c r="J178" s="11" t="str">
        <f>VLOOKUP($G178, SeanRanks!$A$2:$H$303, 5, FALSE)</f>
        <v/>
      </c>
      <c r="K178" s="11" t="str">
        <f>IF(VLOOKUP($G178, SeanRanks!$A$2:$H$303, 6, FALSE)=0, "", VLOOKUP($G178, SeanRanks!$A$2:$H$303, 6, FALSE))</f>
        <v/>
      </c>
      <c r="L178" s="11">
        <f t="shared" si="5"/>
        <v>22</v>
      </c>
      <c r="M178" s="11">
        <f>VLOOKUP($G178, 'ADP Data'!$C$4:$Q$300, 9, FALSE)</f>
        <v>169</v>
      </c>
      <c r="N178" s="11">
        <f t="shared" si="6"/>
        <v>0</v>
      </c>
      <c r="O178" s="11">
        <f>VLOOKUP($G178, 'ADP Data'!$C$4:$Q$300, 3, FALSE)</f>
        <v>155</v>
      </c>
      <c r="P178" s="11">
        <f t="shared" si="7"/>
        <v>14</v>
      </c>
      <c r="Q178" s="11">
        <f>VLOOKUP($G178, 'ADP Data'!$C$4:$Q$300, 4, FALSE)</f>
        <v>155</v>
      </c>
      <c r="R178" s="11">
        <f>VLOOKUP($G178, 'ADP Data'!$C$4:$Q$300, 5, FALSE)</f>
        <v>225</v>
      </c>
      <c r="S178" s="11">
        <f>VLOOKUP($G178, 'ADP Data'!$C$4:$Q$300, 6, FALSE)</f>
        <v>140</v>
      </c>
      <c r="T178" s="11">
        <f>VLOOKUP($G178, 'ADP Data'!$C$4:$Q$300, 7, FALSE)</f>
        <v>168</v>
      </c>
      <c r="U178" s="11">
        <f>VLOOKUP($G178, 'ADP Data'!$C$4:$Q$300, 8, FALSE)</f>
        <v>173</v>
      </c>
      <c r="V178" s="11">
        <f t="shared" si="8"/>
        <v>169</v>
      </c>
      <c r="W178" s="11">
        <f t="shared" si="9"/>
        <v>22</v>
      </c>
      <c r="X178" s="11">
        <f t="shared" si="10"/>
        <v>-22</v>
      </c>
      <c r="Y178" s="11">
        <f>VLOOKUP($G178, SeanRanks!$A$2:$K$303, 10, FALSE)-V178</f>
        <v>-35</v>
      </c>
      <c r="Z178" s="29" t="str">
        <f>IF(VLOOKUP($G178, SeanRanks!$A$2:$H$303, 7, FALSE)=0, "", VLOOKUP($G178, SeanRanks!$A$2:$H$303, 7, FALSE))</f>
        <v/>
      </c>
    </row>
    <row r="179" ht="14.25" customHeight="1">
      <c r="A179" s="11"/>
      <c r="B179" s="11">
        <f t="shared" si="4"/>
        <v>23</v>
      </c>
      <c r="C179" s="11" t="s">
        <v>106</v>
      </c>
      <c r="D179" s="11"/>
      <c r="E179" s="11"/>
      <c r="F179" s="11" t="str">
        <f>VLOOKUP(G179, SeanRanks!$A$2:$E$302, 4, FALSE)</f>
        <v/>
      </c>
      <c r="G179" s="11" t="s">
        <v>439</v>
      </c>
      <c r="H179" s="11" t="str">
        <f>VLOOKUP($G179, 'ADP Data'!$C$4:$Q$300, 2, FALSE)</f>
        <v>GB</v>
      </c>
      <c r="I179" s="11">
        <f>VLOOKUP(G179, 'ADP Data'!$C$4:$R$498, 12, FALSE)</f>
        <v>280</v>
      </c>
      <c r="J179" s="59" t="str">
        <f>VLOOKUP($G179, SeanRanks!$A$2:$H$303, 5, FALSE)</f>
        <v/>
      </c>
      <c r="K179" s="11" t="str">
        <f>IF(VLOOKUP($G179, SeanRanks!$A$2:$H$303, 6, FALSE)=0, "", VLOOKUP($G179, SeanRanks!$A$2:$H$303, 6, FALSE))</f>
        <v>RB5 - 1 - upside</v>
      </c>
      <c r="L179" s="11">
        <f t="shared" si="5"/>
        <v>31</v>
      </c>
      <c r="M179" s="11">
        <f>VLOOKUP($G179, 'ADP Data'!$C$4:$Q$300, 9, FALSE)</f>
        <v>247</v>
      </c>
      <c r="N179" s="11">
        <f t="shared" si="6"/>
        <v>-22</v>
      </c>
      <c r="O179" s="11" t="str">
        <f>VLOOKUP($G179, 'ADP Data'!$C$4:$Q$300, 3, FALSE)</f>
        <v>-</v>
      </c>
      <c r="P179" s="11" t="str">
        <f t="shared" si="7"/>
        <v>#VALUE!</v>
      </c>
      <c r="Q179" s="11" t="str">
        <f>VLOOKUP($G179, 'ADP Data'!$C$4:$Q$300, 4, FALSE)</f>
        <v>-</v>
      </c>
      <c r="R179" s="11">
        <f>VLOOKUP($G179, 'ADP Data'!$C$4:$Q$300, 5, FALSE)</f>
        <v>296</v>
      </c>
      <c r="S179" s="11">
        <f>VLOOKUP($G179, 'ADP Data'!$C$4:$Q$300, 6, FALSE)</f>
        <v>255</v>
      </c>
      <c r="T179" s="11">
        <f>VLOOKUP($G179, 'ADP Data'!$C$4:$Q$300, 7, FALSE)</f>
        <v>235</v>
      </c>
      <c r="U179" s="11">
        <f>VLOOKUP($G179, 'ADP Data'!$C$4:$Q$300, 8, FALSE)</f>
        <v>315</v>
      </c>
      <c r="V179" s="11">
        <f t="shared" si="8"/>
        <v>269</v>
      </c>
      <c r="W179" s="11">
        <f t="shared" si="9"/>
        <v>34</v>
      </c>
      <c r="X179" s="11">
        <f t="shared" si="10"/>
        <v>-34</v>
      </c>
      <c r="Y179" s="11">
        <f>VLOOKUP($G179, SeanRanks!$A$2:$K$303, 10, FALSE)-V179</f>
        <v>-62</v>
      </c>
      <c r="Z179" s="29">
        <f>IF(VLOOKUP($G179, SeanRanks!$A$2:$H$303, 7, FALSE)=0, "", VLOOKUP($G179, SeanRanks!$A$2:$H$303, 7, FALSE))</f>
        <v>53</v>
      </c>
    </row>
    <row r="180" ht="14.25" hidden="1" customHeight="1">
      <c r="A180" s="11"/>
      <c r="B180" s="11">
        <f t="shared" si="4"/>
        <v>11</v>
      </c>
      <c r="C180" s="11" t="s">
        <v>106</v>
      </c>
      <c r="D180" s="11"/>
      <c r="E180" s="11"/>
      <c r="F180" s="11" t="str">
        <f>VLOOKUP(G180, SeanRanks!$A$2:$E$302, 4, FALSE)</f>
        <v/>
      </c>
      <c r="G180" s="11" t="s">
        <v>543</v>
      </c>
      <c r="H180" s="11" t="str">
        <f>VLOOKUP($G180, 'ADP Data'!$C$4:$Q$300, 2, FALSE)</f>
        <v>DAL</v>
      </c>
      <c r="I180" s="11" t="str">
        <f>VLOOKUP(G180, 'ADP Data'!$C$4:$R$498, 12, FALSE)</f>
        <v>-</v>
      </c>
      <c r="J180" s="11" t="str">
        <f>VLOOKUP($G180, SeanRanks!$A$2:$H$303, 5, FALSE)</f>
        <v/>
      </c>
      <c r="K180" s="11" t="str">
        <f>IF(VLOOKUP($G180, SeanRanks!$A$2:$H$303, 6, FALSE)=0, "", VLOOKUP($G180, SeanRanks!$A$2:$H$303, 6, FALSE))</f>
        <v/>
      </c>
      <c r="L180" s="11">
        <f t="shared" si="5"/>
        <v>17</v>
      </c>
      <c r="M180" s="11">
        <f>VLOOKUP($G180, 'ADP Data'!$C$4:$Q$300, 9, FALSE)</f>
        <v>131</v>
      </c>
      <c r="N180" s="11">
        <f t="shared" si="6"/>
        <v>14</v>
      </c>
      <c r="O180" s="11">
        <f>VLOOKUP($G180, 'ADP Data'!$C$4:$Q$300, 3, FALSE)</f>
        <v>104</v>
      </c>
      <c r="P180" s="11">
        <f t="shared" si="7"/>
        <v>27</v>
      </c>
      <c r="Q180" s="11"/>
      <c r="R180" s="11"/>
      <c r="S180" s="11"/>
      <c r="T180" s="11"/>
      <c r="U180" s="11"/>
      <c r="V180" s="11">
        <f t="shared" si="8"/>
        <v>117</v>
      </c>
      <c r="W180" s="11">
        <f t="shared" si="9"/>
        <v>15</v>
      </c>
      <c r="X180" s="11">
        <f t="shared" si="10"/>
        <v>-15</v>
      </c>
      <c r="Y180" s="11">
        <f>VLOOKUP($G180, SeanRanks!$A$2:$K$303, 10, FALSE)-V180</f>
        <v>64</v>
      </c>
      <c r="Z180" s="29" t="str">
        <f>IF(VLOOKUP($G180, SeanRanks!$A$2:$H$303, 7, FALSE)=0, "", VLOOKUP($G180, SeanRanks!$A$2:$H$303, 7, FALSE))</f>
        <v/>
      </c>
    </row>
    <row r="181" ht="14.25" hidden="1" customHeight="1">
      <c r="A181" s="11"/>
      <c r="B181" s="11">
        <f t="shared" si="4"/>
        <v>18</v>
      </c>
      <c r="C181" s="11" t="s">
        <v>106</v>
      </c>
      <c r="D181" s="11"/>
      <c r="E181" s="11"/>
      <c r="F181" s="11" t="str">
        <f>VLOOKUP(G181, SeanRanks!$A$2:$E$302, 4, FALSE)</f>
        <v/>
      </c>
      <c r="G181" s="11" t="s">
        <v>630</v>
      </c>
      <c r="H181" s="11" t="str">
        <f>VLOOKUP($G181, 'ADP Data'!$C$4:$Q$300, 2, FALSE)</f>
        <v>CHI</v>
      </c>
      <c r="I181" s="11" t="str">
        <f>VLOOKUP(G181, 'ADP Data'!$C$4:$R$498, 12, FALSE)</f>
        <v>-</v>
      </c>
      <c r="J181" s="11" t="str">
        <f>VLOOKUP($G181, SeanRanks!$A$2:$H$303, 5, FALSE)</f>
        <v/>
      </c>
      <c r="K181" s="11" t="str">
        <f>IF(VLOOKUP($G181, SeanRanks!$A$2:$H$303, 6, FALSE)=0, "", VLOOKUP($G181, SeanRanks!$A$2:$H$303, 6, FALSE))</f>
        <v/>
      </c>
      <c r="L181" s="11">
        <f t="shared" si="5"/>
        <v>16</v>
      </c>
      <c r="M181" s="11" t="str">
        <f>VLOOKUP($G181, 'ADP Data'!$C$4:$Q$300, 9, FALSE)</f>
        <v>-</v>
      </c>
      <c r="N181" s="11" t="str">
        <f t="shared" si="6"/>
        <v>#VALUE!</v>
      </c>
      <c r="O181" s="11">
        <f>VLOOKUP($G181, 'ADP Data'!$C$4:$Q$300, 3, FALSE)</f>
        <v>212</v>
      </c>
      <c r="P181" s="11" t="str">
        <f t="shared" si="7"/>
        <v>#VALUE!</v>
      </c>
      <c r="Q181" s="11">
        <f>VLOOKUP($G181, 'ADP Data'!$C$4:$Q$300, 4, FALSE)</f>
        <v>220</v>
      </c>
      <c r="R181" s="11" t="str">
        <f>VLOOKUP($G181, 'ADP Data'!$C$4:$Q$300, 5, FALSE)</f>
        <v>-</v>
      </c>
      <c r="S181" s="11">
        <f>VLOOKUP($G181, 'ADP Data'!$C$4:$Q$300, 6, FALSE)</f>
        <v>296</v>
      </c>
      <c r="T181" s="11">
        <f>VLOOKUP($G181, 'ADP Data'!$C$4:$Q$300, 7, FALSE)</f>
        <v>246</v>
      </c>
      <c r="U181" s="11">
        <f>VLOOKUP($G181, 'ADP Data'!$C$4:$Q$300, 8, FALSE)</f>
        <v>83</v>
      </c>
      <c r="V181" s="11">
        <f t="shared" si="8"/>
        <v>211</v>
      </c>
      <c r="W181" s="11">
        <f t="shared" si="9"/>
        <v>27</v>
      </c>
      <c r="X181" s="11">
        <f t="shared" si="10"/>
        <v>-27</v>
      </c>
      <c r="Y181" s="11" t="str">
        <f>VLOOKUP($G181, SeanRanks!$A$2:$K$303, 10, FALSE)-V181</f>
        <v>#VALUE!</v>
      </c>
      <c r="Z181" s="29" t="str">
        <f>IF(VLOOKUP($G181, SeanRanks!$A$2:$H$303, 7, FALSE)=0, "", VLOOKUP($G181, SeanRanks!$A$2:$H$303, 7, FALSE))</f>
        <v/>
      </c>
    </row>
    <row r="182" ht="14.25" customHeight="1">
      <c r="A182" s="11"/>
      <c r="B182" s="11">
        <f t="shared" si="4"/>
        <v>2</v>
      </c>
      <c r="C182" s="11" t="s">
        <v>106</v>
      </c>
      <c r="D182" s="11"/>
      <c r="E182" s="11"/>
      <c r="F182" s="11" t="str">
        <f>VLOOKUP(G182, SeanRanks!$A$2:$E$302, 4, FALSE)</f>
        <v/>
      </c>
      <c r="G182" s="11" t="s">
        <v>199</v>
      </c>
      <c r="H182" s="11" t="str">
        <f>VLOOKUP($G182, 'ADP Data'!$C$4:$Q$300, 2, FALSE)</f>
        <v>TB</v>
      </c>
      <c r="I182" s="11">
        <f>VLOOKUP(G182, 'ADP Data'!$C$4:$R$498, 12, FALSE)</f>
        <v>21</v>
      </c>
      <c r="J182" s="11" t="str">
        <f>VLOOKUP($G182, SeanRanks!$A$2:$H$303, 5, FALSE)</f>
        <v/>
      </c>
      <c r="K182" s="11" t="str">
        <f>IF(VLOOKUP($G182, SeanRanks!$A$2:$H$303, 6, FALSE)=0, "", VLOOKUP($G182, SeanRanks!$A$2:$H$303, 6, FALSE))</f>
        <v>RB1 - 2 - Elite ceiling/questions</v>
      </c>
      <c r="L182" s="11">
        <f t="shared" si="5"/>
        <v>3</v>
      </c>
      <c r="M182" s="11">
        <f>VLOOKUP($G182, 'ADP Data'!$C$4:$Q$300, 9, FALSE)</f>
        <v>22</v>
      </c>
      <c r="N182" s="11">
        <f t="shared" si="6"/>
        <v>0</v>
      </c>
      <c r="O182" s="11">
        <f>VLOOKUP($G182, 'ADP Data'!$C$4:$Q$300, 3, FALSE)</f>
        <v>22</v>
      </c>
      <c r="P182" s="11">
        <f t="shared" si="7"/>
        <v>0</v>
      </c>
      <c r="Q182" s="11">
        <f>VLOOKUP($G182, 'ADP Data'!$C$4:$Q$300, 4, FALSE)</f>
        <v>22</v>
      </c>
      <c r="R182" s="11">
        <f>VLOOKUP($G182, 'ADP Data'!$C$4:$Q$300, 5, FALSE)</f>
        <v>25</v>
      </c>
      <c r="S182" s="11">
        <f>VLOOKUP($G182, 'ADP Data'!$C$4:$Q$300, 6, FALSE)</f>
        <v>20</v>
      </c>
      <c r="T182" s="11">
        <f>VLOOKUP($G182, 'ADP Data'!$C$4:$Q$300, 7, FALSE)</f>
        <v>19</v>
      </c>
      <c r="U182" s="11">
        <f>VLOOKUP($G182, 'ADP Data'!$C$4:$Q$300, 8, FALSE)</f>
        <v>24</v>
      </c>
      <c r="V182" s="11">
        <f t="shared" si="8"/>
        <v>22</v>
      </c>
      <c r="W182" s="11">
        <f t="shared" si="9"/>
        <v>3</v>
      </c>
      <c r="X182" s="11">
        <f t="shared" si="10"/>
        <v>-3</v>
      </c>
      <c r="Y182" s="11">
        <f>VLOOKUP($G182, SeanRanks!$A$2:$K$303, 10, FALSE)-V182</f>
        <v>-5</v>
      </c>
      <c r="Z182" s="29">
        <f>IF(VLOOKUP($G182, SeanRanks!$A$2:$H$303, 7, FALSE)=0, "", VLOOKUP($G182, SeanRanks!$A$2:$H$303, 7, FALSE))</f>
        <v>9</v>
      </c>
    </row>
    <row r="183" ht="14.25" hidden="1" customHeight="1">
      <c r="A183" s="11"/>
      <c r="B183" s="11">
        <f t="shared" si="4"/>
        <v>15</v>
      </c>
      <c r="C183" s="11" t="s">
        <v>106</v>
      </c>
      <c r="D183" s="11"/>
      <c r="E183" s="11"/>
      <c r="F183" s="11" t="str">
        <f>VLOOKUP(G183, SeanRanks!$A$2:$E$302, 4, FALSE)</f>
        <v/>
      </c>
      <c r="G183" s="11" t="s">
        <v>584</v>
      </c>
      <c r="H183" s="11" t="str">
        <f>VLOOKUP($G183, 'ADP Data'!$C$4:$Q$300, 2, FALSE)</f>
        <v>BAL</v>
      </c>
      <c r="I183" s="11">
        <f>VLOOKUP(G183, 'ADP Data'!$C$4:$R$498, 12, FALSE)</f>
        <v>123</v>
      </c>
      <c r="J183" s="11" t="str">
        <f>VLOOKUP($G183, SeanRanks!$A$2:$H$303, 5, FALSE)</f>
        <v/>
      </c>
      <c r="K183" s="11" t="str">
        <f>IF(VLOOKUP($G183, SeanRanks!$A$2:$H$303, 6, FALSE)=0, "", VLOOKUP($G183, SeanRanks!$A$2:$H$303, 6, FALSE))</f>
        <v>WR5 - 1 - upside path</v>
      </c>
      <c r="L183" s="11">
        <f t="shared" si="5"/>
        <v>20</v>
      </c>
      <c r="M183" s="11">
        <f>VLOOKUP($G183, 'ADP Data'!$C$4:$Q$300, 9, FALSE)</f>
        <v>152</v>
      </c>
      <c r="N183" s="11">
        <f t="shared" si="6"/>
        <v>-10</v>
      </c>
      <c r="O183" s="11">
        <f>VLOOKUP($G183, 'ADP Data'!$C$4:$Q$300, 3, FALSE)</f>
        <v>144</v>
      </c>
      <c r="P183" s="11">
        <f t="shared" si="7"/>
        <v>8</v>
      </c>
      <c r="Q183" s="11">
        <f>VLOOKUP($G183, 'ADP Data'!$C$4:$Q$300, 4, FALSE)</f>
        <v>176</v>
      </c>
      <c r="R183" s="11">
        <f>VLOOKUP($G183, 'ADP Data'!$C$4:$Q$300, 5, FALSE)</f>
        <v>198</v>
      </c>
      <c r="S183" s="11">
        <f>VLOOKUP($G183, 'ADP Data'!$C$4:$Q$300, 6, FALSE)</f>
        <v>153</v>
      </c>
      <c r="T183" s="11">
        <f>VLOOKUP($G183, 'ADP Data'!$C$4:$Q$300, 7, FALSE)</f>
        <v>128</v>
      </c>
      <c r="U183" s="11">
        <f>VLOOKUP($G183, 'ADP Data'!$C$4:$Q$300, 8, FALSE)</f>
        <v>185</v>
      </c>
      <c r="V183" s="11">
        <f t="shared" si="8"/>
        <v>162</v>
      </c>
      <c r="W183" s="11">
        <f t="shared" si="9"/>
        <v>21</v>
      </c>
      <c r="X183" s="11">
        <f t="shared" si="10"/>
        <v>-21</v>
      </c>
      <c r="Y183" s="11">
        <f>VLOOKUP($G183, SeanRanks!$A$2:$K$303, 10, FALSE)-V183</f>
        <v>-36</v>
      </c>
      <c r="Z183" s="29">
        <f>IF(VLOOKUP($G183, SeanRanks!$A$2:$H$303, 7, FALSE)=0, "", VLOOKUP($G183, SeanRanks!$A$2:$H$303, 7, FALSE))</f>
        <v>52</v>
      </c>
    </row>
    <row r="184" ht="14.25" hidden="1" customHeight="1">
      <c r="A184" s="11"/>
      <c r="B184" s="11">
        <f t="shared" si="4"/>
        <v>15</v>
      </c>
      <c r="C184" s="11" t="s">
        <v>106</v>
      </c>
      <c r="D184" s="11"/>
      <c r="E184" s="11"/>
      <c r="F184" s="11" t="str">
        <f>VLOOKUP(G184, SeanRanks!$A$2:$E$302, 4, FALSE)</f>
        <v/>
      </c>
      <c r="G184" s="11" t="s">
        <v>899</v>
      </c>
      <c r="H184" s="11" t="str">
        <f>VLOOKUP($G184, 'ADP Data'!$C$4:$Q$300, 2, FALSE)</f>
        <v>CAR</v>
      </c>
      <c r="I184" s="11">
        <f>VLOOKUP(G184, 'ADP Data'!$C$4:$R$498, 12, FALSE)</f>
        <v>161</v>
      </c>
      <c r="J184" s="11" t="str">
        <f>VLOOKUP($G184, SeanRanks!$A$2:$H$303, 5, FALSE)</f>
        <v/>
      </c>
      <c r="K184" s="11" t="str">
        <f>IF(VLOOKUP($G184, SeanRanks!$A$2:$H$303, 6, FALSE)=0, "", VLOOKUP($G184, SeanRanks!$A$2:$H$303, 6, FALSE))</f>
        <v>WR5 - 1 - upside path</v>
      </c>
      <c r="L184" s="11">
        <f t="shared" si="5"/>
        <v>25</v>
      </c>
      <c r="M184" s="11">
        <f>VLOOKUP($G184, 'ADP Data'!$C$4:$Q$300, 9, FALSE)</f>
        <v>196</v>
      </c>
      <c r="N184" s="11">
        <f t="shared" si="6"/>
        <v>13</v>
      </c>
      <c r="O184" s="11">
        <f>VLOOKUP($G184, 'ADP Data'!$C$4:$Q$300, 3, FALSE)</f>
        <v>203</v>
      </c>
      <c r="P184" s="11">
        <f t="shared" si="7"/>
        <v>-7</v>
      </c>
      <c r="Q184" s="11">
        <f>VLOOKUP($G184, 'ADP Data'!$C$4:$Q$300, 4, FALSE)</f>
        <v>148</v>
      </c>
      <c r="R184" s="11">
        <f>VLOOKUP($G184, 'ADP Data'!$C$4:$Q$300, 5, FALSE)</f>
        <v>197</v>
      </c>
      <c r="S184" s="11">
        <f>VLOOKUP($G184, 'ADP Data'!$C$4:$Q$300, 6, FALSE)</f>
        <v>171</v>
      </c>
      <c r="T184" s="11">
        <f>VLOOKUP($G184, 'ADP Data'!$C$4:$Q$300, 7, FALSE)</f>
        <v>161</v>
      </c>
      <c r="U184" s="11">
        <f>VLOOKUP($G184, 'ADP Data'!$C$4:$Q$300, 8, FALSE)</f>
        <v>208</v>
      </c>
      <c r="V184" s="11">
        <f t="shared" si="8"/>
        <v>183</v>
      </c>
      <c r="W184" s="11">
        <f t="shared" si="9"/>
        <v>23</v>
      </c>
      <c r="X184" s="11">
        <f t="shared" si="10"/>
        <v>-23</v>
      </c>
      <c r="Y184" s="11">
        <f>VLOOKUP($G184, SeanRanks!$A$2:$K$303, 10, FALSE)-V184</f>
        <v>-13</v>
      </c>
      <c r="Z184" s="29">
        <f>IF(VLOOKUP($G184, SeanRanks!$A$2:$H$303, 7, FALSE)=0, "", VLOOKUP($G184, SeanRanks!$A$2:$H$303, 7, FALSE))</f>
        <v>54</v>
      </c>
    </row>
    <row r="185" ht="14.25" hidden="1" customHeight="1">
      <c r="A185" s="11"/>
      <c r="B185" s="11" t="str">
        <f t="shared" si="4"/>
        <v>#N/A</v>
      </c>
      <c r="C185" s="11" t="s">
        <v>106</v>
      </c>
      <c r="D185" s="11"/>
      <c r="E185" s="11"/>
      <c r="F185" s="11" t="str">
        <f>VLOOKUP(G185, SeanRanks!$A$2:$E$302, 4, FALSE)</f>
        <v>#N/A</v>
      </c>
      <c r="G185" s="11" t="s">
        <v>900</v>
      </c>
      <c r="H185" s="11" t="str">
        <f>VLOOKUP($G185, 'ADP Data'!$C$4:$Q$300, 2, FALSE)</f>
        <v>#N/A</v>
      </c>
      <c r="I185" s="11" t="str">
        <f>VLOOKUP(G185, 'ADP Data'!$C$4:$R$498, 12, FALSE)</f>
        <v>#N/A</v>
      </c>
      <c r="J185" s="11" t="str">
        <f>VLOOKUP($G185, SeanRanks!$A$2:$H$303, 5, FALSE)</f>
        <v>#N/A</v>
      </c>
      <c r="K185" s="11" t="str">
        <f>IF(VLOOKUP($G185, SeanRanks!$A$2:$H$303, 6, FALSE)=0, "", VLOOKUP($G185, SeanRanks!$A$2:$H$303, 6, FALSE))</f>
        <v>#N/A</v>
      </c>
      <c r="L185" s="11">
        <f t="shared" si="5"/>
        <v>16</v>
      </c>
      <c r="M185" s="11" t="str">
        <f>VLOOKUP($G185, 'ADP Data'!$C$4:$Q$300, 9, FALSE)</f>
        <v>#N/A</v>
      </c>
      <c r="N185" s="11" t="str">
        <f t="shared" si="6"/>
        <v>#N/A</v>
      </c>
      <c r="O185" s="11" t="str">
        <f>VLOOKUP($G185, 'ADP Data'!$C$4:$Q$300, 3, FALSE)</f>
        <v>#N/A</v>
      </c>
      <c r="P185" s="11" t="str">
        <f t="shared" si="7"/>
        <v>#N/A</v>
      </c>
      <c r="Q185" s="11" t="str">
        <f>VLOOKUP($G185, 'ADP Data'!$C$4:$Q$300, 4, FALSE)</f>
        <v>#N/A</v>
      </c>
      <c r="R185" s="11" t="str">
        <f>VLOOKUP($G185, 'ADP Data'!$C$4:$Q$300, 5, FALSE)</f>
        <v>#N/A</v>
      </c>
      <c r="S185" s="11" t="str">
        <f>VLOOKUP($G185, 'ADP Data'!$C$4:$Q$300, 6, FALSE)</f>
        <v>#N/A</v>
      </c>
      <c r="T185" s="11" t="str">
        <f>VLOOKUP($G185, 'ADP Data'!$C$4:$Q$300, 7, FALSE)</f>
        <v>#N/A</v>
      </c>
      <c r="U185" s="11" t="str">
        <f>VLOOKUP($G185, 'ADP Data'!$C$4:$Q$300, 8, FALSE)</f>
        <v>#N/A</v>
      </c>
      <c r="V185" s="11" t="str">
        <f t="shared" si="8"/>
        <v>#N/A</v>
      </c>
      <c r="W185" s="11">
        <f t="shared" si="9"/>
        <v>16</v>
      </c>
      <c r="X185" s="11">
        <f t="shared" si="10"/>
        <v>-16</v>
      </c>
      <c r="Y185" s="11" t="str">
        <f>VLOOKUP($G185, SeanRanks!$A$2:$K$303, 10, FALSE)-V185</f>
        <v>#N/A</v>
      </c>
      <c r="Z185" s="29" t="str">
        <f>IF(VLOOKUP($G185, SeanRanks!$A$2:$H$303, 7, FALSE)=0, "", VLOOKUP($G185, SeanRanks!$A$2:$H$303, 7, FALSE))</f>
        <v>#N/A</v>
      </c>
    </row>
    <row r="186" ht="14.25" customHeight="1">
      <c r="A186" s="11"/>
      <c r="B186" s="11">
        <f t="shared" si="4"/>
        <v>12</v>
      </c>
      <c r="C186" s="11" t="s">
        <v>106</v>
      </c>
      <c r="D186" s="11"/>
      <c r="E186" s="11"/>
      <c r="F186" s="11" t="str">
        <f>VLOOKUP(G186, SeanRanks!$A$2:$E$302, 4, FALSE)</f>
        <v/>
      </c>
      <c r="G186" s="11" t="s">
        <v>460</v>
      </c>
      <c r="H186" s="11" t="str">
        <f>VLOOKUP($G186, 'ADP Data'!$C$4:$Q$300, 2, FALSE)</f>
        <v>NYJ</v>
      </c>
      <c r="I186" s="11">
        <f>VLOOKUP(G186, 'ADP Data'!$C$4:$R$498, 12, FALSE)</f>
        <v>109</v>
      </c>
      <c r="J186" s="11" t="str">
        <f>VLOOKUP($G186, SeanRanks!$A$2:$H$303, 5, FALSE)</f>
        <v/>
      </c>
      <c r="K186" s="11" t="str">
        <f>IF(VLOOKUP($G186, SeanRanks!$A$2:$H$303, 6, FALSE)=0, "", VLOOKUP($G186, SeanRanks!$A$2:$H$303, 6, FALSE))</f>
        <v>RB4 - 2 - low ceiling</v>
      </c>
      <c r="L186" s="11">
        <f t="shared" si="5"/>
        <v>20</v>
      </c>
      <c r="M186" s="11">
        <f>VLOOKUP($G186, 'ADP Data'!$C$4:$Q$300, 9, FALSE)</f>
        <v>153</v>
      </c>
      <c r="N186" s="11">
        <f t="shared" si="6"/>
        <v>13</v>
      </c>
      <c r="O186" s="11">
        <f>VLOOKUP($G186, 'ADP Data'!$C$4:$Q$300, 3, FALSE)</f>
        <v>127</v>
      </c>
      <c r="P186" s="11">
        <f t="shared" si="7"/>
        <v>26</v>
      </c>
      <c r="Q186" s="11">
        <f>VLOOKUP($G186, 'ADP Data'!$C$4:$Q$300, 4, FALSE)</f>
        <v>156</v>
      </c>
      <c r="R186" s="11">
        <f>VLOOKUP($G186, 'ADP Data'!$C$4:$Q$300, 5, FALSE)</f>
        <v>109</v>
      </c>
      <c r="S186" s="11">
        <f>VLOOKUP($G186, 'ADP Data'!$C$4:$Q$300, 6, FALSE)</f>
        <v>108</v>
      </c>
      <c r="T186" s="11">
        <f>VLOOKUP($G186, 'ADP Data'!$C$4:$Q$300, 7, FALSE)</f>
        <v>132</v>
      </c>
      <c r="U186" s="11">
        <f>VLOOKUP($G186, 'ADP Data'!$C$4:$Q$300, 8, FALSE)</f>
        <v>197</v>
      </c>
      <c r="V186" s="11">
        <f t="shared" si="8"/>
        <v>140</v>
      </c>
      <c r="W186" s="11">
        <f t="shared" si="9"/>
        <v>18</v>
      </c>
      <c r="X186" s="11">
        <f t="shared" si="10"/>
        <v>-18</v>
      </c>
      <c r="Y186" s="11">
        <f>VLOOKUP($G186, SeanRanks!$A$2:$K$303, 10, FALSE)-V186</f>
        <v>-51</v>
      </c>
      <c r="Z186" s="29">
        <f>IF(VLOOKUP($G186, SeanRanks!$A$2:$H$303, 7, FALSE)=0, "", VLOOKUP($G186, SeanRanks!$A$2:$H$303, 7, FALSE))</f>
        <v>50</v>
      </c>
    </row>
    <row r="187" ht="14.25" hidden="1" customHeight="1">
      <c r="A187" s="11"/>
      <c r="B187" s="11">
        <f t="shared" si="4"/>
        <v>7</v>
      </c>
      <c r="C187" s="11" t="s">
        <v>106</v>
      </c>
      <c r="D187" s="11"/>
      <c r="E187" s="11"/>
      <c r="F187" s="11" t="str">
        <f>VLOOKUP(G187, SeanRanks!$A$2:$E$302, 4, FALSE)</f>
        <v/>
      </c>
      <c r="G187" s="11" t="s">
        <v>326</v>
      </c>
      <c r="H187" s="11" t="str">
        <f>VLOOKUP($G187, 'ADP Data'!$C$4:$Q$300, 2, FALSE)</f>
        <v>DEN</v>
      </c>
      <c r="I187" s="11">
        <f>VLOOKUP(G187, 'ADP Data'!$C$4:$R$498, 12, FALSE)</f>
        <v>91</v>
      </c>
      <c r="J187" s="11" t="str">
        <f>VLOOKUP($G187, SeanRanks!$A$2:$H$303, 5, FALSE)</f>
        <v/>
      </c>
      <c r="K187" s="11" t="str">
        <f>IF(VLOOKUP($G187, SeanRanks!$A$2:$H$303, 6, FALSE)=0, "", VLOOKUP($G187, SeanRanks!$A$2:$H$303, 6, FALSE))</f>
        <v>QB1 - 3 - Top 5 Ceiling</v>
      </c>
      <c r="L187" s="11">
        <f t="shared" si="5"/>
        <v>10</v>
      </c>
      <c r="M187" s="11">
        <f>VLOOKUP($G187, 'ADP Data'!$C$4:$Q$300, 9, FALSE)</f>
        <v>79</v>
      </c>
      <c r="N187" s="11">
        <f t="shared" si="6"/>
        <v>3</v>
      </c>
      <c r="O187" s="11">
        <f>VLOOKUP($G187, 'ADP Data'!$C$4:$Q$300, 3, FALSE)</f>
        <v>68</v>
      </c>
      <c r="P187" s="11">
        <f t="shared" si="7"/>
        <v>11</v>
      </c>
      <c r="Q187" s="11">
        <f>VLOOKUP($G187, 'ADP Data'!$C$4:$Q$300, 4, FALSE)</f>
        <v>66</v>
      </c>
      <c r="R187" s="11">
        <f>VLOOKUP($G187, 'ADP Data'!$C$4:$Q$300, 5, FALSE)</f>
        <v>87</v>
      </c>
      <c r="S187" s="11">
        <f>VLOOKUP($G187, 'ADP Data'!$C$4:$Q$300, 6, FALSE)</f>
        <v>89</v>
      </c>
      <c r="T187" s="11">
        <f>VLOOKUP($G187, 'ADP Data'!$C$4:$Q$300, 7, FALSE)</f>
        <v>83</v>
      </c>
      <c r="U187" s="11">
        <f>VLOOKUP($G187, 'ADP Data'!$C$4:$Q$300, 8, FALSE)</f>
        <v>64</v>
      </c>
      <c r="V187" s="11">
        <f t="shared" si="8"/>
        <v>76</v>
      </c>
      <c r="W187" s="11">
        <f t="shared" si="9"/>
        <v>10</v>
      </c>
      <c r="X187" s="11">
        <f t="shared" si="10"/>
        <v>-10</v>
      </c>
      <c r="Y187" s="11">
        <f>VLOOKUP($G187, SeanRanks!$A$2:$K$303, 10, FALSE)-V187</f>
        <v>7</v>
      </c>
      <c r="Z187" s="29">
        <f>IF(VLOOKUP($G187, SeanRanks!$A$2:$H$303, 7, FALSE)=0, "", VLOOKUP($G187, SeanRanks!$A$2:$H$303, 7, FALSE))</f>
        <v>7</v>
      </c>
    </row>
    <row r="188" ht="14.25" hidden="1" customHeight="1">
      <c r="A188" s="11"/>
      <c r="B188" s="11">
        <f t="shared" si="4"/>
        <v>18</v>
      </c>
      <c r="C188" s="11" t="s">
        <v>106</v>
      </c>
      <c r="D188" s="11"/>
      <c r="E188" s="11"/>
      <c r="F188" s="11" t="str">
        <f>VLOOKUP(G188, SeanRanks!$A$2:$E$302, 4, FALSE)</f>
        <v/>
      </c>
      <c r="G188" s="11" t="s">
        <v>901</v>
      </c>
      <c r="H188" s="11" t="str">
        <f>VLOOKUP($G188, 'ADP Data'!$C$4:$Q$300, 2, FALSE)</f>
        <v>NE</v>
      </c>
      <c r="I188" s="11">
        <f>VLOOKUP(G188, 'ADP Data'!$C$4:$R$498, 12, FALSE)</f>
        <v>141</v>
      </c>
      <c r="J188" s="11" t="str">
        <f>VLOOKUP($G188, SeanRanks!$A$2:$H$303, 5, FALSE)</f>
        <v/>
      </c>
      <c r="K188" s="11" t="str">
        <f>IF(VLOOKUP($G188, SeanRanks!$A$2:$H$303, 6, FALSE)=0, "", VLOOKUP($G188, SeanRanks!$A$2:$H$303, 6, FALSE))</f>
        <v>WR5 - 2 - floor play not league winner</v>
      </c>
      <c r="L188" s="11">
        <f t="shared" si="5"/>
        <v>25</v>
      </c>
      <c r="M188" s="11">
        <f>VLOOKUP($G188, 'ADP Data'!$C$4:$Q$300, 9, FALSE)</f>
        <v>199</v>
      </c>
      <c r="N188" s="11">
        <f t="shared" si="6"/>
        <v>-3</v>
      </c>
      <c r="O188" s="11">
        <f>VLOOKUP($G188, 'ADP Data'!$C$4:$Q$300, 3, FALSE)</f>
        <v>199</v>
      </c>
      <c r="P188" s="11">
        <f t="shared" si="7"/>
        <v>0</v>
      </c>
      <c r="Q188" s="11">
        <f>VLOOKUP($G188, 'ADP Data'!$C$4:$Q$300, 4, FALSE)</f>
        <v>224</v>
      </c>
      <c r="R188" s="11">
        <f>VLOOKUP($G188, 'ADP Data'!$C$4:$Q$300, 5, FALSE)</f>
        <v>231</v>
      </c>
      <c r="S188" s="11">
        <f>VLOOKUP($G188, 'ADP Data'!$C$4:$Q$300, 6, FALSE)</f>
        <v>159</v>
      </c>
      <c r="T188" s="11">
        <f>VLOOKUP($G188, 'ADP Data'!$C$4:$Q$300, 7, FALSE)</f>
        <v>145</v>
      </c>
      <c r="U188" s="11">
        <f>VLOOKUP($G188, 'ADP Data'!$C$4:$Q$300, 8, FALSE)</f>
        <v>263</v>
      </c>
      <c r="V188" s="11">
        <f t="shared" si="8"/>
        <v>202</v>
      </c>
      <c r="W188" s="11">
        <f t="shared" si="9"/>
        <v>26</v>
      </c>
      <c r="X188" s="11">
        <f t="shared" si="10"/>
        <v>-26</v>
      </c>
      <c r="Y188" s="11">
        <f>VLOOKUP($G188, SeanRanks!$A$2:$K$303, 10, FALSE)-V188</f>
        <v>-46</v>
      </c>
      <c r="Z188" s="29">
        <f>IF(VLOOKUP($G188, SeanRanks!$A$2:$H$303, 7, FALSE)=0, "", VLOOKUP($G188, SeanRanks!$A$2:$H$303, 7, FALSE))</f>
        <v>59</v>
      </c>
    </row>
    <row r="189" ht="14.25" hidden="1" customHeight="1">
      <c r="A189" s="11"/>
      <c r="B189" s="11">
        <f t="shared" si="4"/>
        <v>14</v>
      </c>
      <c r="C189" s="11" t="s">
        <v>106</v>
      </c>
      <c r="D189" s="11"/>
      <c r="E189" s="11"/>
      <c r="F189" s="11" t="str">
        <f>VLOOKUP(G189, SeanRanks!$A$2:$E$302, 4, FALSE)</f>
        <v/>
      </c>
      <c r="G189" s="11" t="s">
        <v>659</v>
      </c>
      <c r="H189" s="11" t="str">
        <f>VLOOKUP($G189, 'ADP Data'!$C$4:$Q$300, 2, FALSE)</f>
        <v>KC</v>
      </c>
      <c r="I189" s="11" t="str">
        <f>VLOOKUP(G189, 'ADP Data'!$C$4:$R$498, 12, FALSE)</f>
        <v>-</v>
      </c>
      <c r="J189" s="11" t="str">
        <f>VLOOKUP($G189, SeanRanks!$A$2:$H$303, 5, FALSE)</f>
        <v/>
      </c>
      <c r="K189" s="11" t="str">
        <f>IF(VLOOKUP($G189, SeanRanks!$A$2:$H$303, 6, FALSE)=0, "", VLOOKUP($G189, SeanRanks!$A$2:$H$303, 6, FALSE))</f>
        <v/>
      </c>
      <c r="L189" s="11">
        <f t="shared" si="5"/>
        <v>21</v>
      </c>
      <c r="M189" s="11">
        <f>VLOOKUP($G189, 'ADP Data'!$C$4:$Q$300, 9, FALSE)</f>
        <v>161</v>
      </c>
      <c r="N189" s="11">
        <f t="shared" si="6"/>
        <v>-12</v>
      </c>
      <c r="O189" s="11">
        <f>VLOOKUP($G189, 'ADP Data'!$C$4:$Q$300, 3, FALSE)</f>
        <v>185</v>
      </c>
      <c r="P189" s="11">
        <f t="shared" si="7"/>
        <v>-24</v>
      </c>
      <c r="Q189" s="11"/>
      <c r="R189" s="11"/>
      <c r="S189" s="11"/>
      <c r="T189" s="11"/>
      <c r="U189" s="11"/>
      <c r="V189" s="11">
        <f t="shared" si="8"/>
        <v>173</v>
      </c>
      <c r="W189" s="11">
        <f t="shared" si="9"/>
        <v>22</v>
      </c>
      <c r="X189" s="11">
        <f t="shared" si="10"/>
        <v>-22</v>
      </c>
      <c r="Y189" s="11">
        <f>VLOOKUP($G189, SeanRanks!$A$2:$K$303, 10, FALSE)-V189</f>
        <v>53</v>
      </c>
      <c r="Z189" s="29" t="str">
        <f>IF(VLOOKUP($G189, SeanRanks!$A$2:$H$303, 7, FALSE)=0, "", VLOOKUP($G189, SeanRanks!$A$2:$H$303, 7, FALSE))</f>
        <v/>
      </c>
    </row>
    <row r="190" ht="14.25" hidden="1" customHeight="1">
      <c r="A190" s="11"/>
      <c r="B190" s="11">
        <f t="shared" si="4"/>
        <v>24</v>
      </c>
      <c r="C190" s="11" t="s">
        <v>106</v>
      </c>
      <c r="D190" s="11"/>
      <c r="E190" s="11"/>
      <c r="F190" s="11" t="str">
        <f>VLOOKUP(G190, SeanRanks!$A$2:$E$302, 4, FALSE)</f>
        <v>#N/A</v>
      </c>
      <c r="G190" s="11" t="s">
        <v>902</v>
      </c>
      <c r="H190" s="11" t="str">
        <f>VLOOKUP($G190, 'ADP Data'!$C$4:$Q$300, 2, FALSE)</f>
        <v>MIA</v>
      </c>
      <c r="I190" s="11" t="str">
        <f>VLOOKUP(G190, 'ADP Data'!$C$4:$R$498, 12, FALSE)</f>
        <v>-</v>
      </c>
      <c r="J190" s="11" t="str">
        <f>VLOOKUP($G190, SeanRanks!$A$2:$H$303, 5, FALSE)</f>
        <v>#N/A</v>
      </c>
      <c r="K190" s="11" t="str">
        <f>IF(VLOOKUP($G190, SeanRanks!$A$2:$H$303, 6, FALSE)=0, "", VLOOKUP($G190, SeanRanks!$A$2:$H$303, 6, FALSE))</f>
        <v>#N/A</v>
      </c>
      <c r="L190" s="11">
        <f t="shared" si="5"/>
        <v>31</v>
      </c>
      <c r="M190" s="11">
        <f>VLOOKUP($G190, 'ADP Data'!$C$4:$Q$300, 9, FALSE)</f>
        <v>245</v>
      </c>
      <c r="N190" s="11">
        <f t="shared" si="6"/>
        <v>-31</v>
      </c>
      <c r="O190" s="11" t="str">
        <f>VLOOKUP($G190, 'ADP Data'!$C$4:$Q$300, 3, FALSE)</f>
        <v>-</v>
      </c>
      <c r="P190" s="11" t="str">
        <f t="shared" si="7"/>
        <v>#VALUE!</v>
      </c>
      <c r="Q190" s="11">
        <f>VLOOKUP($G190, 'ADP Data'!$C$4:$Q$300, 4, FALSE)</f>
        <v>248</v>
      </c>
      <c r="R190" s="11">
        <f>VLOOKUP($G190, 'ADP Data'!$C$4:$Q$300, 5, FALSE)</f>
        <v>343</v>
      </c>
      <c r="S190" s="11">
        <f>VLOOKUP($G190, 'ADP Data'!$C$4:$Q$300, 6, FALSE)</f>
        <v>333</v>
      </c>
      <c r="T190" s="11">
        <f>VLOOKUP($G190, 'ADP Data'!$C$4:$Q$300, 7, FALSE)</f>
        <v>273</v>
      </c>
      <c r="U190" s="11">
        <f>VLOOKUP($G190, 'ADP Data'!$C$4:$Q$300, 8, FALSE)</f>
        <v>217</v>
      </c>
      <c r="V190" s="11">
        <f t="shared" si="8"/>
        <v>276</v>
      </c>
      <c r="W190" s="11">
        <f t="shared" si="9"/>
        <v>35</v>
      </c>
      <c r="X190" s="11">
        <f t="shared" si="10"/>
        <v>-35</v>
      </c>
      <c r="Y190" s="11" t="str">
        <f>VLOOKUP($G190, SeanRanks!$A$2:$K$303, 10, FALSE)-V190</f>
        <v>#N/A</v>
      </c>
      <c r="Z190" s="29" t="str">
        <f>IF(VLOOKUP($G190, SeanRanks!$A$2:$H$303, 7, FALSE)=0, "", VLOOKUP($G190, SeanRanks!$A$2:$H$303, 7, FALSE))</f>
        <v>#N/A</v>
      </c>
    </row>
    <row r="191" ht="14.25" hidden="1" customHeight="1">
      <c r="A191" s="11"/>
      <c r="B191" s="11">
        <f t="shared" si="4"/>
        <v>13</v>
      </c>
      <c r="C191" s="11" t="s">
        <v>106</v>
      </c>
      <c r="D191" s="11"/>
      <c r="E191" s="11"/>
      <c r="F191" s="11" t="str">
        <f>VLOOKUP(G191, SeanRanks!$A$2:$E$302, 4, FALSE)</f>
        <v/>
      </c>
      <c r="G191" s="11" t="s">
        <v>495</v>
      </c>
      <c r="H191" s="11" t="str">
        <f>VLOOKUP($G191, 'ADP Data'!$C$4:$Q$300, 2, FALSE)</f>
        <v>PHI</v>
      </c>
      <c r="I191" s="11" t="str">
        <f>VLOOKUP(G191, 'ADP Data'!$C$4:$R$498, 12, FALSE)</f>
        <v>-</v>
      </c>
      <c r="J191" s="11" t="str">
        <f>VLOOKUP($G191, SeanRanks!$A$2:$H$303, 5, FALSE)</f>
        <v/>
      </c>
      <c r="K191" s="11" t="str">
        <f>IF(VLOOKUP($G191, SeanRanks!$A$2:$H$303, 6, FALSE)=0, "", VLOOKUP($G191, SeanRanks!$A$2:$H$303, 6, FALSE))</f>
        <v/>
      </c>
      <c r="L191" s="11">
        <f t="shared" si="5"/>
        <v>19</v>
      </c>
      <c r="M191" s="11">
        <f>VLOOKUP($G191, 'ADP Data'!$C$4:$Q$300, 9, FALSE)</f>
        <v>144</v>
      </c>
      <c r="N191" s="11">
        <f t="shared" si="6"/>
        <v>3</v>
      </c>
      <c r="O191" s="11">
        <f>VLOOKUP($G191, 'ADP Data'!$C$4:$Q$300, 3, FALSE)</f>
        <v>87</v>
      </c>
      <c r="P191" s="11">
        <f t="shared" si="7"/>
        <v>57</v>
      </c>
      <c r="Q191" s="11">
        <f>VLOOKUP($G191, 'ADP Data'!$C$4:$Q$300, 4, FALSE)</f>
        <v>130</v>
      </c>
      <c r="R191" s="11">
        <f>VLOOKUP($G191, 'ADP Data'!$C$4:$Q$300, 5, FALSE)</f>
        <v>164</v>
      </c>
      <c r="S191" s="11">
        <f>VLOOKUP($G191, 'ADP Data'!$C$4:$Q$300, 6, FALSE)</f>
        <v>214</v>
      </c>
      <c r="T191" s="11">
        <f>VLOOKUP($G191, 'ADP Data'!$C$4:$Q$300, 7, FALSE)</f>
        <v>160</v>
      </c>
      <c r="U191" s="11">
        <f>VLOOKUP($G191, 'ADP Data'!$C$4:$Q$300, 8, FALSE)</f>
        <v>93</v>
      </c>
      <c r="V191" s="11">
        <f t="shared" si="8"/>
        <v>141</v>
      </c>
      <c r="W191" s="11">
        <f t="shared" si="9"/>
        <v>18</v>
      </c>
      <c r="X191" s="11">
        <f t="shared" si="10"/>
        <v>-18</v>
      </c>
      <c r="Y191" s="11">
        <f>VLOOKUP($G191, SeanRanks!$A$2:$K$303, 10, FALSE)-V191</f>
        <v>24</v>
      </c>
      <c r="Z191" s="29" t="str">
        <f>IF(VLOOKUP($G191, SeanRanks!$A$2:$H$303, 7, FALSE)=0, "", VLOOKUP($G191, SeanRanks!$A$2:$H$303, 7, FALSE))</f>
        <v/>
      </c>
    </row>
    <row r="192" ht="14.25" customHeight="1">
      <c r="A192" s="11"/>
      <c r="B192" s="11">
        <f t="shared" si="4"/>
        <v>15</v>
      </c>
      <c r="C192" s="11" t="s">
        <v>106</v>
      </c>
      <c r="D192" s="11"/>
      <c r="E192" s="11"/>
      <c r="F192" s="11" t="str">
        <f>VLOOKUP(G192, SeanRanks!$A$2:$E$302, 4, FALSE)</f>
        <v/>
      </c>
      <c r="G192" s="11" t="s">
        <v>521</v>
      </c>
      <c r="H192" s="11" t="str">
        <f>VLOOKUP($G192, 'ADP Data'!$C$4:$Q$300, 2, FALSE)</f>
        <v>BUF</v>
      </c>
      <c r="I192" s="11">
        <f>VLOOKUP(G192, 'ADP Data'!$C$4:$R$498, 12, FALSE)</f>
        <v>150</v>
      </c>
      <c r="J192" s="11" t="str">
        <f>VLOOKUP($G192, SeanRanks!$A$2:$H$303, 5, FALSE)</f>
        <v/>
      </c>
      <c r="K192" s="11" t="str">
        <f>IF(VLOOKUP($G192, SeanRanks!$A$2:$H$303, 6, FALSE)=0, "", VLOOKUP($G192, SeanRanks!$A$2:$H$303, 6, FALSE))</f>
        <v>Handcuff only</v>
      </c>
      <c r="L192" s="11">
        <f t="shared" si="5"/>
        <v>19</v>
      </c>
      <c r="M192" s="11">
        <f>VLOOKUP($G192, 'ADP Data'!$C$4:$Q$300, 9, FALSE)</f>
        <v>149</v>
      </c>
      <c r="N192" s="11">
        <f t="shared" si="6"/>
        <v>-18</v>
      </c>
      <c r="O192" s="11">
        <f>VLOOKUP($G192, 'ADP Data'!$C$4:$Q$300, 3, FALSE)</f>
        <v>164</v>
      </c>
      <c r="P192" s="11">
        <f t="shared" si="7"/>
        <v>-15</v>
      </c>
      <c r="Q192" s="11">
        <f>VLOOKUP($G192, 'ADP Data'!$C$4:$Q$300, 4, FALSE)</f>
        <v>190</v>
      </c>
      <c r="R192" s="11">
        <f>VLOOKUP($G192, 'ADP Data'!$C$4:$Q$300, 5, FALSE)</f>
        <v>171</v>
      </c>
      <c r="S192" s="11">
        <f>VLOOKUP($G192, 'ADP Data'!$C$4:$Q$300, 6, FALSE)</f>
        <v>143</v>
      </c>
      <c r="T192" s="11">
        <f>VLOOKUP($G192, 'ADP Data'!$C$4:$Q$300, 7, FALSE)</f>
        <v>141</v>
      </c>
      <c r="U192" s="11">
        <f>VLOOKUP($G192, 'ADP Data'!$C$4:$Q$300, 8, FALSE)</f>
        <v>215</v>
      </c>
      <c r="V192" s="11">
        <f t="shared" si="8"/>
        <v>167</v>
      </c>
      <c r="W192" s="11">
        <f t="shared" si="9"/>
        <v>21</v>
      </c>
      <c r="X192" s="11">
        <f t="shared" si="10"/>
        <v>-21</v>
      </c>
      <c r="Y192" s="11">
        <f>VLOOKUP($G192, SeanRanks!$A$2:$K$303, 10, FALSE)-V192</f>
        <v>-29</v>
      </c>
      <c r="Z192" s="29">
        <f>IF(VLOOKUP($G192, SeanRanks!$A$2:$H$303, 7, FALSE)=0, "", VLOOKUP($G192, SeanRanks!$A$2:$H$303, 7, FALSE))</f>
        <v>57</v>
      </c>
    </row>
    <row r="193" ht="14.25" hidden="1" customHeight="1">
      <c r="A193" s="11"/>
      <c r="B193" s="11">
        <f t="shared" si="4"/>
        <v>14</v>
      </c>
      <c r="C193" s="11" t="s">
        <v>106</v>
      </c>
      <c r="D193" s="11"/>
      <c r="E193" s="11"/>
      <c r="F193" s="11" t="str">
        <f>VLOOKUP(G193, SeanRanks!$A$2:$E$302, 4, FALSE)</f>
        <v/>
      </c>
      <c r="G193" s="11" t="s">
        <v>475</v>
      </c>
      <c r="H193" s="11" t="str">
        <f>VLOOKUP($G193, 'ADP Data'!$C$4:$Q$300, 2, FALSE)</f>
        <v>HOU</v>
      </c>
      <c r="I193" s="11" t="str">
        <f>VLOOKUP(G193, 'ADP Data'!$C$4:$R$498, 12, FALSE)</f>
        <v>-</v>
      </c>
      <c r="J193" s="11" t="str">
        <f>VLOOKUP($G193, SeanRanks!$A$2:$H$303, 5, FALSE)</f>
        <v/>
      </c>
      <c r="K193" s="11" t="str">
        <f>IF(VLOOKUP($G193, SeanRanks!$A$2:$H$303, 6, FALSE)=0, "", VLOOKUP($G193, SeanRanks!$A$2:$H$303, 6, FALSE))</f>
        <v/>
      </c>
      <c r="L193" s="11">
        <f t="shared" si="5"/>
        <v>24</v>
      </c>
      <c r="M193" s="11">
        <f>VLOOKUP($G193, 'ADP Data'!$C$4:$Q$300, 9, FALSE)</f>
        <v>188</v>
      </c>
      <c r="N193" s="11">
        <f t="shared" si="6"/>
        <v>23</v>
      </c>
      <c r="O193" s="11">
        <f>VLOOKUP($G193, 'ADP Data'!$C$4:$Q$300, 3, FALSE)</f>
        <v>145</v>
      </c>
      <c r="P193" s="11">
        <f t="shared" si="7"/>
        <v>43</v>
      </c>
      <c r="Q193" s="11">
        <f>VLOOKUP($G193, 'ADP Data'!$C$4:$Q$300, 4, FALSE)</f>
        <v>100</v>
      </c>
      <c r="R193" s="11">
        <f>VLOOKUP($G193, 'ADP Data'!$C$4:$Q$300, 5, FALSE)</f>
        <v>190</v>
      </c>
      <c r="S193" s="11">
        <f>VLOOKUP($G193, 'ADP Data'!$C$4:$Q$300, 6, FALSE)</f>
        <v>216</v>
      </c>
      <c r="T193" s="11">
        <f>VLOOKUP($G193, 'ADP Data'!$C$4:$Q$300, 7, FALSE)</f>
        <v>176</v>
      </c>
      <c r="U193" s="11">
        <f>VLOOKUP($G193, 'ADP Data'!$C$4:$Q$300, 8, FALSE)</f>
        <v>145</v>
      </c>
      <c r="V193" s="11">
        <f t="shared" si="8"/>
        <v>165</v>
      </c>
      <c r="W193" s="11">
        <f t="shared" si="9"/>
        <v>21</v>
      </c>
      <c r="X193" s="11">
        <f t="shared" si="10"/>
        <v>-21</v>
      </c>
      <c r="Y193" s="11">
        <f>VLOOKUP($G193, SeanRanks!$A$2:$K$303, 10, FALSE)-V193</f>
        <v>23</v>
      </c>
      <c r="Z193" s="29" t="str">
        <f>IF(VLOOKUP($G193, SeanRanks!$A$2:$H$303, 7, FALSE)=0, "", VLOOKUP($G193, SeanRanks!$A$2:$H$303, 7, FALSE))</f>
        <v/>
      </c>
    </row>
    <row r="194" ht="14.25" customHeight="1">
      <c r="A194" s="11"/>
      <c r="B194" s="11">
        <f t="shared" si="4"/>
        <v>9</v>
      </c>
      <c r="C194" s="11" t="s">
        <v>106</v>
      </c>
      <c r="D194" s="11"/>
      <c r="E194" s="11"/>
      <c r="F194" s="11" t="str">
        <f>VLOOKUP(G194, SeanRanks!$A$2:$E$302, 4, FALSE)</f>
        <v/>
      </c>
      <c r="G194" s="11" t="s">
        <v>313</v>
      </c>
      <c r="H194" s="11" t="str">
        <f>VLOOKUP($G194, 'ADP Data'!$C$4:$Q$300, 2, FALSE)</f>
        <v>MIN</v>
      </c>
      <c r="I194" s="11">
        <f>VLOOKUP(G194, 'ADP Data'!$C$4:$R$498, 12, FALSE)</f>
        <v>83</v>
      </c>
      <c r="J194" s="11" t="str">
        <f>VLOOKUP($G194, SeanRanks!$A$2:$H$303, 5, FALSE)</f>
        <v>Yes</v>
      </c>
      <c r="K194" s="11" t="str">
        <f>IF(VLOOKUP($G194, SeanRanks!$A$2:$H$303, 6, FALSE)=0, "", VLOOKUP($G194, SeanRanks!$A$2:$H$303, 6, FALSE))</f>
        <v>RB3 - 1 - Upside</v>
      </c>
      <c r="L194" s="11">
        <f t="shared" si="5"/>
        <v>13</v>
      </c>
      <c r="M194" s="11">
        <f>VLOOKUP($G194, 'ADP Data'!$C$4:$Q$300, 9, FALSE)</f>
        <v>103</v>
      </c>
      <c r="N194" s="11">
        <f t="shared" si="6"/>
        <v>-1</v>
      </c>
      <c r="O194" s="11">
        <f>VLOOKUP($G194, 'ADP Data'!$C$4:$Q$300, 3, FALSE)</f>
        <v>98</v>
      </c>
      <c r="P194" s="11">
        <f t="shared" si="7"/>
        <v>5</v>
      </c>
      <c r="Q194" s="11">
        <f>VLOOKUP($G194, 'ADP Data'!$C$4:$Q$300, 4, FALSE)</f>
        <v>122</v>
      </c>
      <c r="R194" s="11">
        <f>VLOOKUP($G194, 'ADP Data'!$C$4:$Q$300, 5, FALSE)</f>
        <v>107</v>
      </c>
      <c r="S194" s="11">
        <f>VLOOKUP($G194, 'ADP Data'!$C$4:$Q$300, 6, FALSE)</f>
        <v>88</v>
      </c>
      <c r="T194" s="11">
        <f>VLOOKUP($G194, 'ADP Data'!$C$4:$Q$300, 7, FALSE)</f>
        <v>89</v>
      </c>
      <c r="U194" s="11">
        <f>VLOOKUP($G194, 'ADP Data'!$C$4:$Q$300, 8, FALSE)</f>
        <v>122</v>
      </c>
      <c r="V194" s="11">
        <f t="shared" si="8"/>
        <v>104</v>
      </c>
      <c r="W194" s="11">
        <f t="shared" si="9"/>
        <v>14</v>
      </c>
      <c r="X194" s="11">
        <f t="shared" si="10"/>
        <v>-14</v>
      </c>
      <c r="Y194" s="11">
        <f>VLOOKUP($G194, SeanRanks!$A$2:$K$303, 10, FALSE)-V194</f>
        <v>-33</v>
      </c>
      <c r="Z194" s="29">
        <f>IF(VLOOKUP($G194, SeanRanks!$A$2:$H$303, 7, FALSE)=0, "", VLOOKUP($G194, SeanRanks!$A$2:$H$303, 7, FALSE))</f>
        <v>28</v>
      </c>
    </row>
    <row r="195" ht="14.25" hidden="1" customHeight="1">
      <c r="A195" s="11"/>
      <c r="B195" s="11">
        <f t="shared" si="4"/>
        <v>19</v>
      </c>
      <c r="C195" s="11" t="s">
        <v>106</v>
      </c>
      <c r="D195" s="11"/>
      <c r="E195" s="11"/>
      <c r="F195" s="11" t="str">
        <f>VLOOKUP(G195, SeanRanks!$A$2:$E$302, 4, FALSE)</f>
        <v>#N/A</v>
      </c>
      <c r="G195" s="11" t="s">
        <v>904</v>
      </c>
      <c r="H195" s="11" t="str">
        <f>VLOOKUP($G195, 'ADP Data'!$C$4:$Q$300, 2, FALSE)</f>
        <v>CIN</v>
      </c>
      <c r="I195" s="11" t="str">
        <f>VLOOKUP(G195, 'ADP Data'!$C$4:$R$498, 12, FALSE)</f>
        <v>-</v>
      </c>
      <c r="J195" s="11" t="str">
        <f>VLOOKUP($G195, SeanRanks!$A$2:$H$303, 5, FALSE)</f>
        <v>#N/A</v>
      </c>
      <c r="K195" s="11" t="str">
        <f>IF(VLOOKUP($G195, SeanRanks!$A$2:$H$303, 6, FALSE)=0, "", VLOOKUP($G195, SeanRanks!$A$2:$H$303, 6, FALSE))</f>
        <v>#N/A</v>
      </c>
      <c r="L195" s="11">
        <f t="shared" si="5"/>
        <v>16</v>
      </c>
      <c r="M195" s="11" t="str">
        <f>VLOOKUP($G195, 'ADP Data'!$C$4:$Q$300, 9, FALSE)</f>
        <v>-</v>
      </c>
      <c r="N195" s="11" t="str">
        <f t="shared" si="6"/>
        <v>#VALUE!</v>
      </c>
      <c r="O195" s="11" t="str">
        <f>VLOOKUP($G195, 'ADP Data'!$C$4:$Q$300, 3, FALSE)</f>
        <v>-</v>
      </c>
      <c r="P195" s="11" t="str">
        <f t="shared" si="7"/>
        <v>#VALUE!</v>
      </c>
      <c r="Q195" s="11">
        <f>VLOOKUP($G195, 'ADP Data'!$C$4:$Q$300, 4, FALSE)</f>
        <v>223</v>
      </c>
      <c r="R195" s="11" t="str">
        <f>VLOOKUP($G195, 'ADP Data'!$C$4:$Q$300, 5, FALSE)</f>
        <v>-</v>
      </c>
      <c r="S195" s="11">
        <f>VLOOKUP($G195, 'ADP Data'!$C$4:$Q$300, 6, FALSE)</f>
        <v>323</v>
      </c>
      <c r="T195" s="11">
        <f>VLOOKUP($G195, 'ADP Data'!$C$4:$Q$300, 7, FALSE)</f>
        <v>267</v>
      </c>
      <c r="U195" s="11">
        <f>VLOOKUP($G195, 'ADP Data'!$C$4:$Q$300, 8, FALSE)</f>
        <v>97</v>
      </c>
      <c r="V195" s="11">
        <f t="shared" si="8"/>
        <v>227</v>
      </c>
      <c r="W195" s="11">
        <f t="shared" si="9"/>
        <v>29</v>
      </c>
      <c r="X195" s="11">
        <f t="shared" si="10"/>
        <v>-29</v>
      </c>
      <c r="Y195" s="11" t="str">
        <f>VLOOKUP($G195, SeanRanks!$A$2:$K$303, 10, FALSE)-V195</f>
        <v>#N/A</v>
      </c>
      <c r="Z195" s="29" t="str">
        <f>IF(VLOOKUP($G195, SeanRanks!$A$2:$H$303, 7, FALSE)=0, "", VLOOKUP($G195, SeanRanks!$A$2:$H$303, 7, FALSE))</f>
        <v>#N/A</v>
      </c>
    </row>
    <row r="196" ht="14.25" hidden="1" customHeight="1">
      <c r="A196" s="11"/>
      <c r="B196" s="11">
        <f t="shared" si="4"/>
        <v>8</v>
      </c>
      <c r="C196" s="11" t="s">
        <v>106</v>
      </c>
      <c r="D196" s="11"/>
      <c r="E196" s="11"/>
      <c r="F196" s="11" t="str">
        <f>VLOOKUP(G196, SeanRanks!$A$2:$E$302, 4, FALSE)</f>
        <v/>
      </c>
      <c r="G196" s="11" t="s">
        <v>621</v>
      </c>
      <c r="H196" s="11" t="str">
        <f>VLOOKUP($G196, 'ADP Data'!$C$4:$Q$300, 2, FALSE)</f>
        <v>SF</v>
      </c>
      <c r="I196" s="11">
        <f>VLOOKUP(G196, 'ADP Data'!$C$4:$R$498, 12, FALSE)</f>
        <v>55</v>
      </c>
      <c r="J196" s="11" t="str">
        <f>VLOOKUP($G196, SeanRanks!$A$2:$H$303, 5, FALSE)</f>
        <v/>
      </c>
      <c r="K196" s="11" t="str">
        <f>IF(VLOOKUP($G196, SeanRanks!$A$2:$H$303, 6, FALSE)=0, "", VLOOKUP($G196, SeanRanks!$A$2:$H$303, 6, FALSE))</f>
        <v>WR3 - 2 - mid, but path to big upside</v>
      </c>
      <c r="L196" s="11">
        <f t="shared" si="5"/>
        <v>12</v>
      </c>
      <c r="M196" s="11">
        <f>VLOOKUP($G196, 'ADP Data'!$C$4:$Q$300, 9, FALSE)</f>
        <v>94</v>
      </c>
      <c r="N196" s="11">
        <f t="shared" si="6"/>
        <v>8</v>
      </c>
      <c r="O196" s="11">
        <f>VLOOKUP($G196, 'ADP Data'!$C$4:$Q$300, 3, FALSE)</f>
        <v>72</v>
      </c>
      <c r="P196" s="11">
        <f t="shared" si="7"/>
        <v>22</v>
      </c>
      <c r="Q196" s="11">
        <f>VLOOKUP($G196, 'ADP Data'!$C$4:$Q$300, 4, FALSE)</f>
        <v>93</v>
      </c>
      <c r="R196" s="11">
        <f>VLOOKUP($G196, 'ADP Data'!$C$4:$Q$300, 5, FALSE)</f>
        <v>106</v>
      </c>
      <c r="S196" s="11">
        <f>VLOOKUP($G196, 'ADP Data'!$C$4:$Q$300, 6, FALSE)</f>
        <v>67</v>
      </c>
      <c r="T196" s="11">
        <f>VLOOKUP($G196, 'ADP Data'!$C$4:$Q$300, 7, FALSE)</f>
        <v>65</v>
      </c>
      <c r="U196" s="11">
        <f>VLOOKUP($G196, 'ADP Data'!$C$4:$Q$300, 8, FALSE)</f>
        <v>110</v>
      </c>
      <c r="V196" s="11">
        <f t="shared" si="8"/>
        <v>86</v>
      </c>
      <c r="W196" s="11">
        <f t="shared" si="9"/>
        <v>11</v>
      </c>
      <c r="X196" s="11">
        <f t="shared" si="10"/>
        <v>-11</v>
      </c>
      <c r="Y196" s="11">
        <f>VLOOKUP($G196, SeanRanks!$A$2:$K$303, 10, FALSE)-V196</f>
        <v>-17</v>
      </c>
      <c r="Z196" s="29">
        <f>IF(VLOOKUP($G196, SeanRanks!$A$2:$H$303, 7, FALSE)=0, "", VLOOKUP($G196, SeanRanks!$A$2:$H$303, 7, FALSE))</f>
        <v>32</v>
      </c>
    </row>
    <row r="197" ht="14.25" hidden="1" customHeight="1">
      <c r="A197" s="11"/>
      <c r="B197" s="11">
        <f t="shared" si="4"/>
        <v>17</v>
      </c>
      <c r="C197" s="11" t="s">
        <v>106</v>
      </c>
      <c r="D197" s="11"/>
      <c r="E197" s="11"/>
      <c r="F197" s="11" t="str">
        <f>VLOOKUP(G197, SeanRanks!$A$2:$E$302, 4, FALSE)</f>
        <v/>
      </c>
      <c r="G197" s="11" t="s">
        <v>409</v>
      </c>
      <c r="H197" s="11" t="str">
        <f>VLOOKUP($G197, 'ADP Data'!$C$4:$Q$300, 2, FALSE)</f>
        <v>TEN</v>
      </c>
      <c r="I197" s="11">
        <f>VLOOKUP(G197, 'ADP Data'!$C$4:$R$498, 12, FALSE)</f>
        <v>165</v>
      </c>
      <c r="J197" s="11" t="str">
        <f>VLOOKUP($G197, SeanRanks!$A$2:$H$303, 5, FALSE)</f>
        <v/>
      </c>
      <c r="K197" s="11" t="str">
        <f>IF(VLOOKUP($G197, SeanRanks!$A$2:$H$303, 6, FALSE)=0, "", VLOOKUP($G197, SeanRanks!$A$2:$H$303, 6, FALSE))</f>
        <v/>
      </c>
      <c r="L197" s="11">
        <f t="shared" si="5"/>
        <v>27</v>
      </c>
      <c r="M197" s="11">
        <f>VLOOKUP($G197, 'ADP Data'!$C$4:$Q$300, 9, FALSE)</f>
        <v>208</v>
      </c>
      <c r="N197" s="11">
        <f t="shared" si="6"/>
        <v>6</v>
      </c>
      <c r="O197" s="11" t="str">
        <f>VLOOKUP($G197, 'ADP Data'!$C$4:$Q$300, 3, FALSE)</f>
        <v>-</v>
      </c>
      <c r="P197" s="11" t="str">
        <f t="shared" si="7"/>
        <v>#VALUE!</v>
      </c>
      <c r="Q197" s="11" t="str">
        <f>VLOOKUP($G197, 'ADP Data'!$C$4:$Q$300, 4, FALSE)</f>
        <v>-</v>
      </c>
      <c r="R197" s="11">
        <f>VLOOKUP($G197, 'ADP Data'!$C$4:$Q$300, 5, FALSE)</f>
        <v>249</v>
      </c>
      <c r="S197" s="11">
        <f>VLOOKUP($G197, 'ADP Data'!$C$4:$Q$300, 6, FALSE)</f>
        <v>150</v>
      </c>
      <c r="T197" s="11">
        <f>VLOOKUP($G197, 'ADP Data'!$C$4:$Q$300, 7, FALSE)</f>
        <v>187</v>
      </c>
      <c r="U197" s="11">
        <f>VLOOKUP($G197, 'ADP Data'!$C$4:$Q$300, 8, FALSE)</f>
        <v>218</v>
      </c>
      <c r="V197" s="11">
        <f t="shared" si="8"/>
        <v>202</v>
      </c>
      <c r="W197" s="11">
        <f t="shared" si="9"/>
        <v>26</v>
      </c>
      <c r="X197" s="11">
        <f t="shared" si="10"/>
        <v>-26</v>
      </c>
      <c r="Y197" s="11">
        <f>VLOOKUP($G197, SeanRanks!$A$2:$K$303, 10, FALSE)-V197</f>
        <v>-58</v>
      </c>
      <c r="Z197" s="29" t="str">
        <f>IF(VLOOKUP($G197, SeanRanks!$A$2:$H$303, 7, FALSE)=0, "", VLOOKUP($G197, SeanRanks!$A$2:$H$303, 7, FALSE))</f>
        <v/>
      </c>
    </row>
    <row r="198" ht="14.25" hidden="1" customHeight="1">
      <c r="A198" s="11"/>
      <c r="B198" s="11" t="str">
        <f t="shared" si="4"/>
        <v>#N/A</v>
      </c>
      <c r="C198" s="11" t="s">
        <v>106</v>
      </c>
      <c r="D198" s="11"/>
      <c r="E198" s="11"/>
      <c r="F198" s="11" t="str">
        <f>VLOOKUP(G198, SeanRanks!$A$2:$E$302, 4, FALSE)</f>
        <v/>
      </c>
      <c r="G198" s="11" t="s">
        <v>905</v>
      </c>
      <c r="H198" s="11" t="str">
        <f>VLOOKUP($G198, 'ADP Data'!$C$4:$Q$300, 2, FALSE)</f>
        <v>#N/A</v>
      </c>
      <c r="I198" s="11" t="str">
        <f>VLOOKUP(G198, 'ADP Data'!$C$4:$R$498, 12, FALSE)</f>
        <v>#N/A</v>
      </c>
      <c r="J198" s="11" t="str">
        <f>VLOOKUP($G198, SeanRanks!$A$2:$H$303, 5, FALSE)</f>
        <v/>
      </c>
      <c r="K198" s="11" t="str">
        <f>IF(VLOOKUP($G198, SeanRanks!$A$2:$H$303, 6, FALSE)=0, "", VLOOKUP($G198, SeanRanks!$A$2:$H$303, 6, FALSE))</f>
        <v/>
      </c>
      <c r="L198" s="11">
        <f t="shared" si="5"/>
        <v>16</v>
      </c>
      <c r="M198" s="11" t="str">
        <f>VLOOKUP($G198, 'ADP Data'!$C$4:$Q$300, 9, FALSE)</f>
        <v>#N/A</v>
      </c>
      <c r="N198" s="11" t="str">
        <f t="shared" si="6"/>
        <v>#N/A</v>
      </c>
      <c r="O198" s="11" t="str">
        <f>VLOOKUP($G198, 'ADP Data'!$C$4:$Q$300, 3, FALSE)</f>
        <v>#N/A</v>
      </c>
      <c r="P198" s="11" t="str">
        <f t="shared" si="7"/>
        <v>#N/A</v>
      </c>
      <c r="Q198" s="11" t="str">
        <f>VLOOKUP($G198, 'ADP Data'!$C$4:$Q$300, 4, FALSE)</f>
        <v>#N/A</v>
      </c>
      <c r="R198" s="11" t="str">
        <f>VLOOKUP($G198, 'ADP Data'!$C$4:$Q$300, 5, FALSE)</f>
        <v>#N/A</v>
      </c>
      <c r="S198" s="11" t="str">
        <f>VLOOKUP($G198, 'ADP Data'!$C$4:$Q$300, 6, FALSE)</f>
        <v>#N/A</v>
      </c>
      <c r="T198" s="11" t="str">
        <f>VLOOKUP($G198, 'ADP Data'!$C$4:$Q$300, 7, FALSE)</f>
        <v>#N/A</v>
      </c>
      <c r="U198" s="11" t="str">
        <f>VLOOKUP($G198, 'ADP Data'!$C$4:$Q$300, 8, FALSE)</f>
        <v>#N/A</v>
      </c>
      <c r="V198" s="11" t="str">
        <f t="shared" si="8"/>
        <v>#N/A</v>
      </c>
      <c r="W198" s="11">
        <f t="shared" si="9"/>
        <v>16</v>
      </c>
      <c r="X198" s="11">
        <f t="shared" si="10"/>
        <v>-16</v>
      </c>
      <c r="Y198" s="11" t="str">
        <f>VLOOKUP($G198, SeanRanks!$A$2:$K$303, 10, FALSE)-V198</f>
        <v>#N/A</v>
      </c>
      <c r="Z198" s="29" t="str">
        <f>IF(VLOOKUP($G198, SeanRanks!$A$2:$H$303, 7, FALSE)=0, "", VLOOKUP($G198, SeanRanks!$A$2:$H$303, 7, FALSE))</f>
        <v/>
      </c>
    </row>
    <row r="199" ht="14.25" hidden="1" customHeight="1">
      <c r="A199" s="11"/>
      <c r="B199" s="11" t="str">
        <f t="shared" si="4"/>
        <v>#N/A</v>
      </c>
      <c r="C199" s="11" t="s">
        <v>106</v>
      </c>
      <c r="D199" s="11"/>
      <c r="E199" s="11"/>
      <c r="F199" s="11" t="str">
        <f>VLOOKUP(G199, SeanRanks!$A$2:$E$302, 4, FALSE)</f>
        <v>#N/A</v>
      </c>
      <c r="G199" s="11" t="s">
        <v>540</v>
      </c>
      <c r="H199" s="11" t="str">
        <f>VLOOKUP($G199, 'ADP Data'!$C$4:$Q$300, 2, FALSE)</f>
        <v>#N/A</v>
      </c>
      <c r="I199" s="11" t="str">
        <f>VLOOKUP(G199, 'ADP Data'!$C$4:$R$498, 12, FALSE)</f>
        <v>#N/A</v>
      </c>
      <c r="J199" s="11" t="str">
        <f>VLOOKUP($G199, SeanRanks!$A$2:$H$303, 5, FALSE)</f>
        <v>#N/A</v>
      </c>
      <c r="K199" s="11" t="str">
        <f>IF(VLOOKUP($G199, SeanRanks!$A$2:$H$303, 6, FALSE)=0, "", VLOOKUP($G199, SeanRanks!$A$2:$H$303, 6, FALSE))</f>
        <v>#N/A</v>
      </c>
      <c r="L199" s="11">
        <f t="shared" si="5"/>
        <v>16</v>
      </c>
      <c r="M199" s="11" t="str">
        <f>VLOOKUP($G199, 'ADP Data'!$C$4:$Q$300, 9, FALSE)</f>
        <v>#N/A</v>
      </c>
      <c r="N199" s="11" t="str">
        <f t="shared" si="6"/>
        <v>#N/A</v>
      </c>
      <c r="O199" s="11" t="str">
        <f>VLOOKUP($G199, 'ADP Data'!$C$4:$Q$300, 3, FALSE)</f>
        <v>#N/A</v>
      </c>
      <c r="P199" s="11" t="str">
        <f t="shared" si="7"/>
        <v>#N/A</v>
      </c>
      <c r="Q199" s="11" t="str">
        <f>VLOOKUP($G199, 'ADP Data'!$C$4:$Q$300, 4, FALSE)</f>
        <v>#N/A</v>
      </c>
      <c r="R199" s="11" t="str">
        <f>VLOOKUP($G199, 'ADP Data'!$C$4:$Q$300, 5, FALSE)</f>
        <v>#N/A</v>
      </c>
      <c r="S199" s="11" t="str">
        <f>VLOOKUP($G199, 'ADP Data'!$C$4:$Q$300, 6, FALSE)</f>
        <v>#N/A</v>
      </c>
      <c r="T199" s="11" t="str">
        <f>VLOOKUP($G199, 'ADP Data'!$C$4:$Q$300, 7, FALSE)</f>
        <v>#N/A</v>
      </c>
      <c r="U199" s="11" t="str">
        <f>VLOOKUP($G199, 'ADP Data'!$C$4:$Q$300, 8, FALSE)</f>
        <v>#N/A</v>
      </c>
      <c r="V199" s="11" t="str">
        <f t="shared" si="8"/>
        <v>#N/A</v>
      </c>
      <c r="W199" s="11">
        <f t="shared" si="9"/>
        <v>16</v>
      </c>
      <c r="X199" s="11">
        <f t="shared" si="10"/>
        <v>-16</v>
      </c>
      <c r="Y199" s="11" t="str">
        <f>VLOOKUP($G199, SeanRanks!$A$2:$K$303, 10, FALSE)-V199</f>
        <v>#N/A</v>
      </c>
      <c r="Z199" s="29" t="str">
        <f>IF(VLOOKUP($G199, SeanRanks!$A$2:$H$303, 7, FALSE)=0, "", VLOOKUP($G199, SeanRanks!$A$2:$H$303, 7, FALSE))</f>
        <v>#N/A</v>
      </c>
    </row>
    <row r="200" ht="14.25" hidden="1" customHeight="1">
      <c r="A200" s="11"/>
      <c r="B200" s="11">
        <f t="shared" si="4"/>
        <v>13</v>
      </c>
      <c r="C200" s="11" t="s">
        <v>106</v>
      </c>
      <c r="D200" s="11"/>
      <c r="E200" s="11"/>
      <c r="F200" s="11" t="str">
        <f>VLOOKUP(G200, SeanRanks!$A$2:$E$302, 4, FALSE)</f>
        <v/>
      </c>
      <c r="G200" s="11" t="s">
        <v>906</v>
      </c>
      <c r="H200" s="11" t="str">
        <f>VLOOKUP($G200, 'ADP Data'!$C$4:$Q$300, 2, FALSE)</f>
        <v>DEN</v>
      </c>
      <c r="I200" s="11">
        <f>VLOOKUP(G200, 'ADP Data'!$C$4:$R$498, 12, FALSE)</f>
        <v>115</v>
      </c>
      <c r="J200" s="11" t="str">
        <f>VLOOKUP($G200, SeanRanks!$A$2:$H$303, 5, FALSE)</f>
        <v/>
      </c>
      <c r="K200" s="11" t="str">
        <f>IF(VLOOKUP($G200, SeanRanks!$A$2:$H$303, 6, FALSE)=0, "", VLOOKUP($G200, SeanRanks!$A$2:$H$303, 6, FALSE))</f>
        <v>WR6 - dart throw upside</v>
      </c>
      <c r="L200" s="11">
        <f t="shared" si="5"/>
        <v>18</v>
      </c>
      <c r="M200" s="11">
        <f>VLOOKUP($G200, 'ADP Data'!$C$4:$Q$300, 9, FALSE)</f>
        <v>140</v>
      </c>
      <c r="N200" s="11">
        <f t="shared" si="6"/>
        <v>-7</v>
      </c>
      <c r="O200" s="11">
        <f>VLOOKUP($G200, 'ADP Data'!$C$4:$Q$300, 3, FALSE)</f>
        <v>171</v>
      </c>
      <c r="P200" s="11">
        <f t="shared" si="7"/>
        <v>-31</v>
      </c>
      <c r="Q200" s="11">
        <f>VLOOKUP($G200, 'ADP Data'!$C$4:$Q$300, 4, FALSE)</f>
        <v>167</v>
      </c>
      <c r="R200" s="11">
        <f>VLOOKUP($G200, 'ADP Data'!$C$4:$Q$300, 5, FALSE)</f>
        <v>131</v>
      </c>
      <c r="S200" s="11">
        <f>VLOOKUP($G200, 'ADP Data'!$C$4:$Q$300, 6, FALSE)</f>
        <v>136</v>
      </c>
      <c r="T200" s="11">
        <f>VLOOKUP($G200, 'ADP Data'!$C$4:$Q$300, 7, FALSE)</f>
        <v>113</v>
      </c>
      <c r="U200" s="11">
        <f>VLOOKUP($G200, 'ADP Data'!$C$4:$Q$300, 8, FALSE)</f>
        <v>174</v>
      </c>
      <c r="V200" s="11">
        <f t="shared" si="8"/>
        <v>147</v>
      </c>
      <c r="W200" s="11">
        <f t="shared" si="9"/>
        <v>19</v>
      </c>
      <c r="X200" s="11">
        <f t="shared" si="10"/>
        <v>-19</v>
      </c>
      <c r="Y200" s="11">
        <f>VLOOKUP($G200, SeanRanks!$A$2:$K$303, 10, FALSE)-V200</f>
        <v>7</v>
      </c>
      <c r="Z200" s="29">
        <f>IF(VLOOKUP($G200, SeanRanks!$A$2:$H$303, 7, FALSE)=0, "", VLOOKUP($G200, SeanRanks!$A$2:$H$303, 7, FALSE))</f>
        <v>60</v>
      </c>
    </row>
    <row r="201" ht="14.25" hidden="1" customHeight="1">
      <c r="A201" s="11"/>
      <c r="B201" s="11" t="str">
        <f t="shared" si="4"/>
        <v>#N/A</v>
      </c>
      <c r="C201" s="11" t="s">
        <v>106</v>
      </c>
      <c r="D201" s="11"/>
      <c r="E201" s="11"/>
      <c r="F201" s="11" t="str">
        <f>VLOOKUP(G201, SeanRanks!$A$2:$E$302, 4, FALSE)</f>
        <v>#N/A</v>
      </c>
      <c r="G201" s="11" t="s">
        <v>907</v>
      </c>
      <c r="H201" s="11" t="str">
        <f>VLOOKUP($G201, 'ADP Data'!$C$4:$Q$300, 2, FALSE)</f>
        <v>#N/A</v>
      </c>
      <c r="I201" s="11" t="str">
        <f>VLOOKUP(G201, 'ADP Data'!$C$4:$R$498, 12, FALSE)</f>
        <v>#N/A</v>
      </c>
      <c r="J201" s="61" t="str">
        <f>VLOOKUP($G201, SeanRanks!$A$2:$H$303, 5, FALSE)</f>
        <v>#N/A</v>
      </c>
      <c r="K201" s="11" t="str">
        <f>IF(VLOOKUP($G201, SeanRanks!$A$2:$H$303, 6, FALSE)=0, "", VLOOKUP($G201, SeanRanks!$A$2:$H$303, 6, FALSE))</f>
        <v>#N/A</v>
      </c>
      <c r="L201" s="11">
        <f t="shared" si="5"/>
        <v>16</v>
      </c>
      <c r="M201" s="11" t="str">
        <f>VLOOKUP($G201, 'ADP Data'!$C$4:$Q$300, 9, FALSE)</f>
        <v>#N/A</v>
      </c>
      <c r="N201" s="11" t="str">
        <f t="shared" si="6"/>
        <v>#N/A</v>
      </c>
      <c r="O201" s="11" t="str">
        <f>VLOOKUP($G201, 'ADP Data'!$C$4:$Q$300, 3, FALSE)</f>
        <v>#N/A</v>
      </c>
      <c r="P201" s="11" t="str">
        <f t="shared" si="7"/>
        <v>#N/A</v>
      </c>
      <c r="Q201" s="11" t="str">
        <f>VLOOKUP($G201, 'ADP Data'!$C$4:$Q$300, 4, FALSE)</f>
        <v>#N/A</v>
      </c>
      <c r="R201" s="11" t="str">
        <f>VLOOKUP($G201, 'ADP Data'!$C$4:$Q$300, 5, FALSE)</f>
        <v>#N/A</v>
      </c>
      <c r="S201" s="11" t="str">
        <f>VLOOKUP($G201, 'ADP Data'!$C$4:$Q$300, 6, FALSE)</f>
        <v>#N/A</v>
      </c>
      <c r="T201" s="11" t="str">
        <f>VLOOKUP($G201, 'ADP Data'!$C$4:$Q$300, 7, FALSE)</f>
        <v>#N/A</v>
      </c>
      <c r="U201" s="11" t="str">
        <f>VLOOKUP($G201, 'ADP Data'!$C$4:$Q$300, 8, FALSE)</f>
        <v>#N/A</v>
      </c>
      <c r="V201" s="11" t="str">
        <f t="shared" si="8"/>
        <v>#N/A</v>
      </c>
      <c r="W201" s="11">
        <f t="shared" si="9"/>
        <v>16</v>
      </c>
      <c r="X201" s="11">
        <f t="shared" si="10"/>
        <v>-16</v>
      </c>
      <c r="Y201" s="11" t="str">
        <f>VLOOKUP($G201, SeanRanks!$A$2:$K$303, 10, FALSE)-V201</f>
        <v>#N/A</v>
      </c>
      <c r="Z201" s="29" t="str">
        <f>IF(VLOOKUP($G201, SeanRanks!$A$2:$H$303, 7, FALSE)=0, "", VLOOKUP($G201, SeanRanks!$A$2:$H$303, 7, FALSE))</f>
        <v>#N/A</v>
      </c>
    </row>
    <row r="202" ht="14.25" hidden="1" customHeight="1">
      <c r="A202" s="11"/>
      <c r="B202" s="11" t="str">
        <f t="shared" si="4"/>
        <v>#N/A</v>
      </c>
      <c r="C202" s="11" t="s">
        <v>106</v>
      </c>
      <c r="D202" s="11"/>
      <c r="E202" s="11"/>
      <c r="F202" s="11" t="str">
        <f>VLOOKUP(G202, SeanRanks!$A$2:$E$302, 4, FALSE)</f>
        <v>#N/A</v>
      </c>
      <c r="G202" s="11" t="s">
        <v>908</v>
      </c>
      <c r="H202" s="11" t="str">
        <f>VLOOKUP($G202, 'ADP Data'!$C$4:$Q$300, 2, FALSE)</f>
        <v>#N/A</v>
      </c>
      <c r="I202" s="11" t="str">
        <f>VLOOKUP(G202, 'ADP Data'!$C$4:$R$498, 12, FALSE)</f>
        <v>#N/A</v>
      </c>
      <c r="J202" s="11" t="str">
        <f>VLOOKUP($G202, SeanRanks!$A$2:$H$303, 5, FALSE)</f>
        <v>#N/A</v>
      </c>
      <c r="K202" s="11" t="str">
        <f>IF(VLOOKUP($G202, SeanRanks!$A$2:$H$303, 6, FALSE)=0, "", VLOOKUP($G202, SeanRanks!$A$2:$H$303, 6, FALSE))</f>
        <v>#N/A</v>
      </c>
      <c r="L202" s="11">
        <f t="shared" si="5"/>
        <v>16</v>
      </c>
      <c r="M202" s="11" t="str">
        <f>VLOOKUP($G202, 'ADP Data'!$C$4:$Q$300, 9, FALSE)</f>
        <v>#N/A</v>
      </c>
      <c r="N202" s="11" t="str">
        <f t="shared" si="6"/>
        <v>#N/A</v>
      </c>
      <c r="O202" s="11" t="str">
        <f>VLOOKUP($G202, 'ADP Data'!$C$4:$Q$300, 3, FALSE)</f>
        <v>#N/A</v>
      </c>
      <c r="P202" s="11" t="str">
        <f t="shared" si="7"/>
        <v>#N/A</v>
      </c>
      <c r="Q202" s="11" t="str">
        <f>VLOOKUP($G202, 'ADP Data'!$C$4:$Q$300, 4, FALSE)</f>
        <v>#N/A</v>
      </c>
      <c r="R202" s="11" t="str">
        <f>VLOOKUP($G202, 'ADP Data'!$C$4:$Q$300, 5, FALSE)</f>
        <v>#N/A</v>
      </c>
      <c r="S202" s="11" t="str">
        <f>VLOOKUP($G202, 'ADP Data'!$C$4:$Q$300, 6, FALSE)</f>
        <v>#N/A</v>
      </c>
      <c r="T202" s="11" t="str">
        <f>VLOOKUP($G202, 'ADP Data'!$C$4:$Q$300, 7, FALSE)</f>
        <v>#N/A</v>
      </c>
      <c r="U202" s="11" t="str">
        <f>VLOOKUP($G202, 'ADP Data'!$C$4:$Q$300, 8, FALSE)</f>
        <v>#N/A</v>
      </c>
      <c r="V202" s="11" t="str">
        <f t="shared" si="8"/>
        <v>#N/A</v>
      </c>
      <c r="W202" s="11">
        <f t="shared" si="9"/>
        <v>16</v>
      </c>
      <c r="X202" s="11">
        <f t="shared" si="10"/>
        <v>-16</v>
      </c>
      <c r="Y202" s="11" t="str">
        <f>VLOOKUP($G202, SeanRanks!$A$2:$K$303, 10, FALSE)-V202</f>
        <v>#N/A</v>
      </c>
      <c r="Z202" s="29" t="str">
        <f>IF(VLOOKUP($G202, SeanRanks!$A$2:$H$303, 7, FALSE)=0, "", VLOOKUP($G202, SeanRanks!$A$2:$H$303, 7, FALSE))</f>
        <v>#N/A</v>
      </c>
    </row>
    <row r="203" ht="14.25" hidden="1" customHeight="1">
      <c r="A203" s="11"/>
      <c r="B203" s="11">
        <f t="shared" si="4"/>
        <v>16</v>
      </c>
      <c r="C203" s="11" t="s">
        <v>106</v>
      </c>
      <c r="D203" s="11"/>
      <c r="E203" s="11"/>
      <c r="F203" s="11" t="str">
        <f>VLOOKUP(G203, SeanRanks!$A$2:$E$302, 4, FALSE)</f>
        <v/>
      </c>
      <c r="G203" s="11" t="s">
        <v>308</v>
      </c>
      <c r="H203" s="11" t="str">
        <f>VLOOKUP($G203, 'ADP Data'!$C$4:$Q$300, 2, FALSE)</f>
        <v>NYG</v>
      </c>
      <c r="I203" s="11">
        <f>VLOOKUP(G203, 'ADP Data'!$C$4:$R$498, 12, FALSE)</f>
        <v>166</v>
      </c>
      <c r="J203" s="11" t="str">
        <f>VLOOKUP($G203, SeanRanks!$A$2:$H$303, 5, FALSE)</f>
        <v/>
      </c>
      <c r="K203" s="11" t="str">
        <f>IF(VLOOKUP($G203, SeanRanks!$A$2:$H$303, 6, FALSE)=0, "", VLOOKUP($G203, SeanRanks!$A$2:$H$303, 6, FALSE))</f>
        <v/>
      </c>
      <c r="L203" s="11">
        <f t="shared" si="5"/>
        <v>26</v>
      </c>
      <c r="M203" s="11">
        <f>VLOOKUP($G203, 'ADP Data'!$C$4:$Q$300, 9, FALSE)</f>
        <v>206</v>
      </c>
      <c r="N203" s="11">
        <f t="shared" si="6"/>
        <v>19</v>
      </c>
      <c r="O203" s="11">
        <f>VLOOKUP($G203, 'ADP Data'!$C$4:$Q$300, 3, FALSE)</f>
        <v>165</v>
      </c>
      <c r="P203" s="11">
        <f t="shared" si="7"/>
        <v>41</v>
      </c>
      <c r="Q203" s="11">
        <f>VLOOKUP($G203, 'ADP Data'!$C$4:$Q$300, 4, FALSE)</f>
        <v>174</v>
      </c>
      <c r="R203" s="11">
        <f>VLOOKUP($G203, 'ADP Data'!$C$4:$Q$300, 5, FALSE)</f>
        <v>206</v>
      </c>
      <c r="S203" s="11">
        <f>VLOOKUP($G203, 'ADP Data'!$C$4:$Q$300, 6, FALSE)</f>
        <v>169</v>
      </c>
      <c r="T203" s="11">
        <f>VLOOKUP($G203, 'ADP Data'!$C$4:$Q$300, 7, FALSE)</f>
        <v>146</v>
      </c>
      <c r="U203" s="11">
        <f>VLOOKUP($G203, 'ADP Data'!$C$4:$Q$300, 8, FALSE)</f>
        <v>249</v>
      </c>
      <c r="V203" s="11">
        <f t="shared" si="8"/>
        <v>187</v>
      </c>
      <c r="W203" s="11">
        <f t="shared" si="9"/>
        <v>24</v>
      </c>
      <c r="X203" s="11">
        <f t="shared" si="10"/>
        <v>-24</v>
      </c>
      <c r="Y203" s="11">
        <f>VLOOKUP($G203, SeanRanks!$A$2:$K$303, 10, FALSE)-V203</f>
        <v>-19</v>
      </c>
      <c r="Z203" s="29" t="str">
        <f>IF(VLOOKUP($G203, SeanRanks!$A$2:$H$303, 7, FALSE)=0, "", VLOOKUP($G203, SeanRanks!$A$2:$H$303, 7, FALSE))</f>
        <v/>
      </c>
    </row>
    <row r="204" ht="14.25" hidden="1" customHeight="1">
      <c r="A204" s="11"/>
      <c r="B204" s="11">
        <f t="shared" si="4"/>
        <v>19</v>
      </c>
      <c r="C204" s="11" t="s">
        <v>106</v>
      </c>
      <c r="D204" s="11"/>
      <c r="E204" s="11"/>
      <c r="F204" s="11" t="str">
        <f>VLOOKUP(G204, SeanRanks!$A$2:$E$302, 4, FALSE)</f>
        <v/>
      </c>
      <c r="G204" s="11" t="s">
        <v>280</v>
      </c>
      <c r="H204" s="11" t="str">
        <f>VLOOKUP($G204, 'ADP Data'!$C$4:$Q$300, 2, FALSE)</f>
        <v>LAC</v>
      </c>
      <c r="I204" s="11">
        <f>VLOOKUP(G204, 'ADP Data'!$C$4:$R$498, 12, FALSE)</f>
        <v>204</v>
      </c>
      <c r="J204" s="11" t="str">
        <f>VLOOKUP($G204, SeanRanks!$A$2:$H$303, 5, FALSE)</f>
        <v/>
      </c>
      <c r="K204" s="11" t="str">
        <f>IF(VLOOKUP($G204, SeanRanks!$A$2:$H$303, 6, FALSE)=0, "", VLOOKUP($G204, SeanRanks!$A$2:$H$303, 6, FALSE))</f>
        <v/>
      </c>
      <c r="L204" s="11">
        <f t="shared" si="5"/>
        <v>27</v>
      </c>
      <c r="M204" s="11">
        <f>VLOOKUP($G204, 'ADP Data'!$C$4:$Q$300, 9, FALSE)</f>
        <v>212</v>
      </c>
      <c r="N204" s="11">
        <f t="shared" si="6"/>
        <v>-8</v>
      </c>
      <c r="O204" s="11">
        <f>VLOOKUP($G204, 'ADP Data'!$C$4:$Q$300, 3, FALSE)</f>
        <v>197</v>
      </c>
      <c r="P204" s="11">
        <f t="shared" si="7"/>
        <v>15</v>
      </c>
      <c r="Q204" s="11" t="str">
        <f>VLOOKUP($G204, 'ADP Data'!$C$4:$Q$300, 4, FALSE)</f>
        <v>-</v>
      </c>
      <c r="R204" s="11">
        <f>VLOOKUP($G204, 'ADP Data'!$C$4:$Q$300, 5, FALSE)</f>
        <v>227</v>
      </c>
      <c r="S204" s="11">
        <f>VLOOKUP($G204, 'ADP Data'!$C$4:$Q$300, 6, FALSE)</f>
        <v>226</v>
      </c>
      <c r="T204" s="11">
        <f>VLOOKUP($G204, 'ADP Data'!$C$4:$Q$300, 7, FALSE)</f>
        <v>180</v>
      </c>
      <c r="U204" s="11">
        <f>VLOOKUP($G204, 'ADP Data'!$C$4:$Q$300, 8, FALSE)</f>
        <v>278</v>
      </c>
      <c r="V204" s="11">
        <f t="shared" si="8"/>
        <v>220</v>
      </c>
      <c r="W204" s="11">
        <f t="shared" si="9"/>
        <v>28</v>
      </c>
      <c r="X204" s="11">
        <f t="shared" si="10"/>
        <v>-28</v>
      </c>
      <c r="Y204" s="11">
        <f>VLOOKUP($G204, SeanRanks!$A$2:$K$303, 10, FALSE)-V204</f>
        <v>16</v>
      </c>
      <c r="Z204" s="29" t="str">
        <f>IF(VLOOKUP($G204, SeanRanks!$A$2:$H$303, 7, FALSE)=0, "", VLOOKUP($G204, SeanRanks!$A$2:$H$303, 7, FALSE))</f>
        <v/>
      </c>
    </row>
    <row r="205" ht="14.25" hidden="1" customHeight="1">
      <c r="A205" s="11"/>
      <c r="B205" s="11" t="str">
        <f t="shared" si="4"/>
        <v>#N/A</v>
      </c>
      <c r="C205" s="11" t="s">
        <v>106</v>
      </c>
      <c r="D205" s="11"/>
      <c r="E205" s="11"/>
      <c r="F205" s="11" t="str">
        <f>VLOOKUP(G205, SeanRanks!$A$2:$E$302, 4, FALSE)</f>
        <v>#N/A</v>
      </c>
      <c r="G205" s="11" t="s">
        <v>909</v>
      </c>
      <c r="H205" s="11" t="str">
        <f>VLOOKUP($G205, 'ADP Data'!$C$4:$Q$300, 2, FALSE)</f>
        <v>#N/A</v>
      </c>
      <c r="I205" s="11" t="str">
        <f>VLOOKUP(G205, 'ADP Data'!$C$4:$R$498, 12, FALSE)</f>
        <v>#N/A</v>
      </c>
      <c r="J205" s="11" t="str">
        <f>VLOOKUP($G205, SeanRanks!$A$2:$H$303, 5, FALSE)</f>
        <v>#N/A</v>
      </c>
      <c r="K205" s="11" t="str">
        <f>IF(VLOOKUP($G205, SeanRanks!$A$2:$H$303, 6, FALSE)=0, "", VLOOKUP($G205, SeanRanks!$A$2:$H$303, 6, FALSE))</f>
        <v>#N/A</v>
      </c>
      <c r="L205" s="11">
        <f t="shared" si="5"/>
        <v>16</v>
      </c>
      <c r="M205" s="11" t="str">
        <f>VLOOKUP($G205, 'ADP Data'!$C$4:$Q$300, 9, FALSE)</f>
        <v>#N/A</v>
      </c>
      <c r="N205" s="11" t="str">
        <f t="shared" si="6"/>
        <v>#N/A</v>
      </c>
      <c r="O205" s="11" t="str">
        <f>VLOOKUP($G205, 'ADP Data'!$C$4:$Q$300, 3, FALSE)</f>
        <v>#N/A</v>
      </c>
      <c r="P205" s="11" t="str">
        <f t="shared" si="7"/>
        <v>#N/A</v>
      </c>
      <c r="Q205" s="11" t="str">
        <f>VLOOKUP($G205, 'ADP Data'!$C$4:$Q$300, 4, FALSE)</f>
        <v>#N/A</v>
      </c>
      <c r="R205" s="11" t="str">
        <f>VLOOKUP($G205, 'ADP Data'!$C$4:$Q$300, 5, FALSE)</f>
        <v>#N/A</v>
      </c>
      <c r="S205" s="11" t="str">
        <f>VLOOKUP($G205, 'ADP Data'!$C$4:$Q$300, 6, FALSE)</f>
        <v>#N/A</v>
      </c>
      <c r="T205" s="11" t="str">
        <f>VLOOKUP($G205, 'ADP Data'!$C$4:$Q$300, 7, FALSE)</f>
        <v>#N/A</v>
      </c>
      <c r="U205" s="11" t="str">
        <f>VLOOKUP($G205, 'ADP Data'!$C$4:$Q$300, 8, FALSE)</f>
        <v>#N/A</v>
      </c>
      <c r="V205" s="11" t="str">
        <f t="shared" si="8"/>
        <v>#N/A</v>
      </c>
      <c r="W205" s="11">
        <f t="shared" si="9"/>
        <v>16</v>
      </c>
      <c r="X205" s="11">
        <f t="shared" si="10"/>
        <v>-16</v>
      </c>
      <c r="Y205" s="11" t="str">
        <f>VLOOKUP($G205, SeanRanks!$A$2:$K$303, 10, FALSE)-V205</f>
        <v>#N/A</v>
      </c>
      <c r="Z205" s="29" t="str">
        <f>IF(VLOOKUP($G205, SeanRanks!$A$2:$H$303, 7, FALSE)=0, "", VLOOKUP($G205, SeanRanks!$A$2:$H$303, 7, FALSE))</f>
        <v>#N/A</v>
      </c>
    </row>
    <row r="206" ht="14.25" hidden="1" customHeight="1">
      <c r="A206" s="11"/>
      <c r="B206" s="11">
        <f t="shared" si="4"/>
        <v>17</v>
      </c>
      <c r="C206" s="11" t="s">
        <v>106</v>
      </c>
      <c r="D206" s="11"/>
      <c r="E206" s="11"/>
      <c r="F206" s="11" t="str">
        <f>VLOOKUP(G206, SeanRanks!$A$2:$E$302, 4, FALSE)</f>
        <v/>
      </c>
      <c r="G206" s="11" t="s">
        <v>538</v>
      </c>
      <c r="H206" s="11" t="str">
        <f>VLOOKUP($G206, 'ADP Data'!$C$4:$Q$300, 2, FALSE)</f>
        <v>DET</v>
      </c>
      <c r="I206" s="11" t="str">
        <f>VLOOKUP(G206, 'ADP Data'!$C$4:$R$498, 12, FALSE)</f>
        <v>-</v>
      </c>
      <c r="J206" s="11" t="str">
        <f>VLOOKUP($G206, SeanRanks!$A$2:$H$303, 5, FALSE)</f>
        <v/>
      </c>
      <c r="K206" s="11" t="str">
        <f>IF(VLOOKUP($G206, SeanRanks!$A$2:$H$303, 6, FALSE)=0, "", VLOOKUP($G206, SeanRanks!$A$2:$H$303, 6, FALSE))</f>
        <v/>
      </c>
      <c r="L206" s="11">
        <f t="shared" si="5"/>
        <v>24</v>
      </c>
      <c r="M206" s="11">
        <f>VLOOKUP($G206, 'ADP Data'!$C$4:$Q$300, 9, FALSE)</f>
        <v>187</v>
      </c>
      <c r="N206" s="11">
        <f t="shared" si="6"/>
        <v>-8</v>
      </c>
      <c r="O206" s="11">
        <f>VLOOKUP($G206, 'ADP Data'!$C$4:$Q$300, 3, FALSE)</f>
        <v>178</v>
      </c>
      <c r="P206" s="11">
        <f t="shared" si="7"/>
        <v>9</v>
      </c>
      <c r="Q206" s="11">
        <f>VLOOKUP($G206, 'ADP Data'!$C$4:$Q$300, 4, FALSE)</f>
        <v>136</v>
      </c>
      <c r="R206" s="11">
        <f>VLOOKUP($G206, 'ADP Data'!$C$4:$Q$300, 5, FALSE)</f>
        <v>257</v>
      </c>
      <c r="S206" s="11">
        <f>VLOOKUP($G206, 'ADP Data'!$C$4:$Q$300, 6, FALSE)</f>
        <v>254</v>
      </c>
      <c r="T206" s="11">
        <f>VLOOKUP($G206, 'ADP Data'!$C$4:$Q$300, 7, FALSE)</f>
        <v>201</v>
      </c>
      <c r="U206" s="11">
        <f>VLOOKUP($G206, 'ADP Data'!$C$4:$Q$300, 8, FALSE)</f>
        <v>152</v>
      </c>
      <c r="V206" s="11">
        <f t="shared" si="8"/>
        <v>195</v>
      </c>
      <c r="W206" s="11">
        <f t="shared" si="9"/>
        <v>25</v>
      </c>
      <c r="X206" s="11">
        <f t="shared" si="10"/>
        <v>-25</v>
      </c>
      <c r="Y206" s="11">
        <f>VLOOKUP($G206, SeanRanks!$A$2:$K$303, 10, FALSE)-V206</f>
        <v>-9</v>
      </c>
      <c r="Z206" s="29" t="str">
        <f>IF(VLOOKUP($G206, SeanRanks!$A$2:$H$303, 7, FALSE)=0, "", VLOOKUP($G206, SeanRanks!$A$2:$H$303, 7, FALSE))</f>
        <v/>
      </c>
    </row>
    <row r="207" ht="14.25" hidden="1" customHeight="1">
      <c r="A207" s="11"/>
      <c r="B207" s="11">
        <f t="shared" si="4"/>
        <v>16</v>
      </c>
      <c r="C207" s="11" t="s">
        <v>106</v>
      </c>
      <c r="D207" s="11"/>
      <c r="E207" s="11"/>
      <c r="F207" s="11" t="str">
        <f>VLOOKUP(G207, SeanRanks!$A$2:$E$302, 4, FALSE)</f>
        <v/>
      </c>
      <c r="G207" s="11" t="s">
        <v>481</v>
      </c>
      <c r="H207" s="11" t="str">
        <f>VLOOKUP($G207, 'ADP Data'!$C$4:$Q$300, 2, FALSE)</f>
        <v>CAR</v>
      </c>
      <c r="I207" s="11">
        <f>VLOOKUP(G207, 'ADP Data'!$C$4:$R$498, 12, FALSE)</f>
        <v>146</v>
      </c>
      <c r="J207" s="11" t="str">
        <f>VLOOKUP($G207, SeanRanks!$A$2:$H$303, 5, FALSE)</f>
        <v/>
      </c>
      <c r="K207" s="11" t="str">
        <f>IF(VLOOKUP($G207, SeanRanks!$A$2:$H$303, 6, FALSE)=0, "", VLOOKUP($G207, SeanRanks!$A$2:$H$303, 6, FALSE))</f>
        <v>QB3 - League Winner?</v>
      </c>
      <c r="L207" s="11">
        <f t="shared" si="5"/>
        <v>26</v>
      </c>
      <c r="M207" s="11">
        <f>VLOOKUP($G207, 'ADP Data'!$C$4:$Q$300, 9, FALSE)</f>
        <v>201</v>
      </c>
      <c r="N207" s="11">
        <f t="shared" si="6"/>
        <v>17</v>
      </c>
      <c r="O207" s="11">
        <f>VLOOKUP($G207, 'ADP Data'!$C$4:$Q$300, 3, FALSE)</f>
        <v>190</v>
      </c>
      <c r="P207" s="11">
        <f t="shared" si="7"/>
        <v>11</v>
      </c>
      <c r="Q207" s="11">
        <f>VLOOKUP($G207, 'ADP Data'!$C$4:$Q$300, 4, FALSE)</f>
        <v>193</v>
      </c>
      <c r="R207" s="11">
        <f>VLOOKUP($G207, 'ADP Data'!$C$4:$Q$300, 5, FALSE)</f>
        <v>187</v>
      </c>
      <c r="S207" s="11">
        <f>VLOOKUP($G207, 'ADP Data'!$C$4:$Q$300, 6, FALSE)</f>
        <v>170</v>
      </c>
      <c r="T207" s="11">
        <f>VLOOKUP($G207, 'ADP Data'!$C$4:$Q$300, 7, FALSE)</f>
        <v>157</v>
      </c>
      <c r="U207" s="11">
        <f>VLOOKUP($G207, 'ADP Data'!$C$4:$Q$300, 8, FALSE)</f>
        <v>194</v>
      </c>
      <c r="V207" s="11">
        <f t="shared" si="8"/>
        <v>184</v>
      </c>
      <c r="W207" s="11">
        <f t="shared" si="9"/>
        <v>24</v>
      </c>
      <c r="X207" s="11">
        <f t="shared" si="10"/>
        <v>-24</v>
      </c>
      <c r="Y207" s="11">
        <f>VLOOKUP($G207, SeanRanks!$A$2:$K$303, 10, FALSE)-V207</f>
        <v>-48</v>
      </c>
      <c r="Z207" s="29">
        <f>IF(VLOOKUP($G207, SeanRanks!$A$2:$H$303, 7, FALSE)=0, "", VLOOKUP($G207, SeanRanks!$A$2:$H$303, 7, FALSE))</f>
        <v>21</v>
      </c>
    </row>
    <row r="208" ht="14.25" hidden="1" customHeight="1">
      <c r="A208" s="11"/>
      <c r="B208" s="11" t="str">
        <f t="shared" si="4"/>
        <v>#N/A</v>
      </c>
      <c r="C208" s="11" t="s">
        <v>106</v>
      </c>
      <c r="D208" s="11"/>
      <c r="E208" s="11"/>
      <c r="F208" s="11" t="str">
        <f>VLOOKUP(G208, SeanRanks!$A$2:$E$302, 4, FALSE)</f>
        <v>#N/A</v>
      </c>
      <c r="G208" s="11" t="s">
        <v>732</v>
      </c>
      <c r="H208" s="11" t="str">
        <f>VLOOKUP($G208, 'ADP Data'!$C$4:$Q$300, 2, FALSE)</f>
        <v>#N/A</v>
      </c>
      <c r="I208" s="11" t="str">
        <f>VLOOKUP(G208, 'ADP Data'!$C$4:$R$498, 12, FALSE)</f>
        <v>#N/A</v>
      </c>
      <c r="J208" s="11" t="str">
        <f>VLOOKUP($G208, SeanRanks!$A$2:$H$303, 5, FALSE)</f>
        <v>#N/A</v>
      </c>
      <c r="K208" s="11" t="str">
        <f>IF(VLOOKUP($G208, SeanRanks!$A$2:$H$303, 6, FALSE)=0, "", VLOOKUP($G208, SeanRanks!$A$2:$H$303, 6, FALSE))</f>
        <v>#N/A</v>
      </c>
      <c r="L208" s="11">
        <f t="shared" si="5"/>
        <v>16</v>
      </c>
      <c r="M208" s="11" t="str">
        <f>VLOOKUP($G208, 'ADP Data'!$C$4:$Q$300, 9, FALSE)</f>
        <v>#N/A</v>
      </c>
      <c r="N208" s="11" t="str">
        <f t="shared" si="6"/>
        <v>#N/A</v>
      </c>
      <c r="O208" s="11" t="str">
        <f>VLOOKUP($G208, 'ADP Data'!$C$4:$Q$300, 3, FALSE)</f>
        <v>#N/A</v>
      </c>
      <c r="P208" s="11" t="str">
        <f t="shared" si="7"/>
        <v>#N/A</v>
      </c>
      <c r="Q208" s="11" t="str">
        <f>VLOOKUP($G208, 'ADP Data'!$C$4:$Q$300, 4, FALSE)</f>
        <v>#N/A</v>
      </c>
      <c r="R208" s="11" t="str">
        <f>VLOOKUP($G208, 'ADP Data'!$C$4:$Q$300, 5, FALSE)</f>
        <v>#N/A</v>
      </c>
      <c r="S208" s="11" t="str">
        <f>VLOOKUP($G208, 'ADP Data'!$C$4:$Q$300, 6, FALSE)</f>
        <v>#N/A</v>
      </c>
      <c r="T208" s="11" t="str">
        <f>VLOOKUP($G208, 'ADP Data'!$C$4:$Q$300, 7, FALSE)</f>
        <v>#N/A</v>
      </c>
      <c r="U208" s="11" t="str">
        <f>VLOOKUP($G208, 'ADP Data'!$C$4:$Q$300, 8, FALSE)</f>
        <v>#N/A</v>
      </c>
      <c r="V208" s="11" t="str">
        <f t="shared" si="8"/>
        <v>#N/A</v>
      </c>
      <c r="W208" s="11">
        <f t="shared" si="9"/>
        <v>16</v>
      </c>
      <c r="X208" s="11">
        <f t="shared" si="10"/>
        <v>-16</v>
      </c>
      <c r="Y208" s="11" t="str">
        <f>VLOOKUP($G208, SeanRanks!$A$2:$K$303, 10, FALSE)-V208</f>
        <v>#N/A</v>
      </c>
      <c r="Z208" s="29" t="str">
        <f>IF(VLOOKUP($G208, SeanRanks!$A$2:$H$303, 7, FALSE)=0, "", VLOOKUP($G208, SeanRanks!$A$2:$H$303, 7, FALSE))</f>
        <v>#N/A</v>
      </c>
    </row>
    <row r="209" ht="14.25" hidden="1" customHeight="1">
      <c r="A209" s="11"/>
      <c r="B209" s="11">
        <f t="shared" si="4"/>
        <v>14</v>
      </c>
      <c r="C209" s="11" t="s">
        <v>106</v>
      </c>
      <c r="D209" s="11"/>
      <c r="E209" s="11"/>
      <c r="F209" s="11" t="str">
        <f>VLOOKUP(G209, SeanRanks!$A$2:$E$302, 4, FALSE)</f>
        <v/>
      </c>
      <c r="G209" s="11" t="s">
        <v>910</v>
      </c>
      <c r="H209" s="11" t="str">
        <f>VLOOKUP($G209, 'ADP Data'!$C$4:$Q$300, 2, FALSE)</f>
        <v>PIT</v>
      </c>
      <c r="I209" s="11">
        <f>VLOOKUP(G209, 'ADP Data'!$C$4:$R$498, 12, FALSE)</f>
        <v>189</v>
      </c>
      <c r="J209" s="11" t="str">
        <f>VLOOKUP($G209, SeanRanks!$A$2:$H$303, 5, FALSE)</f>
        <v/>
      </c>
      <c r="K209" s="11" t="str">
        <f>IF(VLOOKUP($G209, SeanRanks!$A$2:$H$303, 6, FALSE)=0, "", VLOOKUP($G209, SeanRanks!$A$2:$H$303, 6, FALSE))</f>
        <v/>
      </c>
      <c r="L209" s="11">
        <f t="shared" si="5"/>
        <v>14</v>
      </c>
      <c r="M209" s="11">
        <f>VLOOKUP($G209, 'ADP Data'!$C$4:$Q$300, 9, FALSE)</f>
        <v>110</v>
      </c>
      <c r="N209" s="11">
        <f t="shared" si="6"/>
        <v>-47</v>
      </c>
      <c r="O209" s="11">
        <f>VLOOKUP($G209, 'ADP Data'!$C$4:$Q$300, 3, FALSE)</f>
        <v>183</v>
      </c>
      <c r="P209" s="11">
        <f t="shared" si="7"/>
        <v>-73</v>
      </c>
      <c r="Q209" s="11">
        <f>VLOOKUP($G209, 'ADP Data'!$C$4:$Q$300, 4, FALSE)</f>
        <v>186</v>
      </c>
      <c r="R209" s="11">
        <f>VLOOKUP($G209, 'ADP Data'!$C$4:$Q$300, 5, FALSE)</f>
        <v>203</v>
      </c>
      <c r="S209" s="11">
        <f>VLOOKUP($G209, 'ADP Data'!$C$4:$Q$300, 6, FALSE)</f>
        <v>161</v>
      </c>
      <c r="T209" s="11">
        <f>VLOOKUP($G209, 'ADP Data'!$C$4:$Q$300, 7, FALSE)</f>
        <v>169</v>
      </c>
      <c r="U209" s="11">
        <f>VLOOKUP($G209, 'ADP Data'!$C$4:$Q$300, 8, FALSE)</f>
        <v>91</v>
      </c>
      <c r="V209" s="11">
        <f t="shared" si="8"/>
        <v>157</v>
      </c>
      <c r="W209" s="11">
        <f t="shared" si="9"/>
        <v>20</v>
      </c>
      <c r="X209" s="11">
        <f t="shared" si="10"/>
        <v>-20</v>
      </c>
      <c r="Y209" s="11">
        <f>VLOOKUP($G209, SeanRanks!$A$2:$K$303, 10, FALSE)-V209</f>
        <v>3</v>
      </c>
      <c r="Z209" s="29" t="str">
        <f>IF(VLOOKUP($G209, SeanRanks!$A$2:$H$303, 7, FALSE)=0, "", VLOOKUP($G209, SeanRanks!$A$2:$H$303, 7, FALSE))</f>
        <v/>
      </c>
    </row>
    <row r="210" ht="14.25" hidden="1" customHeight="1">
      <c r="A210" s="11"/>
      <c r="B210" s="11">
        <f t="shared" si="4"/>
        <v>9</v>
      </c>
      <c r="C210" s="11" t="s">
        <v>106</v>
      </c>
      <c r="D210" s="11"/>
      <c r="E210" s="11"/>
      <c r="F210" s="11" t="str">
        <f>VLOOKUP(G210, SeanRanks!$A$2:$E$302, 4, FALSE)</f>
        <v/>
      </c>
      <c r="G210" s="11" t="s">
        <v>812</v>
      </c>
      <c r="H210" s="11" t="str">
        <f>VLOOKUP($G210, 'ADP Data'!$C$4:$Q$300, 2, FALSE)</f>
        <v>NYJ</v>
      </c>
      <c r="I210" s="11">
        <f>VLOOKUP(G210, 'ADP Data'!$C$4:$R$498, 12, FALSE)</f>
        <v>98</v>
      </c>
      <c r="J210" s="11" t="str">
        <f>VLOOKUP($G210, SeanRanks!$A$2:$H$303, 5, FALSE)</f>
        <v/>
      </c>
      <c r="K210" s="11" t="str">
        <f>IF(VLOOKUP($G210, SeanRanks!$A$2:$H$303, 6, FALSE)=0, "", VLOOKUP($G210, SeanRanks!$A$2:$H$303, 6, FALSE))</f>
        <v>QB1 - 4 - Weekly Start</v>
      </c>
      <c r="L210" s="11">
        <f t="shared" si="5"/>
        <v>18</v>
      </c>
      <c r="M210" s="11">
        <f>VLOOKUP($G210, 'ADP Data'!$C$4:$Q$300, 9, FALSE)</f>
        <v>136</v>
      </c>
      <c r="N210" s="11">
        <f t="shared" si="6"/>
        <v>24</v>
      </c>
      <c r="O210" s="11">
        <f>VLOOKUP($G210, 'ADP Data'!$C$4:$Q$300, 3, FALSE)</f>
        <v>116</v>
      </c>
      <c r="P210" s="11">
        <f t="shared" si="7"/>
        <v>20</v>
      </c>
      <c r="Q210" s="11">
        <f>VLOOKUP($G210, 'ADP Data'!$C$4:$Q$300, 4, FALSE)</f>
        <v>120</v>
      </c>
      <c r="R210" s="11">
        <f>VLOOKUP($G210, 'ADP Data'!$C$4:$Q$300, 5, FALSE)</f>
        <v>121</v>
      </c>
      <c r="S210" s="11">
        <f>VLOOKUP($G210, 'ADP Data'!$C$4:$Q$300, 6, FALSE)</f>
        <v>119</v>
      </c>
      <c r="T210" s="11">
        <f>VLOOKUP($G210, 'ADP Data'!$C$4:$Q$300, 7, FALSE)</f>
        <v>112</v>
      </c>
      <c r="U210" s="11">
        <f>VLOOKUP($G210, 'ADP Data'!$C$4:$Q$300, 8, FALSE)</f>
        <v>63</v>
      </c>
      <c r="V210" s="11">
        <f t="shared" si="8"/>
        <v>112</v>
      </c>
      <c r="W210" s="11">
        <f t="shared" si="9"/>
        <v>15</v>
      </c>
      <c r="X210" s="11">
        <f t="shared" si="10"/>
        <v>-15</v>
      </c>
      <c r="Y210" s="11">
        <f>VLOOKUP($G210, SeanRanks!$A$2:$K$303, 10, FALSE)-V210</f>
        <v>-10</v>
      </c>
      <c r="Z210" s="29">
        <f>IF(VLOOKUP($G210, SeanRanks!$A$2:$H$303, 7, FALSE)=0, "", VLOOKUP($G210, SeanRanks!$A$2:$H$303, 7, FALSE))</f>
        <v>10</v>
      </c>
    </row>
    <row r="211" ht="14.25" customHeight="1">
      <c r="A211" s="11"/>
      <c r="B211" s="11">
        <f t="shared" si="4"/>
        <v>8</v>
      </c>
      <c r="C211" s="11" t="s">
        <v>106</v>
      </c>
      <c r="D211" s="11"/>
      <c r="E211" s="11"/>
      <c r="F211" s="11" t="str">
        <f>VLOOKUP(G211, SeanRanks!$A$2:$E$302, 4, FALSE)</f>
        <v/>
      </c>
      <c r="G211" s="11" t="s">
        <v>435</v>
      </c>
      <c r="H211" s="11" t="str">
        <f>VLOOKUP($G211, 'ADP Data'!$C$4:$Q$300, 2, FALSE)</f>
        <v>NYG</v>
      </c>
      <c r="I211" s="11">
        <f>VLOOKUP(G211, 'ADP Data'!$C$4:$R$498, 12, FALSE)</f>
        <v>88</v>
      </c>
      <c r="J211" s="11" t="str">
        <f>VLOOKUP($G211, SeanRanks!$A$2:$H$303, 5, FALSE)</f>
        <v/>
      </c>
      <c r="K211" s="11" t="str">
        <f>IF(VLOOKUP($G211, SeanRanks!$A$2:$H$303, 6, FALSE)=0, "", VLOOKUP($G211, SeanRanks!$A$2:$H$303, 6, FALSE))</f>
        <v>RB3 - 2 - low ceiling</v>
      </c>
      <c r="L211" s="11">
        <f t="shared" si="5"/>
        <v>11</v>
      </c>
      <c r="M211" s="11">
        <f>VLOOKUP($G211, 'ADP Data'!$C$4:$Q$300, 9, FALSE)</f>
        <v>82</v>
      </c>
      <c r="N211" s="11">
        <f t="shared" si="6"/>
        <v>-1</v>
      </c>
      <c r="O211" s="11">
        <f>VLOOKUP($G211, 'ADP Data'!$C$4:$Q$300, 3, FALSE)</f>
        <v>70</v>
      </c>
      <c r="P211" s="11">
        <f t="shared" si="7"/>
        <v>12</v>
      </c>
      <c r="Q211" s="11">
        <f>VLOOKUP($G211, 'ADP Data'!$C$4:$Q$300, 4, FALSE)</f>
        <v>81</v>
      </c>
      <c r="R211" s="11">
        <f>VLOOKUP($G211, 'ADP Data'!$C$4:$Q$300, 5, FALSE)</f>
        <v>90</v>
      </c>
      <c r="S211" s="11">
        <f>VLOOKUP($G211, 'ADP Data'!$C$4:$Q$300, 6, FALSE)</f>
        <v>80</v>
      </c>
      <c r="T211" s="11">
        <f>VLOOKUP($G211, 'ADP Data'!$C$4:$Q$300, 7, FALSE)</f>
        <v>81</v>
      </c>
      <c r="U211" s="11">
        <f>VLOOKUP($G211, 'ADP Data'!$C$4:$Q$300, 8, FALSE)</f>
        <v>101</v>
      </c>
      <c r="V211" s="11">
        <f t="shared" si="8"/>
        <v>83</v>
      </c>
      <c r="W211" s="11">
        <f t="shared" si="9"/>
        <v>11</v>
      </c>
      <c r="X211" s="11">
        <f t="shared" si="10"/>
        <v>-11</v>
      </c>
      <c r="Y211" s="11">
        <f>VLOOKUP($G211, SeanRanks!$A$2:$K$303, 10, FALSE)-V211</f>
        <v>-16</v>
      </c>
      <c r="Z211" s="29">
        <f>IF(VLOOKUP($G211, SeanRanks!$A$2:$H$303, 7, FALSE)=0, "", VLOOKUP($G211, SeanRanks!$A$2:$H$303, 7, FALSE))</f>
        <v>34</v>
      </c>
    </row>
    <row r="212" ht="14.25" hidden="1" customHeight="1">
      <c r="A212" s="11"/>
      <c r="B212" s="11" t="str">
        <f t="shared" si="4"/>
        <v>#N/A</v>
      </c>
      <c r="C212" s="11" t="s">
        <v>106</v>
      </c>
      <c r="D212" s="11"/>
      <c r="E212" s="11"/>
      <c r="F212" s="11" t="str">
        <f>VLOOKUP(G212, SeanRanks!$A$2:$E$302, 4, FALSE)</f>
        <v>#N/A</v>
      </c>
      <c r="G212" s="11" t="s">
        <v>911</v>
      </c>
      <c r="H212" s="11" t="str">
        <f>VLOOKUP($G212, 'ADP Data'!$C$4:$Q$300, 2, FALSE)</f>
        <v>#N/A</v>
      </c>
      <c r="I212" s="11" t="str">
        <f>VLOOKUP(G212, 'ADP Data'!$C$4:$R$498, 12, FALSE)</f>
        <v>#N/A</v>
      </c>
      <c r="J212" s="11" t="str">
        <f>VLOOKUP($G212, SeanRanks!$A$2:$H$303, 5, FALSE)</f>
        <v>#N/A</v>
      </c>
      <c r="K212" s="11" t="str">
        <f>IF(VLOOKUP($G212, SeanRanks!$A$2:$H$303, 6, FALSE)=0, "", VLOOKUP($G212, SeanRanks!$A$2:$H$303, 6, FALSE))</f>
        <v>#N/A</v>
      </c>
      <c r="L212" s="11">
        <f t="shared" si="5"/>
        <v>16</v>
      </c>
      <c r="M212" s="11" t="str">
        <f>VLOOKUP($G212, 'ADP Data'!$C$4:$Q$300, 9, FALSE)</f>
        <v>#N/A</v>
      </c>
      <c r="N212" s="11" t="str">
        <f t="shared" si="6"/>
        <v>#N/A</v>
      </c>
      <c r="O212" s="11" t="str">
        <f>VLOOKUP($G212, 'ADP Data'!$C$4:$Q$300, 3, FALSE)</f>
        <v>#N/A</v>
      </c>
      <c r="P212" s="11" t="str">
        <f t="shared" si="7"/>
        <v>#N/A</v>
      </c>
      <c r="Q212" s="11" t="str">
        <f>VLOOKUP($G212, 'ADP Data'!$C$4:$Q$300, 4, FALSE)</f>
        <v>#N/A</v>
      </c>
      <c r="R212" s="11" t="str">
        <f>VLOOKUP($G212, 'ADP Data'!$C$4:$Q$300, 5, FALSE)</f>
        <v>#N/A</v>
      </c>
      <c r="S212" s="11" t="str">
        <f>VLOOKUP($G212, 'ADP Data'!$C$4:$Q$300, 6, FALSE)</f>
        <v>#N/A</v>
      </c>
      <c r="T212" s="11" t="str">
        <f>VLOOKUP($G212, 'ADP Data'!$C$4:$Q$300, 7, FALSE)</f>
        <v>#N/A</v>
      </c>
      <c r="U212" s="11" t="str">
        <f>VLOOKUP($G212, 'ADP Data'!$C$4:$Q$300, 8, FALSE)</f>
        <v>#N/A</v>
      </c>
      <c r="V212" s="11" t="str">
        <f t="shared" si="8"/>
        <v>#N/A</v>
      </c>
      <c r="W212" s="11">
        <f t="shared" si="9"/>
        <v>16</v>
      </c>
      <c r="X212" s="11">
        <f t="shared" si="10"/>
        <v>-16</v>
      </c>
      <c r="Y212" s="11" t="str">
        <f>VLOOKUP($G212, SeanRanks!$A$2:$K$303, 10, FALSE)-V212</f>
        <v>#N/A</v>
      </c>
      <c r="Z212" s="29" t="str">
        <f>IF(VLOOKUP($G212, SeanRanks!$A$2:$H$303, 7, FALSE)=0, "", VLOOKUP($G212, SeanRanks!$A$2:$H$303, 7, FALSE))</f>
        <v>#N/A</v>
      </c>
    </row>
    <row r="213" ht="14.25" customHeight="1">
      <c r="A213" s="11"/>
      <c r="B213" s="11">
        <f t="shared" si="4"/>
        <v>21</v>
      </c>
      <c r="C213" s="11" t="s">
        <v>106</v>
      </c>
      <c r="D213" s="11"/>
      <c r="E213" s="11"/>
      <c r="F213" s="11" t="str">
        <f>VLOOKUP(G213, SeanRanks!$A$2:$E$302, 4, FALSE)</f>
        <v/>
      </c>
      <c r="G213" s="11" t="s">
        <v>912</v>
      </c>
      <c r="H213" s="11" t="str">
        <f>VLOOKUP($G213, 'ADP Data'!$C$4:$Q$300, 2, FALSE)</f>
        <v>HOU</v>
      </c>
      <c r="I213" s="11">
        <f>VLOOKUP(G213, 'ADP Data'!$C$4:$R$498, 12, FALSE)</f>
        <v>202</v>
      </c>
      <c r="J213" s="11" t="str">
        <f>VLOOKUP($G213, SeanRanks!$A$2:$H$303, 5, FALSE)</f>
        <v/>
      </c>
      <c r="K213" s="11" t="str">
        <f>IF(VLOOKUP($G213, SeanRanks!$A$2:$H$303, 6, FALSE)=0, "", VLOOKUP($G213, SeanRanks!$A$2:$H$303, 6, FALSE))</f>
        <v/>
      </c>
      <c r="L213" s="11">
        <f t="shared" si="5"/>
        <v>16</v>
      </c>
      <c r="M213" s="11" t="str">
        <f>VLOOKUP($G213, 'ADP Data'!$C$4:$Q$300, 9, FALSE)</f>
        <v>-</v>
      </c>
      <c r="N213" s="11" t="str">
        <f t="shared" si="6"/>
        <v>#VALUE!</v>
      </c>
      <c r="O213" s="11" t="str">
        <f>VLOOKUP($G213, 'ADP Data'!$C$4:$Q$300, 3, FALSE)</f>
        <v>-</v>
      </c>
      <c r="P213" s="11" t="str">
        <f t="shared" si="7"/>
        <v>#VALUE!</v>
      </c>
      <c r="Q213" s="11" t="str">
        <f>VLOOKUP($G213, 'ADP Data'!$C$4:$Q$300, 4, FALSE)</f>
        <v>-</v>
      </c>
      <c r="R213" s="11" t="str">
        <f>VLOOKUP($G213, 'ADP Data'!$C$4:$Q$300, 5, FALSE)</f>
        <v>-</v>
      </c>
      <c r="S213" s="11">
        <f>VLOOKUP($G213, 'ADP Data'!$C$4:$Q$300, 6, FALSE)</f>
        <v>209</v>
      </c>
      <c r="T213" s="11">
        <f>VLOOKUP($G213, 'ADP Data'!$C$4:$Q$300, 7, FALSE)</f>
        <v>237</v>
      </c>
      <c r="U213" s="11">
        <f>VLOOKUP($G213, 'ADP Data'!$C$4:$Q$300, 8, FALSE)</f>
        <v>295</v>
      </c>
      <c r="V213" s="11">
        <f t="shared" si="8"/>
        <v>247</v>
      </c>
      <c r="W213" s="11">
        <f t="shared" si="9"/>
        <v>31</v>
      </c>
      <c r="X213" s="11">
        <f t="shared" si="10"/>
        <v>-31</v>
      </c>
      <c r="Y213" s="11">
        <f>VLOOKUP($G213, SeanRanks!$A$2:$K$303, 10, FALSE)-V213</f>
        <v>-18</v>
      </c>
      <c r="Z213" s="29" t="str">
        <f>IF(VLOOKUP($G213, SeanRanks!$A$2:$H$303, 7, FALSE)=0, "", VLOOKUP($G213, SeanRanks!$A$2:$H$303, 7, FALSE))</f>
        <v/>
      </c>
    </row>
    <row r="214" ht="14.25" hidden="1" customHeight="1">
      <c r="A214" s="11"/>
      <c r="B214" s="11">
        <f t="shared" si="4"/>
        <v>25</v>
      </c>
      <c r="C214" s="11" t="s">
        <v>106</v>
      </c>
      <c r="D214" s="11"/>
      <c r="E214" s="11"/>
      <c r="F214" s="11" t="str">
        <f>VLOOKUP(G214, SeanRanks!$A$2:$E$302, 4, FALSE)</f>
        <v/>
      </c>
      <c r="G214" s="11" t="s">
        <v>913</v>
      </c>
      <c r="H214" s="11" t="str">
        <f>VLOOKUP($G214, 'ADP Data'!$C$4:$Q$300, 2, FALSE)</f>
        <v>DAL</v>
      </c>
      <c r="I214" s="11">
        <f>VLOOKUP(G214, 'ADP Data'!$C$4:$R$498, 12, FALSE)</f>
        <v>284</v>
      </c>
      <c r="J214" s="11" t="str">
        <f>VLOOKUP($G214, SeanRanks!$A$2:$H$303, 5, FALSE)</f>
        <v/>
      </c>
      <c r="K214" s="11" t="str">
        <f>IF(VLOOKUP($G214, SeanRanks!$A$2:$H$303, 6, FALSE)=0, "", VLOOKUP($G214, SeanRanks!$A$2:$H$303, 6, FALSE))</f>
        <v/>
      </c>
      <c r="L214" s="11">
        <f t="shared" si="5"/>
        <v>40</v>
      </c>
      <c r="M214" s="11">
        <f>VLOOKUP($G214, 'ADP Data'!$C$4:$Q$300, 9, FALSE)</f>
        <v>319</v>
      </c>
      <c r="N214" s="11">
        <f t="shared" si="6"/>
        <v>16</v>
      </c>
      <c r="O214" s="11" t="str">
        <f>VLOOKUP($G214, 'ADP Data'!$C$4:$Q$300, 3, FALSE)</f>
        <v>-</v>
      </c>
      <c r="P214" s="11" t="str">
        <f t="shared" si="7"/>
        <v>#VALUE!</v>
      </c>
      <c r="Q214" s="11" t="str">
        <f>VLOOKUP($G214, 'ADP Data'!$C$4:$Q$300, 4, FALSE)</f>
        <v>-</v>
      </c>
      <c r="R214" s="11" t="str">
        <f>VLOOKUP($G214, 'ADP Data'!$C$4:$Q$300, 5, FALSE)</f>
        <v>-</v>
      </c>
      <c r="S214" s="11">
        <f>VLOOKUP($G214, 'ADP Data'!$C$4:$Q$300, 6, FALSE)</f>
        <v>340</v>
      </c>
      <c r="T214" s="11">
        <f>VLOOKUP($G214, 'ADP Data'!$C$4:$Q$300, 7, FALSE)</f>
        <v>270</v>
      </c>
      <c r="U214" s="11">
        <f>VLOOKUP($G214, 'ADP Data'!$C$4:$Q$300, 8, FALSE)</f>
        <v>284</v>
      </c>
      <c r="V214" s="11">
        <f t="shared" si="8"/>
        <v>303</v>
      </c>
      <c r="W214" s="11">
        <f t="shared" si="9"/>
        <v>38</v>
      </c>
      <c r="X214" s="11">
        <f t="shared" si="10"/>
        <v>-38</v>
      </c>
      <c r="Y214" s="11" t="str">
        <f>VLOOKUP($G214, SeanRanks!$A$2:$K$303, 10, FALSE)-V214</f>
        <v>#VALUE!</v>
      </c>
      <c r="Z214" s="29" t="str">
        <f>IF(VLOOKUP($G214, SeanRanks!$A$2:$H$303, 7, FALSE)=0, "", VLOOKUP($G214, SeanRanks!$A$2:$H$303, 7, FALSE))</f>
        <v/>
      </c>
    </row>
    <row r="215" ht="14.25" hidden="1" customHeight="1">
      <c r="A215" s="11"/>
      <c r="B215" s="11">
        <f t="shared" si="4"/>
        <v>23</v>
      </c>
      <c r="C215" s="11" t="s">
        <v>106</v>
      </c>
      <c r="D215" s="11"/>
      <c r="E215" s="11"/>
      <c r="F215" s="11" t="str">
        <f>VLOOKUP(G215, SeanRanks!$A$2:$E$302, 4, FALSE)</f>
        <v/>
      </c>
      <c r="G215" s="11" t="s">
        <v>411</v>
      </c>
      <c r="H215" s="11" t="str">
        <f>VLOOKUP($G215, 'ADP Data'!$C$4:$Q$300, 2, FALSE)</f>
        <v>IND</v>
      </c>
      <c r="I215" s="11">
        <f>VLOOKUP(G215, 'ADP Data'!$C$4:$R$498, 12, FALSE)</f>
        <v>188</v>
      </c>
      <c r="J215" s="11" t="str">
        <f>VLOOKUP($G215, SeanRanks!$A$2:$H$303, 5, FALSE)</f>
        <v>Yes</v>
      </c>
      <c r="K215" s="11" t="str">
        <f>IF(VLOOKUP($G215, SeanRanks!$A$2:$H$303, 6, FALSE)=0, "", VLOOKUP($G215, SeanRanks!$A$2:$H$303, 6, FALSE))</f>
        <v>Fine very late round pick</v>
      </c>
      <c r="L215" s="11">
        <f t="shared" si="5"/>
        <v>35</v>
      </c>
      <c r="M215" s="11">
        <f>VLOOKUP($G215, 'ADP Data'!$C$4:$Q$300, 9, FALSE)</f>
        <v>277</v>
      </c>
      <c r="N215" s="11">
        <f t="shared" si="6"/>
        <v>24</v>
      </c>
      <c r="O215" s="11">
        <f>VLOOKUP($G215, 'ADP Data'!$C$4:$Q$300, 3, FALSE)</f>
        <v>156</v>
      </c>
      <c r="P215" s="11">
        <f t="shared" si="7"/>
        <v>121</v>
      </c>
      <c r="Q215" s="11" t="str">
        <f>VLOOKUP($G215, 'ADP Data'!$C$4:$Q$300, 4, FALSE)</f>
        <v>-</v>
      </c>
      <c r="R215" s="11">
        <f>VLOOKUP($G215, 'ADP Data'!$C$4:$Q$300, 5, FALSE)</f>
        <v>310</v>
      </c>
      <c r="S215" s="11">
        <f>VLOOKUP($G215, 'ADP Data'!$C$4:$Q$300, 6, FALSE)</f>
        <v>231</v>
      </c>
      <c r="T215" s="11">
        <f>VLOOKUP($G215, 'ADP Data'!$C$4:$Q$300, 7, FALSE)</f>
        <v>236</v>
      </c>
      <c r="U215" s="11">
        <f>VLOOKUP($G215, 'ADP Data'!$C$4:$Q$300, 8, FALSE)</f>
        <v>310</v>
      </c>
      <c r="V215" s="11">
        <f t="shared" si="8"/>
        <v>253</v>
      </c>
      <c r="W215" s="11">
        <f t="shared" si="9"/>
        <v>32</v>
      </c>
      <c r="X215" s="11">
        <f t="shared" si="10"/>
        <v>-32</v>
      </c>
      <c r="Y215" s="11">
        <f>VLOOKUP($G215, SeanRanks!$A$2:$K$303, 10, FALSE)-V215</f>
        <v>-8</v>
      </c>
      <c r="Z215" s="29">
        <f>IF(VLOOKUP($G215, SeanRanks!$A$2:$H$303, 7, FALSE)=0, "", VLOOKUP($G215, SeanRanks!$A$2:$H$303, 7, FALSE))</f>
        <v>25</v>
      </c>
    </row>
    <row r="216" ht="14.25" hidden="1" customHeight="1">
      <c r="A216" s="11"/>
      <c r="B216" s="11">
        <f t="shared" si="4"/>
        <v>19</v>
      </c>
      <c r="C216" s="11" t="s">
        <v>106</v>
      </c>
      <c r="D216" s="11"/>
      <c r="E216" s="11"/>
      <c r="F216" s="11" t="str">
        <f>VLOOKUP(G216, SeanRanks!$A$2:$E$302, 4, FALSE)</f>
        <v/>
      </c>
      <c r="G216" s="11" t="s">
        <v>915</v>
      </c>
      <c r="H216" s="11" t="str">
        <f>VLOOKUP($G216, 'ADP Data'!$C$4:$Q$300, 2, FALSE)</f>
        <v>TB</v>
      </c>
      <c r="I216" s="11" t="str">
        <f>VLOOKUP(G216, 'ADP Data'!$C$4:$R$498, 12, FALSE)</f>
        <v>-</v>
      </c>
      <c r="J216" s="11" t="str">
        <f>VLOOKUP($G216, SeanRanks!$A$2:$H$303, 5, FALSE)</f>
        <v/>
      </c>
      <c r="K216" s="11" t="str">
        <f>IF(VLOOKUP($G216, SeanRanks!$A$2:$H$303, 6, FALSE)=0, "", VLOOKUP($G216, SeanRanks!$A$2:$H$303, 6, FALSE))</f>
        <v/>
      </c>
      <c r="L216" s="11">
        <f t="shared" si="5"/>
        <v>24</v>
      </c>
      <c r="M216" s="11">
        <f>VLOOKUP($G216, 'ADP Data'!$C$4:$Q$300, 9, FALSE)</f>
        <v>184</v>
      </c>
      <c r="N216" s="11">
        <f t="shared" si="6"/>
        <v>-36</v>
      </c>
      <c r="O216" s="11" t="str">
        <f>VLOOKUP($G216, 'ADP Data'!$C$4:$Q$300, 3, FALSE)</f>
        <v>-</v>
      </c>
      <c r="P216" s="11" t="str">
        <f t="shared" si="7"/>
        <v>#VALUE!</v>
      </c>
      <c r="Q216" s="11">
        <f>VLOOKUP($G216, 'ADP Data'!$C$4:$Q$300, 4, FALSE)</f>
        <v>202</v>
      </c>
      <c r="R216" s="11">
        <f>VLOOKUP($G216, 'ADP Data'!$C$4:$Q$300, 5, FALSE)</f>
        <v>228</v>
      </c>
      <c r="S216" s="11">
        <f>VLOOKUP($G216, 'ADP Data'!$C$4:$Q$300, 6, FALSE)</f>
        <v>317</v>
      </c>
      <c r="T216" s="11">
        <f>VLOOKUP($G216, 'ADP Data'!$C$4:$Q$300, 7, FALSE)</f>
        <v>254</v>
      </c>
      <c r="U216" s="11">
        <f>VLOOKUP($G216, 'ADP Data'!$C$4:$Q$300, 8, FALSE)</f>
        <v>138</v>
      </c>
      <c r="V216" s="11">
        <f t="shared" si="8"/>
        <v>220</v>
      </c>
      <c r="W216" s="11">
        <f t="shared" si="9"/>
        <v>28</v>
      </c>
      <c r="X216" s="11">
        <f t="shared" si="10"/>
        <v>-28</v>
      </c>
      <c r="Y216" s="11" t="str">
        <f>VLOOKUP($G216, SeanRanks!$A$2:$K$303, 10, FALSE)-V216</f>
        <v>#VALUE!</v>
      </c>
      <c r="Z216" s="29" t="str">
        <f>IF(VLOOKUP($G216, SeanRanks!$A$2:$H$303, 7, FALSE)=0, "", VLOOKUP($G216, SeanRanks!$A$2:$H$303, 7, FALSE))</f>
        <v/>
      </c>
    </row>
    <row r="217" ht="14.25" hidden="1" customHeight="1">
      <c r="A217" s="11"/>
      <c r="B217" s="11" t="str">
        <f t="shared" si="4"/>
        <v>#N/A</v>
      </c>
      <c r="C217" s="11" t="s">
        <v>106</v>
      </c>
      <c r="D217" s="11"/>
      <c r="E217" s="11"/>
      <c r="F217" s="11" t="str">
        <f>VLOOKUP(G217, SeanRanks!$A$2:$E$302, 4, FALSE)</f>
        <v>#N/A</v>
      </c>
      <c r="G217" s="11" t="s">
        <v>916</v>
      </c>
      <c r="H217" s="11" t="str">
        <f>VLOOKUP($G217, 'ADP Data'!$C$4:$Q$300, 2, FALSE)</f>
        <v>#N/A</v>
      </c>
      <c r="I217" s="11" t="str">
        <f>VLOOKUP(G217, 'ADP Data'!$C$4:$R$498, 12, FALSE)</f>
        <v>#N/A</v>
      </c>
      <c r="J217" s="11" t="str">
        <f>VLOOKUP($G217, SeanRanks!$A$2:$H$303, 5, FALSE)</f>
        <v>#N/A</v>
      </c>
      <c r="K217" s="11" t="str">
        <f>IF(VLOOKUP($G217, SeanRanks!$A$2:$H$303, 6, FALSE)=0, "", VLOOKUP($G217, SeanRanks!$A$2:$H$303, 6, FALSE))</f>
        <v>#N/A</v>
      </c>
      <c r="L217" s="11">
        <f t="shared" si="5"/>
        <v>16</v>
      </c>
      <c r="M217" s="11" t="str">
        <f>VLOOKUP($G217, 'ADP Data'!$C$4:$Q$300, 9, FALSE)</f>
        <v>#N/A</v>
      </c>
      <c r="N217" s="11" t="str">
        <f t="shared" si="6"/>
        <v>#N/A</v>
      </c>
      <c r="O217" s="11" t="str">
        <f>VLOOKUP($G217, 'ADP Data'!$C$4:$Q$300, 3, FALSE)</f>
        <v>#N/A</v>
      </c>
      <c r="P217" s="11" t="str">
        <f t="shared" si="7"/>
        <v>#N/A</v>
      </c>
      <c r="Q217" s="11" t="str">
        <f>VLOOKUP($G217, 'ADP Data'!$C$4:$Q$300, 4, FALSE)</f>
        <v>#N/A</v>
      </c>
      <c r="R217" s="11" t="str">
        <f>VLOOKUP($G217, 'ADP Data'!$C$4:$Q$300, 5, FALSE)</f>
        <v>#N/A</v>
      </c>
      <c r="S217" s="11" t="str">
        <f>VLOOKUP($G217, 'ADP Data'!$C$4:$Q$300, 6, FALSE)</f>
        <v>#N/A</v>
      </c>
      <c r="T217" s="11" t="str">
        <f>VLOOKUP($G217, 'ADP Data'!$C$4:$Q$300, 7, FALSE)</f>
        <v>#N/A</v>
      </c>
      <c r="U217" s="11" t="str">
        <f>VLOOKUP($G217, 'ADP Data'!$C$4:$Q$300, 8, FALSE)</f>
        <v>#N/A</v>
      </c>
      <c r="V217" s="11" t="str">
        <f t="shared" si="8"/>
        <v>#N/A</v>
      </c>
      <c r="W217" s="11">
        <f t="shared" si="9"/>
        <v>16</v>
      </c>
      <c r="X217" s="11">
        <f t="shared" si="10"/>
        <v>-16</v>
      </c>
      <c r="Y217" s="11" t="str">
        <f>VLOOKUP($G217, SeanRanks!$A$2:$K$303, 10, FALSE)-V217</f>
        <v>#N/A</v>
      </c>
      <c r="Z217" s="29" t="str">
        <f>IF(VLOOKUP($G217, SeanRanks!$A$2:$H$303, 7, FALSE)=0, "", VLOOKUP($G217, SeanRanks!$A$2:$H$303, 7, FALSE))</f>
        <v>#N/A</v>
      </c>
    </row>
    <row r="218" ht="14.25" customHeight="1">
      <c r="A218" s="11"/>
      <c r="B218" s="11">
        <f t="shared" si="4"/>
        <v>20</v>
      </c>
      <c r="C218" s="11" t="s">
        <v>106</v>
      </c>
      <c r="D218" s="11"/>
      <c r="E218" s="11"/>
      <c r="F218" s="11" t="str">
        <f>VLOOKUP(G218, SeanRanks!$A$2:$E$302, 4, FALSE)</f>
        <v/>
      </c>
      <c r="G218" s="11" t="s">
        <v>917</v>
      </c>
      <c r="H218" s="11" t="str">
        <f>VLOOKUP($G218, 'ADP Data'!$C$4:$Q$300, 2, FALSE)</f>
        <v>CHI</v>
      </c>
      <c r="I218" s="11">
        <f>VLOOKUP(G218, 'ADP Data'!$C$4:$R$498, 12, FALSE)</f>
        <v>220</v>
      </c>
      <c r="J218" s="11" t="str">
        <f>VLOOKUP($G218, SeanRanks!$A$2:$H$303, 5, FALSE)</f>
        <v/>
      </c>
      <c r="K218" s="11" t="str">
        <f>IF(VLOOKUP($G218, SeanRanks!$A$2:$H$303, 6, FALSE)=0, "", VLOOKUP($G218, SeanRanks!$A$2:$H$303, 6, FALSE))</f>
        <v/>
      </c>
      <c r="L218" s="11">
        <f t="shared" si="5"/>
        <v>26</v>
      </c>
      <c r="M218" s="11">
        <f>VLOOKUP($G218, 'ADP Data'!$C$4:$Q$300, 9, FALSE)</f>
        <v>203</v>
      </c>
      <c r="N218" s="11">
        <f t="shared" si="6"/>
        <v>-25</v>
      </c>
      <c r="O218" s="11">
        <f>VLOOKUP($G218, 'ADP Data'!$C$4:$Q$300, 3, FALSE)</f>
        <v>213</v>
      </c>
      <c r="P218" s="11">
        <f t="shared" si="7"/>
        <v>-10</v>
      </c>
      <c r="Q218" s="11" t="str">
        <f>VLOOKUP($G218, 'ADP Data'!$C$4:$Q$300, 4, FALSE)</f>
        <v>-</v>
      </c>
      <c r="R218" s="11">
        <f>VLOOKUP($G218, 'ADP Data'!$C$4:$Q$300, 5, FALSE)</f>
        <v>275</v>
      </c>
      <c r="S218" s="11">
        <f>VLOOKUP($G218, 'ADP Data'!$C$4:$Q$300, 6, FALSE)</f>
        <v>186</v>
      </c>
      <c r="T218" s="11">
        <f>VLOOKUP($G218, 'ADP Data'!$C$4:$Q$300, 7, FALSE)</f>
        <v>188</v>
      </c>
      <c r="U218" s="11">
        <f>VLOOKUP($G218, 'ADP Data'!$C$4:$Q$300, 8, FALSE)</f>
        <v>304</v>
      </c>
      <c r="V218" s="11">
        <f t="shared" si="8"/>
        <v>228</v>
      </c>
      <c r="W218" s="11">
        <f t="shared" si="9"/>
        <v>29</v>
      </c>
      <c r="X218" s="11">
        <f t="shared" si="10"/>
        <v>-29</v>
      </c>
      <c r="Y218" s="11">
        <f>VLOOKUP($G218, SeanRanks!$A$2:$K$303, 10, FALSE)-V218</f>
        <v>-57</v>
      </c>
      <c r="Z218" s="29" t="str">
        <f>IF(VLOOKUP($G218, SeanRanks!$A$2:$H$303, 7, FALSE)=0, "", VLOOKUP($G218, SeanRanks!$A$2:$H$303, 7, FALSE))</f>
        <v/>
      </c>
    </row>
    <row r="219" ht="14.25" hidden="1" customHeight="1">
      <c r="A219" s="11"/>
      <c r="B219" s="11">
        <f t="shared" si="4"/>
        <v>22</v>
      </c>
      <c r="C219" s="11" t="s">
        <v>106</v>
      </c>
      <c r="D219" s="11"/>
      <c r="E219" s="11"/>
      <c r="F219" s="11" t="str">
        <f>VLOOKUP(G219, SeanRanks!$A$2:$E$302, 4, FALSE)</f>
        <v/>
      </c>
      <c r="G219" s="11" t="s">
        <v>918</v>
      </c>
      <c r="H219" s="11" t="str">
        <f>VLOOKUP($G219, 'ADP Data'!$C$4:$Q$300, 2, FALSE)</f>
        <v>IND</v>
      </c>
      <c r="I219" s="11" t="str">
        <f>VLOOKUP(G219, 'ADP Data'!$C$4:$R$498, 12, FALSE)</f>
        <v>-</v>
      </c>
      <c r="J219" s="11" t="str">
        <f>VLOOKUP($G219, SeanRanks!$A$2:$H$303, 5, FALSE)</f>
        <v/>
      </c>
      <c r="K219" s="11" t="str">
        <f>IF(VLOOKUP($G219, SeanRanks!$A$2:$H$303, 6, FALSE)=0, "", VLOOKUP($G219, SeanRanks!$A$2:$H$303, 6, FALSE))</f>
        <v/>
      </c>
      <c r="L219" s="11">
        <f t="shared" si="5"/>
        <v>37</v>
      </c>
      <c r="M219" s="11">
        <f>VLOOKUP($G219, 'ADP Data'!$C$4:$Q$300, 9, FALSE)</f>
        <v>290</v>
      </c>
      <c r="N219" s="11">
        <f t="shared" si="6"/>
        <v>29</v>
      </c>
      <c r="O219" s="11" t="str">
        <f>VLOOKUP($G219, 'ADP Data'!$C$4:$Q$300, 3, FALSE)</f>
        <v>-</v>
      </c>
      <c r="P219" s="11" t="str">
        <f t="shared" si="7"/>
        <v>#VALUE!</v>
      </c>
      <c r="Q219" s="11">
        <f>VLOOKUP($G219, 'ADP Data'!$C$4:$Q$300, 4, FALSE)</f>
        <v>180</v>
      </c>
      <c r="R219" s="11" t="str">
        <f>VLOOKUP($G219, 'ADP Data'!$C$4:$Q$300, 5, FALSE)</f>
        <v>-</v>
      </c>
      <c r="S219" s="11">
        <f>VLOOKUP($G219, 'ADP Data'!$C$4:$Q$300, 6, FALSE)</f>
        <v>331</v>
      </c>
      <c r="T219" s="11">
        <f>VLOOKUP($G219, 'ADP Data'!$C$4:$Q$300, 7, FALSE)</f>
        <v>271</v>
      </c>
      <c r="U219" s="11">
        <f>VLOOKUP($G219, 'ADP Data'!$C$4:$Q$300, 8, FALSE)</f>
        <v>234</v>
      </c>
      <c r="V219" s="11">
        <f t="shared" si="8"/>
        <v>261</v>
      </c>
      <c r="W219" s="11">
        <f t="shared" si="9"/>
        <v>33</v>
      </c>
      <c r="X219" s="11">
        <f t="shared" si="10"/>
        <v>-33</v>
      </c>
      <c r="Y219" s="11" t="str">
        <f>VLOOKUP($G219, SeanRanks!$A$2:$K$303, 10, FALSE)-V219</f>
        <v>#VALUE!</v>
      </c>
      <c r="Z219" s="29" t="str">
        <f>IF(VLOOKUP($G219, SeanRanks!$A$2:$H$303, 7, FALSE)=0, "", VLOOKUP($G219, SeanRanks!$A$2:$H$303, 7, FALSE))</f>
        <v/>
      </c>
    </row>
    <row r="220" ht="14.25" hidden="1" customHeight="1">
      <c r="A220" s="11"/>
      <c r="B220" s="11">
        <f t="shared" si="4"/>
        <v>14</v>
      </c>
      <c r="C220" s="11" t="s">
        <v>106</v>
      </c>
      <c r="D220" s="11"/>
      <c r="E220" s="11"/>
      <c r="F220" s="11" t="str">
        <f>VLOOKUP(G220, SeanRanks!$A$2:$E$302, 4, FALSE)</f>
        <v/>
      </c>
      <c r="G220" s="11" t="s">
        <v>919</v>
      </c>
      <c r="H220" s="11" t="str">
        <f>VLOOKUP($G220, 'ADP Data'!$C$4:$Q$300, 2, FALSE)</f>
        <v>WAS</v>
      </c>
      <c r="I220" s="11">
        <f>VLOOKUP(G220, 'ADP Data'!$C$4:$R$498, 12, FALSE)</f>
        <v>158</v>
      </c>
      <c r="J220" s="11" t="str">
        <f>VLOOKUP($G220, SeanRanks!$A$2:$H$303, 5, FALSE)</f>
        <v/>
      </c>
      <c r="K220" s="11" t="str">
        <f>IF(VLOOKUP($G220, SeanRanks!$A$2:$H$303, 6, FALSE)=0, "", VLOOKUP($G220, SeanRanks!$A$2:$H$303, 6, FALSE))</f>
        <v/>
      </c>
      <c r="L220" s="11">
        <f t="shared" si="5"/>
        <v>21</v>
      </c>
      <c r="M220" s="11">
        <f>VLOOKUP($G220, 'ADP Data'!$C$4:$Q$300, 9, FALSE)</f>
        <v>165</v>
      </c>
      <c r="N220" s="11">
        <f t="shared" si="6"/>
        <v>8</v>
      </c>
      <c r="O220" s="11">
        <f>VLOOKUP($G220, 'ADP Data'!$C$4:$Q$300, 3, FALSE)</f>
        <v>115</v>
      </c>
      <c r="P220" s="11">
        <f t="shared" si="7"/>
        <v>50</v>
      </c>
      <c r="Q220" s="11">
        <f>VLOOKUP($G220, 'ADP Data'!$C$4:$Q$300, 4, FALSE)</f>
        <v>154</v>
      </c>
      <c r="R220" s="11">
        <f>VLOOKUP($G220, 'ADP Data'!$C$4:$Q$300, 5, FALSE)</f>
        <v>207</v>
      </c>
      <c r="S220" s="11">
        <f>VLOOKUP($G220, 'ADP Data'!$C$4:$Q$300, 6, FALSE)</f>
        <v>133</v>
      </c>
      <c r="T220" s="11">
        <f>VLOOKUP($G220, 'ADP Data'!$C$4:$Q$300, 7, FALSE)</f>
        <v>165</v>
      </c>
      <c r="U220" s="11">
        <f>VLOOKUP($G220, 'ADP Data'!$C$4:$Q$300, 8, FALSE)</f>
        <v>162</v>
      </c>
      <c r="V220" s="11">
        <f t="shared" si="8"/>
        <v>157</v>
      </c>
      <c r="W220" s="11">
        <f t="shared" si="9"/>
        <v>20</v>
      </c>
      <c r="X220" s="11">
        <f t="shared" si="10"/>
        <v>-20</v>
      </c>
      <c r="Y220" s="11">
        <f>VLOOKUP($G220, SeanRanks!$A$2:$K$303, 10, FALSE)-V220</f>
        <v>-4</v>
      </c>
      <c r="Z220" s="29" t="str">
        <f>IF(VLOOKUP($G220, SeanRanks!$A$2:$H$303, 7, FALSE)=0, "", VLOOKUP($G220, SeanRanks!$A$2:$H$303, 7, FALSE))</f>
        <v/>
      </c>
    </row>
    <row r="221" ht="14.25" customHeight="1">
      <c r="A221" s="11"/>
      <c r="B221" s="11">
        <f t="shared" si="4"/>
        <v>24</v>
      </c>
      <c r="C221" s="11" t="s">
        <v>106</v>
      </c>
      <c r="D221" s="11"/>
      <c r="E221" s="11"/>
      <c r="F221" s="11" t="str">
        <f>VLOOKUP(G221, SeanRanks!$A$2:$E$302, 4, FALSE)</f>
        <v/>
      </c>
      <c r="G221" s="11" t="s">
        <v>920</v>
      </c>
      <c r="H221" s="11" t="str">
        <f>VLOOKUP($G221, 'ADP Data'!$C$4:$Q$300, 2, FALSE)</f>
        <v>KC</v>
      </c>
      <c r="I221" s="11">
        <f>VLOOKUP(G221, 'ADP Data'!$C$4:$R$498, 12, FALSE)</f>
        <v>283</v>
      </c>
      <c r="J221" s="11" t="str">
        <f>VLOOKUP($G221, SeanRanks!$A$2:$H$303, 5, FALSE)</f>
        <v/>
      </c>
      <c r="K221" s="11" t="str">
        <f>IF(VLOOKUP($G221, SeanRanks!$A$2:$H$303, 6, FALSE)=0, "", VLOOKUP($G221, SeanRanks!$A$2:$H$303, 6, FALSE))</f>
        <v/>
      </c>
      <c r="L221" s="11">
        <f t="shared" si="5"/>
        <v>36</v>
      </c>
      <c r="M221" s="11">
        <f>VLOOKUP($G221, 'ADP Data'!$C$4:$Q$300, 9, FALSE)</f>
        <v>287</v>
      </c>
      <c r="N221" s="11">
        <f t="shared" si="6"/>
        <v>5</v>
      </c>
      <c r="O221" s="11" t="str">
        <f>VLOOKUP($G221, 'ADP Data'!$C$4:$Q$300, 3, FALSE)</f>
        <v>-</v>
      </c>
      <c r="P221" s="11" t="str">
        <f t="shared" si="7"/>
        <v>#VALUE!</v>
      </c>
      <c r="Q221" s="11" t="str">
        <f>VLOOKUP($G221, 'ADP Data'!$C$4:$Q$300, 4, FALSE)</f>
        <v>-</v>
      </c>
      <c r="R221" s="11">
        <f>VLOOKUP($G221, 'ADP Data'!$C$4:$Q$300, 5, FALSE)</f>
        <v>313</v>
      </c>
      <c r="S221" s="11">
        <f>VLOOKUP($G221, 'ADP Data'!$C$4:$Q$300, 6, FALSE)</f>
        <v>293</v>
      </c>
      <c r="T221" s="11">
        <f>VLOOKUP($G221, 'ADP Data'!$C$4:$Q$300, 7, FALSE)</f>
        <v>268</v>
      </c>
      <c r="U221" s="11">
        <f>VLOOKUP($G221, 'ADP Data'!$C$4:$Q$300, 8, FALSE)</f>
        <v>252</v>
      </c>
      <c r="V221" s="11">
        <f t="shared" si="8"/>
        <v>282</v>
      </c>
      <c r="W221" s="11">
        <f t="shared" si="9"/>
        <v>36</v>
      </c>
      <c r="X221" s="11">
        <f t="shared" si="10"/>
        <v>-36</v>
      </c>
      <c r="Y221" s="11" t="str">
        <f>VLOOKUP($G221, SeanRanks!$A$2:$K$303, 10, FALSE)-V221</f>
        <v>#VALUE!</v>
      </c>
      <c r="Z221" s="29" t="str">
        <f>IF(VLOOKUP($G221, SeanRanks!$A$2:$H$303, 7, FALSE)=0, "", VLOOKUP($G221, SeanRanks!$A$2:$H$303, 7, FALSE))</f>
        <v/>
      </c>
    </row>
    <row r="222" ht="14.25" hidden="1" customHeight="1">
      <c r="A222" s="11"/>
      <c r="B222" s="11">
        <f t="shared" si="4"/>
        <v>21</v>
      </c>
      <c r="C222" s="11" t="s">
        <v>106</v>
      </c>
      <c r="D222" s="11"/>
      <c r="E222" s="11"/>
      <c r="F222" s="11" t="str">
        <f>VLOOKUP(G222, SeanRanks!$A$2:$E$302, 4, FALSE)</f>
        <v/>
      </c>
      <c r="G222" s="11" t="s">
        <v>921</v>
      </c>
      <c r="H222" s="11" t="str">
        <f>VLOOKUP($G222, 'ADP Data'!$C$4:$Q$300, 2, FALSE)</f>
        <v>NYG</v>
      </c>
      <c r="I222" s="11">
        <f>VLOOKUP(G222, 'ADP Data'!$C$4:$R$498, 12, FALSE)</f>
        <v>217</v>
      </c>
      <c r="J222" s="11" t="str">
        <f>VLOOKUP($G222, SeanRanks!$A$2:$H$303, 5, FALSE)</f>
        <v/>
      </c>
      <c r="K222" s="11" t="str">
        <f>IF(VLOOKUP($G222, SeanRanks!$A$2:$H$303, 6, FALSE)=0, "", VLOOKUP($G222, SeanRanks!$A$2:$H$303, 6, FALSE))</f>
        <v/>
      </c>
      <c r="L222" s="11">
        <f t="shared" si="5"/>
        <v>34</v>
      </c>
      <c r="M222" s="11">
        <f>VLOOKUP($G222, 'ADP Data'!$C$4:$Q$300, 9, FALSE)</f>
        <v>265</v>
      </c>
      <c r="N222" s="11">
        <f t="shared" si="6"/>
        <v>20</v>
      </c>
      <c r="O222" s="11" t="str">
        <f>VLOOKUP($G222, 'ADP Data'!$C$4:$Q$300, 3, FALSE)</f>
        <v>-</v>
      </c>
      <c r="P222" s="11" t="str">
        <f t="shared" si="7"/>
        <v>#VALUE!</v>
      </c>
      <c r="Q222" s="11">
        <f>VLOOKUP($G222, 'ADP Data'!$C$4:$Q$300, 4, FALSE)</f>
        <v>239</v>
      </c>
      <c r="R222" s="11">
        <f>VLOOKUP($G222, 'ADP Data'!$C$4:$Q$300, 5, FALSE)</f>
        <v>264</v>
      </c>
      <c r="S222" s="11">
        <f>VLOOKUP($G222, 'ADP Data'!$C$4:$Q$300, 6, FALSE)</f>
        <v>243</v>
      </c>
      <c r="T222" s="11">
        <f>VLOOKUP($G222, 'ADP Data'!$C$4:$Q$300, 7, FALSE)</f>
        <v>238</v>
      </c>
      <c r="U222" s="11">
        <f>VLOOKUP($G222, 'ADP Data'!$C$4:$Q$300, 8, FALSE)</f>
        <v>225</v>
      </c>
      <c r="V222" s="11">
        <f t="shared" si="8"/>
        <v>245</v>
      </c>
      <c r="W222" s="11">
        <f t="shared" si="9"/>
        <v>31</v>
      </c>
      <c r="X222" s="11">
        <f t="shared" si="10"/>
        <v>-31</v>
      </c>
      <c r="Y222" s="11" t="str">
        <f>VLOOKUP($G222, SeanRanks!$A$2:$K$303, 10, FALSE)-V222</f>
        <v>#VALUE!</v>
      </c>
      <c r="Z222" s="29" t="str">
        <f>IF(VLOOKUP($G222, SeanRanks!$A$2:$H$303, 7, FALSE)=0, "", VLOOKUP($G222, SeanRanks!$A$2:$H$303, 7, FALSE))</f>
        <v/>
      </c>
    </row>
    <row r="223" ht="14.25" hidden="1" customHeight="1">
      <c r="A223" s="11"/>
      <c r="B223" s="11">
        <f t="shared" si="4"/>
        <v>11</v>
      </c>
      <c r="C223" s="11" t="s">
        <v>106</v>
      </c>
      <c r="D223" s="11"/>
      <c r="E223" s="11"/>
      <c r="F223" s="11" t="str">
        <f>VLOOKUP(G223, SeanRanks!$A$2:$E$302, 4, FALSE)</f>
        <v/>
      </c>
      <c r="G223" s="11" t="s">
        <v>210</v>
      </c>
      <c r="H223" s="11" t="str">
        <f>VLOOKUP($G223, 'ADP Data'!$C$4:$Q$300, 2, FALSE)</f>
        <v>NE</v>
      </c>
      <c r="I223" s="11">
        <f>VLOOKUP(G223, 'ADP Data'!$C$4:$R$498, 12, FALSE)</f>
        <v>110</v>
      </c>
      <c r="J223" s="11" t="str">
        <f>VLOOKUP($G223, SeanRanks!$A$2:$H$303, 5, FALSE)</f>
        <v/>
      </c>
      <c r="K223" s="11" t="str">
        <f>IF(VLOOKUP($G223, SeanRanks!$A$2:$H$303, 6, FALSE)=0, "", VLOOKUP($G223, SeanRanks!$A$2:$H$303, 6, FALSE))</f>
        <v>QB2 - 1 - League Winner</v>
      </c>
      <c r="L223" s="11">
        <f t="shared" si="5"/>
        <v>16</v>
      </c>
      <c r="M223" s="11">
        <f>VLOOKUP($G223, 'ADP Data'!$C$4:$Q$300, 9, FALSE)</f>
        <v>127</v>
      </c>
      <c r="N223" s="11">
        <f t="shared" si="6"/>
        <v>1</v>
      </c>
      <c r="O223" s="11">
        <f>VLOOKUP($G223, 'ADP Data'!$C$4:$Q$300, 3, FALSE)</f>
        <v>130</v>
      </c>
      <c r="P223" s="11">
        <f t="shared" si="7"/>
        <v>-3</v>
      </c>
      <c r="Q223" s="11">
        <f>VLOOKUP($G223, 'ADP Data'!$C$4:$Q$300, 4, FALSE)</f>
        <v>124</v>
      </c>
      <c r="R223" s="11">
        <f>VLOOKUP($G223, 'ADP Data'!$C$4:$Q$300, 5, FALSE)</f>
        <v>130</v>
      </c>
      <c r="S223" s="11">
        <f>VLOOKUP($G223, 'ADP Data'!$C$4:$Q$300, 6, FALSE)</f>
        <v>117</v>
      </c>
      <c r="T223" s="11">
        <f>VLOOKUP($G223, 'ADP Data'!$C$4:$Q$300, 7, FALSE)</f>
        <v>114</v>
      </c>
      <c r="U223" s="11">
        <f>VLOOKUP($G223, 'ADP Data'!$C$4:$Q$300, 8, FALSE)</f>
        <v>144</v>
      </c>
      <c r="V223" s="11">
        <f t="shared" si="8"/>
        <v>126</v>
      </c>
      <c r="W223" s="11">
        <f t="shared" si="9"/>
        <v>16</v>
      </c>
      <c r="X223" s="11">
        <f t="shared" si="10"/>
        <v>-16</v>
      </c>
      <c r="Y223" s="11">
        <f>VLOOKUP($G223, SeanRanks!$A$2:$K$303, 10, FALSE)-V223</f>
        <v>-27</v>
      </c>
      <c r="Z223" s="29">
        <f>IF(VLOOKUP($G223, SeanRanks!$A$2:$H$303, 7, FALSE)=0, "", VLOOKUP($G223, SeanRanks!$A$2:$H$303, 7, FALSE))</f>
        <v>14</v>
      </c>
    </row>
    <row r="224" ht="14.25" customHeight="1">
      <c r="A224" s="11"/>
      <c r="B224" s="11">
        <f t="shared" si="4"/>
        <v>12</v>
      </c>
      <c r="C224" s="11" t="s">
        <v>106</v>
      </c>
      <c r="D224" s="11"/>
      <c r="E224" s="11"/>
      <c r="F224" s="11" t="str">
        <f>VLOOKUP(G224, SeanRanks!$A$2:$E$302, 4, FALSE)</f>
        <v/>
      </c>
      <c r="G224" s="11" t="s">
        <v>407</v>
      </c>
      <c r="H224" s="11" t="str">
        <f>VLOOKUP($G224, 'ADP Data'!$C$4:$Q$300, 2, FALSE)</f>
        <v>JAX</v>
      </c>
      <c r="I224" s="11">
        <f>VLOOKUP(G224, 'ADP Data'!$C$4:$R$498, 12, FALSE)</f>
        <v>126</v>
      </c>
      <c r="J224" s="11" t="str">
        <f>VLOOKUP($G224, SeanRanks!$A$2:$H$303, 5, FALSE)</f>
        <v/>
      </c>
      <c r="K224" s="11" t="str">
        <f>IF(VLOOKUP($G224, SeanRanks!$A$2:$H$303, 6, FALSE)=0, "", VLOOKUP($G224, SeanRanks!$A$2:$H$303, 6, FALSE))</f>
        <v>RB4 - 1 - Path to spikes</v>
      </c>
      <c r="L224" s="11">
        <f t="shared" si="5"/>
        <v>16</v>
      </c>
      <c r="M224" s="11">
        <f>VLOOKUP($G224, 'ADP Data'!$C$4:$Q$300, 9, FALSE)</f>
        <v>122</v>
      </c>
      <c r="N224" s="11">
        <f t="shared" si="6"/>
        <v>-13</v>
      </c>
      <c r="O224" s="11">
        <f>VLOOKUP($G224, 'ADP Data'!$C$4:$Q$300, 3, FALSE)</f>
        <v>105</v>
      </c>
      <c r="P224" s="11">
        <f t="shared" si="7"/>
        <v>17</v>
      </c>
      <c r="Q224" s="11">
        <f>VLOOKUP($G224, 'ADP Data'!$C$4:$Q$300, 4, FALSE)</f>
        <v>132</v>
      </c>
      <c r="R224" s="11">
        <f>VLOOKUP($G224, 'ADP Data'!$C$4:$Q$300, 5, FALSE)</f>
        <v>139</v>
      </c>
      <c r="S224" s="11">
        <f>VLOOKUP($G224, 'ADP Data'!$C$4:$Q$300, 6, FALSE)</f>
        <v>120</v>
      </c>
      <c r="T224" s="11">
        <f>VLOOKUP($G224, 'ADP Data'!$C$4:$Q$300, 7, FALSE)</f>
        <v>118</v>
      </c>
      <c r="U224" s="11">
        <f>VLOOKUP($G224, 'ADP Data'!$C$4:$Q$300, 8, FALSE)</f>
        <v>209</v>
      </c>
      <c r="V224" s="11">
        <f t="shared" si="8"/>
        <v>135</v>
      </c>
      <c r="W224" s="11">
        <f t="shared" si="9"/>
        <v>17</v>
      </c>
      <c r="X224" s="11">
        <f t="shared" si="10"/>
        <v>-17</v>
      </c>
      <c r="Y224" s="11">
        <f>VLOOKUP($G224, SeanRanks!$A$2:$K$303, 10, FALSE)-V224</f>
        <v>-34</v>
      </c>
      <c r="Z224" s="29">
        <f>IF(VLOOKUP($G224, SeanRanks!$A$2:$H$303, 7, FALSE)=0, "", VLOOKUP($G224, SeanRanks!$A$2:$H$303, 7, FALSE))</f>
        <v>38</v>
      </c>
    </row>
    <row r="225" ht="14.25" hidden="1" customHeight="1">
      <c r="A225" s="11"/>
      <c r="B225" s="11">
        <f t="shared" si="4"/>
        <v>18</v>
      </c>
      <c r="C225" s="11" t="s">
        <v>106</v>
      </c>
      <c r="D225" s="11"/>
      <c r="E225" s="11"/>
      <c r="F225" s="11" t="str">
        <f>VLOOKUP(G225, SeanRanks!$A$2:$E$302, 4, FALSE)</f>
        <v/>
      </c>
      <c r="G225" s="11" t="s">
        <v>442</v>
      </c>
      <c r="H225" s="11" t="str">
        <f>VLOOKUP($G225, 'ADP Data'!$C$4:$Q$300, 2, FALSE)</f>
        <v>SEA</v>
      </c>
      <c r="I225" s="11">
        <f>VLOOKUP(G225, 'ADP Data'!$C$4:$R$498, 12, FALSE)</f>
        <v>173</v>
      </c>
      <c r="J225" s="11" t="str">
        <f>VLOOKUP($G225, SeanRanks!$A$2:$H$303, 5, FALSE)</f>
        <v/>
      </c>
      <c r="K225" s="11" t="str">
        <f>IF(VLOOKUP($G225, SeanRanks!$A$2:$H$303, 6, FALSE)=0, "", VLOOKUP($G225, SeanRanks!$A$2:$H$303, 6, FALSE))</f>
        <v>Don’t Draft - Streamer</v>
      </c>
      <c r="L225" s="11">
        <f t="shared" si="5"/>
        <v>29</v>
      </c>
      <c r="M225" s="11">
        <f>VLOOKUP($G225, 'ADP Data'!$C$4:$Q$300, 9, FALSE)</f>
        <v>226</v>
      </c>
      <c r="N225" s="11">
        <f t="shared" si="6"/>
        <v>16</v>
      </c>
      <c r="O225" s="11" t="str">
        <f>VLOOKUP($G225, 'ADP Data'!$C$4:$Q$300, 3, FALSE)</f>
        <v>-</v>
      </c>
      <c r="P225" s="11" t="str">
        <f t="shared" si="7"/>
        <v>#VALUE!</v>
      </c>
      <c r="Q225" s="11">
        <f>VLOOKUP($G225, 'ADP Data'!$C$4:$Q$300, 4, FALSE)</f>
        <v>204</v>
      </c>
      <c r="R225" s="11">
        <f>VLOOKUP($G225, 'ADP Data'!$C$4:$Q$300, 5, FALSE)</f>
        <v>222</v>
      </c>
      <c r="S225" s="11">
        <f>VLOOKUP($G225, 'ADP Data'!$C$4:$Q$300, 6, FALSE)</f>
        <v>213</v>
      </c>
      <c r="T225" s="11">
        <f>VLOOKUP($G225, 'ADP Data'!$C$4:$Q$300, 7, FALSE)</f>
        <v>196</v>
      </c>
      <c r="U225" s="11">
        <f>VLOOKUP($G225, 'ADP Data'!$C$4:$Q$300, 8, FALSE)</f>
        <v>201</v>
      </c>
      <c r="V225" s="11">
        <f t="shared" si="8"/>
        <v>210</v>
      </c>
      <c r="W225" s="11">
        <f t="shared" si="9"/>
        <v>27</v>
      </c>
      <c r="X225" s="11">
        <f t="shared" si="10"/>
        <v>-27</v>
      </c>
      <c r="Y225" s="11">
        <f>VLOOKUP($G225, SeanRanks!$A$2:$K$303, 10, FALSE)-V225</f>
        <v>12</v>
      </c>
      <c r="Z225" s="29" t="str">
        <f>IF(VLOOKUP($G225, SeanRanks!$A$2:$H$303, 7, FALSE)=0, "", VLOOKUP($G225, SeanRanks!$A$2:$H$303, 7, FALSE))</f>
        <v/>
      </c>
    </row>
    <row r="226" ht="14.25" hidden="1" customHeight="1">
      <c r="A226" s="11"/>
      <c r="B226" s="11">
        <f t="shared" si="4"/>
        <v>23</v>
      </c>
      <c r="C226" s="11" t="s">
        <v>106</v>
      </c>
      <c r="D226" s="11"/>
      <c r="E226" s="11"/>
      <c r="F226" s="11" t="str">
        <f>VLOOKUP(G226, SeanRanks!$A$2:$E$302, 4, FALSE)</f>
        <v/>
      </c>
      <c r="G226" s="11" t="s">
        <v>389</v>
      </c>
      <c r="H226" s="11" t="str">
        <f>VLOOKUP($G226, 'ADP Data'!$C$4:$Q$300, 2, FALSE)</f>
        <v>NO</v>
      </c>
      <c r="I226" s="11">
        <f>VLOOKUP(G226, 'ADP Data'!$C$4:$R$498, 12, FALSE)</f>
        <v>212</v>
      </c>
      <c r="J226" s="11" t="str">
        <f>VLOOKUP($G226, SeanRanks!$A$2:$H$303, 5, FALSE)</f>
        <v/>
      </c>
      <c r="K226" s="11" t="str">
        <f>IF(VLOOKUP($G226, SeanRanks!$A$2:$H$303, 6, FALSE)=0, "", VLOOKUP($G226, SeanRanks!$A$2:$H$303, 6, FALSE))</f>
        <v/>
      </c>
      <c r="L226" s="11">
        <f t="shared" si="5"/>
        <v>35</v>
      </c>
      <c r="M226" s="11">
        <f>VLOOKUP($G226, 'ADP Data'!$C$4:$Q$300, 9, FALSE)</f>
        <v>273</v>
      </c>
      <c r="N226" s="11">
        <f t="shared" si="6"/>
        <v>5</v>
      </c>
      <c r="O226" s="11" t="str">
        <f>VLOOKUP($G226, 'ADP Data'!$C$4:$Q$300, 3, FALSE)</f>
        <v>-</v>
      </c>
      <c r="P226" s="11" t="str">
        <f t="shared" si="7"/>
        <v>#VALUE!</v>
      </c>
      <c r="Q226" s="11" t="str">
        <f>VLOOKUP($G226, 'ADP Data'!$C$4:$Q$300, 4, FALSE)</f>
        <v>-</v>
      </c>
      <c r="R226" s="11">
        <f>VLOOKUP($G226, 'ADP Data'!$C$4:$Q$300, 5, FALSE)</f>
        <v>311</v>
      </c>
      <c r="S226" s="11">
        <f>VLOOKUP($G226, 'ADP Data'!$C$4:$Q$300, 6, FALSE)</f>
        <v>223</v>
      </c>
      <c r="T226" s="11">
        <f>VLOOKUP($G226, 'ADP Data'!$C$4:$Q$300, 7, FALSE)</f>
        <v>256</v>
      </c>
      <c r="U226" s="11">
        <f>VLOOKUP($G226, 'ADP Data'!$C$4:$Q$300, 8, FALSE)</f>
        <v>279</v>
      </c>
      <c r="V226" s="11">
        <f t="shared" si="8"/>
        <v>268</v>
      </c>
      <c r="W226" s="11">
        <f t="shared" si="9"/>
        <v>34</v>
      </c>
      <c r="X226" s="11">
        <f t="shared" si="10"/>
        <v>-34</v>
      </c>
      <c r="Y226" s="11" t="str">
        <f>VLOOKUP($G226, SeanRanks!$A$2:$K$303, 10, FALSE)-V226</f>
        <v>#VALUE!</v>
      </c>
      <c r="Z226" s="29" t="str">
        <f>IF(VLOOKUP($G226, SeanRanks!$A$2:$H$303, 7, FALSE)=0, "", VLOOKUP($G226, SeanRanks!$A$2:$H$303, 7, FALSE))</f>
        <v/>
      </c>
    </row>
    <row r="227" ht="14.25" hidden="1" customHeight="1">
      <c r="A227" s="11"/>
      <c r="B227" s="11">
        <f t="shared" si="4"/>
        <v>19</v>
      </c>
      <c r="C227" s="11" t="s">
        <v>106</v>
      </c>
      <c r="D227" s="11"/>
      <c r="E227" s="11"/>
      <c r="F227" s="11" t="str">
        <f>VLOOKUP(G227, SeanRanks!$A$2:$E$302, 4, FALSE)</f>
        <v/>
      </c>
      <c r="G227" s="11" t="s">
        <v>532</v>
      </c>
      <c r="H227" s="11" t="str">
        <f>VLOOKUP($G227, 'ADP Data'!$C$4:$Q$300, 2, FALSE)</f>
        <v>LAC</v>
      </c>
      <c r="I227" s="11" t="str">
        <f>VLOOKUP(G227, 'ADP Data'!$C$4:$R$498, 12, FALSE)</f>
        <v>-</v>
      </c>
      <c r="J227" s="11" t="str">
        <f>VLOOKUP($G227, SeanRanks!$A$2:$H$303, 5, FALSE)</f>
        <v/>
      </c>
      <c r="K227" s="11" t="str">
        <f>IF(VLOOKUP($G227, SeanRanks!$A$2:$H$303, 6, FALSE)=0, "", VLOOKUP($G227, SeanRanks!$A$2:$H$303, 6, FALSE))</f>
        <v/>
      </c>
      <c r="L227" s="11">
        <f t="shared" si="5"/>
        <v>31</v>
      </c>
      <c r="M227" s="11">
        <f>VLOOKUP($G227, 'ADP Data'!$C$4:$Q$300, 9, FALSE)</f>
        <v>246</v>
      </c>
      <c r="N227" s="11">
        <f t="shared" si="6"/>
        <v>26</v>
      </c>
      <c r="O227" s="11">
        <f>VLOOKUP($G227, 'ADP Data'!$C$4:$Q$300, 3, FALSE)</f>
        <v>174</v>
      </c>
      <c r="P227" s="11">
        <f t="shared" si="7"/>
        <v>72</v>
      </c>
      <c r="Q227" s="11">
        <f>VLOOKUP($G227, 'ADP Data'!$C$4:$Q$300, 4, FALSE)</f>
        <v>244</v>
      </c>
      <c r="R227" s="11">
        <f>VLOOKUP($G227, 'ADP Data'!$C$4:$Q$300, 5, FALSE)</f>
        <v>251</v>
      </c>
      <c r="S227" s="11">
        <f>VLOOKUP($G227, 'ADP Data'!$C$4:$Q$300, 6, FALSE)</f>
        <v>273</v>
      </c>
      <c r="T227" s="11">
        <f>VLOOKUP($G227, 'ADP Data'!$C$4:$Q$300, 7, FALSE)</f>
        <v>197</v>
      </c>
      <c r="U227" s="11">
        <f>VLOOKUP($G227, 'ADP Data'!$C$4:$Q$300, 8, FALSE)</f>
        <v>158</v>
      </c>
      <c r="V227" s="11">
        <f t="shared" si="8"/>
        <v>220</v>
      </c>
      <c r="W227" s="11">
        <f t="shared" si="9"/>
        <v>28</v>
      </c>
      <c r="X227" s="11">
        <f t="shared" si="10"/>
        <v>-28</v>
      </c>
      <c r="Y227" s="11">
        <f>VLOOKUP($G227, SeanRanks!$A$2:$K$303, 10, FALSE)-V227</f>
        <v>-33</v>
      </c>
      <c r="Z227" s="29" t="str">
        <f>IF(VLOOKUP($G227, SeanRanks!$A$2:$H$303, 7, FALSE)=0, "", VLOOKUP($G227, SeanRanks!$A$2:$H$303, 7, FALSE))</f>
        <v/>
      </c>
    </row>
    <row r="228" ht="14.25" hidden="1" customHeight="1">
      <c r="A228" s="11"/>
      <c r="B228" s="11">
        <f t="shared" si="4"/>
        <v>18</v>
      </c>
      <c r="C228" s="11" t="s">
        <v>106</v>
      </c>
      <c r="D228" s="11"/>
      <c r="E228" s="11"/>
      <c r="F228" s="11" t="str">
        <f>VLOOKUP(G228, SeanRanks!$A$2:$E$302, 4, FALSE)</f>
        <v/>
      </c>
      <c r="G228" s="11" t="s">
        <v>922</v>
      </c>
      <c r="H228" s="11" t="str">
        <f>VLOOKUP($G228, 'ADP Data'!$C$4:$Q$300, 2, FALSE)</f>
        <v>PHI</v>
      </c>
      <c r="I228" s="11" t="str">
        <f>VLOOKUP(G228, 'ADP Data'!$C$4:$R$498, 12, FALSE)</f>
        <v>-</v>
      </c>
      <c r="J228" s="11" t="str">
        <f>VLOOKUP($G228, SeanRanks!$A$2:$H$303, 5, FALSE)</f>
        <v/>
      </c>
      <c r="K228" s="11" t="str">
        <f>IF(VLOOKUP($G228, SeanRanks!$A$2:$H$303, 6, FALSE)=0, "", VLOOKUP($G228, SeanRanks!$A$2:$H$303, 6, FALSE))</f>
        <v/>
      </c>
      <c r="L228" s="11">
        <f t="shared" si="5"/>
        <v>27</v>
      </c>
      <c r="M228" s="11">
        <f>VLOOKUP($G228, 'ADP Data'!$C$4:$Q$300, 9, FALSE)</f>
        <v>214</v>
      </c>
      <c r="N228" s="11">
        <f t="shared" si="6"/>
        <v>16</v>
      </c>
      <c r="O228" s="11">
        <f>VLOOKUP($G228, 'ADP Data'!$C$4:$Q$300, 3, FALSE)</f>
        <v>182</v>
      </c>
      <c r="P228" s="11">
        <f t="shared" si="7"/>
        <v>32</v>
      </c>
      <c r="Q228" s="11"/>
      <c r="R228" s="11"/>
      <c r="S228" s="11"/>
      <c r="T228" s="11"/>
      <c r="U228" s="11"/>
      <c r="V228" s="11">
        <f t="shared" si="8"/>
        <v>198</v>
      </c>
      <c r="W228" s="11">
        <f t="shared" si="9"/>
        <v>25</v>
      </c>
      <c r="X228" s="11">
        <f t="shared" si="10"/>
        <v>-25</v>
      </c>
      <c r="Y228" s="11">
        <f>VLOOKUP($G228, SeanRanks!$A$2:$K$303, 10, FALSE)-V228</f>
        <v>36</v>
      </c>
      <c r="Z228" s="29" t="str">
        <f>IF(VLOOKUP($G228, SeanRanks!$A$2:$H$303, 7, FALSE)=0, "", VLOOKUP($G228, SeanRanks!$A$2:$H$303, 7, FALSE))</f>
        <v/>
      </c>
    </row>
    <row r="229" ht="14.25" hidden="1" customHeight="1">
      <c r="A229" s="11"/>
      <c r="B229" s="11">
        <f t="shared" si="4"/>
        <v>19</v>
      </c>
      <c r="C229" s="11" t="s">
        <v>106</v>
      </c>
      <c r="D229" s="11"/>
      <c r="E229" s="11"/>
      <c r="F229" s="11" t="str">
        <f>VLOOKUP(G229, SeanRanks!$A$2:$E$302, 4, FALSE)</f>
        <v/>
      </c>
      <c r="G229" s="11" t="s">
        <v>491</v>
      </c>
      <c r="H229" s="11" t="str">
        <f>VLOOKUP($G229, 'ADP Data'!$C$4:$Q$300, 2, FALSE)</f>
        <v>SEA</v>
      </c>
      <c r="I229" s="11" t="str">
        <f>VLOOKUP(G229, 'ADP Data'!$C$4:$R$498, 12, FALSE)</f>
        <v>-</v>
      </c>
      <c r="J229" s="11" t="str">
        <f>VLOOKUP($G229, SeanRanks!$A$2:$H$303, 5, FALSE)</f>
        <v/>
      </c>
      <c r="K229" s="11" t="str">
        <f>IF(VLOOKUP($G229, SeanRanks!$A$2:$H$303, 6, FALSE)=0, "", VLOOKUP($G229, SeanRanks!$A$2:$H$303, 6, FALSE))</f>
        <v/>
      </c>
      <c r="L229" s="11">
        <f t="shared" si="5"/>
        <v>23</v>
      </c>
      <c r="M229" s="11">
        <f>VLOOKUP($G229, 'ADP Data'!$C$4:$Q$300, 9, FALSE)</f>
        <v>183</v>
      </c>
      <c r="N229" s="11">
        <f t="shared" si="6"/>
        <v>-26</v>
      </c>
      <c r="O229" s="11">
        <f>VLOOKUP($G229, 'ADP Data'!$C$4:$Q$300, 3, FALSE)</f>
        <v>196</v>
      </c>
      <c r="P229" s="11">
        <f t="shared" si="7"/>
        <v>-13</v>
      </c>
      <c r="Q229" s="11">
        <f>VLOOKUP($G229, 'ADP Data'!$C$4:$Q$300, 4, FALSE)</f>
        <v>142</v>
      </c>
      <c r="R229" s="11">
        <f>VLOOKUP($G229, 'ADP Data'!$C$4:$Q$300, 5, FALSE)</f>
        <v>273</v>
      </c>
      <c r="S229" s="11">
        <f>VLOOKUP($G229, 'ADP Data'!$C$4:$Q$300, 6, FALSE)</f>
        <v>268</v>
      </c>
      <c r="T229" s="11">
        <f>VLOOKUP($G229, 'ADP Data'!$C$4:$Q$300, 7, FALSE)</f>
        <v>225</v>
      </c>
      <c r="U229" s="11">
        <f>VLOOKUP($G229, 'ADP Data'!$C$4:$Q$300, 8, FALSE)</f>
        <v>179</v>
      </c>
      <c r="V229" s="11">
        <f t="shared" si="8"/>
        <v>209</v>
      </c>
      <c r="W229" s="11">
        <f t="shared" si="9"/>
        <v>27</v>
      </c>
      <c r="X229" s="11">
        <f t="shared" si="10"/>
        <v>-27</v>
      </c>
      <c r="Y229" s="11">
        <f>VLOOKUP($G229, SeanRanks!$A$2:$K$303, 10, FALSE)-V229</f>
        <v>-12</v>
      </c>
      <c r="Z229" s="29" t="str">
        <f>IF(VLOOKUP($G229, SeanRanks!$A$2:$H$303, 7, FALSE)=0, "", VLOOKUP($G229, SeanRanks!$A$2:$H$303, 7, FALSE))</f>
        <v/>
      </c>
    </row>
    <row r="230" ht="14.25" hidden="1" customHeight="1">
      <c r="A230" s="11"/>
      <c r="B230" s="11">
        <f t="shared" si="4"/>
        <v>19</v>
      </c>
      <c r="C230" s="11" t="s">
        <v>106</v>
      </c>
      <c r="D230" s="11"/>
      <c r="E230" s="11"/>
      <c r="F230" s="11" t="str">
        <f>VLOOKUP(G230, SeanRanks!$A$2:$E$302, 4, FALSE)</f>
        <v/>
      </c>
      <c r="G230" s="11" t="s">
        <v>645</v>
      </c>
      <c r="H230" s="11" t="str">
        <f>VLOOKUP($G230, 'ADP Data'!$C$4:$Q$300, 2, FALSE)</f>
        <v>CIN</v>
      </c>
      <c r="I230" s="11">
        <f>VLOOKUP(G230, 'ADP Data'!$C$4:$R$498, 12, FALSE)</f>
        <v>206</v>
      </c>
      <c r="J230" s="11" t="str">
        <f>VLOOKUP($G230, SeanRanks!$A$2:$H$303, 5, FALSE)</f>
        <v/>
      </c>
      <c r="K230" s="11" t="str">
        <f>IF(VLOOKUP($G230, SeanRanks!$A$2:$H$303, 6, FALSE)=0, "", VLOOKUP($G230, SeanRanks!$A$2:$H$303, 6, FALSE))</f>
        <v/>
      </c>
      <c r="L230" s="11">
        <f t="shared" si="5"/>
        <v>27</v>
      </c>
      <c r="M230" s="11">
        <f>VLOOKUP($G230, 'ADP Data'!$C$4:$Q$300, 9, FALSE)</f>
        <v>209</v>
      </c>
      <c r="N230" s="11">
        <f t="shared" si="6"/>
        <v>-13</v>
      </c>
      <c r="O230" s="11" t="str">
        <f>VLOOKUP($G230, 'ADP Data'!$C$4:$Q$300, 3, FALSE)</f>
        <v>-</v>
      </c>
      <c r="P230" s="11" t="str">
        <f t="shared" si="7"/>
        <v>#VALUE!</v>
      </c>
      <c r="Q230" s="11" t="str">
        <f>VLOOKUP($G230, 'ADP Data'!$C$4:$Q$300, 4, FALSE)</f>
        <v>-</v>
      </c>
      <c r="R230" s="11">
        <f>VLOOKUP($G230, 'ADP Data'!$C$4:$Q$300, 5, FALSE)</f>
        <v>237</v>
      </c>
      <c r="S230" s="11">
        <f>VLOOKUP($G230, 'ADP Data'!$C$4:$Q$300, 6, FALSE)</f>
        <v>180</v>
      </c>
      <c r="T230" s="11">
        <f>VLOOKUP($G230, 'ADP Data'!$C$4:$Q$300, 7, FALSE)</f>
        <v>220</v>
      </c>
      <c r="U230" s="11">
        <f>VLOOKUP($G230, 'ADP Data'!$C$4:$Q$300, 8, FALSE)</f>
        <v>265</v>
      </c>
      <c r="V230" s="11">
        <f t="shared" si="8"/>
        <v>222</v>
      </c>
      <c r="W230" s="11">
        <f t="shared" si="9"/>
        <v>28</v>
      </c>
      <c r="X230" s="11">
        <f t="shared" si="10"/>
        <v>-28</v>
      </c>
      <c r="Y230" s="11">
        <f>VLOOKUP($G230, SeanRanks!$A$2:$K$303, 10, FALSE)-V230</f>
        <v>11</v>
      </c>
      <c r="Z230" s="29" t="str">
        <f>IF(VLOOKUP($G230, SeanRanks!$A$2:$H$303, 7, FALSE)=0, "", VLOOKUP($G230, SeanRanks!$A$2:$H$303, 7, FALSE))</f>
        <v/>
      </c>
    </row>
    <row r="231" ht="14.25" hidden="1" customHeight="1">
      <c r="A231" s="11"/>
      <c r="B231" s="11" t="str">
        <f t="shared" si="4"/>
        <v>#DIV/0!</v>
      </c>
      <c r="C231" s="11" t="s">
        <v>106</v>
      </c>
      <c r="D231" s="11"/>
      <c r="E231" s="11"/>
      <c r="F231" s="11" t="str">
        <f>VLOOKUP(G231, SeanRanks!$A$2:$E$302, 4, FALSE)</f>
        <v/>
      </c>
      <c r="G231" s="11" t="s">
        <v>923</v>
      </c>
      <c r="H231" s="11" t="str">
        <f>VLOOKUP($G231, 'ADP Data'!$C$4:$Q$300, 2, FALSE)</f>
        <v>MIA</v>
      </c>
      <c r="I231" s="11" t="str">
        <f>VLOOKUP(G231, 'ADP Data'!$C$4:$R$498, 12, FALSE)</f>
        <v>-</v>
      </c>
      <c r="J231" s="11" t="str">
        <f>VLOOKUP($G231, SeanRanks!$A$2:$H$303, 5, FALSE)</f>
        <v/>
      </c>
      <c r="K231" s="11" t="str">
        <f>IF(VLOOKUP($G231, SeanRanks!$A$2:$H$303, 6, FALSE)=0, "", VLOOKUP($G231, SeanRanks!$A$2:$H$303, 6, FALSE))</f>
        <v/>
      </c>
      <c r="L231" s="11">
        <f t="shared" si="5"/>
        <v>16</v>
      </c>
      <c r="M231" s="11" t="str">
        <f>VLOOKUP($G231, 'ADP Data'!$C$4:$Q$300, 9, FALSE)</f>
        <v>-</v>
      </c>
      <c r="N231" s="11" t="str">
        <f t="shared" si="6"/>
        <v>#VALUE!</v>
      </c>
      <c r="O231" s="11">
        <f>VLOOKUP($G231, 'ADP Data'!$C$4:$Q$300, 3, FALSE)</f>
        <v>188</v>
      </c>
      <c r="P231" s="11" t="str">
        <f t="shared" si="7"/>
        <v>#VALUE!</v>
      </c>
      <c r="Q231" s="11"/>
      <c r="R231" s="11"/>
      <c r="S231" s="11"/>
      <c r="T231" s="11"/>
      <c r="U231" s="11"/>
      <c r="V231" s="11">
        <f t="shared" si="8"/>
        <v>188</v>
      </c>
      <c r="W231" s="11">
        <f t="shared" si="9"/>
        <v>24</v>
      </c>
      <c r="X231" s="11">
        <f t="shared" si="10"/>
        <v>-24</v>
      </c>
      <c r="Y231" s="11">
        <f>VLOOKUP($G231, SeanRanks!$A$2:$K$303, 10, FALSE)-V231</f>
        <v>36</v>
      </c>
      <c r="Z231" s="29" t="str">
        <f>IF(VLOOKUP($G231, SeanRanks!$A$2:$H$303, 7, FALSE)=0, "", VLOOKUP($G231, SeanRanks!$A$2:$H$303, 7, FALSE))</f>
        <v/>
      </c>
    </row>
    <row r="232" ht="14.25" customHeight="1">
      <c r="A232" s="11"/>
      <c r="B232" s="11">
        <f t="shared" si="4"/>
        <v>19</v>
      </c>
      <c r="C232" s="11" t="s">
        <v>106</v>
      </c>
      <c r="D232" s="11"/>
      <c r="E232" s="11"/>
      <c r="F232" s="11" t="str">
        <f>VLOOKUP(G232, SeanRanks!$A$2:$E$302, 4, FALSE)</f>
        <v/>
      </c>
      <c r="G232" s="11" t="s">
        <v>606</v>
      </c>
      <c r="H232" s="11" t="str">
        <f>VLOOKUP($G232, 'ADP Data'!$C$4:$Q$300, 2, FALSE)</f>
        <v>BAL</v>
      </c>
      <c r="I232" s="11">
        <f>VLOOKUP(G232, 'ADP Data'!$C$4:$R$498, 12, FALSE)</f>
        <v>205</v>
      </c>
      <c r="J232" s="11" t="str">
        <f>VLOOKUP($G232, SeanRanks!$A$2:$H$303, 5, FALSE)</f>
        <v/>
      </c>
      <c r="K232" s="11" t="str">
        <f>IF(VLOOKUP($G232, SeanRanks!$A$2:$H$303, 6, FALSE)=0, "", VLOOKUP($G232, SeanRanks!$A$2:$H$303, 6, FALSE))</f>
        <v/>
      </c>
      <c r="L232" s="11">
        <f t="shared" si="5"/>
        <v>27</v>
      </c>
      <c r="M232" s="11">
        <f>VLOOKUP($G232, 'ADP Data'!$C$4:$Q$300, 9, FALSE)</f>
        <v>213</v>
      </c>
      <c r="N232" s="11">
        <f t="shared" si="6"/>
        <v>-8</v>
      </c>
      <c r="O232" s="11" t="str">
        <f>VLOOKUP($G232, 'ADP Data'!$C$4:$Q$300, 3, FALSE)</f>
        <v>-</v>
      </c>
      <c r="P232" s="11" t="str">
        <f t="shared" si="7"/>
        <v>#VALUE!</v>
      </c>
      <c r="Q232" s="11" t="str">
        <f>VLOOKUP($G232, 'ADP Data'!$C$4:$Q$300, 4, FALSE)</f>
        <v>-</v>
      </c>
      <c r="R232" s="11">
        <f>VLOOKUP($G232, 'ADP Data'!$C$4:$Q$300, 5, FALSE)</f>
        <v>278</v>
      </c>
      <c r="S232" s="11">
        <f>VLOOKUP($G232, 'ADP Data'!$C$4:$Q$300, 6, FALSE)</f>
        <v>193</v>
      </c>
      <c r="T232" s="11">
        <f>VLOOKUP($G232, 'ADP Data'!$C$4:$Q$300, 7, FALSE)</f>
        <v>190</v>
      </c>
      <c r="U232" s="11">
        <f>VLOOKUP($G232, 'ADP Data'!$C$4:$Q$300, 8, FALSE)</f>
        <v>232</v>
      </c>
      <c r="V232" s="11">
        <f t="shared" si="8"/>
        <v>221</v>
      </c>
      <c r="W232" s="11">
        <f t="shared" si="9"/>
        <v>28</v>
      </c>
      <c r="X232" s="11">
        <f t="shared" si="10"/>
        <v>-28</v>
      </c>
      <c r="Y232" s="11" t="str">
        <f>VLOOKUP($G232, SeanRanks!$A$2:$K$303, 10, FALSE)-V232</f>
        <v>#VALUE!</v>
      </c>
      <c r="Z232" s="29" t="str">
        <f>IF(VLOOKUP($G232, SeanRanks!$A$2:$H$303, 7, FALSE)=0, "", VLOOKUP($G232, SeanRanks!$A$2:$H$303, 7, FALSE))</f>
        <v/>
      </c>
    </row>
    <row r="233" ht="14.25" hidden="1" customHeight="1">
      <c r="A233" s="11"/>
      <c r="B233" s="11">
        <f t="shared" si="4"/>
        <v>20</v>
      </c>
      <c r="C233" s="11" t="s">
        <v>106</v>
      </c>
      <c r="D233" s="11"/>
      <c r="E233" s="11"/>
      <c r="F233" s="11" t="str">
        <f>VLOOKUP(G233, SeanRanks!$A$2:$E$302, 4, FALSE)</f>
        <v/>
      </c>
      <c r="G233" s="11" t="s">
        <v>451</v>
      </c>
      <c r="H233" s="11" t="str">
        <f>VLOOKUP($G233, 'ADP Data'!$C$4:$Q$300, 2, FALSE)</f>
        <v>TB</v>
      </c>
      <c r="I233" s="11">
        <f>VLOOKUP(G233, 'ADP Data'!$C$4:$R$498, 12, FALSE)</f>
        <v>237</v>
      </c>
      <c r="J233" s="11" t="str">
        <f>VLOOKUP($G233, SeanRanks!$A$2:$H$303, 5, FALSE)</f>
        <v/>
      </c>
      <c r="K233" s="11" t="str">
        <f>IF(VLOOKUP($G233, SeanRanks!$A$2:$H$303, 6, FALSE)=0, "", VLOOKUP($G233, SeanRanks!$A$2:$H$303, 6, FALSE))</f>
        <v/>
      </c>
      <c r="L233" s="11">
        <f t="shared" si="5"/>
        <v>23</v>
      </c>
      <c r="M233" s="11">
        <f>VLOOKUP($G233, 'ADP Data'!$C$4:$Q$300, 9, FALSE)</f>
        <v>177</v>
      </c>
      <c r="N233" s="11">
        <f t="shared" si="6"/>
        <v>-45</v>
      </c>
      <c r="O233" s="11" t="str">
        <f>VLOOKUP($G233, 'ADP Data'!$C$4:$Q$300, 3, FALSE)</f>
        <v>-</v>
      </c>
      <c r="P233" s="11" t="str">
        <f t="shared" si="7"/>
        <v>#VALUE!</v>
      </c>
      <c r="Q233" s="11" t="str">
        <f>VLOOKUP($G233, 'ADP Data'!$C$4:$Q$300, 4, FALSE)</f>
        <v>-</v>
      </c>
      <c r="R233" s="11" t="str">
        <f>VLOOKUP($G233, 'ADP Data'!$C$4:$Q$300, 5, FALSE)</f>
        <v>-</v>
      </c>
      <c r="S233" s="11">
        <f>VLOOKUP($G233, 'ADP Data'!$C$4:$Q$300, 6, FALSE)</f>
        <v>277</v>
      </c>
      <c r="T233" s="11">
        <f>VLOOKUP($G233, 'ADP Data'!$C$4:$Q$300, 7, FALSE)</f>
        <v>205</v>
      </c>
      <c r="U233" s="11">
        <f>VLOOKUP($G233, 'ADP Data'!$C$4:$Q$300, 8, FALSE)</f>
        <v>231</v>
      </c>
      <c r="V233" s="11">
        <f t="shared" si="8"/>
        <v>222</v>
      </c>
      <c r="W233" s="11">
        <f t="shared" si="9"/>
        <v>28</v>
      </c>
      <c r="X233" s="11">
        <f t="shared" si="10"/>
        <v>-28</v>
      </c>
      <c r="Y233" s="11" t="str">
        <f>VLOOKUP($G233, SeanRanks!$A$2:$K$303, 10, FALSE)-V233</f>
        <v>#VALUE!</v>
      </c>
      <c r="Z233" s="29" t="str">
        <f>IF(VLOOKUP($G233, SeanRanks!$A$2:$H$303, 7, FALSE)=0, "", VLOOKUP($G233, SeanRanks!$A$2:$H$303, 7, FALSE))</f>
        <v/>
      </c>
    </row>
    <row r="234" ht="14.25" hidden="1" customHeight="1">
      <c r="A234" s="11"/>
      <c r="B234" s="11" t="str">
        <f t="shared" si="4"/>
        <v>#N/A</v>
      </c>
      <c r="C234" s="11" t="s">
        <v>106</v>
      </c>
      <c r="D234" s="11"/>
      <c r="E234" s="11"/>
      <c r="F234" s="11" t="str">
        <f>VLOOKUP(G234, SeanRanks!$A$2:$E$302, 4, FALSE)</f>
        <v>#N/A</v>
      </c>
      <c r="G234" s="11" t="s">
        <v>924</v>
      </c>
      <c r="H234" s="11" t="str">
        <f>VLOOKUP($G234, 'ADP Data'!$C$4:$Q$300, 2, FALSE)</f>
        <v>#N/A</v>
      </c>
      <c r="I234" s="11" t="str">
        <f>VLOOKUP(G234, 'ADP Data'!$C$4:$R$498, 12, FALSE)</f>
        <v>#N/A</v>
      </c>
      <c r="J234" s="11" t="str">
        <f>VLOOKUP($G234, SeanRanks!$A$2:$H$303, 5, FALSE)</f>
        <v>#N/A</v>
      </c>
      <c r="K234" s="11" t="str">
        <f>IF(VLOOKUP($G234, SeanRanks!$A$2:$H$303, 6, FALSE)=0, "", VLOOKUP($G234, SeanRanks!$A$2:$H$303, 6, FALSE))</f>
        <v>#N/A</v>
      </c>
      <c r="L234" s="11">
        <f t="shared" si="5"/>
        <v>16</v>
      </c>
      <c r="M234" s="11" t="str">
        <f>VLOOKUP($G234, 'ADP Data'!$C$4:$Q$300, 9, FALSE)</f>
        <v>#N/A</v>
      </c>
      <c r="N234" s="11" t="str">
        <f t="shared" si="6"/>
        <v>#N/A</v>
      </c>
      <c r="O234" s="11" t="str">
        <f>VLOOKUP($G234, 'ADP Data'!$C$4:$Q$300, 3, FALSE)</f>
        <v>#N/A</v>
      </c>
      <c r="P234" s="11" t="str">
        <f t="shared" si="7"/>
        <v>#N/A</v>
      </c>
      <c r="Q234" s="11" t="str">
        <f>VLOOKUP($G234, 'ADP Data'!$C$4:$Q$300, 4, FALSE)</f>
        <v>#N/A</v>
      </c>
      <c r="R234" s="11" t="str">
        <f>VLOOKUP($G234, 'ADP Data'!$C$4:$Q$300, 5, FALSE)</f>
        <v>#N/A</v>
      </c>
      <c r="S234" s="11" t="str">
        <f>VLOOKUP($G234, 'ADP Data'!$C$4:$Q$300, 6, FALSE)</f>
        <v>#N/A</v>
      </c>
      <c r="T234" s="11" t="str">
        <f>VLOOKUP($G234, 'ADP Data'!$C$4:$Q$300, 7, FALSE)</f>
        <v>#N/A</v>
      </c>
      <c r="U234" s="11" t="str">
        <f>VLOOKUP($G234, 'ADP Data'!$C$4:$Q$300, 8, FALSE)</f>
        <v>#N/A</v>
      </c>
      <c r="V234" s="11" t="str">
        <f t="shared" si="8"/>
        <v>#N/A</v>
      </c>
      <c r="W234" s="11">
        <f t="shared" si="9"/>
        <v>16</v>
      </c>
      <c r="X234" s="11">
        <f t="shared" si="10"/>
        <v>-16</v>
      </c>
      <c r="Y234" s="11" t="str">
        <f>VLOOKUP($G234, SeanRanks!$A$2:$K$303, 10, FALSE)-V234</f>
        <v>#N/A</v>
      </c>
      <c r="Z234" s="29" t="str">
        <f>IF(VLOOKUP($G234, SeanRanks!$A$2:$H$303, 7, FALSE)=0, "", VLOOKUP($G234, SeanRanks!$A$2:$H$303, 7, FALSE))</f>
        <v>#N/A</v>
      </c>
    </row>
    <row r="235" ht="14.25" customHeight="1">
      <c r="A235" s="11"/>
      <c r="B235" s="11">
        <f t="shared" si="4"/>
        <v>18</v>
      </c>
      <c r="C235" s="11" t="s">
        <v>106</v>
      </c>
      <c r="D235" s="11"/>
      <c r="E235" s="11"/>
      <c r="F235" s="11" t="str">
        <f>VLOOKUP(G235, SeanRanks!$A$2:$E$302, 4, FALSE)</f>
        <v/>
      </c>
      <c r="G235" s="11" t="s">
        <v>925</v>
      </c>
      <c r="H235" s="11" t="str">
        <f>VLOOKUP($G235, 'ADP Data'!$C$4:$Q$300, 2, FALSE)</f>
        <v>NO</v>
      </c>
      <c r="I235" s="11">
        <f>VLOOKUP(G235, 'ADP Data'!$C$4:$R$498, 12, FALSE)</f>
        <v>209</v>
      </c>
      <c r="J235" s="11" t="str">
        <f>VLOOKUP($G235, SeanRanks!$A$2:$H$303, 5, FALSE)</f>
        <v/>
      </c>
      <c r="K235" s="11" t="str">
        <f>IF(VLOOKUP($G235, SeanRanks!$A$2:$H$303, 6, FALSE)=0, "", VLOOKUP($G235, SeanRanks!$A$2:$H$303, 6, FALSE))</f>
        <v/>
      </c>
      <c r="L235" s="11">
        <f t="shared" si="5"/>
        <v>34</v>
      </c>
      <c r="M235" s="11">
        <f>VLOOKUP($G235, 'ADP Data'!$C$4:$Q$300, 9, FALSE)</f>
        <v>266</v>
      </c>
      <c r="N235" s="11">
        <f t="shared" si="6"/>
        <v>47</v>
      </c>
      <c r="O235" s="11">
        <f>VLOOKUP($G235, 'ADP Data'!$C$4:$Q$300, 3, FALSE)</f>
        <v>202</v>
      </c>
      <c r="P235" s="11">
        <f t="shared" si="7"/>
        <v>64</v>
      </c>
      <c r="Q235" s="11" t="str">
        <f>VLOOKUP($G235, 'ADP Data'!$C$4:$Q$300, 4, FALSE)</f>
        <v>-</v>
      </c>
      <c r="R235" s="11">
        <f>VLOOKUP($G235, 'ADP Data'!$C$4:$Q$300, 5, FALSE)</f>
        <v>233</v>
      </c>
      <c r="S235" s="11">
        <f>VLOOKUP($G235, 'ADP Data'!$C$4:$Q$300, 6, FALSE)</f>
        <v>189</v>
      </c>
      <c r="T235" s="11">
        <f>VLOOKUP($G235, 'ADP Data'!$C$4:$Q$300, 7, FALSE)</f>
        <v>206</v>
      </c>
      <c r="U235" s="11" t="str">
        <f>VLOOKUP($G235, 'ADP Data'!$C$4:$Q$300, 8, FALSE)</f>
        <v>-</v>
      </c>
      <c r="V235" s="11">
        <f t="shared" si="8"/>
        <v>219</v>
      </c>
      <c r="W235" s="11">
        <f t="shared" si="9"/>
        <v>28</v>
      </c>
      <c r="X235" s="11">
        <f t="shared" si="10"/>
        <v>-28</v>
      </c>
      <c r="Y235" s="11">
        <f>VLOOKUP($G235, SeanRanks!$A$2:$K$303, 10, FALSE)-V235</f>
        <v>8</v>
      </c>
      <c r="Z235" s="29" t="str">
        <f>IF(VLOOKUP($G235, SeanRanks!$A$2:$H$303, 7, FALSE)=0, "", VLOOKUP($G235, SeanRanks!$A$2:$H$303, 7, FALSE))</f>
        <v/>
      </c>
    </row>
    <row r="236" ht="14.25" hidden="1" customHeight="1">
      <c r="A236" s="11"/>
      <c r="B236" s="11">
        <f t="shared" si="4"/>
        <v>21</v>
      </c>
      <c r="C236" s="11" t="s">
        <v>106</v>
      </c>
      <c r="D236" s="11"/>
      <c r="E236" s="11"/>
      <c r="F236" s="11" t="str">
        <f>VLOOKUP(G236, SeanRanks!$A$2:$E$302, 4, FALSE)</f>
        <v/>
      </c>
      <c r="G236" s="11" t="s">
        <v>926</v>
      </c>
      <c r="H236" s="11" t="str">
        <f>VLOOKUP($G236, 'ADP Data'!$C$4:$Q$300, 2, FALSE)</f>
        <v>PIT</v>
      </c>
      <c r="I236" s="11">
        <f>VLOOKUP(G236, 'ADP Data'!$C$4:$R$498, 12, FALSE)</f>
        <v>179</v>
      </c>
      <c r="J236" s="11" t="str">
        <f>VLOOKUP($G236, SeanRanks!$A$2:$H$303, 5, FALSE)</f>
        <v/>
      </c>
      <c r="K236" s="11" t="str">
        <f>IF(VLOOKUP($G236, SeanRanks!$A$2:$H$303, 6, FALSE)=0, "", VLOOKUP($G236, SeanRanks!$A$2:$H$303, 6, FALSE))</f>
        <v/>
      </c>
      <c r="L236" s="11">
        <f t="shared" si="5"/>
        <v>34</v>
      </c>
      <c r="M236" s="11">
        <f>VLOOKUP($G236, 'ADP Data'!$C$4:$Q$300, 9, FALSE)</f>
        <v>269</v>
      </c>
      <c r="N236" s="11">
        <f t="shared" si="6"/>
        <v>17</v>
      </c>
      <c r="O236" s="11" t="str">
        <f>VLOOKUP($G236, 'ADP Data'!$C$4:$Q$300, 3, FALSE)</f>
        <v>-</v>
      </c>
      <c r="P236" s="11" t="str">
        <f t="shared" si="7"/>
        <v>#VALUE!</v>
      </c>
      <c r="Q236" s="11" t="str">
        <f>VLOOKUP($G236, 'ADP Data'!$C$4:$Q$300, 4, FALSE)</f>
        <v>-</v>
      </c>
      <c r="R236" s="11" t="str">
        <f>VLOOKUP($G236, 'ADP Data'!$C$4:$Q$300, 5, FALSE)</f>
        <v>-</v>
      </c>
      <c r="S236" s="11">
        <f>VLOOKUP($G236, 'ADP Data'!$C$4:$Q$300, 6, FALSE)</f>
        <v>242</v>
      </c>
      <c r="T236" s="11">
        <f>VLOOKUP($G236, 'ADP Data'!$C$4:$Q$300, 7, FALSE)</f>
        <v>245</v>
      </c>
      <c r="U236" s="11" t="str">
        <f>VLOOKUP($G236, 'ADP Data'!$C$4:$Q$300, 8, FALSE)</f>
        <v>-</v>
      </c>
      <c r="V236" s="11">
        <f t="shared" si="8"/>
        <v>252</v>
      </c>
      <c r="W236" s="11">
        <f t="shared" si="9"/>
        <v>32</v>
      </c>
      <c r="X236" s="11">
        <f t="shared" si="10"/>
        <v>-32</v>
      </c>
      <c r="Y236" s="11">
        <f>VLOOKUP($G236, SeanRanks!$A$2:$K$303, 10, FALSE)-V236</f>
        <v>-15</v>
      </c>
      <c r="Z236" s="29" t="str">
        <f>IF(VLOOKUP($G236, SeanRanks!$A$2:$H$303, 7, FALSE)=0, "", VLOOKUP($G236, SeanRanks!$A$2:$H$303, 7, FALSE))</f>
        <v/>
      </c>
    </row>
    <row r="237" ht="14.25" hidden="1" customHeight="1">
      <c r="A237" s="11"/>
      <c r="B237" s="11">
        <f t="shared" si="4"/>
        <v>18</v>
      </c>
      <c r="C237" s="11" t="s">
        <v>106</v>
      </c>
      <c r="D237" s="11"/>
      <c r="E237" s="11"/>
      <c r="F237" s="11" t="str">
        <f>VLOOKUP(G237, SeanRanks!$A$2:$E$302, 4, FALSE)</f>
        <v/>
      </c>
      <c r="G237" s="11" t="s">
        <v>564</v>
      </c>
      <c r="H237" s="11" t="str">
        <f>VLOOKUP($G237, 'ADP Data'!$C$4:$Q$300, 2, FALSE)</f>
        <v>GB</v>
      </c>
      <c r="I237" s="11" t="str">
        <f>VLOOKUP(G237, 'ADP Data'!$C$4:$R$498, 12, FALSE)</f>
        <v>-</v>
      </c>
      <c r="J237" s="11" t="str">
        <f>VLOOKUP($G237, SeanRanks!$A$2:$H$303, 5, FALSE)</f>
        <v/>
      </c>
      <c r="K237" s="11" t="str">
        <f>IF(VLOOKUP($G237, SeanRanks!$A$2:$H$303, 6, FALSE)=0, "", VLOOKUP($G237, SeanRanks!$A$2:$H$303, 6, FALSE))</f>
        <v/>
      </c>
      <c r="L237" s="11">
        <f t="shared" si="5"/>
        <v>31</v>
      </c>
      <c r="M237" s="11">
        <f>VLOOKUP($G237, 'ADP Data'!$C$4:$Q$300, 9, FALSE)</f>
        <v>243</v>
      </c>
      <c r="N237" s="11">
        <f t="shared" si="6"/>
        <v>40</v>
      </c>
      <c r="O237" s="11">
        <f>VLOOKUP($G237, 'ADP Data'!$C$4:$Q$300, 3, FALSE)</f>
        <v>136</v>
      </c>
      <c r="P237" s="11">
        <f t="shared" si="7"/>
        <v>107</v>
      </c>
      <c r="Q237" s="11">
        <f>VLOOKUP($G237, 'ADP Data'!$C$4:$Q$300, 4, FALSE)</f>
        <v>171</v>
      </c>
      <c r="R237" s="11">
        <f>VLOOKUP($G237, 'ADP Data'!$C$4:$Q$300, 5, FALSE)</f>
        <v>247</v>
      </c>
      <c r="S237" s="11">
        <f>VLOOKUP($G237, 'ADP Data'!$C$4:$Q$300, 6, FALSE)</f>
        <v>258</v>
      </c>
      <c r="T237" s="11">
        <f>VLOOKUP($G237, 'ADP Data'!$C$4:$Q$300, 7, FALSE)</f>
        <v>199</v>
      </c>
      <c r="U237" s="11">
        <f>VLOOKUP($G237, 'ADP Data'!$C$4:$Q$300, 8, FALSE)</f>
        <v>170</v>
      </c>
      <c r="V237" s="11">
        <f t="shared" si="8"/>
        <v>203</v>
      </c>
      <c r="W237" s="11">
        <f t="shared" si="9"/>
        <v>26</v>
      </c>
      <c r="X237" s="11">
        <f t="shared" si="10"/>
        <v>-26</v>
      </c>
      <c r="Y237" s="11">
        <f>VLOOKUP($G237, SeanRanks!$A$2:$K$303, 10, FALSE)-V237</f>
        <v>17</v>
      </c>
      <c r="Z237" s="29" t="str">
        <f>IF(VLOOKUP($G237, SeanRanks!$A$2:$H$303, 7, FALSE)=0, "", VLOOKUP($G237, SeanRanks!$A$2:$H$303, 7, FALSE))</f>
        <v/>
      </c>
    </row>
    <row r="238" ht="14.25" hidden="1" customHeight="1">
      <c r="A238" s="11"/>
      <c r="B238" s="11" t="str">
        <f t="shared" si="4"/>
        <v>#N/A</v>
      </c>
      <c r="C238" s="11" t="s">
        <v>106</v>
      </c>
      <c r="D238" s="11"/>
      <c r="E238" s="11"/>
      <c r="F238" s="11" t="str">
        <f>VLOOKUP(G238, SeanRanks!$A$2:$E$302, 4, FALSE)</f>
        <v>#N/A</v>
      </c>
      <c r="G238" s="11" t="s">
        <v>927</v>
      </c>
      <c r="H238" s="11" t="str">
        <f>VLOOKUP($G238, 'ADP Data'!$C$4:$Q$300, 2, FALSE)</f>
        <v>#N/A</v>
      </c>
      <c r="I238" s="11" t="str">
        <f>VLOOKUP(G238, 'ADP Data'!$C$4:$R$498, 12, FALSE)</f>
        <v>#N/A</v>
      </c>
      <c r="J238" s="11" t="str">
        <f>VLOOKUP($G238, SeanRanks!$A$2:$H$303, 5, FALSE)</f>
        <v>#N/A</v>
      </c>
      <c r="K238" s="11" t="str">
        <f>IF(VLOOKUP($G238, SeanRanks!$A$2:$H$303, 6, FALSE)=0, "", VLOOKUP($G238, SeanRanks!$A$2:$H$303, 6, FALSE))</f>
        <v>#N/A</v>
      </c>
      <c r="L238" s="11">
        <f t="shared" si="5"/>
        <v>16</v>
      </c>
      <c r="M238" s="11" t="str">
        <f>VLOOKUP($G238, 'ADP Data'!$C$4:$Q$300, 9, FALSE)</f>
        <v>#N/A</v>
      </c>
      <c r="N238" s="11" t="str">
        <f t="shared" si="6"/>
        <v>#N/A</v>
      </c>
      <c r="O238" s="11" t="str">
        <f>VLOOKUP($G238, 'ADP Data'!$C$4:$Q$300, 3, FALSE)</f>
        <v>#N/A</v>
      </c>
      <c r="P238" s="11" t="str">
        <f t="shared" si="7"/>
        <v>#N/A</v>
      </c>
      <c r="Q238" s="11" t="str">
        <f>VLOOKUP($G238, 'ADP Data'!$C$4:$Q$300, 4, FALSE)</f>
        <v>#N/A</v>
      </c>
      <c r="R238" s="11" t="str">
        <f>VLOOKUP($G238, 'ADP Data'!$C$4:$Q$300, 5, FALSE)</f>
        <v>#N/A</v>
      </c>
      <c r="S238" s="11" t="str">
        <f>VLOOKUP($G238, 'ADP Data'!$C$4:$Q$300, 6, FALSE)</f>
        <v>#N/A</v>
      </c>
      <c r="T238" s="11" t="str">
        <f>VLOOKUP($G238, 'ADP Data'!$C$4:$Q$300, 7, FALSE)</f>
        <v>#N/A</v>
      </c>
      <c r="U238" s="11" t="str">
        <f>VLOOKUP($G238, 'ADP Data'!$C$4:$Q$300, 8, FALSE)</f>
        <v>#N/A</v>
      </c>
      <c r="V238" s="11" t="str">
        <f t="shared" si="8"/>
        <v>#N/A</v>
      </c>
      <c r="W238" s="11">
        <f t="shared" si="9"/>
        <v>16</v>
      </c>
      <c r="X238" s="11">
        <f t="shared" si="10"/>
        <v>-16</v>
      </c>
      <c r="Y238" s="11" t="str">
        <f>VLOOKUP($G238, SeanRanks!$A$2:$K$303, 10, FALSE)-V238</f>
        <v>#N/A</v>
      </c>
      <c r="Z238" s="29" t="str">
        <f>IF(VLOOKUP($G238, SeanRanks!$A$2:$H$303, 7, FALSE)=0, "", VLOOKUP($G238, SeanRanks!$A$2:$H$303, 7, FALSE))</f>
        <v>#N/A</v>
      </c>
    </row>
    <row r="239" ht="14.25" hidden="1" customHeight="1">
      <c r="A239" s="11"/>
      <c r="B239" s="11" t="str">
        <f t="shared" si="4"/>
        <v>#N/A</v>
      </c>
      <c r="C239" s="11" t="s">
        <v>106</v>
      </c>
      <c r="D239" s="11"/>
      <c r="E239" s="11"/>
      <c r="F239" s="11" t="str">
        <f>VLOOKUP(G239, SeanRanks!$A$2:$E$302, 4, FALSE)</f>
        <v>#N/A</v>
      </c>
      <c r="G239" s="11" t="s">
        <v>928</v>
      </c>
      <c r="H239" s="11" t="str">
        <f>VLOOKUP($G239, 'ADP Data'!$C$4:$Q$300, 2, FALSE)</f>
        <v>#N/A</v>
      </c>
      <c r="I239" s="11" t="str">
        <f>VLOOKUP(G239, 'ADP Data'!$C$4:$R$498, 12, FALSE)</f>
        <v>#N/A</v>
      </c>
      <c r="J239" s="11" t="str">
        <f>VLOOKUP($G239, SeanRanks!$A$2:$H$303, 5, FALSE)</f>
        <v>#N/A</v>
      </c>
      <c r="K239" s="11" t="str">
        <f>IF(VLOOKUP($G239, SeanRanks!$A$2:$H$303, 6, FALSE)=0, "", VLOOKUP($G239, SeanRanks!$A$2:$H$303, 6, FALSE))</f>
        <v>#N/A</v>
      </c>
      <c r="L239" s="11">
        <f t="shared" si="5"/>
        <v>16</v>
      </c>
      <c r="M239" s="11" t="str">
        <f>VLOOKUP($G239, 'ADP Data'!$C$4:$Q$300, 9, FALSE)</f>
        <v>#N/A</v>
      </c>
      <c r="N239" s="11" t="str">
        <f t="shared" si="6"/>
        <v>#N/A</v>
      </c>
      <c r="O239" s="11" t="str">
        <f>VLOOKUP($G239, 'ADP Data'!$C$4:$Q$300, 3, FALSE)</f>
        <v>#N/A</v>
      </c>
      <c r="P239" s="11" t="str">
        <f t="shared" si="7"/>
        <v>#N/A</v>
      </c>
      <c r="Q239" s="11" t="str">
        <f>VLOOKUP($G239, 'ADP Data'!$C$4:$Q$300, 4, FALSE)</f>
        <v>#N/A</v>
      </c>
      <c r="R239" s="11" t="str">
        <f>VLOOKUP($G239, 'ADP Data'!$C$4:$Q$300, 5, FALSE)</f>
        <v>#N/A</v>
      </c>
      <c r="S239" s="11" t="str">
        <f>VLOOKUP($G239, 'ADP Data'!$C$4:$Q$300, 6, FALSE)</f>
        <v>#N/A</v>
      </c>
      <c r="T239" s="11" t="str">
        <f>VLOOKUP($G239, 'ADP Data'!$C$4:$Q$300, 7, FALSE)</f>
        <v>#N/A</v>
      </c>
      <c r="U239" s="11" t="str">
        <f>VLOOKUP($G239, 'ADP Data'!$C$4:$Q$300, 8, FALSE)</f>
        <v>#N/A</v>
      </c>
      <c r="V239" s="11" t="str">
        <f t="shared" si="8"/>
        <v>#N/A</v>
      </c>
      <c r="W239" s="11">
        <f t="shared" si="9"/>
        <v>16</v>
      </c>
      <c r="X239" s="11">
        <f t="shared" si="10"/>
        <v>-16</v>
      </c>
      <c r="Y239" s="11" t="str">
        <f>VLOOKUP($G239, SeanRanks!$A$2:$K$303, 10, FALSE)-V239</f>
        <v>#N/A</v>
      </c>
      <c r="Z239" s="29" t="str">
        <f>IF(VLOOKUP($G239, SeanRanks!$A$2:$H$303, 7, FALSE)=0, "", VLOOKUP($G239, SeanRanks!$A$2:$H$303, 7, FALSE))</f>
        <v>#N/A</v>
      </c>
    </row>
    <row r="240" ht="14.25" hidden="1" customHeight="1">
      <c r="A240" s="11"/>
      <c r="B240" s="11" t="str">
        <f t="shared" si="4"/>
        <v>#N/A</v>
      </c>
      <c r="C240" s="11" t="s">
        <v>106</v>
      </c>
      <c r="D240" s="11"/>
      <c r="E240" s="11"/>
      <c r="F240" s="11" t="str">
        <f>VLOOKUP(G240, SeanRanks!$A$2:$E$302, 4, FALSE)</f>
        <v>#N/A</v>
      </c>
      <c r="G240" s="11" t="s">
        <v>628</v>
      </c>
      <c r="H240" s="11" t="str">
        <f>VLOOKUP($G240, 'ADP Data'!$C$4:$Q$300, 2, FALSE)</f>
        <v>#N/A</v>
      </c>
      <c r="I240" s="11" t="str">
        <f>VLOOKUP(G240, 'ADP Data'!$C$4:$R$498, 12, FALSE)</f>
        <v>#N/A</v>
      </c>
      <c r="J240" s="11" t="str">
        <f>VLOOKUP($G240, SeanRanks!$A$2:$H$303, 5, FALSE)</f>
        <v>#N/A</v>
      </c>
      <c r="K240" s="11" t="str">
        <f>IF(VLOOKUP($G240, SeanRanks!$A$2:$H$303, 6, FALSE)=0, "", VLOOKUP($G240, SeanRanks!$A$2:$H$303, 6, FALSE))</f>
        <v>#N/A</v>
      </c>
      <c r="L240" s="11">
        <f t="shared" si="5"/>
        <v>16</v>
      </c>
      <c r="M240" s="11" t="str">
        <f>VLOOKUP($G240, 'ADP Data'!$C$4:$Q$300, 9, FALSE)</f>
        <v>#N/A</v>
      </c>
      <c r="N240" s="11" t="str">
        <f t="shared" si="6"/>
        <v>#N/A</v>
      </c>
      <c r="O240" s="11" t="str">
        <f>VLOOKUP($G240, 'ADP Data'!$C$4:$Q$300, 3, FALSE)</f>
        <v>#N/A</v>
      </c>
      <c r="P240" s="11" t="str">
        <f t="shared" si="7"/>
        <v>#N/A</v>
      </c>
      <c r="Q240" s="11" t="str">
        <f>VLOOKUP($G240, 'ADP Data'!$C$4:$Q$300, 4, FALSE)</f>
        <v>#N/A</v>
      </c>
      <c r="R240" s="11" t="str">
        <f>VLOOKUP($G240, 'ADP Data'!$C$4:$Q$300, 5, FALSE)</f>
        <v>#N/A</v>
      </c>
      <c r="S240" s="11" t="str">
        <f>VLOOKUP($G240, 'ADP Data'!$C$4:$Q$300, 6, FALSE)</f>
        <v>#N/A</v>
      </c>
      <c r="T240" s="11" t="str">
        <f>VLOOKUP($G240, 'ADP Data'!$C$4:$Q$300, 7, FALSE)</f>
        <v>#N/A</v>
      </c>
      <c r="U240" s="11" t="str">
        <f>VLOOKUP($G240, 'ADP Data'!$C$4:$Q$300, 8, FALSE)</f>
        <v>#N/A</v>
      </c>
      <c r="V240" s="11" t="str">
        <f t="shared" si="8"/>
        <v>#N/A</v>
      </c>
      <c r="W240" s="11">
        <f t="shared" si="9"/>
        <v>16</v>
      </c>
      <c r="X240" s="11">
        <f t="shared" si="10"/>
        <v>-16</v>
      </c>
      <c r="Y240" s="11" t="str">
        <f>VLOOKUP($G240, SeanRanks!$A$2:$K$303, 10, FALSE)-V240</f>
        <v>#N/A</v>
      </c>
      <c r="Z240" s="29" t="str">
        <f>IF(VLOOKUP($G240, SeanRanks!$A$2:$H$303, 7, FALSE)=0, "", VLOOKUP($G240, SeanRanks!$A$2:$H$303, 7, FALSE))</f>
        <v>#N/A</v>
      </c>
    </row>
    <row r="241" ht="14.25" hidden="1" customHeight="1">
      <c r="A241" s="11"/>
      <c r="B241" s="11">
        <f t="shared" si="4"/>
        <v>14</v>
      </c>
      <c r="C241" s="11" t="s">
        <v>106</v>
      </c>
      <c r="D241" s="11"/>
      <c r="E241" s="11"/>
      <c r="F241" s="11" t="str">
        <f>VLOOKUP(G241, SeanRanks!$A$2:$E$302, 4, FALSE)</f>
        <v/>
      </c>
      <c r="G241" s="11" t="s">
        <v>580</v>
      </c>
      <c r="H241" s="11" t="str">
        <f>VLOOKUP($G241, 'ADP Data'!$C$4:$Q$300, 2, FALSE)</f>
        <v>HOU</v>
      </c>
      <c r="I241" s="11" t="str">
        <f>VLOOKUP(G241, 'ADP Data'!$C$4:$R$498, 12, FALSE)</f>
        <v>-</v>
      </c>
      <c r="J241" s="11" t="str">
        <f>VLOOKUP($G241, SeanRanks!$A$2:$H$303, 5, FALSE)</f>
        <v/>
      </c>
      <c r="K241" s="11" t="str">
        <f>IF(VLOOKUP($G241, SeanRanks!$A$2:$H$303, 6, FALSE)=0, "", VLOOKUP($G241, SeanRanks!$A$2:$H$303, 6, FALSE))</f>
        <v/>
      </c>
      <c r="L241" s="11">
        <f t="shared" si="5"/>
        <v>21</v>
      </c>
      <c r="M241" s="11">
        <f>VLOOKUP($G241, 'ADP Data'!$C$4:$Q$300, 9, FALSE)</f>
        <v>162</v>
      </c>
      <c r="N241" s="11">
        <f t="shared" si="6"/>
        <v>-18</v>
      </c>
      <c r="O241" s="11">
        <f>VLOOKUP($G241, 'ADP Data'!$C$4:$Q$300, 3, FALSE)</f>
        <v>198</v>
      </c>
      <c r="P241" s="11">
        <f t="shared" si="7"/>
        <v>-36</v>
      </c>
      <c r="Q241" s="11"/>
      <c r="R241" s="11"/>
      <c r="S241" s="11"/>
      <c r="T241" s="11"/>
      <c r="U241" s="11"/>
      <c r="V241" s="11">
        <f t="shared" si="8"/>
        <v>180</v>
      </c>
      <c r="W241" s="11">
        <f t="shared" si="9"/>
        <v>23</v>
      </c>
      <c r="X241" s="11">
        <f t="shared" si="10"/>
        <v>-23</v>
      </c>
      <c r="Y241" s="11">
        <f>VLOOKUP($G241, SeanRanks!$A$2:$K$303, 10, FALSE)-V241</f>
        <v>21</v>
      </c>
      <c r="Z241" s="29" t="str">
        <f>IF(VLOOKUP($G241, SeanRanks!$A$2:$H$303, 7, FALSE)=0, "", VLOOKUP($G241, SeanRanks!$A$2:$H$303, 7, FALSE))</f>
        <v/>
      </c>
    </row>
    <row r="242" ht="14.25" hidden="1" customHeight="1">
      <c r="A242" s="11"/>
      <c r="B242" s="11" t="str">
        <f t="shared" si="4"/>
        <v>#N/A</v>
      </c>
      <c r="C242" s="11" t="s">
        <v>106</v>
      </c>
      <c r="D242" s="11"/>
      <c r="E242" s="11"/>
      <c r="F242" s="11" t="str">
        <f>VLOOKUP(G242, SeanRanks!$A$2:$E$302, 4, FALSE)</f>
        <v>#N/A</v>
      </c>
      <c r="G242" s="11" t="s">
        <v>929</v>
      </c>
      <c r="H242" s="11" t="str">
        <f>VLOOKUP($G242, 'ADP Data'!$C$4:$Q$300, 2, FALSE)</f>
        <v>#N/A</v>
      </c>
      <c r="I242" s="11" t="str">
        <f>VLOOKUP(G242, 'ADP Data'!$C$4:$R$498, 12, FALSE)</f>
        <v>#N/A</v>
      </c>
      <c r="J242" s="11" t="str">
        <f>VLOOKUP($G242, SeanRanks!$A$2:$H$303, 5, FALSE)</f>
        <v>#N/A</v>
      </c>
      <c r="K242" s="11" t="str">
        <f>IF(VLOOKUP($G242, SeanRanks!$A$2:$H$303, 6, FALSE)=0, "", VLOOKUP($G242, SeanRanks!$A$2:$H$303, 6, FALSE))</f>
        <v>#N/A</v>
      </c>
      <c r="L242" s="11">
        <f t="shared" si="5"/>
        <v>16</v>
      </c>
      <c r="M242" s="11" t="str">
        <f>VLOOKUP($G242, 'ADP Data'!$C$4:$Q$300, 9, FALSE)</f>
        <v>#N/A</v>
      </c>
      <c r="N242" s="11" t="str">
        <f t="shared" si="6"/>
        <v>#N/A</v>
      </c>
      <c r="O242" s="11" t="str">
        <f>VLOOKUP($G242, 'ADP Data'!$C$4:$Q$300, 3, FALSE)</f>
        <v>#N/A</v>
      </c>
      <c r="P242" s="11" t="str">
        <f t="shared" si="7"/>
        <v>#N/A</v>
      </c>
      <c r="Q242" s="11"/>
      <c r="R242" s="11"/>
      <c r="S242" s="11"/>
      <c r="T242" s="11"/>
      <c r="U242" s="11"/>
      <c r="V242" s="11" t="str">
        <f t="shared" si="8"/>
        <v>#N/A</v>
      </c>
      <c r="W242" s="11">
        <f t="shared" si="9"/>
        <v>16</v>
      </c>
      <c r="X242" s="11">
        <f t="shared" si="10"/>
        <v>-16</v>
      </c>
      <c r="Y242" s="11" t="str">
        <f>VLOOKUP($G242, SeanRanks!$A$2:$K$303, 10, FALSE)-V242</f>
        <v>#N/A</v>
      </c>
      <c r="Z242" s="29" t="str">
        <f>IF(VLOOKUP($G242, SeanRanks!$A$2:$H$303, 7, FALSE)=0, "", VLOOKUP($G242, SeanRanks!$A$2:$H$303, 7, FALSE))</f>
        <v>#N/A</v>
      </c>
    </row>
    <row r="243" ht="14.25" hidden="1" customHeight="1">
      <c r="A243" s="11"/>
      <c r="B243" s="11" t="str">
        <f t="shared" si="4"/>
        <v>#N/A</v>
      </c>
      <c r="C243" s="11" t="s">
        <v>106</v>
      </c>
      <c r="D243" s="11"/>
      <c r="E243" s="11"/>
      <c r="F243" s="11" t="str">
        <f>VLOOKUP(G243, SeanRanks!$A$2:$E$302, 4, FALSE)</f>
        <v>#N/A</v>
      </c>
      <c r="G243" s="11" t="s">
        <v>931</v>
      </c>
      <c r="H243" s="11" t="str">
        <f>VLOOKUP($G243, 'ADP Data'!$C$4:$Q$300, 2, FALSE)</f>
        <v>#N/A</v>
      </c>
      <c r="I243" s="11" t="str">
        <f>VLOOKUP(G243, 'ADP Data'!$C$4:$R$498, 12, FALSE)</f>
        <v>#N/A</v>
      </c>
      <c r="J243" s="11" t="str">
        <f>VLOOKUP($G243, SeanRanks!$A$2:$H$303, 5, FALSE)</f>
        <v>#N/A</v>
      </c>
      <c r="K243" s="11" t="str">
        <f>IF(VLOOKUP($G243, SeanRanks!$A$2:$H$303, 6, FALSE)=0, "", VLOOKUP($G243, SeanRanks!$A$2:$H$303, 6, FALSE))</f>
        <v>#N/A</v>
      </c>
      <c r="L243" s="11">
        <f t="shared" si="5"/>
        <v>16</v>
      </c>
      <c r="M243" s="11" t="str">
        <f>VLOOKUP($G243, 'ADP Data'!$C$4:$Q$300, 9, FALSE)</f>
        <v>#N/A</v>
      </c>
      <c r="N243" s="11" t="str">
        <f t="shared" si="6"/>
        <v>#N/A</v>
      </c>
      <c r="O243" s="11" t="str">
        <f>VLOOKUP($G243, 'ADP Data'!$C$4:$Q$300, 3, FALSE)</f>
        <v>#N/A</v>
      </c>
      <c r="P243" s="11" t="str">
        <f t="shared" si="7"/>
        <v>#N/A</v>
      </c>
      <c r="Q243" s="11" t="str">
        <f>VLOOKUP($G243, 'ADP Data'!$C$4:$Q$300, 4, FALSE)</f>
        <v>#N/A</v>
      </c>
      <c r="R243" s="11" t="str">
        <f>VLOOKUP($G243, 'ADP Data'!$C$4:$Q$300, 5, FALSE)</f>
        <v>#N/A</v>
      </c>
      <c r="S243" s="11" t="str">
        <f>VLOOKUP($G243, 'ADP Data'!$C$4:$Q$300, 6, FALSE)</f>
        <v>#N/A</v>
      </c>
      <c r="T243" s="11" t="str">
        <f>VLOOKUP($G243, 'ADP Data'!$C$4:$Q$300, 7, FALSE)</f>
        <v>#N/A</v>
      </c>
      <c r="U243" s="11" t="str">
        <f>VLOOKUP($G243, 'ADP Data'!$C$4:$Q$300, 8, FALSE)</f>
        <v>#N/A</v>
      </c>
      <c r="V243" s="11" t="str">
        <f t="shared" si="8"/>
        <v>#N/A</v>
      </c>
      <c r="W243" s="11">
        <f t="shared" si="9"/>
        <v>16</v>
      </c>
      <c r="X243" s="11">
        <f t="shared" si="10"/>
        <v>-16</v>
      </c>
      <c r="Y243" s="11" t="str">
        <f>VLOOKUP($G243, SeanRanks!$A$2:$K$303, 10, FALSE)-V243</f>
        <v>#N/A</v>
      </c>
      <c r="Z243" s="29" t="str">
        <f>IF(VLOOKUP($G243, SeanRanks!$A$2:$H$303, 7, FALSE)=0, "", VLOOKUP($G243, SeanRanks!$A$2:$H$303, 7, FALSE))</f>
        <v>#N/A</v>
      </c>
    </row>
    <row r="244" ht="14.25" hidden="1" customHeight="1">
      <c r="A244" s="11"/>
      <c r="B244" s="11" t="str">
        <f t="shared" si="4"/>
        <v>#N/A</v>
      </c>
      <c r="C244" s="11" t="s">
        <v>106</v>
      </c>
      <c r="D244" s="11"/>
      <c r="E244" s="11"/>
      <c r="F244" s="11" t="str">
        <f>VLOOKUP(G244, SeanRanks!$A$2:$E$302, 4, FALSE)</f>
        <v>#N/A</v>
      </c>
      <c r="G244" s="11" t="s">
        <v>489</v>
      </c>
      <c r="H244" s="11" t="str">
        <f>VLOOKUP($G244, 'ADP Data'!$C$4:$Q$300, 2, FALSE)</f>
        <v>#N/A</v>
      </c>
      <c r="I244" s="11" t="str">
        <f>VLOOKUP(G244, 'ADP Data'!$C$4:$R$498, 12, FALSE)</f>
        <v>#N/A</v>
      </c>
      <c r="J244" s="11" t="str">
        <f>VLOOKUP($G244, SeanRanks!$A$2:$H$303, 5, FALSE)</f>
        <v>#N/A</v>
      </c>
      <c r="K244" s="11" t="str">
        <f>IF(VLOOKUP($G244, SeanRanks!$A$2:$H$303, 6, FALSE)=0, "", VLOOKUP($G244, SeanRanks!$A$2:$H$303, 6, FALSE))</f>
        <v>#N/A</v>
      </c>
      <c r="L244" s="11">
        <f t="shared" si="5"/>
        <v>16</v>
      </c>
      <c r="M244" s="11" t="str">
        <f>VLOOKUP($G244, 'ADP Data'!$C$4:$Q$300, 9, FALSE)</f>
        <v>#N/A</v>
      </c>
      <c r="N244" s="11" t="str">
        <f t="shared" si="6"/>
        <v>#N/A</v>
      </c>
      <c r="O244" s="11" t="str">
        <f>VLOOKUP($G244, 'ADP Data'!$C$4:$Q$300, 3, FALSE)</f>
        <v>#N/A</v>
      </c>
      <c r="P244" s="11" t="str">
        <f t="shared" si="7"/>
        <v>#N/A</v>
      </c>
      <c r="Q244" s="11" t="str">
        <f>VLOOKUP($G244, 'ADP Data'!$C$4:$Q$300, 4, FALSE)</f>
        <v>#N/A</v>
      </c>
      <c r="R244" s="11" t="str">
        <f>VLOOKUP($G244, 'ADP Data'!$C$4:$Q$300, 5, FALSE)</f>
        <v>#N/A</v>
      </c>
      <c r="S244" s="11" t="str">
        <f>VLOOKUP($G244, 'ADP Data'!$C$4:$Q$300, 6, FALSE)</f>
        <v>#N/A</v>
      </c>
      <c r="T244" s="11" t="str">
        <f>VLOOKUP($G244, 'ADP Data'!$C$4:$Q$300, 7, FALSE)</f>
        <v>#N/A</v>
      </c>
      <c r="U244" s="11" t="str">
        <f>VLOOKUP($G244, 'ADP Data'!$C$4:$Q$300, 8, FALSE)</f>
        <v>#N/A</v>
      </c>
      <c r="V244" s="11" t="str">
        <f t="shared" si="8"/>
        <v>#N/A</v>
      </c>
      <c r="W244" s="11">
        <f t="shared" si="9"/>
        <v>16</v>
      </c>
      <c r="X244" s="11">
        <f t="shared" si="10"/>
        <v>-16</v>
      </c>
      <c r="Y244" s="11" t="str">
        <f>VLOOKUP($G244, SeanRanks!$A$2:$K$303, 10, FALSE)-V244</f>
        <v>#N/A</v>
      </c>
      <c r="Z244" s="29" t="str">
        <f>IF(VLOOKUP($G244, SeanRanks!$A$2:$H$303, 7, FALSE)=0, "", VLOOKUP($G244, SeanRanks!$A$2:$H$303, 7, FALSE))</f>
        <v>#N/A</v>
      </c>
    </row>
    <row r="245" ht="14.25" hidden="1" customHeight="1">
      <c r="A245" s="11"/>
      <c r="B245" s="11" t="str">
        <f t="shared" si="4"/>
        <v>#N/A</v>
      </c>
      <c r="C245" s="11" t="s">
        <v>106</v>
      </c>
      <c r="D245" s="11"/>
      <c r="E245" s="11"/>
      <c r="F245" s="11" t="str">
        <f>VLOOKUP(G245, SeanRanks!$A$2:$E$302, 4, FALSE)</f>
        <v>#N/A</v>
      </c>
      <c r="G245" s="11" t="s">
        <v>718</v>
      </c>
      <c r="H245" s="11" t="str">
        <f>VLOOKUP($G245, 'ADP Data'!$C$4:$Q$300, 2, FALSE)</f>
        <v>#N/A</v>
      </c>
      <c r="I245" s="11" t="str">
        <f>VLOOKUP(G245, 'ADP Data'!$C$4:$R$498, 12, FALSE)</f>
        <v>#N/A</v>
      </c>
      <c r="J245" s="11" t="str">
        <f>VLOOKUP($G245, SeanRanks!$A$2:$H$303, 5, FALSE)</f>
        <v>#N/A</v>
      </c>
      <c r="K245" s="11" t="str">
        <f>IF(VLOOKUP($G245, SeanRanks!$A$2:$H$303, 6, FALSE)=0, "", VLOOKUP($G245, SeanRanks!$A$2:$H$303, 6, FALSE))</f>
        <v>#N/A</v>
      </c>
      <c r="L245" s="11">
        <f t="shared" si="5"/>
        <v>16</v>
      </c>
      <c r="M245" s="11" t="str">
        <f>VLOOKUP($G245, 'ADP Data'!$C$4:$Q$300, 9, FALSE)</f>
        <v>#N/A</v>
      </c>
      <c r="N245" s="11" t="str">
        <f t="shared" si="6"/>
        <v>#N/A</v>
      </c>
      <c r="O245" s="11" t="str">
        <f>VLOOKUP($G245, 'ADP Data'!$C$4:$Q$300, 3, FALSE)</f>
        <v>#N/A</v>
      </c>
      <c r="P245" s="11" t="str">
        <f t="shared" si="7"/>
        <v>#N/A</v>
      </c>
      <c r="Q245" s="11" t="str">
        <f>VLOOKUP($G245, 'ADP Data'!$C$4:$Q$300, 4, FALSE)</f>
        <v>#N/A</v>
      </c>
      <c r="R245" s="11" t="str">
        <f>VLOOKUP($G245, 'ADP Data'!$C$4:$Q$300, 5, FALSE)</f>
        <v>#N/A</v>
      </c>
      <c r="S245" s="11" t="str">
        <f>VLOOKUP($G245, 'ADP Data'!$C$4:$Q$300, 6, FALSE)</f>
        <v>#N/A</v>
      </c>
      <c r="T245" s="11" t="str">
        <f>VLOOKUP($G245, 'ADP Data'!$C$4:$Q$300, 7, FALSE)</f>
        <v>#N/A</v>
      </c>
      <c r="U245" s="11" t="str">
        <f>VLOOKUP($G245, 'ADP Data'!$C$4:$Q$300, 8, FALSE)</f>
        <v>#N/A</v>
      </c>
      <c r="V245" s="11" t="str">
        <f t="shared" si="8"/>
        <v>#N/A</v>
      </c>
      <c r="W245" s="11">
        <f t="shared" si="9"/>
        <v>16</v>
      </c>
      <c r="X245" s="11">
        <f t="shared" si="10"/>
        <v>-16</v>
      </c>
      <c r="Y245" s="11" t="str">
        <f>VLOOKUP($G245, SeanRanks!$A$2:$K$303, 10, FALSE)-V245</f>
        <v>#N/A</v>
      </c>
      <c r="Z245" s="29" t="str">
        <f>IF(VLOOKUP($G245, SeanRanks!$A$2:$H$303, 7, FALSE)=0, "", VLOOKUP($G245, SeanRanks!$A$2:$H$303, 7, FALSE))</f>
        <v>#N/A</v>
      </c>
    </row>
    <row r="246" ht="14.25" hidden="1" customHeight="1">
      <c r="A246" s="11"/>
      <c r="B246" s="11" t="str">
        <f t="shared" si="4"/>
        <v>#N/A</v>
      </c>
      <c r="C246" s="11" t="s">
        <v>106</v>
      </c>
      <c r="D246" s="11"/>
      <c r="E246" s="11"/>
      <c r="F246" s="11" t="str">
        <f>VLOOKUP(G246, SeanRanks!$A$2:$E$302, 4, FALSE)</f>
        <v>#N/A</v>
      </c>
      <c r="G246" s="11" t="s">
        <v>947</v>
      </c>
      <c r="H246" s="11" t="str">
        <f>VLOOKUP($G246, 'ADP Data'!$C$4:$Q$300, 2, FALSE)</f>
        <v>#N/A</v>
      </c>
      <c r="I246" s="11" t="str">
        <f>VLOOKUP(G246, 'ADP Data'!$C$4:$R$498, 12, FALSE)</f>
        <v>#N/A</v>
      </c>
      <c r="J246" s="11" t="str">
        <f>VLOOKUP($G246, SeanRanks!$A$2:$H$303, 5, FALSE)</f>
        <v>#N/A</v>
      </c>
      <c r="K246" s="11" t="str">
        <f>IF(VLOOKUP($G246, SeanRanks!$A$2:$H$303, 6, FALSE)=0, "", VLOOKUP($G246, SeanRanks!$A$2:$H$303, 6, FALSE))</f>
        <v>#N/A</v>
      </c>
      <c r="L246" s="11">
        <f t="shared" si="5"/>
        <v>16</v>
      </c>
      <c r="M246" s="11" t="str">
        <f>VLOOKUP($G246, 'ADP Data'!$C$4:$Q$300, 9, FALSE)</f>
        <v>#N/A</v>
      </c>
      <c r="N246" s="11" t="str">
        <f t="shared" si="6"/>
        <v>#N/A</v>
      </c>
      <c r="O246" s="11" t="str">
        <f>VLOOKUP($G246, 'ADP Data'!$C$4:$Q$300, 3, FALSE)</f>
        <v>#N/A</v>
      </c>
      <c r="P246" s="11" t="str">
        <f t="shared" si="7"/>
        <v>#N/A</v>
      </c>
      <c r="Q246" s="11" t="str">
        <f>VLOOKUP($G246, 'ADP Data'!$C$4:$Q$300, 4, FALSE)</f>
        <v>#N/A</v>
      </c>
      <c r="R246" s="11" t="str">
        <f>VLOOKUP($G246, 'ADP Data'!$C$4:$Q$300, 5, FALSE)</f>
        <v>#N/A</v>
      </c>
      <c r="S246" s="11" t="str">
        <f>VLOOKUP($G246, 'ADP Data'!$C$4:$Q$300, 6, FALSE)</f>
        <v>#N/A</v>
      </c>
      <c r="T246" s="11" t="str">
        <f>VLOOKUP($G246, 'ADP Data'!$C$4:$Q$300, 7, FALSE)</f>
        <v>#N/A</v>
      </c>
      <c r="U246" s="11" t="str">
        <f>VLOOKUP($G246, 'ADP Data'!$C$4:$Q$300, 8, FALSE)</f>
        <v>#N/A</v>
      </c>
      <c r="V246" s="11" t="str">
        <f t="shared" si="8"/>
        <v>#N/A</v>
      </c>
      <c r="W246" s="11">
        <f t="shared" si="9"/>
        <v>16</v>
      </c>
      <c r="X246" s="11">
        <f t="shared" si="10"/>
        <v>-16</v>
      </c>
      <c r="Y246" s="11" t="str">
        <f>VLOOKUP($G246, SeanRanks!$A$2:$K$303, 10, FALSE)-V246</f>
        <v>#N/A</v>
      </c>
      <c r="Z246" s="29" t="str">
        <f>IF(VLOOKUP($G246, SeanRanks!$A$2:$H$303, 7, FALSE)=0, "", VLOOKUP($G246, SeanRanks!$A$2:$H$303, 7, FALSE))</f>
        <v>#N/A</v>
      </c>
    </row>
    <row r="247" ht="14.25" hidden="1" customHeight="1">
      <c r="A247" s="11"/>
      <c r="B247" s="11" t="str">
        <f t="shared" si="4"/>
        <v>#N/A</v>
      </c>
      <c r="C247" s="11" t="s">
        <v>106</v>
      </c>
      <c r="D247" s="11"/>
      <c r="E247" s="11"/>
      <c r="F247" s="11" t="str">
        <f>VLOOKUP(G247, SeanRanks!$A$2:$E$302, 4, FALSE)</f>
        <v>#N/A</v>
      </c>
      <c r="G247" s="11" t="s">
        <v>948</v>
      </c>
      <c r="H247" s="11" t="str">
        <f>VLOOKUP($G247, 'ADP Data'!$C$4:$Q$300, 2, FALSE)</f>
        <v>#N/A</v>
      </c>
      <c r="I247" s="11" t="str">
        <f>VLOOKUP(G247, 'ADP Data'!$C$4:$R$498, 12, FALSE)</f>
        <v>#N/A</v>
      </c>
      <c r="J247" s="11" t="str">
        <f>VLOOKUP($G247, SeanRanks!$A$2:$H$303, 5, FALSE)</f>
        <v>#N/A</v>
      </c>
      <c r="K247" s="11" t="str">
        <f>IF(VLOOKUP($G247, SeanRanks!$A$2:$H$303, 6, FALSE)=0, "", VLOOKUP($G247, SeanRanks!$A$2:$H$303, 6, FALSE))</f>
        <v>#N/A</v>
      </c>
      <c r="L247" s="11">
        <f t="shared" si="5"/>
        <v>16</v>
      </c>
      <c r="M247" s="11" t="str">
        <f>VLOOKUP($G247, 'ADP Data'!$C$4:$Q$300, 9, FALSE)</f>
        <v>#N/A</v>
      </c>
      <c r="N247" s="11" t="str">
        <f t="shared" si="6"/>
        <v>#N/A</v>
      </c>
      <c r="O247" s="11" t="str">
        <f>VLOOKUP($G247, 'ADP Data'!$C$4:$Q$300, 3, FALSE)</f>
        <v>#N/A</v>
      </c>
      <c r="P247" s="11" t="str">
        <f t="shared" si="7"/>
        <v>#N/A</v>
      </c>
      <c r="Q247" s="11" t="str">
        <f>VLOOKUP($G247, 'ADP Data'!$C$4:$Q$300, 4, FALSE)</f>
        <v>#N/A</v>
      </c>
      <c r="R247" s="11" t="str">
        <f>VLOOKUP($G247, 'ADP Data'!$C$4:$Q$300, 5, FALSE)</f>
        <v>#N/A</v>
      </c>
      <c r="S247" s="11" t="str">
        <f>VLOOKUP($G247, 'ADP Data'!$C$4:$Q$300, 6, FALSE)</f>
        <v>#N/A</v>
      </c>
      <c r="T247" s="11" t="str">
        <f>VLOOKUP($G247, 'ADP Data'!$C$4:$Q$300, 7, FALSE)</f>
        <v>#N/A</v>
      </c>
      <c r="U247" s="11" t="str">
        <f>VLOOKUP($G247, 'ADP Data'!$C$4:$Q$300, 8, FALSE)</f>
        <v>#N/A</v>
      </c>
      <c r="V247" s="11" t="str">
        <f t="shared" si="8"/>
        <v>#N/A</v>
      </c>
      <c r="W247" s="11">
        <f t="shared" si="9"/>
        <v>16</v>
      </c>
      <c r="X247" s="11">
        <f t="shared" si="10"/>
        <v>-16</v>
      </c>
      <c r="Y247" s="11" t="str">
        <f>VLOOKUP($G247, SeanRanks!$A$2:$K$303, 10, FALSE)-V247</f>
        <v>#N/A</v>
      </c>
      <c r="Z247" s="29" t="str">
        <f>IF(VLOOKUP($G247, SeanRanks!$A$2:$H$303, 7, FALSE)=0, "", VLOOKUP($G247, SeanRanks!$A$2:$H$303, 7, FALSE))</f>
        <v>#N/A</v>
      </c>
    </row>
    <row r="248" ht="14.25" hidden="1" customHeight="1">
      <c r="A248" s="11"/>
      <c r="B248" s="11">
        <f t="shared" si="4"/>
        <v>15</v>
      </c>
      <c r="C248" s="11" t="s">
        <v>106</v>
      </c>
      <c r="D248" s="11"/>
      <c r="E248" s="11"/>
      <c r="F248" s="11" t="str">
        <f>VLOOKUP(G248, SeanRanks!$A$2:$E$302, 4, FALSE)</f>
        <v/>
      </c>
      <c r="G248" s="11" t="s">
        <v>515</v>
      </c>
      <c r="H248" s="11" t="str">
        <f>VLOOKUP($G248, 'ADP Data'!$C$4:$Q$300, 2, FALSE)</f>
        <v>MIN</v>
      </c>
      <c r="I248" s="11" t="str">
        <f>VLOOKUP(G248, 'ADP Data'!$C$4:$R$498, 12, FALSE)</f>
        <v>-</v>
      </c>
      <c r="J248" s="11" t="str">
        <f>VLOOKUP($G248, SeanRanks!$A$2:$H$303, 5, FALSE)</f>
        <v/>
      </c>
      <c r="K248" s="11" t="str">
        <f>IF(VLOOKUP($G248, SeanRanks!$A$2:$H$303, 6, FALSE)=0, "", VLOOKUP($G248, SeanRanks!$A$2:$H$303, 6, FALSE))</f>
        <v/>
      </c>
      <c r="L248" s="11">
        <f t="shared" si="5"/>
        <v>21</v>
      </c>
      <c r="M248" s="11">
        <f>VLOOKUP($G248, 'ADP Data'!$C$4:$Q$300, 9, FALSE)</f>
        <v>160</v>
      </c>
      <c r="N248" s="11">
        <f t="shared" si="6"/>
        <v>-5</v>
      </c>
      <c r="O248" s="11">
        <f>VLOOKUP($G248, 'ADP Data'!$C$4:$Q$300, 3, FALSE)</f>
        <v>141</v>
      </c>
      <c r="P248" s="11">
        <f t="shared" si="7"/>
        <v>19</v>
      </c>
      <c r="Q248" s="11">
        <f>VLOOKUP($G248, 'ADP Data'!$C$4:$Q$300, 4, FALSE)</f>
        <v>119</v>
      </c>
      <c r="R248" s="11">
        <f>VLOOKUP($G248, 'ADP Data'!$C$4:$Q$300, 5, FALSE)</f>
        <v>193</v>
      </c>
      <c r="S248" s="11">
        <f>VLOOKUP($G248, 'ADP Data'!$C$4:$Q$300, 6, FALSE)</f>
        <v>220</v>
      </c>
      <c r="T248" s="11">
        <f>VLOOKUP($G248, 'ADP Data'!$C$4:$Q$300, 7, FALSE)</f>
        <v>172</v>
      </c>
      <c r="U248" s="11">
        <f>VLOOKUP($G248, 'ADP Data'!$C$4:$Q$300, 8, FALSE)</f>
        <v>151</v>
      </c>
      <c r="V248" s="11">
        <f t="shared" si="8"/>
        <v>165</v>
      </c>
      <c r="W248" s="11">
        <f t="shared" si="9"/>
        <v>21</v>
      </c>
      <c r="X248" s="11">
        <f t="shared" si="10"/>
        <v>-21</v>
      </c>
      <c r="Y248" s="11">
        <f>VLOOKUP($G248, SeanRanks!$A$2:$K$303, 10, FALSE)-V248</f>
        <v>7</v>
      </c>
      <c r="Z248" s="29" t="str">
        <f>IF(VLOOKUP($G248, SeanRanks!$A$2:$H$303, 7, FALSE)=0, "", VLOOKUP($G248, SeanRanks!$A$2:$H$303, 7, FALSE))</f>
        <v/>
      </c>
    </row>
    <row r="249" ht="14.25" hidden="1" customHeight="1">
      <c r="A249" s="11"/>
      <c r="B249" s="11">
        <f t="shared" si="4"/>
        <v>11</v>
      </c>
      <c r="C249" s="11" t="s">
        <v>106</v>
      </c>
      <c r="D249" s="11"/>
      <c r="E249" s="11"/>
      <c r="F249" s="11" t="str">
        <f>VLOOKUP(G249, SeanRanks!$A$2:$E$302, 4, FALSE)</f>
        <v/>
      </c>
      <c r="G249" s="11" t="s">
        <v>485</v>
      </c>
      <c r="H249" s="11" t="str">
        <f>VLOOKUP($G249, 'ADP Data'!$C$4:$Q$300, 2, FALSE)</f>
        <v>DEN</v>
      </c>
      <c r="I249" s="11" t="str">
        <f>VLOOKUP(G249, 'ADP Data'!$C$4:$R$498, 12, FALSE)</f>
        <v>-</v>
      </c>
      <c r="J249" s="11" t="str">
        <f>VLOOKUP($G249, SeanRanks!$A$2:$H$303, 5, FALSE)</f>
        <v/>
      </c>
      <c r="K249" s="11" t="str">
        <f>IF(VLOOKUP($G249, SeanRanks!$A$2:$H$303, 6, FALSE)=0, "", VLOOKUP($G249, SeanRanks!$A$2:$H$303, 6, FALSE))</f>
        <v/>
      </c>
      <c r="L249" s="11">
        <f t="shared" si="5"/>
        <v>19</v>
      </c>
      <c r="M249" s="11">
        <f>VLOOKUP($G249, 'ADP Data'!$C$4:$Q$300, 9, FALSE)</f>
        <v>147</v>
      </c>
      <c r="N249" s="11">
        <f t="shared" si="6"/>
        <v>18</v>
      </c>
      <c r="O249" s="11">
        <f>VLOOKUP($G249, 'ADP Data'!$C$4:$Q$300, 3, FALSE)</f>
        <v>106</v>
      </c>
      <c r="P249" s="11">
        <f t="shared" si="7"/>
        <v>41</v>
      </c>
      <c r="Q249" s="11">
        <f>VLOOKUP($G249, 'ADP Data'!$C$4:$Q$300, 4, FALSE)</f>
        <v>94</v>
      </c>
      <c r="R249" s="11">
        <f>VLOOKUP($G249, 'ADP Data'!$C$4:$Q$300, 5, FALSE)</f>
        <v>134</v>
      </c>
      <c r="S249" s="11">
        <f>VLOOKUP($G249, 'ADP Data'!$C$4:$Q$300, 6, FALSE)</f>
        <v>203</v>
      </c>
      <c r="T249" s="11">
        <f>VLOOKUP($G249, 'ADP Data'!$C$4:$Q$300, 7, FALSE)</f>
        <v>140</v>
      </c>
      <c r="U249" s="11">
        <f>VLOOKUP($G249, 'ADP Data'!$C$4:$Q$300, 8, FALSE)</f>
        <v>82</v>
      </c>
      <c r="V249" s="11">
        <f t="shared" si="8"/>
        <v>129</v>
      </c>
      <c r="W249" s="11">
        <f t="shared" si="9"/>
        <v>17</v>
      </c>
      <c r="X249" s="11">
        <f t="shared" si="10"/>
        <v>-17</v>
      </c>
      <c r="Y249" s="11">
        <f>VLOOKUP($G249, SeanRanks!$A$2:$K$303, 10, FALSE)-V249</f>
        <v>29</v>
      </c>
      <c r="Z249" s="29" t="str">
        <f>IF(VLOOKUP($G249, SeanRanks!$A$2:$H$303, 7, FALSE)=0, "", VLOOKUP($G249, SeanRanks!$A$2:$H$303, 7, FALSE))</f>
        <v/>
      </c>
    </row>
    <row r="250" ht="14.25" hidden="1" customHeight="1">
      <c r="A250" s="11"/>
      <c r="B250" s="11">
        <f t="shared" si="4"/>
        <v>14</v>
      </c>
      <c r="C250" s="11" t="s">
        <v>106</v>
      </c>
      <c r="D250" s="11"/>
      <c r="E250" s="11"/>
      <c r="F250" s="11" t="str">
        <f>VLOOKUP(G250, SeanRanks!$A$2:$E$302, 4, FALSE)</f>
        <v/>
      </c>
      <c r="G250" s="11" t="s">
        <v>620</v>
      </c>
      <c r="H250" s="11" t="str">
        <f>VLOOKUP($G250, 'ADP Data'!$C$4:$Q$300, 2, FALSE)</f>
        <v>CIN</v>
      </c>
      <c r="I250" s="11" t="str">
        <f>VLOOKUP(G250, 'ADP Data'!$C$4:$R$498, 12, FALSE)</f>
        <v>-</v>
      </c>
      <c r="J250" s="11" t="str">
        <f>VLOOKUP($G250, SeanRanks!$A$2:$H$303, 5, FALSE)</f>
        <v/>
      </c>
      <c r="K250" s="11" t="str">
        <f>IF(VLOOKUP($G250, SeanRanks!$A$2:$H$303, 6, FALSE)=0, "", VLOOKUP($G250, SeanRanks!$A$2:$H$303, 6, FALSE))</f>
        <v/>
      </c>
      <c r="L250" s="11">
        <f t="shared" si="5"/>
        <v>21</v>
      </c>
      <c r="M250" s="11">
        <f>VLOOKUP($G250, 'ADP Data'!$C$4:$Q$300, 9, FALSE)</f>
        <v>163</v>
      </c>
      <c r="N250" s="11">
        <f t="shared" si="6"/>
        <v>-13</v>
      </c>
      <c r="O250" s="11">
        <f>VLOOKUP($G250, 'ADP Data'!$C$4:$Q$300, 3, FALSE)</f>
        <v>189</v>
      </c>
      <c r="P250" s="11">
        <f t="shared" si="7"/>
        <v>-26</v>
      </c>
      <c r="Q250" s="11"/>
      <c r="R250" s="11"/>
      <c r="S250" s="11"/>
      <c r="T250" s="11"/>
      <c r="U250" s="11"/>
      <c r="V250" s="11">
        <f t="shared" si="8"/>
        <v>176</v>
      </c>
      <c r="W250" s="11">
        <f t="shared" si="9"/>
        <v>23</v>
      </c>
      <c r="X250" s="11">
        <f t="shared" si="10"/>
        <v>-23</v>
      </c>
      <c r="Y250" s="11">
        <f>VLOOKUP($G250, SeanRanks!$A$2:$K$303, 10, FALSE)-V250</f>
        <v>42</v>
      </c>
      <c r="Z250" s="29" t="str">
        <f>IF(VLOOKUP($G250, SeanRanks!$A$2:$H$303, 7, FALSE)=0, "", VLOOKUP($G250, SeanRanks!$A$2:$H$303, 7, FALSE))</f>
        <v/>
      </c>
    </row>
    <row r="251" ht="14.25" hidden="1" customHeight="1">
      <c r="A251" s="11"/>
      <c r="B251" s="11">
        <f t="shared" si="4"/>
        <v>22</v>
      </c>
      <c r="C251" s="11" t="s">
        <v>106</v>
      </c>
      <c r="D251" s="11"/>
      <c r="E251" s="11"/>
      <c r="F251" s="11" t="str">
        <f>VLOOKUP(G251, SeanRanks!$A$2:$E$302, 4, FALSE)</f>
        <v/>
      </c>
      <c r="G251" s="11" t="s">
        <v>832</v>
      </c>
      <c r="H251" s="11" t="str">
        <f>VLOOKUP($G251, 'ADP Data'!$C$4:$Q$300, 2, FALSE)</f>
        <v>CIN</v>
      </c>
      <c r="I251" s="11">
        <f>VLOOKUP(G251, 'ADP Data'!$C$4:$R$498, 12, FALSE)</f>
        <v>199</v>
      </c>
      <c r="J251" s="11" t="str">
        <f>VLOOKUP($G251, SeanRanks!$A$2:$H$303, 5, FALSE)</f>
        <v/>
      </c>
      <c r="K251" s="11" t="str">
        <f>IF(VLOOKUP($G251, SeanRanks!$A$2:$H$303, 6, FALSE)=0, "", VLOOKUP($G251, SeanRanks!$A$2:$H$303, 6, FALSE))</f>
        <v/>
      </c>
      <c r="L251" s="11">
        <f t="shared" si="5"/>
        <v>33</v>
      </c>
      <c r="M251" s="11">
        <f>VLOOKUP($G251, 'ADP Data'!$C$4:$Q$300, 9, FALSE)</f>
        <v>262</v>
      </c>
      <c r="N251" s="11">
        <f t="shared" si="6"/>
        <v>-1</v>
      </c>
      <c r="O251" s="11" t="str">
        <f>VLOOKUP($G251, 'ADP Data'!$C$4:$Q$300, 3, FALSE)</f>
        <v>-</v>
      </c>
      <c r="P251" s="11" t="str">
        <f t="shared" si="7"/>
        <v>#VALUE!</v>
      </c>
      <c r="Q251" s="11" t="str">
        <f>VLOOKUP($G251, 'ADP Data'!$C$4:$Q$300, 4, FALSE)</f>
        <v>-</v>
      </c>
      <c r="R251" s="11">
        <f>VLOOKUP($G251, 'ADP Data'!$C$4:$Q$300, 5, FALSE)</f>
        <v>324</v>
      </c>
      <c r="S251" s="11">
        <f>VLOOKUP($G251, 'ADP Data'!$C$4:$Q$300, 6, FALSE)</f>
        <v>245</v>
      </c>
      <c r="T251" s="11">
        <f>VLOOKUP($G251, 'ADP Data'!$C$4:$Q$300, 7, FALSE)</f>
        <v>217</v>
      </c>
      <c r="U251" s="11">
        <f>VLOOKUP($G251, 'ADP Data'!$C$4:$Q$300, 8, FALSE)</f>
        <v>267</v>
      </c>
      <c r="V251" s="11">
        <f t="shared" si="8"/>
        <v>263</v>
      </c>
      <c r="W251" s="11">
        <f t="shared" si="9"/>
        <v>33</v>
      </c>
      <c r="X251" s="11">
        <f t="shared" si="10"/>
        <v>-33</v>
      </c>
      <c r="Y251" s="11" t="str">
        <f>VLOOKUP($G251, SeanRanks!$A$2:$K$303, 10, FALSE)-V251</f>
        <v>#VALUE!</v>
      </c>
      <c r="Z251" s="29" t="str">
        <f>IF(VLOOKUP($G251, SeanRanks!$A$2:$H$303, 7, FALSE)=0, "", VLOOKUP($G251, SeanRanks!$A$2:$H$303, 7, FALSE))</f>
        <v/>
      </c>
    </row>
    <row r="252" ht="14.25" hidden="1" customHeight="1">
      <c r="A252" s="11"/>
      <c r="B252" s="11" t="str">
        <f t="shared" si="4"/>
        <v>#N/A</v>
      </c>
      <c r="C252" s="11" t="s">
        <v>106</v>
      </c>
      <c r="D252" s="11"/>
      <c r="E252" s="11"/>
      <c r="F252" s="11" t="str">
        <f>VLOOKUP(G252, SeanRanks!$A$2:$E$302, 4, FALSE)</f>
        <v>#N/A</v>
      </c>
      <c r="G252" s="11" t="s">
        <v>294</v>
      </c>
      <c r="H252" s="11" t="str">
        <f>VLOOKUP($G252, 'ADP Data'!$C$4:$Q$300, 2, FALSE)</f>
        <v>#N/A</v>
      </c>
      <c r="I252" s="11" t="str">
        <f>VLOOKUP(G252, 'ADP Data'!$C$4:$R$498, 12, FALSE)</f>
        <v>#N/A</v>
      </c>
      <c r="J252" s="11" t="str">
        <f>VLOOKUP($G252, SeanRanks!$A$2:$H$303, 5, FALSE)</f>
        <v>#N/A</v>
      </c>
      <c r="K252" s="11" t="str">
        <f>IF(VLOOKUP($G252, SeanRanks!$A$2:$H$303, 6, FALSE)=0, "", VLOOKUP($G252, SeanRanks!$A$2:$H$303, 6, FALSE))</f>
        <v>#N/A</v>
      </c>
      <c r="L252" s="11">
        <f t="shared" si="5"/>
        <v>16</v>
      </c>
      <c r="M252" s="11" t="str">
        <f>VLOOKUP($G252, 'ADP Data'!$C$4:$Q$300, 9, FALSE)</f>
        <v>#N/A</v>
      </c>
      <c r="N252" s="11" t="str">
        <f t="shared" si="6"/>
        <v>#N/A</v>
      </c>
      <c r="O252" s="11" t="str">
        <f>VLOOKUP($G252, 'ADP Data'!$C$4:$Q$300, 3, FALSE)</f>
        <v>#N/A</v>
      </c>
      <c r="P252" s="11" t="str">
        <f t="shared" si="7"/>
        <v>#N/A</v>
      </c>
      <c r="Q252" s="11" t="str">
        <f>VLOOKUP($G252, 'ADP Data'!$C$4:$Q$300, 4, FALSE)</f>
        <v>#N/A</v>
      </c>
      <c r="R252" s="11" t="str">
        <f>VLOOKUP($G252, 'ADP Data'!$C$4:$Q$300, 5, FALSE)</f>
        <v>#N/A</v>
      </c>
      <c r="S252" s="11" t="str">
        <f>VLOOKUP($G252, 'ADP Data'!$C$4:$Q$300, 6, FALSE)</f>
        <v>#N/A</v>
      </c>
      <c r="T252" s="11" t="str">
        <f>VLOOKUP($G252, 'ADP Data'!$C$4:$Q$300, 7, FALSE)</f>
        <v>#N/A</v>
      </c>
      <c r="U252" s="11" t="str">
        <f>VLOOKUP($G252, 'ADP Data'!$C$4:$Q$300, 8, FALSE)</f>
        <v>#N/A</v>
      </c>
      <c r="V252" s="11" t="str">
        <f t="shared" si="8"/>
        <v>#N/A</v>
      </c>
      <c r="W252" s="11">
        <f t="shared" si="9"/>
        <v>16</v>
      </c>
      <c r="X252" s="11">
        <f t="shared" si="10"/>
        <v>-16</v>
      </c>
      <c r="Y252" s="11" t="str">
        <f>VLOOKUP($G252, SeanRanks!$A$2:$K$303, 10, FALSE)-V252</f>
        <v>#N/A</v>
      </c>
      <c r="Z252" s="29" t="str">
        <f>IF(VLOOKUP($G252, SeanRanks!$A$2:$H$303, 7, FALSE)=0, "", VLOOKUP($G252, SeanRanks!$A$2:$H$303, 7, FALSE))</f>
        <v>#N/A</v>
      </c>
    </row>
    <row r="253" ht="14.25" customHeight="1">
      <c r="A253" s="11"/>
      <c r="B253" s="11">
        <f t="shared" si="4"/>
        <v>19</v>
      </c>
      <c r="C253" s="11" t="s">
        <v>106</v>
      </c>
      <c r="D253" s="11"/>
      <c r="E253" s="11"/>
      <c r="F253" s="11" t="str">
        <f>VLOOKUP(G253, SeanRanks!$A$2:$E$302, 4, FALSE)</f>
        <v/>
      </c>
      <c r="G253" s="11" t="s">
        <v>951</v>
      </c>
      <c r="H253" s="11" t="str">
        <f>VLOOKUP($G253, 'ADP Data'!$C$4:$Q$300, 2, FALSE)</f>
        <v>PHI</v>
      </c>
      <c r="I253" s="11">
        <f>VLOOKUP(G253, 'ADP Data'!$C$4:$R$498, 12, FALSE)</f>
        <v>167</v>
      </c>
      <c r="J253" s="11" t="str">
        <f>VLOOKUP($G253, SeanRanks!$A$2:$H$303, 5, FALSE)</f>
        <v/>
      </c>
      <c r="K253" s="11" t="str">
        <f>IF(VLOOKUP($G253, SeanRanks!$A$2:$H$303, 6, FALSE)=0, "", VLOOKUP($G253, SeanRanks!$A$2:$H$303, 6, FALSE))</f>
        <v>Handcuff only</v>
      </c>
      <c r="L253" s="11">
        <f t="shared" si="5"/>
        <v>26</v>
      </c>
      <c r="M253" s="11">
        <f>VLOOKUP($G253, 'ADP Data'!$C$4:$Q$300, 9, FALSE)</f>
        <v>204</v>
      </c>
      <c r="N253" s="11">
        <f t="shared" si="6"/>
        <v>-13</v>
      </c>
      <c r="O253" s="11">
        <f>VLOOKUP($G253, 'ADP Data'!$C$4:$Q$300, 3, FALSE)</f>
        <v>211</v>
      </c>
      <c r="P253" s="11">
        <f t="shared" si="7"/>
        <v>-7</v>
      </c>
      <c r="Q253" s="11">
        <f>VLOOKUP($G253, 'ADP Data'!$C$4:$Q$300, 4, FALSE)</f>
        <v>213</v>
      </c>
      <c r="R253" s="11">
        <f>VLOOKUP($G253, 'ADP Data'!$C$4:$Q$300, 5, FALSE)</f>
        <v>258</v>
      </c>
      <c r="S253" s="11">
        <f>VLOOKUP($G253, 'ADP Data'!$C$4:$Q$300, 6, FALSE)</f>
        <v>163</v>
      </c>
      <c r="T253" s="11">
        <f>VLOOKUP($G253, 'ADP Data'!$C$4:$Q$300, 7, FALSE)</f>
        <v>173</v>
      </c>
      <c r="U253" s="11">
        <f>VLOOKUP($G253, 'ADP Data'!$C$4:$Q$300, 8, FALSE)</f>
        <v>302</v>
      </c>
      <c r="V253" s="11">
        <f t="shared" si="8"/>
        <v>217</v>
      </c>
      <c r="W253" s="11">
        <f t="shared" si="9"/>
        <v>28</v>
      </c>
      <c r="X253" s="11">
        <f t="shared" si="10"/>
        <v>-28</v>
      </c>
      <c r="Y253" s="11">
        <f>VLOOKUP($G253, SeanRanks!$A$2:$K$303, 10, FALSE)-V253</f>
        <v>-50</v>
      </c>
      <c r="Z253" s="29" t="str">
        <f>IF(VLOOKUP($G253, SeanRanks!$A$2:$H$303, 7, FALSE)=0, "", VLOOKUP($G253, SeanRanks!$A$2:$H$303, 7, FALSE))</f>
        <v/>
      </c>
    </row>
    <row r="254" ht="14.25" hidden="1" customHeight="1">
      <c r="A254" s="11"/>
      <c r="B254" s="11">
        <f t="shared" si="4"/>
        <v>16</v>
      </c>
      <c r="C254" s="11" t="s">
        <v>106</v>
      </c>
      <c r="D254" s="11"/>
      <c r="E254" s="11"/>
      <c r="F254" s="11" t="str">
        <f>VLOOKUP(G254, SeanRanks!$A$2:$E$302, 4, FALSE)</f>
        <v/>
      </c>
      <c r="G254" s="11" t="s">
        <v>952</v>
      </c>
      <c r="H254" s="11" t="str">
        <f>VLOOKUP($G254, 'ADP Data'!$C$4:$Q$300, 2, FALSE)</f>
        <v>BUF</v>
      </c>
      <c r="I254" s="11" t="str">
        <f>VLOOKUP(G254, 'ADP Data'!$C$4:$R$498, 12, FALSE)</f>
        <v>-</v>
      </c>
      <c r="J254" s="11" t="str">
        <f>VLOOKUP($G254, SeanRanks!$A$2:$H$303, 5, FALSE)</f>
        <v/>
      </c>
      <c r="K254" s="11" t="str">
        <f>IF(VLOOKUP($G254, SeanRanks!$A$2:$H$303, 6, FALSE)=0, "", VLOOKUP($G254, SeanRanks!$A$2:$H$303, 6, FALSE))</f>
        <v/>
      </c>
      <c r="L254" s="11">
        <f t="shared" si="5"/>
        <v>24</v>
      </c>
      <c r="M254" s="11">
        <f>VLOOKUP($G254, 'ADP Data'!$C$4:$Q$300, 9, FALSE)</f>
        <v>185</v>
      </c>
      <c r="N254" s="11">
        <f t="shared" si="6"/>
        <v>14</v>
      </c>
      <c r="O254" s="11">
        <f>VLOOKUP($G254, 'ADP Data'!$C$4:$Q$300, 3, FALSE)</f>
        <v>158</v>
      </c>
      <c r="P254" s="11">
        <f t="shared" si="7"/>
        <v>27</v>
      </c>
      <c r="Q254" s="11"/>
      <c r="R254" s="11"/>
      <c r="S254" s="11"/>
      <c r="T254" s="11"/>
      <c r="U254" s="11"/>
      <c r="V254" s="11">
        <f t="shared" si="8"/>
        <v>171</v>
      </c>
      <c r="W254" s="11">
        <f t="shared" si="9"/>
        <v>22</v>
      </c>
      <c r="X254" s="11">
        <f t="shared" si="10"/>
        <v>-22</v>
      </c>
      <c r="Y254" s="11">
        <f>VLOOKUP($G254, SeanRanks!$A$2:$K$303, 10, FALSE)-V254</f>
        <v>68</v>
      </c>
      <c r="Z254" s="29" t="str">
        <f>IF(VLOOKUP($G254, SeanRanks!$A$2:$H$303, 7, FALSE)=0, "", VLOOKUP($G254, SeanRanks!$A$2:$H$303, 7, FALSE))</f>
        <v/>
      </c>
    </row>
    <row r="255" ht="14.25" hidden="1" customHeight="1">
      <c r="A255" s="11"/>
      <c r="B255" s="11">
        <f t="shared" si="4"/>
        <v>14</v>
      </c>
      <c r="C255" s="11" t="s">
        <v>106</v>
      </c>
      <c r="D255" s="11"/>
      <c r="E255" s="11"/>
      <c r="F255" s="11" t="str">
        <f>VLOOKUP(G255, SeanRanks!$A$2:$E$302, 4, FALSE)</f>
        <v/>
      </c>
      <c r="G255" s="11" t="s">
        <v>954</v>
      </c>
      <c r="H255" s="11" t="str">
        <f>VLOOKUP($G255, 'ADP Data'!$C$4:$Q$300, 2, FALSE)</f>
        <v>ATL</v>
      </c>
      <c r="I255" s="11" t="str">
        <f>VLOOKUP(G255, 'ADP Data'!$C$4:$R$498, 12, FALSE)</f>
        <v>-</v>
      </c>
      <c r="J255" s="11" t="str">
        <f>VLOOKUP($G255, SeanRanks!$A$2:$H$303, 5, FALSE)</f>
        <v/>
      </c>
      <c r="K255" s="11" t="str">
        <f>IF(VLOOKUP($G255, SeanRanks!$A$2:$H$303, 6, FALSE)=0, "", VLOOKUP($G255, SeanRanks!$A$2:$H$303, 6, FALSE))</f>
        <v/>
      </c>
      <c r="L255" s="11">
        <f t="shared" si="5"/>
        <v>20</v>
      </c>
      <c r="M255" s="11">
        <f>VLOOKUP($G255, 'ADP Data'!$C$4:$Q$300, 9, FALSE)</f>
        <v>159</v>
      </c>
      <c r="N255" s="11">
        <f t="shared" si="6"/>
        <v>-17</v>
      </c>
      <c r="O255" s="11">
        <f>VLOOKUP($G255, 'ADP Data'!$C$4:$Q$300, 3, FALSE)</f>
        <v>193</v>
      </c>
      <c r="P255" s="11">
        <f t="shared" si="7"/>
        <v>-34</v>
      </c>
      <c r="Q255" s="11"/>
      <c r="R255" s="11"/>
      <c r="S255" s="11"/>
      <c r="T255" s="11"/>
      <c r="U255" s="11"/>
      <c r="V255" s="11">
        <f t="shared" si="8"/>
        <v>176</v>
      </c>
      <c r="W255" s="11">
        <f t="shared" si="9"/>
        <v>23</v>
      </c>
      <c r="X255" s="11">
        <f t="shared" si="10"/>
        <v>-23</v>
      </c>
      <c r="Y255" s="11">
        <f>VLOOKUP($G255, SeanRanks!$A$2:$K$303, 10, FALSE)-V255</f>
        <v>70</v>
      </c>
      <c r="Z255" s="29" t="str">
        <f>IF(VLOOKUP($G255, SeanRanks!$A$2:$H$303, 7, FALSE)=0, "", VLOOKUP($G255, SeanRanks!$A$2:$H$303, 7, FALSE))</f>
        <v/>
      </c>
    </row>
    <row r="256" ht="14.25" hidden="1" customHeight="1">
      <c r="A256" s="11"/>
      <c r="B256" s="11" t="str">
        <f t="shared" si="4"/>
        <v>#N/A</v>
      </c>
      <c r="C256" s="11" t="s">
        <v>106</v>
      </c>
      <c r="D256" s="11"/>
      <c r="E256" s="11"/>
      <c r="F256" s="11" t="str">
        <f>VLOOKUP(G256, SeanRanks!$A$2:$E$302, 4, FALSE)</f>
        <v>#N/A</v>
      </c>
      <c r="G256" s="11" t="s">
        <v>956</v>
      </c>
      <c r="H256" s="11" t="str">
        <f>VLOOKUP($G256, 'ADP Data'!$C$4:$Q$300, 2, FALSE)</f>
        <v>#N/A</v>
      </c>
      <c r="I256" s="11" t="str">
        <f>VLOOKUP(G256, 'ADP Data'!$C$4:$R$498, 12, FALSE)</f>
        <v>#N/A</v>
      </c>
      <c r="J256" s="11" t="str">
        <f>VLOOKUP($G256, SeanRanks!$A$2:$H$303, 5, FALSE)</f>
        <v>#N/A</v>
      </c>
      <c r="K256" s="11" t="str">
        <f>IF(VLOOKUP($G256, SeanRanks!$A$2:$H$303, 6, FALSE)=0, "", VLOOKUP($G256, SeanRanks!$A$2:$H$303, 6, FALSE))</f>
        <v>#N/A</v>
      </c>
      <c r="L256" s="11">
        <f t="shared" si="5"/>
        <v>16</v>
      </c>
      <c r="M256" s="11" t="str">
        <f>VLOOKUP($G256, 'ADP Data'!$C$4:$Q$300, 9, FALSE)</f>
        <v>#N/A</v>
      </c>
      <c r="N256" s="11" t="str">
        <f t="shared" si="6"/>
        <v>#N/A</v>
      </c>
      <c r="O256" s="11" t="str">
        <f>VLOOKUP($G256, 'ADP Data'!$C$4:$Q$300, 3, FALSE)</f>
        <v>#N/A</v>
      </c>
      <c r="P256" s="11" t="str">
        <f t="shared" si="7"/>
        <v>#N/A</v>
      </c>
      <c r="Q256" s="11" t="str">
        <f>VLOOKUP($G256, 'ADP Data'!$C$4:$Q$300, 4, FALSE)</f>
        <v>#N/A</v>
      </c>
      <c r="R256" s="11" t="str">
        <f>VLOOKUP($G256, 'ADP Data'!$C$4:$Q$300, 5, FALSE)</f>
        <v>#N/A</v>
      </c>
      <c r="S256" s="11" t="str">
        <f>VLOOKUP($G256, 'ADP Data'!$C$4:$Q$300, 6, FALSE)</f>
        <v>#N/A</v>
      </c>
      <c r="T256" s="11" t="str">
        <f>VLOOKUP($G256, 'ADP Data'!$C$4:$Q$300, 7, FALSE)</f>
        <v>#N/A</v>
      </c>
      <c r="U256" s="11" t="str">
        <f>VLOOKUP($G256, 'ADP Data'!$C$4:$Q$300, 8, FALSE)</f>
        <v>#N/A</v>
      </c>
      <c r="V256" s="11" t="str">
        <f t="shared" si="8"/>
        <v>#N/A</v>
      </c>
      <c r="W256" s="11">
        <f t="shared" si="9"/>
        <v>16</v>
      </c>
      <c r="X256" s="11">
        <f t="shared" si="10"/>
        <v>-16</v>
      </c>
      <c r="Y256" s="11" t="str">
        <f>VLOOKUP($G256, SeanRanks!$A$2:$K$303, 10, FALSE)-V256</f>
        <v>#N/A</v>
      </c>
      <c r="Z256" s="29" t="str">
        <f>IF(VLOOKUP($G256, SeanRanks!$A$2:$H$303, 7, FALSE)=0, "", VLOOKUP($G256, SeanRanks!$A$2:$H$303, 7, FALSE))</f>
        <v>#N/A</v>
      </c>
    </row>
    <row r="257" ht="14.25" hidden="1" customHeight="1">
      <c r="A257" s="11"/>
      <c r="B257" s="11" t="str">
        <f t="shared" si="4"/>
        <v>#N/A</v>
      </c>
      <c r="C257" s="11" t="s">
        <v>106</v>
      </c>
      <c r="D257" s="11"/>
      <c r="E257" s="11"/>
      <c r="F257" s="11" t="str">
        <f>VLOOKUP(G257, SeanRanks!$A$2:$E$302, 4, FALSE)</f>
        <v>#N/A</v>
      </c>
      <c r="G257" s="11" t="s">
        <v>529</v>
      </c>
      <c r="H257" s="11" t="str">
        <f>VLOOKUP($G257, 'ADP Data'!$C$4:$Q$300, 2, FALSE)</f>
        <v>#N/A</v>
      </c>
      <c r="I257" s="11" t="str">
        <f>VLOOKUP(G257, 'ADP Data'!$C$4:$R$498, 12, FALSE)</f>
        <v>#N/A</v>
      </c>
      <c r="J257" s="11" t="str">
        <f>VLOOKUP($G257, SeanRanks!$A$2:$H$303, 5, FALSE)</f>
        <v>#N/A</v>
      </c>
      <c r="K257" s="11" t="str">
        <f>IF(VLOOKUP($G257, SeanRanks!$A$2:$H$303, 6, FALSE)=0, "", VLOOKUP($G257, SeanRanks!$A$2:$H$303, 6, FALSE))</f>
        <v>#N/A</v>
      </c>
      <c r="L257" s="11">
        <f t="shared" si="5"/>
        <v>16</v>
      </c>
      <c r="M257" s="11" t="str">
        <f>VLOOKUP($G257, 'ADP Data'!$C$4:$Q$300, 9, FALSE)</f>
        <v>#N/A</v>
      </c>
      <c r="N257" s="11" t="str">
        <f t="shared" si="6"/>
        <v>#N/A</v>
      </c>
      <c r="O257" s="11" t="str">
        <f>VLOOKUP($G257, 'ADP Data'!$C$4:$Q$300, 3, FALSE)</f>
        <v>#N/A</v>
      </c>
      <c r="P257" s="11" t="str">
        <f t="shared" si="7"/>
        <v>#N/A</v>
      </c>
      <c r="Q257" s="11" t="str">
        <f>VLOOKUP($G257, 'ADP Data'!$C$4:$Q$300, 4, FALSE)</f>
        <v>#N/A</v>
      </c>
      <c r="R257" s="11" t="str">
        <f>VLOOKUP($G257, 'ADP Data'!$C$4:$Q$300, 5, FALSE)</f>
        <v>#N/A</v>
      </c>
      <c r="S257" s="11" t="str">
        <f>VLOOKUP($G257, 'ADP Data'!$C$4:$Q$300, 6, FALSE)</f>
        <v>#N/A</v>
      </c>
      <c r="T257" s="11" t="str">
        <f>VLOOKUP($G257, 'ADP Data'!$C$4:$Q$300, 7, FALSE)</f>
        <v>#N/A</v>
      </c>
      <c r="U257" s="11" t="str">
        <f>VLOOKUP($G257, 'ADP Data'!$C$4:$Q$300, 8, FALSE)</f>
        <v>#N/A</v>
      </c>
      <c r="V257" s="11" t="str">
        <f t="shared" si="8"/>
        <v>#N/A</v>
      </c>
      <c r="W257" s="11">
        <f t="shared" si="9"/>
        <v>16</v>
      </c>
      <c r="X257" s="11">
        <f t="shared" si="10"/>
        <v>-16</v>
      </c>
      <c r="Y257" s="11" t="str">
        <f>VLOOKUP($G257, SeanRanks!$A$2:$K$303, 10, FALSE)-V257</f>
        <v>#N/A</v>
      </c>
      <c r="Z257" s="29" t="str">
        <f>IF(VLOOKUP($G257, SeanRanks!$A$2:$H$303, 7, FALSE)=0, "", VLOOKUP($G257, SeanRanks!$A$2:$H$303, 7, FALSE))</f>
        <v>#N/A</v>
      </c>
    </row>
    <row r="258" ht="14.25" hidden="1" customHeight="1">
      <c r="A258" s="11"/>
      <c r="B258" s="11" t="str">
        <f t="shared" si="4"/>
        <v>#N/A</v>
      </c>
      <c r="C258" s="11" t="s">
        <v>106</v>
      </c>
      <c r="D258" s="11"/>
      <c r="E258" s="11"/>
      <c r="F258" s="11" t="str">
        <f>VLOOKUP(G258, SeanRanks!$A$2:$E$302, 4, FALSE)</f>
        <v>#N/A</v>
      </c>
      <c r="G258" s="11" t="s">
        <v>958</v>
      </c>
      <c r="H258" s="11" t="str">
        <f>VLOOKUP($G258, 'ADP Data'!$C$4:$Q$300, 2, FALSE)</f>
        <v>#N/A</v>
      </c>
      <c r="I258" s="11" t="str">
        <f>VLOOKUP(G258, 'ADP Data'!$C$4:$R$498, 12, FALSE)</f>
        <v>#N/A</v>
      </c>
      <c r="J258" s="11" t="str">
        <f>VLOOKUP($G258, SeanRanks!$A$2:$H$303, 5, FALSE)</f>
        <v>#N/A</v>
      </c>
      <c r="K258" s="11" t="str">
        <f>IF(VLOOKUP($G258, SeanRanks!$A$2:$H$303, 6, FALSE)=0, "", VLOOKUP($G258, SeanRanks!$A$2:$H$303, 6, FALSE))</f>
        <v>#N/A</v>
      </c>
      <c r="L258" s="11">
        <f t="shared" si="5"/>
        <v>16</v>
      </c>
      <c r="M258" s="11" t="str">
        <f>VLOOKUP($G258, 'ADP Data'!$C$4:$Q$300, 9, FALSE)</f>
        <v>#N/A</v>
      </c>
      <c r="N258" s="11" t="str">
        <f t="shared" si="6"/>
        <v>#N/A</v>
      </c>
      <c r="O258" s="11" t="str">
        <f>VLOOKUP($G258, 'ADP Data'!$C$4:$Q$300, 3, FALSE)</f>
        <v>#N/A</v>
      </c>
      <c r="P258" s="11" t="str">
        <f t="shared" si="7"/>
        <v>#N/A</v>
      </c>
      <c r="Q258" s="11" t="str">
        <f>VLOOKUP($G258, 'ADP Data'!$C$4:$Q$300, 4, FALSE)</f>
        <v>#N/A</v>
      </c>
      <c r="R258" s="11" t="str">
        <f>VLOOKUP($G258, 'ADP Data'!$C$4:$Q$300, 5, FALSE)</f>
        <v>#N/A</v>
      </c>
      <c r="S258" s="11" t="str">
        <f>VLOOKUP($G258, 'ADP Data'!$C$4:$Q$300, 6, FALSE)</f>
        <v>#N/A</v>
      </c>
      <c r="T258" s="11" t="str">
        <f>VLOOKUP($G258, 'ADP Data'!$C$4:$Q$300, 7, FALSE)</f>
        <v>#N/A</v>
      </c>
      <c r="U258" s="11" t="str">
        <f>VLOOKUP($G258, 'ADP Data'!$C$4:$Q$300, 8, FALSE)</f>
        <v>#N/A</v>
      </c>
      <c r="V258" s="11" t="str">
        <f t="shared" si="8"/>
        <v>#N/A</v>
      </c>
      <c r="W258" s="11">
        <f t="shared" si="9"/>
        <v>16</v>
      </c>
      <c r="X258" s="11">
        <f t="shared" si="10"/>
        <v>-16</v>
      </c>
      <c r="Y258" s="11" t="str">
        <f>VLOOKUP($G258, SeanRanks!$A$2:$K$303, 10, FALSE)-V258</f>
        <v>#N/A</v>
      </c>
      <c r="Z258" s="29" t="str">
        <f>IF(VLOOKUP($G258, SeanRanks!$A$2:$H$303, 7, FALSE)=0, "", VLOOKUP($G258, SeanRanks!$A$2:$H$303, 7, FALSE))</f>
        <v>#N/A</v>
      </c>
    </row>
    <row r="259" ht="14.25" hidden="1" customHeight="1">
      <c r="A259" s="11"/>
      <c r="B259" s="11">
        <f t="shared" si="4"/>
        <v>10</v>
      </c>
      <c r="C259" s="11" t="s">
        <v>106</v>
      </c>
      <c r="D259" s="11"/>
      <c r="E259" s="11"/>
      <c r="F259" s="11" t="str">
        <f>VLOOKUP(G259, SeanRanks!$A$2:$E$302, 4, FALSE)</f>
        <v/>
      </c>
      <c r="G259" s="11" t="s">
        <v>239</v>
      </c>
      <c r="H259" s="11" t="str">
        <f>VLOOKUP($G259, 'ADP Data'!$C$4:$Q$300, 2, FALSE)</f>
        <v>GB</v>
      </c>
      <c r="I259" s="11">
        <f>VLOOKUP(G259, 'ADP Data'!$C$4:$R$498, 12, FALSE)</f>
        <v>112</v>
      </c>
      <c r="J259" s="11" t="str">
        <f>VLOOKUP($G259, SeanRanks!$A$2:$H$303, 5, FALSE)</f>
        <v>Yes</v>
      </c>
      <c r="K259" s="11" t="str">
        <f>IF(VLOOKUP($G259, SeanRanks!$A$2:$H$303, 6, FALSE)=0, "", VLOOKUP($G259, SeanRanks!$A$2:$H$303, 6, FALSE))</f>
        <v>TE2 - 1 - Big Upside</v>
      </c>
      <c r="L259" s="11">
        <f t="shared" si="5"/>
        <v>14</v>
      </c>
      <c r="M259" s="11">
        <f>VLOOKUP($G259, 'ADP Data'!$C$4:$Q$300, 9, FALSE)</f>
        <v>105</v>
      </c>
      <c r="N259" s="11">
        <f t="shared" si="6"/>
        <v>-4</v>
      </c>
      <c r="O259" s="11">
        <f>VLOOKUP($G259, 'ADP Data'!$C$4:$Q$300, 3, FALSE)</f>
        <v>114</v>
      </c>
      <c r="P259" s="11">
        <f t="shared" si="7"/>
        <v>-9</v>
      </c>
      <c r="Q259" s="11">
        <f>VLOOKUP($G259, 'ADP Data'!$C$4:$Q$300, 4, FALSE)</f>
        <v>106</v>
      </c>
      <c r="R259" s="11">
        <f>VLOOKUP($G259, 'ADP Data'!$C$4:$Q$300, 5, FALSE)</f>
        <v>123</v>
      </c>
      <c r="S259" s="11">
        <f>VLOOKUP($G259, 'ADP Data'!$C$4:$Q$300, 6, FALSE)</f>
        <v>91</v>
      </c>
      <c r="T259" s="11">
        <f>VLOOKUP($G259, 'ADP Data'!$C$4:$Q$300, 7, FALSE)</f>
        <v>111</v>
      </c>
      <c r="U259" s="11">
        <f>VLOOKUP($G259, 'ADP Data'!$C$4:$Q$300, 8, FALSE)</f>
        <v>116</v>
      </c>
      <c r="V259" s="11">
        <f t="shared" si="8"/>
        <v>109</v>
      </c>
      <c r="W259" s="11">
        <f t="shared" si="9"/>
        <v>14</v>
      </c>
      <c r="X259" s="11">
        <f t="shared" si="10"/>
        <v>-14</v>
      </c>
      <c r="Y259" s="11">
        <f>VLOOKUP($G259, SeanRanks!$A$2:$K$303, 10, FALSE)-V259</f>
        <v>-24</v>
      </c>
      <c r="Z259" s="29">
        <f>IF(VLOOKUP($G259, SeanRanks!$A$2:$H$303, 7, FALSE)=0, "", VLOOKUP($G259, SeanRanks!$A$2:$H$303, 7, FALSE))</f>
        <v>12</v>
      </c>
    </row>
    <row r="260" ht="14.25" hidden="1" customHeight="1">
      <c r="A260" s="11"/>
      <c r="B260" s="11">
        <f t="shared" si="4"/>
        <v>18</v>
      </c>
      <c r="C260" s="11" t="s">
        <v>106</v>
      </c>
      <c r="D260" s="11"/>
      <c r="E260" s="11"/>
      <c r="F260" s="11" t="str">
        <f>VLOOKUP(G260, SeanRanks!$A$2:$E$302, 4, FALSE)</f>
        <v/>
      </c>
      <c r="G260" s="11" t="s">
        <v>504</v>
      </c>
      <c r="H260" s="11" t="str">
        <f>VLOOKUP($G260, 'ADP Data'!$C$4:$Q$300, 2, FALSE)</f>
        <v>NE</v>
      </c>
      <c r="I260" s="11" t="str">
        <f>VLOOKUP(G260, 'ADP Data'!$C$4:$R$498, 12, FALSE)</f>
        <v>-</v>
      </c>
      <c r="J260" s="11" t="str">
        <f>VLOOKUP($G260, SeanRanks!$A$2:$H$303, 5, FALSE)</f>
        <v/>
      </c>
      <c r="K260" s="11" t="str">
        <f>IF(VLOOKUP($G260, SeanRanks!$A$2:$H$303, 6, FALSE)=0, "", VLOOKUP($G260, SeanRanks!$A$2:$H$303, 6, FALSE))</f>
        <v/>
      </c>
      <c r="L260" s="11">
        <f t="shared" si="5"/>
        <v>31</v>
      </c>
      <c r="M260" s="11">
        <f>VLOOKUP($G260, 'ADP Data'!$C$4:$Q$300, 9, FALSE)</f>
        <v>240</v>
      </c>
      <c r="N260" s="11">
        <f t="shared" si="6"/>
        <v>26</v>
      </c>
      <c r="O260" s="11" t="str">
        <f>VLOOKUP($G260, 'ADP Data'!$C$4:$Q$300, 3, FALSE)</f>
        <v>-</v>
      </c>
      <c r="P260" s="11" t="str">
        <f t="shared" si="7"/>
        <v>#VALUE!</v>
      </c>
      <c r="Q260" s="11">
        <f>VLOOKUP($G260, 'ADP Data'!$C$4:$Q$300, 4, FALSE)</f>
        <v>152</v>
      </c>
      <c r="R260" s="11" t="str">
        <f>VLOOKUP($G260, 'ADP Data'!$C$4:$Q$300, 5, FALSE)</f>
        <v>-</v>
      </c>
      <c r="S260" s="11">
        <f>VLOOKUP($G260, 'ADP Data'!$C$4:$Q$300, 6, FALSE)</f>
        <v>265</v>
      </c>
      <c r="T260" s="11">
        <f>VLOOKUP($G260, 'ADP Data'!$C$4:$Q$300, 7, FALSE)</f>
        <v>226</v>
      </c>
      <c r="U260" s="11">
        <f>VLOOKUP($G260, 'ADP Data'!$C$4:$Q$300, 8, FALSE)</f>
        <v>190</v>
      </c>
      <c r="V260" s="11">
        <f t="shared" si="8"/>
        <v>214</v>
      </c>
      <c r="W260" s="11">
        <f t="shared" si="9"/>
        <v>27</v>
      </c>
      <c r="X260" s="11">
        <f t="shared" si="10"/>
        <v>-27</v>
      </c>
      <c r="Y260" s="11">
        <f>VLOOKUP($G260, SeanRanks!$A$2:$K$303, 10, FALSE)-V260</f>
        <v>30</v>
      </c>
      <c r="Z260" s="29" t="str">
        <f>IF(VLOOKUP($G260, SeanRanks!$A$2:$H$303, 7, FALSE)=0, "", VLOOKUP($G260, SeanRanks!$A$2:$H$303, 7, FALSE))</f>
        <v/>
      </c>
    </row>
    <row r="261" ht="14.25" hidden="1" customHeight="1">
      <c r="A261" s="11"/>
      <c r="B261" s="11">
        <f t="shared" si="4"/>
        <v>21</v>
      </c>
      <c r="C261" s="11" t="s">
        <v>106</v>
      </c>
      <c r="D261" s="11"/>
      <c r="E261" s="11"/>
      <c r="F261" s="11" t="str">
        <f>VLOOKUP(G261, SeanRanks!$A$2:$E$302, 4, FALSE)</f>
        <v/>
      </c>
      <c r="G261" s="11" t="s">
        <v>643</v>
      </c>
      <c r="H261" s="11" t="str">
        <f>VLOOKUP($G261, 'ADP Data'!$C$4:$Q$300, 2, FALSE)</f>
        <v>DEN</v>
      </c>
      <c r="I261" s="11">
        <f>VLOOKUP(G261, 'ADP Data'!$C$4:$R$498, 12, FALSE)</f>
        <v>187</v>
      </c>
      <c r="J261" s="11" t="str">
        <f>VLOOKUP($G261, SeanRanks!$A$2:$H$303, 5, FALSE)</f>
        <v/>
      </c>
      <c r="K261" s="11" t="str">
        <f>IF(VLOOKUP($G261, SeanRanks!$A$2:$H$303, 6, FALSE)=0, "", VLOOKUP($G261, SeanRanks!$A$2:$H$303, 6, FALSE))</f>
        <v/>
      </c>
      <c r="L261" s="11">
        <f t="shared" si="5"/>
        <v>33</v>
      </c>
      <c r="M261" s="11">
        <f>VLOOKUP($G261, 'ADP Data'!$C$4:$Q$300, 9, FALSE)</f>
        <v>259</v>
      </c>
      <c r="N261" s="11">
        <f t="shared" si="6"/>
        <v>14</v>
      </c>
      <c r="O261" s="11" t="str">
        <f>VLOOKUP($G261, 'ADP Data'!$C$4:$Q$300, 3, FALSE)</f>
        <v>-</v>
      </c>
      <c r="P261" s="11" t="str">
        <f t="shared" si="7"/>
        <v>#VALUE!</v>
      </c>
      <c r="Q261" s="11" t="str">
        <f>VLOOKUP($G261, 'ADP Data'!$C$4:$Q$300, 4, FALSE)</f>
        <v>-</v>
      </c>
      <c r="R261" s="11" t="str">
        <f>VLOOKUP($G261, 'ADP Data'!$C$4:$Q$300, 5, FALSE)</f>
        <v>-</v>
      </c>
      <c r="S261" s="11">
        <f>VLOOKUP($G261, 'ADP Data'!$C$4:$Q$300, 6, FALSE)</f>
        <v>206</v>
      </c>
      <c r="T261" s="11">
        <f>VLOOKUP($G261, 'ADP Data'!$C$4:$Q$300, 7, FALSE)</f>
        <v>227</v>
      </c>
      <c r="U261" s="11">
        <f>VLOOKUP($G261, 'ADP Data'!$C$4:$Q$300, 8, FALSE)</f>
        <v>289</v>
      </c>
      <c r="V261" s="11">
        <f t="shared" si="8"/>
        <v>245</v>
      </c>
      <c r="W261" s="11">
        <f t="shared" si="9"/>
        <v>31</v>
      </c>
      <c r="X261" s="11">
        <f t="shared" si="10"/>
        <v>-31</v>
      </c>
      <c r="Y261" s="11">
        <f>VLOOKUP($G261, SeanRanks!$A$2:$K$303, 10, FALSE)-V261</f>
        <v>-7</v>
      </c>
      <c r="Z261" s="29" t="str">
        <f>IF(VLOOKUP($G261, SeanRanks!$A$2:$H$303, 7, FALSE)=0, "", VLOOKUP($G261, SeanRanks!$A$2:$H$303, 7, FALSE))</f>
        <v/>
      </c>
    </row>
    <row r="262" ht="14.25" hidden="1" customHeight="1">
      <c r="A262" s="11"/>
      <c r="B262" s="11">
        <f t="shared" si="4"/>
        <v>23</v>
      </c>
      <c r="C262" s="11" t="s">
        <v>106</v>
      </c>
      <c r="D262" s="11"/>
      <c r="E262" s="11"/>
      <c r="F262" s="11" t="str">
        <f>VLOOKUP(G262, SeanRanks!$A$2:$E$302, 4, FALSE)</f>
        <v/>
      </c>
      <c r="G262" s="11" t="s">
        <v>830</v>
      </c>
      <c r="H262" s="11" t="str">
        <f>VLOOKUP($G262, 'ADP Data'!$C$4:$Q$300, 2, FALSE)</f>
        <v>NYG</v>
      </c>
      <c r="I262" s="11">
        <f>VLOOKUP(G262, 'ADP Data'!$C$4:$R$498, 12, FALSE)</f>
        <v>185</v>
      </c>
      <c r="J262" s="11" t="str">
        <f>VLOOKUP($G262, SeanRanks!$A$2:$H$303, 5, FALSE)</f>
        <v/>
      </c>
      <c r="K262" s="11" t="str">
        <f>IF(VLOOKUP($G262, SeanRanks!$A$2:$H$303, 6, FALSE)=0, "", VLOOKUP($G262, SeanRanks!$A$2:$H$303, 6, FALSE))</f>
        <v/>
      </c>
      <c r="L262" s="11">
        <f t="shared" si="5"/>
        <v>34</v>
      </c>
      <c r="M262" s="11">
        <f>VLOOKUP($G262, 'ADP Data'!$C$4:$Q$300, 9, FALSE)</f>
        <v>268</v>
      </c>
      <c r="N262" s="11">
        <f t="shared" si="6"/>
        <v>-3</v>
      </c>
      <c r="O262" s="11" t="str">
        <f>VLOOKUP($G262, 'ADP Data'!$C$4:$Q$300, 3, FALSE)</f>
        <v>-</v>
      </c>
      <c r="P262" s="11" t="str">
        <f t="shared" si="7"/>
        <v>#VALUE!</v>
      </c>
      <c r="Q262" s="11" t="str">
        <f>VLOOKUP($G262, 'ADP Data'!$C$4:$Q$300, 4, FALSE)</f>
        <v>-</v>
      </c>
      <c r="R262" s="11">
        <f>VLOOKUP($G262, 'ADP Data'!$C$4:$Q$300, 5, FALSE)</f>
        <v>309</v>
      </c>
      <c r="S262" s="11">
        <f>VLOOKUP($G262, 'ADP Data'!$C$4:$Q$300, 6, FALSE)</f>
        <v>237</v>
      </c>
      <c r="T262" s="11">
        <f>VLOOKUP($G262, 'ADP Data'!$C$4:$Q$300, 7, FALSE)</f>
        <v>231</v>
      </c>
      <c r="U262" s="11">
        <f>VLOOKUP($G262, 'ADP Data'!$C$4:$Q$300, 8, FALSE)</f>
        <v>311</v>
      </c>
      <c r="V262" s="11">
        <f t="shared" si="8"/>
        <v>271</v>
      </c>
      <c r="W262" s="11">
        <f t="shared" si="9"/>
        <v>34</v>
      </c>
      <c r="X262" s="11">
        <f t="shared" si="10"/>
        <v>-34</v>
      </c>
      <c r="Y262" s="11" t="str">
        <f>VLOOKUP($G262, SeanRanks!$A$2:$K$303, 10, FALSE)-V262</f>
        <v>#VALUE!</v>
      </c>
      <c r="Z262" s="29" t="str">
        <f>IF(VLOOKUP($G262, SeanRanks!$A$2:$H$303, 7, FALSE)=0, "", VLOOKUP($G262, SeanRanks!$A$2:$H$303, 7, FALSE))</f>
        <v/>
      </c>
    </row>
    <row r="263" ht="14.25" hidden="1" customHeight="1">
      <c r="A263" s="11"/>
      <c r="B263" s="11"/>
      <c r="C263" s="11" t="s">
        <v>106</v>
      </c>
      <c r="D263" s="11"/>
      <c r="E263" s="11"/>
      <c r="F263" s="11" t="str">
        <f>VLOOKUP(G263, SeanRanks!$A$2:$E$302, 4, FALSE)</f>
        <v>#N/A</v>
      </c>
      <c r="G263" s="11" t="s">
        <v>961</v>
      </c>
      <c r="H263" s="11" t="str">
        <f>VLOOKUP($G263, 'ADP Data'!$C$4:$Q$300, 2, FALSE)</f>
        <v>#N/A</v>
      </c>
      <c r="I263" s="11" t="str">
        <f>VLOOKUP(G263, 'ADP Data'!$C$4:$R$498, 12, FALSE)</f>
        <v>#N/A</v>
      </c>
      <c r="J263" s="11" t="str">
        <f>VLOOKUP($G263, SeanRanks!$A$2:$H$303, 5, FALSE)</f>
        <v>#N/A</v>
      </c>
      <c r="K263" s="11" t="str">
        <f>IF(VLOOKUP($G263, SeanRanks!$A$2:$H$303, 6, FALSE)=0, "", VLOOKUP($G263, SeanRanks!$A$2:$H$303, 6, FALSE))</f>
        <v>#N/A</v>
      </c>
      <c r="L263" s="11">
        <f t="shared" si="5"/>
        <v>16</v>
      </c>
      <c r="M263" s="11" t="str">
        <f>VLOOKUP($G263, 'ADP Data'!$C$4:$Q$300, 9, FALSE)</f>
        <v>#N/A</v>
      </c>
      <c r="N263" s="11" t="str">
        <f t="shared" si="6"/>
        <v>#N/A</v>
      </c>
      <c r="O263" s="11" t="str">
        <f>VLOOKUP($G263, 'ADP Data'!$C$4:$Q$300, 3, FALSE)</f>
        <v>#N/A</v>
      </c>
      <c r="P263" s="11" t="str">
        <f t="shared" si="7"/>
        <v>#N/A</v>
      </c>
      <c r="Q263" s="11" t="str">
        <f>VLOOKUP($G263, 'ADP Data'!$C$4:$Q$300, 4, FALSE)</f>
        <v>#N/A</v>
      </c>
      <c r="R263" s="11" t="str">
        <f>VLOOKUP($G263, 'ADP Data'!$C$4:$Q$300, 5, FALSE)</f>
        <v>#N/A</v>
      </c>
      <c r="S263" s="11" t="str">
        <f>VLOOKUP($G263, 'ADP Data'!$C$4:$Q$300, 6, FALSE)</f>
        <v>#N/A</v>
      </c>
      <c r="T263" s="11" t="str">
        <f>VLOOKUP($G263, 'ADP Data'!$C$4:$Q$300, 7, FALSE)</f>
        <v>#N/A</v>
      </c>
      <c r="U263" s="11" t="str">
        <f>VLOOKUP($G263, 'ADP Data'!$C$4:$Q$300, 8, FALSE)</f>
        <v>#N/A</v>
      </c>
      <c r="V263" s="11" t="str">
        <f t="shared" si="8"/>
        <v>#N/A</v>
      </c>
      <c r="W263" s="11">
        <f t="shared" si="9"/>
        <v>16</v>
      </c>
      <c r="X263" s="11">
        <f t="shared" si="10"/>
        <v>-16</v>
      </c>
      <c r="Y263" s="11" t="str">
        <f>VLOOKUP($G263, SeanRanks!$A$2:$K$303, 10, FALSE)-V263</f>
        <v>#N/A</v>
      </c>
      <c r="Z263" s="29" t="str">
        <f>IF(VLOOKUP($G263, SeanRanks!$A$2:$H$303, 7, FALSE)=0, "", VLOOKUP($G263, SeanRanks!$A$2:$H$303, 7, FALSE))</f>
        <v>#N/A</v>
      </c>
    </row>
    <row r="264" ht="14.25" hidden="1" customHeight="1">
      <c r="A264" s="11"/>
      <c r="B264" s="11" t="str">
        <f t="shared" ref="B264:B295" si="11">IFERROR(INT(AVERAGE(Q264:U264)/12)+1, INT(AVERAGE(M264)/12)+1)</f>
        <v>#N/A</v>
      </c>
      <c r="C264" s="11" t="s">
        <v>106</v>
      </c>
      <c r="D264" s="11"/>
      <c r="E264" s="11"/>
      <c r="F264" s="11" t="str">
        <f>VLOOKUP(G264, SeanRanks!$A$2:$E$302, 4, FALSE)</f>
        <v>#N/A</v>
      </c>
      <c r="G264" s="11" t="s">
        <v>707</v>
      </c>
      <c r="H264" s="11" t="str">
        <f>VLOOKUP($G264, 'ADP Data'!$C$4:$Q$300, 2, FALSE)</f>
        <v>#N/A</v>
      </c>
      <c r="I264" s="11" t="str">
        <f>VLOOKUP(G264, 'ADP Data'!$C$4:$R$498, 12, FALSE)</f>
        <v>#N/A</v>
      </c>
      <c r="J264" s="11" t="str">
        <f>VLOOKUP($G264, SeanRanks!$A$2:$H$303, 5, FALSE)</f>
        <v>#N/A</v>
      </c>
      <c r="K264" s="11" t="str">
        <f>IF(VLOOKUP($G264, SeanRanks!$A$2:$H$303, 6, FALSE)=0, "", VLOOKUP($G264, SeanRanks!$A$2:$H$303, 6, FALSE))</f>
        <v>#N/A</v>
      </c>
      <c r="L264" s="11">
        <f t="shared" si="5"/>
        <v>16</v>
      </c>
      <c r="M264" s="11" t="str">
        <f>VLOOKUP($G264, 'ADP Data'!$C$4:$Q$300, 9, FALSE)</f>
        <v>#N/A</v>
      </c>
      <c r="N264" s="11" t="str">
        <f t="shared" si="6"/>
        <v>#N/A</v>
      </c>
      <c r="O264" s="11" t="str">
        <f>VLOOKUP($G264, 'ADP Data'!$C$4:$Q$300, 3, FALSE)</f>
        <v>#N/A</v>
      </c>
      <c r="P264" s="11" t="str">
        <f t="shared" si="7"/>
        <v>#N/A</v>
      </c>
      <c r="Q264" s="11" t="str">
        <f>VLOOKUP($G264, 'ADP Data'!$C$4:$Q$300, 4, FALSE)</f>
        <v>#N/A</v>
      </c>
      <c r="R264" s="11" t="str">
        <f>VLOOKUP($G264, 'ADP Data'!$C$4:$Q$300, 5, FALSE)</f>
        <v>#N/A</v>
      </c>
      <c r="S264" s="11" t="str">
        <f>VLOOKUP($G264, 'ADP Data'!$C$4:$Q$300, 6, FALSE)</f>
        <v>#N/A</v>
      </c>
      <c r="T264" s="11" t="str">
        <f>VLOOKUP($G264, 'ADP Data'!$C$4:$Q$300, 7, FALSE)</f>
        <v>#N/A</v>
      </c>
      <c r="U264" s="11" t="str">
        <f>VLOOKUP($G264, 'ADP Data'!$C$4:$Q$300, 8, FALSE)</f>
        <v>#N/A</v>
      </c>
      <c r="V264" s="11" t="str">
        <f t="shared" si="8"/>
        <v>#N/A</v>
      </c>
      <c r="W264" s="11">
        <f t="shared" si="9"/>
        <v>16</v>
      </c>
      <c r="X264" s="11">
        <f t="shared" si="10"/>
        <v>-16</v>
      </c>
      <c r="Y264" s="11" t="str">
        <f>VLOOKUP($G264, SeanRanks!$A$2:$K$303, 10, FALSE)-V264</f>
        <v>#N/A</v>
      </c>
      <c r="Z264" s="29" t="str">
        <f>IF(VLOOKUP($G264, SeanRanks!$A$2:$H$303, 7, FALSE)=0, "", VLOOKUP($G264, SeanRanks!$A$2:$H$303, 7, FALSE))</f>
        <v>#N/A</v>
      </c>
    </row>
    <row r="265" ht="14.25" customHeight="1">
      <c r="A265" s="11"/>
      <c r="B265" s="11">
        <f t="shared" si="11"/>
        <v>20</v>
      </c>
      <c r="C265" s="11" t="s">
        <v>106</v>
      </c>
      <c r="D265" s="11"/>
      <c r="E265" s="11"/>
      <c r="F265" s="11" t="str">
        <f>VLOOKUP(G265, SeanRanks!$A$2:$E$302, 4, FALSE)</f>
        <v/>
      </c>
      <c r="G265" s="11" t="s">
        <v>387</v>
      </c>
      <c r="H265" s="11" t="str">
        <f>VLOOKUP($G265, 'ADP Data'!$C$4:$Q$300, 2, FALSE)</f>
        <v>BAL</v>
      </c>
      <c r="I265" s="11">
        <f>VLOOKUP(G265, 'ADP Data'!$C$4:$R$498, 12, FALSE)</f>
        <v>184</v>
      </c>
      <c r="J265" s="11" t="str">
        <f>VLOOKUP($G265, SeanRanks!$A$2:$H$303, 5, FALSE)</f>
        <v>Yes</v>
      </c>
      <c r="K265" s="11" t="str">
        <f>IF(VLOOKUP($G265, SeanRanks!$A$2:$H$303, 6, FALSE)=0, "", VLOOKUP($G265, SeanRanks!$A$2:$H$303, 6, FALSE))</f>
        <v>RB5 - 1 - upside</v>
      </c>
      <c r="L265" s="11">
        <f t="shared" si="5"/>
        <v>28</v>
      </c>
      <c r="M265" s="11">
        <f>VLOOKUP($G265, 'ADP Data'!$C$4:$Q$300, 9, FALSE)</f>
        <v>223</v>
      </c>
      <c r="N265" s="11">
        <f t="shared" si="6"/>
        <v>-10</v>
      </c>
      <c r="O265" s="11" t="str">
        <f>VLOOKUP($G265, 'ADP Data'!$C$4:$Q$300, 3, FALSE)</f>
        <v>-</v>
      </c>
      <c r="P265" s="11" t="str">
        <f t="shared" si="7"/>
        <v>#VALUE!</v>
      </c>
      <c r="Q265" s="11" t="str">
        <f>VLOOKUP($G265, 'ADP Data'!$C$4:$Q$300, 4, FALSE)</f>
        <v>-</v>
      </c>
      <c r="R265" s="11">
        <f>VLOOKUP($G265, 'ADP Data'!$C$4:$Q$300, 5, FALSE)</f>
        <v>312</v>
      </c>
      <c r="S265" s="11">
        <f>VLOOKUP($G265, 'ADP Data'!$C$4:$Q$300, 6, FALSE)</f>
        <v>166</v>
      </c>
      <c r="T265" s="11">
        <f>VLOOKUP($G265, 'ADP Data'!$C$4:$Q$300, 7, FALSE)</f>
        <v>184</v>
      </c>
      <c r="U265" s="11">
        <f>VLOOKUP($G265, 'ADP Data'!$C$4:$Q$300, 8, FALSE)</f>
        <v>283</v>
      </c>
      <c r="V265" s="11">
        <f t="shared" si="8"/>
        <v>233</v>
      </c>
      <c r="W265" s="11">
        <f t="shared" si="9"/>
        <v>30</v>
      </c>
      <c r="X265" s="11">
        <f t="shared" si="10"/>
        <v>-30</v>
      </c>
      <c r="Y265" s="11">
        <f>VLOOKUP($G265, SeanRanks!$A$2:$K$303, 10, FALSE)-V265</f>
        <v>-28</v>
      </c>
      <c r="Z265" s="29">
        <f>IF(VLOOKUP($G265, SeanRanks!$A$2:$H$303, 7, FALSE)=0, "", VLOOKUP($G265, SeanRanks!$A$2:$H$303, 7, FALSE))</f>
        <v>52</v>
      </c>
    </row>
    <row r="266" ht="14.25" hidden="1" customHeight="1">
      <c r="A266" s="11"/>
      <c r="B266" s="11" t="str">
        <f t="shared" si="11"/>
        <v>#N/A</v>
      </c>
      <c r="C266" s="11" t="s">
        <v>106</v>
      </c>
      <c r="D266" s="11"/>
      <c r="E266" s="11"/>
      <c r="F266" s="11" t="str">
        <f>VLOOKUP(G266, SeanRanks!$A$2:$E$302, 4, FALSE)</f>
        <v>#N/A</v>
      </c>
      <c r="G266" s="11" t="s">
        <v>965</v>
      </c>
      <c r="H266" s="11" t="str">
        <f>VLOOKUP($G266, 'ADP Data'!$C$4:$Q$300, 2, FALSE)</f>
        <v>#N/A</v>
      </c>
      <c r="I266" s="11" t="str">
        <f>VLOOKUP(G266, 'ADP Data'!$C$4:$R$498, 12, FALSE)</f>
        <v>#N/A</v>
      </c>
      <c r="J266" s="11" t="str">
        <f>VLOOKUP($G266, SeanRanks!$A$2:$H$303, 5, FALSE)</f>
        <v>#N/A</v>
      </c>
      <c r="K266" s="11" t="str">
        <f>IF(VLOOKUP($G266, SeanRanks!$A$2:$H$303, 6, FALSE)=0, "", VLOOKUP($G266, SeanRanks!$A$2:$H$303, 6, FALSE))</f>
        <v>#N/A</v>
      </c>
      <c r="L266" s="11">
        <f t="shared" si="5"/>
        <v>16</v>
      </c>
      <c r="M266" s="11" t="str">
        <f>VLOOKUP($G266, 'ADP Data'!$C$4:$Q$300, 9, FALSE)</f>
        <v>#N/A</v>
      </c>
      <c r="N266" s="11" t="str">
        <f t="shared" si="6"/>
        <v>#N/A</v>
      </c>
      <c r="O266" s="11" t="str">
        <f>VLOOKUP($G266, 'ADP Data'!$C$4:$Q$300, 3, FALSE)</f>
        <v>#N/A</v>
      </c>
      <c r="P266" s="11" t="str">
        <f t="shared" si="7"/>
        <v>#N/A</v>
      </c>
      <c r="Q266" s="11" t="str">
        <f>VLOOKUP($G266, 'ADP Data'!$C$4:$Q$300, 4, FALSE)</f>
        <v>#N/A</v>
      </c>
      <c r="R266" s="11" t="str">
        <f>VLOOKUP($G266, 'ADP Data'!$C$4:$Q$300, 5, FALSE)</f>
        <v>#N/A</v>
      </c>
      <c r="S266" s="11" t="str">
        <f>VLOOKUP($G266, 'ADP Data'!$C$4:$Q$300, 6, FALSE)</f>
        <v>#N/A</v>
      </c>
      <c r="T266" s="11" t="str">
        <f>VLOOKUP($G266, 'ADP Data'!$C$4:$Q$300, 7, FALSE)</f>
        <v>#N/A</v>
      </c>
      <c r="U266" s="11" t="str">
        <f>VLOOKUP($G266, 'ADP Data'!$C$4:$Q$300, 8, FALSE)</f>
        <v>#N/A</v>
      </c>
      <c r="V266" s="11" t="str">
        <f t="shared" si="8"/>
        <v>#N/A</v>
      </c>
      <c r="W266" s="11">
        <f t="shared" si="9"/>
        <v>16</v>
      </c>
      <c r="X266" s="11">
        <f t="shared" si="10"/>
        <v>-16</v>
      </c>
      <c r="Y266" s="11" t="str">
        <f>VLOOKUP($G266, SeanRanks!$A$2:$K$303, 10, FALSE)-V266</f>
        <v>#N/A</v>
      </c>
      <c r="Z266" s="29" t="str">
        <f>IF(VLOOKUP($G266, SeanRanks!$A$2:$H$303, 7, FALSE)=0, "", VLOOKUP($G266, SeanRanks!$A$2:$H$303, 7, FALSE))</f>
        <v>#N/A</v>
      </c>
    </row>
    <row r="267" ht="14.25" hidden="1" customHeight="1">
      <c r="A267" s="11"/>
      <c r="B267" s="11">
        <f t="shared" si="11"/>
        <v>24</v>
      </c>
      <c r="C267" s="11" t="s">
        <v>106</v>
      </c>
      <c r="D267" s="11"/>
      <c r="E267" s="11"/>
      <c r="F267" s="11" t="str">
        <f>VLOOKUP(G267, SeanRanks!$A$2:$E$302, 4, FALSE)</f>
        <v/>
      </c>
      <c r="G267" s="11" t="s">
        <v>966</v>
      </c>
      <c r="H267" s="11" t="str">
        <f>VLOOKUP($G267, 'ADP Data'!$C$4:$Q$300, 2, FALSE)</f>
        <v>CAR</v>
      </c>
      <c r="I267" s="11">
        <f>VLOOKUP(G267, 'ADP Data'!$C$4:$R$498, 12, FALSE)</f>
        <v>198</v>
      </c>
      <c r="J267" s="11" t="str">
        <f>VLOOKUP($G267, SeanRanks!$A$2:$H$303, 5, FALSE)</f>
        <v/>
      </c>
      <c r="K267" s="11" t="str">
        <f>IF(VLOOKUP($G267, SeanRanks!$A$2:$H$303, 6, FALSE)=0, "", VLOOKUP($G267, SeanRanks!$A$2:$H$303, 6, FALSE))</f>
        <v/>
      </c>
      <c r="L267" s="11">
        <f t="shared" si="5"/>
        <v>32</v>
      </c>
      <c r="M267" s="11">
        <f>VLOOKUP($G267, 'ADP Data'!$C$4:$Q$300, 9, FALSE)</f>
        <v>254</v>
      </c>
      <c r="N267" s="11">
        <f t="shared" si="6"/>
        <v>-20</v>
      </c>
      <c r="O267" s="11" t="str">
        <f>VLOOKUP($G267, 'ADP Data'!$C$4:$Q$300, 3, FALSE)</f>
        <v>-</v>
      </c>
      <c r="P267" s="11" t="str">
        <f t="shared" si="7"/>
        <v>#VALUE!</v>
      </c>
      <c r="Q267" s="11">
        <f>VLOOKUP($G267, 'ADP Data'!$C$4:$Q$300, 4, FALSE)</f>
        <v>347</v>
      </c>
      <c r="R267" s="11">
        <f>VLOOKUP($G267, 'ADP Data'!$C$4:$Q$300, 5, FALSE)</f>
        <v>318</v>
      </c>
      <c r="S267" s="11">
        <f>VLOOKUP($G267, 'ADP Data'!$C$4:$Q$300, 6, FALSE)</f>
        <v>204</v>
      </c>
      <c r="T267" s="11">
        <f>VLOOKUP($G267, 'ADP Data'!$C$4:$Q$300, 7, FALSE)</f>
        <v>247</v>
      </c>
      <c r="U267" s="11" t="str">
        <f>VLOOKUP($G267, 'ADP Data'!$C$4:$Q$300, 8, FALSE)</f>
        <v>-</v>
      </c>
      <c r="V267" s="11">
        <f t="shared" si="8"/>
        <v>274</v>
      </c>
      <c r="W267" s="11">
        <f t="shared" si="9"/>
        <v>35</v>
      </c>
      <c r="X267" s="11">
        <f t="shared" si="10"/>
        <v>-35</v>
      </c>
      <c r="Y267" s="11">
        <f>VLOOKUP($G267, SeanRanks!$A$2:$K$303, 10, FALSE)-V267</f>
        <v>-43</v>
      </c>
      <c r="Z267" s="29" t="str">
        <f>IF(VLOOKUP($G267, SeanRanks!$A$2:$H$303, 7, FALSE)=0, "", VLOOKUP($G267, SeanRanks!$A$2:$H$303, 7, FALSE))</f>
        <v/>
      </c>
    </row>
    <row r="268" ht="14.25" hidden="1" customHeight="1">
      <c r="A268" s="11"/>
      <c r="B268" s="11" t="str">
        <f t="shared" si="11"/>
        <v>#N/A</v>
      </c>
      <c r="C268" s="11" t="s">
        <v>106</v>
      </c>
      <c r="D268" s="11"/>
      <c r="E268" s="11"/>
      <c r="F268" s="11" t="str">
        <f>VLOOKUP(G268, SeanRanks!$A$2:$E$302, 4, FALSE)</f>
        <v>#N/A</v>
      </c>
      <c r="G268" s="11" t="s">
        <v>967</v>
      </c>
      <c r="H268" s="11" t="str">
        <f>VLOOKUP($G268, 'ADP Data'!$C$4:$Q$300, 2, FALSE)</f>
        <v>#N/A</v>
      </c>
      <c r="I268" s="11" t="str">
        <f>VLOOKUP(G268, 'ADP Data'!$C$4:$R$498, 12, FALSE)</f>
        <v>#N/A</v>
      </c>
      <c r="J268" s="11" t="str">
        <f>VLOOKUP($G268, SeanRanks!$A$2:$H$303, 5, FALSE)</f>
        <v>#N/A</v>
      </c>
      <c r="K268" s="11" t="str">
        <f>IF(VLOOKUP($G268, SeanRanks!$A$2:$H$303, 6, FALSE)=0, "", VLOOKUP($G268, SeanRanks!$A$2:$H$303, 6, FALSE))</f>
        <v>#N/A</v>
      </c>
      <c r="L268" s="11">
        <f t="shared" si="5"/>
        <v>16</v>
      </c>
      <c r="M268" s="11" t="str">
        <f>VLOOKUP($G268, 'ADP Data'!$C$4:$Q$300, 9, FALSE)</f>
        <v>#N/A</v>
      </c>
      <c r="N268" s="11" t="str">
        <f t="shared" si="6"/>
        <v>#N/A</v>
      </c>
      <c r="O268" s="11" t="str">
        <f>VLOOKUP($G268, 'ADP Data'!$C$4:$Q$300, 3, FALSE)</f>
        <v>#N/A</v>
      </c>
      <c r="P268" s="11" t="str">
        <f t="shared" si="7"/>
        <v>#N/A</v>
      </c>
      <c r="Q268" s="11" t="str">
        <f>VLOOKUP($G268, 'ADP Data'!$C$4:$Q$300, 4, FALSE)</f>
        <v>#N/A</v>
      </c>
      <c r="R268" s="11" t="str">
        <f>VLOOKUP($G268, 'ADP Data'!$C$4:$Q$300, 5, FALSE)</f>
        <v>#N/A</v>
      </c>
      <c r="S268" s="11" t="str">
        <f>VLOOKUP($G268, 'ADP Data'!$C$4:$Q$300, 6, FALSE)</f>
        <v>#N/A</v>
      </c>
      <c r="T268" s="11" t="str">
        <f>VLOOKUP($G268, 'ADP Data'!$C$4:$Q$300, 7, FALSE)</f>
        <v>#N/A</v>
      </c>
      <c r="U268" s="11" t="str">
        <f>VLOOKUP($G268, 'ADP Data'!$C$4:$Q$300, 8, FALSE)</f>
        <v>#N/A</v>
      </c>
      <c r="V268" s="11" t="str">
        <f t="shared" si="8"/>
        <v>#N/A</v>
      </c>
      <c r="W268" s="11">
        <f t="shared" si="9"/>
        <v>16</v>
      </c>
      <c r="X268" s="11">
        <f t="shared" si="10"/>
        <v>-16</v>
      </c>
      <c r="Y268" s="11" t="str">
        <f>VLOOKUP($G268, SeanRanks!$A$2:$K$303, 10, FALSE)-V268</f>
        <v>#N/A</v>
      </c>
      <c r="Z268" s="29" t="str">
        <f>IF(VLOOKUP($G268, SeanRanks!$A$2:$H$303, 7, FALSE)=0, "", VLOOKUP($G268, SeanRanks!$A$2:$H$303, 7, FALSE))</f>
        <v>#N/A</v>
      </c>
    </row>
    <row r="269" ht="14.25" hidden="1" customHeight="1">
      <c r="A269" s="11"/>
      <c r="B269" s="11" t="str">
        <f t="shared" si="11"/>
        <v>#N/A</v>
      </c>
      <c r="C269" s="11" t="s">
        <v>106</v>
      </c>
      <c r="D269" s="11"/>
      <c r="E269" s="11"/>
      <c r="F269" s="11" t="str">
        <f>VLOOKUP(G269, SeanRanks!$A$2:$E$302, 4, FALSE)</f>
        <v>#N/A</v>
      </c>
      <c r="G269" s="11" t="s">
        <v>968</v>
      </c>
      <c r="H269" s="11" t="str">
        <f>VLOOKUP($G269, 'ADP Data'!$C$4:$Q$300, 2, FALSE)</f>
        <v>#N/A</v>
      </c>
      <c r="I269" s="11" t="str">
        <f>VLOOKUP(G269, 'ADP Data'!$C$4:$R$498, 12, FALSE)</f>
        <v>#N/A</v>
      </c>
      <c r="J269" s="11" t="str">
        <f>VLOOKUP($G269, SeanRanks!$A$2:$H$303, 5, FALSE)</f>
        <v>#N/A</v>
      </c>
      <c r="K269" s="11" t="str">
        <f>IF(VLOOKUP($G269, SeanRanks!$A$2:$H$303, 6, FALSE)=0, "", VLOOKUP($G269, SeanRanks!$A$2:$H$303, 6, FALSE))</f>
        <v>#N/A</v>
      </c>
      <c r="L269" s="11">
        <f t="shared" si="5"/>
        <v>16</v>
      </c>
      <c r="M269" s="11" t="str">
        <f>VLOOKUP($G269, 'ADP Data'!$C$4:$Q$300, 9, FALSE)</f>
        <v>#N/A</v>
      </c>
      <c r="N269" s="11" t="str">
        <f t="shared" si="6"/>
        <v>#N/A</v>
      </c>
      <c r="O269" s="11" t="str">
        <f>VLOOKUP($G269, 'ADP Data'!$C$4:$Q$300, 3, FALSE)</f>
        <v>#N/A</v>
      </c>
      <c r="P269" s="11" t="str">
        <f t="shared" si="7"/>
        <v>#N/A</v>
      </c>
      <c r="Q269" s="11" t="str">
        <f>VLOOKUP($G269, 'ADP Data'!$C$4:$Q$300, 4, FALSE)</f>
        <v>#N/A</v>
      </c>
      <c r="R269" s="11" t="str">
        <f>VLOOKUP($G269, 'ADP Data'!$C$4:$Q$300, 5, FALSE)</f>
        <v>#N/A</v>
      </c>
      <c r="S269" s="11" t="str">
        <f>VLOOKUP($G269, 'ADP Data'!$C$4:$Q$300, 6, FALSE)</f>
        <v>#N/A</v>
      </c>
      <c r="T269" s="11" t="str">
        <f>VLOOKUP($G269, 'ADP Data'!$C$4:$Q$300, 7, FALSE)</f>
        <v>#N/A</v>
      </c>
      <c r="U269" s="11" t="str">
        <f>VLOOKUP($G269, 'ADP Data'!$C$4:$Q$300, 8, FALSE)</f>
        <v>#N/A</v>
      </c>
      <c r="V269" s="11" t="str">
        <f t="shared" si="8"/>
        <v>#N/A</v>
      </c>
      <c r="W269" s="11">
        <f t="shared" si="9"/>
        <v>16</v>
      </c>
      <c r="X269" s="11">
        <f t="shared" si="10"/>
        <v>-16</v>
      </c>
      <c r="Y269" s="11" t="str">
        <f>VLOOKUP($G269, SeanRanks!$A$2:$K$303, 10, FALSE)-V269</f>
        <v>#N/A</v>
      </c>
      <c r="Z269" s="29" t="str">
        <f>IF(VLOOKUP($G269, SeanRanks!$A$2:$H$303, 7, FALSE)=0, "", VLOOKUP($G269, SeanRanks!$A$2:$H$303, 7, FALSE))</f>
        <v>#N/A</v>
      </c>
    </row>
    <row r="270" ht="14.25" hidden="1" customHeight="1">
      <c r="A270" s="11"/>
      <c r="B270" s="11" t="str">
        <f t="shared" si="11"/>
        <v>#N/A</v>
      </c>
      <c r="C270" s="11" t="s">
        <v>106</v>
      </c>
      <c r="D270" s="11"/>
      <c r="E270" s="11"/>
      <c r="F270" s="11" t="str">
        <f>VLOOKUP(G270, SeanRanks!$A$2:$E$302, 4, FALSE)</f>
        <v>#N/A</v>
      </c>
      <c r="G270" s="11" t="s">
        <v>840</v>
      </c>
      <c r="H270" s="11" t="str">
        <f>VLOOKUP($G270, 'ADP Data'!$C$4:$Q$300, 2, FALSE)</f>
        <v>#N/A</v>
      </c>
      <c r="I270" s="11" t="str">
        <f>VLOOKUP(G270, 'ADP Data'!$C$4:$R$498, 12, FALSE)</f>
        <v>#N/A</v>
      </c>
      <c r="J270" s="11" t="str">
        <f>VLOOKUP($G270, SeanRanks!$A$2:$H$303, 5, FALSE)</f>
        <v>#N/A</v>
      </c>
      <c r="K270" s="11" t="str">
        <f>IF(VLOOKUP($G270, SeanRanks!$A$2:$H$303, 6, FALSE)=0, "", VLOOKUP($G270, SeanRanks!$A$2:$H$303, 6, FALSE))</f>
        <v>#N/A</v>
      </c>
      <c r="L270" s="11">
        <f t="shared" si="5"/>
        <v>16</v>
      </c>
      <c r="M270" s="11" t="str">
        <f>VLOOKUP($G270, 'ADP Data'!$C$4:$Q$300, 9, FALSE)</f>
        <v>#N/A</v>
      </c>
      <c r="N270" s="11" t="str">
        <f t="shared" si="6"/>
        <v>#N/A</v>
      </c>
      <c r="O270" s="11" t="str">
        <f>VLOOKUP($G270, 'ADP Data'!$C$4:$Q$300, 3, FALSE)</f>
        <v>#N/A</v>
      </c>
      <c r="P270" s="11" t="str">
        <f t="shared" si="7"/>
        <v>#N/A</v>
      </c>
      <c r="Q270" s="11" t="str">
        <f>VLOOKUP($G270, 'ADP Data'!$C$4:$Q$300, 4, FALSE)</f>
        <v>#N/A</v>
      </c>
      <c r="R270" s="11" t="str">
        <f>VLOOKUP($G270, 'ADP Data'!$C$4:$Q$300, 5, FALSE)</f>
        <v>#N/A</v>
      </c>
      <c r="S270" s="11" t="str">
        <f>VLOOKUP($G270, 'ADP Data'!$C$4:$Q$300, 6, FALSE)</f>
        <v>#N/A</v>
      </c>
      <c r="T270" s="11" t="str">
        <f>VLOOKUP($G270, 'ADP Data'!$C$4:$Q$300, 7, FALSE)</f>
        <v>#N/A</v>
      </c>
      <c r="U270" s="11" t="str">
        <f>VLOOKUP($G270, 'ADP Data'!$C$4:$Q$300, 8, FALSE)</f>
        <v>#N/A</v>
      </c>
      <c r="V270" s="11" t="str">
        <f t="shared" si="8"/>
        <v>#N/A</v>
      </c>
      <c r="W270" s="11">
        <f t="shared" si="9"/>
        <v>16</v>
      </c>
      <c r="X270" s="11">
        <f t="shared" si="10"/>
        <v>-16</v>
      </c>
      <c r="Y270" s="11" t="str">
        <f>VLOOKUP($G270, SeanRanks!$A$2:$K$303, 10, FALSE)-V270</f>
        <v>#N/A</v>
      </c>
      <c r="Z270" s="29" t="str">
        <f>IF(VLOOKUP($G270, SeanRanks!$A$2:$H$303, 7, FALSE)=0, "", VLOOKUP($G270, SeanRanks!$A$2:$H$303, 7, FALSE))</f>
        <v>#N/A</v>
      </c>
    </row>
    <row r="271" ht="14.25" customHeight="1">
      <c r="A271" s="11"/>
      <c r="B271" s="11">
        <f t="shared" si="11"/>
        <v>22</v>
      </c>
      <c r="C271" s="11" t="s">
        <v>106</v>
      </c>
      <c r="D271" s="11"/>
      <c r="E271" s="11"/>
      <c r="F271" s="11" t="str">
        <f>VLOOKUP(G271, SeanRanks!$A$2:$E$302, 4, FALSE)</f>
        <v/>
      </c>
      <c r="G271" s="11" t="s">
        <v>969</v>
      </c>
      <c r="H271" s="11" t="str">
        <f>VLOOKUP($G271, 'ADP Data'!$C$4:$Q$300, 2, FALSE)</f>
        <v>DAL</v>
      </c>
      <c r="I271" s="11">
        <f>VLOOKUP(G271, 'ADP Data'!$C$4:$R$498, 12, FALSE)</f>
        <v>249</v>
      </c>
      <c r="J271" s="11" t="str">
        <f>VLOOKUP($G271, SeanRanks!$A$2:$H$303, 5, FALSE)</f>
        <v/>
      </c>
      <c r="K271" s="11" t="str">
        <f>IF(VLOOKUP($G271, SeanRanks!$A$2:$H$303, 6, FALSE)=0, "", VLOOKUP($G271, SeanRanks!$A$2:$H$303, 6, FALSE))</f>
        <v/>
      </c>
      <c r="L271" s="11">
        <f t="shared" si="5"/>
        <v>28</v>
      </c>
      <c r="M271" s="11">
        <f>VLOOKUP($G271, 'ADP Data'!$C$4:$Q$300, 9, FALSE)</f>
        <v>222</v>
      </c>
      <c r="N271" s="11">
        <f t="shared" si="6"/>
        <v>-30</v>
      </c>
      <c r="O271" s="11" t="str">
        <f>VLOOKUP($G271, 'ADP Data'!$C$4:$Q$300, 3, FALSE)</f>
        <v>-</v>
      </c>
      <c r="P271" s="11" t="str">
        <f t="shared" si="7"/>
        <v>#VALUE!</v>
      </c>
      <c r="Q271" s="11" t="str">
        <f>VLOOKUP($G271, 'ADP Data'!$C$4:$Q$300, 4, FALSE)</f>
        <v>-</v>
      </c>
      <c r="R271" s="11">
        <f>VLOOKUP($G271, 'ADP Data'!$C$4:$Q$300, 5, FALSE)</f>
        <v>276</v>
      </c>
      <c r="S271" s="11">
        <f>VLOOKUP($G271, 'ADP Data'!$C$4:$Q$300, 6, FALSE)</f>
        <v>256</v>
      </c>
      <c r="T271" s="11">
        <f>VLOOKUP($G271, 'ADP Data'!$C$4:$Q$300, 7, FALSE)</f>
        <v>233</v>
      </c>
      <c r="U271" s="11">
        <f>VLOOKUP($G271, 'ADP Data'!$C$4:$Q$300, 8, FALSE)</f>
        <v>276</v>
      </c>
      <c r="V271" s="11">
        <f t="shared" si="8"/>
        <v>252</v>
      </c>
      <c r="W271" s="11">
        <f t="shared" si="9"/>
        <v>32</v>
      </c>
      <c r="X271" s="11">
        <f t="shared" si="10"/>
        <v>-32</v>
      </c>
      <c r="Y271" s="11">
        <f>VLOOKUP($G271, SeanRanks!$A$2:$K$303, 10, FALSE)-V271</f>
        <v>-37</v>
      </c>
      <c r="Z271" s="29" t="str">
        <f>IF(VLOOKUP($G271, SeanRanks!$A$2:$H$303, 7, FALSE)=0, "", VLOOKUP($G271, SeanRanks!$A$2:$H$303, 7, FALSE))</f>
        <v/>
      </c>
    </row>
    <row r="272" ht="14.25" hidden="1" customHeight="1">
      <c r="A272" s="11"/>
      <c r="B272" s="11" t="str">
        <f t="shared" si="11"/>
        <v>#N/A</v>
      </c>
      <c r="C272" s="11" t="s">
        <v>106</v>
      </c>
      <c r="D272" s="11"/>
      <c r="E272" s="11"/>
      <c r="F272" s="11" t="str">
        <f>VLOOKUP(G272, SeanRanks!$A$2:$E$302, 4, FALSE)</f>
        <v/>
      </c>
      <c r="G272" s="11" t="s">
        <v>970</v>
      </c>
      <c r="H272" s="11" t="str">
        <f>VLOOKUP($G272, 'ADP Data'!$C$4:$Q$300, 2, FALSE)</f>
        <v>#N/A</v>
      </c>
      <c r="I272" s="11" t="str">
        <f>VLOOKUP(G272, 'ADP Data'!$C$4:$R$498, 12, FALSE)</f>
        <v>#N/A</v>
      </c>
      <c r="J272" s="11" t="str">
        <f>VLOOKUP($G272, SeanRanks!$A$2:$H$303, 5, FALSE)</f>
        <v/>
      </c>
      <c r="K272" s="11" t="str">
        <f>IF(VLOOKUP($G272, SeanRanks!$A$2:$H$303, 6, FALSE)=0, "", VLOOKUP($G272, SeanRanks!$A$2:$H$303, 6, FALSE))</f>
        <v/>
      </c>
      <c r="L272" s="11">
        <f t="shared" si="5"/>
        <v>16</v>
      </c>
      <c r="M272" s="11" t="str">
        <f>VLOOKUP($G272, 'ADP Data'!$C$4:$Q$300, 9, FALSE)</f>
        <v>#N/A</v>
      </c>
      <c r="N272" s="11" t="str">
        <f t="shared" si="6"/>
        <v>#N/A</v>
      </c>
      <c r="O272" s="11" t="str">
        <f>VLOOKUP($G272, 'ADP Data'!$C$4:$Q$300, 3, FALSE)</f>
        <v>#N/A</v>
      </c>
      <c r="P272" s="11" t="str">
        <f t="shared" si="7"/>
        <v>#N/A</v>
      </c>
      <c r="Q272" s="11" t="str">
        <f>VLOOKUP($G272, 'ADP Data'!$C$4:$Q$300, 4, FALSE)</f>
        <v>#N/A</v>
      </c>
      <c r="R272" s="11" t="str">
        <f>VLOOKUP($G272, 'ADP Data'!$C$4:$Q$300, 5, FALSE)</f>
        <v>#N/A</v>
      </c>
      <c r="S272" s="11" t="str">
        <f>VLOOKUP($G272, 'ADP Data'!$C$4:$Q$300, 6, FALSE)</f>
        <v>#N/A</v>
      </c>
      <c r="T272" s="11" t="str">
        <f>VLOOKUP($G272, 'ADP Data'!$C$4:$Q$300, 7, FALSE)</f>
        <v>#N/A</v>
      </c>
      <c r="U272" s="11" t="str">
        <f>VLOOKUP($G272, 'ADP Data'!$C$4:$Q$300, 8, FALSE)</f>
        <v>#N/A</v>
      </c>
      <c r="V272" s="11" t="str">
        <f t="shared" si="8"/>
        <v>#N/A</v>
      </c>
      <c r="W272" s="11">
        <f t="shared" si="9"/>
        <v>16</v>
      </c>
      <c r="X272" s="11">
        <f t="shared" si="10"/>
        <v>-16</v>
      </c>
      <c r="Y272" s="11" t="str">
        <f>VLOOKUP($G272, SeanRanks!$A$2:$K$303, 10, FALSE)-V272</f>
        <v>#N/A</v>
      </c>
      <c r="Z272" s="29" t="str">
        <f>IF(VLOOKUP($G272, SeanRanks!$A$2:$H$303, 7, FALSE)=0, "", VLOOKUP($G272, SeanRanks!$A$2:$H$303, 7, FALSE))</f>
        <v/>
      </c>
    </row>
    <row r="273" ht="14.25" hidden="1" customHeight="1">
      <c r="A273" s="11"/>
      <c r="B273" s="11" t="str">
        <f t="shared" si="11"/>
        <v>#N/A</v>
      </c>
      <c r="C273" s="11" t="s">
        <v>106</v>
      </c>
      <c r="D273" s="11"/>
      <c r="E273" s="11"/>
      <c r="F273" s="11" t="str">
        <f>VLOOKUP(G273, SeanRanks!$A$2:$E$302, 4, FALSE)</f>
        <v/>
      </c>
      <c r="G273" s="11" t="s">
        <v>413</v>
      </c>
      <c r="H273" s="11" t="str">
        <f>VLOOKUP($G273, 'ADP Data'!$C$4:$Q$300, 2, FALSE)</f>
        <v>#N/A</v>
      </c>
      <c r="I273" s="11">
        <f>VLOOKUP(G273, 'ADP Data'!$C$4:$R$498, 12, FALSE)</f>
        <v>244</v>
      </c>
      <c r="J273" s="11" t="str">
        <f>VLOOKUP($G273, SeanRanks!$A$2:$H$303, 5, FALSE)</f>
        <v/>
      </c>
      <c r="K273" s="11" t="str">
        <f>IF(VLOOKUP($G273, SeanRanks!$A$2:$H$303, 6, FALSE)=0, "", VLOOKUP($G273, SeanRanks!$A$2:$H$303, 6, FALSE))</f>
        <v/>
      </c>
      <c r="L273" s="11">
        <f t="shared" si="5"/>
        <v>16</v>
      </c>
      <c r="M273" s="11" t="str">
        <f>VLOOKUP($G273, 'ADP Data'!$C$4:$Q$300, 9, FALSE)</f>
        <v>#N/A</v>
      </c>
      <c r="N273" s="11" t="str">
        <f t="shared" si="6"/>
        <v>#N/A</v>
      </c>
      <c r="O273" s="11" t="str">
        <f>VLOOKUP($G273, 'ADP Data'!$C$4:$Q$300, 3, FALSE)</f>
        <v>#N/A</v>
      </c>
      <c r="P273" s="11" t="str">
        <f t="shared" si="7"/>
        <v>#N/A</v>
      </c>
      <c r="Q273" s="11" t="str">
        <f>VLOOKUP($G273, 'ADP Data'!$C$4:$Q$300, 4, FALSE)</f>
        <v>#N/A</v>
      </c>
      <c r="R273" s="11" t="str">
        <f>VLOOKUP($G273, 'ADP Data'!$C$4:$Q$300, 5, FALSE)</f>
        <v>#N/A</v>
      </c>
      <c r="S273" s="11" t="str">
        <f>VLOOKUP($G273, 'ADP Data'!$C$4:$Q$300, 6, FALSE)</f>
        <v>#N/A</v>
      </c>
      <c r="T273" s="11" t="str">
        <f>VLOOKUP($G273, 'ADP Data'!$C$4:$Q$300, 7, FALSE)</f>
        <v>#N/A</v>
      </c>
      <c r="U273" s="11" t="str">
        <f>VLOOKUP($G273, 'ADP Data'!$C$4:$Q$300, 8, FALSE)</f>
        <v>#N/A</v>
      </c>
      <c r="V273" s="11" t="str">
        <f t="shared" si="8"/>
        <v>#N/A</v>
      </c>
      <c r="W273" s="11">
        <f t="shared" si="9"/>
        <v>16</v>
      </c>
      <c r="X273" s="11">
        <f t="shared" si="10"/>
        <v>-16</v>
      </c>
      <c r="Y273" s="11" t="str">
        <f>VLOOKUP($G273, SeanRanks!$A$2:$K$303, 10, FALSE)-V273</f>
        <v>#N/A</v>
      </c>
      <c r="Z273" s="29" t="str">
        <f>IF(VLOOKUP($G273, SeanRanks!$A$2:$H$303, 7, FALSE)=0, "", VLOOKUP($G273, SeanRanks!$A$2:$H$303, 7, FALSE))</f>
        <v/>
      </c>
    </row>
    <row r="274" ht="14.25" hidden="1" customHeight="1">
      <c r="A274" s="11"/>
      <c r="B274" s="11" t="str">
        <f t="shared" si="11"/>
        <v>#N/A</v>
      </c>
      <c r="C274" s="11" t="s">
        <v>106</v>
      </c>
      <c r="D274" s="11"/>
      <c r="E274" s="11"/>
      <c r="F274" s="11" t="str">
        <f>VLOOKUP(G274, SeanRanks!$A$2:$E$302, 4, FALSE)</f>
        <v>#N/A</v>
      </c>
      <c r="G274" s="11" t="s">
        <v>971</v>
      </c>
      <c r="H274" s="11" t="str">
        <f>VLOOKUP($G274, 'ADP Data'!$C$4:$Q$300, 2, FALSE)</f>
        <v>#N/A</v>
      </c>
      <c r="I274" s="11" t="str">
        <f>VLOOKUP(G274, 'ADP Data'!$C$4:$R$498, 12, FALSE)</f>
        <v>#N/A</v>
      </c>
      <c r="J274" s="11" t="str">
        <f>VLOOKUP($G274, SeanRanks!$A$2:$H$303, 5, FALSE)</f>
        <v>#N/A</v>
      </c>
      <c r="K274" s="11" t="str">
        <f>IF(VLOOKUP($G274, SeanRanks!$A$2:$H$303, 6, FALSE)=0, "", VLOOKUP($G274, SeanRanks!$A$2:$H$303, 6, FALSE))</f>
        <v>#N/A</v>
      </c>
      <c r="L274" s="11">
        <f t="shared" si="5"/>
        <v>16</v>
      </c>
      <c r="M274" s="11" t="str">
        <f>VLOOKUP($G274, 'ADP Data'!$C$4:$Q$300, 9, FALSE)</f>
        <v>#N/A</v>
      </c>
      <c r="N274" s="11" t="str">
        <f t="shared" si="6"/>
        <v>#N/A</v>
      </c>
      <c r="O274" s="11" t="str">
        <f>VLOOKUP($G274, 'ADP Data'!$C$4:$Q$300, 3, FALSE)</f>
        <v>#N/A</v>
      </c>
      <c r="P274" s="11" t="str">
        <f t="shared" si="7"/>
        <v>#N/A</v>
      </c>
      <c r="Q274" s="11" t="str">
        <f>VLOOKUP($G274, 'ADP Data'!$C$4:$Q$300, 4, FALSE)</f>
        <v>#N/A</v>
      </c>
      <c r="R274" s="11" t="str">
        <f>VLOOKUP($G274, 'ADP Data'!$C$4:$Q$300, 5, FALSE)</f>
        <v>#N/A</v>
      </c>
      <c r="S274" s="11" t="str">
        <f>VLOOKUP($G274, 'ADP Data'!$C$4:$Q$300, 6, FALSE)</f>
        <v>#N/A</v>
      </c>
      <c r="T274" s="11" t="str">
        <f>VLOOKUP($G274, 'ADP Data'!$C$4:$Q$300, 7, FALSE)</f>
        <v>#N/A</v>
      </c>
      <c r="U274" s="11" t="str">
        <f>VLOOKUP($G274, 'ADP Data'!$C$4:$Q$300, 8, FALSE)</f>
        <v>#N/A</v>
      </c>
      <c r="V274" s="11" t="str">
        <f t="shared" si="8"/>
        <v>#N/A</v>
      </c>
      <c r="W274" s="11">
        <f t="shared" si="9"/>
        <v>16</v>
      </c>
      <c r="X274" s="11">
        <f t="shared" si="10"/>
        <v>-16</v>
      </c>
      <c r="Y274" s="11" t="str">
        <f>VLOOKUP($G274, SeanRanks!$A$2:$K$303, 10, FALSE)-V274</f>
        <v>#N/A</v>
      </c>
      <c r="Z274" s="29" t="str">
        <f>IF(VLOOKUP($G274, SeanRanks!$A$2:$H$303, 7, FALSE)=0, "", VLOOKUP($G274, SeanRanks!$A$2:$H$303, 7, FALSE))</f>
        <v>#N/A</v>
      </c>
    </row>
    <row r="275" ht="14.25" hidden="1" customHeight="1">
      <c r="A275" s="11"/>
      <c r="B275" s="11" t="str">
        <f t="shared" si="11"/>
        <v>#N/A</v>
      </c>
      <c r="C275" s="11" t="s">
        <v>106</v>
      </c>
      <c r="D275" s="11"/>
      <c r="E275" s="11"/>
      <c r="F275" s="11" t="str">
        <f>VLOOKUP(G275, SeanRanks!$A$2:$E$302, 4, FALSE)</f>
        <v>#N/A</v>
      </c>
      <c r="G275" s="11" t="s">
        <v>972</v>
      </c>
      <c r="H275" s="11" t="str">
        <f>VLOOKUP($G275, 'ADP Data'!$C$4:$Q$300, 2, FALSE)</f>
        <v>#N/A</v>
      </c>
      <c r="I275" s="11" t="str">
        <f>VLOOKUP(G275, 'ADP Data'!$C$4:$R$498, 12, FALSE)</f>
        <v>#N/A</v>
      </c>
      <c r="J275" s="11" t="str">
        <f>VLOOKUP($G275, SeanRanks!$A$2:$H$303, 5, FALSE)</f>
        <v>#N/A</v>
      </c>
      <c r="K275" s="11" t="str">
        <f>IF(VLOOKUP($G275, SeanRanks!$A$2:$H$303, 6, FALSE)=0, "", VLOOKUP($G275, SeanRanks!$A$2:$H$303, 6, FALSE))</f>
        <v>#N/A</v>
      </c>
      <c r="L275" s="11">
        <f t="shared" si="5"/>
        <v>16</v>
      </c>
      <c r="M275" s="11" t="str">
        <f>VLOOKUP($G275, 'ADP Data'!$C$4:$Q$300, 9, FALSE)</f>
        <v>#N/A</v>
      </c>
      <c r="N275" s="11" t="str">
        <f t="shared" si="6"/>
        <v>#N/A</v>
      </c>
      <c r="O275" s="11" t="str">
        <f>VLOOKUP($G275, 'ADP Data'!$C$4:$Q$300, 3, FALSE)</f>
        <v>#N/A</v>
      </c>
      <c r="P275" s="11" t="str">
        <f t="shared" si="7"/>
        <v>#N/A</v>
      </c>
      <c r="Q275" s="11" t="str">
        <f>VLOOKUP($G275, 'ADP Data'!$C$4:$Q$300, 4, FALSE)</f>
        <v>#N/A</v>
      </c>
      <c r="R275" s="11" t="str">
        <f>VLOOKUP($G275, 'ADP Data'!$C$4:$Q$300, 5, FALSE)</f>
        <v>#N/A</v>
      </c>
      <c r="S275" s="11" t="str">
        <f>VLOOKUP($G275, 'ADP Data'!$C$4:$Q$300, 6, FALSE)</f>
        <v>#N/A</v>
      </c>
      <c r="T275" s="11" t="str">
        <f>VLOOKUP($G275, 'ADP Data'!$C$4:$Q$300, 7, FALSE)</f>
        <v>#N/A</v>
      </c>
      <c r="U275" s="11" t="str">
        <f>VLOOKUP($G275, 'ADP Data'!$C$4:$Q$300, 8, FALSE)</f>
        <v>#N/A</v>
      </c>
      <c r="V275" s="11" t="str">
        <f t="shared" si="8"/>
        <v>#N/A</v>
      </c>
      <c r="W275" s="11">
        <f t="shared" si="9"/>
        <v>16</v>
      </c>
      <c r="X275" s="11">
        <f t="shared" si="10"/>
        <v>-16</v>
      </c>
      <c r="Y275" s="11" t="str">
        <f>VLOOKUP($G275, SeanRanks!$A$2:$K$303, 10, FALSE)-V275</f>
        <v>#N/A</v>
      </c>
      <c r="Z275" s="29" t="str">
        <f>IF(VLOOKUP($G275, SeanRanks!$A$2:$H$303, 7, FALSE)=0, "", VLOOKUP($G275, SeanRanks!$A$2:$H$303, 7, FALSE))</f>
        <v>#N/A</v>
      </c>
    </row>
    <row r="276" ht="14.25" hidden="1" customHeight="1">
      <c r="A276" s="11"/>
      <c r="B276" s="11" t="str">
        <f t="shared" si="11"/>
        <v>#N/A</v>
      </c>
      <c r="C276" s="11" t="s">
        <v>106</v>
      </c>
      <c r="D276" s="11"/>
      <c r="E276" s="11"/>
      <c r="F276" s="11" t="str">
        <f>VLOOKUP(G276, SeanRanks!$A$2:$E$302, 4, FALSE)</f>
        <v>#N/A</v>
      </c>
      <c r="G276" s="11" t="s">
        <v>973</v>
      </c>
      <c r="H276" s="11" t="str">
        <f>VLOOKUP($G276, 'ADP Data'!$C$4:$Q$300, 2, FALSE)</f>
        <v>#N/A</v>
      </c>
      <c r="I276" s="11" t="str">
        <f>VLOOKUP(G276, 'ADP Data'!$C$4:$R$498, 12, FALSE)</f>
        <v>#N/A</v>
      </c>
      <c r="J276" s="11" t="str">
        <f>VLOOKUP($G276, SeanRanks!$A$2:$H$303, 5, FALSE)</f>
        <v>#N/A</v>
      </c>
      <c r="K276" s="11" t="str">
        <f>IF(VLOOKUP($G276, SeanRanks!$A$2:$H$303, 6, FALSE)=0, "", VLOOKUP($G276, SeanRanks!$A$2:$H$303, 6, FALSE))</f>
        <v>#N/A</v>
      </c>
      <c r="L276" s="11">
        <f t="shared" si="5"/>
        <v>16</v>
      </c>
      <c r="M276" s="11" t="str">
        <f>VLOOKUP($G276, 'ADP Data'!$C$4:$Q$300, 9, FALSE)</f>
        <v>#N/A</v>
      </c>
      <c r="N276" s="11" t="str">
        <f t="shared" si="6"/>
        <v>#N/A</v>
      </c>
      <c r="O276" s="11" t="str">
        <f>VLOOKUP($G276, 'ADP Data'!$C$4:$Q$300, 3, FALSE)</f>
        <v>#N/A</v>
      </c>
      <c r="P276" s="11" t="str">
        <f t="shared" si="7"/>
        <v>#N/A</v>
      </c>
      <c r="Q276" s="11" t="str">
        <f>VLOOKUP($G276, 'ADP Data'!$C$4:$Q$300, 4, FALSE)</f>
        <v>#N/A</v>
      </c>
      <c r="R276" s="11" t="str">
        <f>VLOOKUP($G276, 'ADP Data'!$C$4:$Q$300, 5, FALSE)</f>
        <v>#N/A</v>
      </c>
      <c r="S276" s="11" t="str">
        <f>VLOOKUP($G276, 'ADP Data'!$C$4:$Q$300, 6, FALSE)</f>
        <v>#N/A</v>
      </c>
      <c r="T276" s="11" t="str">
        <f>VLOOKUP($G276, 'ADP Data'!$C$4:$Q$300, 7, FALSE)</f>
        <v>#N/A</v>
      </c>
      <c r="U276" s="11" t="str">
        <f>VLOOKUP($G276, 'ADP Data'!$C$4:$Q$300, 8, FALSE)</f>
        <v>#N/A</v>
      </c>
      <c r="V276" s="11" t="str">
        <f t="shared" si="8"/>
        <v>#N/A</v>
      </c>
      <c r="W276" s="11">
        <f t="shared" si="9"/>
        <v>16</v>
      </c>
      <c r="X276" s="11">
        <f t="shared" si="10"/>
        <v>-16</v>
      </c>
      <c r="Y276" s="11" t="str">
        <f>VLOOKUP($G276, SeanRanks!$A$2:$K$303, 10, FALSE)-V276</f>
        <v>#N/A</v>
      </c>
      <c r="Z276" s="29" t="str">
        <f>IF(VLOOKUP($G276, SeanRanks!$A$2:$H$303, 7, FALSE)=0, "", VLOOKUP($G276, SeanRanks!$A$2:$H$303, 7, FALSE))</f>
        <v>#N/A</v>
      </c>
    </row>
    <row r="277" ht="14.25" hidden="1" customHeight="1">
      <c r="A277" s="11"/>
      <c r="B277" s="11">
        <f t="shared" si="11"/>
        <v>21</v>
      </c>
      <c r="C277" s="11" t="s">
        <v>106</v>
      </c>
      <c r="D277" s="11"/>
      <c r="E277" s="11"/>
      <c r="F277" s="11" t="str">
        <f>VLOOKUP(G277, SeanRanks!$A$2:$E$302, 4, FALSE)</f>
        <v/>
      </c>
      <c r="G277" s="11" t="s">
        <v>974</v>
      </c>
      <c r="H277" s="11" t="str">
        <f>VLOOKUP($G277, 'ADP Data'!$C$4:$Q$300, 2, FALSE)</f>
        <v>KC</v>
      </c>
      <c r="I277" s="11">
        <f>VLOOKUP(G277, 'ADP Data'!$C$4:$R$498, 12, FALSE)</f>
        <v>279</v>
      </c>
      <c r="J277" s="11" t="str">
        <f>VLOOKUP($G277, SeanRanks!$A$2:$H$303, 5, FALSE)</f>
        <v/>
      </c>
      <c r="K277" s="11" t="str">
        <f>IF(VLOOKUP($G277, SeanRanks!$A$2:$H$303, 6, FALSE)=0, "", VLOOKUP($G277, SeanRanks!$A$2:$H$303, 6, FALSE))</f>
        <v/>
      </c>
      <c r="L277" s="11">
        <f t="shared" si="5"/>
        <v>35</v>
      </c>
      <c r="M277" s="11">
        <f>VLOOKUP($G277, 'ADP Data'!$C$4:$Q$300, 9, FALSE)</f>
        <v>276</v>
      </c>
      <c r="N277" s="11">
        <f t="shared" si="6"/>
        <v>24</v>
      </c>
      <c r="O277" s="11" t="str">
        <f>VLOOKUP($G277, 'ADP Data'!$C$4:$Q$300, 3, FALSE)</f>
        <v>-</v>
      </c>
      <c r="P277" s="11" t="str">
        <f t="shared" si="7"/>
        <v>#VALUE!</v>
      </c>
      <c r="Q277" s="11">
        <f>VLOOKUP($G277, 'ADP Data'!$C$4:$Q$300, 4, FALSE)</f>
        <v>233</v>
      </c>
      <c r="R277" s="11" t="str">
        <f>VLOOKUP($G277, 'ADP Data'!$C$4:$Q$300, 5, FALSE)</f>
        <v>-</v>
      </c>
      <c r="S277" s="11">
        <f>VLOOKUP($G277, 'ADP Data'!$C$4:$Q$300, 6, FALSE)</f>
        <v>249</v>
      </c>
      <c r="T277" s="11">
        <f>VLOOKUP($G277, 'ADP Data'!$C$4:$Q$300, 7, FALSE)</f>
        <v>263</v>
      </c>
      <c r="U277" s="11">
        <f>VLOOKUP($G277, 'ADP Data'!$C$4:$Q$300, 8, FALSE)</f>
        <v>240</v>
      </c>
      <c r="V277" s="11">
        <f t="shared" si="8"/>
        <v>252</v>
      </c>
      <c r="W277" s="11">
        <f t="shared" si="9"/>
        <v>32</v>
      </c>
      <c r="X277" s="11">
        <f t="shared" si="10"/>
        <v>-32</v>
      </c>
      <c r="Y277" s="11" t="str">
        <f>VLOOKUP($G277, SeanRanks!$A$2:$K$303, 10, FALSE)-V277</f>
        <v>#VALUE!</v>
      </c>
      <c r="Z277" s="29" t="str">
        <f>IF(VLOOKUP($G277, SeanRanks!$A$2:$H$303, 7, FALSE)=0, "", VLOOKUP($G277, SeanRanks!$A$2:$H$303, 7, FALSE))</f>
        <v/>
      </c>
    </row>
    <row r="278" ht="14.25" hidden="1" customHeight="1">
      <c r="A278" s="11"/>
      <c r="B278" s="11" t="str">
        <f t="shared" si="11"/>
        <v>#N/A</v>
      </c>
      <c r="C278" s="11" t="s">
        <v>106</v>
      </c>
      <c r="D278" s="11"/>
      <c r="E278" s="11"/>
      <c r="F278" s="11" t="str">
        <f>VLOOKUP(G278, SeanRanks!$A$2:$E$302, 4, FALSE)</f>
        <v>#N/A</v>
      </c>
      <c r="G278" s="11" t="s">
        <v>975</v>
      </c>
      <c r="H278" s="11" t="str">
        <f>VLOOKUP($G278, 'ADP Data'!$C$4:$Q$300, 2, FALSE)</f>
        <v>#N/A</v>
      </c>
      <c r="I278" s="11" t="str">
        <f>VLOOKUP(G278, 'ADP Data'!$C$4:$R$498, 12, FALSE)</f>
        <v>#N/A</v>
      </c>
      <c r="J278" s="11" t="str">
        <f>VLOOKUP($G278, SeanRanks!$A$2:$H$303, 5, FALSE)</f>
        <v>#N/A</v>
      </c>
      <c r="K278" s="11" t="str">
        <f>IF(VLOOKUP($G278, SeanRanks!$A$2:$H$303, 6, FALSE)=0, "", VLOOKUP($G278, SeanRanks!$A$2:$H$303, 6, FALSE))</f>
        <v>#N/A</v>
      </c>
      <c r="L278" s="11">
        <f t="shared" si="5"/>
        <v>16</v>
      </c>
      <c r="M278" s="11" t="str">
        <f>VLOOKUP($G278, 'ADP Data'!$C$4:$Q$300, 9, FALSE)</f>
        <v>#N/A</v>
      </c>
      <c r="N278" s="11" t="str">
        <f t="shared" si="6"/>
        <v>#N/A</v>
      </c>
      <c r="O278" s="11" t="str">
        <f>VLOOKUP($G278, 'ADP Data'!$C$4:$Q$300, 3, FALSE)</f>
        <v>#N/A</v>
      </c>
      <c r="P278" s="11" t="str">
        <f t="shared" si="7"/>
        <v>#N/A</v>
      </c>
      <c r="Q278" s="11" t="str">
        <f>VLOOKUP($G278, 'ADP Data'!$C$4:$Q$300, 4, FALSE)</f>
        <v>#N/A</v>
      </c>
      <c r="R278" s="11" t="str">
        <f>VLOOKUP($G278, 'ADP Data'!$C$4:$Q$300, 5, FALSE)</f>
        <v>#N/A</v>
      </c>
      <c r="S278" s="11" t="str">
        <f>VLOOKUP($G278, 'ADP Data'!$C$4:$Q$300, 6, FALSE)</f>
        <v>#N/A</v>
      </c>
      <c r="T278" s="11" t="str">
        <f>VLOOKUP($G278, 'ADP Data'!$C$4:$Q$300, 7, FALSE)</f>
        <v>#N/A</v>
      </c>
      <c r="U278" s="11" t="str">
        <f>VLOOKUP($G278, 'ADP Data'!$C$4:$Q$300, 8, FALSE)</f>
        <v>#N/A</v>
      </c>
      <c r="V278" s="11" t="str">
        <f t="shared" si="8"/>
        <v>#N/A</v>
      </c>
      <c r="W278" s="11">
        <f t="shared" si="9"/>
        <v>16</v>
      </c>
      <c r="X278" s="11">
        <f t="shared" si="10"/>
        <v>-16</v>
      </c>
      <c r="Y278" s="11" t="str">
        <f>VLOOKUP($G278, SeanRanks!$A$2:$K$303, 10, FALSE)-V278</f>
        <v>#N/A</v>
      </c>
      <c r="Z278" s="29" t="str">
        <f>IF(VLOOKUP($G278, SeanRanks!$A$2:$H$303, 7, FALSE)=0, "", VLOOKUP($G278, SeanRanks!$A$2:$H$303, 7, FALSE))</f>
        <v>#N/A</v>
      </c>
    </row>
    <row r="279" ht="14.25" hidden="1" customHeight="1">
      <c r="A279" s="11"/>
      <c r="B279" s="11" t="str">
        <f t="shared" si="11"/>
        <v>#N/A</v>
      </c>
      <c r="C279" s="11" t="s">
        <v>106</v>
      </c>
      <c r="D279" s="11"/>
      <c r="E279" s="11"/>
      <c r="F279" s="11" t="str">
        <f>VLOOKUP(G279, SeanRanks!$A$2:$E$302, 4, FALSE)</f>
        <v>#N/A</v>
      </c>
      <c r="G279" s="11" t="s">
        <v>976</v>
      </c>
      <c r="H279" s="11" t="str">
        <f>VLOOKUP($G279, 'ADP Data'!$C$4:$Q$300, 2, FALSE)</f>
        <v>#N/A</v>
      </c>
      <c r="I279" s="11" t="str">
        <f>VLOOKUP(G279, 'ADP Data'!$C$4:$R$498, 12, FALSE)</f>
        <v>#N/A</v>
      </c>
      <c r="J279" s="11" t="str">
        <f>VLOOKUP($G279, SeanRanks!$A$2:$H$303, 5, FALSE)</f>
        <v>#N/A</v>
      </c>
      <c r="K279" s="11" t="str">
        <f>IF(VLOOKUP($G279, SeanRanks!$A$2:$H$303, 6, FALSE)=0, "", VLOOKUP($G279, SeanRanks!$A$2:$H$303, 6, FALSE))</f>
        <v>#N/A</v>
      </c>
      <c r="L279" s="11">
        <f t="shared" si="5"/>
        <v>16</v>
      </c>
      <c r="M279" s="11" t="str">
        <f>VLOOKUP($G279, 'ADP Data'!$C$4:$Q$300, 9, FALSE)</f>
        <v>#N/A</v>
      </c>
      <c r="N279" s="11" t="str">
        <f t="shared" si="6"/>
        <v>#N/A</v>
      </c>
      <c r="O279" s="11" t="str">
        <f>VLOOKUP($G279, 'ADP Data'!$C$4:$Q$300, 3, FALSE)</f>
        <v>#N/A</v>
      </c>
      <c r="P279" s="11" t="str">
        <f t="shared" si="7"/>
        <v>#N/A</v>
      </c>
      <c r="Q279" s="11" t="str">
        <f>VLOOKUP($G279, 'ADP Data'!$C$4:$Q$300, 4, FALSE)</f>
        <v>#N/A</v>
      </c>
      <c r="R279" s="11" t="str">
        <f>VLOOKUP($G279, 'ADP Data'!$C$4:$Q$300, 5, FALSE)</f>
        <v>#N/A</v>
      </c>
      <c r="S279" s="11" t="str">
        <f>VLOOKUP($G279, 'ADP Data'!$C$4:$Q$300, 6, FALSE)</f>
        <v>#N/A</v>
      </c>
      <c r="T279" s="11" t="str">
        <f>VLOOKUP($G279, 'ADP Data'!$C$4:$Q$300, 7, FALSE)</f>
        <v>#N/A</v>
      </c>
      <c r="U279" s="11" t="str">
        <f>VLOOKUP($G279, 'ADP Data'!$C$4:$Q$300, 8, FALSE)</f>
        <v>#N/A</v>
      </c>
      <c r="V279" s="11" t="str">
        <f t="shared" si="8"/>
        <v>#N/A</v>
      </c>
      <c r="W279" s="11">
        <f t="shared" si="9"/>
        <v>16</v>
      </c>
      <c r="X279" s="11">
        <f t="shared" si="10"/>
        <v>-16</v>
      </c>
      <c r="Y279" s="11" t="str">
        <f>VLOOKUP($G279, SeanRanks!$A$2:$K$303, 10, FALSE)-V279</f>
        <v>#N/A</v>
      </c>
      <c r="Z279" s="29" t="str">
        <f>IF(VLOOKUP($G279, SeanRanks!$A$2:$H$303, 7, FALSE)=0, "", VLOOKUP($G279, SeanRanks!$A$2:$H$303, 7, FALSE))</f>
        <v>#N/A</v>
      </c>
    </row>
    <row r="280" ht="14.25" hidden="1" customHeight="1">
      <c r="A280" s="11"/>
      <c r="B280" s="11">
        <f t="shared" si="11"/>
        <v>16</v>
      </c>
      <c r="C280" s="11" t="s">
        <v>106</v>
      </c>
      <c r="D280" s="11"/>
      <c r="E280" s="11"/>
      <c r="F280" s="11" t="str">
        <f>VLOOKUP(G280, SeanRanks!$A$2:$E$302, 4, FALSE)</f>
        <v/>
      </c>
      <c r="G280" s="11" t="s">
        <v>682</v>
      </c>
      <c r="H280" s="11" t="str">
        <f>VLOOKUP($G280, 'ADP Data'!$C$4:$Q$300, 2, FALSE)</f>
        <v>ATL</v>
      </c>
      <c r="I280" s="11">
        <f>VLOOKUP(G280, 'ADP Data'!$C$4:$R$498, 12, FALSE)</f>
        <v>143</v>
      </c>
      <c r="J280" s="11" t="str">
        <f>VLOOKUP($G280, SeanRanks!$A$2:$H$303, 5, FALSE)</f>
        <v/>
      </c>
      <c r="K280" s="11" t="str">
        <f>IF(VLOOKUP($G280, SeanRanks!$A$2:$H$303, 6, FALSE)=0, "", VLOOKUP($G280, SeanRanks!$A$2:$H$303, 6, FALSE))</f>
        <v>Don’t Draft - Streamer</v>
      </c>
      <c r="L280" s="11">
        <f t="shared" si="5"/>
        <v>24</v>
      </c>
      <c r="M280" s="11">
        <f>VLOOKUP($G280, 'ADP Data'!$C$4:$Q$300, 9, FALSE)</f>
        <v>189</v>
      </c>
      <c r="N280" s="11">
        <f t="shared" si="6"/>
        <v>4</v>
      </c>
      <c r="O280" s="11">
        <f>VLOOKUP($G280, 'ADP Data'!$C$4:$Q$300, 3, FALSE)</f>
        <v>177</v>
      </c>
      <c r="P280" s="11">
        <f t="shared" si="7"/>
        <v>12</v>
      </c>
      <c r="Q280" s="11">
        <f>VLOOKUP($G280, 'ADP Data'!$C$4:$Q$300, 4, FALSE)</f>
        <v>181</v>
      </c>
      <c r="R280" s="11">
        <f>VLOOKUP($G280, 'ADP Data'!$C$4:$Q$300, 5, FALSE)</f>
        <v>236</v>
      </c>
      <c r="S280" s="11">
        <f>VLOOKUP($G280, 'ADP Data'!$C$4:$Q$300, 6, FALSE)</f>
        <v>164</v>
      </c>
      <c r="T280" s="11">
        <f>VLOOKUP($G280, 'ADP Data'!$C$4:$Q$300, 7, FALSE)</f>
        <v>159</v>
      </c>
      <c r="U280" s="11">
        <f>VLOOKUP($G280, 'ADP Data'!$C$4:$Q$300, 8, FALSE)</f>
        <v>189</v>
      </c>
      <c r="V280" s="11">
        <f t="shared" si="8"/>
        <v>185</v>
      </c>
      <c r="W280" s="11">
        <f t="shared" si="9"/>
        <v>24</v>
      </c>
      <c r="X280" s="11">
        <f t="shared" si="10"/>
        <v>-24</v>
      </c>
      <c r="Y280" s="11">
        <f>VLOOKUP($G280, SeanRanks!$A$2:$K$303, 10, FALSE)-V280</f>
        <v>-43</v>
      </c>
      <c r="Z280" s="29">
        <f>IF(VLOOKUP($G280, SeanRanks!$A$2:$H$303, 7, FALSE)=0, "", VLOOKUP($G280, SeanRanks!$A$2:$H$303, 7, FALSE))</f>
        <v>24</v>
      </c>
    </row>
    <row r="281" ht="14.25" hidden="1" customHeight="1">
      <c r="A281" s="11"/>
      <c r="B281" s="11">
        <f t="shared" si="11"/>
        <v>9</v>
      </c>
      <c r="C281" s="11" t="s">
        <v>106</v>
      </c>
      <c r="D281" s="11"/>
      <c r="E281" s="11"/>
      <c r="F281" s="11" t="str">
        <f>VLOOKUP(G281, SeanRanks!$A$2:$E$302, 4, FALSE)</f>
        <v/>
      </c>
      <c r="G281" s="11" t="s">
        <v>468</v>
      </c>
      <c r="H281" s="11" t="str">
        <f>VLOOKUP($G281, 'ADP Data'!$C$4:$Q$300, 2, FALSE)</f>
        <v>SF</v>
      </c>
      <c r="I281" s="11">
        <f>VLOOKUP(G281, 'ADP Data'!$C$4:$R$498, 12, FALSE)</f>
        <v>84</v>
      </c>
      <c r="J281" s="11" t="str">
        <f>VLOOKUP($G281, SeanRanks!$A$2:$H$303, 5, FALSE)</f>
        <v/>
      </c>
      <c r="K281" s="11" t="str">
        <f>IF(VLOOKUP($G281, SeanRanks!$A$2:$H$303, 6, FALSE)=0, "", VLOOKUP($G281, SeanRanks!$A$2:$H$303, 6, FALSE))</f>
        <v>WR4 - 1 - path to WR2</v>
      </c>
      <c r="L281" s="11">
        <f t="shared" si="5"/>
        <v>13</v>
      </c>
      <c r="M281" s="11">
        <f>VLOOKUP($G281, 'ADP Data'!$C$4:$Q$300, 9, FALSE)</f>
        <v>102</v>
      </c>
      <c r="N281" s="11">
        <f t="shared" si="6"/>
        <v>-3</v>
      </c>
      <c r="O281" s="11">
        <f>VLOOKUP($G281, 'ADP Data'!$C$4:$Q$300, 3, FALSE)</f>
        <v>119</v>
      </c>
      <c r="P281" s="11">
        <f t="shared" si="7"/>
        <v>-17</v>
      </c>
      <c r="Q281" s="11">
        <f>VLOOKUP($G281, 'ADP Data'!$C$4:$Q$300, 4, FALSE)</f>
        <v>115</v>
      </c>
      <c r="R281" s="11">
        <f>VLOOKUP($G281, 'ADP Data'!$C$4:$Q$300, 5, FALSE)</f>
        <v>110</v>
      </c>
      <c r="S281" s="11">
        <f>VLOOKUP($G281, 'ADP Data'!$C$4:$Q$300, 6, FALSE)</f>
        <v>98</v>
      </c>
      <c r="T281" s="11">
        <f>VLOOKUP($G281, 'ADP Data'!$C$4:$Q$300, 7, FALSE)</f>
        <v>85</v>
      </c>
      <c r="U281" s="11">
        <f>VLOOKUP($G281, 'ADP Data'!$C$4:$Q$300, 8, FALSE)</f>
        <v>111</v>
      </c>
      <c r="V281" s="11">
        <f t="shared" si="8"/>
        <v>105</v>
      </c>
      <c r="W281" s="11">
        <f t="shared" si="9"/>
        <v>14</v>
      </c>
      <c r="X281" s="11">
        <f t="shared" si="10"/>
        <v>-14</v>
      </c>
      <c r="Y281" s="11">
        <f>VLOOKUP($G281, SeanRanks!$A$2:$K$303, 10, FALSE)-V281</f>
        <v>-12</v>
      </c>
      <c r="Z281" s="29">
        <f>IF(VLOOKUP($G281, SeanRanks!$A$2:$H$303, 7, FALSE)=0, "", VLOOKUP($G281, SeanRanks!$A$2:$H$303, 7, FALSE))</f>
        <v>40</v>
      </c>
    </row>
    <row r="282" ht="14.25" hidden="1" customHeight="1">
      <c r="A282" s="11"/>
      <c r="B282" s="11" t="str">
        <f t="shared" si="11"/>
        <v>#N/A</v>
      </c>
      <c r="C282" s="11" t="s">
        <v>106</v>
      </c>
      <c r="D282" s="11"/>
      <c r="E282" s="11"/>
      <c r="F282" s="11" t="str">
        <f>VLOOKUP(G282, SeanRanks!$A$2:$E$302, 4, FALSE)</f>
        <v>#N/A</v>
      </c>
      <c r="G282" s="11" t="s">
        <v>977</v>
      </c>
      <c r="H282" s="11" t="str">
        <f>VLOOKUP($G282, 'ADP Data'!$C$4:$Q$300, 2, FALSE)</f>
        <v>#N/A</v>
      </c>
      <c r="I282" s="11" t="str">
        <f>VLOOKUP(G282, 'ADP Data'!$C$4:$R$498, 12, FALSE)</f>
        <v>#N/A</v>
      </c>
      <c r="J282" s="11" t="str">
        <f>VLOOKUP($G282, SeanRanks!$A$2:$H$303, 5, FALSE)</f>
        <v>#N/A</v>
      </c>
      <c r="K282" s="11" t="str">
        <f>IF(VLOOKUP($G282, SeanRanks!$A$2:$H$303, 6, FALSE)=0, "", VLOOKUP($G282, SeanRanks!$A$2:$H$303, 6, FALSE))</f>
        <v>#N/A</v>
      </c>
      <c r="L282" s="11">
        <f t="shared" si="5"/>
        <v>16</v>
      </c>
      <c r="M282" s="11" t="str">
        <f>VLOOKUP($G282, 'ADP Data'!$C$4:$Q$300, 9, FALSE)</f>
        <v>#N/A</v>
      </c>
      <c r="N282" s="11" t="str">
        <f t="shared" si="6"/>
        <v>#N/A</v>
      </c>
      <c r="O282" s="11" t="str">
        <f>VLOOKUP($G282, 'ADP Data'!$C$4:$Q$300, 3, FALSE)</f>
        <v>#N/A</v>
      </c>
      <c r="P282" s="11" t="str">
        <f t="shared" si="7"/>
        <v>#N/A</v>
      </c>
      <c r="Q282" s="11" t="str">
        <f>VLOOKUP($G282, 'ADP Data'!$C$4:$Q$300, 4, FALSE)</f>
        <v>#N/A</v>
      </c>
      <c r="R282" s="11" t="str">
        <f>VLOOKUP($G282, 'ADP Data'!$C$4:$Q$300, 5, FALSE)</f>
        <v>#N/A</v>
      </c>
      <c r="S282" s="11" t="str">
        <f>VLOOKUP($G282, 'ADP Data'!$C$4:$Q$300, 6, FALSE)</f>
        <v>#N/A</v>
      </c>
      <c r="T282" s="11" t="str">
        <f>VLOOKUP($G282, 'ADP Data'!$C$4:$Q$300, 7, FALSE)</f>
        <v>#N/A</v>
      </c>
      <c r="U282" s="11" t="str">
        <f>VLOOKUP($G282, 'ADP Data'!$C$4:$Q$300, 8, FALSE)</f>
        <v>#N/A</v>
      </c>
      <c r="V282" s="11" t="str">
        <f t="shared" si="8"/>
        <v>#N/A</v>
      </c>
      <c r="W282" s="11">
        <f t="shared" si="9"/>
        <v>16</v>
      </c>
      <c r="X282" s="11">
        <f t="shared" si="10"/>
        <v>-16</v>
      </c>
      <c r="Y282" s="11" t="str">
        <f>VLOOKUP($G282, SeanRanks!$A$2:$K$303, 10, FALSE)-V282</f>
        <v>#N/A</v>
      </c>
      <c r="Z282" s="29" t="str">
        <f>IF(VLOOKUP($G282, SeanRanks!$A$2:$H$303, 7, FALSE)=0, "", VLOOKUP($G282, SeanRanks!$A$2:$H$303, 7, FALSE))</f>
        <v>#N/A</v>
      </c>
    </row>
    <row r="283" ht="14.25" hidden="1" customHeight="1">
      <c r="A283" s="11"/>
      <c r="B283" s="11" t="str">
        <f t="shared" si="11"/>
        <v>#N/A</v>
      </c>
      <c r="C283" s="11" t="s">
        <v>106</v>
      </c>
      <c r="D283" s="11"/>
      <c r="E283" s="11"/>
      <c r="F283" s="11" t="str">
        <f>VLOOKUP(G283, SeanRanks!$A$2:$E$302, 4, FALSE)</f>
        <v>#N/A</v>
      </c>
      <c r="G283" s="11" t="s">
        <v>978</v>
      </c>
      <c r="H283" s="11" t="str">
        <f>VLOOKUP($G283, 'ADP Data'!$C$4:$Q$300, 2, FALSE)</f>
        <v>#N/A</v>
      </c>
      <c r="I283" s="11" t="str">
        <f>VLOOKUP(G283, 'ADP Data'!$C$4:$R$498, 12, FALSE)</f>
        <v>#N/A</v>
      </c>
      <c r="J283" s="11" t="str">
        <f>VLOOKUP($G283, SeanRanks!$A$2:$H$303, 5, FALSE)</f>
        <v>#N/A</v>
      </c>
      <c r="K283" s="11" t="str">
        <f>IF(VLOOKUP($G283, SeanRanks!$A$2:$H$303, 6, FALSE)=0, "", VLOOKUP($G283, SeanRanks!$A$2:$H$303, 6, FALSE))</f>
        <v>#N/A</v>
      </c>
      <c r="L283" s="11">
        <f t="shared" si="5"/>
        <v>16</v>
      </c>
      <c r="M283" s="11" t="str">
        <f>VLOOKUP($G283, 'ADP Data'!$C$4:$Q$300, 9, FALSE)</f>
        <v>#N/A</v>
      </c>
      <c r="N283" s="11" t="str">
        <f t="shared" si="6"/>
        <v>#N/A</v>
      </c>
      <c r="O283" s="11" t="str">
        <f>VLOOKUP($G283, 'ADP Data'!$C$4:$Q$300, 3, FALSE)</f>
        <v>#N/A</v>
      </c>
      <c r="P283" s="11" t="str">
        <f t="shared" si="7"/>
        <v>#N/A</v>
      </c>
      <c r="Q283" s="11" t="str">
        <f>VLOOKUP($G283, 'ADP Data'!$C$4:$Q$300, 4, FALSE)</f>
        <v>#N/A</v>
      </c>
      <c r="R283" s="11" t="str">
        <f>VLOOKUP($G283, 'ADP Data'!$C$4:$Q$300, 5, FALSE)</f>
        <v>#N/A</v>
      </c>
      <c r="S283" s="11" t="str">
        <f>VLOOKUP($G283, 'ADP Data'!$C$4:$Q$300, 6, FALSE)</f>
        <v>#N/A</v>
      </c>
      <c r="T283" s="11" t="str">
        <f>VLOOKUP($G283, 'ADP Data'!$C$4:$Q$300, 7, FALSE)</f>
        <v>#N/A</v>
      </c>
      <c r="U283" s="11" t="str">
        <f>VLOOKUP($G283, 'ADP Data'!$C$4:$Q$300, 8, FALSE)</f>
        <v>#N/A</v>
      </c>
      <c r="V283" s="11" t="str">
        <f t="shared" si="8"/>
        <v>#N/A</v>
      </c>
      <c r="W283" s="11">
        <f t="shared" si="9"/>
        <v>16</v>
      </c>
      <c r="X283" s="11">
        <f t="shared" si="10"/>
        <v>-16</v>
      </c>
      <c r="Y283" s="11" t="str">
        <f>VLOOKUP($G283, SeanRanks!$A$2:$K$303, 10, FALSE)-V283</f>
        <v>#N/A</v>
      </c>
      <c r="Z283" s="29" t="str">
        <f>IF(VLOOKUP($G283, SeanRanks!$A$2:$H$303, 7, FALSE)=0, "", VLOOKUP($G283, SeanRanks!$A$2:$H$303, 7, FALSE))</f>
        <v>#N/A</v>
      </c>
    </row>
    <row r="284" ht="14.25" hidden="1" customHeight="1">
      <c r="A284" s="11"/>
      <c r="B284" s="11" t="str">
        <f t="shared" si="11"/>
        <v>#N/A</v>
      </c>
      <c r="C284" s="11" t="s">
        <v>106</v>
      </c>
      <c r="D284" s="11"/>
      <c r="E284" s="11"/>
      <c r="F284" s="11" t="str">
        <f>VLOOKUP(G284, SeanRanks!$A$2:$E$302, 4, FALSE)</f>
        <v>#N/A</v>
      </c>
      <c r="G284" s="11" t="s">
        <v>828</v>
      </c>
      <c r="H284" s="11" t="str">
        <f>VLOOKUP($G284, 'ADP Data'!$C$4:$Q$300, 2, FALSE)</f>
        <v>#N/A</v>
      </c>
      <c r="I284" s="11" t="str">
        <f>VLOOKUP(G284, 'ADP Data'!$C$4:$R$498, 12, FALSE)</f>
        <v>#N/A</v>
      </c>
      <c r="J284" s="11" t="str">
        <f>VLOOKUP($G284, SeanRanks!$A$2:$H$303, 5, FALSE)</f>
        <v>#N/A</v>
      </c>
      <c r="K284" s="11" t="str">
        <f>IF(VLOOKUP($G284, SeanRanks!$A$2:$H$303, 6, FALSE)=0, "", VLOOKUP($G284, SeanRanks!$A$2:$H$303, 6, FALSE))</f>
        <v>#N/A</v>
      </c>
      <c r="L284" s="11">
        <f t="shared" si="5"/>
        <v>16</v>
      </c>
      <c r="M284" s="11" t="str">
        <f>VLOOKUP($G284, 'ADP Data'!$C$4:$Q$300, 9, FALSE)</f>
        <v>#N/A</v>
      </c>
      <c r="N284" s="11" t="str">
        <f t="shared" si="6"/>
        <v>#N/A</v>
      </c>
      <c r="O284" s="11" t="str">
        <f>VLOOKUP($G284, 'ADP Data'!$C$4:$Q$300, 3, FALSE)</f>
        <v>#N/A</v>
      </c>
      <c r="P284" s="11" t="str">
        <f t="shared" si="7"/>
        <v>#N/A</v>
      </c>
      <c r="Q284" s="11" t="str">
        <f>VLOOKUP($G284, 'ADP Data'!$C$4:$Q$300, 4, FALSE)</f>
        <v>#N/A</v>
      </c>
      <c r="R284" s="11" t="str">
        <f>VLOOKUP($G284, 'ADP Data'!$C$4:$Q$300, 5, FALSE)</f>
        <v>#N/A</v>
      </c>
      <c r="S284" s="11" t="str">
        <f>VLOOKUP($G284, 'ADP Data'!$C$4:$Q$300, 6, FALSE)</f>
        <v>#N/A</v>
      </c>
      <c r="T284" s="11" t="str">
        <f>VLOOKUP($G284, 'ADP Data'!$C$4:$Q$300, 7, FALSE)</f>
        <v>#N/A</v>
      </c>
      <c r="U284" s="11" t="str">
        <f>VLOOKUP($G284, 'ADP Data'!$C$4:$Q$300, 8, FALSE)</f>
        <v>#N/A</v>
      </c>
      <c r="V284" s="11" t="str">
        <f t="shared" si="8"/>
        <v>#N/A</v>
      </c>
      <c r="W284" s="11">
        <f t="shared" si="9"/>
        <v>16</v>
      </c>
      <c r="X284" s="11">
        <f t="shared" si="10"/>
        <v>-16</v>
      </c>
      <c r="Y284" s="11" t="str">
        <f>VLOOKUP($G284, SeanRanks!$A$2:$K$303, 10, FALSE)-V284</f>
        <v>#N/A</v>
      </c>
      <c r="Z284" s="29" t="str">
        <f>IF(VLOOKUP($G284, SeanRanks!$A$2:$H$303, 7, FALSE)=0, "", VLOOKUP($G284, SeanRanks!$A$2:$H$303, 7, FALSE))</f>
        <v>#N/A</v>
      </c>
    </row>
    <row r="285" ht="14.25" hidden="1" customHeight="1">
      <c r="A285" s="11"/>
      <c r="B285" s="11" t="str">
        <f t="shared" si="11"/>
        <v>#N/A</v>
      </c>
      <c r="C285" s="11" t="s">
        <v>106</v>
      </c>
      <c r="D285" s="11"/>
      <c r="E285" s="11"/>
      <c r="F285" s="11" t="str">
        <f>VLOOKUP(G285, SeanRanks!$A$2:$E$302, 4, FALSE)</f>
        <v>#N/A</v>
      </c>
      <c r="G285" s="11" t="s">
        <v>979</v>
      </c>
      <c r="H285" s="11" t="str">
        <f>VLOOKUP($G285, 'ADP Data'!$C$4:$Q$300, 2, FALSE)</f>
        <v>#N/A</v>
      </c>
      <c r="I285" s="11" t="str">
        <f>VLOOKUP(G285, 'ADP Data'!$C$4:$R$498, 12, FALSE)</f>
        <v>#N/A</v>
      </c>
      <c r="J285" s="11" t="str">
        <f>VLOOKUP($G285, SeanRanks!$A$2:$H$303, 5, FALSE)</f>
        <v>#N/A</v>
      </c>
      <c r="K285" s="11" t="str">
        <f>IF(VLOOKUP($G285, SeanRanks!$A$2:$H$303, 6, FALSE)=0, "", VLOOKUP($G285, SeanRanks!$A$2:$H$303, 6, FALSE))</f>
        <v>#N/A</v>
      </c>
      <c r="L285" s="11">
        <f t="shared" si="5"/>
        <v>16</v>
      </c>
      <c r="M285" s="11" t="str">
        <f>VLOOKUP($G285, 'ADP Data'!$C$4:$Q$300, 9, FALSE)</f>
        <v>#N/A</v>
      </c>
      <c r="N285" s="11" t="str">
        <f t="shared" si="6"/>
        <v>#N/A</v>
      </c>
      <c r="O285" s="11" t="str">
        <f>VLOOKUP($G285, 'ADP Data'!$C$4:$Q$300, 3, FALSE)</f>
        <v>#N/A</v>
      </c>
      <c r="P285" s="11" t="str">
        <f t="shared" si="7"/>
        <v>#N/A</v>
      </c>
      <c r="Q285" s="11"/>
      <c r="R285" s="11"/>
      <c r="S285" s="11"/>
      <c r="T285" s="11"/>
      <c r="U285" s="11"/>
      <c r="V285" s="11" t="str">
        <f t="shared" si="8"/>
        <v>#N/A</v>
      </c>
      <c r="W285" s="11">
        <f t="shared" si="9"/>
        <v>16</v>
      </c>
      <c r="X285" s="11">
        <f t="shared" si="10"/>
        <v>-16</v>
      </c>
      <c r="Y285" s="11" t="str">
        <f>VLOOKUP($G285, SeanRanks!$A$2:$K$303, 10, FALSE)-V285</f>
        <v>#N/A</v>
      </c>
      <c r="Z285" s="29" t="str">
        <f>IF(VLOOKUP($G285, SeanRanks!$A$2:$H$303, 7, FALSE)=0, "", VLOOKUP($G285, SeanRanks!$A$2:$H$303, 7, FALSE))</f>
        <v>#N/A</v>
      </c>
    </row>
    <row r="286" ht="14.25" hidden="1" customHeight="1">
      <c r="A286" s="11"/>
      <c r="B286" s="11">
        <f t="shared" si="11"/>
        <v>13</v>
      </c>
      <c r="C286" s="11" t="s">
        <v>106</v>
      </c>
      <c r="D286" s="11"/>
      <c r="E286" s="11"/>
      <c r="F286" s="11" t="str">
        <f>VLOOKUP(G286, SeanRanks!$A$2:$E$302, 4, FALSE)</f>
        <v/>
      </c>
      <c r="G286" s="11" t="s">
        <v>810</v>
      </c>
      <c r="H286" s="11" t="str">
        <f>VLOOKUP($G286, 'ADP Data'!$C$4:$Q$300, 2, FALSE)</f>
        <v>MIN</v>
      </c>
      <c r="I286" s="11">
        <f>VLOOKUP(G286, 'ADP Data'!$C$4:$R$498, 12, FALSE)</f>
        <v>125</v>
      </c>
      <c r="J286" s="11" t="str">
        <f>VLOOKUP($G286, SeanRanks!$A$2:$H$303, 5, FALSE)</f>
        <v/>
      </c>
      <c r="K286" s="11" t="str">
        <f>IF(VLOOKUP($G286, SeanRanks!$A$2:$H$303, 6, FALSE)=0, "", VLOOKUP($G286, SeanRanks!$A$2:$H$303, 6, FALSE))</f>
        <v>QB3 - Not League Winner</v>
      </c>
      <c r="L286" s="11">
        <f t="shared" si="5"/>
        <v>19</v>
      </c>
      <c r="M286" s="11">
        <f>VLOOKUP($G286, 'ADP Data'!$C$4:$Q$300, 9, FALSE)</f>
        <v>146</v>
      </c>
      <c r="N286" s="11">
        <f t="shared" si="6"/>
        <v>1</v>
      </c>
      <c r="O286" s="11">
        <f>VLOOKUP($G286, 'ADP Data'!$C$4:$Q$300, 3, FALSE)</f>
        <v>152</v>
      </c>
      <c r="P286" s="11">
        <f t="shared" si="7"/>
        <v>-6</v>
      </c>
      <c r="Q286" s="11">
        <f>VLOOKUP($G286, 'ADP Data'!$C$4:$Q$300, 4, FALSE)</f>
        <v>138</v>
      </c>
      <c r="R286" s="11">
        <f>VLOOKUP($G286, 'ADP Data'!$C$4:$Q$300, 5, FALSE)</f>
        <v>157</v>
      </c>
      <c r="S286" s="11">
        <f>VLOOKUP($G286, 'ADP Data'!$C$4:$Q$300, 6, FALSE)</f>
        <v>139</v>
      </c>
      <c r="T286" s="11">
        <f>VLOOKUP($G286, 'ADP Data'!$C$4:$Q$300, 7, FALSE)</f>
        <v>135</v>
      </c>
      <c r="U286" s="11">
        <f>VLOOKUP($G286, 'ADP Data'!$C$4:$Q$300, 8, FALSE)</f>
        <v>154</v>
      </c>
      <c r="V286" s="11">
        <f t="shared" si="8"/>
        <v>145</v>
      </c>
      <c r="W286" s="11">
        <f t="shared" si="9"/>
        <v>19</v>
      </c>
      <c r="X286" s="11">
        <f t="shared" si="10"/>
        <v>-19</v>
      </c>
      <c r="Y286" s="11">
        <f>VLOOKUP($G286, SeanRanks!$A$2:$K$303, 10, FALSE)-V286</f>
        <v>-20</v>
      </c>
      <c r="Z286" s="29">
        <f>IF(VLOOKUP($G286, SeanRanks!$A$2:$H$303, 7, FALSE)=0, "", VLOOKUP($G286, SeanRanks!$A$2:$H$303, 7, FALSE))</f>
        <v>23</v>
      </c>
    </row>
    <row r="287" ht="14.25" hidden="1" customHeight="1">
      <c r="A287" s="11"/>
      <c r="B287" s="11" t="str">
        <f t="shared" si="11"/>
        <v>#N/A</v>
      </c>
      <c r="C287" s="11" t="s">
        <v>106</v>
      </c>
      <c r="D287" s="11"/>
      <c r="E287" s="11"/>
      <c r="F287" s="11" t="str">
        <f>VLOOKUP(G287, SeanRanks!$A$2:$E$302, 4, FALSE)</f>
        <v>#N/A</v>
      </c>
      <c r="G287" s="11" t="s">
        <v>714</v>
      </c>
      <c r="H287" s="11" t="str">
        <f>VLOOKUP($G287, 'ADP Data'!$C$4:$Q$300, 2, FALSE)</f>
        <v>#N/A</v>
      </c>
      <c r="I287" s="11" t="str">
        <f>VLOOKUP(G287, 'ADP Data'!$C$4:$R$498, 12, FALSE)</f>
        <v>#N/A</v>
      </c>
      <c r="J287" s="11" t="str">
        <f>VLOOKUP($G287, SeanRanks!$A$2:$H$303, 5, FALSE)</f>
        <v>#N/A</v>
      </c>
      <c r="K287" s="11" t="str">
        <f>IF(VLOOKUP($G287, SeanRanks!$A$2:$H$303, 6, FALSE)=0, "", VLOOKUP($G287, SeanRanks!$A$2:$H$303, 6, FALSE))</f>
        <v>#N/A</v>
      </c>
      <c r="L287" s="11">
        <f t="shared" si="5"/>
        <v>16</v>
      </c>
      <c r="M287" s="11" t="str">
        <f>VLOOKUP($G287, 'ADP Data'!$C$4:$Q$300, 9, FALSE)</f>
        <v>#N/A</v>
      </c>
      <c r="N287" s="11" t="str">
        <f t="shared" si="6"/>
        <v>#N/A</v>
      </c>
      <c r="O287" s="11" t="str">
        <f>VLOOKUP($G287, 'ADP Data'!$C$4:$Q$300, 3, FALSE)</f>
        <v>#N/A</v>
      </c>
      <c r="P287" s="11" t="str">
        <f t="shared" si="7"/>
        <v>#N/A</v>
      </c>
      <c r="Q287" s="11" t="str">
        <f>VLOOKUP($G287, 'ADP Data'!$C$4:$Q$300, 4, FALSE)</f>
        <v>#N/A</v>
      </c>
      <c r="R287" s="11" t="str">
        <f>VLOOKUP($G287, 'ADP Data'!$C$4:$Q$300, 5, FALSE)</f>
        <v>#N/A</v>
      </c>
      <c r="S287" s="11" t="str">
        <f>VLOOKUP($G287, 'ADP Data'!$C$4:$Q$300, 6, FALSE)</f>
        <v>#N/A</v>
      </c>
      <c r="T287" s="11" t="str">
        <f>VLOOKUP($G287, 'ADP Data'!$C$4:$Q$300, 7, FALSE)</f>
        <v>#N/A</v>
      </c>
      <c r="U287" s="11" t="str">
        <f>VLOOKUP($G287, 'ADP Data'!$C$4:$Q$300, 8, FALSE)</f>
        <v>#N/A</v>
      </c>
      <c r="V287" s="11" t="str">
        <f t="shared" si="8"/>
        <v>#N/A</v>
      </c>
      <c r="W287" s="11">
        <f t="shared" si="9"/>
        <v>16</v>
      </c>
      <c r="X287" s="11">
        <f t="shared" si="10"/>
        <v>-16</v>
      </c>
      <c r="Y287" s="11" t="str">
        <f>VLOOKUP($G287, SeanRanks!$A$2:$K$303, 10, FALSE)-V287</f>
        <v>#N/A</v>
      </c>
      <c r="Z287" s="29" t="str">
        <f>IF(VLOOKUP($G287, SeanRanks!$A$2:$H$303, 7, FALSE)=0, "", VLOOKUP($G287, SeanRanks!$A$2:$H$303, 7, FALSE))</f>
        <v>#N/A</v>
      </c>
    </row>
    <row r="288" ht="14.25" hidden="1" customHeight="1">
      <c r="A288" s="11"/>
      <c r="B288" s="11" t="str">
        <f t="shared" si="11"/>
        <v>#N/A</v>
      </c>
      <c r="C288" s="11" t="s">
        <v>106</v>
      </c>
      <c r="D288" s="11"/>
      <c r="E288" s="11"/>
      <c r="F288" s="11" t="str">
        <f>VLOOKUP(G288, SeanRanks!$A$2:$E$302, 4, FALSE)</f>
        <v>#N/A</v>
      </c>
      <c r="G288" s="11" t="s">
        <v>981</v>
      </c>
      <c r="H288" s="11" t="str">
        <f>VLOOKUP($G288, 'ADP Data'!$C$4:$Q$300, 2, FALSE)</f>
        <v>#N/A</v>
      </c>
      <c r="I288" s="11" t="str">
        <f>VLOOKUP(G288, 'ADP Data'!$C$4:$R$498, 12, FALSE)</f>
        <v>#N/A</v>
      </c>
      <c r="J288" s="11" t="str">
        <f>VLOOKUP($G288, SeanRanks!$A$2:$H$303, 5, FALSE)</f>
        <v>#N/A</v>
      </c>
      <c r="K288" s="11" t="str">
        <f>IF(VLOOKUP($G288, SeanRanks!$A$2:$H$303, 6, FALSE)=0, "", VLOOKUP($G288, SeanRanks!$A$2:$H$303, 6, FALSE))</f>
        <v>#N/A</v>
      </c>
      <c r="L288" s="11">
        <f t="shared" si="5"/>
        <v>16</v>
      </c>
      <c r="M288" s="11" t="str">
        <f>VLOOKUP($G288, 'ADP Data'!$C$4:$Q$300, 9, FALSE)</f>
        <v>#N/A</v>
      </c>
      <c r="N288" s="11" t="str">
        <f t="shared" si="6"/>
        <v>#N/A</v>
      </c>
      <c r="O288" s="11" t="str">
        <f>VLOOKUP($G288, 'ADP Data'!$C$4:$Q$300, 3, FALSE)</f>
        <v>#N/A</v>
      </c>
      <c r="P288" s="11" t="str">
        <f t="shared" si="7"/>
        <v>#N/A</v>
      </c>
      <c r="Q288" s="11" t="str">
        <f>VLOOKUP($G288, 'ADP Data'!$C$4:$Q$300, 4, FALSE)</f>
        <v>#N/A</v>
      </c>
      <c r="R288" s="11" t="str">
        <f>VLOOKUP($G288, 'ADP Data'!$C$4:$Q$300, 5, FALSE)</f>
        <v>#N/A</v>
      </c>
      <c r="S288" s="11" t="str">
        <f>VLOOKUP($G288, 'ADP Data'!$C$4:$Q$300, 6, FALSE)</f>
        <v>#N/A</v>
      </c>
      <c r="T288" s="11" t="str">
        <f>VLOOKUP($G288, 'ADP Data'!$C$4:$Q$300, 7, FALSE)</f>
        <v>#N/A</v>
      </c>
      <c r="U288" s="11" t="str">
        <f>VLOOKUP($G288, 'ADP Data'!$C$4:$Q$300, 8, FALSE)</f>
        <v>#N/A</v>
      </c>
      <c r="V288" s="11" t="str">
        <f t="shared" si="8"/>
        <v>#N/A</v>
      </c>
      <c r="W288" s="11">
        <f t="shared" si="9"/>
        <v>16</v>
      </c>
      <c r="X288" s="11">
        <f t="shared" si="10"/>
        <v>-16</v>
      </c>
      <c r="Y288" s="11" t="str">
        <f>VLOOKUP($G288, SeanRanks!$A$2:$K$303, 10, FALSE)-V288</f>
        <v>#N/A</v>
      </c>
      <c r="Z288" s="29" t="str">
        <f>IF(VLOOKUP($G288, SeanRanks!$A$2:$H$303, 7, FALSE)=0, "", VLOOKUP($G288, SeanRanks!$A$2:$H$303, 7, FALSE))</f>
        <v>#N/A</v>
      </c>
    </row>
    <row r="289" ht="14.25" hidden="1" customHeight="1">
      <c r="A289" s="11"/>
      <c r="B289" s="11" t="str">
        <f t="shared" si="11"/>
        <v>#N/A</v>
      </c>
      <c r="C289" s="11" t="s">
        <v>106</v>
      </c>
      <c r="D289" s="11"/>
      <c r="E289" s="11"/>
      <c r="F289" s="11" t="str">
        <f>VLOOKUP(G289, SeanRanks!$A$2:$E$302, 4, FALSE)</f>
        <v>#N/A</v>
      </c>
      <c r="G289" s="11" t="s">
        <v>982</v>
      </c>
      <c r="H289" s="11" t="str">
        <f>VLOOKUP($G289, 'ADP Data'!$C$4:$Q$300, 2, FALSE)</f>
        <v>#N/A</v>
      </c>
      <c r="I289" s="11" t="str">
        <f>VLOOKUP(G289, 'ADP Data'!$C$4:$R$498, 12, FALSE)</f>
        <v>#N/A</v>
      </c>
      <c r="J289" s="11" t="str">
        <f>VLOOKUP($G289, SeanRanks!$A$2:$H$303, 5, FALSE)</f>
        <v>#N/A</v>
      </c>
      <c r="K289" s="11" t="str">
        <f>IF(VLOOKUP($G289, SeanRanks!$A$2:$H$303, 6, FALSE)=0, "", VLOOKUP($G289, SeanRanks!$A$2:$H$303, 6, FALSE))</f>
        <v>#N/A</v>
      </c>
      <c r="L289" s="11">
        <f t="shared" si="5"/>
        <v>16</v>
      </c>
      <c r="M289" s="11" t="str">
        <f>VLOOKUP($G289, 'ADP Data'!$C$4:$Q$300, 9, FALSE)</f>
        <v>#N/A</v>
      </c>
      <c r="N289" s="11" t="str">
        <f t="shared" si="6"/>
        <v>#N/A</v>
      </c>
      <c r="O289" s="11" t="str">
        <f>VLOOKUP($G289, 'ADP Data'!$C$4:$Q$300, 3, FALSE)</f>
        <v>#N/A</v>
      </c>
      <c r="P289" s="11" t="str">
        <f t="shared" si="7"/>
        <v>#N/A</v>
      </c>
      <c r="Q289" s="11" t="str">
        <f>VLOOKUP($G289, 'ADP Data'!$C$4:$Q$300, 4, FALSE)</f>
        <v>#N/A</v>
      </c>
      <c r="R289" s="11" t="str">
        <f>VLOOKUP($G289, 'ADP Data'!$C$4:$Q$300, 5, FALSE)</f>
        <v>#N/A</v>
      </c>
      <c r="S289" s="11" t="str">
        <f>VLOOKUP($G289, 'ADP Data'!$C$4:$Q$300, 6, FALSE)</f>
        <v>#N/A</v>
      </c>
      <c r="T289" s="11" t="str">
        <f>VLOOKUP($G289, 'ADP Data'!$C$4:$Q$300, 7, FALSE)</f>
        <v>#N/A</v>
      </c>
      <c r="U289" s="11" t="str">
        <f>VLOOKUP($G289, 'ADP Data'!$C$4:$Q$300, 8, FALSE)</f>
        <v>#N/A</v>
      </c>
      <c r="V289" s="11" t="str">
        <f t="shared" si="8"/>
        <v>#N/A</v>
      </c>
      <c r="W289" s="11">
        <f t="shared" si="9"/>
        <v>16</v>
      </c>
      <c r="X289" s="11">
        <f t="shared" si="10"/>
        <v>-16</v>
      </c>
      <c r="Y289" s="11" t="str">
        <f>VLOOKUP($G289, SeanRanks!$A$2:$K$303, 10, FALSE)-V289</f>
        <v>#N/A</v>
      </c>
      <c r="Z289" s="29" t="str">
        <f>IF(VLOOKUP($G289, SeanRanks!$A$2:$H$303, 7, FALSE)=0, "", VLOOKUP($G289, SeanRanks!$A$2:$H$303, 7, FALSE))</f>
        <v>#N/A</v>
      </c>
    </row>
    <row r="290" ht="14.25" hidden="1" customHeight="1">
      <c r="A290" s="11"/>
      <c r="B290" s="11">
        <f t="shared" si="11"/>
        <v>12</v>
      </c>
      <c r="C290" s="11" t="s">
        <v>106</v>
      </c>
      <c r="D290" s="11"/>
      <c r="E290" s="11"/>
      <c r="F290" s="11" t="str">
        <f>VLOOKUP(G290, SeanRanks!$A$2:$E$302, 4, FALSE)</f>
        <v/>
      </c>
      <c r="G290" s="11" t="s">
        <v>586</v>
      </c>
      <c r="H290" s="11" t="str">
        <f>VLOOKUP($G290, 'ADP Data'!$C$4:$Q$300, 2, FALSE)</f>
        <v>LAC</v>
      </c>
      <c r="I290" s="11" t="str">
        <f>VLOOKUP(G290, 'ADP Data'!$C$4:$R$498, 12, FALSE)</f>
        <v>-</v>
      </c>
      <c r="J290" s="11" t="str">
        <f>VLOOKUP($G290, SeanRanks!$A$2:$H$303, 5, FALSE)</f>
        <v/>
      </c>
      <c r="K290" s="11" t="str">
        <f>IF(VLOOKUP($G290, SeanRanks!$A$2:$H$303, 6, FALSE)=0, "", VLOOKUP($G290, SeanRanks!$A$2:$H$303, 6, FALSE))</f>
        <v/>
      </c>
      <c r="L290" s="11">
        <f t="shared" si="5"/>
        <v>17</v>
      </c>
      <c r="M290" s="11">
        <f>VLOOKUP($G290, 'ADP Data'!$C$4:$Q$300, 9, FALSE)</f>
        <v>132</v>
      </c>
      <c r="N290" s="11">
        <f t="shared" si="6"/>
        <v>-12</v>
      </c>
      <c r="O290" s="11">
        <f>VLOOKUP($G290, 'ADP Data'!$C$4:$Q$300, 3, FALSE)</f>
        <v>157</v>
      </c>
      <c r="P290" s="11">
        <f t="shared" si="7"/>
        <v>-25</v>
      </c>
      <c r="Q290" s="11"/>
      <c r="R290" s="11"/>
      <c r="S290" s="11"/>
      <c r="T290" s="11"/>
      <c r="U290" s="11"/>
      <c r="V290" s="11">
        <f t="shared" si="8"/>
        <v>144</v>
      </c>
      <c r="W290" s="11">
        <f t="shared" si="9"/>
        <v>19</v>
      </c>
      <c r="X290" s="11">
        <f t="shared" si="10"/>
        <v>-19</v>
      </c>
      <c r="Y290" s="11">
        <f>VLOOKUP($G290, SeanRanks!$A$2:$K$303, 10, FALSE)-V290</f>
        <v>49</v>
      </c>
      <c r="Z290" s="29" t="str">
        <f>IF(VLOOKUP($G290, SeanRanks!$A$2:$H$303, 7, FALSE)=0, "", VLOOKUP($G290, SeanRanks!$A$2:$H$303, 7, FALSE))</f>
        <v/>
      </c>
    </row>
    <row r="291" ht="14.25" hidden="1" customHeight="1">
      <c r="A291" s="11"/>
      <c r="B291" s="11" t="str">
        <f t="shared" si="11"/>
        <v>#N/A</v>
      </c>
      <c r="C291" s="11" t="s">
        <v>106</v>
      </c>
      <c r="D291" s="11"/>
      <c r="E291" s="11"/>
      <c r="F291" s="11" t="str">
        <f>VLOOKUP(G291, SeanRanks!$A$2:$E$302, 4, FALSE)</f>
        <v>#N/A</v>
      </c>
      <c r="G291" s="11" t="s">
        <v>983</v>
      </c>
      <c r="H291" s="11" t="str">
        <f>VLOOKUP($G291, 'ADP Data'!$C$4:$Q$300, 2, FALSE)</f>
        <v>#N/A</v>
      </c>
      <c r="I291" s="11" t="str">
        <f>VLOOKUP(G291, 'ADP Data'!$C$4:$R$498, 12, FALSE)</f>
        <v>#N/A</v>
      </c>
      <c r="J291" s="11" t="str">
        <f>VLOOKUP($G291, SeanRanks!$A$2:$H$303, 5, FALSE)</f>
        <v>#N/A</v>
      </c>
      <c r="K291" s="11" t="str">
        <f>IF(VLOOKUP($G291, SeanRanks!$A$2:$H$303, 6, FALSE)=0, "", VLOOKUP($G291, SeanRanks!$A$2:$H$303, 6, FALSE))</f>
        <v>#N/A</v>
      </c>
      <c r="L291" s="11">
        <f t="shared" si="5"/>
        <v>16</v>
      </c>
      <c r="M291" s="11" t="str">
        <f>VLOOKUP($G291, 'ADP Data'!$C$4:$Q$300, 9, FALSE)</f>
        <v>#N/A</v>
      </c>
      <c r="N291" s="11" t="str">
        <f t="shared" si="6"/>
        <v>#N/A</v>
      </c>
      <c r="O291" s="11" t="str">
        <f>VLOOKUP($G291, 'ADP Data'!$C$4:$Q$300, 3, FALSE)</f>
        <v>#N/A</v>
      </c>
      <c r="P291" s="11" t="str">
        <f t="shared" si="7"/>
        <v>#N/A</v>
      </c>
      <c r="Q291" s="11"/>
      <c r="R291" s="11"/>
      <c r="S291" s="11"/>
      <c r="T291" s="11"/>
      <c r="U291" s="11"/>
      <c r="V291" s="11" t="str">
        <f t="shared" si="8"/>
        <v>#N/A</v>
      </c>
      <c r="W291" s="11">
        <f t="shared" si="9"/>
        <v>16</v>
      </c>
      <c r="X291" s="11">
        <f t="shared" si="10"/>
        <v>-16</v>
      </c>
      <c r="Y291" s="11" t="str">
        <f>VLOOKUP($G291, SeanRanks!$A$2:$K$303, 10, FALSE)-V291</f>
        <v>#N/A</v>
      </c>
      <c r="Z291" s="29" t="str">
        <f>IF(VLOOKUP($G291, SeanRanks!$A$2:$H$303, 7, FALSE)=0, "", VLOOKUP($G291, SeanRanks!$A$2:$H$303, 7, FALSE))</f>
        <v>#N/A</v>
      </c>
    </row>
    <row r="292" ht="14.25" hidden="1" customHeight="1">
      <c r="A292" s="11"/>
      <c r="B292" s="11">
        <f t="shared" si="11"/>
        <v>22</v>
      </c>
      <c r="C292" s="11" t="s">
        <v>106</v>
      </c>
      <c r="D292" s="11"/>
      <c r="E292" s="11"/>
      <c r="F292" s="11" t="str">
        <f>VLOOKUP(G292, SeanRanks!$A$2:$E$302, 4, FALSE)</f>
        <v>#N/A</v>
      </c>
      <c r="G292" s="11" t="s">
        <v>984</v>
      </c>
      <c r="H292" s="11" t="str">
        <f>VLOOKUP($G292, 'ADP Data'!$C$4:$Q$300, 2, FALSE)</f>
        <v>WAS</v>
      </c>
      <c r="I292" s="11" t="str">
        <f>VLOOKUP(G292, 'ADP Data'!$C$4:$R$498, 12, FALSE)</f>
        <v>-</v>
      </c>
      <c r="J292" s="11" t="str">
        <f>VLOOKUP($G292, SeanRanks!$A$2:$H$303, 5, FALSE)</f>
        <v>#N/A</v>
      </c>
      <c r="K292" s="11" t="str">
        <f>IF(VLOOKUP($G292, SeanRanks!$A$2:$H$303, 6, FALSE)=0, "", VLOOKUP($G292, SeanRanks!$A$2:$H$303, 6, FALSE))</f>
        <v>#N/A</v>
      </c>
      <c r="L292" s="11">
        <f t="shared" si="5"/>
        <v>33</v>
      </c>
      <c r="M292" s="11">
        <f>VLOOKUP($G292, 'ADP Data'!$C$4:$Q$300, 9, FALSE)</f>
        <v>257</v>
      </c>
      <c r="N292" s="11">
        <f t="shared" si="6"/>
        <v>52</v>
      </c>
      <c r="O292" s="11">
        <f>VLOOKUP($G292, 'ADP Data'!$C$4:$Q$300, 3, FALSE)</f>
        <v>153</v>
      </c>
      <c r="P292" s="11">
        <f t="shared" si="7"/>
        <v>104</v>
      </c>
      <c r="Q292" s="11"/>
      <c r="R292" s="11"/>
      <c r="S292" s="11"/>
      <c r="T292" s="11"/>
      <c r="U292" s="11"/>
      <c r="V292" s="11">
        <f t="shared" si="8"/>
        <v>205</v>
      </c>
      <c r="W292" s="11">
        <f t="shared" si="9"/>
        <v>26</v>
      </c>
      <c r="X292" s="11">
        <f t="shared" si="10"/>
        <v>-26</v>
      </c>
      <c r="Y292" s="11" t="str">
        <f>VLOOKUP($G292, SeanRanks!$A$2:$K$303, 10, FALSE)-V292</f>
        <v>#N/A</v>
      </c>
      <c r="Z292" s="29" t="str">
        <f>IF(VLOOKUP($G292, SeanRanks!$A$2:$H$303, 7, FALSE)=0, "", VLOOKUP($G292, SeanRanks!$A$2:$H$303, 7, FALSE))</f>
        <v>#N/A</v>
      </c>
    </row>
    <row r="293" ht="14.25" hidden="1" customHeight="1">
      <c r="A293" s="11"/>
      <c r="B293" s="11" t="str">
        <f t="shared" si="11"/>
        <v>#N/A</v>
      </c>
      <c r="C293" s="11" t="s">
        <v>106</v>
      </c>
      <c r="D293" s="11"/>
      <c r="E293" s="11"/>
      <c r="F293" s="11" t="str">
        <f>VLOOKUP(G293, SeanRanks!$A$2:$E$302, 4, FALSE)</f>
        <v>#N/A</v>
      </c>
      <c r="G293" s="11" t="s">
        <v>582</v>
      </c>
      <c r="H293" s="11" t="str">
        <f>VLOOKUP($G293, 'ADP Data'!$C$4:$Q$300, 2, FALSE)</f>
        <v>#N/A</v>
      </c>
      <c r="I293" s="11" t="str">
        <f>VLOOKUP(G293, 'ADP Data'!$C$4:$R$498, 12, FALSE)</f>
        <v>#N/A</v>
      </c>
      <c r="J293" s="11" t="str">
        <f>VLOOKUP($G293, SeanRanks!$A$2:$H$303, 5, FALSE)</f>
        <v>#N/A</v>
      </c>
      <c r="K293" s="11" t="str">
        <f>IF(VLOOKUP($G293, SeanRanks!$A$2:$H$303, 6, FALSE)=0, "", VLOOKUP($G293, SeanRanks!$A$2:$H$303, 6, FALSE))</f>
        <v>#N/A</v>
      </c>
      <c r="L293" s="11">
        <f t="shared" si="5"/>
        <v>16</v>
      </c>
      <c r="M293" s="11" t="str">
        <f>VLOOKUP($G293, 'ADP Data'!$C$4:$Q$300, 9, FALSE)</f>
        <v>#N/A</v>
      </c>
      <c r="N293" s="11" t="str">
        <f t="shared" si="6"/>
        <v>#N/A</v>
      </c>
      <c r="O293" s="11" t="str">
        <f>VLOOKUP($G293, 'ADP Data'!$C$4:$Q$300, 3, FALSE)</f>
        <v>#N/A</v>
      </c>
      <c r="P293" s="11" t="str">
        <f t="shared" si="7"/>
        <v>#N/A</v>
      </c>
      <c r="Q293" s="11"/>
      <c r="R293" s="11"/>
      <c r="S293" s="11"/>
      <c r="T293" s="11"/>
      <c r="U293" s="11"/>
      <c r="V293" s="11" t="str">
        <f t="shared" si="8"/>
        <v>#N/A</v>
      </c>
      <c r="W293" s="11">
        <f t="shared" si="9"/>
        <v>16</v>
      </c>
      <c r="X293" s="11">
        <f t="shared" si="10"/>
        <v>-16</v>
      </c>
      <c r="Y293" s="11" t="str">
        <f>VLOOKUP($G293, SeanRanks!$A$2:$K$303, 10, FALSE)-V293</f>
        <v>#N/A</v>
      </c>
      <c r="Z293" s="29" t="str">
        <f>IF(VLOOKUP($G293, SeanRanks!$A$2:$H$303, 7, FALSE)=0, "", VLOOKUP($G293, SeanRanks!$A$2:$H$303, 7, FALSE))</f>
        <v>#N/A</v>
      </c>
    </row>
    <row r="294" ht="14.25" hidden="1" customHeight="1">
      <c r="A294" s="11"/>
      <c r="B294" s="11" t="str">
        <f t="shared" si="11"/>
        <v>#N/A</v>
      </c>
      <c r="C294" s="11" t="s">
        <v>106</v>
      </c>
      <c r="D294" s="11"/>
      <c r="E294" s="11"/>
      <c r="F294" s="11" t="str">
        <f>VLOOKUP(G294, SeanRanks!$A$2:$E$302, 4, FALSE)</f>
        <v>#N/A</v>
      </c>
      <c r="G294" s="11" t="s">
        <v>985</v>
      </c>
      <c r="H294" s="11" t="str">
        <f>VLOOKUP($G294, 'ADP Data'!$C$4:$Q$300, 2, FALSE)</f>
        <v>#N/A</v>
      </c>
      <c r="I294" s="11" t="str">
        <f>VLOOKUP(G294, 'ADP Data'!$C$4:$R$498, 12, FALSE)</f>
        <v>#N/A</v>
      </c>
      <c r="J294" s="11" t="str">
        <f>VLOOKUP($G294, SeanRanks!$A$2:$H$303, 5, FALSE)</f>
        <v>#N/A</v>
      </c>
      <c r="K294" s="11" t="str">
        <f>IF(VLOOKUP($G294, SeanRanks!$A$2:$H$303, 6, FALSE)=0, "", VLOOKUP($G294, SeanRanks!$A$2:$H$303, 6, FALSE))</f>
        <v>#N/A</v>
      </c>
      <c r="L294" s="11">
        <f t="shared" si="5"/>
        <v>16</v>
      </c>
      <c r="M294" s="11" t="str">
        <f>VLOOKUP($G294, 'ADP Data'!$C$4:$Q$300, 9, FALSE)</f>
        <v>#N/A</v>
      </c>
      <c r="N294" s="11" t="str">
        <f t="shared" si="6"/>
        <v>#N/A</v>
      </c>
      <c r="O294" s="11" t="str">
        <f>VLOOKUP($G294, 'ADP Data'!$C$4:$Q$300, 3, FALSE)</f>
        <v>#N/A</v>
      </c>
      <c r="P294" s="11" t="str">
        <f t="shared" si="7"/>
        <v>#N/A</v>
      </c>
      <c r="Q294" s="11"/>
      <c r="R294" s="11"/>
      <c r="S294" s="11"/>
      <c r="T294" s="11"/>
      <c r="U294" s="11"/>
      <c r="V294" s="11" t="str">
        <f t="shared" si="8"/>
        <v>#N/A</v>
      </c>
      <c r="W294" s="11">
        <f t="shared" si="9"/>
        <v>16</v>
      </c>
      <c r="X294" s="11">
        <f t="shared" si="10"/>
        <v>-16</v>
      </c>
      <c r="Y294" s="11" t="str">
        <f>VLOOKUP($G294, SeanRanks!$A$2:$K$303, 10, FALSE)-V294</f>
        <v>#N/A</v>
      </c>
      <c r="Z294" s="29" t="str">
        <f>IF(VLOOKUP($G294, SeanRanks!$A$2:$H$303, 7, FALSE)=0, "", VLOOKUP($G294, SeanRanks!$A$2:$H$303, 7, FALSE))</f>
        <v>#N/A</v>
      </c>
    </row>
    <row r="295" ht="14.25" hidden="1" customHeight="1">
      <c r="A295" s="11"/>
      <c r="B295" s="11" t="str">
        <f t="shared" si="11"/>
        <v>#N/A</v>
      </c>
      <c r="C295" s="11" t="s">
        <v>106</v>
      </c>
      <c r="D295" s="11"/>
      <c r="E295" s="11"/>
      <c r="F295" s="11" t="str">
        <f>VLOOKUP(G295, SeanRanks!$A$2:$E$302, 4, FALSE)</f>
        <v>#N/A</v>
      </c>
      <c r="G295" s="11" t="s">
        <v>986</v>
      </c>
      <c r="H295" s="11" t="str">
        <f>VLOOKUP($G295, 'ADP Data'!$C$4:$Q$300, 2, FALSE)</f>
        <v>#N/A</v>
      </c>
      <c r="I295" s="11" t="str">
        <f>VLOOKUP(G295, 'ADP Data'!$C$4:$R$498, 12, FALSE)</f>
        <v>#N/A</v>
      </c>
      <c r="J295" s="11" t="str">
        <f>VLOOKUP($G295, SeanRanks!$A$2:$H$303, 5, FALSE)</f>
        <v>#N/A</v>
      </c>
      <c r="K295" s="11" t="str">
        <f>IF(VLOOKUP($G295, SeanRanks!$A$2:$H$303, 6, FALSE)=0, "", VLOOKUP($G295, SeanRanks!$A$2:$H$303, 6, FALSE))</f>
        <v>#N/A</v>
      </c>
      <c r="L295" s="11">
        <f t="shared" si="5"/>
        <v>16</v>
      </c>
      <c r="M295" s="11" t="str">
        <f>VLOOKUP($G295, 'ADP Data'!$C$4:$Q$300, 9, FALSE)</f>
        <v>#N/A</v>
      </c>
      <c r="N295" s="11" t="str">
        <f t="shared" si="6"/>
        <v>#N/A</v>
      </c>
      <c r="O295" s="11" t="str">
        <f>VLOOKUP($G295, 'ADP Data'!$C$4:$Q$300, 3, FALSE)</f>
        <v>#N/A</v>
      </c>
      <c r="P295" s="11" t="str">
        <f t="shared" si="7"/>
        <v>#N/A</v>
      </c>
      <c r="Q295" s="11" t="str">
        <f>VLOOKUP($G295, 'ADP Data'!$C$4:$Q$300, 4, FALSE)</f>
        <v>#N/A</v>
      </c>
      <c r="R295" s="11" t="str">
        <f>VLOOKUP($G295, 'ADP Data'!$C$4:$Q$300, 5, FALSE)</f>
        <v>#N/A</v>
      </c>
      <c r="S295" s="11" t="str">
        <f>VLOOKUP($G295, 'ADP Data'!$C$4:$Q$300, 6, FALSE)</f>
        <v>#N/A</v>
      </c>
      <c r="T295" s="11" t="str">
        <f>VLOOKUP($G295, 'ADP Data'!$C$4:$Q$300, 7, FALSE)</f>
        <v>#N/A</v>
      </c>
      <c r="U295" s="11" t="str">
        <f>VLOOKUP($G295, 'ADP Data'!$C$4:$Q$300, 8, FALSE)</f>
        <v>#N/A</v>
      </c>
      <c r="V295" s="11" t="str">
        <f t="shared" si="8"/>
        <v>#N/A</v>
      </c>
      <c r="W295" s="11">
        <f t="shared" si="9"/>
        <v>16</v>
      </c>
      <c r="X295" s="11">
        <f t="shared" si="10"/>
        <v>-16</v>
      </c>
      <c r="Y295" s="11" t="str">
        <f>VLOOKUP($G295, SeanRanks!$A$2:$K$303, 10, FALSE)-V295</f>
        <v>#N/A</v>
      </c>
      <c r="Z295" s="29" t="str">
        <f>IF(VLOOKUP($G295, SeanRanks!$A$2:$H$303, 7, FALSE)=0, "", VLOOKUP($G295, SeanRanks!$A$2:$H$303, 7, FALSE))</f>
        <v>#N/A</v>
      </c>
    </row>
    <row r="296" ht="14.25" hidden="1" customHeight="1">
      <c r="A296" s="11"/>
      <c r="B296" s="11"/>
      <c r="C296" s="11" t="s">
        <v>106</v>
      </c>
      <c r="D296" s="11"/>
      <c r="E296" s="11"/>
      <c r="F296" s="11" t="str">
        <f>VLOOKUP(G296, SeanRanks!$A$2:$E$302, 4, FALSE)</f>
        <v>#N/A</v>
      </c>
      <c r="G296" s="11" t="s">
        <v>987</v>
      </c>
      <c r="H296" s="11" t="str">
        <f>VLOOKUP($G296, 'ADP Data'!$C$4:$Q$300, 2, FALSE)</f>
        <v>#N/A</v>
      </c>
      <c r="I296" s="11" t="str">
        <f>VLOOKUP(G296, 'ADP Data'!$C$4:$R$498, 12, FALSE)</f>
        <v>#N/A</v>
      </c>
      <c r="J296" s="11" t="str">
        <f>VLOOKUP($G296, SeanRanks!$A$2:$H$303, 5, FALSE)</f>
        <v>#N/A</v>
      </c>
      <c r="K296" s="11" t="str">
        <f>IF(VLOOKUP($G296, SeanRanks!$A$2:$H$303, 6, FALSE)=0, "", VLOOKUP($G296, SeanRanks!$A$2:$H$303, 6, FALSE))</f>
        <v>#N/A</v>
      </c>
      <c r="L296" s="11">
        <f t="shared" si="5"/>
        <v>16</v>
      </c>
      <c r="M296" s="11" t="str">
        <f>VLOOKUP($G296, 'ADP Data'!$C$4:$Q$300, 9, FALSE)</f>
        <v>#N/A</v>
      </c>
      <c r="N296" s="11" t="str">
        <f t="shared" si="6"/>
        <v>#N/A</v>
      </c>
      <c r="O296" s="11" t="str">
        <f>VLOOKUP($G296, 'ADP Data'!$C$4:$Q$300, 3, FALSE)</f>
        <v>#N/A</v>
      </c>
      <c r="P296" s="11" t="str">
        <f t="shared" si="7"/>
        <v>#N/A</v>
      </c>
      <c r="Q296" s="11" t="str">
        <f>VLOOKUP($G296, 'ADP Data'!$C$4:$Q$300, 4, FALSE)</f>
        <v>#N/A</v>
      </c>
      <c r="R296" s="11" t="str">
        <f>VLOOKUP($G296, 'ADP Data'!$C$4:$Q$300, 5, FALSE)</f>
        <v>#N/A</v>
      </c>
      <c r="S296" s="11" t="str">
        <f>VLOOKUP($G296, 'ADP Data'!$C$4:$Q$300, 6, FALSE)</f>
        <v>#N/A</v>
      </c>
      <c r="T296" s="11" t="str">
        <f>VLOOKUP($G296, 'ADP Data'!$C$4:$Q$300, 7, FALSE)</f>
        <v>#N/A</v>
      </c>
      <c r="U296" s="11" t="str">
        <f>VLOOKUP($G296, 'ADP Data'!$C$4:$Q$300, 8, FALSE)</f>
        <v>#N/A</v>
      </c>
      <c r="V296" s="11" t="str">
        <f t="shared" si="8"/>
        <v>#N/A</v>
      </c>
      <c r="W296" s="11">
        <f t="shared" si="9"/>
        <v>16</v>
      </c>
      <c r="X296" s="11">
        <f t="shared" si="10"/>
        <v>-16</v>
      </c>
      <c r="Y296" s="11" t="str">
        <f>VLOOKUP($G296, SeanRanks!$A$2:$K$303, 10, FALSE)-V296</f>
        <v>#N/A</v>
      </c>
      <c r="Z296" s="29" t="str">
        <f>IF(VLOOKUP($G296, SeanRanks!$A$2:$H$303, 7, FALSE)=0, "", VLOOKUP($G296, SeanRanks!$A$2:$H$303, 7, FALSE))</f>
        <v>#N/A</v>
      </c>
    </row>
    <row r="297" ht="14.25" hidden="1" customHeight="1">
      <c r="A297" s="11"/>
      <c r="B297" s="11">
        <f>IFERROR(INT(AVERAGE(Q297:U297)/12)+1, INT(AVERAGE(M297)/12)+1)</f>
        <v>23</v>
      </c>
      <c r="C297" s="11" t="s">
        <v>106</v>
      </c>
      <c r="D297" s="11"/>
      <c r="E297" s="11"/>
      <c r="F297" s="11" t="str">
        <f>VLOOKUP(G297, SeanRanks!$A$2:$E$302, 4, FALSE)</f>
        <v/>
      </c>
      <c r="G297" s="11" t="s">
        <v>827</v>
      </c>
      <c r="H297" s="11" t="str">
        <f>VLOOKUP($G297, 'ADP Data'!$C$4:$Q$300, 2, FALSE)</f>
        <v>NYG</v>
      </c>
      <c r="I297" s="11">
        <f>VLOOKUP(G297, 'ADP Data'!$C$4:$R$498, 12, FALSE)</f>
        <v>207</v>
      </c>
      <c r="J297" s="11" t="str">
        <f>VLOOKUP($G297, SeanRanks!$A$2:$H$303, 5, FALSE)</f>
        <v/>
      </c>
      <c r="K297" s="11" t="str">
        <f>IF(VLOOKUP($G297, SeanRanks!$A$2:$H$303, 6, FALSE)=0, "", VLOOKUP($G297, SeanRanks!$A$2:$H$303, 6, FALSE))</f>
        <v/>
      </c>
      <c r="L297" s="11">
        <f t="shared" si="5"/>
        <v>34</v>
      </c>
      <c r="M297" s="11">
        <f>VLOOKUP($G297, 'ADP Data'!$C$4:$Q$300, 9, FALSE)</f>
        <v>267</v>
      </c>
      <c r="N297" s="11">
        <f t="shared" si="6"/>
        <v>1</v>
      </c>
      <c r="O297" s="11" t="str">
        <f>VLOOKUP($G297, 'ADP Data'!$C$4:$Q$300, 3, FALSE)</f>
        <v>-</v>
      </c>
      <c r="P297" s="11" t="str">
        <f t="shared" si="7"/>
        <v>#VALUE!</v>
      </c>
      <c r="Q297" s="11" t="str">
        <f>VLOOKUP($G297, 'ADP Data'!$C$4:$Q$300, 4, FALSE)</f>
        <v>-</v>
      </c>
      <c r="R297" s="11">
        <f>VLOOKUP($G297, 'ADP Data'!$C$4:$Q$300, 5, FALSE)</f>
        <v>328</v>
      </c>
      <c r="S297" s="11">
        <f>VLOOKUP($G297, 'ADP Data'!$C$4:$Q$300, 6, FALSE)</f>
        <v>201</v>
      </c>
      <c r="T297" s="11">
        <f>VLOOKUP($G297, 'ADP Data'!$C$4:$Q$300, 7, FALSE)</f>
        <v>243</v>
      </c>
      <c r="U297" s="11">
        <f>VLOOKUP($G297, 'ADP Data'!$C$4:$Q$300, 8, FALSE)</f>
        <v>294</v>
      </c>
      <c r="V297" s="11">
        <f t="shared" si="8"/>
        <v>266</v>
      </c>
      <c r="W297" s="11">
        <f t="shared" si="9"/>
        <v>34</v>
      </c>
      <c r="X297" s="11">
        <f t="shared" si="10"/>
        <v>-34</v>
      </c>
      <c r="Y297" s="11">
        <f>VLOOKUP($G297, SeanRanks!$A$2:$K$303, 10, FALSE)-V297</f>
        <v>-66</v>
      </c>
      <c r="Z297" s="29" t="str">
        <f>IF(VLOOKUP($G297, SeanRanks!$A$2:$H$303, 7, FALSE)=0, "", VLOOKUP($G297, SeanRanks!$A$2:$H$303, 7, FALSE))</f>
        <v/>
      </c>
    </row>
    <row r="298" ht="14.25" hidden="1" customHeight="1">
      <c r="A298" s="11"/>
      <c r="B298" s="11"/>
      <c r="C298" s="11" t="s">
        <v>106</v>
      </c>
      <c r="D298" s="11"/>
      <c r="E298" s="11"/>
      <c r="F298" s="11" t="str">
        <f>VLOOKUP(G298, SeanRanks!$A$2:$E$302, 4, FALSE)</f>
        <v>#N/A</v>
      </c>
      <c r="G298" s="11" t="s">
        <v>988</v>
      </c>
      <c r="H298" s="11" t="str">
        <f>VLOOKUP($G298, 'ADP Data'!$C$4:$Q$300, 2, FALSE)</f>
        <v>#N/A</v>
      </c>
      <c r="I298" s="11" t="str">
        <f>VLOOKUP(G298, 'ADP Data'!$C$4:$R$498, 12, FALSE)</f>
        <v>#N/A</v>
      </c>
      <c r="J298" s="11" t="str">
        <f>VLOOKUP($G298, SeanRanks!$A$2:$H$303, 5, FALSE)</f>
        <v>#N/A</v>
      </c>
      <c r="K298" s="11" t="str">
        <f>IF(VLOOKUP($G298, SeanRanks!$A$2:$H$303, 6, FALSE)=0, "", VLOOKUP($G298, SeanRanks!$A$2:$H$303, 6, FALSE))</f>
        <v>#N/A</v>
      </c>
      <c r="L298" s="11">
        <f t="shared" si="5"/>
        <v>16</v>
      </c>
      <c r="M298" s="11" t="str">
        <f>VLOOKUP($G298, 'ADP Data'!$C$4:$Q$300, 9, FALSE)</f>
        <v>#N/A</v>
      </c>
      <c r="N298" s="11" t="str">
        <f t="shared" si="6"/>
        <v>#N/A</v>
      </c>
      <c r="O298" s="11" t="str">
        <f>VLOOKUP($G298, 'ADP Data'!$C$4:$Q$300, 3, FALSE)</f>
        <v>#N/A</v>
      </c>
      <c r="P298" s="11" t="str">
        <f t="shared" si="7"/>
        <v>#N/A</v>
      </c>
      <c r="Q298" s="11" t="str">
        <f>VLOOKUP($G298, 'ADP Data'!$C$4:$Q$300, 4, FALSE)</f>
        <v>#N/A</v>
      </c>
      <c r="R298" s="11" t="str">
        <f>VLOOKUP($G298, 'ADP Data'!$C$4:$Q$300, 5, FALSE)</f>
        <v>#N/A</v>
      </c>
      <c r="S298" s="11" t="str">
        <f>VLOOKUP($G298, 'ADP Data'!$C$4:$Q$300, 6, FALSE)</f>
        <v>#N/A</v>
      </c>
      <c r="T298" s="11" t="str">
        <f>VLOOKUP($G298, 'ADP Data'!$C$4:$Q$300, 7, FALSE)</f>
        <v>#N/A</v>
      </c>
      <c r="U298" s="11" t="str">
        <f>VLOOKUP($G298, 'ADP Data'!$C$4:$Q$300, 8, FALSE)</f>
        <v>#N/A</v>
      </c>
      <c r="V298" s="11" t="str">
        <f t="shared" si="8"/>
        <v>#N/A</v>
      </c>
      <c r="W298" s="11">
        <f t="shared" si="9"/>
        <v>16</v>
      </c>
      <c r="X298" s="11">
        <f t="shared" si="10"/>
        <v>-16</v>
      </c>
      <c r="Y298" s="11" t="str">
        <f>VLOOKUP($G298, SeanRanks!$A$2:$K$303, 10, FALSE)-V298</f>
        <v>#N/A</v>
      </c>
      <c r="Z298" s="29" t="str">
        <f>IF(VLOOKUP($G298, SeanRanks!$A$2:$H$303, 7, FALSE)=0, "", VLOOKUP($G298, SeanRanks!$A$2:$H$303, 7, FALSE))</f>
        <v>#N/A</v>
      </c>
    </row>
    <row r="299" ht="14.25" hidden="1" customHeight="1">
      <c r="A299" s="11"/>
      <c r="B299" s="11">
        <f t="shared" ref="B299:B301" si="12">IFERROR(INT(AVERAGE(Q299:U299)/12)+1, INT(AVERAGE(M299)/12)+1)</f>
        <v>23</v>
      </c>
      <c r="C299" s="11" t="s">
        <v>106</v>
      </c>
      <c r="D299" s="11"/>
      <c r="E299" s="11"/>
      <c r="F299" s="11" t="str">
        <f>VLOOKUP(G299, SeanRanks!$A$2:$E$302, 4, FALSE)</f>
        <v/>
      </c>
      <c r="G299" s="11" t="s">
        <v>989</v>
      </c>
      <c r="H299" s="11" t="str">
        <f>VLOOKUP($G299, 'ADP Data'!$C$4:$Q$300, 2, FALSE)</f>
        <v>PIT</v>
      </c>
      <c r="I299" s="11">
        <f>VLOOKUP(G299, 'ADP Data'!$C$4:$R$498, 12, FALSE)</f>
        <v>250</v>
      </c>
      <c r="J299" s="11" t="str">
        <f>VLOOKUP($G299, SeanRanks!$A$2:$H$303, 5, FALSE)</f>
        <v/>
      </c>
      <c r="K299" s="11" t="str">
        <f>IF(VLOOKUP($G299, SeanRanks!$A$2:$H$303, 6, FALSE)=0, "", VLOOKUP($G299, SeanRanks!$A$2:$H$303, 6, FALSE))</f>
        <v/>
      </c>
      <c r="L299" s="11">
        <f t="shared" si="5"/>
        <v>35</v>
      </c>
      <c r="M299" s="11">
        <f>VLOOKUP($G299, 'ADP Data'!$C$4:$Q$300, 9, FALSE)</f>
        <v>274</v>
      </c>
      <c r="N299" s="11">
        <f t="shared" si="6"/>
        <v>1</v>
      </c>
      <c r="O299" s="11" t="str">
        <f>VLOOKUP($G299, 'ADP Data'!$C$4:$Q$300, 3, FALSE)</f>
        <v>-</v>
      </c>
      <c r="P299" s="11" t="str">
        <f t="shared" si="7"/>
        <v>#VALUE!</v>
      </c>
      <c r="Q299" s="11" t="str">
        <f>VLOOKUP($G299, 'ADP Data'!$C$4:$Q$300, 4, FALSE)</f>
        <v>-</v>
      </c>
      <c r="R299" s="11">
        <f>VLOOKUP($G299, 'ADP Data'!$C$4:$Q$300, 5, FALSE)</f>
        <v>302</v>
      </c>
      <c r="S299" s="11">
        <f>VLOOKUP($G299, 'ADP Data'!$C$4:$Q$300, 6, FALSE)</f>
        <v>262</v>
      </c>
      <c r="T299" s="11">
        <f>VLOOKUP($G299, 'ADP Data'!$C$4:$Q$300, 7, FALSE)</f>
        <v>250</v>
      </c>
      <c r="U299" s="11">
        <f>VLOOKUP($G299, 'ADP Data'!$C$4:$Q$300, 8, FALSE)</f>
        <v>277</v>
      </c>
      <c r="V299" s="11">
        <f t="shared" si="8"/>
        <v>273</v>
      </c>
      <c r="W299" s="11">
        <f t="shared" si="9"/>
        <v>35</v>
      </c>
      <c r="X299" s="11">
        <f t="shared" si="10"/>
        <v>-35</v>
      </c>
      <c r="Y299" s="11" t="str">
        <f>VLOOKUP($G299, SeanRanks!$A$2:$K$303, 10, FALSE)-V299</f>
        <v>#VALUE!</v>
      </c>
      <c r="Z299" s="29" t="str">
        <f>IF(VLOOKUP($G299, SeanRanks!$A$2:$H$303, 7, FALSE)=0, "", VLOOKUP($G299, SeanRanks!$A$2:$H$303, 7, FALSE))</f>
        <v/>
      </c>
    </row>
    <row r="300" ht="14.25" hidden="1" customHeight="1">
      <c r="A300" s="11"/>
      <c r="B300" s="11" t="str">
        <f t="shared" si="12"/>
        <v>#N/A</v>
      </c>
      <c r="C300" s="11" t="s">
        <v>106</v>
      </c>
      <c r="D300" s="11"/>
      <c r="E300" s="11"/>
      <c r="F300" s="11" t="str">
        <f>VLOOKUP(G300, SeanRanks!$A$2:$E$302, 4, FALSE)</f>
        <v>#N/A</v>
      </c>
      <c r="G300" s="11" t="s">
        <v>990</v>
      </c>
      <c r="H300" s="11" t="str">
        <f>VLOOKUP($G300, 'ADP Data'!$C$4:$Q$300, 2, FALSE)</f>
        <v>#N/A</v>
      </c>
      <c r="I300" s="11" t="str">
        <f>VLOOKUP(G300, 'ADP Data'!$C$4:$R$498, 12, FALSE)</f>
        <v>#N/A</v>
      </c>
      <c r="J300" s="11" t="str">
        <f>VLOOKUP($G300, SeanRanks!$A$2:$H$303, 5, FALSE)</f>
        <v>#N/A</v>
      </c>
      <c r="K300" s="11" t="str">
        <f>IF(VLOOKUP($G300, SeanRanks!$A$2:$H$303, 6, FALSE)=0, "", VLOOKUP($G300, SeanRanks!$A$2:$H$303, 6, FALSE))</f>
        <v>#N/A</v>
      </c>
      <c r="L300" s="11">
        <f t="shared" si="5"/>
        <v>16</v>
      </c>
      <c r="M300" s="11" t="str">
        <f>VLOOKUP($G300, 'ADP Data'!$C$4:$Q$300, 9, FALSE)</f>
        <v>#N/A</v>
      </c>
      <c r="N300" s="11" t="str">
        <f t="shared" si="6"/>
        <v>#N/A</v>
      </c>
      <c r="O300" s="11" t="str">
        <f>VLOOKUP($G300, 'ADP Data'!$C$4:$Q$300, 3, FALSE)</f>
        <v>#N/A</v>
      </c>
      <c r="P300" s="11" t="str">
        <f t="shared" si="7"/>
        <v>#N/A</v>
      </c>
      <c r="Q300" s="11" t="str">
        <f>VLOOKUP($G300, 'ADP Data'!$C$4:$Q$300, 4, FALSE)</f>
        <v>#N/A</v>
      </c>
      <c r="R300" s="11" t="str">
        <f>VLOOKUP($G300, 'ADP Data'!$C$4:$Q$300, 5, FALSE)</f>
        <v>#N/A</v>
      </c>
      <c r="S300" s="11" t="str">
        <f>VLOOKUP($G300, 'ADP Data'!$C$4:$Q$300, 6, FALSE)</f>
        <v>#N/A</v>
      </c>
      <c r="T300" s="11" t="str">
        <f>VLOOKUP($G300, 'ADP Data'!$C$4:$Q$300, 7, FALSE)</f>
        <v>#N/A</v>
      </c>
      <c r="U300" s="11" t="str">
        <f>VLOOKUP($G300, 'ADP Data'!$C$4:$Q$300, 8, FALSE)</f>
        <v>#N/A</v>
      </c>
      <c r="V300" s="11" t="str">
        <f t="shared" si="8"/>
        <v>#N/A</v>
      </c>
      <c r="W300" s="11">
        <f t="shared" si="9"/>
        <v>16</v>
      </c>
      <c r="X300" s="11">
        <f t="shared" si="10"/>
        <v>-16</v>
      </c>
      <c r="Y300" s="11" t="str">
        <f>VLOOKUP($G300, SeanRanks!$A$2:$K$303, 10, FALSE)-V300</f>
        <v>#N/A</v>
      </c>
      <c r="Z300" s="29" t="str">
        <f>IF(VLOOKUP($G300, SeanRanks!$A$2:$H$303, 7, FALSE)=0, "", VLOOKUP($G300, SeanRanks!$A$2:$H$303, 7, FALSE))</f>
        <v>#N/A</v>
      </c>
    </row>
    <row r="301" ht="14.25" hidden="1" customHeight="1">
      <c r="A301" s="11"/>
      <c r="B301" s="11">
        <f t="shared" si="12"/>
        <v>20</v>
      </c>
      <c r="C301" s="11" t="s">
        <v>106</v>
      </c>
      <c r="D301" s="11"/>
      <c r="E301" s="11"/>
      <c r="F301" s="11" t="str">
        <f>VLOOKUP(G301, SeanRanks!$A$2:$E$302, 4, FALSE)</f>
        <v/>
      </c>
      <c r="G301" s="11" t="s">
        <v>688</v>
      </c>
      <c r="H301" s="11" t="str">
        <f>VLOOKUP($G301, 'ADP Data'!$C$4:$Q$300, 2, FALSE)</f>
        <v>NYG</v>
      </c>
      <c r="I301" s="11" t="str">
        <f>VLOOKUP(G301, 'ADP Data'!$C$4:$R$498, 12, FALSE)</f>
        <v>-</v>
      </c>
      <c r="J301" s="11" t="str">
        <f>VLOOKUP($G301, SeanRanks!$A$2:$H$303, 5, FALSE)</f>
        <v/>
      </c>
      <c r="K301" s="11" t="str">
        <f>IF(VLOOKUP($G301, SeanRanks!$A$2:$H$303, 6, FALSE)=0, "", VLOOKUP($G301, SeanRanks!$A$2:$H$303, 6, FALSE))</f>
        <v/>
      </c>
      <c r="L301" s="11">
        <f t="shared" si="5"/>
        <v>30</v>
      </c>
      <c r="M301" s="11">
        <f>VLOOKUP($G301, 'ADP Data'!$C$4:$Q$300, 9, FALSE)</f>
        <v>239</v>
      </c>
      <c r="N301" s="11">
        <f t="shared" si="6"/>
        <v>19</v>
      </c>
      <c r="O301" s="11">
        <f>VLOOKUP($G301, 'ADP Data'!$C$4:$Q$300, 3, FALSE)</f>
        <v>169</v>
      </c>
      <c r="P301" s="11">
        <f t="shared" si="7"/>
        <v>70</v>
      </c>
      <c r="Q301" s="11">
        <f>VLOOKUP($G301, 'ADP Data'!$C$4:$Q$300, 4, FALSE)</f>
        <v>199</v>
      </c>
      <c r="R301" s="11" t="str">
        <f>VLOOKUP($G301, 'ADP Data'!$C$4:$Q$300, 5, FALSE)</f>
        <v>-</v>
      </c>
      <c r="S301" s="11">
        <f>VLOOKUP($G301, 'ADP Data'!$C$4:$Q$300, 6, FALSE)</f>
        <v>281</v>
      </c>
      <c r="T301" s="11">
        <f>VLOOKUP($G301, 'ADP Data'!$C$4:$Q$300, 7, FALSE)</f>
        <v>249</v>
      </c>
      <c r="U301" s="11">
        <f>VLOOKUP($G301, 'ADP Data'!$C$4:$Q$300, 8, FALSE)</f>
        <v>187</v>
      </c>
      <c r="V301" s="11">
        <f t="shared" si="8"/>
        <v>220</v>
      </c>
      <c r="W301" s="11">
        <f t="shared" si="9"/>
        <v>28</v>
      </c>
      <c r="X301" s="11">
        <f t="shared" si="10"/>
        <v>-28</v>
      </c>
      <c r="Y301" s="11" t="str">
        <f>VLOOKUP($G301, SeanRanks!$A$2:$K$303, 10, FALSE)-V301</f>
        <v>#VALUE!</v>
      </c>
      <c r="Z301" s="29" t="str">
        <f>IF(VLOOKUP($G301, SeanRanks!$A$2:$H$303, 7, FALSE)=0, "", VLOOKUP($G301, SeanRanks!$A$2:$H$303, 7, FALSE))</f>
        <v/>
      </c>
    </row>
    <row r="302" ht="14.25" hidden="1" customHeight="1">
      <c r="A302" s="11"/>
      <c r="B302" s="11"/>
      <c r="C302" s="11" t="s">
        <v>106</v>
      </c>
      <c r="D302" s="11"/>
      <c r="E302" s="11"/>
      <c r="F302" s="11" t="str">
        <f>VLOOKUP(G302, SeanRanks!$A$2:$E$302, 4, FALSE)</f>
        <v>#N/A</v>
      </c>
      <c r="G302" s="11" t="s">
        <v>991</v>
      </c>
      <c r="H302" s="11" t="str">
        <f>VLOOKUP($G302, 'ADP Data'!$C$4:$Q$300, 2, FALSE)</f>
        <v>#N/A</v>
      </c>
      <c r="I302" s="11" t="str">
        <f>VLOOKUP(G302, 'ADP Data'!$C$4:$R$498, 12, FALSE)</f>
        <v>#N/A</v>
      </c>
      <c r="J302" s="11" t="str">
        <f>VLOOKUP($G302, SeanRanks!$A$2:$H$303, 5, FALSE)</f>
        <v>#N/A</v>
      </c>
      <c r="K302" s="11" t="str">
        <f>IF(VLOOKUP($G302, SeanRanks!$A$2:$H$303, 6, FALSE)=0, "", VLOOKUP($G302, SeanRanks!$A$2:$H$303, 6, FALSE))</f>
        <v>#N/A</v>
      </c>
      <c r="L302" s="11">
        <f t="shared" si="5"/>
        <v>16</v>
      </c>
      <c r="M302" s="11" t="str">
        <f>VLOOKUP($G302, 'ADP Data'!$C$4:$Q$300, 9, FALSE)</f>
        <v>#N/A</v>
      </c>
      <c r="N302" s="11" t="str">
        <f t="shared" si="6"/>
        <v>#N/A</v>
      </c>
      <c r="O302" s="11" t="str">
        <f>VLOOKUP($G302, 'ADP Data'!$C$4:$Q$300, 3, FALSE)</f>
        <v>#N/A</v>
      </c>
      <c r="P302" s="11" t="str">
        <f t="shared" si="7"/>
        <v>#N/A</v>
      </c>
      <c r="Q302" s="11" t="str">
        <f>VLOOKUP($G302, 'ADP Data'!$C$4:$Q$300, 4, FALSE)</f>
        <v>#N/A</v>
      </c>
      <c r="R302" s="11" t="str">
        <f>VLOOKUP($G302, 'ADP Data'!$C$4:$Q$300, 5, FALSE)</f>
        <v>#N/A</v>
      </c>
      <c r="S302" s="11" t="str">
        <f>VLOOKUP($G302, 'ADP Data'!$C$4:$Q$300, 6, FALSE)</f>
        <v>#N/A</v>
      </c>
      <c r="T302" s="11" t="str">
        <f>VLOOKUP($G302, 'ADP Data'!$C$4:$Q$300, 7, FALSE)</f>
        <v>#N/A</v>
      </c>
      <c r="U302" s="11" t="str">
        <f>VLOOKUP($G302, 'ADP Data'!$C$4:$Q$300, 8, FALSE)</f>
        <v>#N/A</v>
      </c>
      <c r="V302" s="11" t="str">
        <f t="shared" si="8"/>
        <v>#N/A</v>
      </c>
      <c r="W302" s="11">
        <f t="shared" si="9"/>
        <v>16</v>
      </c>
      <c r="X302" s="11">
        <f t="shared" si="10"/>
        <v>-16</v>
      </c>
      <c r="Y302" s="11" t="str">
        <f>VLOOKUP($G302, SeanRanks!$A$2:$K$303, 10, FALSE)-V302</f>
        <v>#N/A</v>
      </c>
      <c r="Z302" s="29" t="str">
        <f>IF(VLOOKUP($G302, SeanRanks!$A$2:$H$303, 7, FALSE)=0, "", VLOOKUP($G302, SeanRanks!$A$2:$H$303, 7, FALSE))</f>
        <v>#N/A</v>
      </c>
    </row>
    <row r="303" ht="14.25" hidden="1" customHeight="1">
      <c r="A303" s="11"/>
      <c r="B303" s="11" t="str">
        <f t="shared" ref="B303:B306" si="13">IFERROR(INT(AVERAGE(Q303:U303)/12)+1, INT(AVERAGE(M303)/12)+1)</f>
        <v>#N/A</v>
      </c>
      <c r="C303" s="11" t="s">
        <v>106</v>
      </c>
      <c r="D303" s="11"/>
      <c r="E303" s="11"/>
      <c r="F303" s="11" t="str">
        <f>VLOOKUP(G303, SeanRanks!$A$2:$E$302, 4, FALSE)</f>
        <v>#N/A</v>
      </c>
      <c r="G303" s="11" t="s">
        <v>992</v>
      </c>
      <c r="H303" s="11" t="str">
        <f>VLOOKUP($G303, 'ADP Data'!$C$4:$Q$300, 2, FALSE)</f>
        <v>#N/A</v>
      </c>
      <c r="I303" s="11" t="str">
        <f>VLOOKUP(G303, 'ADP Data'!$C$4:$R$498, 12, FALSE)</f>
        <v>#N/A</v>
      </c>
      <c r="J303" s="11" t="str">
        <f>VLOOKUP($G303, SeanRanks!$A$2:$H$303, 5, FALSE)</f>
        <v>#N/A</v>
      </c>
      <c r="K303" s="11" t="str">
        <f>IF(VLOOKUP($G303, SeanRanks!$A$2:$H$303, 6, FALSE)=0, "", VLOOKUP($G303, SeanRanks!$A$2:$H$303, 6, FALSE))</f>
        <v>#N/A</v>
      </c>
      <c r="L303" s="11">
        <f t="shared" si="5"/>
        <v>16</v>
      </c>
      <c r="M303" s="11" t="str">
        <f>VLOOKUP($G303, 'ADP Data'!$C$4:$Q$300, 9, FALSE)</f>
        <v>#N/A</v>
      </c>
      <c r="N303" s="11" t="str">
        <f t="shared" si="6"/>
        <v>#N/A</v>
      </c>
      <c r="O303" s="11" t="str">
        <f>VLOOKUP($G303, 'ADP Data'!$C$4:$Q$300, 3, FALSE)</f>
        <v>#N/A</v>
      </c>
      <c r="P303" s="11" t="str">
        <f t="shared" si="7"/>
        <v>#N/A</v>
      </c>
      <c r="Q303" s="11" t="str">
        <f>VLOOKUP($G303, 'ADP Data'!$C$4:$Q$300, 4, FALSE)</f>
        <v>#N/A</v>
      </c>
      <c r="R303" s="11" t="str">
        <f>VLOOKUP($G303, 'ADP Data'!$C$4:$Q$300, 5, FALSE)</f>
        <v>#N/A</v>
      </c>
      <c r="S303" s="11" t="str">
        <f>VLOOKUP($G303, 'ADP Data'!$C$4:$Q$300, 6, FALSE)</f>
        <v>#N/A</v>
      </c>
      <c r="T303" s="11" t="str">
        <f>VLOOKUP($G303, 'ADP Data'!$C$4:$Q$300, 7, FALSE)</f>
        <v>#N/A</v>
      </c>
      <c r="U303" s="11" t="str">
        <f>VLOOKUP($G303, 'ADP Data'!$C$4:$Q$300, 8, FALSE)</f>
        <v>#N/A</v>
      </c>
      <c r="V303" s="11" t="str">
        <f t="shared" si="8"/>
        <v>#N/A</v>
      </c>
      <c r="W303" s="11">
        <f t="shared" si="9"/>
        <v>16</v>
      </c>
      <c r="X303" s="11">
        <f t="shared" si="10"/>
        <v>-16</v>
      </c>
      <c r="Y303" s="11" t="str">
        <f>VLOOKUP($G303, SeanRanks!$A$2:$K$303, 10, FALSE)-V303</f>
        <v>#N/A</v>
      </c>
      <c r="Z303" s="29" t="str">
        <f>IF(VLOOKUP($G303, SeanRanks!$A$2:$H$303, 7, FALSE)=0, "", VLOOKUP($G303, SeanRanks!$A$2:$H$303, 7, FALSE))</f>
        <v>#N/A</v>
      </c>
    </row>
    <row r="304" ht="14.25" hidden="1" customHeight="1">
      <c r="A304" s="11"/>
      <c r="B304" s="11">
        <f t="shared" si="13"/>
        <v>23</v>
      </c>
      <c r="C304" s="11" t="s">
        <v>106</v>
      </c>
      <c r="D304" s="11"/>
      <c r="E304" s="11"/>
      <c r="F304" s="11" t="str">
        <f>VLOOKUP(G304, SeanRanks!$A$2:$E$302, 4, FALSE)</f>
        <v/>
      </c>
      <c r="G304" s="11" t="s">
        <v>993</v>
      </c>
      <c r="H304" s="11" t="str">
        <f>VLOOKUP($G304, 'ADP Data'!$C$4:$Q$300, 2, FALSE)</f>
        <v>LAR</v>
      </c>
      <c r="I304" s="11">
        <f>VLOOKUP(G304, 'ADP Data'!$C$4:$R$498, 12, FALSE)</f>
        <v>238</v>
      </c>
      <c r="J304" s="11" t="str">
        <f>VLOOKUP($G304, SeanRanks!$A$2:$H$303, 5, FALSE)</f>
        <v/>
      </c>
      <c r="K304" s="11" t="str">
        <f>IF(VLOOKUP($G304, SeanRanks!$A$2:$H$303, 6, FALSE)=0, "", VLOOKUP($G304, SeanRanks!$A$2:$H$303, 6, FALSE))</f>
        <v/>
      </c>
      <c r="L304" s="11">
        <f t="shared" si="5"/>
        <v>34</v>
      </c>
      <c r="M304" s="11">
        <f>VLOOKUP($G304, 'ADP Data'!$C$4:$Q$300, 9, FALSE)</f>
        <v>270</v>
      </c>
      <c r="N304" s="11">
        <f t="shared" si="6"/>
        <v>4</v>
      </c>
      <c r="O304" s="11" t="str">
        <f>VLOOKUP($G304, 'ADP Data'!$C$4:$Q$300, 3, FALSE)</f>
        <v>-</v>
      </c>
      <c r="P304" s="11" t="str">
        <f t="shared" si="7"/>
        <v>#VALUE!</v>
      </c>
      <c r="Q304" s="11" t="str">
        <f>VLOOKUP($G304, 'ADP Data'!$C$4:$Q$300, 4, FALSE)</f>
        <v>-</v>
      </c>
      <c r="R304" s="11" t="str">
        <f>VLOOKUP($G304, 'ADP Data'!$C$4:$Q$300, 5, FALSE)</f>
        <v>-</v>
      </c>
      <c r="S304" s="11">
        <f>VLOOKUP($G304, 'ADP Data'!$C$4:$Q$300, 6, FALSE)</f>
        <v>241</v>
      </c>
      <c r="T304" s="11">
        <f>VLOOKUP($G304, 'ADP Data'!$C$4:$Q$300, 7, FALSE)</f>
        <v>274</v>
      </c>
      <c r="U304" s="11">
        <f>VLOOKUP($G304, 'ADP Data'!$C$4:$Q$300, 8, FALSE)</f>
        <v>282</v>
      </c>
      <c r="V304" s="11">
        <f t="shared" si="8"/>
        <v>266</v>
      </c>
      <c r="W304" s="11">
        <f t="shared" si="9"/>
        <v>34</v>
      </c>
      <c r="X304" s="11">
        <f t="shared" si="10"/>
        <v>-34</v>
      </c>
      <c r="Y304" s="11" t="str">
        <f>VLOOKUP($G304, SeanRanks!$A$2:$K$303, 10, FALSE)-V304</f>
        <v>#VALUE!</v>
      </c>
      <c r="Z304" s="29" t="str">
        <f>IF(VLOOKUP($G304, SeanRanks!$A$2:$H$303, 7, FALSE)=0, "", VLOOKUP($G304, SeanRanks!$A$2:$H$303, 7, FALSE))</f>
        <v/>
      </c>
    </row>
    <row r="305" ht="14.25" hidden="1" customHeight="1">
      <c r="A305" s="11"/>
      <c r="B305" s="11" t="str">
        <f t="shared" si="13"/>
        <v>#N/A</v>
      </c>
      <c r="C305" s="11" t="s">
        <v>106</v>
      </c>
      <c r="D305" s="11"/>
      <c r="E305" s="11"/>
      <c r="F305" s="11" t="str">
        <f>VLOOKUP(G305, SeanRanks!$A$2:$E$302, 4, FALSE)</f>
        <v>#N/A</v>
      </c>
      <c r="G305" s="11" t="s">
        <v>994</v>
      </c>
      <c r="H305" s="11" t="str">
        <f>VLOOKUP($G305, 'ADP Data'!$C$4:$Q$300, 2, FALSE)</f>
        <v>#N/A</v>
      </c>
      <c r="I305" s="11" t="str">
        <f>VLOOKUP(G305, 'ADP Data'!$C$4:$R$498, 12, FALSE)</f>
        <v>#N/A</v>
      </c>
      <c r="J305" s="11" t="str">
        <f>VLOOKUP($G305, SeanRanks!$A$2:$H$303, 5, FALSE)</f>
        <v>#N/A</v>
      </c>
      <c r="K305" s="11" t="str">
        <f>IF(VLOOKUP($G305, SeanRanks!$A$2:$H$303, 6, FALSE)=0, "", VLOOKUP($G305, SeanRanks!$A$2:$H$303, 6, FALSE))</f>
        <v>#N/A</v>
      </c>
      <c r="L305" s="11">
        <f t="shared" si="5"/>
        <v>16</v>
      </c>
      <c r="M305" s="11" t="str">
        <f>VLOOKUP($G305, 'ADP Data'!$C$4:$Q$300, 9, FALSE)</f>
        <v>#N/A</v>
      </c>
      <c r="N305" s="11" t="str">
        <f t="shared" si="6"/>
        <v>#N/A</v>
      </c>
      <c r="O305" s="11" t="str">
        <f>VLOOKUP($G305, 'ADP Data'!$C$4:$Q$300, 3, FALSE)</f>
        <v>#N/A</v>
      </c>
      <c r="P305" s="11" t="str">
        <f t="shared" si="7"/>
        <v>#N/A</v>
      </c>
      <c r="Q305" s="11" t="str">
        <f>VLOOKUP($G305, 'ADP Data'!$C$4:$Q$300, 4, FALSE)</f>
        <v>#N/A</v>
      </c>
      <c r="R305" s="11" t="str">
        <f>VLOOKUP($G305, 'ADP Data'!$C$4:$Q$300, 5, FALSE)</f>
        <v>#N/A</v>
      </c>
      <c r="S305" s="11" t="str">
        <f>VLOOKUP($G305, 'ADP Data'!$C$4:$Q$300, 6, FALSE)</f>
        <v>#N/A</v>
      </c>
      <c r="T305" s="11" t="str">
        <f>VLOOKUP($G305, 'ADP Data'!$C$4:$Q$300, 7, FALSE)</f>
        <v>#N/A</v>
      </c>
      <c r="U305" s="11" t="str">
        <f>VLOOKUP($G305, 'ADP Data'!$C$4:$Q$300, 8, FALSE)</f>
        <v>#N/A</v>
      </c>
      <c r="V305" s="11" t="str">
        <f t="shared" si="8"/>
        <v>#N/A</v>
      </c>
      <c r="W305" s="11">
        <f t="shared" si="9"/>
        <v>16</v>
      </c>
      <c r="X305" s="11">
        <f t="shared" si="10"/>
        <v>-16</v>
      </c>
      <c r="Y305" s="11" t="str">
        <f>VLOOKUP($G305, SeanRanks!$A$2:$K$303, 10, FALSE)-V305</f>
        <v>#N/A</v>
      </c>
      <c r="Z305" s="29" t="str">
        <f>IF(VLOOKUP($G305, SeanRanks!$A$2:$H$303, 7, FALSE)=0, "", VLOOKUP($G305, SeanRanks!$A$2:$H$303, 7, FALSE))</f>
        <v>#N/A</v>
      </c>
    </row>
    <row r="306" ht="14.25" hidden="1" customHeight="1">
      <c r="A306" s="11"/>
      <c r="B306" s="11" t="str">
        <f t="shared" si="13"/>
        <v>#N/A</v>
      </c>
      <c r="C306" s="11" t="s">
        <v>106</v>
      </c>
      <c r="D306" s="11"/>
      <c r="E306" s="11"/>
      <c r="F306" s="11" t="str">
        <f>VLOOKUP(G306, SeanRanks!$A$2:$E$302, 4, FALSE)</f>
        <v>#N/A</v>
      </c>
      <c r="G306" s="11" t="s">
        <v>554</v>
      </c>
      <c r="H306" s="11" t="str">
        <f>VLOOKUP($G306, 'ADP Data'!$C$4:$Q$300, 2, FALSE)</f>
        <v>#N/A</v>
      </c>
      <c r="I306" s="11" t="str">
        <f>VLOOKUP(G306, 'ADP Data'!$C$4:$R$498, 12, FALSE)</f>
        <v>#N/A</v>
      </c>
      <c r="J306" s="11" t="str">
        <f>VLOOKUP($G306, SeanRanks!$A$2:$H$303, 5, FALSE)</f>
        <v>#N/A</v>
      </c>
      <c r="K306" s="11" t="str">
        <f>IF(VLOOKUP($G306, SeanRanks!$A$2:$H$303, 6, FALSE)=0, "", VLOOKUP($G306, SeanRanks!$A$2:$H$303, 6, FALSE))</f>
        <v>#N/A</v>
      </c>
      <c r="L306" s="11">
        <f t="shared" si="5"/>
        <v>16</v>
      </c>
      <c r="M306" s="11" t="str">
        <f>VLOOKUP($G306, 'ADP Data'!$C$4:$Q$300, 9, FALSE)</f>
        <v>#N/A</v>
      </c>
      <c r="N306" s="11" t="str">
        <f t="shared" si="6"/>
        <v>#N/A</v>
      </c>
      <c r="O306" s="11" t="str">
        <f>VLOOKUP($G306, 'ADP Data'!$C$4:$Q$300, 3, FALSE)</f>
        <v>#N/A</v>
      </c>
      <c r="P306" s="11" t="str">
        <f t="shared" si="7"/>
        <v>#N/A</v>
      </c>
      <c r="Q306" s="11" t="str">
        <f>VLOOKUP($G306, 'ADP Data'!$C$4:$Q$300, 4, FALSE)</f>
        <v>#N/A</v>
      </c>
      <c r="R306" s="11" t="str">
        <f>VLOOKUP($G306, 'ADP Data'!$C$4:$Q$300, 5, FALSE)</f>
        <v>#N/A</v>
      </c>
      <c r="S306" s="11" t="str">
        <f>VLOOKUP($G306, 'ADP Data'!$C$4:$Q$300, 6, FALSE)</f>
        <v>#N/A</v>
      </c>
      <c r="T306" s="11" t="str">
        <f>VLOOKUP($G306, 'ADP Data'!$C$4:$Q$300, 7, FALSE)</f>
        <v>#N/A</v>
      </c>
      <c r="U306" s="11" t="str">
        <f>VLOOKUP($G306, 'ADP Data'!$C$4:$Q$300, 8, FALSE)</f>
        <v>#N/A</v>
      </c>
      <c r="V306" s="11" t="str">
        <f t="shared" si="8"/>
        <v>#N/A</v>
      </c>
      <c r="W306" s="11">
        <f t="shared" si="9"/>
        <v>16</v>
      </c>
      <c r="X306" s="11">
        <f t="shared" si="10"/>
        <v>-16</v>
      </c>
      <c r="Y306" s="11" t="str">
        <f>VLOOKUP($G306, SeanRanks!$A$2:$K$303, 10, FALSE)-V306</f>
        <v>#N/A</v>
      </c>
      <c r="Z306" s="29" t="str">
        <f>IF(VLOOKUP($G306, SeanRanks!$A$2:$H$303, 7, FALSE)=0, "", VLOOKUP($G306, SeanRanks!$A$2:$H$303, 7, FALSE))</f>
        <v>#N/A</v>
      </c>
    </row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>
      <c r="F312" s="1" t="s">
        <v>22</v>
      </c>
    </row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6:$Z$306">
    <filterColumn colId="2">
      <filters>
        <filter val="Yes"/>
      </filters>
    </filterColumn>
    <filterColumn colId="8">
      <filters>
        <filter val="230"/>
        <filter val="113"/>
        <filter val="117"/>
        <filter val="10"/>
        <filter val="11"/>
        <filter val="13"/>
        <filter val="14"/>
        <filter val="15"/>
        <filter val="16"/>
        <filter val="17"/>
        <filter val="18"/>
        <filter val="19"/>
        <filter val="1"/>
        <filter val="122"/>
        <filter val="2"/>
        <filter val="3"/>
        <filter val="245"/>
        <filter val="124"/>
        <filter val="4"/>
        <filter val="5"/>
        <filter val="126"/>
        <filter val="6"/>
        <filter val="7"/>
        <filter val="249"/>
        <filter val="8"/>
        <filter val="129"/>
        <filter val="9"/>
        <filter val="20"/>
        <filter val="21"/>
        <filter val="23"/>
        <filter val="24"/>
        <filter val="25"/>
        <filter val="26"/>
        <filter val="28"/>
        <filter val="29"/>
        <filter val="131"/>
        <filter val="133"/>
        <filter val="135"/>
        <filter val="137"/>
        <filter val="138"/>
        <filter val="139"/>
        <filter val="30"/>
        <filter val="31"/>
        <filter val="32"/>
        <filter val="33"/>
        <filter val="34"/>
        <filter val="36"/>
        <filter val="37"/>
        <filter val="39"/>
        <filter val="145"/>
        <filter val="148"/>
        <filter val="40"/>
        <filter val="41"/>
        <filter val="42"/>
        <filter val="43"/>
        <filter val="44"/>
        <filter val="45"/>
        <filter val="46"/>
        <filter val="47"/>
        <filter val="48"/>
        <filter val="150"/>
        <filter val="152"/>
        <filter val="156"/>
        <filter val="157"/>
        <filter val="50"/>
        <filter val="51"/>
        <filter val="52"/>
        <filter val="53"/>
        <filter val="54"/>
        <filter val="56"/>
        <filter val="57"/>
        <filter val="58"/>
        <filter val="59"/>
        <filter val="280"/>
        <filter val="162"/>
        <filter val="283"/>
        <filter val="167"/>
        <filter val="168"/>
        <filter val="169"/>
        <filter val="60"/>
        <filter val="61"/>
        <filter val="62"/>
        <filter val="66"/>
        <filter val="67"/>
        <filter val="68"/>
        <filter val="69"/>
        <filter val="178"/>
        <filter val="70"/>
        <filter val="71"/>
        <filter val="73"/>
        <filter val="74"/>
        <filter val="75"/>
        <filter val="76"/>
        <filter val="79"/>
        <filter val="181"/>
        <filter val="184"/>
        <filter val="83"/>
        <filter val="85"/>
        <filter val="86"/>
        <filter val="88"/>
        <filter val="197"/>
        <filter val="90"/>
        <filter val="93"/>
        <filter val="94"/>
        <filter val="95"/>
        <filter val="97"/>
        <filter val="202"/>
        <filter val="205"/>
        <filter val="209"/>
        <filter val="216"/>
        <filter val="220"/>
        <filter val="100"/>
        <filter val="101"/>
        <filter val="103"/>
        <filter val="104"/>
        <filter val="105"/>
        <filter val="227"/>
        <filter val="107"/>
        <filter val="109"/>
      </filters>
    </filterColumn>
    <sortState ref="A6:Z306">
      <sortCondition ref="V6:V306"/>
    </sortState>
  </autoFilter>
  <mergeCells count="1">
    <mergeCell ref="A1:C1"/>
  </mergeCells>
  <conditionalFormatting sqref="K8:K306">
    <cfRule type="colorScale" priority="1">
      <colorScale>
        <cfvo type="formula" val="12"/>
        <cfvo type="percentile" val="50"/>
        <cfvo type="max"/>
        <color rgb="FF63BE7B"/>
        <color rgb="FFFFEB84"/>
        <color rgb="FFF8696B"/>
      </colorScale>
    </cfRule>
  </conditionalFormatting>
  <conditionalFormatting sqref="K5:Z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7:L306">
    <cfRule type="cellIs" dxfId="1" priority="3" operator="lessThan">
      <formula>B7</formula>
    </cfRule>
  </conditionalFormatting>
  <conditionalFormatting sqref="L7:L306">
    <cfRule type="cellIs" dxfId="2" priority="4" operator="greaterThan">
      <formula>B7</formula>
    </cfRule>
  </conditionalFormatting>
  <conditionalFormatting sqref="N7:N306">
    <cfRule type="colorScale" priority="5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P7:P306">
    <cfRule type="colorScale" priority="6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X7:X30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7:Y306">
    <cfRule type="colorScale" priority="8">
      <colorScale>
        <cfvo type="formula" val="-12"/>
        <cfvo type="formula" val="0"/>
        <cfvo type="formula" val="12"/>
        <color rgb="FFF8696B"/>
        <color rgb="FFD8D8D8"/>
        <color rgb="FF63BE7B"/>
      </colorScale>
    </cfRule>
  </conditionalFormatting>
  <conditionalFormatting sqref="B7:G7 B8:E261 B262:B302 C262:C306 D262:E302 F8:F306 G8:G296 J7:K306 Y7:Z306">
    <cfRule type="expression" dxfId="0" priority="9">
      <formula>$C7="No"</formula>
    </cfRule>
  </conditionalFormatting>
  <printOptions/>
  <pageMargins bottom="0.75" footer="0.0" header="0.0" left="0.7" right="0.7" top="0.75"/>
  <pageSetup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2" width="8.71"/>
    <col customWidth="1" min="3" max="6" width="9.71"/>
    <col customWidth="1" min="7" max="7" width="8.0"/>
    <col customWidth="1" min="8" max="8" width="17.86"/>
    <col customWidth="1" min="9" max="10" width="8.71"/>
    <col customWidth="1" min="11" max="11" width="20.0"/>
    <col customWidth="1" min="12" max="31" width="8.71"/>
  </cols>
  <sheetData>
    <row r="1" ht="14.25" customHeight="1">
      <c r="A1" s="68" t="s">
        <v>1145</v>
      </c>
      <c r="D1" s="68"/>
      <c r="E1" s="3"/>
      <c r="F1" s="3"/>
      <c r="G1" s="3"/>
      <c r="H1" s="3"/>
      <c r="I1" s="4"/>
      <c r="J1" s="4" t="s">
        <v>996</v>
      </c>
      <c r="K1" s="69">
        <v>14.0</v>
      </c>
      <c r="L1" s="3"/>
      <c r="M1" s="3"/>
      <c r="N1" s="6" t="s">
        <v>1146</v>
      </c>
      <c r="O1" s="6" t="s">
        <v>999</v>
      </c>
      <c r="P1" s="6" t="s">
        <v>1000</v>
      </c>
      <c r="Q1" s="6" t="s">
        <v>1001</v>
      </c>
      <c r="R1" s="6" t="s">
        <v>1002</v>
      </c>
      <c r="S1" s="6" t="s">
        <v>1003</v>
      </c>
      <c r="T1" s="6" t="s">
        <v>440</v>
      </c>
      <c r="U1" s="6" t="s">
        <v>607</v>
      </c>
      <c r="V1" s="6" t="s">
        <v>1004</v>
      </c>
      <c r="W1" s="6" t="s">
        <v>1005</v>
      </c>
      <c r="X1" s="6" t="s">
        <v>1006</v>
      </c>
      <c r="Y1" s="6" t="s">
        <v>1007</v>
      </c>
      <c r="Z1" s="6" t="s">
        <v>1008</v>
      </c>
      <c r="AA1" s="6" t="s">
        <v>1009</v>
      </c>
      <c r="AB1" s="6" t="s">
        <v>1010</v>
      </c>
      <c r="AC1" s="6" t="s">
        <v>1011</v>
      </c>
      <c r="AD1" s="6" t="s">
        <v>1012</v>
      </c>
      <c r="AE1" s="6" t="s">
        <v>1013</v>
      </c>
    </row>
    <row r="2" ht="14.25" customHeight="1">
      <c r="B2" s="3"/>
      <c r="C2" s="3"/>
      <c r="D2" s="3"/>
      <c r="E2" s="3"/>
      <c r="F2" s="3"/>
      <c r="G2" s="3"/>
      <c r="H2" s="3"/>
      <c r="I2" s="4"/>
      <c r="J2" s="4" t="s">
        <v>1016</v>
      </c>
      <c r="K2" s="69">
        <v>1.0</v>
      </c>
      <c r="L2" s="3"/>
      <c r="M2" s="3"/>
      <c r="N2" s="20" t="s">
        <v>1018</v>
      </c>
      <c r="O2" s="45">
        <v>70.0</v>
      </c>
      <c r="P2" s="45">
        <v>68.0</v>
      </c>
      <c r="Q2" s="45">
        <v>56.0</v>
      </c>
      <c r="R2" s="45">
        <v>47.0</v>
      </c>
      <c r="S2" s="45">
        <v>35.0</v>
      </c>
      <c r="T2" s="45">
        <v>24.0</v>
      </c>
      <c r="U2" s="45">
        <v>25.0</v>
      </c>
      <c r="V2" s="45">
        <v>66.0</v>
      </c>
      <c r="W2" s="45">
        <v>32.0</v>
      </c>
      <c r="X2" s="45">
        <v>15.0</v>
      </c>
      <c r="Y2" s="45">
        <v>6.0</v>
      </c>
      <c r="Z2" s="45">
        <v>23.0</v>
      </c>
      <c r="AA2" s="45">
        <v>11.0</v>
      </c>
      <c r="AB2" s="45">
        <v>7.0</v>
      </c>
      <c r="AC2" s="45">
        <v>39.0</v>
      </c>
      <c r="AD2" s="45">
        <v>16.0</v>
      </c>
      <c r="AE2" s="45">
        <v>3.0</v>
      </c>
    </row>
    <row r="3" ht="14.25" customHeight="1">
      <c r="B3" s="3"/>
      <c r="C3" s="3"/>
      <c r="D3" s="3"/>
      <c r="E3" s="3"/>
      <c r="F3" s="3"/>
      <c r="G3" s="3"/>
      <c r="H3" s="3"/>
      <c r="I3" s="4"/>
      <c r="J3" s="4" t="s">
        <v>1022</v>
      </c>
      <c r="K3" s="69">
        <f>INT((K1)/K2)</f>
        <v>14</v>
      </c>
      <c r="L3" s="3"/>
      <c r="M3" s="3"/>
      <c r="N3" s="20" t="s">
        <v>1023</v>
      </c>
      <c r="O3" s="45">
        <v>67.0</v>
      </c>
      <c r="P3" s="45">
        <v>58.0</v>
      </c>
      <c r="Q3" s="45">
        <v>37.0</v>
      </c>
      <c r="R3" s="45">
        <v>29.0</v>
      </c>
      <c r="S3" s="45">
        <v>9.0</v>
      </c>
      <c r="T3" s="45">
        <v>3.0</v>
      </c>
      <c r="U3" s="45">
        <v>1.0</v>
      </c>
      <c r="V3" s="45">
        <v>25.0</v>
      </c>
      <c r="W3" s="45">
        <v>13.0</v>
      </c>
      <c r="X3" s="45">
        <v>5.0</v>
      </c>
      <c r="Y3" s="45">
        <v>1.0</v>
      </c>
      <c r="Z3" s="45">
        <v>13.0</v>
      </c>
      <c r="AA3" s="45">
        <v>9.0</v>
      </c>
      <c r="AB3" s="45">
        <v>2.0</v>
      </c>
      <c r="AC3" s="45">
        <v>23.0</v>
      </c>
      <c r="AD3" s="45">
        <v>3.0</v>
      </c>
      <c r="AE3" s="45">
        <v>2.0</v>
      </c>
    </row>
    <row r="4" ht="14.25" customHeight="1">
      <c r="C4" s="3"/>
      <c r="D4" s="3"/>
      <c r="E4" s="3"/>
      <c r="F4" s="3"/>
      <c r="G4" s="3"/>
      <c r="H4" s="3"/>
      <c r="I4" s="4"/>
      <c r="J4" s="3"/>
      <c r="K4" s="3"/>
      <c r="L4" s="3"/>
      <c r="M4" s="3"/>
      <c r="N4" s="3"/>
      <c r="O4" s="3"/>
      <c r="P4" s="3" t="s">
        <v>1147</v>
      </c>
      <c r="Q4" s="3"/>
      <c r="R4" s="3"/>
      <c r="S4" s="3"/>
      <c r="T4" s="3"/>
      <c r="U4" s="3"/>
      <c r="V4" s="3"/>
      <c r="W4" s="3"/>
      <c r="X4" s="3"/>
      <c r="Y4" s="3"/>
      <c r="Z4" s="3" t="s">
        <v>1148</v>
      </c>
      <c r="AA4" s="3"/>
      <c r="AB4" s="3"/>
      <c r="AD4" s="3"/>
    </row>
    <row r="5" ht="14.25" customHeight="1">
      <c r="C5" s="3"/>
      <c r="D5" s="3"/>
      <c r="E5" s="3"/>
      <c r="F5" s="3"/>
      <c r="G5" s="91" t="s">
        <v>1149</v>
      </c>
      <c r="H5" s="3"/>
      <c r="I5" s="4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 t="s">
        <v>1150</v>
      </c>
      <c r="AA5" s="3"/>
      <c r="AB5" s="3"/>
      <c r="AD5" s="3"/>
    </row>
    <row r="6" ht="14.25" customHeight="1">
      <c r="A6" s="20" t="s">
        <v>72</v>
      </c>
      <c r="B6" s="21" t="s">
        <v>76</v>
      </c>
      <c r="C6" s="22" t="s">
        <v>77</v>
      </c>
      <c r="D6" s="22" t="s">
        <v>1034</v>
      </c>
      <c r="E6" s="22" t="s">
        <v>1035</v>
      </c>
      <c r="F6" s="22" t="s">
        <v>1036</v>
      </c>
      <c r="G6" s="22" t="s">
        <v>10</v>
      </c>
      <c r="H6" s="6" t="s">
        <v>5</v>
      </c>
      <c r="I6" s="6" t="s">
        <v>7</v>
      </c>
      <c r="J6" s="6" t="s">
        <v>8</v>
      </c>
      <c r="K6" s="6" t="s">
        <v>11</v>
      </c>
      <c r="L6" s="6" t="s">
        <v>12</v>
      </c>
      <c r="M6" s="23" t="s">
        <v>81</v>
      </c>
      <c r="N6" s="23" t="s">
        <v>17</v>
      </c>
      <c r="O6" s="20" t="s">
        <v>16</v>
      </c>
      <c r="P6" s="24" t="s">
        <v>86</v>
      </c>
      <c r="Q6" s="20" t="s">
        <v>13</v>
      </c>
      <c r="R6" s="20" t="s">
        <v>15</v>
      </c>
      <c r="S6" s="20" t="s">
        <v>20</v>
      </c>
      <c r="T6" s="20" t="s">
        <v>27</v>
      </c>
      <c r="U6" s="20" t="s">
        <v>23</v>
      </c>
      <c r="V6" s="21" t="s">
        <v>87</v>
      </c>
      <c r="W6" s="21" t="s">
        <v>1037</v>
      </c>
      <c r="X6" s="6" t="s">
        <v>14</v>
      </c>
    </row>
    <row r="7" ht="14.25" customHeight="1">
      <c r="A7" s="11"/>
      <c r="B7" s="11" t="str">
        <f t="shared" ref="B7:B109" si="1">IFERROR(INT(AVERAGE(Q7:U7)/12)+1, INT(AVERAGE(N7)/12)+1)</f>
        <v>#N/A</v>
      </c>
      <c r="C7" s="11" t="s">
        <v>95</v>
      </c>
      <c r="D7" s="11">
        <v>74.0</v>
      </c>
      <c r="E7" s="11">
        <v>58.0</v>
      </c>
      <c r="F7" s="11">
        <f t="shared" ref="F7:F307" si="2">D7-E7</f>
        <v>16</v>
      </c>
      <c r="G7" s="11"/>
      <c r="H7" s="11" t="s">
        <v>74</v>
      </c>
      <c r="I7" s="58" t="str">
        <f>VLOOKUP($H7, 'ADP Data'!$B$4:$Q$300, 2, FALSE)</f>
        <v>#N/A</v>
      </c>
      <c r="J7" s="11" t="s">
        <v>775</v>
      </c>
      <c r="K7" s="11" t="str">
        <f>VLOOKUP($H7, SeanRanks!$A$2:$H$303, 5, FALSE)</f>
        <v/>
      </c>
      <c r="L7" s="11" t="str">
        <f>IF(VLOOKUP($H7, SeanRanks!$A$2:$H$303, 6, FALSE)=0, "", VLOOKUP($H7, SeanRanks!$A$2:$H$303, 6, FALSE))</f>
        <v>WR1 - 1 - Elite</v>
      </c>
      <c r="M7" s="11">
        <f t="shared" ref="M7:M307" si="3">IFERROR(INT(N7/12)+1, 16)</f>
        <v>16</v>
      </c>
      <c r="N7" s="11" t="str">
        <f>VLOOKUP($H7, 'ADP Data'!$B$4:$Q$300, 10, FALSE)</f>
        <v>#N/A</v>
      </c>
      <c r="O7" s="11" t="str">
        <f>VLOOKUP($H7, 'ADP Data'!$B$4:$Q$300, 4, FALSE)</f>
        <v>#N/A</v>
      </c>
      <c r="P7" s="11" t="str">
        <f t="shared" ref="P7:P307" si="4">N7-O7</f>
        <v>#N/A</v>
      </c>
      <c r="Q7" s="11" t="str">
        <f>VLOOKUP($H7, 'ADP Data'!$B$4:$Q$300, 5, FALSE)</f>
        <v>#N/A</v>
      </c>
      <c r="R7" s="11" t="str">
        <f>VLOOKUP($H7, 'ADP Data'!$B$4:$Q$300, 6, FALSE)</f>
        <v>#N/A</v>
      </c>
      <c r="S7" s="11" t="str">
        <f>VLOOKUP($H7, 'ADP Data'!$B$4:$Q$300, 7, FALSE)</f>
        <v>#N/A</v>
      </c>
      <c r="T7" s="11" t="str">
        <f>VLOOKUP($H7, 'ADP Data'!$B$4:$Q$300, 8, FALSE)</f>
        <v>#N/A</v>
      </c>
      <c r="U7" s="11" t="str">
        <f>VLOOKUP($H7, 'ADP Data'!$B$4:$Q$300, 9, FALSE)</f>
        <v>#N/A</v>
      </c>
      <c r="V7" s="11" t="str">
        <f t="shared" ref="V7:V307" si="5">INT(AVERAGE(N7:O7,Q7:U7))</f>
        <v>#N/A</v>
      </c>
      <c r="W7" s="11" t="str">
        <f t="shared" ref="W7:W307" si="6">R7-V7</f>
        <v>#N/A</v>
      </c>
      <c r="X7" s="11">
        <f>IF(VLOOKUP($H7, SeanRanks!$A$2:$H$303, 7, FALSE)=0, "", VLOOKUP($H7, SeanRanks!$A$2:$H$303, 7, FALSE))</f>
        <v>2</v>
      </c>
    </row>
    <row r="8" ht="14.25" customHeight="1">
      <c r="A8" s="11"/>
      <c r="B8" s="11" t="str">
        <f t="shared" si="1"/>
        <v>#N/A</v>
      </c>
      <c r="C8" s="11" t="s">
        <v>95</v>
      </c>
      <c r="D8" s="11">
        <v>68.0</v>
      </c>
      <c r="E8" s="11">
        <v>55.0</v>
      </c>
      <c r="F8" s="11">
        <f t="shared" si="2"/>
        <v>13</v>
      </c>
      <c r="G8" s="11"/>
      <c r="H8" s="11" t="s">
        <v>44</v>
      </c>
      <c r="I8" s="11" t="str">
        <f>VLOOKUP($H8, 'ADP Data'!$B$4:$Q$300, 2, FALSE)</f>
        <v>#N/A</v>
      </c>
      <c r="J8" s="11" t="s">
        <v>775</v>
      </c>
      <c r="K8" s="11" t="str">
        <f>VLOOKUP($H8, SeanRanks!$A$2:$H$303, 5, FALSE)</f>
        <v/>
      </c>
      <c r="L8" s="11" t="str">
        <f>IF(VLOOKUP($H8, SeanRanks!$A$2:$H$303, 6, FALSE)=0, "", VLOOKUP($H8, SeanRanks!$A$2:$H$303, 6, FALSE))</f>
        <v>WR1 - 1 - Elite</v>
      </c>
      <c r="M8" s="11">
        <f t="shared" si="3"/>
        <v>16</v>
      </c>
      <c r="N8" s="11" t="str">
        <f>VLOOKUP($H8, 'ADP Data'!$B$4:$Q$300, 10, FALSE)</f>
        <v>#N/A</v>
      </c>
      <c r="O8" s="11" t="str">
        <f>VLOOKUP($H8, 'ADP Data'!$B$4:$Q$300, 4, FALSE)</f>
        <v>#N/A</v>
      </c>
      <c r="P8" s="11" t="str">
        <f t="shared" si="4"/>
        <v>#N/A</v>
      </c>
      <c r="Q8" s="11" t="str">
        <f>VLOOKUP($H8, 'ADP Data'!$B$4:$Q$300, 5, FALSE)</f>
        <v>#N/A</v>
      </c>
      <c r="R8" s="11" t="str">
        <f>VLOOKUP($H8, 'ADP Data'!$B$4:$Q$300, 6, FALSE)</f>
        <v>#N/A</v>
      </c>
      <c r="S8" s="11" t="str">
        <f>VLOOKUP($H8, 'ADP Data'!$B$4:$Q$300, 7, FALSE)</f>
        <v>#N/A</v>
      </c>
      <c r="T8" s="11" t="str">
        <f>VLOOKUP($H8, 'ADP Data'!$B$4:$Q$300, 8, FALSE)</f>
        <v>#N/A</v>
      </c>
      <c r="U8" s="11" t="str">
        <f>VLOOKUP($H8, 'ADP Data'!$B$4:$Q$300, 9, FALSE)</f>
        <v>#N/A</v>
      </c>
      <c r="V8" s="11" t="str">
        <f t="shared" si="5"/>
        <v>#N/A</v>
      </c>
      <c r="W8" s="11" t="str">
        <f t="shared" si="6"/>
        <v>#N/A</v>
      </c>
      <c r="X8" s="11">
        <f>IF(VLOOKUP($H8, SeanRanks!$A$2:$H$303, 7, FALSE)=0, "", VLOOKUP($H8, SeanRanks!$A$2:$H$303, 7, FALSE))</f>
        <v>1</v>
      </c>
    </row>
    <row r="9" ht="14.25" customHeight="1">
      <c r="A9" s="11"/>
      <c r="B9" s="11" t="str">
        <f t="shared" si="1"/>
        <v>#N/A</v>
      </c>
      <c r="C9" s="11" t="s">
        <v>95</v>
      </c>
      <c r="D9" s="11">
        <v>67.0</v>
      </c>
      <c r="E9" s="11">
        <v>65.0</v>
      </c>
      <c r="F9" s="11">
        <f t="shared" si="2"/>
        <v>2</v>
      </c>
      <c r="G9" s="11"/>
      <c r="H9" s="11" t="s">
        <v>57</v>
      </c>
      <c r="I9" s="11" t="str">
        <f>VLOOKUP($H9, 'ADP Data'!$B$4:$Q$300, 2, FALSE)</f>
        <v>#N/A</v>
      </c>
      <c r="J9" s="11" t="s">
        <v>772</v>
      </c>
      <c r="K9" s="11" t="str">
        <f>VLOOKUP($H9, SeanRanks!$A$2:$H$303, 5, FALSE)</f>
        <v/>
      </c>
      <c r="L9" s="11" t="str">
        <f>IF(VLOOKUP($H9, SeanRanks!$A$2:$H$303, 6, FALSE)=0, "", VLOOKUP($H9, SeanRanks!$A$2:$H$303, 6, FALSE))</f>
        <v>RB1 - 1 - Elite floor/ceiling</v>
      </c>
      <c r="M9" s="11">
        <f t="shared" si="3"/>
        <v>16</v>
      </c>
      <c r="N9" s="11" t="str">
        <f>VLOOKUP($H9, 'ADP Data'!$B$4:$Q$300, 10, FALSE)</f>
        <v>#N/A</v>
      </c>
      <c r="O9" s="11" t="str">
        <f>VLOOKUP($H9, 'ADP Data'!$B$4:$Q$300, 4, FALSE)</f>
        <v>#N/A</v>
      </c>
      <c r="P9" s="11" t="str">
        <f t="shared" si="4"/>
        <v>#N/A</v>
      </c>
      <c r="Q9" s="11" t="str">
        <f>VLOOKUP($H9, 'ADP Data'!$B$4:$Q$300, 5, FALSE)</f>
        <v>#N/A</v>
      </c>
      <c r="R9" s="11" t="str">
        <f>VLOOKUP($H9, 'ADP Data'!$B$4:$Q$300, 6, FALSE)</f>
        <v>#N/A</v>
      </c>
      <c r="S9" s="11" t="str">
        <f>VLOOKUP($H9, 'ADP Data'!$B$4:$Q$300, 7, FALSE)</f>
        <v>#N/A</v>
      </c>
      <c r="T9" s="11" t="str">
        <f>VLOOKUP($H9, 'ADP Data'!$B$4:$Q$300, 8, FALSE)</f>
        <v>#N/A</v>
      </c>
      <c r="U9" s="11" t="str">
        <f>VLOOKUP($H9, 'ADP Data'!$B$4:$Q$300, 9, FALSE)</f>
        <v>#N/A</v>
      </c>
      <c r="V9" s="11" t="str">
        <f t="shared" si="5"/>
        <v>#N/A</v>
      </c>
      <c r="W9" s="11" t="str">
        <f t="shared" si="6"/>
        <v>#N/A</v>
      </c>
      <c r="X9" s="11">
        <f>IF(VLOOKUP($H9, SeanRanks!$A$2:$H$303, 7, FALSE)=0, "", VLOOKUP($H9, SeanRanks!$A$2:$H$303, 7, FALSE))</f>
        <v>4</v>
      </c>
    </row>
    <row r="10" ht="14.25" customHeight="1">
      <c r="A10" s="11"/>
      <c r="B10" s="11" t="str">
        <f t="shared" si="1"/>
        <v>#N/A</v>
      </c>
      <c r="C10" s="11" t="s">
        <v>95</v>
      </c>
      <c r="D10" s="11">
        <v>64.0</v>
      </c>
      <c r="E10" s="11">
        <v>50.0</v>
      </c>
      <c r="F10" s="11">
        <f t="shared" si="2"/>
        <v>14</v>
      </c>
      <c r="G10" s="11" t="s">
        <v>1123</v>
      </c>
      <c r="H10" s="11" t="s">
        <v>848</v>
      </c>
      <c r="I10" s="58" t="str">
        <f>VLOOKUP($H10, 'ADP Data'!$B$4:$Q$300, 2, FALSE)</f>
        <v>#N/A</v>
      </c>
      <c r="J10" s="11" t="s">
        <v>772</v>
      </c>
      <c r="K10" s="11" t="str">
        <f>VLOOKUP($H10, SeanRanks!$A$2:$H$303, 5, FALSE)</f>
        <v/>
      </c>
      <c r="L10" s="11" t="str">
        <f>IF(VLOOKUP($H10, SeanRanks!$A$2:$H$303, 6, FALSE)=0, "", VLOOKUP($H10, SeanRanks!$A$2:$H$303, 6, FALSE))</f>
        <v>RB4 - 2 - low ceiling</v>
      </c>
      <c r="M10" s="11">
        <f t="shared" si="3"/>
        <v>16</v>
      </c>
      <c r="N10" s="11" t="str">
        <f>VLOOKUP($H10, 'ADP Data'!$B$4:$Q$300, 10, FALSE)</f>
        <v>#N/A</v>
      </c>
      <c r="O10" s="11" t="str">
        <f>VLOOKUP($H10, 'ADP Data'!$B$4:$Q$300, 4, FALSE)</f>
        <v>#N/A</v>
      </c>
      <c r="P10" s="11" t="str">
        <f t="shared" si="4"/>
        <v>#N/A</v>
      </c>
      <c r="Q10" s="11" t="str">
        <f>VLOOKUP($H10, 'ADP Data'!$B$4:$Q$300, 5, FALSE)</f>
        <v>#N/A</v>
      </c>
      <c r="R10" s="11" t="str">
        <f>VLOOKUP($H10, 'ADP Data'!$B$4:$Q$300, 6, FALSE)</f>
        <v>#N/A</v>
      </c>
      <c r="S10" s="11" t="str">
        <f>VLOOKUP($H10, 'ADP Data'!$B$4:$Q$300, 7, FALSE)</f>
        <v>#N/A</v>
      </c>
      <c r="T10" s="11" t="str">
        <f>VLOOKUP($H10, 'ADP Data'!$B$4:$Q$300, 8, FALSE)</f>
        <v>#N/A</v>
      </c>
      <c r="U10" s="11" t="str">
        <f>VLOOKUP($H10, 'ADP Data'!$B$4:$Q$300, 9, FALSE)</f>
        <v>#N/A</v>
      </c>
      <c r="V10" s="11" t="str">
        <f t="shared" si="5"/>
        <v>#N/A</v>
      </c>
      <c r="W10" s="11" t="str">
        <f t="shared" si="6"/>
        <v>#N/A</v>
      </c>
      <c r="X10" s="11">
        <f>IF(VLOOKUP($H10, SeanRanks!$A$2:$H$303, 7, FALSE)=0, "", VLOOKUP($H10, SeanRanks!$A$2:$H$303, 7, FALSE))</f>
        <v>49</v>
      </c>
    </row>
    <row r="11" ht="14.25" customHeight="1">
      <c r="A11" s="11"/>
      <c r="B11" s="11" t="str">
        <f t="shared" si="1"/>
        <v>#N/A</v>
      </c>
      <c r="C11" s="11" t="s">
        <v>95</v>
      </c>
      <c r="D11" s="11">
        <v>62.0</v>
      </c>
      <c r="E11" s="11">
        <v>45.0</v>
      </c>
      <c r="F11" s="11">
        <f t="shared" si="2"/>
        <v>17</v>
      </c>
      <c r="G11" s="11"/>
      <c r="H11" s="11" t="s">
        <v>132</v>
      </c>
      <c r="I11" s="11" t="str">
        <f>VLOOKUP($H11, 'ADP Data'!$B$4:$Q$300, 2, FALSE)</f>
        <v>#N/A</v>
      </c>
      <c r="J11" s="11" t="s">
        <v>775</v>
      </c>
      <c r="K11" s="11" t="str">
        <f>VLOOKUP($H11, SeanRanks!$A$2:$H$303, 5, FALSE)</f>
        <v>Yes</v>
      </c>
      <c r="L11" s="11" t="str">
        <f>IF(VLOOKUP($H11, SeanRanks!$A$2:$H$303, 6, FALSE)=0, "", VLOOKUP($H11, SeanRanks!$A$2:$H$303, 6, FALSE))</f>
        <v>WR2 - 1 - WR1 upside</v>
      </c>
      <c r="M11" s="11">
        <f t="shared" si="3"/>
        <v>16</v>
      </c>
      <c r="N11" s="11" t="str">
        <f>VLOOKUP($H11, 'ADP Data'!$B$4:$Q$300, 10, FALSE)</f>
        <v>#N/A</v>
      </c>
      <c r="O11" s="11" t="str">
        <f>VLOOKUP($H11, 'ADP Data'!$B$4:$Q$300, 4, FALSE)</f>
        <v>#N/A</v>
      </c>
      <c r="P11" s="11" t="str">
        <f t="shared" si="4"/>
        <v>#N/A</v>
      </c>
      <c r="Q11" s="11" t="str">
        <f>VLOOKUP($H11, 'ADP Data'!$B$4:$Q$300, 5, FALSE)</f>
        <v>#N/A</v>
      </c>
      <c r="R11" s="11" t="str">
        <f>VLOOKUP($H11, 'ADP Data'!$B$4:$Q$300, 6, FALSE)</f>
        <v>#N/A</v>
      </c>
      <c r="S11" s="11" t="str">
        <f>VLOOKUP($H11, 'ADP Data'!$B$4:$Q$300, 7, FALSE)</f>
        <v>#N/A</v>
      </c>
      <c r="T11" s="11" t="str">
        <f>VLOOKUP($H11, 'ADP Data'!$B$4:$Q$300, 8, FALSE)</f>
        <v>#N/A</v>
      </c>
      <c r="U11" s="11" t="str">
        <f>VLOOKUP($H11, 'ADP Data'!$B$4:$Q$300, 9, FALSE)</f>
        <v>#N/A</v>
      </c>
      <c r="V11" s="11" t="str">
        <f t="shared" si="5"/>
        <v>#N/A</v>
      </c>
      <c r="W11" s="11" t="str">
        <f t="shared" si="6"/>
        <v>#N/A</v>
      </c>
      <c r="X11" s="11">
        <f>IF(VLOOKUP($H11, SeanRanks!$A$2:$H$303, 7, FALSE)=0, "", VLOOKUP($H11, SeanRanks!$A$2:$H$303, 7, FALSE))</f>
        <v>16</v>
      </c>
    </row>
    <row r="12" ht="14.25" customHeight="1">
      <c r="A12" s="11"/>
      <c r="B12" s="11" t="str">
        <f t="shared" si="1"/>
        <v>#N/A</v>
      </c>
      <c r="C12" s="11" t="s">
        <v>95</v>
      </c>
      <c r="D12" s="11">
        <v>59.0</v>
      </c>
      <c r="E12" s="11">
        <v>55.0</v>
      </c>
      <c r="F12" s="11">
        <f t="shared" si="2"/>
        <v>4</v>
      </c>
      <c r="G12" s="11"/>
      <c r="H12" s="11" t="s">
        <v>39</v>
      </c>
      <c r="I12" s="11" t="str">
        <f>VLOOKUP($H12, 'ADP Data'!$B$4:$Q$300, 2, FALSE)</f>
        <v>#N/A</v>
      </c>
      <c r="J12" s="11" t="s">
        <v>772</v>
      </c>
      <c r="K12" s="11" t="str">
        <f>VLOOKUP($H12, SeanRanks!$A$2:$H$303, 5, FALSE)</f>
        <v/>
      </c>
      <c r="L12" s="11" t="str">
        <f>IF(VLOOKUP($H12, SeanRanks!$A$2:$H$303, 6, FALSE)=0, "", VLOOKUP($H12, SeanRanks!$A$2:$H$303, 6, FALSE))</f>
        <v>RB1 - 1 - Elite floor/ceiling</v>
      </c>
      <c r="M12" s="11">
        <f t="shared" si="3"/>
        <v>16</v>
      </c>
      <c r="N12" s="11" t="str">
        <f>VLOOKUP($H12, 'ADP Data'!$B$4:$Q$300, 10, FALSE)</f>
        <v>#N/A</v>
      </c>
      <c r="O12" s="11" t="str">
        <f>VLOOKUP($H12, 'ADP Data'!$B$4:$Q$300, 4, FALSE)</f>
        <v>#N/A</v>
      </c>
      <c r="P12" s="11" t="str">
        <f t="shared" si="4"/>
        <v>#N/A</v>
      </c>
      <c r="Q12" s="11" t="str">
        <f>VLOOKUP($H12, 'ADP Data'!$B$4:$Q$300, 5, FALSE)</f>
        <v>#N/A</v>
      </c>
      <c r="R12" s="11" t="str">
        <f>VLOOKUP($H12, 'ADP Data'!$B$4:$Q$300, 6, FALSE)</f>
        <v>#N/A</v>
      </c>
      <c r="S12" s="11" t="str">
        <f>VLOOKUP($H12, 'ADP Data'!$B$4:$Q$300, 7, FALSE)</f>
        <v>#N/A</v>
      </c>
      <c r="T12" s="11" t="str">
        <f>VLOOKUP($H12, 'ADP Data'!$B$4:$Q$300, 8, FALSE)</f>
        <v>#N/A</v>
      </c>
      <c r="U12" s="11" t="str">
        <f>VLOOKUP($H12, 'ADP Data'!$B$4:$Q$300, 9, FALSE)</f>
        <v>#N/A</v>
      </c>
      <c r="V12" s="11" t="str">
        <f t="shared" si="5"/>
        <v>#N/A</v>
      </c>
      <c r="W12" s="11" t="str">
        <f t="shared" si="6"/>
        <v>#N/A</v>
      </c>
      <c r="X12" s="11">
        <f>IF(VLOOKUP($H12, SeanRanks!$A$2:$H$303, 7, FALSE)=0, "", VLOOKUP($H12, SeanRanks!$A$2:$H$303, 7, FALSE))</f>
        <v>1</v>
      </c>
    </row>
    <row r="13" ht="14.25" customHeight="1">
      <c r="A13" s="11"/>
      <c r="B13" s="11" t="str">
        <f t="shared" si="1"/>
        <v>#N/A</v>
      </c>
      <c r="C13" s="11" t="s">
        <v>95</v>
      </c>
      <c r="D13" s="11">
        <v>41.0</v>
      </c>
      <c r="E13" s="11">
        <v>20.0</v>
      </c>
      <c r="F13" s="11">
        <f t="shared" si="2"/>
        <v>21</v>
      </c>
      <c r="G13" s="11"/>
      <c r="H13" s="11" t="s">
        <v>458</v>
      </c>
      <c r="I13" s="11" t="str">
        <f>VLOOKUP($H13, 'ADP Data'!$B$4:$Q$300, 2, FALSE)</f>
        <v>#N/A</v>
      </c>
      <c r="J13" s="11" t="s">
        <v>775</v>
      </c>
      <c r="K13" s="11" t="str">
        <f>VLOOKUP($H13, SeanRanks!$A$2:$H$303, 5, FALSE)</f>
        <v/>
      </c>
      <c r="L13" s="11" t="str">
        <f>IF(VLOOKUP($H13, SeanRanks!$A$2:$H$303, 6, FALSE)=0, "", VLOOKUP($H13, SeanRanks!$A$2:$H$303, 6, FALSE))</f>
        <v>WR5 - 2 - floor play not league winner</v>
      </c>
      <c r="M13" s="11">
        <f t="shared" si="3"/>
        <v>16</v>
      </c>
      <c r="N13" s="11" t="str">
        <f>VLOOKUP($H13, 'ADP Data'!$B$4:$Q$300, 10, FALSE)</f>
        <v>#N/A</v>
      </c>
      <c r="O13" s="11" t="str">
        <f>VLOOKUP($H13, 'ADP Data'!$B$4:$Q$300, 4, FALSE)</f>
        <v>#N/A</v>
      </c>
      <c r="P13" s="11" t="str">
        <f t="shared" si="4"/>
        <v>#N/A</v>
      </c>
      <c r="Q13" s="11" t="str">
        <f>VLOOKUP($H13, 'ADP Data'!$B$4:$Q$300, 5, FALSE)</f>
        <v>#N/A</v>
      </c>
      <c r="R13" s="11" t="str">
        <f>VLOOKUP($H13, 'ADP Data'!$B$4:$Q$300, 6, FALSE)</f>
        <v>#N/A</v>
      </c>
      <c r="S13" s="11" t="str">
        <f>VLOOKUP($H13, 'ADP Data'!$B$4:$Q$300, 7, FALSE)</f>
        <v>#N/A</v>
      </c>
      <c r="T13" s="11" t="str">
        <f>VLOOKUP($H13, 'ADP Data'!$B$4:$Q$300, 8, FALSE)</f>
        <v>#N/A</v>
      </c>
      <c r="U13" s="11" t="str">
        <f>VLOOKUP($H13, 'ADP Data'!$B$4:$Q$300, 9, FALSE)</f>
        <v>#N/A</v>
      </c>
      <c r="V13" s="11" t="str">
        <f t="shared" si="5"/>
        <v>#N/A</v>
      </c>
      <c r="W13" s="11" t="str">
        <f t="shared" si="6"/>
        <v>#N/A</v>
      </c>
      <c r="X13" s="11">
        <f>IF(VLOOKUP($H13, SeanRanks!$A$2:$H$303, 7, FALSE)=0, "", VLOOKUP($H13, SeanRanks!$A$2:$H$303, 7, FALSE))</f>
        <v>55</v>
      </c>
    </row>
    <row r="14" ht="14.25" customHeight="1">
      <c r="A14" s="11" t="s">
        <v>1156</v>
      </c>
      <c r="B14" s="11" t="str">
        <f t="shared" si="1"/>
        <v>#N/A</v>
      </c>
      <c r="C14" s="11" t="s">
        <v>95</v>
      </c>
      <c r="D14" s="11">
        <v>56.0</v>
      </c>
      <c r="E14" s="11">
        <v>55.0</v>
      </c>
      <c r="F14" s="11">
        <f t="shared" si="2"/>
        <v>1</v>
      </c>
      <c r="G14" s="11"/>
      <c r="H14" s="11" t="s">
        <v>84</v>
      </c>
      <c r="I14" s="11" t="str">
        <f>VLOOKUP($H14, 'ADP Data'!$B$4:$Q$300, 2, FALSE)</f>
        <v>#N/A</v>
      </c>
      <c r="J14" s="11" t="s">
        <v>772</v>
      </c>
      <c r="K14" s="11" t="str">
        <f>VLOOKUP($H14, SeanRanks!$A$2:$H$303, 5, FALSE)</f>
        <v/>
      </c>
      <c r="L14" s="11" t="str">
        <f>IF(VLOOKUP($H14, SeanRanks!$A$2:$H$303, 6, FALSE)=0, "", VLOOKUP($H14, SeanRanks!$A$2:$H$303, 6, FALSE))</f>
        <v>RB1 - 1 - Elite floor/ceiling</v>
      </c>
      <c r="M14" s="11">
        <f t="shared" si="3"/>
        <v>16</v>
      </c>
      <c r="N14" s="11" t="str">
        <f>VLOOKUP($H14, 'ADP Data'!$B$4:$Q$300, 10, FALSE)</f>
        <v>#N/A</v>
      </c>
      <c r="O14" s="11" t="str">
        <f>VLOOKUP($H14, 'ADP Data'!$B$4:$Q$300, 4, FALSE)</f>
        <v>#N/A</v>
      </c>
      <c r="P14" s="11" t="str">
        <f t="shared" si="4"/>
        <v>#N/A</v>
      </c>
      <c r="Q14" s="11" t="str">
        <f>VLOOKUP($H14, 'ADP Data'!$B$4:$Q$300, 5, FALSE)</f>
        <v>#N/A</v>
      </c>
      <c r="R14" s="11" t="str">
        <f>VLOOKUP($H14, 'ADP Data'!$B$4:$Q$300, 6, FALSE)</f>
        <v>#N/A</v>
      </c>
      <c r="S14" s="11" t="str">
        <f>VLOOKUP($H14, 'ADP Data'!$B$4:$Q$300, 7, FALSE)</f>
        <v>#N/A</v>
      </c>
      <c r="T14" s="11" t="str">
        <f>VLOOKUP($H14, 'ADP Data'!$B$4:$Q$300, 8, FALSE)</f>
        <v>#N/A</v>
      </c>
      <c r="U14" s="11" t="str">
        <f>VLOOKUP($H14, 'ADP Data'!$B$4:$Q$300, 9, FALSE)</f>
        <v>#N/A</v>
      </c>
      <c r="V14" s="11" t="str">
        <f t="shared" si="5"/>
        <v>#N/A</v>
      </c>
      <c r="W14" s="11" t="str">
        <f t="shared" si="6"/>
        <v>#N/A</v>
      </c>
      <c r="X14" s="11">
        <f>IF(VLOOKUP($H14, SeanRanks!$A$2:$H$303, 7, FALSE)=0, "", VLOOKUP($H14, SeanRanks!$A$2:$H$303, 7, FALSE))</f>
        <v>2</v>
      </c>
    </row>
    <row r="15" ht="14.25" customHeight="1">
      <c r="A15" s="11"/>
      <c r="B15" s="11" t="str">
        <f t="shared" si="1"/>
        <v>#N/A</v>
      </c>
      <c r="C15" s="11" t="s">
        <v>95</v>
      </c>
      <c r="D15" s="11">
        <v>52.0</v>
      </c>
      <c r="E15" s="11">
        <v>30.0</v>
      </c>
      <c r="F15" s="11">
        <f t="shared" si="2"/>
        <v>22</v>
      </c>
      <c r="G15" s="11"/>
      <c r="H15" s="11" t="s">
        <v>321</v>
      </c>
      <c r="I15" s="58" t="str">
        <f>VLOOKUP($H15, 'ADP Data'!$B$4:$Q$300, 2, FALSE)</f>
        <v>#N/A</v>
      </c>
      <c r="J15" s="11" t="s">
        <v>781</v>
      </c>
      <c r="K15" s="11" t="str">
        <f>VLOOKUP($H15, SeanRanks!$A$2:$H$303, 5, FALSE)</f>
        <v>No</v>
      </c>
      <c r="L15" s="11" t="str">
        <f>IF(VLOOKUP($H15, SeanRanks!$A$2:$H$303, 6, FALSE)=0, "", VLOOKUP($H15, SeanRanks!$A$2:$H$303, 6, FALSE))</f>
        <v>TE1 - 3 - Weekly Start</v>
      </c>
      <c r="M15" s="11">
        <f t="shared" si="3"/>
        <v>16</v>
      </c>
      <c r="N15" s="11" t="str">
        <f>VLOOKUP($H15, 'ADP Data'!$B$4:$Q$300, 10, FALSE)</f>
        <v>#N/A</v>
      </c>
      <c r="O15" s="11" t="str">
        <f>VLOOKUP($H15, 'ADP Data'!$B$4:$Q$300, 4, FALSE)</f>
        <v>#N/A</v>
      </c>
      <c r="P15" s="11" t="str">
        <f t="shared" si="4"/>
        <v>#N/A</v>
      </c>
      <c r="Q15" s="11" t="str">
        <f>VLOOKUP($H15, 'ADP Data'!$B$4:$Q$300, 5, FALSE)</f>
        <v>#N/A</v>
      </c>
      <c r="R15" s="11" t="str">
        <f>VLOOKUP($H15, 'ADP Data'!$B$4:$Q$300, 6, FALSE)</f>
        <v>#N/A</v>
      </c>
      <c r="S15" s="11" t="str">
        <f>VLOOKUP($H15, 'ADP Data'!$B$4:$Q$300, 7, FALSE)</f>
        <v>#N/A</v>
      </c>
      <c r="T15" s="11" t="str">
        <f>VLOOKUP($H15, 'ADP Data'!$B$4:$Q$300, 8, FALSE)</f>
        <v>#N/A</v>
      </c>
      <c r="U15" s="11" t="str">
        <f>VLOOKUP($H15, 'ADP Data'!$B$4:$Q$300, 9, FALSE)</f>
        <v>#N/A</v>
      </c>
      <c r="V15" s="11" t="str">
        <f t="shared" si="5"/>
        <v>#N/A</v>
      </c>
      <c r="W15" s="11" t="str">
        <f t="shared" si="6"/>
        <v>#N/A</v>
      </c>
      <c r="X15" s="11">
        <f>IF(VLOOKUP($H15, SeanRanks!$A$2:$H$303, 7, FALSE)=0, "", VLOOKUP($H15, SeanRanks!$A$2:$H$303, 7, FALSE))</f>
        <v>9</v>
      </c>
    </row>
    <row r="16" ht="14.25" customHeight="1">
      <c r="A16" s="11"/>
      <c r="B16" s="11" t="str">
        <f t="shared" si="1"/>
        <v>#N/A</v>
      </c>
      <c r="C16" s="11" t="s">
        <v>95</v>
      </c>
      <c r="D16" s="11">
        <v>52.0</v>
      </c>
      <c r="E16" s="11">
        <v>45.0</v>
      </c>
      <c r="F16" s="11">
        <f t="shared" si="2"/>
        <v>7</v>
      </c>
      <c r="G16" s="11" t="s">
        <v>106</v>
      </c>
      <c r="H16" s="11" t="s">
        <v>299</v>
      </c>
      <c r="I16" s="11" t="str">
        <f>VLOOKUP($H16, 'ADP Data'!$B$4:$Q$300, 2, FALSE)</f>
        <v>#N/A</v>
      </c>
      <c r="J16" s="11" t="s">
        <v>775</v>
      </c>
      <c r="K16" s="11" t="str">
        <f>VLOOKUP($H16, SeanRanks!$A$2:$H$303, 5, FALSE)</f>
        <v/>
      </c>
      <c r="L16" s="11" t="str">
        <f>IF(VLOOKUP($H16, SeanRanks!$A$2:$H$303, 6, FALSE)=0, "", VLOOKUP($H16, SeanRanks!$A$2:$H$303, 6, FALSE))</f>
        <v>WR3 - 3 - lower ceiling</v>
      </c>
      <c r="M16" s="11">
        <f t="shared" si="3"/>
        <v>16</v>
      </c>
      <c r="N16" s="11" t="str">
        <f>VLOOKUP($H16, 'ADP Data'!$B$4:$Q$300, 10, FALSE)</f>
        <v>#N/A</v>
      </c>
      <c r="O16" s="11" t="str">
        <f>VLOOKUP($H16, 'ADP Data'!$B$4:$Q$300, 4, FALSE)</f>
        <v>#N/A</v>
      </c>
      <c r="P16" s="11" t="str">
        <f t="shared" si="4"/>
        <v>#N/A</v>
      </c>
      <c r="Q16" s="11" t="str">
        <f>VLOOKUP($H16, 'ADP Data'!$B$4:$Q$300, 5, FALSE)</f>
        <v>#N/A</v>
      </c>
      <c r="R16" s="11" t="str">
        <f>VLOOKUP($H16, 'ADP Data'!$B$4:$Q$300, 6, FALSE)</f>
        <v>#N/A</v>
      </c>
      <c r="S16" s="11" t="str">
        <f>VLOOKUP($H16, 'ADP Data'!$B$4:$Q$300, 7, FALSE)</f>
        <v>#N/A</v>
      </c>
      <c r="T16" s="11" t="str">
        <f>VLOOKUP($H16, 'ADP Data'!$B$4:$Q$300, 8, FALSE)</f>
        <v>#N/A</v>
      </c>
      <c r="U16" s="11" t="str">
        <f>VLOOKUP($H16, 'ADP Data'!$B$4:$Q$300, 9, FALSE)</f>
        <v>#N/A</v>
      </c>
      <c r="V16" s="11" t="str">
        <f t="shared" si="5"/>
        <v>#N/A</v>
      </c>
      <c r="W16" s="11" t="str">
        <f t="shared" si="6"/>
        <v>#N/A</v>
      </c>
      <c r="X16" s="11">
        <f>IF(VLOOKUP($H16, SeanRanks!$A$2:$H$303, 7, FALSE)=0, "", VLOOKUP($H16, SeanRanks!$A$2:$H$303, 7, FALSE))</f>
        <v>38</v>
      </c>
    </row>
    <row r="17" ht="14.25" customHeight="1">
      <c r="A17" s="11"/>
      <c r="B17" s="11" t="str">
        <f t="shared" si="1"/>
        <v>#N/A</v>
      </c>
      <c r="C17" s="11" t="s">
        <v>95</v>
      </c>
      <c r="D17" s="11">
        <v>62.0</v>
      </c>
      <c r="E17" s="11">
        <v>55.0</v>
      </c>
      <c r="F17" s="11">
        <f t="shared" si="2"/>
        <v>7</v>
      </c>
      <c r="G17" s="11"/>
      <c r="H17" s="11" t="s">
        <v>874</v>
      </c>
      <c r="I17" s="57" t="str">
        <f>VLOOKUP($H17, 'ADP Data'!$B$4:$Q$300, 2, FALSE)</f>
        <v>#N/A</v>
      </c>
      <c r="J17" s="11" t="s">
        <v>772</v>
      </c>
      <c r="K17" s="11" t="str">
        <f>VLOOKUP($H17, SeanRanks!$A$2:$H$303, 5, FALSE)</f>
        <v/>
      </c>
      <c r="L17" s="11" t="str">
        <f>IF(VLOOKUP($H17, SeanRanks!$A$2:$H$303, 6, FALSE)=0, "", VLOOKUP($H17, SeanRanks!$A$2:$H$303, 6, FALSE))</f>
        <v>RB4 - 2 - low ceiling</v>
      </c>
      <c r="M17" s="11">
        <f t="shared" si="3"/>
        <v>16</v>
      </c>
      <c r="N17" s="11" t="str">
        <f>VLOOKUP($H17, 'ADP Data'!$B$4:$Q$300, 10, FALSE)</f>
        <v>#N/A</v>
      </c>
      <c r="O17" s="11" t="str">
        <f>VLOOKUP($H17, 'ADP Data'!$B$4:$Q$300, 4, FALSE)</f>
        <v>#N/A</v>
      </c>
      <c r="P17" s="11" t="str">
        <f t="shared" si="4"/>
        <v>#N/A</v>
      </c>
      <c r="Q17" s="11" t="str">
        <f>VLOOKUP($H17, 'ADP Data'!$B$4:$Q$300, 5, FALSE)</f>
        <v>#N/A</v>
      </c>
      <c r="R17" s="11" t="str">
        <f>VLOOKUP($H17, 'ADP Data'!$B$4:$Q$300, 6, FALSE)</f>
        <v>#N/A</v>
      </c>
      <c r="S17" s="11" t="str">
        <f>VLOOKUP($H17, 'ADP Data'!$B$4:$Q$300, 7, FALSE)</f>
        <v>#N/A</v>
      </c>
      <c r="T17" s="11" t="str">
        <f>VLOOKUP($H17, 'ADP Data'!$B$4:$Q$300, 8, FALSE)</f>
        <v>#N/A</v>
      </c>
      <c r="U17" s="11" t="str">
        <f>VLOOKUP($H17, 'ADP Data'!$B$4:$Q$300, 9, FALSE)</f>
        <v>#N/A</v>
      </c>
      <c r="V17" s="11" t="str">
        <f t="shared" si="5"/>
        <v>#N/A</v>
      </c>
      <c r="W17" s="11" t="str">
        <f t="shared" si="6"/>
        <v>#N/A</v>
      </c>
      <c r="X17" s="11">
        <f>IF(VLOOKUP($H17, SeanRanks!$A$2:$H$303, 7, FALSE)=0, "", VLOOKUP($H17, SeanRanks!$A$2:$H$303, 7, FALSE))</f>
        <v>47</v>
      </c>
    </row>
    <row r="18" ht="14.25" customHeight="1">
      <c r="A18" s="11"/>
      <c r="B18" s="11" t="str">
        <f t="shared" si="1"/>
        <v>#N/A</v>
      </c>
      <c r="C18" s="11" t="s">
        <v>95</v>
      </c>
      <c r="D18" s="11">
        <v>58.0</v>
      </c>
      <c r="E18" s="11">
        <v>55.0</v>
      </c>
      <c r="F18" s="11">
        <f t="shared" si="2"/>
        <v>3</v>
      </c>
      <c r="G18" s="11"/>
      <c r="H18" s="11" t="s">
        <v>255</v>
      </c>
      <c r="I18" s="11" t="str">
        <f>VLOOKUP($H18, 'ADP Data'!$B$4:$Q$300, 2, FALSE)</f>
        <v>#N/A</v>
      </c>
      <c r="J18" s="11" t="s">
        <v>772</v>
      </c>
      <c r="K18" s="11" t="str">
        <f>VLOOKUP($H18, SeanRanks!$A$2:$H$303, 5, FALSE)</f>
        <v/>
      </c>
      <c r="L18" s="11" t="str">
        <f>IF(VLOOKUP($H18, SeanRanks!$A$2:$H$303, 6, FALSE)=0, "", VLOOKUP($H18, SeanRanks!$A$2:$H$303, 6, FALSE))</f>
        <v>RB2 - 2 - Path to spikes</v>
      </c>
      <c r="M18" s="11">
        <f t="shared" si="3"/>
        <v>16</v>
      </c>
      <c r="N18" s="11" t="str">
        <f>VLOOKUP($H18, 'ADP Data'!$B$4:$Q$300, 10, FALSE)</f>
        <v>#N/A</v>
      </c>
      <c r="O18" s="11" t="str">
        <f>VLOOKUP($H18, 'ADP Data'!$B$4:$Q$300, 4, FALSE)</f>
        <v>#N/A</v>
      </c>
      <c r="P18" s="11" t="str">
        <f t="shared" si="4"/>
        <v>#N/A</v>
      </c>
      <c r="Q18" s="11" t="str">
        <f>VLOOKUP($H18, 'ADP Data'!$B$4:$Q$300, 5, FALSE)</f>
        <v>#N/A</v>
      </c>
      <c r="R18" s="11" t="str">
        <f>VLOOKUP($H18, 'ADP Data'!$B$4:$Q$300, 6, FALSE)</f>
        <v>#N/A</v>
      </c>
      <c r="S18" s="11" t="str">
        <f>VLOOKUP($H18, 'ADP Data'!$B$4:$Q$300, 7, FALSE)</f>
        <v>#N/A</v>
      </c>
      <c r="T18" s="11" t="str">
        <f>VLOOKUP($H18, 'ADP Data'!$B$4:$Q$300, 8, FALSE)</f>
        <v>#N/A</v>
      </c>
      <c r="U18" s="11" t="str">
        <f>VLOOKUP($H18, 'ADP Data'!$B$4:$Q$300, 9, FALSE)</f>
        <v>#N/A</v>
      </c>
      <c r="V18" s="11" t="str">
        <f t="shared" si="5"/>
        <v>#N/A</v>
      </c>
      <c r="W18" s="11" t="str">
        <f t="shared" si="6"/>
        <v>#N/A</v>
      </c>
      <c r="X18" s="11">
        <f>IF(VLOOKUP($H18, SeanRanks!$A$2:$H$303, 7, FALSE)=0, "", VLOOKUP($H18, SeanRanks!$A$2:$H$303, 7, FALSE))</f>
        <v>24</v>
      </c>
    </row>
    <row r="19" ht="14.25" customHeight="1">
      <c r="A19" s="11"/>
      <c r="B19" s="11" t="str">
        <f t="shared" si="1"/>
        <v>#N/A</v>
      </c>
      <c r="C19" s="11" t="s">
        <v>95</v>
      </c>
      <c r="D19" s="11">
        <v>50.0</v>
      </c>
      <c r="E19" s="11">
        <v>43.0</v>
      </c>
      <c r="F19" s="11">
        <f t="shared" si="2"/>
        <v>7</v>
      </c>
      <c r="G19" s="11"/>
      <c r="H19" s="11" t="s">
        <v>113</v>
      </c>
      <c r="I19" s="11" t="str">
        <f>VLOOKUP($H19, 'ADP Data'!$B$4:$Q$300, 2, FALSE)</f>
        <v>#N/A</v>
      </c>
      <c r="J19" s="11" t="s">
        <v>775</v>
      </c>
      <c r="K19" s="11" t="str">
        <f>VLOOKUP($H19, SeanRanks!$A$2:$H$303, 5, FALSE)</f>
        <v/>
      </c>
      <c r="L19" s="11" t="str">
        <f>IF(VLOOKUP($H19, SeanRanks!$A$2:$H$303, 6, FALSE)=0, "", VLOOKUP($H19, SeanRanks!$A$2:$H$303, 6, FALSE))</f>
        <v>WR1 - 3 - Inconsistent</v>
      </c>
      <c r="M19" s="11">
        <f t="shared" si="3"/>
        <v>16</v>
      </c>
      <c r="N19" s="11" t="str">
        <f>VLOOKUP($H19, 'ADP Data'!$B$4:$Q$300, 10, FALSE)</f>
        <v>#N/A</v>
      </c>
      <c r="O19" s="11" t="str">
        <f>VLOOKUP($H19, 'ADP Data'!$B$4:$Q$300, 4, FALSE)</f>
        <v>#N/A</v>
      </c>
      <c r="P19" s="11" t="str">
        <f t="shared" si="4"/>
        <v>#N/A</v>
      </c>
      <c r="Q19" s="11" t="str">
        <f>VLOOKUP($H19, 'ADP Data'!$B$4:$Q$300, 5, FALSE)</f>
        <v>#N/A</v>
      </c>
      <c r="R19" s="11" t="str">
        <f>VLOOKUP($H19, 'ADP Data'!$B$4:$Q$300, 6, FALSE)</f>
        <v>#N/A</v>
      </c>
      <c r="S19" s="11" t="str">
        <f>VLOOKUP($H19, 'ADP Data'!$B$4:$Q$300, 7, FALSE)</f>
        <v>#N/A</v>
      </c>
      <c r="T19" s="11" t="str">
        <f>VLOOKUP($H19, 'ADP Data'!$B$4:$Q$300, 8, FALSE)</f>
        <v>#N/A</v>
      </c>
      <c r="U19" s="11" t="str">
        <f>VLOOKUP($H19, 'ADP Data'!$B$4:$Q$300, 9, FALSE)</f>
        <v>#N/A</v>
      </c>
      <c r="V19" s="11" t="str">
        <f t="shared" si="5"/>
        <v>#N/A</v>
      </c>
      <c r="W19" s="11" t="str">
        <f t="shared" si="6"/>
        <v>#N/A</v>
      </c>
      <c r="X19" s="11">
        <f>IF(VLOOKUP($H19, SeanRanks!$A$2:$H$303, 7, FALSE)=0, "", VLOOKUP($H19, SeanRanks!$A$2:$H$303, 7, FALSE))</f>
        <v>11</v>
      </c>
    </row>
    <row r="20" ht="14.25" customHeight="1">
      <c r="A20" s="11"/>
      <c r="B20" s="11" t="str">
        <f t="shared" si="1"/>
        <v>#N/A</v>
      </c>
      <c r="C20" s="11" t="s">
        <v>95</v>
      </c>
      <c r="D20" s="11">
        <v>47.0</v>
      </c>
      <c r="E20" s="11">
        <v>25.0</v>
      </c>
      <c r="F20" s="11">
        <f t="shared" si="2"/>
        <v>22</v>
      </c>
      <c r="G20" s="11" t="s">
        <v>1122</v>
      </c>
      <c r="H20" s="11" t="s">
        <v>70</v>
      </c>
      <c r="I20" s="11" t="str">
        <f>VLOOKUP($H20, 'ADP Data'!$B$4:$Q$300, 2, FALSE)</f>
        <v>#N/A</v>
      </c>
      <c r="J20" s="11" t="s">
        <v>775</v>
      </c>
      <c r="K20" s="11" t="str">
        <f>VLOOKUP($H20, SeanRanks!$A$2:$H$303, 5, FALSE)</f>
        <v/>
      </c>
      <c r="L20" s="11" t="str">
        <f>IF(VLOOKUP($H20, SeanRanks!$A$2:$H$303, 6, FALSE)=0, "", VLOOKUP($H20, SeanRanks!$A$2:$H$303, 6, FALSE))</f>
        <v>WR1 - 1 - Elite</v>
      </c>
      <c r="M20" s="11">
        <f t="shared" si="3"/>
        <v>16</v>
      </c>
      <c r="N20" s="11" t="str">
        <f>VLOOKUP($H20, 'ADP Data'!$B$4:$Q$300, 10, FALSE)</f>
        <v>#N/A</v>
      </c>
      <c r="O20" s="11" t="str">
        <f>VLOOKUP($H20, 'ADP Data'!$B$4:$Q$300, 4, FALSE)</f>
        <v>#N/A</v>
      </c>
      <c r="P20" s="11" t="str">
        <f t="shared" si="4"/>
        <v>#N/A</v>
      </c>
      <c r="Q20" s="11" t="str">
        <f>VLOOKUP($H20, 'ADP Data'!$B$4:$Q$300, 5, FALSE)</f>
        <v>#N/A</v>
      </c>
      <c r="R20" s="11" t="str">
        <f>VLOOKUP($H20, 'ADP Data'!$B$4:$Q$300, 6, FALSE)</f>
        <v>#N/A</v>
      </c>
      <c r="S20" s="11" t="str">
        <f>VLOOKUP($H20, 'ADP Data'!$B$4:$Q$300, 7, FALSE)</f>
        <v>#N/A</v>
      </c>
      <c r="T20" s="11" t="str">
        <f>VLOOKUP($H20, 'ADP Data'!$B$4:$Q$300, 8, FALSE)</f>
        <v>#N/A</v>
      </c>
      <c r="U20" s="11" t="str">
        <f>VLOOKUP($H20, 'ADP Data'!$B$4:$Q$300, 9, FALSE)</f>
        <v>#N/A</v>
      </c>
      <c r="V20" s="11" t="str">
        <f t="shared" si="5"/>
        <v>#N/A</v>
      </c>
      <c r="W20" s="11" t="str">
        <f t="shared" si="6"/>
        <v>#N/A</v>
      </c>
      <c r="X20" s="11">
        <f>IF(VLOOKUP($H20, SeanRanks!$A$2:$H$303, 7, FALSE)=0, "", VLOOKUP($H20, SeanRanks!$A$2:$H$303, 7, FALSE))</f>
        <v>3</v>
      </c>
    </row>
    <row r="21" ht="14.25" customHeight="1">
      <c r="A21" s="11" t="s">
        <v>1156</v>
      </c>
      <c r="B21" s="11" t="str">
        <f t="shared" si="1"/>
        <v>#N/A</v>
      </c>
      <c r="C21" s="11" t="s">
        <v>95</v>
      </c>
      <c r="D21" s="11">
        <v>41.0</v>
      </c>
      <c r="E21" s="11">
        <v>32.0</v>
      </c>
      <c r="F21" s="11">
        <f t="shared" si="2"/>
        <v>9</v>
      </c>
      <c r="G21" s="11"/>
      <c r="H21" s="11" t="s">
        <v>64</v>
      </c>
      <c r="I21" s="58" t="str">
        <f>VLOOKUP($H21, 'ADP Data'!$B$4:$Q$300, 2, FALSE)</f>
        <v>#N/A</v>
      </c>
      <c r="J21" s="11" t="s">
        <v>775</v>
      </c>
      <c r="K21" s="11" t="str">
        <f>VLOOKUP($H21, SeanRanks!$A$2:$H$303, 5, FALSE)</f>
        <v/>
      </c>
      <c r="L21" s="11" t="str">
        <f>IF(VLOOKUP($H21, SeanRanks!$A$2:$H$303, 6, FALSE)=0, "", VLOOKUP($H21, SeanRanks!$A$2:$H$303, 6, FALSE))</f>
        <v>WR1 - 2 - High Floor</v>
      </c>
      <c r="M21" s="11">
        <f t="shared" si="3"/>
        <v>16</v>
      </c>
      <c r="N21" s="11" t="str">
        <f>VLOOKUP($H21, 'ADP Data'!$B$4:$Q$300, 10, FALSE)</f>
        <v>#N/A</v>
      </c>
      <c r="O21" s="11" t="str">
        <f>VLOOKUP($H21, 'ADP Data'!$B$4:$Q$300, 4, FALSE)</f>
        <v>#N/A</v>
      </c>
      <c r="P21" s="11" t="str">
        <f t="shared" si="4"/>
        <v>#N/A</v>
      </c>
      <c r="Q21" s="11" t="str">
        <f>VLOOKUP($H21, 'ADP Data'!$B$4:$Q$300, 5, FALSE)</f>
        <v>#N/A</v>
      </c>
      <c r="R21" s="11" t="str">
        <f>VLOOKUP($H21, 'ADP Data'!$B$4:$Q$300, 6, FALSE)</f>
        <v>#N/A</v>
      </c>
      <c r="S21" s="11" t="str">
        <f>VLOOKUP($H21, 'ADP Data'!$B$4:$Q$300, 7, FALSE)</f>
        <v>#N/A</v>
      </c>
      <c r="T21" s="11" t="str">
        <f>VLOOKUP($H21, 'ADP Data'!$B$4:$Q$300, 8, FALSE)</f>
        <v>#N/A</v>
      </c>
      <c r="U21" s="11" t="str">
        <f>VLOOKUP($H21, 'ADP Data'!$B$4:$Q$300, 9, FALSE)</f>
        <v>#N/A</v>
      </c>
      <c r="V21" s="11" t="str">
        <f t="shared" si="5"/>
        <v>#N/A</v>
      </c>
      <c r="W21" s="11" t="str">
        <f t="shared" si="6"/>
        <v>#N/A</v>
      </c>
      <c r="X21" s="11">
        <f>IF(VLOOKUP($H21, SeanRanks!$A$2:$H$303, 7, FALSE)=0, "", VLOOKUP($H21, SeanRanks!$A$2:$H$303, 7, FALSE))</f>
        <v>6</v>
      </c>
    </row>
    <row r="22" ht="14.25" customHeight="1">
      <c r="A22" s="11"/>
      <c r="B22" s="11" t="str">
        <f t="shared" si="1"/>
        <v>#N/A</v>
      </c>
      <c r="C22" s="11" t="s">
        <v>95</v>
      </c>
      <c r="D22" s="11">
        <v>45.0</v>
      </c>
      <c r="E22" s="11">
        <v>32.0</v>
      </c>
      <c r="F22" s="11">
        <f t="shared" si="2"/>
        <v>13</v>
      </c>
      <c r="G22" s="11"/>
      <c r="H22" s="11" t="s">
        <v>156</v>
      </c>
      <c r="I22" s="11" t="str">
        <f>VLOOKUP($H22, 'ADP Data'!$B$4:$Q$300, 2, FALSE)</f>
        <v>#N/A</v>
      </c>
      <c r="J22" s="11" t="s">
        <v>775</v>
      </c>
      <c r="K22" s="11" t="str">
        <f>VLOOKUP($H22, SeanRanks!$A$2:$H$303, 5, FALSE)</f>
        <v/>
      </c>
      <c r="L22" s="11" t="str">
        <f>IF(VLOOKUP($H22, SeanRanks!$A$2:$H$303, 6, FALSE)=0, "", VLOOKUP($H22, SeanRanks!$A$2:$H$303, 6, FALSE))</f>
        <v>WR2 - 1 - WR1 upside</v>
      </c>
      <c r="M22" s="11">
        <f t="shared" si="3"/>
        <v>16</v>
      </c>
      <c r="N22" s="11" t="str">
        <f>VLOOKUP($H22, 'ADP Data'!$B$4:$Q$300, 10, FALSE)</f>
        <v>#N/A</v>
      </c>
      <c r="O22" s="11" t="str">
        <f>VLOOKUP($H22, 'ADP Data'!$B$4:$Q$300, 4, FALSE)</f>
        <v>#N/A</v>
      </c>
      <c r="P22" s="11" t="str">
        <f t="shared" si="4"/>
        <v>#N/A</v>
      </c>
      <c r="Q22" s="11" t="str">
        <f>VLOOKUP($H22, 'ADP Data'!$B$4:$Q$300, 5, FALSE)</f>
        <v>#N/A</v>
      </c>
      <c r="R22" s="11" t="str">
        <f>VLOOKUP($H22, 'ADP Data'!$B$4:$Q$300, 6, FALSE)</f>
        <v>#N/A</v>
      </c>
      <c r="S22" s="11" t="str">
        <f>VLOOKUP($H22, 'ADP Data'!$B$4:$Q$300, 7, FALSE)</f>
        <v>#N/A</v>
      </c>
      <c r="T22" s="11" t="str">
        <f>VLOOKUP($H22, 'ADP Data'!$B$4:$Q$300, 8, FALSE)</f>
        <v>#N/A</v>
      </c>
      <c r="U22" s="11" t="str">
        <f>VLOOKUP($H22, 'ADP Data'!$B$4:$Q$300, 9, FALSE)</f>
        <v>#N/A</v>
      </c>
      <c r="V22" s="11" t="str">
        <f t="shared" si="5"/>
        <v>#N/A</v>
      </c>
      <c r="W22" s="11" t="str">
        <f t="shared" si="6"/>
        <v>#N/A</v>
      </c>
      <c r="X22" s="11">
        <f>IF(VLOOKUP($H22, SeanRanks!$A$2:$H$303, 7, FALSE)=0, "", VLOOKUP($H22, SeanRanks!$A$2:$H$303, 7, FALSE))</f>
        <v>17</v>
      </c>
    </row>
    <row r="23" ht="14.25" customHeight="1">
      <c r="A23" s="11" t="s">
        <v>1156</v>
      </c>
      <c r="B23" s="11" t="str">
        <f t="shared" si="1"/>
        <v>#N/A</v>
      </c>
      <c r="C23" s="11" t="s">
        <v>95</v>
      </c>
      <c r="D23" s="11">
        <v>45.0</v>
      </c>
      <c r="E23" s="11">
        <v>45.0</v>
      </c>
      <c r="F23" s="11">
        <f t="shared" si="2"/>
        <v>0</v>
      </c>
      <c r="G23" s="11"/>
      <c r="H23" s="11" t="s">
        <v>153</v>
      </c>
      <c r="I23" s="11" t="str">
        <f>VLOOKUP($H23, 'ADP Data'!$B$4:$Q$300, 2, FALSE)</f>
        <v>#N/A</v>
      </c>
      <c r="J23" s="11" t="s">
        <v>772</v>
      </c>
      <c r="K23" s="11" t="str">
        <f>VLOOKUP($H23, SeanRanks!$A$2:$H$303, 5, FALSE)</f>
        <v/>
      </c>
      <c r="L23" s="11" t="str">
        <f>IF(VLOOKUP($H23, SeanRanks!$A$2:$H$303, 6, FALSE)=0, "", VLOOKUP($H23, SeanRanks!$A$2:$H$303, 6, FALSE))</f>
        <v>RB1 - 2 - Elite ceiling/questions</v>
      </c>
      <c r="M23" s="11">
        <f t="shared" si="3"/>
        <v>16</v>
      </c>
      <c r="N23" s="11" t="str">
        <f>VLOOKUP($H23, 'ADP Data'!$B$4:$Q$300, 10, FALSE)</f>
        <v>#N/A</v>
      </c>
      <c r="O23" s="11" t="str">
        <f>VLOOKUP($H23, 'ADP Data'!$B$4:$Q$300, 4, FALSE)</f>
        <v>#N/A</v>
      </c>
      <c r="P23" s="11" t="str">
        <f t="shared" si="4"/>
        <v>#N/A</v>
      </c>
      <c r="Q23" s="11" t="str">
        <f>VLOOKUP($H23, 'ADP Data'!$B$4:$Q$300, 5, FALSE)</f>
        <v>#N/A</v>
      </c>
      <c r="R23" s="11" t="str">
        <f>VLOOKUP($H23, 'ADP Data'!$B$4:$Q$300, 6, FALSE)</f>
        <v>#N/A</v>
      </c>
      <c r="S23" s="11" t="str">
        <f>VLOOKUP($H23, 'ADP Data'!$B$4:$Q$300, 7, FALSE)</f>
        <v>#N/A</v>
      </c>
      <c r="T23" s="11" t="str">
        <f>VLOOKUP($H23, 'ADP Data'!$B$4:$Q$300, 8, FALSE)</f>
        <v>#N/A</v>
      </c>
      <c r="U23" s="11" t="str">
        <f>VLOOKUP($H23, 'ADP Data'!$B$4:$Q$300, 9, FALSE)</f>
        <v>#N/A</v>
      </c>
      <c r="V23" s="11" t="str">
        <f t="shared" si="5"/>
        <v>#N/A</v>
      </c>
      <c r="W23" s="11" t="str">
        <f t="shared" si="6"/>
        <v>#N/A</v>
      </c>
      <c r="X23" s="11">
        <f>IF(VLOOKUP($H23, SeanRanks!$A$2:$H$303, 7, FALSE)=0, "", VLOOKUP($H23, SeanRanks!$A$2:$H$303, 7, FALSE))</f>
        <v>7</v>
      </c>
    </row>
    <row r="24" ht="14.25" customHeight="1">
      <c r="A24" s="11"/>
      <c r="B24" s="11" t="str">
        <f t="shared" si="1"/>
        <v>#N/A</v>
      </c>
      <c r="C24" s="11" t="s">
        <v>95</v>
      </c>
      <c r="D24" s="11">
        <v>71.0</v>
      </c>
      <c r="E24" s="11">
        <v>38.0</v>
      </c>
      <c r="F24" s="11">
        <f t="shared" si="2"/>
        <v>33</v>
      </c>
      <c r="G24" s="11"/>
      <c r="H24" s="11" t="s">
        <v>108</v>
      </c>
      <c r="I24" s="93" t="str">
        <f>VLOOKUP($H24, 'ADP Data'!$B$4:$Q$300, 2, FALSE)</f>
        <v>#N/A</v>
      </c>
      <c r="J24" s="11" t="s">
        <v>772</v>
      </c>
      <c r="K24" s="11" t="str">
        <f>VLOOKUP($H24, SeanRanks!$A$2:$H$303, 5, FALSE)</f>
        <v/>
      </c>
      <c r="L24" s="11" t="str">
        <f>IF(VLOOKUP($H24, SeanRanks!$A$2:$H$303, 6, FALSE)=0, "", VLOOKUP($H24, SeanRanks!$A$2:$H$303, 6, FALSE))</f>
        <v>RB1 - 2 - Elite ceiling/questions</v>
      </c>
      <c r="M24" s="11">
        <f t="shared" si="3"/>
        <v>16</v>
      </c>
      <c r="N24" s="11" t="str">
        <f>VLOOKUP($H24, 'ADP Data'!$B$4:$Q$300, 10, FALSE)</f>
        <v>#N/A</v>
      </c>
      <c r="O24" s="11" t="str">
        <f>VLOOKUP($H24, 'ADP Data'!$B$4:$Q$300, 4, FALSE)</f>
        <v>#N/A</v>
      </c>
      <c r="P24" s="11" t="str">
        <f t="shared" si="4"/>
        <v>#N/A</v>
      </c>
      <c r="Q24" s="11" t="str">
        <f>VLOOKUP($H24, 'ADP Data'!$B$4:$Q$300, 5, FALSE)</f>
        <v>#N/A</v>
      </c>
      <c r="R24" s="11" t="str">
        <f>VLOOKUP($H24, 'ADP Data'!$B$4:$Q$300, 6, FALSE)</f>
        <v>#N/A</v>
      </c>
      <c r="S24" s="11" t="str">
        <f>VLOOKUP($H24, 'ADP Data'!$B$4:$Q$300, 7, FALSE)</f>
        <v>#N/A</v>
      </c>
      <c r="T24" s="11" t="str">
        <f>VLOOKUP($H24, 'ADP Data'!$B$4:$Q$300, 8, FALSE)</f>
        <v>#N/A</v>
      </c>
      <c r="U24" s="11" t="str">
        <f>VLOOKUP($H24, 'ADP Data'!$B$4:$Q$300, 9, FALSE)</f>
        <v>#N/A</v>
      </c>
      <c r="V24" s="11" t="str">
        <f t="shared" si="5"/>
        <v>#N/A</v>
      </c>
      <c r="W24" s="11" t="str">
        <f t="shared" si="6"/>
        <v>#N/A</v>
      </c>
      <c r="X24" s="11">
        <f>IF(VLOOKUP($H24, SeanRanks!$A$2:$H$303, 7, FALSE)=0, "", VLOOKUP($H24, SeanRanks!$A$2:$H$303, 7, FALSE))</f>
        <v>8</v>
      </c>
    </row>
    <row r="25" ht="14.25" customHeight="1">
      <c r="A25" s="11"/>
      <c r="B25" s="11" t="str">
        <f t="shared" si="1"/>
        <v>#N/A</v>
      </c>
      <c r="C25" s="11" t="s">
        <v>95</v>
      </c>
      <c r="D25" s="11">
        <v>56.0</v>
      </c>
      <c r="E25" s="11">
        <v>25.0</v>
      </c>
      <c r="F25" s="11">
        <f t="shared" si="2"/>
        <v>31</v>
      </c>
      <c r="G25" s="11" t="s">
        <v>1122</v>
      </c>
      <c r="H25" s="11" t="s">
        <v>197</v>
      </c>
      <c r="I25" s="11" t="str">
        <f>VLOOKUP($H25, 'ADP Data'!$B$4:$Q$300, 2, FALSE)</f>
        <v>#N/A</v>
      </c>
      <c r="J25" s="11" t="s">
        <v>775</v>
      </c>
      <c r="K25" s="11" t="str">
        <f>VLOOKUP($H25, SeanRanks!$A$2:$H$303, 5, FALSE)</f>
        <v/>
      </c>
      <c r="L25" s="11" t="str">
        <f>IF(VLOOKUP($H25, SeanRanks!$A$2:$H$303, 6, FALSE)=0, "", VLOOKUP($H25, SeanRanks!$A$2:$H$303, 6, FALSE))</f>
        <v>WR2 - 2 - Upside with risk</v>
      </c>
      <c r="M25" s="11">
        <f t="shared" si="3"/>
        <v>16</v>
      </c>
      <c r="N25" s="11" t="str">
        <f>VLOOKUP($H25, 'ADP Data'!$B$4:$Q$300, 10, FALSE)</f>
        <v>#N/A</v>
      </c>
      <c r="O25" s="11" t="str">
        <f>VLOOKUP($H25, 'ADP Data'!$B$4:$Q$300, 4, FALSE)</f>
        <v>#N/A</v>
      </c>
      <c r="P25" s="11" t="str">
        <f t="shared" si="4"/>
        <v>#N/A</v>
      </c>
      <c r="Q25" s="11" t="str">
        <f>VLOOKUP($H25, 'ADP Data'!$B$4:$Q$300, 5, FALSE)</f>
        <v>#N/A</v>
      </c>
      <c r="R25" s="11" t="str">
        <f>VLOOKUP($H25, 'ADP Data'!$B$4:$Q$300, 6, FALSE)</f>
        <v>#N/A</v>
      </c>
      <c r="S25" s="11" t="str">
        <f>VLOOKUP($H25, 'ADP Data'!$B$4:$Q$300, 7, FALSE)</f>
        <v>#N/A</v>
      </c>
      <c r="T25" s="11" t="str">
        <f>VLOOKUP($H25, 'ADP Data'!$B$4:$Q$300, 8, FALSE)</f>
        <v>#N/A</v>
      </c>
      <c r="U25" s="11" t="str">
        <f>VLOOKUP($H25, 'ADP Data'!$B$4:$Q$300, 9, FALSE)</f>
        <v>#N/A</v>
      </c>
      <c r="V25" s="11" t="str">
        <f t="shared" si="5"/>
        <v>#N/A</v>
      </c>
      <c r="W25" s="11" t="str">
        <f t="shared" si="6"/>
        <v>#N/A</v>
      </c>
      <c r="X25" s="11">
        <f>IF(VLOOKUP($H25, SeanRanks!$A$2:$H$303, 7, FALSE)=0, "", VLOOKUP($H25, SeanRanks!$A$2:$H$303, 7, FALSE))</f>
        <v>19</v>
      </c>
    </row>
    <row r="26" ht="14.25" customHeight="1">
      <c r="A26" s="11"/>
      <c r="B26" s="11" t="str">
        <f t="shared" si="1"/>
        <v>#N/A</v>
      </c>
      <c r="C26" s="11" t="s">
        <v>95</v>
      </c>
      <c r="D26" s="11">
        <v>36.0</v>
      </c>
      <c r="E26" s="11">
        <v>32.0</v>
      </c>
      <c r="F26" s="11">
        <f t="shared" si="2"/>
        <v>4</v>
      </c>
      <c r="G26" s="11"/>
      <c r="H26" s="11" t="s">
        <v>130</v>
      </c>
      <c r="I26" s="11" t="str">
        <f>VLOOKUP($H26, 'ADP Data'!$B$4:$Q$300, 2, FALSE)</f>
        <v>#N/A</v>
      </c>
      <c r="J26" s="11" t="s">
        <v>775</v>
      </c>
      <c r="K26" s="11" t="str">
        <f>VLOOKUP($H26, SeanRanks!$A$2:$H$303, 5, FALSE)</f>
        <v/>
      </c>
      <c r="L26" s="11" t="str">
        <f>IF(VLOOKUP($H26, SeanRanks!$A$2:$H$303, 6, FALSE)=0, "", VLOOKUP($H26, SeanRanks!$A$2:$H$303, 6, FALSE))</f>
        <v>WR3 - 2 - mid, but path to big upside</v>
      </c>
      <c r="M26" s="11">
        <f t="shared" si="3"/>
        <v>16</v>
      </c>
      <c r="N26" s="11" t="str">
        <f>VLOOKUP($H26, 'ADP Data'!$B$4:$Q$300, 10, FALSE)</f>
        <v>#N/A</v>
      </c>
      <c r="O26" s="11" t="str">
        <f>VLOOKUP($H26, 'ADP Data'!$B$4:$Q$300, 4, FALSE)</f>
        <v>#N/A</v>
      </c>
      <c r="P26" s="11" t="str">
        <f t="shared" si="4"/>
        <v>#N/A</v>
      </c>
      <c r="Q26" s="11" t="str">
        <f>VLOOKUP($H26, 'ADP Data'!$B$4:$Q$300, 5, FALSE)</f>
        <v>#N/A</v>
      </c>
      <c r="R26" s="11" t="str">
        <f>VLOOKUP($H26, 'ADP Data'!$B$4:$Q$300, 6, FALSE)</f>
        <v>#N/A</v>
      </c>
      <c r="S26" s="11" t="str">
        <f>VLOOKUP($H26, 'ADP Data'!$B$4:$Q$300, 7, FALSE)</f>
        <v>#N/A</v>
      </c>
      <c r="T26" s="11" t="str">
        <f>VLOOKUP($H26, 'ADP Data'!$B$4:$Q$300, 8, FALSE)</f>
        <v>#N/A</v>
      </c>
      <c r="U26" s="11" t="str">
        <f>VLOOKUP($H26, 'ADP Data'!$B$4:$Q$300, 9, FALSE)</f>
        <v>#N/A</v>
      </c>
      <c r="V26" s="11" t="str">
        <f t="shared" si="5"/>
        <v>#N/A</v>
      </c>
      <c r="W26" s="11" t="str">
        <f t="shared" si="6"/>
        <v>#N/A</v>
      </c>
      <c r="X26" s="11">
        <f>IF(VLOOKUP($H26, SeanRanks!$A$2:$H$303, 7, FALSE)=0, "", VLOOKUP($H26, SeanRanks!$A$2:$H$303, 7, FALSE))</f>
        <v>32</v>
      </c>
    </row>
    <row r="27" ht="14.25" customHeight="1">
      <c r="A27" s="11"/>
      <c r="B27" s="11" t="str">
        <f t="shared" si="1"/>
        <v>#N/A</v>
      </c>
      <c r="C27" s="11" t="s">
        <v>95</v>
      </c>
      <c r="D27" s="11">
        <v>38.0</v>
      </c>
      <c r="E27" s="11">
        <v>28.0</v>
      </c>
      <c r="F27" s="11">
        <f t="shared" si="2"/>
        <v>10</v>
      </c>
      <c r="G27" s="11"/>
      <c r="H27" s="11" t="s">
        <v>175</v>
      </c>
      <c r="I27" s="11" t="str">
        <f>VLOOKUP($H27, 'ADP Data'!$B$4:$Q$300, 2, FALSE)</f>
        <v>#N/A</v>
      </c>
      <c r="J27" s="11" t="s">
        <v>775</v>
      </c>
      <c r="K27" s="11" t="str">
        <f>VLOOKUP($H27, SeanRanks!$A$2:$H$303, 5, FALSE)</f>
        <v>No</v>
      </c>
      <c r="L27" s="11" t="str">
        <f>IF(VLOOKUP($H27, SeanRanks!$A$2:$H$303, 6, FALSE)=0, "", VLOOKUP($H27, SeanRanks!$A$2:$H$303, 6, FALSE))</f>
        <v>WR3 - 2 - mid, but path to big upside</v>
      </c>
      <c r="M27" s="11">
        <f t="shared" si="3"/>
        <v>16</v>
      </c>
      <c r="N27" s="11" t="str">
        <f>VLOOKUP($H27, 'ADP Data'!$B$4:$Q$300, 10, FALSE)</f>
        <v>#N/A</v>
      </c>
      <c r="O27" s="11" t="str">
        <f>VLOOKUP($H27, 'ADP Data'!$B$4:$Q$300, 4, FALSE)</f>
        <v>#N/A</v>
      </c>
      <c r="P27" s="11" t="str">
        <f t="shared" si="4"/>
        <v>#N/A</v>
      </c>
      <c r="Q27" s="11" t="str">
        <f>VLOOKUP($H27, 'ADP Data'!$B$4:$Q$300, 5, FALSE)</f>
        <v>#N/A</v>
      </c>
      <c r="R27" s="11" t="str">
        <f>VLOOKUP($H27, 'ADP Data'!$B$4:$Q$300, 6, FALSE)</f>
        <v>#N/A</v>
      </c>
      <c r="S27" s="11" t="str">
        <f>VLOOKUP($H27, 'ADP Data'!$B$4:$Q$300, 7, FALSE)</f>
        <v>#N/A</v>
      </c>
      <c r="T27" s="11" t="str">
        <f>VLOOKUP($H27, 'ADP Data'!$B$4:$Q$300, 8, FALSE)</f>
        <v>#N/A</v>
      </c>
      <c r="U27" s="11" t="str">
        <f>VLOOKUP($H27, 'ADP Data'!$B$4:$Q$300, 9, FALSE)</f>
        <v>#N/A</v>
      </c>
      <c r="V27" s="11" t="str">
        <f t="shared" si="5"/>
        <v>#N/A</v>
      </c>
      <c r="W27" s="11" t="str">
        <f t="shared" si="6"/>
        <v>#N/A</v>
      </c>
      <c r="X27" s="11">
        <f>IF(VLOOKUP($H27, SeanRanks!$A$2:$H$303, 7, FALSE)=0, "", VLOOKUP($H27, SeanRanks!$A$2:$H$303, 7, FALSE))</f>
        <v>31</v>
      </c>
    </row>
    <row r="28" ht="14.25" customHeight="1">
      <c r="A28" s="11"/>
      <c r="B28" s="11" t="str">
        <f t="shared" si="1"/>
        <v>#N/A</v>
      </c>
      <c r="C28" s="11" t="s">
        <v>95</v>
      </c>
      <c r="D28" s="11">
        <v>34.0</v>
      </c>
      <c r="E28" s="11">
        <v>33.0</v>
      </c>
      <c r="F28" s="11">
        <f t="shared" si="2"/>
        <v>1</v>
      </c>
      <c r="G28" s="11"/>
      <c r="H28" s="11" t="s">
        <v>789</v>
      </c>
      <c r="I28" s="11" t="str">
        <f>VLOOKUP($H28, 'ADP Data'!$B$4:$Q$300, 2, FALSE)</f>
        <v>#N/A</v>
      </c>
      <c r="J28" s="11" t="s">
        <v>772</v>
      </c>
      <c r="K28" s="11" t="str">
        <f>VLOOKUP($H28, SeanRanks!$A$2:$H$303, 5, FALSE)</f>
        <v/>
      </c>
      <c r="L28" s="11" t="str">
        <f>IF(VLOOKUP($H28, SeanRanks!$A$2:$H$303, 6, FALSE)=0, "", VLOOKUP($H28, SeanRanks!$A$2:$H$303, 6, FALSE))</f>
        <v>RB2 - 2 - Path to spikes</v>
      </c>
      <c r="M28" s="11">
        <f t="shared" si="3"/>
        <v>16</v>
      </c>
      <c r="N28" s="11" t="str">
        <f>VLOOKUP($H28, 'ADP Data'!$B$4:$Q$300, 10, FALSE)</f>
        <v>#N/A</v>
      </c>
      <c r="O28" s="11" t="str">
        <f>VLOOKUP($H28, 'ADP Data'!$B$4:$Q$300, 4, FALSE)</f>
        <v>#N/A</v>
      </c>
      <c r="P28" s="11" t="str">
        <f t="shared" si="4"/>
        <v>#N/A</v>
      </c>
      <c r="Q28" s="11" t="str">
        <f>VLOOKUP($H28, 'ADP Data'!$B$4:$Q$300, 5, FALSE)</f>
        <v>#N/A</v>
      </c>
      <c r="R28" s="11" t="str">
        <f>VLOOKUP($H28, 'ADP Data'!$B$4:$Q$300, 6, FALSE)</f>
        <v>#N/A</v>
      </c>
      <c r="S28" s="11" t="str">
        <f>VLOOKUP($H28, 'ADP Data'!$B$4:$Q$300, 7, FALSE)</f>
        <v>#N/A</v>
      </c>
      <c r="T28" s="11" t="str">
        <f>VLOOKUP($H28, 'ADP Data'!$B$4:$Q$300, 8, FALSE)</f>
        <v>#N/A</v>
      </c>
      <c r="U28" s="11" t="str">
        <f>VLOOKUP($H28, 'ADP Data'!$B$4:$Q$300, 9, FALSE)</f>
        <v>#N/A</v>
      </c>
      <c r="V28" s="11" t="str">
        <f t="shared" si="5"/>
        <v>#N/A</v>
      </c>
      <c r="W28" s="11" t="str">
        <f t="shared" si="6"/>
        <v>#N/A</v>
      </c>
      <c r="X28" s="11">
        <f>IF(VLOOKUP($H28, SeanRanks!$A$2:$H$303, 7, FALSE)=0, "", VLOOKUP($H28, SeanRanks!$A$2:$H$303, 7, FALSE))</f>
        <v>22</v>
      </c>
    </row>
    <row r="29" ht="14.25" customHeight="1">
      <c r="A29" s="11"/>
      <c r="B29" s="11" t="str">
        <f t="shared" si="1"/>
        <v>#N/A</v>
      </c>
      <c r="C29" s="11" t="s">
        <v>95</v>
      </c>
      <c r="D29" s="11">
        <v>39.0</v>
      </c>
      <c r="E29" s="11">
        <v>29.0</v>
      </c>
      <c r="F29" s="11">
        <f t="shared" si="2"/>
        <v>10</v>
      </c>
      <c r="G29" s="11" t="s">
        <v>106</v>
      </c>
      <c r="H29" s="11" t="s">
        <v>136</v>
      </c>
      <c r="I29" s="11" t="str">
        <f>VLOOKUP($H29, 'ADP Data'!$B$4:$Q$300, 2, FALSE)</f>
        <v>#N/A</v>
      </c>
      <c r="J29" s="11" t="s">
        <v>770</v>
      </c>
      <c r="K29" s="11" t="str">
        <f>VLOOKUP($H29, SeanRanks!$A$2:$H$303, 5, FALSE)</f>
        <v/>
      </c>
      <c r="L29" s="11" t="str">
        <f>IF(VLOOKUP($H29, SeanRanks!$A$2:$H$303, 6, FALSE)=0, "", VLOOKUP($H29, SeanRanks!$A$2:$H$303, 6, FALSE))</f>
        <v>QB1 - 1 - Elite</v>
      </c>
      <c r="M29" s="11">
        <f t="shared" si="3"/>
        <v>16</v>
      </c>
      <c r="N29" s="11" t="str">
        <f>VLOOKUP($H29, 'ADP Data'!$B$4:$Q$300, 10, FALSE)</f>
        <v>#N/A</v>
      </c>
      <c r="O29" s="11" t="str">
        <f>VLOOKUP($H29, 'ADP Data'!$B$4:$Q$300, 4, FALSE)</f>
        <v>#N/A</v>
      </c>
      <c r="P29" s="11" t="str">
        <f t="shared" si="4"/>
        <v>#N/A</v>
      </c>
      <c r="Q29" s="11" t="str">
        <f>VLOOKUP($H29, 'ADP Data'!$B$4:$Q$300, 5, FALSE)</f>
        <v>#N/A</v>
      </c>
      <c r="R29" s="11" t="str">
        <f>VLOOKUP($H29, 'ADP Data'!$B$4:$Q$300, 6, FALSE)</f>
        <v>#N/A</v>
      </c>
      <c r="S29" s="11" t="str">
        <f>VLOOKUP($H29, 'ADP Data'!$B$4:$Q$300, 7, FALSE)</f>
        <v>#N/A</v>
      </c>
      <c r="T29" s="11" t="str">
        <f>VLOOKUP($H29, 'ADP Data'!$B$4:$Q$300, 8, FALSE)</f>
        <v>#N/A</v>
      </c>
      <c r="U29" s="11" t="str">
        <f>VLOOKUP($H29, 'ADP Data'!$B$4:$Q$300, 9, FALSE)</f>
        <v>#N/A</v>
      </c>
      <c r="V29" s="11" t="str">
        <f t="shared" si="5"/>
        <v>#N/A</v>
      </c>
      <c r="W29" s="11" t="str">
        <f t="shared" si="6"/>
        <v>#N/A</v>
      </c>
      <c r="X29" s="11">
        <f>IF(VLOOKUP($H29, SeanRanks!$A$2:$H$303, 7, FALSE)=0, "", VLOOKUP($H29, SeanRanks!$A$2:$H$303, 7, FALSE))</f>
        <v>2</v>
      </c>
    </row>
    <row r="30" ht="14.25" customHeight="1">
      <c r="A30" s="11"/>
      <c r="B30" s="11" t="str">
        <f t="shared" si="1"/>
        <v>#N/A</v>
      </c>
      <c r="C30" s="11" t="s">
        <v>95</v>
      </c>
      <c r="D30" s="11">
        <v>13.0</v>
      </c>
      <c r="E30" s="11">
        <v>15.0</v>
      </c>
      <c r="F30" s="11">
        <f t="shared" si="2"/>
        <v>-2</v>
      </c>
      <c r="G30" s="11"/>
      <c r="H30" s="11" t="s">
        <v>61</v>
      </c>
      <c r="I30" s="93" t="str">
        <f>VLOOKUP($H30, 'ADP Data'!$B$4:$Q$300, 2, FALSE)</f>
        <v>#N/A</v>
      </c>
      <c r="J30" s="11" t="s">
        <v>772</v>
      </c>
      <c r="K30" s="11" t="str">
        <f>VLOOKUP($H30, SeanRanks!$A$2:$H$303, 5, FALSE)</f>
        <v>No</v>
      </c>
      <c r="L30" s="11" t="str">
        <f>IF(VLOOKUP($H30, SeanRanks!$A$2:$H$303, 6, FALSE)=0, "", VLOOKUP($H30, SeanRanks!$A$2:$H$303, 6, FALSE))</f>
        <v>RB1 - 2 - Elite ceiling/questions</v>
      </c>
      <c r="M30" s="11">
        <f t="shared" si="3"/>
        <v>16</v>
      </c>
      <c r="N30" s="11" t="str">
        <f>VLOOKUP($H30, 'ADP Data'!$B$4:$Q$300, 10, FALSE)</f>
        <v>#N/A</v>
      </c>
      <c r="O30" s="11" t="str">
        <f>VLOOKUP($H30, 'ADP Data'!$B$4:$Q$300, 4, FALSE)</f>
        <v>#N/A</v>
      </c>
      <c r="P30" s="11" t="str">
        <f t="shared" si="4"/>
        <v>#N/A</v>
      </c>
      <c r="Q30" s="11" t="str">
        <f>VLOOKUP($H30, 'ADP Data'!$B$4:$Q$300, 5, FALSE)</f>
        <v>#N/A</v>
      </c>
      <c r="R30" s="11" t="str">
        <f>VLOOKUP($H30, 'ADP Data'!$B$4:$Q$300, 6, FALSE)</f>
        <v>#N/A</v>
      </c>
      <c r="S30" s="11" t="str">
        <f>VLOOKUP($H30, 'ADP Data'!$B$4:$Q$300, 7, FALSE)</f>
        <v>#N/A</v>
      </c>
      <c r="T30" s="11" t="str">
        <f>VLOOKUP($H30, 'ADP Data'!$B$4:$Q$300, 8, FALSE)</f>
        <v>#N/A</v>
      </c>
      <c r="U30" s="11" t="str">
        <f>VLOOKUP($H30, 'ADP Data'!$B$4:$Q$300, 9, FALSE)</f>
        <v>#N/A</v>
      </c>
      <c r="V30" s="11" t="str">
        <f t="shared" si="5"/>
        <v>#N/A</v>
      </c>
      <c r="W30" s="11" t="str">
        <f t="shared" si="6"/>
        <v>#N/A</v>
      </c>
      <c r="X30" s="11">
        <f>IF(VLOOKUP($H30, SeanRanks!$A$2:$H$303, 7, FALSE)=0, "", VLOOKUP($H30, SeanRanks!$A$2:$H$303, 7, FALSE))</f>
        <v>12</v>
      </c>
    </row>
    <row r="31" ht="14.25" customHeight="1">
      <c r="A31" s="11"/>
      <c r="B31" s="11" t="str">
        <f t="shared" si="1"/>
        <v>#N/A</v>
      </c>
      <c r="C31" s="11" t="s">
        <v>95</v>
      </c>
      <c r="D31" s="11">
        <v>26.0</v>
      </c>
      <c r="E31" s="11">
        <v>23.0</v>
      </c>
      <c r="F31" s="11">
        <f t="shared" si="2"/>
        <v>3</v>
      </c>
      <c r="G31" s="11" t="s">
        <v>1123</v>
      </c>
      <c r="H31" s="11" t="s">
        <v>142</v>
      </c>
      <c r="I31" s="11" t="str">
        <f>VLOOKUP($H31, 'ADP Data'!$B$4:$Q$300, 2, FALSE)</f>
        <v>#N/A</v>
      </c>
      <c r="J31" s="11" t="s">
        <v>775</v>
      </c>
      <c r="K31" s="11" t="str">
        <f>VLOOKUP($H31, SeanRanks!$A$2:$H$303, 5, FALSE)</f>
        <v/>
      </c>
      <c r="L31" s="11" t="str">
        <f>IF(VLOOKUP($H31, SeanRanks!$A$2:$H$303, 6, FALSE)=0, "", VLOOKUP($H31, SeanRanks!$A$2:$H$303, 6, FALSE))</f>
        <v>WR2 - 2 - Upside with risk</v>
      </c>
      <c r="M31" s="11">
        <f t="shared" si="3"/>
        <v>16</v>
      </c>
      <c r="N31" s="11" t="str">
        <f>VLOOKUP($H31, 'ADP Data'!$B$4:$Q$300, 10, FALSE)</f>
        <v>#N/A</v>
      </c>
      <c r="O31" s="11" t="str">
        <f>VLOOKUP($H31, 'ADP Data'!$B$4:$Q$300, 4, FALSE)</f>
        <v>#N/A</v>
      </c>
      <c r="P31" s="11" t="str">
        <f t="shared" si="4"/>
        <v>#N/A</v>
      </c>
      <c r="Q31" s="11" t="str">
        <f>VLOOKUP($H31, 'ADP Data'!$B$4:$Q$300, 5, FALSE)</f>
        <v>#N/A</v>
      </c>
      <c r="R31" s="11" t="str">
        <f>VLOOKUP($H31, 'ADP Data'!$B$4:$Q$300, 6, FALSE)</f>
        <v>#N/A</v>
      </c>
      <c r="S31" s="11" t="str">
        <f>VLOOKUP($H31, 'ADP Data'!$B$4:$Q$300, 7, FALSE)</f>
        <v>#N/A</v>
      </c>
      <c r="T31" s="11" t="str">
        <f>VLOOKUP($H31, 'ADP Data'!$B$4:$Q$300, 8, FALSE)</f>
        <v>#N/A</v>
      </c>
      <c r="U31" s="11" t="str">
        <f>VLOOKUP($H31, 'ADP Data'!$B$4:$Q$300, 9, FALSE)</f>
        <v>#N/A</v>
      </c>
      <c r="V31" s="11" t="str">
        <f t="shared" si="5"/>
        <v>#N/A</v>
      </c>
      <c r="W31" s="11" t="str">
        <f t="shared" si="6"/>
        <v>#N/A</v>
      </c>
      <c r="X31" s="11">
        <f>IF(VLOOKUP($H31, SeanRanks!$A$2:$H$303, 7, FALSE)=0, "", VLOOKUP($H31, SeanRanks!$A$2:$H$303, 7, FALSE))</f>
        <v>18</v>
      </c>
    </row>
    <row r="32" ht="14.25" customHeight="1">
      <c r="A32" s="11"/>
      <c r="B32" s="11" t="str">
        <f t="shared" si="1"/>
        <v>#N/A</v>
      </c>
      <c r="C32" s="11" t="s">
        <v>95</v>
      </c>
      <c r="D32" s="11">
        <v>39.0</v>
      </c>
      <c r="E32" s="11">
        <v>28.0</v>
      </c>
      <c r="F32" s="11">
        <f t="shared" si="2"/>
        <v>11</v>
      </c>
      <c r="G32" s="11"/>
      <c r="H32" s="11" t="s">
        <v>250</v>
      </c>
      <c r="I32" s="11" t="str">
        <f>VLOOKUP($H32, 'ADP Data'!$B$4:$Q$300, 2, FALSE)</f>
        <v>#N/A</v>
      </c>
      <c r="J32" s="11" t="s">
        <v>775</v>
      </c>
      <c r="K32" s="11" t="str">
        <f>VLOOKUP($H32, SeanRanks!$A$2:$H$303, 5, FALSE)</f>
        <v/>
      </c>
      <c r="L32" s="11" t="str">
        <f>IF(VLOOKUP($H32, SeanRanks!$A$2:$H$303, 6, FALSE)=0, "", VLOOKUP($H32, SeanRanks!$A$2:$H$303, 6, FALSE))</f>
        <v>WR2 - 2 - Upside with risk</v>
      </c>
      <c r="M32" s="11">
        <f t="shared" si="3"/>
        <v>16</v>
      </c>
      <c r="N32" s="11" t="str">
        <f>VLOOKUP($H32, 'ADP Data'!$B$4:$Q$300, 10, FALSE)</f>
        <v>#N/A</v>
      </c>
      <c r="O32" s="11" t="str">
        <f>VLOOKUP($H32, 'ADP Data'!$B$4:$Q$300, 4, FALSE)</f>
        <v>#N/A</v>
      </c>
      <c r="P32" s="11" t="str">
        <f t="shared" si="4"/>
        <v>#N/A</v>
      </c>
      <c r="Q32" s="11" t="str">
        <f>VLOOKUP($H32, 'ADP Data'!$B$4:$Q$300, 5, FALSE)</f>
        <v>#N/A</v>
      </c>
      <c r="R32" s="11" t="str">
        <f>VLOOKUP($H32, 'ADP Data'!$B$4:$Q$300, 6, FALSE)</f>
        <v>#N/A</v>
      </c>
      <c r="S32" s="11" t="str">
        <f>VLOOKUP($H32, 'ADP Data'!$B$4:$Q$300, 7, FALSE)</f>
        <v>#N/A</v>
      </c>
      <c r="T32" s="11" t="str">
        <f>VLOOKUP($H32, 'ADP Data'!$B$4:$Q$300, 8, FALSE)</f>
        <v>#N/A</v>
      </c>
      <c r="U32" s="11" t="str">
        <f>VLOOKUP($H32, 'ADP Data'!$B$4:$Q$300, 9, FALSE)</f>
        <v>#N/A</v>
      </c>
      <c r="V32" s="11" t="str">
        <f t="shared" si="5"/>
        <v>#N/A</v>
      </c>
      <c r="W32" s="11" t="str">
        <f t="shared" si="6"/>
        <v>#N/A</v>
      </c>
      <c r="X32" s="11">
        <f>IF(VLOOKUP($H32, SeanRanks!$A$2:$H$303, 7, FALSE)=0, "", VLOOKUP($H32, SeanRanks!$A$2:$H$303, 7, FALSE))</f>
        <v>20</v>
      </c>
    </row>
    <row r="33" ht="14.25" customHeight="1">
      <c r="A33" s="11"/>
      <c r="B33" s="11" t="str">
        <f t="shared" si="1"/>
        <v>#N/A</v>
      </c>
      <c r="C33" s="11" t="s">
        <v>95</v>
      </c>
      <c r="D33" s="11">
        <v>37.0</v>
      </c>
      <c r="E33" s="11">
        <v>15.0</v>
      </c>
      <c r="F33" s="11">
        <f t="shared" si="2"/>
        <v>22</v>
      </c>
      <c r="G33" s="11" t="s">
        <v>1122</v>
      </c>
      <c r="H33" s="11" t="s">
        <v>158</v>
      </c>
      <c r="I33" s="11" t="str">
        <f>VLOOKUP($H33, 'ADP Data'!$B$4:$Q$300, 2, FALSE)</f>
        <v>#N/A</v>
      </c>
      <c r="J33" s="11" t="s">
        <v>775</v>
      </c>
      <c r="K33" s="11" t="str">
        <f>VLOOKUP($H33, SeanRanks!$A$2:$H$303, 5, FALSE)</f>
        <v/>
      </c>
      <c r="L33" s="11" t="str">
        <f>IF(VLOOKUP($H33, SeanRanks!$A$2:$H$303, 6, FALSE)=0, "", VLOOKUP($H33, SeanRanks!$A$2:$H$303, 6, FALSE))</f>
        <v>WR1 - 3 - Inconsistent</v>
      </c>
      <c r="M33" s="11">
        <f t="shared" si="3"/>
        <v>16</v>
      </c>
      <c r="N33" s="11" t="str">
        <f>VLOOKUP($H33, 'ADP Data'!$B$4:$Q$300, 10, FALSE)</f>
        <v>#N/A</v>
      </c>
      <c r="O33" s="11" t="str">
        <f>VLOOKUP($H33, 'ADP Data'!$B$4:$Q$300, 4, FALSE)</f>
        <v>#N/A</v>
      </c>
      <c r="P33" s="11" t="str">
        <f t="shared" si="4"/>
        <v>#N/A</v>
      </c>
      <c r="Q33" s="11" t="str">
        <f>VLOOKUP($H33, 'ADP Data'!$B$4:$Q$300, 5, FALSE)</f>
        <v>#N/A</v>
      </c>
      <c r="R33" s="11" t="str">
        <f>VLOOKUP($H33, 'ADP Data'!$B$4:$Q$300, 6, FALSE)</f>
        <v>#N/A</v>
      </c>
      <c r="S33" s="11" t="str">
        <f>VLOOKUP($H33, 'ADP Data'!$B$4:$Q$300, 7, FALSE)</f>
        <v>#N/A</v>
      </c>
      <c r="T33" s="11" t="str">
        <f>VLOOKUP($H33, 'ADP Data'!$B$4:$Q$300, 8, FALSE)</f>
        <v>#N/A</v>
      </c>
      <c r="U33" s="11" t="str">
        <f>VLOOKUP($H33, 'ADP Data'!$B$4:$Q$300, 9, FALSE)</f>
        <v>#N/A</v>
      </c>
      <c r="V33" s="11" t="str">
        <f t="shared" si="5"/>
        <v>#N/A</v>
      </c>
      <c r="W33" s="11" t="str">
        <f t="shared" si="6"/>
        <v>#N/A</v>
      </c>
      <c r="X33" s="11">
        <f>IF(VLOOKUP($H33, SeanRanks!$A$2:$H$303, 7, FALSE)=0, "", VLOOKUP($H33, SeanRanks!$A$2:$H$303, 7, FALSE))</f>
        <v>12</v>
      </c>
    </row>
    <row r="34" ht="14.25" customHeight="1">
      <c r="A34" s="11"/>
      <c r="B34" s="11" t="str">
        <f t="shared" si="1"/>
        <v>#N/A</v>
      </c>
      <c r="C34" s="11" t="s">
        <v>95</v>
      </c>
      <c r="D34" s="11">
        <v>33.0</v>
      </c>
      <c r="E34" s="11">
        <v>35.0</v>
      </c>
      <c r="F34" s="11">
        <f t="shared" si="2"/>
        <v>-2</v>
      </c>
      <c r="G34" s="11"/>
      <c r="H34" s="11" t="s">
        <v>25</v>
      </c>
      <c r="I34" s="58" t="str">
        <f>VLOOKUP($H34, 'ADP Data'!$B$4:$Q$300, 2, FALSE)</f>
        <v>#N/A</v>
      </c>
      <c r="J34" s="11" t="s">
        <v>772</v>
      </c>
      <c r="K34" s="11" t="str">
        <f>VLOOKUP($H34, SeanRanks!$A$2:$H$303, 5, FALSE)</f>
        <v/>
      </c>
      <c r="L34" s="11" t="str">
        <f>IF(VLOOKUP($H34, SeanRanks!$A$2:$H$303, 6, FALSE)=0, "", VLOOKUP($H34, SeanRanks!$A$2:$H$303, 6, FALSE))</f>
        <v>RB1 - 1 - Elite floor/ceiling</v>
      </c>
      <c r="M34" s="11">
        <f t="shared" si="3"/>
        <v>16</v>
      </c>
      <c r="N34" s="11" t="str">
        <f>VLOOKUP($H34, 'ADP Data'!$B$4:$Q$300, 10, FALSE)</f>
        <v>#N/A</v>
      </c>
      <c r="O34" s="11" t="str">
        <f>VLOOKUP($H34, 'ADP Data'!$B$4:$Q$300, 4, FALSE)</f>
        <v>#N/A</v>
      </c>
      <c r="P34" s="11" t="str">
        <f t="shared" si="4"/>
        <v>#N/A</v>
      </c>
      <c r="Q34" s="11" t="str">
        <f>VLOOKUP($H34, 'ADP Data'!$B$4:$Q$300, 5, FALSE)</f>
        <v>#N/A</v>
      </c>
      <c r="R34" s="11" t="str">
        <f>VLOOKUP($H34, 'ADP Data'!$B$4:$Q$300, 6, FALSE)</f>
        <v>#N/A</v>
      </c>
      <c r="S34" s="11" t="str">
        <f>VLOOKUP($H34, 'ADP Data'!$B$4:$Q$300, 7, FALSE)</f>
        <v>#N/A</v>
      </c>
      <c r="T34" s="11" t="str">
        <f>VLOOKUP($H34, 'ADP Data'!$B$4:$Q$300, 8, FALSE)</f>
        <v>#N/A</v>
      </c>
      <c r="U34" s="11" t="str">
        <f>VLOOKUP($H34, 'ADP Data'!$B$4:$Q$300, 9, FALSE)</f>
        <v>#N/A</v>
      </c>
      <c r="V34" s="11" t="str">
        <f t="shared" si="5"/>
        <v>#N/A</v>
      </c>
      <c r="W34" s="11" t="str">
        <f t="shared" si="6"/>
        <v>#N/A</v>
      </c>
      <c r="X34" s="11">
        <f>IF(VLOOKUP($H34, SeanRanks!$A$2:$H$303, 7, FALSE)=0, "", VLOOKUP($H34, SeanRanks!$A$2:$H$303, 7, FALSE))</f>
        <v>3</v>
      </c>
    </row>
    <row r="35" ht="14.25" customHeight="1">
      <c r="A35" s="11"/>
      <c r="B35" s="11" t="str">
        <f t="shared" si="1"/>
        <v>#N/A</v>
      </c>
      <c r="C35" s="11" t="s">
        <v>95</v>
      </c>
      <c r="D35" s="11">
        <v>30.0</v>
      </c>
      <c r="E35" s="11">
        <v>20.0</v>
      </c>
      <c r="F35" s="11">
        <f t="shared" si="2"/>
        <v>10</v>
      </c>
      <c r="G35" s="11"/>
      <c r="H35" s="11" t="s">
        <v>661</v>
      </c>
      <c r="I35" s="93" t="str">
        <f>VLOOKUP($H35, 'ADP Data'!$B$4:$Q$300, 2, FALSE)</f>
        <v>#N/A</v>
      </c>
      <c r="J35" s="11" t="s">
        <v>772</v>
      </c>
      <c r="K35" s="11" t="str">
        <f>VLOOKUP($H35, SeanRanks!$A$2:$H$303, 5, FALSE)</f>
        <v/>
      </c>
      <c r="L35" s="11" t="str">
        <f>IF(VLOOKUP($H35, SeanRanks!$A$2:$H$303, 6, FALSE)=0, "", VLOOKUP($H35, SeanRanks!$A$2:$H$303, 6, FALSE))</f>
        <v>RB4 - 1 - Path to spikes</v>
      </c>
      <c r="M35" s="11">
        <f t="shared" si="3"/>
        <v>16</v>
      </c>
      <c r="N35" s="11" t="str">
        <f>VLOOKUP($H35, 'ADP Data'!$B$4:$Q$300, 10, FALSE)</f>
        <v>#N/A</v>
      </c>
      <c r="O35" s="11" t="str">
        <f>VLOOKUP($H35, 'ADP Data'!$B$4:$Q$300, 4, FALSE)</f>
        <v>#N/A</v>
      </c>
      <c r="P35" s="11" t="str">
        <f t="shared" si="4"/>
        <v>#N/A</v>
      </c>
      <c r="Q35" s="11" t="str">
        <f>VLOOKUP($H35, 'ADP Data'!$B$4:$Q$300, 5, FALSE)</f>
        <v>#N/A</v>
      </c>
      <c r="R35" s="11" t="str">
        <f>VLOOKUP($H35, 'ADP Data'!$B$4:$Q$300, 6, FALSE)</f>
        <v>#N/A</v>
      </c>
      <c r="S35" s="11" t="str">
        <f>VLOOKUP($H35, 'ADP Data'!$B$4:$Q$300, 7, FALSE)</f>
        <v>#N/A</v>
      </c>
      <c r="T35" s="11" t="str">
        <f>VLOOKUP($H35, 'ADP Data'!$B$4:$Q$300, 8, FALSE)</f>
        <v>#N/A</v>
      </c>
      <c r="U35" s="11" t="str">
        <f>VLOOKUP($H35, 'ADP Data'!$B$4:$Q$300, 9, FALSE)</f>
        <v>#N/A</v>
      </c>
      <c r="V35" s="11" t="str">
        <f t="shared" si="5"/>
        <v>#N/A</v>
      </c>
      <c r="W35" s="11" t="str">
        <f t="shared" si="6"/>
        <v>#N/A</v>
      </c>
      <c r="X35" s="11">
        <f>IF(VLOOKUP($H35, SeanRanks!$A$2:$H$303, 7, FALSE)=0, "", VLOOKUP($H35, SeanRanks!$A$2:$H$303, 7, FALSE))</f>
        <v>39</v>
      </c>
    </row>
    <row r="36" ht="14.25" customHeight="1">
      <c r="A36" s="11"/>
      <c r="B36" s="11" t="str">
        <f t="shared" si="1"/>
        <v>#N/A</v>
      </c>
      <c r="C36" s="11" t="s">
        <v>95</v>
      </c>
      <c r="D36" s="11">
        <v>35.0</v>
      </c>
      <c r="E36" s="11">
        <v>20.0</v>
      </c>
      <c r="F36" s="11">
        <f t="shared" si="2"/>
        <v>15</v>
      </c>
      <c r="G36" s="11" t="s">
        <v>1123</v>
      </c>
      <c r="H36" s="11" t="s">
        <v>234</v>
      </c>
      <c r="I36" s="11" t="str">
        <f>VLOOKUP($H36, 'ADP Data'!$B$4:$Q$300, 2, FALSE)</f>
        <v>#N/A</v>
      </c>
      <c r="J36" s="11" t="s">
        <v>770</v>
      </c>
      <c r="K36" s="11" t="str">
        <f>VLOOKUP($H36, SeanRanks!$A$2:$H$303, 5, FALSE)</f>
        <v/>
      </c>
      <c r="L36" s="11" t="str">
        <f>IF(VLOOKUP($H36, SeanRanks!$A$2:$H$303, 6, FALSE)=0, "", VLOOKUP($H36, SeanRanks!$A$2:$H$303, 6, FALSE))</f>
        <v>QB1 - 2 - QB1 Upside</v>
      </c>
      <c r="M36" s="11">
        <f t="shared" si="3"/>
        <v>16</v>
      </c>
      <c r="N36" s="11" t="str">
        <f>VLOOKUP($H36, 'ADP Data'!$B$4:$Q$300, 10, FALSE)</f>
        <v>#N/A</v>
      </c>
      <c r="O36" s="11" t="str">
        <f>VLOOKUP($H36, 'ADP Data'!$B$4:$Q$300, 4, FALSE)</f>
        <v>#N/A</v>
      </c>
      <c r="P36" s="11" t="str">
        <f t="shared" si="4"/>
        <v>#N/A</v>
      </c>
      <c r="Q36" s="11" t="str">
        <f>VLOOKUP($H36, 'ADP Data'!$B$4:$Q$300, 5, FALSE)</f>
        <v>#N/A</v>
      </c>
      <c r="R36" s="11" t="str">
        <f>VLOOKUP($H36, 'ADP Data'!$B$4:$Q$300, 6, FALSE)</f>
        <v>#N/A</v>
      </c>
      <c r="S36" s="11" t="str">
        <f>VLOOKUP($H36, 'ADP Data'!$B$4:$Q$300, 7, FALSE)</f>
        <v>#N/A</v>
      </c>
      <c r="T36" s="11" t="str">
        <f>VLOOKUP($H36, 'ADP Data'!$B$4:$Q$300, 8, FALSE)</f>
        <v>#N/A</v>
      </c>
      <c r="U36" s="11" t="str">
        <f>VLOOKUP($H36, 'ADP Data'!$B$4:$Q$300, 9, FALSE)</f>
        <v>#N/A</v>
      </c>
      <c r="V36" s="11" t="str">
        <f t="shared" si="5"/>
        <v>#N/A</v>
      </c>
      <c r="W36" s="11" t="str">
        <f t="shared" si="6"/>
        <v>#N/A</v>
      </c>
      <c r="X36" s="11">
        <f>IF(VLOOKUP($H36, SeanRanks!$A$2:$H$303, 7, FALSE)=0, "", VLOOKUP($H36, SeanRanks!$A$2:$H$303, 7, FALSE))</f>
        <v>3</v>
      </c>
    </row>
    <row r="37" ht="14.25" customHeight="1">
      <c r="A37" s="11"/>
      <c r="B37" s="11" t="str">
        <f t="shared" si="1"/>
        <v>#N/A</v>
      </c>
      <c r="C37" s="11" t="s">
        <v>95</v>
      </c>
      <c r="D37" s="11">
        <v>25.0</v>
      </c>
      <c r="E37" s="11">
        <v>17.0</v>
      </c>
      <c r="F37" s="11">
        <f t="shared" si="2"/>
        <v>8</v>
      </c>
      <c r="G37" s="11" t="s">
        <v>1123</v>
      </c>
      <c r="H37" s="11" t="s">
        <v>444</v>
      </c>
      <c r="I37" s="11" t="str">
        <f>VLOOKUP($H37, 'ADP Data'!$B$4:$Q$300, 2, FALSE)</f>
        <v>#N/A</v>
      </c>
      <c r="J37" s="11" t="s">
        <v>775</v>
      </c>
      <c r="K37" s="11" t="str">
        <f>VLOOKUP($H37, SeanRanks!$A$2:$H$303, 5, FALSE)</f>
        <v>Yes</v>
      </c>
      <c r="L37" s="11" t="str">
        <f>IF(VLOOKUP($H37, SeanRanks!$A$2:$H$303, 6, FALSE)=0, "", VLOOKUP($H37, SeanRanks!$A$2:$H$303, 6, FALSE))</f>
        <v>WR3 - 1 - </v>
      </c>
      <c r="M37" s="11">
        <f t="shared" si="3"/>
        <v>16</v>
      </c>
      <c r="N37" s="11" t="str">
        <f>VLOOKUP($H37, 'ADP Data'!$B$4:$Q$300, 10, FALSE)</f>
        <v>#N/A</v>
      </c>
      <c r="O37" s="11" t="str">
        <f>VLOOKUP($H37, 'ADP Data'!$B$4:$Q$300, 4, FALSE)</f>
        <v>#N/A</v>
      </c>
      <c r="P37" s="11" t="str">
        <f t="shared" si="4"/>
        <v>#N/A</v>
      </c>
      <c r="Q37" s="11" t="str">
        <f>VLOOKUP($H37, 'ADP Data'!$B$4:$Q$300, 5, FALSE)</f>
        <v>#N/A</v>
      </c>
      <c r="R37" s="11" t="str">
        <f>VLOOKUP($H37, 'ADP Data'!$B$4:$Q$300, 6, FALSE)</f>
        <v>#N/A</v>
      </c>
      <c r="S37" s="11" t="str">
        <f>VLOOKUP($H37, 'ADP Data'!$B$4:$Q$300, 7, FALSE)</f>
        <v>#N/A</v>
      </c>
      <c r="T37" s="11" t="str">
        <f>VLOOKUP($H37, 'ADP Data'!$B$4:$Q$300, 8, FALSE)</f>
        <v>#N/A</v>
      </c>
      <c r="U37" s="11" t="str">
        <f>VLOOKUP($H37, 'ADP Data'!$B$4:$Q$300, 9, FALSE)</f>
        <v>#N/A</v>
      </c>
      <c r="V37" s="11" t="str">
        <f t="shared" si="5"/>
        <v>#N/A</v>
      </c>
      <c r="W37" s="11" t="str">
        <f t="shared" si="6"/>
        <v>#N/A</v>
      </c>
      <c r="X37" s="11">
        <f>IF(VLOOKUP($H37, SeanRanks!$A$2:$H$303, 7, FALSE)=0, "", VLOOKUP($H37, SeanRanks!$A$2:$H$303, 7, FALSE))</f>
        <v>25</v>
      </c>
    </row>
    <row r="38" ht="14.25" customHeight="1">
      <c r="A38" s="11"/>
      <c r="B38" s="11" t="str">
        <f t="shared" si="1"/>
        <v>#N/A</v>
      </c>
      <c r="C38" s="11" t="s">
        <v>95</v>
      </c>
      <c r="D38" s="11">
        <v>27.0</v>
      </c>
      <c r="E38" s="11">
        <v>25.0</v>
      </c>
      <c r="F38" s="11">
        <f t="shared" si="2"/>
        <v>2</v>
      </c>
      <c r="G38" s="11"/>
      <c r="H38" s="11" t="s">
        <v>350</v>
      </c>
      <c r="I38" s="11" t="str">
        <f>VLOOKUP($H38, 'ADP Data'!$B$4:$Q$300, 2, FALSE)</f>
        <v>#N/A</v>
      </c>
      <c r="J38" s="11" t="s">
        <v>772</v>
      </c>
      <c r="K38" s="11" t="str">
        <f>VLOOKUP($H38, SeanRanks!$A$2:$H$303, 5, FALSE)</f>
        <v/>
      </c>
      <c r="L38" s="11" t="str">
        <f>IF(VLOOKUP($H38, SeanRanks!$A$2:$H$303, 6, FALSE)=0, "", VLOOKUP($H38, SeanRanks!$A$2:$H$303, 6, FALSE))</f>
        <v>RB2 - 2 - Path to spikes</v>
      </c>
      <c r="M38" s="11">
        <f t="shared" si="3"/>
        <v>16</v>
      </c>
      <c r="N38" s="11" t="str">
        <f>VLOOKUP($H38, 'ADP Data'!$B$4:$Q$300, 10, FALSE)</f>
        <v>#N/A</v>
      </c>
      <c r="O38" s="11" t="str">
        <f>VLOOKUP($H38, 'ADP Data'!$B$4:$Q$300, 4, FALSE)</f>
        <v>#N/A</v>
      </c>
      <c r="P38" s="11" t="str">
        <f t="shared" si="4"/>
        <v>#N/A</v>
      </c>
      <c r="Q38" s="11" t="str">
        <f>VLOOKUP($H38, 'ADP Data'!$B$4:$Q$300, 5, FALSE)</f>
        <v>#N/A</v>
      </c>
      <c r="R38" s="11" t="str">
        <f>VLOOKUP($H38, 'ADP Data'!$B$4:$Q$300, 6, FALSE)</f>
        <v>#N/A</v>
      </c>
      <c r="S38" s="11" t="str">
        <f>VLOOKUP($H38, 'ADP Data'!$B$4:$Q$300, 7, FALSE)</f>
        <v>#N/A</v>
      </c>
      <c r="T38" s="11" t="str">
        <f>VLOOKUP($H38, 'ADP Data'!$B$4:$Q$300, 8, FALSE)</f>
        <v>#N/A</v>
      </c>
      <c r="U38" s="11" t="str">
        <f>VLOOKUP($H38, 'ADP Data'!$B$4:$Q$300, 9, FALSE)</f>
        <v>#N/A</v>
      </c>
      <c r="V38" s="11" t="str">
        <f t="shared" si="5"/>
        <v>#N/A</v>
      </c>
      <c r="W38" s="11" t="str">
        <f t="shared" si="6"/>
        <v>#N/A</v>
      </c>
      <c r="X38" s="11">
        <f>IF(VLOOKUP($H38, SeanRanks!$A$2:$H$303, 7, FALSE)=0, "", VLOOKUP($H38, SeanRanks!$A$2:$H$303, 7, FALSE))</f>
        <v>25</v>
      </c>
    </row>
    <row r="39" ht="14.25" customHeight="1">
      <c r="A39" s="11"/>
      <c r="B39" s="11" t="str">
        <f t="shared" si="1"/>
        <v>#N/A</v>
      </c>
      <c r="C39" s="11" t="s">
        <v>95</v>
      </c>
      <c r="D39" s="11">
        <v>30.0</v>
      </c>
      <c r="E39" s="11">
        <v>25.0</v>
      </c>
      <c r="F39" s="11">
        <f t="shared" si="2"/>
        <v>5</v>
      </c>
      <c r="G39" s="11"/>
      <c r="H39" s="11" t="s">
        <v>319</v>
      </c>
      <c r="I39" s="58" t="str">
        <f>VLOOKUP($H39, 'ADP Data'!$B$4:$Q$300, 2, FALSE)</f>
        <v>#N/A</v>
      </c>
      <c r="J39" s="11" t="s">
        <v>770</v>
      </c>
      <c r="K39" s="11" t="str">
        <f>VLOOKUP($H39, SeanRanks!$A$2:$H$303, 5, FALSE)</f>
        <v/>
      </c>
      <c r="L39" s="11" t="str">
        <f>IF(VLOOKUP($H39, SeanRanks!$A$2:$H$303, 6, FALSE)=0, "", VLOOKUP($H39, SeanRanks!$A$2:$H$303, 6, FALSE))</f>
        <v>QB1 - 4 - Weekly Start</v>
      </c>
      <c r="M39" s="11">
        <f t="shared" si="3"/>
        <v>16</v>
      </c>
      <c r="N39" s="11" t="str">
        <f>VLOOKUP($H39, 'ADP Data'!$B$4:$Q$300, 10, FALSE)</f>
        <v>#N/A</v>
      </c>
      <c r="O39" s="11" t="str">
        <f>VLOOKUP($H39, 'ADP Data'!$B$4:$Q$300, 4, FALSE)</f>
        <v>#N/A</v>
      </c>
      <c r="P39" s="11" t="str">
        <f t="shared" si="4"/>
        <v>#N/A</v>
      </c>
      <c r="Q39" s="11" t="str">
        <f>VLOOKUP($H39, 'ADP Data'!$B$4:$Q$300, 5, FALSE)</f>
        <v>#N/A</v>
      </c>
      <c r="R39" s="11" t="str">
        <f>VLOOKUP($H39, 'ADP Data'!$B$4:$Q$300, 6, FALSE)</f>
        <v>#N/A</v>
      </c>
      <c r="S39" s="11" t="str">
        <f>VLOOKUP($H39, 'ADP Data'!$B$4:$Q$300, 7, FALSE)</f>
        <v>#N/A</v>
      </c>
      <c r="T39" s="11" t="str">
        <f>VLOOKUP($H39, 'ADP Data'!$B$4:$Q$300, 8, FALSE)</f>
        <v>#N/A</v>
      </c>
      <c r="U39" s="11" t="str">
        <f>VLOOKUP($H39, 'ADP Data'!$B$4:$Q$300, 9, FALSE)</f>
        <v>#N/A</v>
      </c>
      <c r="V39" s="11" t="str">
        <f t="shared" si="5"/>
        <v>#N/A</v>
      </c>
      <c r="W39" s="11" t="str">
        <f t="shared" si="6"/>
        <v>#N/A</v>
      </c>
      <c r="X39" s="11">
        <f>IF(VLOOKUP($H39, SeanRanks!$A$2:$H$303, 7, FALSE)=0, "", VLOOKUP($H39, SeanRanks!$A$2:$H$303, 7, FALSE))</f>
        <v>9</v>
      </c>
    </row>
    <row r="40" ht="14.25" customHeight="1">
      <c r="A40" s="11"/>
      <c r="B40" s="11" t="str">
        <f t="shared" si="1"/>
        <v>#N/A</v>
      </c>
      <c r="C40" s="11" t="s">
        <v>95</v>
      </c>
      <c r="D40" s="11">
        <v>37.0</v>
      </c>
      <c r="E40" s="11">
        <v>25.0</v>
      </c>
      <c r="F40" s="11">
        <f t="shared" si="2"/>
        <v>12</v>
      </c>
      <c r="G40" s="11"/>
      <c r="H40" s="11" t="s">
        <v>168</v>
      </c>
      <c r="I40" s="93" t="str">
        <f>VLOOKUP($H40, 'ADP Data'!$B$4:$Q$300, 2, FALSE)</f>
        <v>#N/A</v>
      </c>
      <c r="J40" s="11" t="s">
        <v>772</v>
      </c>
      <c r="K40" s="11" t="str">
        <f>VLOOKUP($H40, SeanRanks!$A$2:$H$303, 5, FALSE)</f>
        <v/>
      </c>
      <c r="L40" s="11" t="str">
        <f>IF(VLOOKUP($H40, SeanRanks!$A$2:$H$303, 6, FALSE)=0, "", VLOOKUP($H40, SeanRanks!$A$2:$H$303, 6, FALSE))</f>
        <v>RB3 - 2 - low ceiling</v>
      </c>
      <c r="M40" s="11">
        <f t="shared" si="3"/>
        <v>16</v>
      </c>
      <c r="N40" s="11" t="str">
        <f>VLOOKUP($H40, 'ADP Data'!$B$4:$Q$300, 10, FALSE)</f>
        <v>#N/A</v>
      </c>
      <c r="O40" s="11" t="str">
        <f>VLOOKUP($H40, 'ADP Data'!$B$4:$Q$300, 4, FALSE)</f>
        <v>#N/A</v>
      </c>
      <c r="P40" s="11" t="str">
        <f t="shared" si="4"/>
        <v>#N/A</v>
      </c>
      <c r="Q40" s="11" t="str">
        <f>VLOOKUP($H40, 'ADP Data'!$B$4:$Q$300, 5, FALSE)</f>
        <v>#N/A</v>
      </c>
      <c r="R40" s="11" t="str">
        <f>VLOOKUP($H40, 'ADP Data'!$B$4:$Q$300, 6, FALSE)</f>
        <v>#N/A</v>
      </c>
      <c r="S40" s="11" t="str">
        <f>VLOOKUP($H40, 'ADP Data'!$B$4:$Q$300, 7, FALSE)</f>
        <v>#N/A</v>
      </c>
      <c r="T40" s="11" t="str">
        <f>VLOOKUP($H40, 'ADP Data'!$B$4:$Q$300, 8, FALSE)</f>
        <v>#N/A</v>
      </c>
      <c r="U40" s="11" t="str">
        <f>VLOOKUP($H40, 'ADP Data'!$B$4:$Q$300, 9, FALSE)</f>
        <v>#N/A</v>
      </c>
      <c r="V40" s="11" t="str">
        <f t="shared" si="5"/>
        <v>#N/A</v>
      </c>
      <c r="W40" s="11" t="str">
        <f t="shared" si="6"/>
        <v>#N/A</v>
      </c>
      <c r="X40" s="11">
        <f>IF(VLOOKUP($H40, SeanRanks!$A$2:$H$303, 7, FALSE)=0, "", VLOOKUP($H40, SeanRanks!$A$2:$H$303, 7, FALSE))</f>
        <v>33</v>
      </c>
    </row>
    <row r="41" ht="14.25" customHeight="1">
      <c r="A41" s="11"/>
      <c r="B41" s="11" t="str">
        <f t="shared" si="1"/>
        <v>#N/A</v>
      </c>
      <c r="C41" s="11" t="s">
        <v>95</v>
      </c>
      <c r="D41" s="11">
        <v>31.0</v>
      </c>
      <c r="E41" s="11">
        <v>30.0</v>
      </c>
      <c r="F41" s="11">
        <f t="shared" si="2"/>
        <v>1</v>
      </c>
      <c r="G41" s="58" t="s">
        <v>1123</v>
      </c>
      <c r="H41" s="11" t="s">
        <v>357</v>
      </c>
      <c r="I41" s="11" t="str">
        <f>VLOOKUP($H41, 'ADP Data'!$B$4:$Q$300, 2, FALSE)</f>
        <v>#N/A</v>
      </c>
      <c r="J41" s="11" t="s">
        <v>781</v>
      </c>
      <c r="K41" s="11" t="str">
        <f>VLOOKUP($H41, SeanRanks!$A$2:$H$303, 5, FALSE)</f>
        <v>No</v>
      </c>
      <c r="L41" s="11" t="str">
        <f>IF(VLOOKUP($H41, SeanRanks!$A$2:$H$303, 6, FALSE)=0, "", VLOOKUP($H41, SeanRanks!$A$2:$H$303, 6, FALSE))</f>
        <v>TE1 - 3 - Weekly Start</v>
      </c>
      <c r="M41" s="11">
        <f t="shared" si="3"/>
        <v>16</v>
      </c>
      <c r="N41" s="11" t="str">
        <f>VLOOKUP($H41, 'ADP Data'!$B$4:$Q$300, 10, FALSE)</f>
        <v>#N/A</v>
      </c>
      <c r="O41" s="11" t="str">
        <f>VLOOKUP($H41, 'ADP Data'!$B$4:$Q$300, 4, FALSE)</f>
        <v>#N/A</v>
      </c>
      <c r="P41" s="11" t="str">
        <f t="shared" si="4"/>
        <v>#N/A</v>
      </c>
      <c r="Q41" s="11" t="str">
        <f>VLOOKUP($H41, 'ADP Data'!$B$4:$Q$300, 5, FALSE)</f>
        <v>#N/A</v>
      </c>
      <c r="R41" s="11" t="str">
        <f>VLOOKUP($H41, 'ADP Data'!$B$4:$Q$300, 6, FALSE)</f>
        <v>#N/A</v>
      </c>
      <c r="S41" s="11" t="str">
        <f>VLOOKUP($H41, 'ADP Data'!$B$4:$Q$300, 7, FALSE)</f>
        <v>#N/A</v>
      </c>
      <c r="T41" s="11" t="str">
        <f>VLOOKUP($H41, 'ADP Data'!$B$4:$Q$300, 8, FALSE)</f>
        <v>#N/A</v>
      </c>
      <c r="U41" s="11" t="str">
        <f>VLOOKUP($H41, 'ADP Data'!$B$4:$Q$300, 9, FALSE)</f>
        <v>#N/A</v>
      </c>
      <c r="V41" s="11" t="str">
        <f t="shared" si="5"/>
        <v>#N/A</v>
      </c>
      <c r="W41" s="11" t="str">
        <f t="shared" si="6"/>
        <v>#N/A</v>
      </c>
      <c r="X41" s="11">
        <f>IF(VLOOKUP($H41, SeanRanks!$A$2:$H$303, 7, FALSE)=0, "", VLOOKUP($H41, SeanRanks!$A$2:$H$303, 7, FALSE))</f>
        <v>7</v>
      </c>
    </row>
    <row r="42" ht="14.25" customHeight="1">
      <c r="A42" s="11"/>
      <c r="B42" s="11" t="str">
        <f t="shared" si="1"/>
        <v>#N/A</v>
      </c>
      <c r="C42" s="11" t="s">
        <v>95</v>
      </c>
      <c r="D42" s="11">
        <v>30.0</v>
      </c>
      <c r="E42" s="11">
        <v>25.0</v>
      </c>
      <c r="F42" s="11">
        <f t="shared" si="2"/>
        <v>5</v>
      </c>
      <c r="G42" s="11" t="s">
        <v>1122</v>
      </c>
      <c r="H42" s="11" t="s">
        <v>226</v>
      </c>
      <c r="I42" s="11" t="str">
        <f>VLOOKUP($H42, 'ADP Data'!$B$4:$Q$300, 2, FALSE)</f>
        <v>#N/A</v>
      </c>
      <c r="J42" s="11" t="s">
        <v>772</v>
      </c>
      <c r="K42" s="11" t="str">
        <f>VLOOKUP($H42, SeanRanks!$A$2:$H$303, 5, FALSE)</f>
        <v/>
      </c>
      <c r="L42" s="11" t="str">
        <f>IF(VLOOKUP($H42, SeanRanks!$A$2:$H$303, 6, FALSE)=0, "", VLOOKUP($H42, SeanRanks!$A$2:$H$303, 6, FALSE))</f>
        <v>RB3 - 2 - low ceiling</v>
      </c>
      <c r="M42" s="11">
        <f t="shared" si="3"/>
        <v>16</v>
      </c>
      <c r="N42" s="11" t="str">
        <f>VLOOKUP($H42, 'ADP Data'!$B$4:$Q$300, 10, FALSE)</f>
        <v>#N/A</v>
      </c>
      <c r="O42" s="11" t="str">
        <f>VLOOKUP($H42, 'ADP Data'!$B$4:$Q$300, 4, FALSE)</f>
        <v>#N/A</v>
      </c>
      <c r="P42" s="11" t="str">
        <f t="shared" si="4"/>
        <v>#N/A</v>
      </c>
      <c r="Q42" s="11" t="str">
        <f>VLOOKUP($H42, 'ADP Data'!$B$4:$Q$300, 5, FALSE)</f>
        <v>#N/A</v>
      </c>
      <c r="R42" s="11" t="str">
        <f>VLOOKUP($H42, 'ADP Data'!$B$4:$Q$300, 6, FALSE)</f>
        <v>#N/A</v>
      </c>
      <c r="S42" s="11" t="str">
        <f>VLOOKUP($H42, 'ADP Data'!$B$4:$Q$300, 7, FALSE)</f>
        <v>#N/A</v>
      </c>
      <c r="T42" s="11" t="str">
        <f>VLOOKUP($H42, 'ADP Data'!$B$4:$Q$300, 8, FALSE)</f>
        <v>#N/A</v>
      </c>
      <c r="U42" s="11" t="str">
        <f>VLOOKUP($H42, 'ADP Data'!$B$4:$Q$300, 9, FALSE)</f>
        <v>#N/A</v>
      </c>
      <c r="V42" s="11" t="str">
        <f t="shared" si="5"/>
        <v>#N/A</v>
      </c>
      <c r="W42" s="11" t="str">
        <f t="shared" si="6"/>
        <v>#N/A</v>
      </c>
      <c r="X42" s="11">
        <f>IF(VLOOKUP($H42, SeanRanks!$A$2:$H$303, 7, FALSE)=0, "", VLOOKUP($H42, SeanRanks!$A$2:$H$303, 7, FALSE))</f>
        <v>37</v>
      </c>
    </row>
    <row r="43" ht="14.25" customHeight="1">
      <c r="A43" s="11"/>
      <c r="B43" s="11" t="str">
        <f t="shared" si="1"/>
        <v>#N/A</v>
      </c>
      <c r="C43" s="11" t="s">
        <v>95</v>
      </c>
      <c r="D43" s="11">
        <v>31.0</v>
      </c>
      <c r="E43" s="11">
        <v>15.0</v>
      </c>
      <c r="F43" s="11">
        <f t="shared" si="2"/>
        <v>16</v>
      </c>
      <c r="G43" s="11" t="s">
        <v>1123</v>
      </c>
      <c r="H43" s="11" t="s">
        <v>364</v>
      </c>
      <c r="I43" s="11" t="str">
        <f>VLOOKUP($H43, 'ADP Data'!$B$4:$Q$300, 2, FALSE)</f>
        <v>#N/A</v>
      </c>
      <c r="J43" s="11" t="s">
        <v>775</v>
      </c>
      <c r="K43" s="11" t="str">
        <f>VLOOKUP($H43, SeanRanks!$A$2:$H$303, 5, FALSE)</f>
        <v>Yes</v>
      </c>
      <c r="L43" s="11" t="str">
        <f>IF(VLOOKUP($H43, SeanRanks!$A$2:$H$303, 6, FALSE)=0, "", VLOOKUP($H43, SeanRanks!$A$2:$H$303, 6, FALSE))</f>
        <v>WR4 - 1 - path to WR2</v>
      </c>
      <c r="M43" s="11">
        <f t="shared" si="3"/>
        <v>16</v>
      </c>
      <c r="N43" s="11" t="str">
        <f>VLOOKUP($H43, 'ADP Data'!$B$4:$Q$300, 10, FALSE)</f>
        <v>#N/A</v>
      </c>
      <c r="O43" s="11" t="str">
        <f>VLOOKUP($H43, 'ADP Data'!$B$4:$Q$300, 4, FALSE)</f>
        <v>#N/A</v>
      </c>
      <c r="P43" s="11" t="str">
        <f t="shared" si="4"/>
        <v>#N/A</v>
      </c>
      <c r="Q43" s="11" t="str">
        <f>VLOOKUP($H43, 'ADP Data'!$B$4:$Q$300, 5, FALSE)</f>
        <v>#N/A</v>
      </c>
      <c r="R43" s="11" t="str">
        <f>VLOOKUP($H43, 'ADP Data'!$B$4:$Q$300, 6, FALSE)</f>
        <v>#N/A</v>
      </c>
      <c r="S43" s="11" t="str">
        <f>VLOOKUP($H43, 'ADP Data'!$B$4:$Q$300, 7, FALSE)</f>
        <v>#N/A</v>
      </c>
      <c r="T43" s="11" t="str">
        <f>VLOOKUP($H43, 'ADP Data'!$B$4:$Q$300, 8, FALSE)</f>
        <v>#N/A</v>
      </c>
      <c r="U43" s="11" t="str">
        <f>VLOOKUP($H43, 'ADP Data'!$B$4:$Q$300, 9, FALSE)</f>
        <v>#N/A</v>
      </c>
      <c r="V43" s="11" t="str">
        <f t="shared" si="5"/>
        <v>#N/A</v>
      </c>
      <c r="W43" s="11" t="str">
        <f t="shared" si="6"/>
        <v>#N/A</v>
      </c>
      <c r="X43" s="11">
        <f>IF(VLOOKUP($H43, SeanRanks!$A$2:$H$303, 7, FALSE)=0, "", VLOOKUP($H43, SeanRanks!$A$2:$H$303, 7, FALSE))</f>
        <v>41</v>
      </c>
    </row>
    <row r="44" ht="14.25" customHeight="1">
      <c r="A44" s="11"/>
      <c r="B44" s="11" t="str">
        <f t="shared" si="1"/>
        <v>#N/A</v>
      </c>
      <c r="C44" s="11" t="s">
        <v>95</v>
      </c>
      <c r="D44" s="11">
        <v>13.0</v>
      </c>
      <c r="E44" s="11">
        <v>12.0</v>
      </c>
      <c r="F44" s="11">
        <f t="shared" si="2"/>
        <v>1</v>
      </c>
      <c r="G44" s="11"/>
      <c r="H44" s="11" t="s">
        <v>969</v>
      </c>
      <c r="I44" s="11" t="str">
        <f>VLOOKUP($H44, 'ADP Data'!$B$4:$Q$300, 2, FALSE)</f>
        <v>#N/A</v>
      </c>
      <c r="J44" s="11" t="s">
        <v>772</v>
      </c>
      <c r="K44" s="11" t="str">
        <f>VLOOKUP($H44, SeanRanks!$A$2:$H$303, 5, FALSE)</f>
        <v/>
      </c>
      <c r="L44" s="11" t="str">
        <f>IF(VLOOKUP($H44, SeanRanks!$A$2:$H$303, 6, FALSE)=0, "", VLOOKUP($H44, SeanRanks!$A$2:$H$303, 6, FALSE))</f>
        <v/>
      </c>
      <c r="M44" s="11">
        <f t="shared" si="3"/>
        <v>16</v>
      </c>
      <c r="N44" s="11" t="str">
        <f>VLOOKUP($H44, 'ADP Data'!$B$4:$Q$300, 10, FALSE)</f>
        <v>#N/A</v>
      </c>
      <c r="O44" s="11" t="str">
        <f>VLOOKUP($H44, 'ADP Data'!$B$4:$Q$300, 4, FALSE)</f>
        <v>#N/A</v>
      </c>
      <c r="P44" s="11" t="str">
        <f t="shared" si="4"/>
        <v>#N/A</v>
      </c>
      <c r="Q44" s="11" t="str">
        <f>VLOOKUP($H44, 'ADP Data'!$B$4:$Q$300, 5, FALSE)</f>
        <v>#N/A</v>
      </c>
      <c r="R44" s="11" t="str">
        <f>VLOOKUP($H44, 'ADP Data'!$B$4:$Q$300, 6, FALSE)</f>
        <v>#N/A</v>
      </c>
      <c r="S44" s="11" t="str">
        <f>VLOOKUP($H44, 'ADP Data'!$B$4:$Q$300, 7, FALSE)</f>
        <v>#N/A</v>
      </c>
      <c r="T44" s="11" t="str">
        <f>VLOOKUP($H44, 'ADP Data'!$B$4:$Q$300, 8, FALSE)</f>
        <v>#N/A</v>
      </c>
      <c r="U44" s="11" t="str">
        <f>VLOOKUP($H44, 'ADP Data'!$B$4:$Q$300, 9, FALSE)</f>
        <v>#N/A</v>
      </c>
      <c r="V44" s="11" t="str">
        <f t="shared" si="5"/>
        <v>#N/A</v>
      </c>
      <c r="W44" s="11" t="str">
        <f t="shared" si="6"/>
        <v>#N/A</v>
      </c>
      <c r="X44" s="11" t="str">
        <f>IF(VLOOKUP($H44, SeanRanks!$A$2:$H$303, 7, FALSE)=0, "", VLOOKUP($H44, SeanRanks!$A$2:$H$303, 7, FALSE))</f>
        <v/>
      </c>
    </row>
    <row r="45" ht="14.25" customHeight="1">
      <c r="A45" s="11"/>
      <c r="B45" s="11" t="str">
        <f t="shared" si="1"/>
        <v>#N/A</v>
      </c>
      <c r="C45" s="11" t="s">
        <v>95</v>
      </c>
      <c r="D45" s="11">
        <v>17.0</v>
      </c>
      <c r="E45" s="11">
        <v>14.0</v>
      </c>
      <c r="F45" s="11">
        <f t="shared" si="2"/>
        <v>3</v>
      </c>
      <c r="G45" s="11"/>
      <c r="H45" s="11" t="s">
        <v>278</v>
      </c>
      <c r="I45" s="93" t="str">
        <f>VLOOKUP($H45, 'ADP Data'!$B$4:$Q$300, 2, FALSE)</f>
        <v>#N/A</v>
      </c>
      <c r="J45" s="11" t="s">
        <v>772</v>
      </c>
      <c r="K45" s="11" t="str">
        <f>VLOOKUP($H45, SeanRanks!$A$2:$H$303, 5, FALSE)</f>
        <v/>
      </c>
      <c r="L45" s="11" t="str">
        <f>IF(VLOOKUP($H45, SeanRanks!$A$2:$H$303, 6, FALSE)=0, "", VLOOKUP($H45, SeanRanks!$A$2:$H$303, 6, FALSE))</f>
        <v>RB3 - 1 - Upside</v>
      </c>
      <c r="M45" s="11">
        <f t="shared" si="3"/>
        <v>16</v>
      </c>
      <c r="N45" s="11" t="str">
        <f>VLOOKUP($H45, 'ADP Data'!$B$4:$Q$300, 10, FALSE)</f>
        <v>#N/A</v>
      </c>
      <c r="O45" s="11" t="str">
        <f>VLOOKUP($H45, 'ADP Data'!$B$4:$Q$300, 4, FALSE)</f>
        <v>#N/A</v>
      </c>
      <c r="P45" s="11" t="str">
        <f t="shared" si="4"/>
        <v>#N/A</v>
      </c>
      <c r="Q45" s="11" t="str">
        <f>VLOOKUP($H45, 'ADP Data'!$B$4:$Q$300, 5, FALSE)</f>
        <v>#N/A</v>
      </c>
      <c r="R45" s="11" t="str">
        <f>VLOOKUP($H45, 'ADP Data'!$B$4:$Q$300, 6, FALSE)</f>
        <v>#N/A</v>
      </c>
      <c r="S45" s="11" t="str">
        <f>VLOOKUP($H45, 'ADP Data'!$B$4:$Q$300, 7, FALSE)</f>
        <v>#N/A</v>
      </c>
      <c r="T45" s="11" t="str">
        <f>VLOOKUP($H45, 'ADP Data'!$B$4:$Q$300, 8, FALSE)</f>
        <v>#N/A</v>
      </c>
      <c r="U45" s="11" t="str">
        <f>VLOOKUP($H45, 'ADP Data'!$B$4:$Q$300, 9, FALSE)</f>
        <v>#N/A</v>
      </c>
      <c r="V45" s="11" t="str">
        <f t="shared" si="5"/>
        <v>#N/A</v>
      </c>
      <c r="W45" s="11" t="str">
        <f t="shared" si="6"/>
        <v>#N/A</v>
      </c>
      <c r="X45" s="11">
        <f>IF(VLOOKUP($H45, SeanRanks!$A$2:$H$303, 7, FALSE)=0, "", VLOOKUP($H45, SeanRanks!$A$2:$H$303, 7, FALSE))</f>
        <v>29</v>
      </c>
    </row>
    <row r="46" ht="14.25" customHeight="1">
      <c r="A46" s="11"/>
      <c r="B46" s="11" t="str">
        <f t="shared" si="1"/>
        <v>#N/A</v>
      </c>
      <c r="C46" s="11" t="s">
        <v>95</v>
      </c>
      <c r="D46" s="11">
        <v>21.0</v>
      </c>
      <c r="E46" s="11">
        <v>15.0</v>
      </c>
      <c r="F46" s="11">
        <f t="shared" si="2"/>
        <v>6</v>
      </c>
      <c r="G46" s="11"/>
      <c r="H46" s="11" t="s">
        <v>796</v>
      </c>
      <c r="I46" s="11" t="str">
        <f>VLOOKUP($H46, 'ADP Data'!$B$4:$Q$300, 2, FALSE)</f>
        <v>#N/A</v>
      </c>
      <c r="J46" s="11" t="s">
        <v>775</v>
      </c>
      <c r="K46" s="11" t="str">
        <f>VLOOKUP($H46, SeanRanks!$A$2:$H$303, 5, FALSE)</f>
        <v/>
      </c>
      <c r="L46" s="11" t="str">
        <f>IF(VLOOKUP($H46, SeanRanks!$A$2:$H$303, 6, FALSE)=0, "", VLOOKUP($H46, SeanRanks!$A$2:$H$303, 6, FALSE))</f>
        <v/>
      </c>
      <c r="M46" s="11">
        <f t="shared" si="3"/>
        <v>16</v>
      </c>
      <c r="N46" s="11" t="str">
        <f>VLOOKUP($H46, 'ADP Data'!$B$4:$Q$300, 10, FALSE)</f>
        <v>#N/A</v>
      </c>
      <c r="O46" s="11" t="str">
        <f>VLOOKUP($H46, 'ADP Data'!$B$4:$Q$300, 4, FALSE)</f>
        <v>#N/A</v>
      </c>
      <c r="P46" s="11" t="str">
        <f t="shared" si="4"/>
        <v>#N/A</v>
      </c>
      <c r="Q46" s="11" t="str">
        <f>VLOOKUP($H46, 'ADP Data'!$B$4:$Q$300, 5, FALSE)</f>
        <v>#N/A</v>
      </c>
      <c r="R46" s="11" t="str">
        <f>VLOOKUP($H46, 'ADP Data'!$B$4:$Q$300, 6, FALSE)</f>
        <v>#N/A</v>
      </c>
      <c r="S46" s="11" t="str">
        <f>VLOOKUP($H46, 'ADP Data'!$B$4:$Q$300, 7, FALSE)</f>
        <v>#N/A</v>
      </c>
      <c r="T46" s="11" t="str">
        <f>VLOOKUP($H46, 'ADP Data'!$B$4:$Q$300, 8, FALSE)</f>
        <v>#N/A</v>
      </c>
      <c r="U46" s="11" t="str">
        <f>VLOOKUP($H46, 'ADP Data'!$B$4:$Q$300, 9, FALSE)</f>
        <v>#N/A</v>
      </c>
      <c r="V46" s="11" t="str">
        <f t="shared" si="5"/>
        <v>#N/A</v>
      </c>
      <c r="W46" s="11" t="str">
        <f t="shared" si="6"/>
        <v>#N/A</v>
      </c>
      <c r="X46" s="11" t="str">
        <f>IF(VLOOKUP($H46, SeanRanks!$A$2:$H$303, 7, FALSE)=0, "", VLOOKUP($H46, SeanRanks!$A$2:$H$303, 7, FALSE))</f>
        <v/>
      </c>
    </row>
    <row r="47" ht="14.25" customHeight="1">
      <c r="A47" s="11"/>
      <c r="B47" s="11" t="str">
        <f t="shared" si="1"/>
        <v>#N/A</v>
      </c>
      <c r="C47" s="11" t="s">
        <v>95</v>
      </c>
      <c r="D47" s="11">
        <v>23.0</v>
      </c>
      <c r="E47" s="11">
        <v>20.0</v>
      </c>
      <c r="F47" s="11">
        <f t="shared" si="2"/>
        <v>3</v>
      </c>
      <c r="G47" s="11" t="s">
        <v>106</v>
      </c>
      <c r="H47" s="11" t="s">
        <v>183</v>
      </c>
      <c r="I47" s="93" t="str">
        <f>VLOOKUP($H47, 'ADP Data'!$B$4:$Q$300, 2, FALSE)</f>
        <v>#N/A</v>
      </c>
      <c r="J47" s="11" t="s">
        <v>770</v>
      </c>
      <c r="K47" s="11" t="str">
        <f>VLOOKUP($H47, SeanRanks!$A$2:$H$303, 5, FALSE)</f>
        <v/>
      </c>
      <c r="L47" s="11" t="str">
        <f>IF(VLOOKUP($H47, SeanRanks!$A$2:$H$303, 6, FALSE)=0, "", VLOOKUP($H47, SeanRanks!$A$2:$H$303, 6, FALSE))</f>
        <v>QB1 - 1 - Elite</v>
      </c>
      <c r="M47" s="11">
        <f t="shared" si="3"/>
        <v>16</v>
      </c>
      <c r="N47" s="11" t="str">
        <f>VLOOKUP($H47, 'ADP Data'!$B$4:$Q$300, 10, FALSE)</f>
        <v>#N/A</v>
      </c>
      <c r="O47" s="11" t="str">
        <f>VLOOKUP($H47, 'ADP Data'!$B$4:$Q$300, 4, FALSE)</f>
        <v>#N/A</v>
      </c>
      <c r="P47" s="11" t="str">
        <f t="shared" si="4"/>
        <v>#N/A</v>
      </c>
      <c r="Q47" s="11" t="str">
        <f>VLOOKUP($H47, 'ADP Data'!$B$4:$Q$300, 5, FALSE)</f>
        <v>#N/A</v>
      </c>
      <c r="R47" s="11" t="str">
        <f>VLOOKUP($H47, 'ADP Data'!$B$4:$Q$300, 6, FALSE)</f>
        <v>#N/A</v>
      </c>
      <c r="S47" s="11" t="str">
        <f>VLOOKUP($H47, 'ADP Data'!$B$4:$Q$300, 7, FALSE)</f>
        <v>#N/A</v>
      </c>
      <c r="T47" s="11" t="str">
        <f>VLOOKUP($H47, 'ADP Data'!$B$4:$Q$300, 8, FALSE)</f>
        <v>#N/A</v>
      </c>
      <c r="U47" s="11" t="str">
        <f>VLOOKUP($H47, 'ADP Data'!$B$4:$Q$300, 9, FALSE)</f>
        <v>#N/A</v>
      </c>
      <c r="V47" s="11" t="str">
        <f t="shared" si="5"/>
        <v>#N/A</v>
      </c>
      <c r="W47" s="11" t="str">
        <f t="shared" si="6"/>
        <v>#N/A</v>
      </c>
      <c r="X47" s="11">
        <f>IF(VLOOKUP($H47, SeanRanks!$A$2:$H$303, 7, FALSE)=0, "", VLOOKUP($H47, SeanRanks!$A$2:$H$303, 7, FALSE))</f>
        <v>1</v>
      </c>
    </row>
    <row r="48" ht="14.25" customHeight="1">
      <c r="A48" s="11"/>
      <c r="B48" s="11" t="str">
        <f t="shared" si="1"/>
        <v>#N/A</v>
      </c>
      <c r="C48" s="11" t="s">
        <v>95</v>
      </c>
      <c r="D48" s="11">
        <v>27.0</v>
      </c>
      <c r="E48" s="11">
        <v>12.0</v>
      </c>
      <c r="F48" s="11">
        <f t="shared" si="2"/>
        <v>15</v>
      </c>
      <c r="G48" s="11"/>
      <c r="H48" s="11" t="s">
        <v>912</v>
      </c>
      <c r="I48" s="11" t="str">
        <f>VLOOKUP($H48, 'ADP Data'!$B$4:$Q$300, 2, FALSE)</f>
        <v>#N/A</v>
      </c>
      <c r="J48" s="11" t="s">
        <v>772</v>
      </c>
      <c r="K48" s="11" t="str">
        <f>VLOOKUP($H48, SeanRanks!$A$2:$H$303, 5, FALSE)</f>
        <v/>
      </c>
      <c r="L48" s="11" t="str">
        <f>IF(VLOOKUP($H48, SeanRanks!$A$2:$H$303, 6, FALSE)=0, "", VLOOKUP($H48, SeanRanks!$A$2:$H$303, 6, FALSE))</f>
        <v/>
      </c>
      <c r="M48" s="11">
        <f t="shared" si="3"/>
        <v>16</v>
      </c>
      <c r="N48" s="11" t="str">
        <f>VLOOKUP($H48, 'ADP Data'!$B$4:$Q$300, 10, FALSE)</f>
        <v>#N/A</v>
      </c>
      <c r="O48" s="11" t="str">
        <f>VLOOKUP($H48, 'ADP Data'!$B$4:$Q$300, 4, FALSE)</f>
        <v>#N/A</v>
      </c>
      <c r="P48" s="11" t="str">
        <f t="shared" si="4"/>
        <v>#N/A</v>
      </c>
      <c r="Q48" s="11" t="str">
        <f>VLOOKUP($H48, 'ADP Data'!$B$4:$Q$300, 5, FALSE)</f>
        <v>#N/A</v>
      </c>
      <c r="R48" s="11" t="str">
        <f>VLOOKUP($H48, 'ADP Data'!$B$4:$Q$300, 6, FALSE)</f>
        <v>#N/A</v>
      </c>
      <c r="S48" s="11" t="str">
        <f>VLOOKUP($H48, 'ADP Data'!$B$4:$Q$300, 7, FALSE)</f>
        <v>#N/A</v>
      </c>
      <c r="T48" s="11" t="str">
        <f>VLOOKUP($H48, 'ADP Data'!$B$4:$Q$300, 8, FALSE)</f>
        <v>#N/A</v>
      </c>
      <c r="U48" s="11" t="str">
        <f>VLOOKUP($H48, 'ADP Data'!$B$4:$Q$300, 9, FALSE)</f>
        <v>#N/A</v>
      </c>
      <c r="V48" s="11" t="str">
        <f t="shared" si="5"/>
        <v>#N/A</v>
      </c>
      <c r="W48" s="11" t="str">
        <f t="shared" si="6"/>
        <v>#N/A</v>
      </c>
      <c r="X48" s="11" t="str">
        <f>IF(VLOOKUP($H48, SeanRanks!$A$2:$H$303, 7, FALSE)=0, "", VLOOKUP($H48, SeanRanks!$A$2:$H$303, 7, FALSE))</f>
        <v/>
      </c>
    </row>
    <row r="49" ht="14.25" customHeight="1">
      <c r="A49" s="11"/>
      <c r="B49" s="11" t="str">
        <f t="shared" si="1"/>
        <v>#N/A</v>
      </c>
      <c r="C49" s="11" t="s">
        <v>95</v>
      </c>
      <c r="D49" s="11">
        <v>11.0</v>
      </c>
      <c r="E49" s="11">
        <v>10.0</v>
      </c>
      <c r="F49" s="11">
        <f t="shared" si="2"/>
        <v>1</v>
      </c>
      <c r="G49" s="11"/>
      <c r="H49" s="11" t="s">
        <v>1131</v>
      </c>
      <c r="I49" s="11" t="str">
        <f>VLOOKUP($H49, 'ADP Data'!$B$4:$Q$300, 2, FALSE)</f>
        <v>#N/A</v>
      </c>
      <c r="J49" s="11" t="s">
        <v>772</v>
      </c>
      <c r="K49" s="11" t="str">
        <f>VLOOKUP($H49, SeanRanks!$A$2:$H$303, 5, FALSE)</f>
        <v>#N/A</v>
      </c>
      <c r="L49" s="11" t="str">
        <f>IF(VLOOKUP($H49, SeanRanks!$A$2:$H$303, 6, FALSE)=0, "", VLOOKUP($H49, SeanRanks!$A$2:$H$303, 6, FALSE))</f>
        <v>#N/A</v>
      </c>
      <c r="M49" s="11">
        <f t="shared" si="3"/>
        <v>16</v>
      </c>
      <c r="N49" s="11" t="str">
        <f>VLOOKUP($H49, 'ADP Data'!$B$4:$Q$300, 10, FALSE)</f>
        <v>#N/A</v>
      </c>
      <c r="O49" s="11" t="str">
        <f>VLOOKUP($H49, 'ADP Data'!$B$4:$Q$300, 4, FALSE)</f>
        <v>#N/A</v>
      </c>
      <c r="P49" s="11" t="str">
        <f t="shared" si="4"/>
        <v>#N/A</v>
      </c>
      <c r="Q49" s="11" t="str">
        <f>VLOOKUP($H49, 'ADP Data'!$B$4:$Q$300, 5, FALSE)</f>
        <v>#N/A</v>
      </c>
      <c r="R49" s="11" t="str">
        <f>VLOOKUP($H49, 'ADP Data'!$B$4:$Q$300, 6, FALSE)</f>
        <v>#N/A</v>
      </c>
      <c r="S49" s="11" t="str">
        <f>VLOOKUP($H49, 'ADP Data'!$B$4:$Q$300, 7, FALSE)</f>
        <v>#N/A</v>
      </c>
      <c r="T49" s="11" t="str">
        <f>VLOOKUP($H49, 'ADP Data'!$B$4:$Q$300, 8, FALSE)</f>
        <v>#N/A</v>
      </c>
      <c r="U49" s="11" t="str">
        <f>VLOOKUP($H49, 'ADP Data'!$B$4:$Q$300, 9, FALSE)</f>
        <v>#N/A</v>
      </c>
      <c r="V49" s="11" t="str">
        <f t="shared" si="5"/>
        <v>#N/A</v>
      </c>
      <c r="W49" s="11" t="str">
        <f t="shared" si="6"/>
        <v>#N/A</v>
      </c>
      <c r="X49" s="11" t="str">
        <f>IF(VLOOKUP($H49, SeanRanks!$A$2:$H$303, 7, FALSE)=0, "", VLOOKUP($H49, SeanRanks!$A$2:$H$303, 7, FALSE))</f>
        <v>#N/A</v>
      </c>
    </row>
    <row r="50" ht="14.25" customHeight="1">
      <c r="A50" s="11"/>
      <c r="B50" s="11" t="str">
        <f t="shared" si="1"/>
        <v>#N/A</v>
      </c>
      <c r="C50" s="11" t="s">
        <v>95</v>
      </c>
      <c r="D50" s="11">
        <v>23.0</v>
      </c>
      <c r="E50" s="11">
        <v>10.0</v>
      </c>
      <c r="F50" s="11">
        <f t="shared" si="2"/>
        <v>13</v>
      </c>
      <c r="G50" s="11" t="s">
        <v>1123</v>
      </c>
      <c r="H50" s="11" t="s">
        <v>428</v>
      </c>
      <c r="I50" s="58" t="str">
        <f>VLOOKUP($H50, 'ADP Data'!$B$4:$Q$300, 2, FALSE)</f>
        <v>#N/A</v>
      </c>
      <c r="J50" s="11" t="s">
        <v>775</v>
      </c>
      <c r="K50" s="11" t="str">
        <f>VLOOKUP($H50, SeanRanks!$A$2:$H$303, 5, FALSE)</f>
        <v/>
      </c>
      <c r="L50" s="11" t="str">
        <f>IF(VLOOKUP($H50, SeanRanks!$A$2:$H$303, 6, FALSE)=0, "", VLOOKUP($H50, SeanRanks!$A$2:$H$303, 6, FALSE))</f>
        <v>WR5 - 2 - floor play not league winner</v>
      </c>
      <c r="M50" s="11">
        <f t="shared" si="3"/>
        <v>16</v>
      </c>
      <c r="N50" s="11" t="str">
        <f>VLOOKUP($H50, 'ADP Data'!$B$4:$Q$300, 10, FALSE)</f>
        <v>#N/A</v>
      </c>
      <c r="O50" s="11" t="str">
        <f>VLOOKUP($H50, 'ADP Data'!$B$4:$Q$300, 4, FALSE)</f>
        <v>#N/A</v>
      </c>
      <c r="P50" s="11" t="str">
        <f t="shared" si="4"/>
        <v>#N/A</v>
      </c>
      <c r="Q50" s="11" t="str">
        <f>VLOOKUP($H50, 'ADP Data'!$B$4:$Q$300, 5, FALSE)</f>
        <v>#N/A</v>
      </c>
      <c r="R50" s="11" t="str">
        <f>VLOOKUP($H50, 'ADP Data'!$B$4:$Q$300, 6, FALSE)</f>
        <v>#N/A</v>
      </c>
      <c r="S50" s="11" t="str">
        <f>VLOOKUP($H50, 'ADP Data'!$B$4:$Q$300, 7, FALSE)</f>
        <v>#N/A</v>
      </c>
      <c r="T50" s="11" t="str">
        <f>VLOOKUP($H50, 'ADP Data'!$B$4:$Q$300, 8, FALSE)</f>
        <v>#N/A</v>
      </c>
      <c r="U50" s="11" t="str">
        <f>VLOOKUP($H50, 'ADP Data'!$B$4:$Q$300, 9, FALSE)</f>
        <v>#N/A</v>
      </c>
      <c r="V50" s="11" t="str">
        <f t="shared" si="5"/>
        <v>#N/A</v>
      </c>
      <c r="W50" s="11" t="str">
        <f t="shared" si="6"/>
        <v>#N/A</v>
      </c>
      <c r="X50" s="11">
        <f>IF(VLOOKUP($H50, SeanRanks!$A$2:$H$303, 7, FALSE)=0, "", VLOOKUP($H50, SeanRanks!$A$2:$H$303, 7, FALSE))</f>
        <v>58</v>
      </c>
    </row>
    <row r="51" ht="14.25" customHeight="1">
      <c r="A51" s="11"/>
      <c r="B51" s="11" t="str">
        <f t="shared" si="1"/>
        <v>#N/A</v>
      </c>
      <c r="C51" s="11" t="s">
        <v>95</v>
      </c>
      <c r="D51" s="11">
        <v>13.0</v>
      </c>
      <c r="E51" s="11">
        <v>10.0</v>
      </c>
      <c r="F51" s="11">
        <f t="shared" si="2"/>
        <v>3</v>
      </c>
      <c r="G51" s="11"/>
      <c r="H51" s="11" t="s">
        <v>498</v>
      </c>
      <c r="I51" s="57" t="str">
        <f>VLOOKUP($H51, 'ADP Data'!$B$4:$Q$300, 2, FALSE)</f>
        <v>#N/A</v>
      </c>
      <c r="J51" s="11" t="s">
        <v>772</v>
      </c>
      <c r="K51" s="11" t="str">
        <f>VLOOKUP($H51, SeanRanks!$A$2:$H$303, 5, FALSE)</f>
        <v/>
      </c>
      <c r="L51" s="11" t="str">
        <f>IF(VLOOKUP($H51, SeanRanks!$A$2:$H$303, 6, FALSE)=0, "", VLOOKUP($H51, SeanRanks!$A$2:$H$303, 6, FALSE))</f>
        <v>RB2 - 1 - Clear path to spikes</v>
      </c>
      <c r="M51" s="11">
        <f t="shared" si="3"/>
        <v>16</v>
      </c>
      <c r="N51" s="11" t="str">
        <f>VLOOKUP($H51, 'ADP Data'!$B$4:$Q$300, 10, FALSE)</f>
        <v>#N/A</v>
      </c>
      <c r="O51" s="11" t="str">
        <f>VLOOKUP($H51, 'ADP Data'!$B$4:$Q$300, 4, FALSE)</f>
        <v>#N/A</v>
      </c>
      <c r="P51" s="11" t="str">
        <f t="shared" si="4"/>
        <v>#N/A</v>
      </c>
      <c r="Q51" s="11" t="str">
        <f>VLOOKUP($H51, 'ADP Data'!$B$4:$Q$300, 5, FALSE)</f>
        <v>#N/A</v>
      </c>
      <c r="R51" s="11" t="str">
        <f>VLOOKUP($H51, 'ADP Data'!$B$4:$Q$300, 6, FALSE)</f>
        <v>#N/A</v>
      </c>
      <c r="S51" s="11" t="str">
        <f>VLOOKUP($H51, 'ADP Data'!$B$4:$Q$300, 7, FALSE)</f>
        <v>#N/A</v>
      </c>
      <c r="T51" s="11" t="str">
        <f>VLOOKUP($H51, 'ADP Data'!$B$4:$Q$300, 8, FALSE)</f>
        <v>#N/A</v>
      </c>
      <c r="U51" s="11" t="str">
        <f>VLOOKUP($H51, 'ADP Data'!$B$4:$Q$300, 9, FALSE)</f>
        <v>#N/A</v>
      </c>
      <c r="V51" s="11" t="str">
        <f t="shared" si="5"/>
        <v>#N/A</v>
      </c>
      <c r="W51" s="11" t="str">
        <f t="shared" si="6"/>
        <v>#N/A</v>
      </c>
      <c r="X51" s="11">
        <f>IF(VLOOKUP($H51, SeanRanks!$A$2:$H$303, 7, FALSE)=0, "", VLOOKUP($H51, SeanRanks!$A$2:$H$303, 7, FALSE))</f>
        <v>19</v>
      </c>
    </row>
    <row r="52" ht="14.25" customHeight="1">
      <c r="A52" s="11"/>
      <c r="B52" s="11" t="str">
        <f t="shared" si="1"/>
        <v>#N/A</v>
      </c>
      <c r="C52" s="11" t="s">
        <v>95</v>
      </c>
      <c r="D52" s="11">
        <v>18.0</v>
      </c>
      <c r="E52" s="11">
        <v>6.0</v>
      </c>
      <c r="F52" s="11">
        <f t="shared" si="2"/>
        <v>12</v>
      </c>
      <c r="G52" s="11"/>
      <c r="H52" s="11" t="s">
        <v>187</v>
      </c>
      <c r="I52" s="11" t="str">
        <f>VLOOKUP($H52, 'ADP Data'!$B$4:$Q$300, 2, FALSE)</f>
        <v>#N/A</v>
      </c>
      <c r="J52" s="11" t="s">
        <v>775</v>
      </c>
      <c r="K52" s="11" t="str">
        <f>VLOOKUP($H52, SeanRanks!$A$2:$H$303, 5, FALSE)</f>
        <v/>
      </c>
      <c r="L52" s="11" t="str">
        <f>IF(VLOOKUP($H52, SeanRanks!$A$2:$H$303, 6, FALSE)=0, "", VLOOKUP($H52, SeanRanks!$A$2:$H$303, 6, FALSE))</f>
        <v>WR3 - 1 - </v>
      </c>
      <c r="M52" s="11">
        <f t="shared" si="3"/>
        <v>16</v>
      </c>
      <c r="N52" s="11" t="str">
        <f>VLOOKUP($H52, 'ADP Data'!$B$4:$Q$300, 10, FALSE)</f>
        <v>#N/A</v>
      </c>
      <c r="O52" s="11" t="str">
        <f>VLOOKUP($H52, 'ADP Data'!$B$4:$Q$300, 4, FALSE)</f>
        <v>#N/A</v>
      </c>
      <c r="P52" s="11" t="str">
        <f t="shared" si="4"/>
        <v>#N/A</v>
      </c>
      <c r="Q52" s="11" t="str">
        <f>VLOOKUP($H52, 'ADP Data'!$B$4:$Q$300, 5, FALSE)</f>
        <v>#N/A</v>
      </c>
      <c r="R52" s="11" t="str">
        <f>VLOOKUP($H52, 'ADP Data'!$B$4:$Q$300, 6, FALSE)</f>
        <v>#N/A</v>
      </c>
      <c r="S52" s="11" t="str">
        <f>VLOOKUP($H52, 'ADP Data'!$B$4:$Q$300, 7, FALSE)</f>
        <v>#N/A</v>
      </c>
      <c r="T52" s="11" t="str">
        <f>VLOOKUP($H52, 'ADP Data'!$B$4:$Q$300, 8, FALSE)</f>
        <v>#N/A</v>
      </c>
      <c r="U52" s="11" t="str">
        <f>VLOOKUP($H52, 'ADP Data'!$B$4:$Q$300, 9, FALSE)</f>
        <v>#N/A</v>
      </c>
      <c r="V52" s="11" t="str">
        <f t="shared" si="5"/>
        <v>#N/A</v>
      </c>
      <c r="W52" s="11" t="str">
        <f t="shared" si="6"/>
        <v>#N/A</v>
      </c>
      <c r="X52" s="11">
        <f>IF(VLOOKUP($H52, SeanRanks!$A$2:$H$303, 7, FALSE)=0, "", VLOOKUP($H52, SeanRanks!$A$2:$H$303, 7, FALSE))</f>
        <v>28</v>
      </c>
    </row>
    <row r="53" ht="14.25" customHeight="1">
      <c r="A53" s="11"/>
      <c r="B53" s="11" t="str">
        <f t="shared" si="1"/>
        <v>#N/A</v>
      </c>
      <c r="C53" s="11" t="s">
        <v>95</v>
      </c>
      <c r="D53" s="11">
        <v>22.0</v>
      </c>
      <c r="E53" s="11">
        <v>5.0</v>
      </c>
      <c r="F53" s="11">
        <f t="shared" si="2"/>
        <v>17</v>
      </c>
      <c r="G53" s="11"/>
      <c r="H53" s="11" t="s">
        <v>218</v>
      </c>
      <c r="I53" s="11" t="str">
        <f>VLOOKUP($H53, 'ADP Data'!$B$4:$Q$300, 2, FALSE)</f>
        <v>#N/A</v>
      </c>
      <c r="J53" s="11" t="s">
        <v>775</v>
      </c>
      <c r="K53" s="11" t="str">
        <f>VLOOKUP($H53, SeanRanks!$A$2:$H$303, 5, FALSE)</f>
        <v>#N/A</v>
      </c>
      <c r="L53" s="11" t="str">
        <f>IF(VLOOKUP($H53, SeanRanks!$A$2:$H$303, 6, FALSE)=0, "", VLOOKUP($H53, SeanRanks!$A$2:$H$303, 6, FALSE))</f>
        <v>#N/A</v>
      </c>
      <c r="M53" s="11">
        <f t="shared" si="3"/>
        <v>16</v>
      </c>
      <c r="N53" s="11" t="str">
        <f>VLOOKUP($H53, 'ADP Data'!$B$4:$Q$300, 10, FALSE)</f>
        <v>#N/A</v>
      </c>
      <c r="O53" s="11" t="str">
        <f>VLOOKUP($H53, 'ADP Data'!$B$4:$Q$300, 4, FALSE)</f>
        <v>#N/A</v>
      </c>
      <c r="P53" s="11" t="str">
        <f t="shared" si="4"/>
        <v>#N/A</v>
      </c>
      <c r="Q53" s="11" t="str">
        <f>VLOOKUP($H53, 'ADP Data'!$B$4:$Q$300, 5, FALSE)</f>
        <v>#N/A</v>
      </c>
      <c r="R53" s="11" t="str">
        <f>VLOOKUP($H53, 'ADP Data'!$B$4:$Q$300, 6, FALSE)</f>
        <v>#N/A</v>
      </c>
      <c r="S53" s="11" t="str">
        <f>VLOOKUP($H53, 'ADP Data'!$B$4:$Q$300, 7, FALSE)</f>
        <v>#N/A</v>
      </c>
      <c r="T53" s="11" t="str">
        <f>VLOOKUP($H53, 'ADP Data'!$B$4:$Q$300, 8, FALSE)</f>
        <v>#N/A</v>
      </c>
      <c r="U53" s="11" t="str">
        <f>VLOOKUP($H53, 'ADP Data'!$B$4:$Q$300, 9, FALSE)</f>
        <v>#N/A</v>
      </c>
      <c r="V53" s="11" t="str">
        <f t="shared" si="5"/>
        <v>#N/A</v>
      </c>
      <c r="W53" s="11" t="str">
        <f t="shared" si="6"/>
        <v>#N/A</v>
      </c>
      <c r="X53" s="11" t="str">
        <f>IF(VLOOKUP($H53, SeanRanks!$A$2:$H$303, 7, FALSE)=0, "", VLOOKUP($H53, SeanRanks!$A$2:$H$303, 7, FALSE))</f>
        <v>#N/A</v>
      </c>
    </row>
    <row r="54" ht="14.25" customHeight="1">
      <c r="A54" s="11"/>
      <c r="B54" s="11" t="str">
        <f t="shared" si="1"/>
        <v>#N/A</v>
      </c>
      <c r="C54" s="11" t="s">
        <v>95</v>
      </c>
      <c r="D54" s="11">
        <v>8.0</v>
      </c>
      <c r="E54" s="11">
        <v>5.0</v>
      </c>
      <c r="F54" s="11">
        <f t="shared" si="2"/>
        <v>3</v>
      </c>
      <c r="G54" s="11" t="s">
        <v>106</v>
      </c>
      <c r="H54" s="11" t="s">
        <v>114</v>
      </c>
      <c r="I54" s="11" t="str">
        <f>VLOOKUP($H54, 'ADP Data'!$B$4:$Q$300, 2, FALSE)</f>
        <v>#N/A</v>
      </c>
      <c r="J54" s="11" t="s">
        <v>775</v>
      </c>
      <c r="K54" s="11" t="str">
        <f>VLOOKUP($H54, SeanRanks!$A$2:$H$303, 5, FALSE)</f>
        <v/>
      </c>
      <c r="L54" s="11" t="str">
        <f>IF(VLOOKUP($H54, SeanRanks!$A$2:$H$303, 6, FALSE)=0, "", VLOOKUP($H54, SeanRanks!$A$2:$H$303, 6, FALSE))</f>
        <v>WR1 - 2 - High Floor</v>
      </c>
      <c r="M54" s="11">
        <f t="shared" si="3"/>
        <v>16</v>
      </c>
      <c r="N54" s="11" t="str">
        <f>VLOOKUP($H54, 'ADP Data'!$B$4:$Q$300, 10, FALSE)</f>
        <v>#N/A</v>
      </c>
      <c r="O54" s="11" t="str">
        <f>VLOOKUP($H54, 'ADP Data'!$B$4:$Q$300, 4, FALSE)</f>
        <v>#N/A</v>
      </c>
      <c r="P54" s="11" t="str">
        <f t="shared" si="4"/>
        <v>#N/A</v>
      </c>
      <c r="Q54" s="11" t="str">
        <f>VLOOKUP($H54, 'ADP Data'!$B$4:$Q$300, 5, FALSE)</f>
        <v>#N/A</v>
      </c>
      <c r="R54" s="11" t="str">
        <f>VLOOKUP($H54, 'ADP Data'!$B$4:$Q$300, 6, FALSE)</f>
        <v>#N/A</v>
      </c>
      <c r="S54" s="11" t="str">
        <f>VLOOKUP($H54, 'ADP Data'!$B$4:$Q$300, 7, FALSE)</f>
        <v>#N/A</v>
      </c>
      <c r="T54" s="11" t="str">
        <f>VLOOKUP($H54, 'ADP Data'!$B$4:$Q$300, 8, FALSE)</f>
        <v>#N/A</v>
      </c>
      <c r="U54" s="11" t="str">
        <f>VLOOKUP($H54, 'ADP Data'!$B$4:$Q$300, 9, FALSE)</f>
        <v>#N/A</v>
      </c>
      <c r="V54" s="11" t="str">
        <f t="shared" si="5"/>
        <v>#N/A</v>
      </c>
      <c r="W54" s="11" t="str">
        <f t="shared" si="6"/>
        <v>#N/A</v>
      </c>
      <c r="X54" s="11">
        <f>IF(VLOOKUP($H54, SeanRanks!$A$2:$H$303, 7, FALSE)=0, "", VLOOKUP($H54, SeanRanks!$A$2:$H$303, 7, FALSE))</f>
        <v>7</v>
      </c>
    </row>
    <row r="55" ht="14.25" customHeight="1">
      <c r="A55" s="11"/>
      <c r="B55" s="11" t="str">
        <f t="shared" si="1"/>
        <v>#N/A</v>
      </c>
      <c r="C55" s="11" t="s">
        <v>95</v>
      </c>
      <c r="D55" s="11">
        <v>11.0</v>
      </c>
      <c r="E55" s="11">
        <v>4.0</v>
      </c>
      <c r="F55" s="11">
        <f t="shared" si="2"/>
        <v>7</v>
      </c>
      <c r="G55" s="11" t="s">
        <v>106</v>
      </c>
      <c r="H55" s="11" t="s">
        <v>653</v>
      </c>
      <c r="I55" s="11" t="str">
        <f>VLOOKUP($H55, 'ADP Data'!$B$4:$Q$300, 2, FALSE)</f>
        <v>#N/A</v>
      </c>
      <c r="J55" s="11" t="s">
        <v>775</v>
      </c>
      <c r="K55" s="11" t="str">
        <f>VLOOKUP($H55, SeanRanks!$A$2:$H$303, 5, FALSE)</f>
        <v/>
      </c>
      <c r="L55" s="11" t="str">
        <f>IF(VLOOKUP($H55, SeanRanks!$A$2:$H$303, 6, FALSE)=0, "", VLOOKUP($H55, SeanRanks!$A$2:$H$303, 6, FALSE))</f>
        <v>WR5 - 2 - floor play not league winner</v>
      </c>
      <c r="M55" s="11">
        <f t="shared" si="3"/>
        <v>16</v>
      </c>
      <c r="N55" s="11" t="str">
        <f>VLOOKUP($H55, 'ADP Data'!$B$4:$Q$300, 10, FALSE)</f>
        <v>#N/A</v>
      </c>
      <c r="O55" s="11" t="str">
        <f>VLOOKUP($H55, 'ADP Data'!$B$4:$Q$300, 4, FALSE)</f>
        <v>#N/A</v>
      </c>
      <c r="P55" s="11" t="str">
        <f t="shared" si="4"/>
        <v>#N/A</v>
      </c>
      <c r="Q55" s="11" t="str">
        <f>VLOOKUP($H55, 'ADP Data'!$B$4:$Q$300, 5, FALSE)</f>
        <v>#N/A</v>
      </c>
      <c r="R55" s="11" t="str">
        <f>VLOOKUP($H55, 'ADP Data'!$B$4:$Q$300, 6, FALSE)</f>
        <v>#N/A</v>
      </c>
      <c r="S55" s="11" t="str">
        <f>VLOOKUP($H55, 'ADP Data'!$B$4:$Q$300, 7, FALSE)</f>
        <v>#N/A</v>
      </c>
      <c r="T55" s="11" t="str">
        <f>VLOOKUP($H55, 'ADP Data'!$B$4:$Q$300, 8, FALSE)</f>
        <v>#N/A</v>
      </c>
      <c r="U55" s="11" t="str">
        <f>VLOOKUP($H55, 'ADP Data'!$B$4:$Q$300, 9, FALSE)</f>
        <v>#N/A</v>
      </c>
      <c r="V55" s="11" t="str">
        <f t="shared" si="5"/>
        <v>#N/A</v>
      </c>
      <c r="W55" s="11" t="str">
        <f t="shared" si="6"/>
        <v>#N/A</v>
      </c>
      <c r="X55" s="11">
        <f>IF(VLOOKUP($H55, SeanRanks!$A$2:$H$303, 7, FALSE)=0, "", VLOOKUP($H55, SeanRanks!$A$2:$H$303, 7, FALSE))</f>
        <v>57</v>
      </c>
    </row>
    <row r="56" ht="14.25" customHeight="1">
      <c r="A56" s="11"/>
      <c r="B56" s="11" t="str">
        <f t="shared" si="1"/>
        <v>#N/A</v>
      </c>
      <c r="C56" s="11" t="s">
        <v>95</v>
      </c>
      <c r="D56" s="11">
        <v>21.0</v>
      </c>
      <c r="E56" s="11">
        <v>9.0</v>
      </c>
      <c r="F56" s="11">
        <f t="shared" si="2"/>
        <v>12</v>
      </c>
      <c r="G56" s="11" t="s">
        <v>1122</v>
      </c>
      <c r="H56" s="11" t="s">
        <v>101</v>
      </c>
      <c r="I56" s="11" t="str">
        <f>VLOOKUP($H56, 'ADP Data'!$B$4:$Q$300, 2, FALSE)</f>
        <v>#N/A</v>
      </c>
      <c r="J56" s="11" t="s">
        <v>772</v>
      </c>
      <c r="K56" s="11" t="str">
        <f>VLOOKUP($H56, SeanRanks!$A$2:$H$303, 5, FALSE)</f>
        <v/>
      </c>
      <c r="L56" s="11" t="str">
        <f>IF(VLOOKUP($H56, SeanRanks!$A$2:$H$303, 6, FALSE)=0, "", VLOOKUP($H56, SeanRanks!$A$2:$H$303, 6, FALSE))</f>
        <v>RB2 - 1 - Clear path to spikes</v>
      </c>
      <c r="M56" s="11">
        <f t="shared" si="3"/>
        <v>16</v>
      </c>
      <c r="N56" s="11" t="str">
        <f>VLOOKUP($H56, 'ADP Data'!$B$4:$Q$300, 10, FALSE)</f>
        <v>#N/A</v>
      </c>
      <c r="O56" s="11" t="str">
        <f>VLOOKUP($H56, 'ADP Data'!$B$4:$Q$300, 4, FALSE)</f>
        <v>#N/A</v>
      </c>
      <c r="P56" s="11" t="str">
        <f t="shared" si="4"/>
        <v>#N/A</v>
      </c>
      <c r="Q56" s="11" t="str">
        <f>VLOOKUP($H56, 'ADP Data'!$B$4:$Q$300, 5, FALSE)</f>
        <v>#N/A</v>
      </c>
      <c r="R56" s="11" t="str">
        <f>VLOOKUP($H56, 'ADP Data'!$B$4:$Q$300, 6, FALSE)</f>
        <v>#N/A</v>
      </c>
      <c r="S56" s="11" t="str">
        <f>VLOOKUP($H56, 'ADP Data'!$B$4:$Q$300, 7, FALSE)</f>
        <v>#N/A</v>
      </c>
      <c r="T56" s="11" t="str">
        <f>VLOOKUP($H56, 'ADP Data'!$B$4:$Q$300, 8, FALSE)</f>
        <v>#N/A</v>
      </c>
      <c r="U56" s="11" t="str">
        <f>VLOOKUP($H56, 'ADP Data'!$B$4:$Q$300, 9, FALSE)</f>
        <v>#N/A</v>
      </c>
      <c r="V56" s="11" t="str">
        <f t="shared" si="5"/>
        <v>#N/A</v>
      </c>
      <c r="W56" s="11" t="str">
        <f t="shared" si="6"/>
        <v>#N/A</v>
      </c>
      <c r="X56" s="11">
        <f>IF(VLOOKUP($H56, SeanRanks!$A$2:$H$303, 7, FALSE)=0, "", VLOOKUP($H56, SeanRanks!$A$2:$H$303, 7, FALSE))</f>
        <v>13</v>
      </c>
    </row>
    <row r="57" ht="14.25" customHeight="1">
      <c r="A57" s="11"/>
      <c r="B57" s="11" t="str">
        <f t="shared" si="1"/>
        <v>#N/A</v>
      </c>
      <c r="C57" s="11" t="s">
        <v>95</v>
      </c>
      <c r="D57" s="11">
        <v>20.0</v>
      </c>
      <c r="E57" s="11">
        <v>6.0</v>
      </c>
      <c r="F57" s="11">
        <f t="shared" si="2"/>
        <v>14</v>
      </c>
      <c r="G57" s="11"/>
      <c r="H57" s="11" t="s">
        <v>887</v>
      </c>
      <c r="I57" s="58" t="str">
        <f>VLOOKUP($H57, 'ADP Data'!$B$4:$Q$300, 2, FALSE)</f>
        <v>#N/A</v>
      </c>
      <c r="J57" s="11" t="s">
        <v>775</v>
      </c>
      <c r="K57" s="11" t="str">
        <f>VLOOKUP($H57, SeanRanks!$A$2:$H$303, 5, FALSE)</f>
        <v>#N/A</v>
      </c>
      <c r="L57" s="11" t="str">
        <f>IF(VLOOKUP($H57, SeanRanks!$A$2:$H$303, 6, FALSE)=0, "", VLOOKUP($H57, SeanRanks!$A$2:$H$303, 6, FALSE))</f>
        <v>#N/A</v>
      </c>
      <c r="M57" s="11">
        <f t="shared" si="3"/>
        <v>16</v>
      </c>
      <c r="N57" s="11" t="str">
        <f>VLOOKUP($H57, 'ADP Data'!$B$4:$Q$300, 10, FALSE)</f>
        <v>#N/A</v>
      </c>
      <c r="O57" s="11" t="str">
        <f>VLOOKUP($H57, 'ADP Data'!$B$4:$Q$300, 4, FALSE)</f>
        <v>#N/A</v>
      </c>
      <c r="P57" s="11" t="str">
        <f t="shared" si="4"/>
        <v>#N/A</v>
      </c>
      <c r="Q57" s="11" t="str">
        <f>VLOOKUP($H57, 'ADP Data'!$B$4:$Q$300, 5, FALSE)</f>
        <v>#N/A</v>
      </c>
      <c r="R57" s="11" t="str">
        <f>VLOOKUP($H57, 'ADP Data'!$B$4:$Q$300, 6, FALSE)</f>
        <v>#N/A</v>
      </c>
      <c r="S57" s="11" t="str">
        <f>VLOOKUP($H57, 'ADP Data'!$B$4:$Q$300, 7, FALSE)</f>
        <v>#N/A</v>
      </c>
      <c r="T57" s="11" t="str">
        <f>VLOOKUP($H57, 'ADP Data'!$B$4:$Q$300, 8, FALSE)</f>
        <v>#N/A</v>
      </c>
      <c r="U57" s="11" t="str">
        <f>VLOOKUP($H57, 'ADP Data'!$B$4:$Q$300, 9, FALSE)</f>
        <v>#N/A</v>
      </c>
      <c r="V57" s="11" t="str">
        <f t="shared" si="5"/>
        <v>#N/A</v>
      </c>
      <c r="W57" s="11" t="str">
        <f t="shared" si="6"/>
        <v>#N/A</v>
      </c>
      <c r="X57" s="11" t="str">
        <f>IF(VLOOKUP($H57, SeanRanks!$A$2:$H$303, 7, FALSE)=0, "", VLOOKUP($H57, SeanRanks!$A$2:$H$303, 7, FALSE))</f>
        <v>#N/A</v>
      </c>
    </row>
    <row r="58" ht="14.25" customHeight="1">
      <c r="A58" s="11"/>
      <c r="B58" s="11" t="str">
        <f t="shared" si="1"/>
        <v>#N/A</v>
      </c>
      <c r="C58" s="11" t="s">
        <v>95</v>
      </c>
      <c r="D58" s="11">
        <v>6.0</v>
      </c>
      <c r="E58" s="11">
        <v>4.0</v>
      </c>
      <c r="F58" s="11">
        <f t="shared" si="2"/>
        <v>2</v>
      </c>
      <c r="G58" s="58" t="s">
        <v>106</v>
      </c>
      <c r="H58" s="11" t="s">
        <v>880</v>
      </c>
      <c r="I58" s="11" t="str">
        <f>VLOOKUP($H58, 'ADP Data'!$B$4:$Q$300, 2, FALSE)</f>
        <v>#N/A</v>
      </c>
      <c r="J58" s="11" t="s">
        <v>775</v>
      </c>
      <c r="K58" s="11" t="str">
        <f>VLOOKUP($H58, SeanRanks!$A$2:$H$303, 5, FALSE)</f>
        <v/>
      </c>
      <c r="L58" s="11" t="str">
        <f>IF(VLOOKUP($H58, SeanRanks!$A$2:$H$303, 6, FALSE)=0, "", VLOOKUP($H58, SeanRanks!$A$2:$H$303, 6, FALSE))</f>
        <v/>
      </c>
      <c r="M58" s="11">
        <f t="shared" si="3"/>
        <v>16</v>
      </c>
      <c r="N58" s="11" t="str">
        <f>VLOOKUP($H58, 'ADP Data'!$B$4:$Q$300, 10, FALSE)</f>
        <v>#N/A</v>
      </c>
      <c r="O58" s="11" t="str">
        <f>VLOOKUP($H58, 'ADP Data'!$B$4:$Q$300, 4, FALSE)</f>
        <v>#N/A</v>
      </c>
      <c r="P58" s="11" t="str">
        <f t="shared" si="4"/>
        <v>#N/A</v>
      </c>
      <c r="Q58" s="11" t="str">
        <f>VLOOKUP($H58, 'ADP Data'!$B$4:$Q$300, 5, FALSE)</f>
        <v>#N/A</v>
      </c>
      <c r="R58" s="11" t="str">
        <f>VLOOKUP($H58, 'ADP Data'!$B$4:$Q$300, 6, FALSE)</f>
        <v>#N/A</v>
      </c>
      <c r="S58" s="11" t="str">
        <f>VLOOKUP($H58, 'ADP Data'!$B$4:$Q$300, 7, FALSE)</f>
        <v>#N/A</v>
      </c>
      <c r="T58" s="11" t="str">
        <f>VLOOKUP($H58, 'ADP Data'!$B$4:$Q$300, 8, FALSE)</f>
        <v>#N/A</v>
      </c>
      <c r="U58" s="11" t="str">
        <f>VLOOKUP($H58, 'ADP Data'!$B$4:$Q$300, 9, FALSE)</f>
        <v>#N/A</v>
      </c>
      <c r="V58" s="11" t="str">
        <f t="shared" si="5"/>
        <v>#N/A</v>
      </c>
      <c r="W58" s="11" t="str">
        <f t="shared" si="6"/>
        <v>#N/A</v>
      </c>
      <c r="X58" s="11" t="str">
        <f>IF(VLOOKUP($H58, SeanRanks!$A$2:$H$303, 7, FALSE)=0, "", VLOOKUP($H58, SeanRanks!$A$2:$H$303, 7, FALSE))</f>
        <v/>
      </c>
    </row>
    <row r="59" ht="14.25" customHeight="1">
      <c r="A59" s="11"/>
      <c r="B59" s="11" t="str">
        <f t="shared" si="1"/>
        <v>#N/A</v>
      </c>
      <c r="C59" s="11" t="s">
        <v>95</v>
      </c>
      <c r="D59" s="11">
        <v>19.0</v>
      </c>
      <c r="E59" s="11">
        <v>12.0</v>
      </c>
      <c r="F59" s="11">
        <f t="shared" si="2"/>
        <v>7</v>
      </c>
      <c r="G59" s="11"/>
      <c r="H59" s="11" t="s">
        <v>928</v>
      </c>
      <c r="I59" s="58" t="str">
        <f>VLOOKUP($H59, 'ADP Data'!$B$4:$Q$300, 2, FALSE)</f>
        <v>#N/A</v>
      </c>
      <c r="J59" s="11" t="s">
        <v>772</v>
      </c>
      <c r="K59" s="11" t="str">
        <f>VLOOKUP($H59, SeanRanks!$A$2:$H$303, 5, FALSE)</f>
        <v>#N/A</v>
      </c>
      <c r="L59" s="11" t="str">
        <f>IF(VLOOKUP($H59, SeanRanks!$A$2:$H$303, 6, FALSE)=0, "", VLOOKUP($H59, SeanRanks!$A$2:$H$303, 6, FALSE))</f>
        <v>#N/A</v>
      </c>
      <c r="M59" s="11">
        <f t="shared" si="3"/>
        <v>16</v>
      </c>
      <c r="N59" s="11" t="str">
        <f>VLOOKUP($H59, 'ADP Data'!$B$4:$Q$300, 10, FALSE)</f>
        <v>#N/A</v>
      </c>
      <c r="O59" s="11" t="str">
        <f>VLOOKUP($H59, 'ADP Data'!$B$4:$Q$300, 4, FALSE)</f>
        <v>#N/A</v>
      </c>
      <c r="P59" s="11" t="str">
        <f t="shared" si="4"/>
        <v>#N/A</v>
      </c>
      <c r="Q59" s="11" t="str">
        <f>VLOOKUP($H59, 'ADP Data'!$B$4:$Q$300, 5, FALSE)</f>
        <v>#N/A</v>
      </c>
      <c r="R59" s="11" t="str">
        <f>VLOOKUP($H59, 'ADP Data'!$B$4:$Q$300, 6, FALSE)</f>
        <v>#N/A</v>
      </c>
      <c r="S59" s="11" t="str">
        <f>VLOOKUP($H59, 'ADP Data'!$B$4:$Q$300, 7, FALSE)</f>
        <v>#N/A</v>
      </c>
      <c r="T59" s="11" t="str">
        <f>VLOOKUP($H59, 'ADP Data'!$B$4:$Q$300, 8, FALSE)</f>
        <v>#N/A</v>
      </c>
      <c r="U59" s="11" t="str">
        <f>VLOOKUP($H59, 'ADP Data'!$B$4:$Q$300, 9, FALSE)</f>
        <v>#N/A</v>
      </c>
      <c r="V59" s="11" t="str">
        <f t="shared" si="5"/>
        <v>#N/A</v>
      </c>
      <c r="W59" s="11" t="str">
        <f t="shared" si="6"/>
        <v>#N/A</v>
      </c>
      <c r="X59" s="11" t="str">
        <f>IF(VLOOKUP($H59, SeanRanks!$A$2:$H$303, 7, FALSE)=0, "", VLOOKUP($H59, SeanRanks!$A$2:$H$303, 7, FALSE))</f>
        <v>#N/A</v>
      </c>
    </row>
    <row r="60" ht="14.25" customHeight="1">
      <c r="A60" s="11"/>
      <c r="B60" s="11" t="str">
        <f t="shared" si="1"/>
        <v>#N/A</v>
      </c>
      <c r="C60" s="11" t="s">
        <v>95</v>
      </c>
      <c r="D60" s="11">
        <v>18.0</v>
      </c>
      <c r="E60" s="11">
        <v>8.0</v>
      </c>
      <c r="F60" s="11">
        <f t="shared" si="2"/>
        <v>10</v>
      </c>
      <c r="G60" s="11"/>
      <c r="H60" s="11" t="s">
        <v>426</v>
      </c>
      <c r="I60" s="58" t="str">
        <f>VLOOKUP($H60, 'ADP Data'!$B$4:$Q$300, 2, FALSE)</f>
        <v>#N/A</v>
      </c>
      <c r="J60" s="11" t="s">
        <v>781</v>
      </c>
      <c r="K60" s="11" t="str">
        <f>VLOOKUP($H60, SeanRanks!$A$2:$H$303, 5, FALSE)</f>
        <v/>
      </c>
      <c r="L60" s="11" t="str">
        <f>IF(VLOOKUP($H60, SeanRanks!$A$2:$H$303, 6, FALSE)=0, "", VLOOKUP($H60, SeanRanks!$A$2:$H$303, 6, FALSE))</f>
        <v>TE1 - 2 - Very Good</v>
      </c>
      <c r="M60" s="11">
        <f t="shared" si="3"/>
        <v>16</v>
      </c>
      <c r="N60" s="11" t="str">
        <f>VLOOKUP($H60, 'ADP Data'!$B$4:$Q$300, 10, FALSE)</f>
        <v>#N/A</v>
      </c>
      <c r="O60" s="11" t="str">
        <f>VLOOKUP($H60, 'ADP Data'!$B$4:$Q$300, 4, FALSE)</f>
        <v>#N/A</v>
      </c>
      <c r="P60" s="11" t="str">
        <f t="shared" si="4"/>
        <v>#N/A</v>
      </c>
      <c r="Q60" s="11" t="str">
        <f>VLOOKUP($H60, 'ADP Data'!$B$4:$Q$300, 5, FALSE)</f>
        <v>#N/A</v>
      </c>
      <c r="R60" s="11" t="str">
        <f>VLOOKUP($H60, 'ADP Data'!$B$4:$Q$300, 6, FALSE)</f>
        <v>#N/A</v>
      </c>
      <c r="S60" s="11" t="str">
        <f>VLOOKUP($H60, 'ADP Data'!$B$4:$Q$300, 7, FALSE)</f>
        <v>#N/A</v>
      </c>
      <c r="T60" s="11" t="str">
        <f>VLOOKUP($H60, 'ADP Data'!$B$4:$Q$300, 8, FALSE)</f>
        <v>#N/A</v>
      </c>
      <c r="U60" s="11" t="str">
        <f>VLOOKUP($H60, 'ADP Data'!$B$4:$Q$300, 9, FALSE)</f>
        <v>#N/A</v>
      </c>
      <c r="V60" s="11" t="str">
        <f t="shared" si="5"/>
        <v>#N/A</v>
      </c>
      <c r="W60" s="11" t="str">
        <f t="shared" si="6"/>
        <v>#N/A</v>
      </c>
      <c r="X60" s="11">
        <f>IF(VLOOKUP($H60, SeanRanks!$A$2:$H$303, 7, FALSE)=0, "", VLOOKUP($H60, SeanRanks!$A$2:$H$303, 7, FALSE))</f>
        <v>5</v>
      </c>
    </row>
    <row r="61" ht="14.25" customHeight="1">
      <c r="A61" s="11"/>
      <c r="B61" s="11" t="str">
        <f t="shared" si="1"/>
        <v>#N/A</v>
      </c>
      <c r="C61" s="11" t="s">
        <v>95</v>
      </c>
      <c r="D61" s="11">
        <v>14.0</v>
      </c>
      <c r="E61" s="11">
        <v>10.0</v>
      </c>
      <c r="F61" s="11">
        <f t="shared" si="2"/>
        <v>4</v>
      </c>
      <c r="G61" s="11" t="s">
        <v>106</v>
      </c>
      <c r="H61" s="11" t="s">
        <v>701</v>
      </c>
      <c r="I61" s="11" t="str">
        <f>VLOOKUP($H61, 'ADP Data'!$B$4:$Q$300, 2, FALSE)</f>
        <v>#N/A</v>
      </c>
      <c r="J61" s="11" t="s">
        <v>781</v>
      </c>
      <c r="K61" s="11" t="str">
        <f>VLOOKUP($H61, SeanRanks!$A$2:$H$303, 5, FALSE)</f>
        <v/>
      </c>
      <c r="L61" s="11" t="str">
        <f>IF(VLOOKUP($H61, SeanRanks!$A$2:$H$303, 6, FALSE)=0, "", VLOOKUP($H61, SeanRanks!$A$2:$H$303, 6, FALSE))</f>
        <v/>
      </c>
      <c r="M61" s="11">
        <f t="shared" si="3"/>
        <v>16</v>
      </c>
      <c r="N61" s="11" t="str">
        <f>VLOOKUP($H61, 'ADP Data'!$B$4:$Q$300, 10, FALSE)</f>
        <v>#N/A</v>
      </c>
      <c r="O61" s="11" t="str">
        <f>VLOOKUP($H61, 'ADP Data'!$B$4:$Q$300, 4, FALSE)</f>
        <v>#N/A</v>
      </c>
      <c r="P61" s="11" t="str">
        <f t="shared" si="4"/>
        <v>#N/A</v>
      </c>
      <c r="Q61" s="11" t="str">
        <f>VLOOKUP($H61, 'ADP Data'!$B$4:$Q$300, 5, FALSE)</f>
        <v>#N/A</v>
      </c>
      <c r="R61" s="11" t="str">
        <f>VLOOKUP($H61, 'ADP Data'!$B$4:$Q$300, 6, FALSE)</f>
        <v>#N/A</v>
      </c>
      <c r="S61" s="11" t="str">
        <f>VLOOKUP($H61, 'ADP Data'!$B$4:$Q$300, 7, FALSE)</f>
        <v>#N/A</v>
      </c>
      <c r="T61" s="11" t="str">
        <f>VLOOKUP($H61, 'ADP Data'!$B$4:$Q$300, 8, FALSE)</f>
        <v>#N/A</v>
      </c>
      <c r="U61" s="11" t="str">
        <f>VLOOKUP($H61, 'ADP Data'!$B$4:$Q$300, 9, FALSE)</f>
        <v>#N/A</v>
      </c>
      <c r="V61" s="11" t="str">
        <f t="shared" si="5"/>
        <v>#N/A</v>
      </c>
      <c r="W61" s="11" t="str">
        <f t="shared" si="6"/>
        <v>#N/A</v>
      </c>
      <c r="X61" s="11" t="str">
        <f>IF(VLOOKUP($H61, SeanRanks!$A$2:$H$303, 7, FALSE)=0, "", VLOOKUP($H61, SeanRanks!$A$2:$H$303, 7, FALSE))</f>
        <v/>
      </c>
    </row>
    <row r="62" ht="14.25" customHeight="1">
      <c r="A62" s="11"/>
      <c r="B62" s="11" t="str">
        <f t="shared" si="1"/>
        <v>#N/A</v>
      </c>
      <c r="C62" s="11" t="s">
        <v>95</v>
      </c>
      <c r="D62" s="11">
        <v>18.0</v>
      </c>
      <c r="E62" s="11">
        <v>18.0</v>
      </c>
      <c r="F62" s="11">
        <f t="shared" si="2"/>
        <v>0</v>
      </c>
      <c r="G62" s="11"/>
      <c r="H62" s="11" t="s">
        <v>812</v>
      </c>
      <c r="I62" s="11" t="str">
        <f>VLOOKUP($H62, 'ADP Data'!$B$4:$Q$300, 2, FALSE)</f>
        <v>#N/A</v>
      </c>
      <c r="J62" s="11" t="s">
        <v>770</v>
      </c>
      <c r="K62" s="11" t="str">
        <f>VLOOKUP($H62, SeanRanks!$A$2:$H$303, 5, FALSE)</f>
        <v/>
      </c>
      <c r="L62" s="11" t="str">
        <f>IF(VLOOKUP($H62, SeanRanks!$A$2:$H$303, 6, FALSE)=0, "", VLOOKUP($H62, SeanRanks!$A$2:$H$303, 6, FALSE))</f>
        <v>QB1 - 4 - Weekly Start</v>
      </c>
      <c r="M62" s="11">
        <f t="shared" si="3"/>
        <v>16</v>
      </c>
      <c r="N62" s="11" t="str">
        <f>VLOOKUP($H62, 'ADP Data'!$B$4:$Q$300, 10, FALSE)</f>
        <v>#N/A</v>
      </c>
      <c r="O62" s="11" t="str">
        <f>VLOOKUP($H62, 'ADP Data'!$B$4:$Q$300, 4, FALSE)</f>
        <v>#N/A</v>
      </c>
      <c r="P62" s="11" t="str">
        <f t="shared" si="4"/>
        <v>#N/A</v>
      </c>
      <c r="Q62" s="11" t="str">
        <f>VLOOKUP($H62, 'ADP Data'!$B$4:$Q$300, 5, FALSE)</f>
        <v>#N/A</v>
      </c>
      <c r="R62" s="11" t="str">
        <f>VLOOKUP($H62, 'ADP Data'!$B$4:$Q$300, 6, FALSE)</f>
        <v>#N/A</v>
      </c>
      <c r="S62" s="11" t="str">
        <f>VLOOKUP($H62, 'ADP Data'!$B$4:$Q$300, 7, FALSE)</f>
        <v>#N/A</v>
      </c>
      <c r="T62" s="11" t="str">
        <f>VLOOKUP($H62, 'ADP Data'!$B$4:$Q$300, 8, FALSE)</f>
        <v>#N/A</v>
      </c>
      <c r="U62" s="11" t="str">
        <f>VLOOKUP($H62, 'ADP Data'!$B$4:$Q$300, 9, FALSE)</f>
        <v>#N/A</v>
      </c>
      <c r="V62" s="11" t="str">
        <f t="shared" si="5"/>
        <v>#N/A</v>
      </c>
      <c r="W62" s="11" t="str">
        <f t="shared" si="6"/>
        <v>#N/A</v>
      </c>
      <c r="X62" s="11">
        <f>IF(VLOOKUP($H62, SeanRanks!$A$2:$H$303, 7, FALSE)=0, "", VLOOKUP($H62, SeanRanks!$A$2:$H$303, 7, FALSE))</f>
        <v>10</v>
      </c>
    </row>
    <row r="63" ht="14.25" customHeight="1">
      <c r="A63" s="11"/>
      <c r="B63" s="11" t="str">
        <f t="shared" si="1"/>
        <v>#N/A</v>
      </c>
      <c r="C63" s="11" t="s">
        <v>95</v>
      </c>
      <c r="D63" s="11">
        <v>15.0</v>
      </c>
      <c r="E63" s="11">
        <v>9.0</v>
      </c>
      <c r="F63" s="11">
        <f t="shared" si="2"/>
        <v>6</v>
      </c>
      <c r="G63" s="11"/>
      <c r="H63" s="11" t="s">
        <v>147</v>
      </c>
      <c r="I63" s="57" t="str">
        <f>VLOOKUP($H63, 'ADP Data'!$B$4:$Q$300, 2, FALSE)</f>
        <v>#N/A</v>
      </c>
      <c r="J63" s="11" t="s">
        <v>772</v>
      </c>
      <c r="K63" s="11" t="str">
        <f>VLOOKUP($H63, SeanRanks!$A$2:$H$303, 5, FALSE)</f>
        <v/>
      </c>
      <c r="L63" s="11" t="str">
        <f>IF(VLOOKUP($H63, SeanRanks!$A$2:$H$303, 6, FALSE)=0, "", VLOOKUP($H63, SeanRanks!$A$2:$H$303, 6, FALSE))</f>
        <v>RB2 - 1 - Clear path to spikes</v>
      </c>
      <c r="M63" s="11">
        <f t="shared" si="3"/>
        <v>16</v>
      </c>
      <c r="N63" s="11" t="str">
        <f>VLOOKUP($H63, 'ADP Data'!$B$4:$Q$300, 10, FALSE)</f>
        <v>#N/A</v>
      </c>
      <c r="O63" s="11" t="str">
        <f>VLOOKUP($H63, 'ADP Data'!$B$4:$Q$300, 4, FALSE)</f>
        <v>#N/A</v>
      </c>
      <c r="P63" s="11" t="str">
        <f t="shared" si="4"/>
        <v>#N/A</v>
      </c>
      <c r="Q63" s="11" t="str">
        <f>VLOOKUP($H63, 'ADP Data'!$B$4:$Q$300, 5, FALSE)</f>
        <v>#N/A</v>
      </c>
      <c r="R63" s="11" t="str">
        <f>VLOOKUP($H63, 'ADP Data'!$B$4:$Q$300, 6, FALSE)</f>
        <v>#N/A</v>
      </c>
      <c r="S63" s="11" t="str">
        <f>VLOOKUP($H63, 'ADP Data'!$B$4:$Q$300, 7, FALSE)</f>
        <v>#N/A</v>
      </c>
      <c r="T63" s="11" t="str">
        <f>VLOOKUP($H63, 'ADP Data'!$B$4:$Q$300, 8, FALSE)</f>
        <v>#N/A</v>
      </c>
      <c r="U63" s="11" t="str">
        <f>VLOOKUP($H63, 'ADP Data'!$B$4:$Q$300, 9, FALSE)</f>
        <v>#N/A</v>
      </c>
      <c r="V63" s="11" t="str">
        <f t="shared" si="5"/>
        <v>#N/A</v>
      </c>
      <c r="W63" s="11" t="str">
        <f t="shared" si="6"/>
        <v>#N/A</v>
      </c>
      <c r="X63" s="11">
        <f>IF(VLOOKUP($H63, SeanRanks!$A$2:$H$303, 7, FALSE)=0, "", VLOOKUP($H63, SeanRanks!$A$2:$H$303, 7, FALSE))</f>
        <v>16</v>
      </c>
    </row>
    <row r="64" ht="14.25" customHeight="1">
      <c r="A64" s="11"/>
      <c r="B64" s="11" t="str">
        <f t="shared" si="1"/>
        <v>#N/A</v>
      </c>
      <c r="C64" s="11" t="s">
        <v>95</v>
      </c>
      <c r="D64" s="11">
        <v>16.0</v>
      </c>
      <c r="E64" s="11">
        <v>10.0</v>
      </c>
      <c r="F64" s="11">
        <f t="shared" si="2"/>
        <v>6</v>
      </c>
      <c r="G64" s="11"/>
      <c r="H64" s="11" t="s">
        <v>212</v>
      </c>
      <c r="I64" s="11" t="str">
        <f>VLOOKUP($H64, 'ADP Data'!$B$4:$Q$300, 2, FALSE)</f>
        <v>#N/A</v>
      </c>
      <c r="J64" s="11" t="s">
        <v>770</v>
      </c>
      <c r="K64" s="11" t="str">
        <f>VLOOKUP($H64, SeanRanks!$A$2:$H$303, 5, FALSE)</f>
        <v/>
      </c>
      <c r="L64" s="11" t="str">
        <f>IF(VLOOKUP($H64, SeanRanks!$A$2:$H$303, 6, FALSE)=0, "", VLOOKUP($H64, SeanRanks!$A$2:$H$303, 6, FALSE))</f>
        <v>QB1 - 2 - QB1 Upside</v>
      </c>
      <c r="M64" s="11">
        <f t="shared" si="3"/>
        <v>16</v>
      </c>
      <c r="N64" s="11" t="str">
        <f>VLOOKUP($H64, 'ADP Data'!$B$4:$Q$300, 10, FALSE)</f>
        <v>#N/A</v>
      </c>
      <c r="O64" s="11" t="str">
        <f>VLOOKUP($H64, 'ADP Data'!$B$4:$Q$300, 4, FALSE)</f>
        <v>#N/A</v>
      </c>
      <c r="P64" s="11" t="str">
        <f t="shared" si="4"/>
        <v>#N/A</v>
      </c>
      <c r="Q64" s="11" t="str">
        <f>VLOOKUP($H64, 'ADP Data'!$B$4:$Q$300, 5, FALSE)</f>
        <v>#N/A</v>
      </c>
      <c r="R64" s="11" t="str">
        <f>VLOOKUP($H64, 'ADP Data'!$B$4:$Q$300, 6, FALSE)</f>
        <v>#N/A</v>
      </c>
      <c r="S64" s="11" t="str">
        <f>VLOOKUP($H64, 'ADP Data'!$B$4:$Q$300, 7, FALSE)</f>
        <v>#N/A</v>
      </c>
      <c r="T64" s="11" t="str">
        <f>VLOOKUP($H64, 'ADP Data'!$B$4:$Q$300, 8, FALSE)</f>
        <v>#N/A</v>
      </c>
      <c r="U64" s="11" t="str">
        <f>VLOOKUP($H64, 'ADP Data'!$B$4:$Q$300, 9, FALSE)</f>
        <v>#N/A</v>
      </c>
      <c r="V64" s="11" t="str">
        <f t="shared" si="5"/>
        <v>#N/A</v>
      </c>
      <c r="W64" s="11" t="str">
        <f t="shared" si="6"/>
        <v>#N/A</v>
      </c>
      <c r="X64" s="11">
        <f>IF(VLOOKUP($H64, SeanRanks!$A$2:$H$303, 7, FALSE)=0, "", VLOOKUP($H64, SeanRanks!$A$2:$H$303, 7, FALSE))</f>
        <v>5</v>
      </c>
    </row>
    <row r="65" ht="14.25" customHeight="1">
      <c r="A65" s="11"/>
      <c r="B65" s="11" t="str">
        <f t="shared" si="1"/>
        <v>#N/A</v>
      </c>
      <c r="C65" s="11" t="s">
        <v>95</v>
      </c>
      <c r="D65" s="11">
        <v>12.0</v>
      </c>
      <c r="E65" s="11">
        <v>4.0</v>
      </c>
      <c r="F65" s="11">
        <f t="shared" si="2"/>
        <v>8</v>
      </c>
      <c r="G65" s="11" t="s">
        <v>1123</v>
      </c>
      <c r="H65" s="11" t="s">
        <v>185</v>
      </c>
      <c r="I65" s="58" t="str">
        <f>VLOOKUP($H65, 'ADP Data'!$B$4:$Q$300, 2, FALSE)</f>
        <v>#N/A</v>
      </c>
      <c r="J65" s="11" t="s">
        <v>772</v>
      </c>
      <c r="K65" s="11" t="str">
        <f>VLOOKUP($H65, SeanRanks!$A$2:$H$303, 5, FALSE)</f>
        <v/>
      </c>
      <c r="L65" s="11" t="str">
        <f>IF(VLOOKUP($H65, SeanRanks!$A$2:$H$303, 6, FALSE)=0, "", VLOOKUP($H65, SeanRanks!$A$2:$H$303, 6, FALSE))</f>
        <v>RB2 - 2 - Path to spikes</v>
      </c>
      <c r="M65" s="11">
        <f t="shared" si="3"/>
        <v>16</v>
      </c>
      <c r="N65" s="11" t="str">
        <f>VLOOKUP($H65, 'ADP Data'!$B$4:$Q$300, 10, FALSE)</f>
        <v>#N/A</v>
      </c>
      <c r="O65" s="11" t="str">
        <f>VLOOKUP($H65, 'ADP Data'!$B$4:$Q$300, 4, FALSE)</f>
        <v>#N/A</v>
      </c>
      <c r="P65" s="11" t="str">
        <f t="shared" si="4"/>
        <v>#N/A</v>
      </c>
      <c r="Q65" s="11" t="str">
        <f>VLOOKUP($H65, 'ADP Data'!$B$4:$Q$300, 5, FALSE)</f>
        <v>#N/A</v>
      </c>
      <c r="R65" s="11" t="str">
        <f>VLOOKUP($H65, 'ADP Data'!$B$4:$Q$300, 6, FALSE)</f>
        <v>#N/A</v>
      </c>
      <c r="S65" s="11" t="str">
        <f>VLOOKUP($H65, 'ADP Data'!$B$4:$Q$300, 7, FALSE)</f>
        <v>#N/A</v>
      </c>
      <c r="T65" s="11" t="str">
        <f>VLOOKUP($H65, 'ADP Data'!$B$4:$Q$300, 8, FALSE)</f>
        <v>#N/A</v>
      </c>
      <c r="U65" s="11" t="str">
        <f>VLOOKUP($H65, 'ADP Data'!$B$4:$Q$300, 9, FALSE)</f>
        <v>#N/A</v>
      </c>
      <c r="V65" s="11" t="str">
        <f t="shared" si="5"/>
        <v>#N/A</v>
      </c>
      <c r="W65" s="11" t="str">
        <f t="shared" si="6"/>
        <v>#N/A</v>
      </c>
      <c r="X65" s="11">
        <f>IF(VLOOKUP($H65, SeanRanks!$A$2:$H$303, 7, FALSE)=0, "", VLOOKUP($H65, SeanRanks!$A$2:$H$303, 7, FALSE))</f>
        <v>21</v>
      </c>
    </row>
    <row r="66" ht="14.25" customHeight="1">
      <c r="A66" s="11" t="s">
        <v>1156</v>
      </c>
      <c r="B66" s="11" t="str">
        <f t="shared" si="1"/>
        <v>#N/A</v>
      </c>
      <c r="C66" s="11" t="s">
        <v>95</v>
      </c>
      <c r="D66" s="11">
        <v>6.0</v>
      </c>
      <c r="E66" s="11">
        <v>4.0</v>
      </c>
      <c r="F66" s="11">
        <f t="shared" si="2"/>
        <v>2</v>
      </c>
      <c r="G66" s="11"/>
      <c r="H66" s="11" t="s">
        <v>220</v>
      </c>
      <c r="I66" s="11" t="str">
        <f>VLOOKUP($H66, 'ADP Data'!$B$4:$Q$300, 2, FALSE)</f>
        <v>#N/A</v>
      </c>
      <c r="J66" s="11" t="s">
        <v>775</v>
      </c>
      <c r="K66" s="11" t="str">
        <f>VLOOKUP($H66, SeanRanks!$A$2:$H$303, 5, FALSE)</f>
        <v/>
      </c>
      <c r="L66" s="11" t="str">
        <f>IF(VLOOKUP($H66, SeanRanks!$A$2:$H$303, 6, FALSE)=0, "", VLOOKUP($H66, SeanRanks!$A$2:$H$303, 6, FALSE))</f>
        <v>WR2 - 1 - WR1 upside</v>
      </c>
      <c r="M66" s="11">
        <f t="shared" si="3"/>
        <v>16</v>
      </c>
      <c r="N66" s="11" t="str">
        <f>VLOOKUP($H66, 'ADP Data'!$B$4:$Q$300, 10, FALSE)</f>
        <v>#N/A</v>
      </c>
      <c r="O66" s="11" t="str">
        <f>VLOOKUP($H66, 'ADP Data'!$B$4:$Q$300, 4, FALSE)</f>
        <v>#N/A</v>
      </c>
      <c r="P66" s="11" t="str">
        <f t="shared" si="4"/>
        <v>#N/A</v>
      </c>
      <c r="Q66" s="11" t="str">
        <f>VLOOKUP($H66, 'ADP Data'!$B$4:$Q$300, 5, FALSE)</f>
        <v>#N/A</v>
      </c>
      <c r="R66" s="11" t="str">
        <f>VLOOKUP($H66, 'ADP Data'!$B$4:$Q$300, 6, FALSE)</f>
        <v>#N/A</v>
      </c>
      <c r="S66" s="11" t="str">
        <f>VLOOKUP($H66, 'ADP Data'!$B$4:$Q$300, 7, FALSE)</f>
        <v>#N/A</v>
      </c>
      <c r="T66" s="11" t="str">
        <f>VLOOKUP($H66, 'ADP Data'!$B$4:$Q$300, 8, FALSE)</f>
        <v>#N/A</v>
      </c>
      <c r="U66" s="11" t="str">
        <f>VLOOKUP($H66, 'ADP Data'!$B$4:$Q$300, 9, FALSE)</f>
        <v>#N/A</v>
      </c>
      <c r="V66" s="11" t="str">
        <f t="shared" si="5"/>
        <v>#N/A</v>
      </c>
      <c r="W66" s="11" t="str">
        <f t="shared" si="6"/>
        <v>#N/A</v>
      </c>
      <c r="X66" s="11">
        <f>IF(VLOOKUP($H66, SeanRanks!$A$2:$H$303, 7, FALSE)=0, "", VLOOKUP($H66, SeanRanks!$A$2:$H$303, 7, FALSE))</f>
        <v>15</v>
      </c>
    </row>
    <row r="67" ht="14.25" customHeight="1">
      <c r="A67" s="11"/>
      <c r="B67" s="11" t="str">
        <f t="shared" si="1"/>
        <v>#N/A</v>
      </c>
      <c r="C67" s="11" t="s">
        <v>95</v>
      </c>
      <c r="D67" s="11">
        <v>10.0</v>
      </c>
      <c r="E67" s="11">
        <v>4.0</v>
      </c>
      <c r="F67" s="11">
        <f t="shared" si="2"/>
        <v>6</v>
      </c>
      <c r="G67" s="11" t="s">
        <v>1122</v>
      </c>
      <c r="H67" s="11" t="s">
        <v>831</v>
      </c>
      <c r="I67" s="11" t="str">
        <f>VLOOKUP($H67, 'ADP Data'!$B$4:$Q$300, 2, FALSE)</f>
        <v>#N/A</v>
      </c>
      <c r="J67" s="11" t="s">
        <v>775</v>
      </c>
      <c r="K67" s="11" t="str">
        <f>VLOOKUP($H67, SeanRanks!$A$2:$H$303, 5, FALSE)</f>
        <v/>
      </c>
      <c r="L67" s="11" t="str">
        <f>IF(VLOOKUP($H67, SeanRanks!$A$2:$H$303, 6, FALSE)=0, "", VLOOKUP($H67, SeanRanks!$A$2:$H$303, 6, FALSE))</f>
        <v/>
      </c>
      <c r="M67" s="11">
        <f t="shared" si="3"/>
        <v>16</v>
      </c>
      <c r="N67" s="11" t="str">
        <f>VLOOKUP($H67, 'ADP Data'!$B$4:$Q$300, 10, FALSE)</f>
        <v>#N/A</v>
      </c>
      <c r="O67" s="11" t="str">
        <f>VLOOKUP($H67, 'ADP Data'!$B$4:$Q$300, 4, FALSE)</f>
        <v>#N/A</v>
      </c>
      <c r="P67" s="11" t="str">
        <f t="shared" si="4"/>
        <v>#N/A</v>
      </c>
      <c r="Q67" s="11" t="str">
        <f>VLOOKUP($H67, 'ADP Data'!$B$4:$Q$300, 5, FALSE)</f>
        <v>#N/A</v>
      </c>
      <c r="R67" s="11" t="str">
        <f>VLOOKUP($H67, 'ADP Data'!$B$4:$Q$300, 6, FALSE)</f>
        <v>#N/A</v>
      </c>
      <c r="S67" s="11" t="str">
        <f>VLOOKUP($H67, 'ADP Data'!$B$4:$Q$300, 7, FALSE)</f>
        <v>#N/A</v>
      </c>
      <c r="T67" s="11" t="str">
        <f>VLOOKUP($H67, 'ADP Data'!$B$4:$Q$300, 8, FALSE)</f>
        <v>#N/A</v>
      </c>
      <c r="U67" s="11" t="str">
        <f>VLOOKUP($H67, 'ADP Data'!$B$4:$Q$300, 9, FALSE)</f>
        <v>#N/A</v>
      </c>
      <c r="V67" s="11" t="str">
        <f t="shared" si="5"/>
        <v>#N/A</v>
      </c>
      <c r="W67" s="11" t="str">
        <f t="shared" si="6"/>
        <v>#N/A</v>
      </c>
      <c r="X67" s="11" t="str">
        <f>IF(VLOOKUP($H67, SeanRanks!$A$2:$H$303, 7, FALSE)=0, "", VLOOKUP($H67, SeanRanks!$A$2:$H$303, 7, FALSE))</f>
        <v/>
      </c>
    </row>
    <row r="68" ht="14.25" customHeight="1">
      <c r="A68" s="11"/>
      <c r="B68" s="11" t="str">
        <f t="shared" si="1"/>
        <v>#N/A</v>
      </c>
      <c r="C68" s="11" t="s">
        <v>95</v>
      </c>
      <c r="D68" s="11">
        <v>7.0</v>
      </c>
      <c r="E68" s="11">
        <v>5.0</v>
      </c>
      <c r="F68" s="11">
        <f t="shared" si="2"/>
        <v>2</v>
      </c>
      <c r="G68" s="11"/>
      <c r="H68" s="11" t="s">
        <v>284</v>
      </c>
      <c r="I68" s="11" t="str">
        <f>VLOOKUP($H68, 'ADP Data'!$B$4:$Q$300, 2, FALSE)</f>
        <v>#N/A</v>
      </c>
      <c r="J68" s="11" t="s">
        <v>781</v>
      </c>
      <c r="K68" s="11" t="str">
        <f>VLOOKUP($H68, SeanRanks!$A$2:$H$303, 5, FALSE)</f>
        <v/>
      </c>
      <c r="L68" s="11" t="str">
        <f>IF(VLOOKUP($H68, SeanRanks!$A$2:$H$303, 6, FALSE)=0, "", VLOOKUP($H68, SeanRanks!$A$2:$H$303, 6, FALSE))</f>
        <v>TE1 - 1 - Elite</v>
      </c>
      <c r="M68" s="11">
        <f t="shared" si="3"/>
        <v>16</v>
      </c>
      <c r="N68" s="11" t="str">
        <f>VLOOKUP($H68, 'ADP Data'!$B$4:$Q$300, 10, FALSE)</f>
        <v>#N/A</v>
      </c>
      <c r="O68" s="11" t="str">
        <f>VLOOKUP($H68, 'ADP Data'!$B$4:$Q$300, 4, FALSE)</f>
        <v>#N/A</v>
      </c>
      <c r="P68" s="11" t="str">
        <f t="shared" si="4"/>
        <v>#N/A</v>
      </c>
      <c r="Q68" s="11" t="str">
        <f>VLOOKUP($H68, 'ADP Data'!$B$4:$Q$300, 5, FALSE)</f>
        <v>#N/A</v>
      </c>
      <c r="R68" s="11" t="str">
        <f>VLOOKUP($H68, 'ADP Data'!$B$4:$Q$300, 6, FALSE)</f>
        <v>#N/A</v>
      </c>
      <c r="S68" s="11" t="str">
        <f>VLOOKUP($H68, 'ADP Data'!$B$4:$Q$300, 7, FALSE)</f>
        <v>#N/A</v>
      </c>
      <c r="T68" s="11" t="str">
        <f>VLOOKUP($H68, 'ADP Data'!$B$4:$Q$300, 8, FALSE)</f>
        <v>#N/A</v>
      </c>
      <c r="U68" s="11" t="str">
        <f>VLOOKUP($H68, 'ADP Data'!$B$4:$Q$300, 9, FALSE)</f>
        <v>#N/A</v>
      </c>
      <c r="V68" s="11" t="str">
        <f t="shared" si="5"/>
        <v>#N/A</v>
      </c>
      <c r="W68" s="11" t="str">
        <f t="shared" si="6"/>
        <v>#N/A</v>
      </c>
      <c r="X68" s="11">
        <f>IF(VLOOKUP($H68, SeanRanks!$A$2:$H$303, 7, FALSE)=0, "", VLOOKUP($H68, SeanRanks!$A$2:$H$303, 7, FALSE))</f>
        <v>3</v>
      </c>
    </row>
    <row r="69" ht="14.25" customHeight="1">
      <c r="A69" s="11"/>
      <c r="B69" s="11" t="str">
        <f t="shared" si="1"/>
        <v>#N/A</v>
      </c>
      <c r="C69" s="11" t="s">
        <v>95</v>
      </c>
      <c r="D69" s="11">
        <v>7.0</v>
      </c>
      <c r="E69" s="11">
        <v>3.0</v>
      </c>
      <c r="F69" s="11">
        <f t="shared" si="2"/>
        <v>4</v>
      </c>
      <c r="G69" s="11"/>
      <c r="H69" s="11" t="s">
        <v>191</v>
      </c>
      <c r="I69" s="11" t="str">
        <f>VLOOKUP($H69, 'ADP Data'!$B$4:$Q$300, 2, FALSE)</f>
        <v>#N/A</v>
      </c>
      <c r="J69" s="11" t="s">
        <v>775</v>
      </c>
      <c r="K69" s="11" t="str">
        <f>VLOOKUP($H69, SeanRanks!$A$2:$H$303, 5, FALSE)</f>
        <v/>
      </c>
      <c r="L69" s="11" t="str">
        <f>IF(VLOOKUP($H69, SeanRanks!$A$2:$H$303, 6, FALSE)=0, "", VLOOKUP($H69, SeanRanks!$A$2:$H$303, 6, FALSE))</f>
        <v>WR2 - 2 - Upside with risk</v>
      </c>
      <c r="M69" s="11">
        <f t="shared" si="3"/>
        <v>16</v>
      </c>
      <c r="N69" s="11" t="str">
        <f>VLOOKUP($H69, 'ADP Data'!$B$4:$Q$300, 10, FALSE)</f>
        <v>#N/A</v>
      </c>
      <c r="O69" s="11" t="str">
        <f>VLOOKUP($H69, 'ADP Data'!$B$4:$Q$300, 4, FALSE)</f>
        <v>#N/A</v>
      </c>
      <c r="P69" s="11" t="str">
        <f t="shared" si="4"/>
        <v>#N/A</v>
      </c>
      <c r="Q69" s="11" t="str">
        <f>VLOOKUP($H69, 'ADP Data'!$B$4:$Q$300, 5, FALSE)</f>
        <v>#N/A</v>
      </c>
      <c r="R69" s="11" t="str">
        <f>VLOOKUP($H69, 'ADP Data'!$B$4:$Q$300, 6, FALSE)</f>
        <v>#N/A</v>
      </c>
      <c r="S69" s="11" t="str">
        <f>VLOOKUP($H69, 'ADP Data'!$B$4:$Q$300, 7, FALSE)</f>
        <v>#N/A</v>
      </c>
      <c r="T69" s="11" t="str">
        <f>VLOOKUP($H69, 'ADP Data'!$B$4:$Q$300, 8, FALSE)</f>
        <v>#N/A</v>
      </c>
      <c r="U69" s="11" t="str">
        <f>VLOOKUP($H69, 'ADP Data'!$B$4:$Q$300, 9, FALSE)</f>
        <v>#N/A</v>
      </c>
      <c r="V69" s="11" t="str">
        <f t="shared" si="5"/>
        <v>#N/A</v>
      </c>
      <c r="W69" s="11" t="str">
        <f t="shared" si="6"/>
        <v>#N/A</v>
      </c>
      <c r="X69" s="11">
        <f>IF(VLOOKUP($H69, SeanRanks!$A$2:$H$303, 7, FALSE)=0, "", VLOOKUP($H69, SeanRanks!$A$2:$H$303, 7, FALSE))</f>
        <v>17</v>
      </c>
    </row>
    <row r="70" ht="14.25" customHeight="1">
      <c r="A70" s="11"/>
      <c r="B70" s="11" t="str">
        <f t="shared" si="1"/>
        <v>#N/A</v>
      </c>
      <c r="C70" s="11" t="s">
        <v>95</v>
      </c>
      <c r="D70" s="11">
        <v>1.0</v>
      </c>
      <c r="E70" s="11">
        <v>3.0</v>
      </c>
      <c r="F70" s="11">
        <f t="shared" si="2"/>
        <v>-2</v>
      </c>
      <c r="G70" s="11" t="s">
        <v>1123</v>
      </c>
      <c r="H70" s="11" t="s">
        <v>894</v>
      </c>
      <c r="I70" s="11" t="str">
        <f>VLOOKUP($H70, 'ADP Data'!$B$4:$Q$300, 2, FALSE)</f>
        <v>#N/A</v>
      </c>
      <c r="J70" s="11" t="s">
        <v>772</v>
      </c>
      <c r="K70" s="11" t="str">
        <f>VLOOKUP($H70, SeanRanks!$A$2:$H$303, 5, FALSE)</f>
        <v>#N/A</v>
      </c>
      <c r="L70" s="11" t="str">
        <f>IF(VLOOKUP($H70, SeanRanks!$A$2:$H$303, 6, FALSE)=0, "", VLOOKUP($H70, SeanRanks!$A$2:$H$303, 6, FALSE))</f>
        <v>#N/A</v>
      </c>
      <c r="M70" s="11">
        <f t="shared" si="3"/>
        <v>16</v>
      </c>
      <c r="N70" s="11" t="str">
        <f>VLOOKUP($H70, 'ADP Data'!$B$4:$Q$300, 10, FALSE)</f>
        <v>#N/A</v>
      </c>
      <c r="O70" s="11" t="str">
        <f>VLOOKUP($H70, 'ADP Data'!$B$4:$Q$300, 4, FALSE)</f>
        <v>#N/A</v>
      </c>
      <c r="P70" s="11" t="str">
        <f t="shared" si="4"/>
        <v>#N/A</v>
      </c>
      <c r="Q70" s="11" t="str">
        <f>VLOOKUP($H70, 'ADP Data'!$B$4:$Q$300, 5, FALSE)</f>
        <v>#N/A</v>
      </c>
      <c r="R70" s="11" t="str">
        <f>VLOOKUP($H70, 'ADP Data'!$B$4:$Q$300, 6, FALSE)</f>
        <v>#N/A</v>
      </c>
      <c r="S70" s="11" t="str">
        <f>VLOOKUP($H70, 'ADP Data'!$B$4:$Q$300, 7, FALSE)</f>
        <v>#N/A</v>
      </c>
      <c r="T70" s="11" t="str">
        <f>VLOOKUP($H70, 'ADP Data'!$B$4:$Q$300, 8, FALSE)</f>
        <v>#N/A</v>
      </c>
      <c r="U70" s="11" t="str">
        <f>VLOOKUP($H70, 'ADP Data'!$B$4:$Q$300, 9, FALSE)</f>
        <v>#N/A</v>
      </c>
      <c r="V70" s="11" t="str">
        <f t="shared" si="5"/>
        <v>#N/A</v>
      </c>
      <c r="W70" s="11" t="str">
        <f t="shared" si="6"/>
        <v>#N/A</v>
      </c>
      <c r="X70" s="11" t="str">
        <f>IF(VLOOKUP($H70, SeanRanks!$A$2:$H$303, 7, FALSE)=0, "", VLOOKUP($H70, SeanRanks!$A$2:$H$303, 7, FALSE))</f>
        <v>#N/A</v>
      </c>
    </row>
    <row r="71" ht="14.25" customHeight="1">
      <c r="A71" s="11" t="s">
        <v>1156</v>
      </c>
      <c r="B71" s="11" t="str">
        <f t="shared" si="1"/>
        <v>#N/A</v>
      </c>
      <c r="C71" s="11" t="s">
        <v>95</v>
      </c>
      <c r="D71" s="11">
        <v>3.0</v>
      </c>
      <c r="E71" s="11">
        <v>3.0</v>
      </c>
      <c r="F71" s="11">
        <f t="shared" si="2"/>
        <v>0</v>
      </c>
      <c r="G71" s="11" t="s">
        <v>1123</v>
      </c>
      <c r="H71" s="11" t="s">
        <v>1211</v>
      </c>
      <c r="I71" s="11" t="str">
        <f>VLOOKUP($H71, 'ADP Data'!$B$4:$Q$300, 2, FALSE)</f>
        <v>#N/A</v>
      </c>
      <c r="J71" s="11" t="s">
        <v>775</v>
      </c>
      <c r="K71" s="11" t="str">
        <f>VLOOKUP($H71, SeanRanks!$A$2:$H$303, 5, FALSE)</f>
        <v>#N/A</v>
      </c>
      <c r="L71" s="11" t="str">
        <f>IF(VLOOKUP($H71, SeanRanks!$A$2:$H$303, 6, FALSE)=0, "", VLOOKUP($H71, SeanRanks!$A$2:$H$303, 6, FALSE))</f>
        <v>#N/A</v>
      </c>
      <c r="M71" s="11">
        <f t="shared" si="3"/>
        <v>16</v>
      </c>
      <c r="N71" s="11" t="str">
        <f>VLOOKUP($H71, 'ADP Data'!$B$4:$Q$300, 10, FALSE)</f>
        <v>#N/A</v>
      </c>
      <c r="O71" s="11" t="str">
        <f>VLOOKUP($H71, 'ADP Data'!$B$4:$Q$300, 4, FALSE)</f>
        <v>#N/A</v>
      </c>
      <c r="P71" s="11" t="str">
        <f t="shared" si="4"/>
        <v>#N/A</v>
      </c>
      <c r="Q71" s="11" t="str">
        <f>VLOOKUP($H71, 'ADP Data'!$B$4:$Q$300, 5, FALSE)</f>
        <v>#N/A</v>
      </c>
      <c r="R71" s="11" t="str">
        <f>VLOOKUP($H71, 'ADP Data'!$B$4:$Q$300, 6, FALSE)</f>
        <v>#N/A</v>
      </c>
      <c r="S71" s="11" t="str">
        <f>VLOOKUP($H71, 'ADP Data'!$B$4:$Q$300, 7, FALSE)</f>
        <v>#N/A</v>
      </c>
      <c r="T71" s="11" t="str">
        <f>VLOOKUP($H71, 'ADP Data'!$B$4:$Q$300, 8, FALSE)</f>
        <v>#N/A</v>
      </c>
      <c r="U71" s="11" t="str">
        <f>VLOOKUP($H71, 'ADP Data'!$B$4:$Q$300, 9, FALSE)</f>
        <v>#N/A</v>
      </c>
      <c r="V71" s="11" t="str">
        <f t="shared" si="5"/>
        <v>#N/A</v>
      </c>
      <c r="W71" s="11" t="str">
        <f t="shared" si="6"/>
        <v>#N/A</v>
      </c>
      <c r="X71" s="11" t="str">
        <f>IF(VLOOKUP($H71, SeanRanks!$A$2:$H$303, 7, FALSE)=0, "", VLOOKUP($H71, SeanRanks!$A$2:$H$303, 7, FALSE))</f>
        <v>#N/A</v>
      </c>
    </row>
    <row r="72" ht="14.25" customHeight="1">
      <c r="A72" s="11"/>
      <c r="B72" s="11" t="str">
        <f t="shared" si="1"/>
        <v>#N/A</v>
      </c>
      <c r="C72" s="11" t="s">
        <v>95</v>
      </c>
      <c r="D72" s="11">
        <v>17.0</v>
      </c>
      <c r="E72" s="11">
        <v>3.0</v>
      </c>
      <c r="F72" s="11">
        <f t="shared" si="2"/>
        <v>14</v>
      </c>
      <c r="G72" s="11"/>
      <c r="H72" s="11" t="s">
        <v>270</v>
      </c>
      <c r="I72" s="11" t="str">
        <f>VLOOKUP($H72, 'ADP Data'!$B$4:$Q$300, 2, FALSE)</f>
        <v>#N/A</v>
      </c>
      <c r="J72" s="11" t="s">
        <v>775</v>
      </c>
      <c r="K72" s="11" t="str">
        <f>VLOOKUP($H72, SeanRanks!$A$2:$H$303, 5, FALSE)</f>
        <v/>
      </c>
      <c r="L72" s="11" t="str">
        <f>IF(VLOOKUP($H72, SeanRanks!$A$2:$H$303, 6, FALSE)=0, "", VLOOKUP($H72, SeanRanks!$A$2:$H$303, 6, FALSE))</f>
        <v>WR4 - 1 - path to WR2</v>
      </c>
      <c r="M72" s="11">
        <f t="shared" si="3"/>
        <v>16</v>
      </c>
      <c r="N72" s="11" t="str">
        <f>VLOOKUP($H72, 'ADP Data'!$B$4:$Q$300, 10, FALSE)</f>
        <v>#N/A</v>
      </c>
      <c r="O72" s="11" t="str">
        <f>VLOOKUP($H72, 'ADP Data'!$B$4:$Q$300, 4, FALSE)</f>
        <v>#N/A</v>
      </c>
      <c r="P72" s="11" t="str">
        <f t="shared" si="4"/>
        <v>#N/A</v>
      </c>
      <c r="Q72" s="11" t="str">
        <f>VLOOKUP($H72, 'ADP Data'!$B$4:$Q$300, 5, FALSE)</f>
        <v>#N/A</v>
      </c>
      <c r="R72" s="11" t="str">
        <f>VLOOKUP($H72, 'ADP Data'!$B$4:$Q$300, 6, FALSE)</f>
        <v>#N/A</v>
      </c>
      <c r="S72" s="11" t="str">
        <f>VLOOKUP($H72, 'ADP Data'!$B$4:$Q$300, 7, FALSE)</f>
        <v>#N/A</v>
      </c>
      <c r="T72" s="11" t="str">
        <f>VLOOKUP($H72, 'ADP Data'!$B$4:$Q$300, 8, FALSE)</f>
        <v>#N/A</v>
      </c>
      <c r="U72" s="11" t="str">
        <f>VLOOKUP($H72, 'ADP Data'!$B$4:$Q$300, 9, FALSE)</f>
        <v>#N/A</v>
      </c>
      <c r="V72" s="11" t="str">
        <f t="shared" si="5"/>
        <v>#N/A</v>
      </c>
      <c r="W72" s="11" t="str">
        <f t="shared" si="6"/>
        <v>#N/A</v>
      </c>
      <c r="X72" s="11">
        <f>IF(VLOOKUP($H72, SeanRanks!$A$2:$H$303, 7, FALSE)=0, "", VLOOKUP($H72, SeanRanks!$A$2:$H$303, 7, FALSE))</f>
        <v>42</v>
      </c>
    </row>
    <row r="73" ht="14.25" customHeight="1">
      <c r="A73" s="11"/>
      <c r="B73" s="11" t="str">
        <f t="shared" si="1"/>
        <v>#N/A</v>
      </c>
      <c r="C73" s="11" t="s">
        <v>95</v>
      </c>
      <c r="D73" s="11">
        <v>8.0</v>
      </c>
      <c r="E73" s="11">
        <v>4.0</v>
      </c>
      <c r="F73" s="11">
        <f t="shared" si="2"/>
        <v>4</v>
      </c>
      <c r="G73" s="11"/>
      <c r="H73" s="11" t="s">
        <v>248</v>
      </c>
      <c r="I73" s="11" t="str">
        <f>VLOOKUP($H73, 'ADP Data'!$B$4:$Q$300, 2, FALSE)</f>
        <v>#N/A</v>
      </c>
      <c r="J73" s="11" t="s">
        <v>781</v>
      </c>
      <c r="K73" s="11" t="str">
        <f>VLOOKUP($H73, SeanRanks!$A$2:$H$303, 5, FALSE)</f>
        <v>Yes</v>
      </c>
      <c r="L73" s="11" t="str">
        <f>IF(VLOOKUP($H73, SeanRanks!$A$2:$H$303, 6, FALSE)=0, "", VLOOKUP($H73, SeanRanks!$A$2:$H$303, 6, FALSE))</f>
        <v>TE2 - 1 - Big Upside</v>
      </c>
      <c r="M73" s="11">
        <f t="shared" si="3"/>
        <v>16</v>
      </c>
      <c r="N73" s="11" t="str">
        <f>VLOOKUP($H73, 'ADP Data'!$B$4:$Q$300, 10, FALSE)</f>
        <v>#N/A</v>
      </c>
      <c r="O73" s="11" t="str">
        <f>VLOOKUP($H73, 'ADP Data'!$B$4:$Q$300, 4, FALSE)</f>
        <v>#N/A</v>
      </c>
      <c r="P73" s="11" t="str">
        <f t="shared" si="4"/>
        <v>#N/A</v>
      </c>
      <c r="Q73" s="11" t="str">
        <f>VLOOKUP($H73, 'ADP Data'!$B$4:$Q$300, 5, FALSE)</f>
        <v>#N/A</v>
      </c>
      <c r="R73" s="11" t="str">
        <f>VLOOKUP($H73, 'ADP Data'!$B$4:$Q$300, 6, FALSE)</f>
        <v>#N/A</v>
      </c>
      <c r="S73" s="11" t="str">
        <f>VLOOKUP($H73, 'ADP Data'!$B$4:$Q$300, 7, FALSE)</f>
        <v>#N/A</v>
      </c>
      <c r="T73" s="11" t="str">
        <f>VLOOKUP($H73, 'ADP Data'!$B$4:$Q$300, 8, FALSE)</f>
        <v>#N/A</v>
      </c>
      <c r="U73" s="11" t="str">
        <f>VLOOKUP($H73, 'ADP Data'!$B$4:$Q$300, 9, FALSE)</f>
        <v>#N/A</v>
      </c>
      <c r="V73" s="11" t="str">
        <f t="shared" si="5"/>
        <v>#N/A</v>
      </c>
      <c r="W73" s="11" t="str">
        <f t="shared" si="6"/>
        <v>#N/A</v>
      </c>
      <c r="X73" s="11">
        <f>IF(VLOOKUP($H73, SeanRanks!$A$2:$H$303, 7, FALSE)=0, "", VLOOKUP($H73, SeanRanks!$A$2:$H$303, 7, FALSE))</f>
        <v>15</v>
      </c>
    </row>
    <row r="74" ht="14.25" customHeight="1">
      <c r="A74" s="11"/>
      <c r="B74" s="11" t="str">
        <f t="shared" si="1"/>
        <v>#N/A</v>
      </c>
      <c r="C74" s="11" t="s">
        <v>95</v>
      </c>
      <c r="D74" s="11">
        <v>7.0</v>
      </c>
      <c r="E74" s="11">
        <v>3.0</v>
      </c>
      <c r="F74" s="11">
        <f t="shared" si="2"/>
        <v>4</v>
      </c>
      <c r="G74" s="11"/>
      <c r="H74" s="11" t="s">
        <v>437</v>
      </c>
      <c r="I74" s="11" t="str">
        <f>VLOOKUP($H74, 'ADP Data'!$B$4:$Q$300, 2, FALSE)</f>
        <v>#N/A</v>
      </c>
      <c r="J74" s="11" t="s">
        <v>775</v>
      </c>
      <c r="K74" s="11" t="str">
        <f>VLOOKUP($H74, SeanRanks!$A$2:$H$303, 5, FALSE)</f>
        <v/>
      </c>
      <c r="L74" s="11" t="str">
        <f>IF(VLOOKUP($H74, SeanRanks!$A$2:$H$303, 6, FALSE)=0, "", VLOOKUP($H74, SeanRanks!$A$2:$H$303, 6, FALSE))</f>
        <v>WR3 - 3 - lower ceiling</v>
      </c>
      <c r="M74" s="11">
        <f t="shared" si="3"/>
        <v>16</v>
      </c>
      <c r="N74" s="11" t="str">
        <f>VLOOKUP($H74, 'ADP Data'!$B$4:$Q$300, 10, FALSE)</f>
        <v>#N/A</v>
      </c>
      <c r="O74" s="11" t="str">
        <f>VLOOKUP($H74, 'ADP Data'!$B$4:$Q$300, 4, FALSE)</f>
        <v>#N/A</v>
      </c>
      <c r="P74" s="11" t="str">
        <f t="shared" si="4"/>
        <v>#N/A</v>
      </c>
      <c r="Q74" s="11" t="str">
        <f>VLOOKUP($H74, 'ADP Data'!$B$4:$Q$300, 5, FALSE)</f>
        <v>#N/A</v>
      </c>
      <c r="R74" s="11" t="str">
        <f>VLOOKUP($H74, 'ADP Data'!$B$4:$Q$300, 6, FALSE)</f>
        <v>#N/A</v>
      </c>
      <c r="S74" s="11" t="str">
        <f>VLOOKUP($H74, 'ADP Data'!$B$4:$Q$300, 7, FALSE)</f>
        <v>#N/A</v>
      </c>
      <c r="T74" s="11" t="str">
        <f>VLOOKUP($H74, 'ADP Data'!$B$4:$Q$300, 8, FALSE)</f>
        <v>#N/A</v>
      </c>
      <c r="U74" s="11" t="str">
        <f>VLOOKUP($H74, 'ADP Data'!$B$4:$Q$300, 9, FALSE)</f>
        <v>#N/A</v>
      </c>
      <c r="V74" s="11" t="str">
        <f t="shared" si="5"/>
        <v>#N/A</v>
      </c>
      <c r="W74" s="11" t="str">
        <f t="shared" si="6"/>
        <v>#N/A</v>
      </c>
      <c r="X74" s="11">
        <f>IF(VLOOKUP($H74, SeanRanks!$A$2:$H$303, 7, FALSE)=0, "", VLOOKUP($H74, SeanRanks!$A$2:$H$303, 7, FALSE))</f>
        <v>37</v>
      </c>
    </row>
    <row r="75" ht="14.25" customHeight="1">
      <c r="A75" s="11"/>
      <c r="B75" s="11" t="str">
        <f t="shared" si="1"/>
        <v>#N/A</v>
      </c>
      <c r="C75" s="11" t="s">
        <v>95</v>
      </c>
      <c r="D75" s="11">
        <v>15.0</v>
      </c>
      <c r="E75" s="11">
        <v>4.0</v>
      </c>
      <c r="F75" s="11">
        <f t="shared" si="2"/>
        <v>11</v>
      </c>
      <c r="G75" s="11"/>
      <c r="H75" s="11" t="s">
        <v>416</v>
      </c>
      <c r="I75" s="11" t="str">
        <f>VLOOKUP($H75, 'ADP Data'!$B$4:$Q$300, 2, FALSE)</f>
        <v>#N/A</v>
      </c>
      <c r="J75" s="11" t="s">
        <v>772</v>
      </c>
      <c r="K75" s="11" t="str">
        <f>VLOOKUP($H75, SeanRanks!$A$2:$H$303, 5, FALSE)</f>
        <v/>
      </c>
      <c r="L75" s="11" t="str">
        <f>IF(VLOOKUP($H75, SeanRanks!$A$2:$H$303, 6, FALSE)=0, "", VLOOKUP($H75, SeanRanks!$A$2:$H$303, 6, FALSE))</f>
        <v>RB2 - 1 - Clear path to spikes</v>
      </c>
      <c r="M75" s="11">
        <f t="shared" si="3"/>
        <v>16</v>
      </c>
      <c r="N75" s="11" t="str">
        <f>VLOOKUP($H75, 'ADP Data'!$B$4:$Q$300, 10, FALSE)</f>
        <v>#N/A</v>
      </c>
      <c r="O75" s="11" t="str">
        <f>VLOOKUP($H75, 'ADP Data'!$B$4:$Q$300, 4, FALSE)</f>
        <v>#N/A</v>
      </c>
      <c r="P75" s="11" t="str">
        <f t="shared" si="4"/>
        <v>#N/A</v>
      </c>
      <c r="Q75" s="11" t="str">
        <f>VLOOKUP($H75, 'ADP Data'!$B$4:$Q$300, 5, FALSE)</f>
        <v>#N/A</v>
      </c>
      <c r="R75" s="11" t="str">
        <f>VLOOKUP($H75, 'ADP Data'!$B$4:$Q$300, 6, FALSE)</f>
        <v>#N/A</v>
      </c>
      <c r="S75" s="11" t="str">
        <f>VLOOKUP($H75, 'ADP Data'!$B$4:$Q$300, 7, FALSE)</f>
        <v>#N/A</v>
      </c>
      <c r="T75" s="11" t="str">
        <f>VLOOKUP($H75, 'ADP Data'!$B$4:$Q$300, 8, FALSE)</f>
        <v>#N/A</v>
      </c>
      <c r="U75" s="11" t="str">
        <f>VLOOKUP($H75, 'ADP Data'!$B$4:$Q$300, 9, FALSE)</f>
        <v>#N/A</v>
      </c>
      <c r="V75" s="11" t="str">
        <f t="shared" si="5"/>
        <v>#N/A</v>
      </c>
      <c r="W75" s="11" t="str">
        <f t="shared" si="6"/>
        <v>#N/A</v>
      </c>
      <c r="X75" s="11">
        <f>IF(VLOOKUP($H75, SeanRanks!$A$2:$H$303, 7, FALSE)=0, "", VLOOKUP($H75, SeanRanks!$A$2:$H$303, 7, FALSE))</f>
        <v>18</v>
      </c>
    </row>
    <row r="76" ht="14.25" customHeight="1">
      <c r="A76" s="11"/>
      <c r="B76" s="11" t="str">
        <f t="shared" si="1"/>
        <v>#N/A</v>
      </c>
      <c r="C76" s="11" t="s">
        <v>95</v>
      </c>
      <c r="D76" s="11">
        <v>15.0</v>
      </c>
      <c r="E76" s="11">
        <v>10.0</v>
      </c>
      <c r="F76" s="11">
        <f t="shared" si="2"/>
        <v>5</v>
      </c>
      <c r="G76" s="11"/>
      <c r="H76" s="11" t="s">
        <v>266</v>
      </c>
      <c r="I76" s="58" t="str">
        <f>VLOOKUP($H76, 'ADP Data'!$B$4:$Q$300, 2, FALSE)</f>
        <v>#N/A</v>
      </c>
      <c r="J76" s="11" t="s">
        <v>770</v>
      </c>
      <c r="K76" s="11" t="str">
        <f>VLOOKUP($H76, SeanRanks!$A$2:$H$303, 5, FALSE)</f>
        <v/>
      </c>
      <c r="L76" s="11" t="str">
        <f>IF(VLOOKUP($H76, SeanRanks!$A$2:$H$303, 6, FALSE)=0, "", VLOOKUP($H76, SeanRanks!$A$2:$H$303, 6, FALSE))</f>
        <v>QB2 - 2 - Not League Winner</v>
      </c>
      <c r="M76" s="11">
        <f t="shared" si="3"/>
        <v>16</v>
      </c>
      <c r="N76" s="11" t="str">
        <f>VLOOKUP($H76, 'ADP Data'!$B$4:$Q$300, 10, FALSE)</f>
        <v>#N/A</v>
      </c>
      <c r="O76" s="11" t="str">
        <f>VLOOKUP($H76, 'ADP Data'!$B$4:$Q$300, 4, FALSE)</f>
        <v>#N/A</v>
      </c>
      <c r="P76" s="11" t="str">
        <f t="shared" si="4"/>
        <v>#N/A</v>
      </c>
      <c r="Q76" s="11" t="str">
        <f>VLOOKUP($H76, 'ADP Data'!$B$4:$Q$300, 5, FALSE)</f>
        <v>#N/A</v>
      </c>
      <c r="R76" s="11" t="str">
        <f>VLOOKUP($H76, 'ADP Data'!$B$4:$Q$300, 6, FALSE)</f>
        <v>#N/A</v>
      </c>
      <c r="S76" s="11" t="str">
        <f>VLOOKUP($H76, 'ADP Data'!$B$4:$Q$300, 7, FALSE)</f>
        <v>#N/A</v>
      </c>
      <c r="T76" s="11" t="str">
        <f>VLOOKUP($H76, 'ADP Data'!$B$4:$Q$300, 8, FALSE)</f>
        <v>#N/A</v>
      </c>
      <c r="U76" s="11" t="str">
        <f>VLOOKUP($H76, 'ADP Data'!$B$4:$Q$300, 9, FALSE)</f>
        <v>#N/A</v>
      </c>
      <c r="V76" s="11" t="str">
        <f t="shared" si="5"/>
        <v>#N/A</v>
      </c>
      <c r="W76" s="11" t="str">
        <f t="shared" si="6"/>
        <v>#N/A</v>
      </c>
      <c r="X76" s="11">
        <f>IF(VLOOKUP($H76, SeanRanks!$A$2:$H$303, 7, FALSE)=0, "", VLOOKUP($H76, SeanRanks!$A$2:$H$303, 7, FALSE))</f>
        <v>17</v>
      </c>
    </row>
    <row r="77" ht="14.25" customHeight="1">
      <c r="A77" s="11"/>
      <c r="B77" s="11" t="str">
        <f t="shared" si="1"/>
        <v>#N/A</v>
      </c>
      <c r="C77" s="11" t="s">
        <v>95</v>
      </c>
      <c r="D77" s="11">
        <v>11.0</v>
      </c>
      <c r="E77" s="11">
        <v>3.0</v>
      </c>
      <c r="F77" s="11">
        <f t="shared" si="2"/>
        <v>8</v>
      </c>
      <c r="G77" s="11"/>
      <c r="H77" s="11" t="s">
        <v>869</v>
      </c>
      <c r="I77" s="11" t="str">
        <f>VLOOKUP($H77, 'ADP Data'!$B$4:$Q$300, 2, FALSE)</f>
        <v>#N/A</v>
      </c>
      <c r="J77" s="11" t="s">
        <v>775</v>
      </c>
      <c r="K77" s="11" t="str">
        <f>VLOOKUP($H77, SeanRanks!$A$2:$H$303, 5, FALSE)</f>
        <v/>
      </c>
      <c r="L77" s="11" t="str">
        <f>IF(VLOOKUP($H77, SeanRanks!$A$2:$H$303, 6, FALSE)=0, "", VLOOKUP($H77, SeanRanks!$A$2:$H$303, 6, FALSE))</f>
        <v/>
      </c>
      <c r="M77" s="11">
        <f t="shared" si="3"/>
        <v>16</v>
      </c>
      <c r="N77" s="11" t="str">
        <f>VLOOKUP($H77, 'ADP Data'!$B$4:$Q$300, 10, FALSE)</f>
        <v>#N/A</v>
      </c>
      <c r="O77" s="11" t="str">
        <f>VLOOKUP($H77, 'ADP Data'!$B$4:$Q$300, 4, FALSE)</f>
        <v>#N/A</v>
      </c>
      <c r="P77" s="11" t="str">
        <f t="shared" si="4"/>
        <v>#N/A</v>
      </c>
      <c r="Q77" s="11" t="str">
        <f>VLOOKUP($H77, 'ADP Data'!$B$4:$Q$300, 5, FALSE)</f>
        <v>#N/A</v>
      </c>
      <c r="R77" s="11" t="str">
        <f>VLOOKUP($H77, 'ADP Data'!$B$4:$Q$300, 6, FALSE)</f>
        <v>#N/A</v>
      </c>
      <c r="S77" s="11" t="str">
        <f>VLOOKUP($H77, 'ADP Data'!$B$4:$Q$300, 7, FALSE)</f>
        <v>#N/A</v>
      </c>
      <c r="T77" s="11" t="str">
        <f>VLOOKUP($H77, 'ADP Data'!$B$4:$Q$300, 8, FALSE)</f>
        <v>#N/A</v>
      </c>
      <c r="U77" s="11" t="str">
        <f>VLOOKUP($H77, 'ADP Data'!$B$4:$Q$300, 9, FALSE)</f>
        <v>#N/A</v>
      </c>
      <c r="V77" s="11" t="str">
        <f t="shared" si="5"/>
        <v>#N/A</v>
      </c>
      <c r="W77" s="11" t="str">
        <f t="shared" si="6"/>
        <v>#N/A</v>
      </c>
      <c r="X77" s="11" t="str">
        <f>IF(VLOOKUP($H77, SeanRanks!$A$2:$H$303, 7, FALSE)=0, "", VLOOKUP($H77, SeanRanks!$A$2:$H$303, 7, FALSE))</f>
        <v/>
      </c>
    </row>
    <row r="78" ht="14.25" customHeight="1">
      <c r="A78" s="11"/>
      <c r="B78" s="11" t="str">
        <f t="shared" si="1"/>
        <v>#N/A</v>
      </c>
      <c r="C78" s="11" t="s">
        <v>95</v>
      </c>
      <c r="D78" s="11">
        <v>10.0</v>
      </c>
      <c r="E78" s="11">
        <v>3.0</v>
      </c>
      <c r="F78" s="11">
        <f t="shared" si="2"/>
        <v>7</v>
      </c>
      <c r="G78" s="11" t="s">
        <v>1123</v>
      </c>
      <c r="H78" s="11" t="s">
        <v>66</v>
      </c>
      <c r="I78" s="11" t="str">
        <f>VLOOKUP($H78, 'ADP Data'!$B$4:$Q$300, 2, FALSE)</f>
        <v>#N/A</v>
      </c>
      <c r="J78" s="11" t="s">
        <v>772</v>
      </c>
      <c r="K78" s="11" t="str">
        <f>VLOOKUP($H78, SeanRanks!$A$2:$H$303, 5, FALSE)</f>
        <v/>
      </c>
      <c r="L78" s="11" t="str">
        <f>IF(VLOOKUP($H78, SeanRanks!$A$2:$H$303, 6, FALSE)=0, "", VLOOKUP($H78, SeanRanks!$A$2:$H$303, 6, FALSE))</f>
        <v>RB2 - 1 - Clear path to spikes</v>
      </c>
      <c r="M78" s="11">
        <f t="shared" si="3"/>
        <v>16</v>
      </c>
      <c r="N78" s="11" t="str">
        <f>VLOOKUP($H78, 'ADP Data'!$B$4:$Q$300, 10, FALSE)</f>
        <v>#N/A</v>
      </c>
      <c r="O78" s="11" t="str">
        <f>VLOOKUP($H78, 'ADP Data'!$B$4:$Q$300, 4, FALSE)</f>
        <v>#N/A</v>
      </c>
      <c r="P78" s="11" t="str">
        <f t="shared" si="4"/>
        <v>#N/A</v>
      </c>
      <c r="Q78" s="11" t="str">
        <f>VLOOKUP($H78, 'ADP Data'!$B$4:$Q$300, 5, FALSE)</f>
        <v>#N/A</v>
      </c>
      <c r="R78" s="11" t="str">
        <f>VLOOKUP($H78, 'ADP Data'!$B$4:$Q$300, 6, FALSE)</f>
        <v>#N/A</v>
      </c>
      <c r="S78" s="11" t="str">
        <f>VLOOKUP($H78, 'ADP Data'!$B$4:$Q$300, 7, FALSE)</f>
        <v>#N/A</v>
      </c>
      <c r="T78" s="11" t="str">
        <f>VLOOKUP($H78, 'ADP Data'!$B$4:$Q$300, 8, FALSE)</f>
        <v>#N/A</v>
      </c>
      <c r="U78" s="11" t="str">
        <f>VLOOKUP($H78, 'ADP Data'!$B$4:$Q$300, 9, FALSE)</f>
        <v>#N/A</v>
      </c>
      <c r="V78" s="11" t="str">
        <f t="shared" si="5"/>
        <v>#N/A</v>
      </c>
      <c r="W78" s="11" t="str">
        <f t="shared" si="6"/>
        <v>#N/A</v>
      </c>
      <c r="X78" s="11">
        <f>IF(VLOOKUP($H78, SeanRanks!$A$2:$H$303, 7, FALSE)=0, "", VLOOKUP($H78, SeanRanks!$A$2:$H$303, 7, FALSE))</f>
        <v>15</v>
      </c>
    </row>
    <row r="79" ht="14.25" customHeight="1">
      <c r="A79" s="11"/>
      <c r="B79" s="11" t="str">
        <f t="shared" si="1"/>
        <v>#N/A</v>
      </c>
      <c r="C79" s="11" t="s">
        <v>95</v>
      </c>
      <c r="D79" s="11">
        <v>15.0</v>
      </c>
      <c r="E79" s="11">
        <v>4.0</v>
      </c>
      <c r="F79" s="11">
        <f t="shared" si="2"/>
        <v>11</v>
      </c>
      <c r="G79" s="11"/>
      <c r="H79" s="11" t="s">
        <v>332</v>
      </c>
      <c r="I79" s="11" t="str">
        <f>VLOOKUP($H79, 'ADP Data'!$B$4:$Q$300, 2, FALSE)</f>
        <v>#N/A</v>
      </c>
      <c r="J79" s="11" t="s">
        <v>772</v>
      </c>
      <c r="K79" s="11" t="str">
        <f>VLOOKUP($H79, SeanRanks!$A$2:$H$303, 5, FALSE)</f>
        <v/>
      </c>
      <c r="L79" s="11" t="str">
        <f>IF(VLOOKUP($H79, SeanRanks!$A$2:$H$303, 6, FALSE)=0, "", VLOOKUP($H79, SeanRanks!$A$2:$H$303, 6, FALSE))</f>
        <v>RB4 - 2 - low ceiling</v>
      </c>
      <c r="M79" s="11">
        <f t="shared" si="3"/>
        <v>16</v>
      </c>
      <c r="N79" s="11" t="str">
        <f>VLOOKUP($H79, 'ADP Data'!$B$4:$Q$300, 10, FALSE)</f>
        <v>#N/A</v>
      </c>
      <c r="O79" s="11" t="str">
        <f>VLOOKUP($H79, 'ADP Data'!$B$4:$Q$300, 4, FALSE)</f>
        <v>#N/A</v>
      </c>
      <c r="P79" s="11" t="str">
        <f t="shared" si="4"/>
        <v>#N/A</v>
      </c>
      <c r="Q79" s="11" t="str">
        <f>VLOOKUP($H79, 'ADP Data'!$B$4:$Q$300, 5, FALSE)</f>
        <v>#N/A</v>
      </c>
      <c r="R79" s="11" t="str">
        <f>VLOOKUP($H79, 'ADP Data'!$B$4:$Q$300, 6, FALSE)</f>
        <v>#N/A</v>
      </c>
      <c r="S79" s="11" t="str">
        <f>VLOOKUP($H79, 'ADP Data'!$B$4:$Q$300, 7, FALSE)</f>
        <v>#N/A</v>
      </c>
      <c r="T79" s="11" t="str">
        <f>VLOOKUP($H79, 'ADP Data'!$B$4:$Q$300, 8, FALSE)</f>
        <v>#N/A</v>
      </c>
      <c r="U79" s="11" t="str">
        <f>VLOOKUP($H79, 'ADP Data'!$B$4:$Q$300, 9, FALSE)</f>
        <v>#N/A</v>
      </c>
      <c r="V79" s="11" t="str">
        <f t="shared" si="5"/>
        <v>#N/A</v>
      </c>
      <c r="W79" s="11" t="str">
        <f t="shared" si="6"/>
        <v>#N/A</v>
      </c>
      <c r="X79" s="11">
        <f>IF(VLOOKUP($H79, SeanRanks!$A$2:$H$303, 7, FALSE)=0, "", VLOOKUP($H79, SeanRanks!$A$2:$H$303, 7, FALSE))</f>
        <v>48</v>
      </c>
    </row>
    <row r="80" ht="14.25" customHeight="1">
      <c r="A80" s="11"/>
      <c r="B80" s="11" t="str">
        <f t="shared" si="1"/>
        <v>#N/A</v>
      </c>
      <c r="C80" s="11" t="s">
        <v>95</v>
      </c>
      <c r="D80" s="11">
        <v>8.0</v>
      </c>
      <c r="E80" s="11">
        <v>3.0</v>
      </c>
      <c r="F80" s="11">
        <f t="shared" si="2"/>
        <v>5</v>
      </c>
      <c r="G80" s="11" t="s">
        <v>1122</v>
      </c>
      <c r="H80" s="11" t="s">
        <v>328</v>
      </c>
      <c r="I80" s="11" t="str">
        <f>VLOOKUP($H80, 'ADP Data'!$B$4:$Q$300, 2, FALSE)</f>
        <v>#N/A</v>
      </c>
      <c r="J80" s="11" t="s">
        <v>781</v>
      </c>
      <c r="K80" s="11" t="str">
        <f>VLOOKUP($H80, SeanRanks!$A$2:$H$303, 5, FALSE)</f>
        <v/>
      </c>
      <c r="L80" s="11" t="str">
        <f>IF(VLOOKUP($H80, SeanRanks!$A$2:$H$303, 6, FALSE)=0, "", VLOOKUP($H80, SeanRanks!$A$2:$H$303, 6, FALSE))</f>
        <v/>
      </c>
      <c r="M80" s="11">
        <f t="shared" si="3"/>
        <v>16</v>
      </c>
      <c r="N80" s="11" t="str">
        <f>VLOOKUP($H80, 'ADP Data'!$B$4:$Q$300, 10, FALSE)</f>
        <v>#N/A</v>
      </c>
      <c r="O80" s="11" t="str">
        <f>VLOOKUP($H80, 'ADP Data'!$B$4:$Q$300, 4, FALSE)</f>
        <v>#N/A</v>
      </c>
      <c r="P80" s="11" t="str">
        <f t="shared" si="4"/>
        <v>#N/A</v>
      </c>
      <c r="Q80" s="11" t="str">
        <f>VLOOKUP($H80, 'ADP Data'!$B$4:$Q$300, 5, FALSE)</f>
        <v>#N/A</v>
      </c>
      <c r="R80" s="11" t="str">
        <f>VLOOKUP($H80, 'ADP Data'!$B$4:$Q$300, 6, FALSE)</f>
        <v>#N/A</v>
      </c>
      <c r="S80" s="11" t="str">
        <f>VLOOKUP($H80, 'ADP Data'!$B$4:$Q$300, 7, FALSE)</f>
        <v>#N/A</v>
      </c>
      <c r="T80" s="11" t="str">
        <f>VLOOKUP($H80, 'ADP Data'!$B$4:$Q$300, 8, FALSE)</f>
        <v>#N/A</v>
      </c>
      <c r="U80" s="11" t="str">
        <f>VLOOKUP($H80, 'ADP Data'!$B$4:$Q$300, 9, FALSE)</f>
        <v>#N/A</v>
      </c>
      <c r="V80" s="11" t="str">
        <f t="shared" si="5"/>
        <v>#N/A</v>
      </c>
      <c r="W80" s="11" t="str">
        <f t="shared" si="6"/>
        <v>#N/A</v>
      </c>
      <c r="X80" s="11" t="str">
        <f>IF(VLOOKUP($H80, SeanRanks!$A$2:$H$303, 7, FALSE)=0, "", VLOOKUP($H80, SeanRanks!$A$2:$H$303, 7, FALSE))</f>
        <v/>
      </c>
    </row>
    <row r="81" ht="14.25" customHeight="1">
      <c r="A81" s="11"/>
      <c r="B81" s="11" t="str">
        <f t="shared" si="1"/>
        <v>#N/A</v>
      </c>
      <c r="C81" s="11" t="s">
        <v>95</v>
      </c>
      <c r="D81" s="11">
        <v>10.0</v>
      </c>
      <c r="E81" s="11">
        <v>5.0</v>
      </c>
      <c r="F81" s="11">
        <f t="shared" si="2"/>
        <v>5</v>
      </c>
      <c r="G81" s="11"/>
      <c r="H81" s="11" t="s">
        <v>418</v>
      </c>
      <c r="I81" s="58" t="str">
        <f>VLOOKUP($H81, 'ADP Data'!$B$4:$Q$300, 2, FALSE)</f>
        <v>#N/A</v>
      </c>
      <c r="J81" s="11" t="s">
        <v>772</v>
      </c>
      <c r="K81" s="11" t="str">
        <f>VLOOKUP($H81, SeanRanks!$A$2:$H$303, 5, FALSE)</f>
        <v/>
      </c>
      <c r="L81" s="11" t="str">
        <f>IF(VLOOKUP($H81, SeanRanks!$A$2:$H$303, 6, FALSE)=0, "", VLOOKUP($H81, SeanRanks!$A$2:$H$303, 6, FALSE))</f>
        <v>RB2 - 2 - Path to spikes</v>
      </c>
      <c r="M81" s="11">
        <f t="shared" si="3"/>
        <v>16</v>
      </c>
      <c r="N81" s="11" t="str">
        <f>VLOOKUP($H81, 'ADP Data'!$B$4:$Q$300, 10, FALSE)</f>
        <v>#N/A</v>
      </c>
      <c r="O81" s="11" t="str">
        <f>VLOOKUP($H81, 'ADP Data'!$B$4:$Q$300, 4, FALSE)</f>
        <v>#N/A</v>
      </c>
      <c r="P81" s="11" t="str">
        <f t="shared" si="4"/>
        <v>#N/A</v>
      </c>
      <c r="Q81" s="11" t="str">
        <f>VLOOKUP($H81, 'ADP Data'!$B$4:$Q$300, 5, FALSE)</f>
        <v>#N/A</v>
      </c>
      <c r="R81" s="11" t="str">
        <f>VLOOKUP($H81, 'ADP Data'!$B$4:$Q$300, 6, FALSE)</f>
        <v>#N/A</v>
      </c>
      <c r="S81" s="11" t="str">
        <f>VLOOKUP($H81, 'ADP Data'!$B$4:$Q$300, 7, FALSE)</f>
        <v>#N/A</v>
      </c>
      <c r="T81" s="11" t="str">
        <f>VLOOKUP($H81, 'ADP Data'!$B$4:$Q$300, 8, FALSE)</f>
        <v>#N/A</v>
      </c>
      <c r="U81" s="11" t="str">
        <f>VLOOKUP($H81, 'ADP Data'!$B$4:$Q$300, 9, FALSE)</f>
        <v>#N/A</v>
      </c>
      <c r="V81" s="11" t="str">
        <f t="shared" si="5"/>
        <v>#N/A</v>
      </c>
      <c r="W81" s="11" t="str">
        <f t="shared" si="6"/>
        <v>#N/A</v>
      </c>
      <c r="X81" s="11">
        <f>IF(VLOOKUP($H81, SeanRanks!$A$2:$H$303, 7, FALSE)=0, "", VLOOKUP($H81, SeanRanks!$A$2:$H$303, 7, FALSE))</f>
        <v>23</v>
      </c>
    </row>
    <row r="82" ht="14.25" customHeight="1">
      <c r="A82" s="11" t="s">
        <v>1156</v>
      </c>
      <c r="B82" s="11" t="str">
        <f t="shared" si="1"/>
        <v>#N/A</v>
      </c>
      <c r="C82" s="11" t="s">
        <v>95</v>
      </c>
      <c r="D82" s="11">
        <v>5.0</v>
      </c>
      <c r="E82" s="11">
        <v>6.0</v>
      </c>
      <c r="F82" s="11">
        <f t="shared" si="2"/>
        <v>-1</v>
      </c>
      <c r="G82" s="11"/>
      <c r="H82" s="11" t="s">
        <v>686</v>
      </c>
      <c r="I82" s="57" t="str">
        <f>VLOOKUP($H82, 'ADP Data'!$B$4:$Q$300, 2, FALSE)</f>
        <v>#N/A</v>
      </c>
      <c r="J82" s="11" t="s">
        <v>770</v>
      </c>
      <c r="K82" s="11" t="str">
        <f>VLOOKUP($H82, SeanRanks!$A$2:$H$303, 5, FALSE)</f>
        <v>#N/A</v>
      </c>
      <c r="L82" s="11" t="str">
        <f>IF(VLOOKUP($H82, SeanRanks!$A$2:$H$303, 6, FALSE)=0, "", VLOOKUP($H82, SeanRanks!$A$2:$H$303, 6, FALSE))</f>
        <v>#N/A</v>
      </c>
      <c r="M82" s="11">
        <f t="shared" si="3"/>
        <v>16</v>
      </c>
      <c r="N82" s="11" t="str">
        <f>VLOOKUP($H82, 'ADP Data'!$B$4:$Q$300, 10, FALSE)</f>
        <v>#N/A</v>
      </c>
      <c r="O82" s="11" t="str">
        <f>VLOOKUP($H82, 'ADP Data'!$B$4:$Q$300, 4, FALSE)</f>
        <v>#N/A</v>
      </c>
      <c r="P82" s="11" t="str">
        <f t="shared" si="4"/>
        <v>#N/A</v>
      </c>
      <c r="Q82" s="11" t="str">
        <f>VLOOKUP($H82, 'ADP Data'!$B$4:$Q$300, 5, FALSE)</f>
        <v>#N/A</v>
      </c>
      <c r="R82" s="11" t="str">
        <f>VLOOKUP($H82, 'ADP Data'!$B$4:$Q$300, 6, FALSE)</f>
        <v>#N/A</v>
      </c>
      <c r="S82" s="11" t="str">
        <f>VLOOKUP($H82, 'ADP Data'!$B$4:$Q$300, 7, FALSE)</f>
        <v>#N/A</v>
      </c>
      <c r="T82" s="11" t="str">
        <f>VLOOKUP($H82, 'ADP Data'!$B$4:$Q$300, 8, FALSE)</f>
        <v>#N/A</v>
      </c>
      <c r="U82" s="11" t="str">
        <f>VLOOKUP($H82, 'ADP Data'!$B$4:$Q$300, 9, FALSE)</f>
        <v>#N/A</v>
      </c>
      <c r="V82" s="11" t="str">
        <f t="shared" si="5"/>
        <v>#N/A</v>
      </c>
      <c r="W82" s="11" t="str">
        <f t="shared" si="6"/>
        <v>#N/A</v>
      </c>
      <c r="X82" s="11" t="str">
        <f>IF(VLOOKUP($H82, SeanRanks!$A$2:$H$303, 7, FALSE)=0, "", VLOOKUP($H82, SeanRanks!$A$2:$H$303, 7, FALSE))</f>
        <v>#N/A</v>
      </c>
    </row>
    <row r="83" ht="14.25" customHeight="1">
      <c r="A83" s="11"/>
      <c r="B83" s="11" t="str">
        <f t="shared" si="1"/>
        <v>#N/A</v>
      </c>
      <c r="C83" s="11" t="s">
        <v>95</v>
      </c>
      <c r="D83" s="11">
        <v>7.0</v>
      </c>
      <c r="E83" s="11">
        <v>2.0</v>
      </c>
      <c r="F83" s="11">
        <f t="shared" si="2"/>
        <v>5</v>
      </c>
      <c r="G83" s="11"/>
      <c r="H83" s="11" t="s">
        <v>624</v>
      </c>
      <c r="I83" s="11" t="str">
        <f>VLOOKUP($H83, 'ADP Data'!$B$4:$Q$300, 2, FALSE)</f>
        <v>#N/A</v>
      </c>
      <c r="J83" s="11" t="s">
        <v>775</v>
      </c>
      <c r="K83" s="11" t="str">
        <f>VLOOKUP($H83, SeanRanks!$A$2:$H$303, 5, FALSE)</f>
        <v>Yes</v>
      </c>
      <c r="L83" s="11" t="str">
        <f>IF(VLOOKUP($H83, SeanRanks!$A$2:$H$303, 6, FALSE)=0, "", VLOOKUP($H83, SeanRanks!$A$2:$H$303, 6, FALSE))</f>
        <v>WR5 - 1 - upside path</v>
      </c>
      <c r="M83" s="11">
        <f t="shared" si="3"/>
        <v>16</v>
      </c>
      <c r="N83" s="11" t="str">
        <f>VLOOKUP($H83, 'ADP Data'!$B$4:$Q$300, 10, FALSE)</f>
        <v>#N/A</v>
      </c>
      <c r="O83" s="11" t="str">
        <f>VLOOKUP($H83, 'ADP Data'!$B$4:$Q$300, 4, FALSE)</f>
        <v>#N/A</v>
      </c>
      <c r="P83" s="11" t="str">
        <f t="shared" si="4"/>
        <v>#N/A</v>
      </c>
      <c r="Q83" s="11" t="str">
        <f>VLOOKUP($H83, 'ADP Data'!$B$4:$Q$300, 5, FALSE)</f>
        <v>#N/A</v>
      </c>
      <c r="R83" s="11" t="str">
        <f>VLOOKUP($H83, 'ADP Data'!$B$4:$Q$300, 6, FALSE)</f>
        <v>#N/A</v>
      </c>
      <c r="S83" s="11" t="str">
        <f>VLOOKUP($H83, 'ADP Data'!$B$4:$Q$300, 7, FALSE)</f>
        <v>#N/A</v>
      </c>
      <c r="T83" s="11" t="str">
        <f>VLOOKUP($H83, 'ADP Data'!$B$4:$Q$300, 8, FALSE)</f>
        <v>#N/A</v>
      </c>
      <c r="U83" s="11" t="str">
        <f>VLOOKUP($H83, 'ADP Data'!$B$4:$Q$300, 9, FALSE)</f>
        <v>#N/A</v>
      </c>
      <c r="V83" s="11" t="str">
        <f t="shared" si="5"/>
        <v>#N/A</v>
      </c>
      <c r="W83" s="11" t="str">
        <f t="shared" si="6"/>
        <v>#N/A</v>
      </c>
      <c r="X83" s="11">
        <f>IF(VLOOKUP($H83, SeanRanks!$A$2:$H$303, 7, FALSE)=0, "", VLOOKUP($H83, SeanRanks!$A$2:$H$303, 7, FALSE))</f>
        <v>48</v>
      </c>
    </row>
    <row r="84" ht="14.25" customHeight="1">
      <c r="A84" s="11"/>
      <c r="B84" s="11" t="str">
        <f t="shared" si="1"/>
        <v>#N/A</v>
      </c>
      <c r="C84" s="11" t="s">
        <v>95</v>
      </c>
      <c r="D84" s="11">
        <v>3.0</v>
      </c>
      <c r="E84" s="11">
        <v>7.0</v>
      </c>
      <c r="F84" s="11">
        <f t="shared" si="2"/>
        <v>-4</v>
      </c>
      <c r="G84" s="11" t="s">
        <v>1123</v>
      </c>
      <c r="H84" s="11" t="s">
        <v>268</v>
      </c>
      <c r="I84" s="93" t="str">
        <f>VLOOKUP($H84, 'ADP Data'!$B$4:$Q$300, 2, FALSE)</f>
        <v>#N/A</v>
      </c>
      <c r="J84" s="11" t="s">
        <v>770</v>
      </c>
      <c r="K84" s="11" t="str">
        <f>VLOOKUP($H84, SeanRanks!$A$2:$H$303, 5, FALSE)</f>
        <v/>
      </c>
      <c r="L84" s="11" t="str">
        <f>IF(VLOOKUP($H84, SeanRanks!$A$2:$H$303, 6, FALSE)=0, "", VLOOKUP($H84, SeanRanks!$A$2:$H$303, 6, FALSE))</f>
        <v>QB2 - 2 - Not League Winner</v>
      </c>
      <c r="M84" s="11">
        <f t="shared" si="3"/>
        <v>16</v>
      </c>
      <c r="N84" s="11" t="str">
        <f>VLOOKUP($H84, 'ADP Data'!$B$4:$Q$300, 10, FALSE)</f>
        <v>#N/A</v>
      </c>
      <c r="O84" s="11" t="str">
        <f>VLOOKUP($H84, 'ADP Data'!$B$4:$Q$300, 4, FALSE)</f>
        <v>#N/A</v>
      </c>
      <c r="P84" s="11" t="str">
        <f t="shared" si="4"/>
        <v>#N/A</v>
      </c>
      <c r="Q84" s="11" t="str">
        <f>VLOOKUP($H84, 'ADP Data'!$B$4:$Q$300, 5, FALSE)</f>
        <v>#N/A</v>
      </c>
      <c r="R84" s="11" t="str">
        <f>VLOOKUP($H84, 'ADP Data'!$B$4:$Q$300, 6, FALSE)</f>
        <v>#N/A</v>
      </c>
      <c r="S84" s="11" t="str">
        <f>VLOOKUP($H84, 'ADP Data'!$B$4:$Q$300, 7, FALSE)</f>
        <v>#N/A</v>
      </c>
      <c r="T84" s="11" t="str">
        <f>VLOOKUP($H84, 'ADP Data'!$B$4:$Q$300, 8, FALSE)</f>
        <v>#N/A</v>
      </c>
      <c r="U84" s="11" t="str">
        <f>VLOOKUP($H84, 'ADP Data'!$B$4:$Q$300, 9, FALSE)</f>
        <v>#N/A</v>
      </c>
      <c r="V84" s="11" t="str">
        <f t="shared" si="5"/>
        <v>#N/A</v>
      </c>
      <c r="W84" s="11" t="str">
        <f t="shared" si="6"/>
        <v>#N/A</v>
      </c>
      <c r="X84" s="11">
        <f>IF(VLOOKUP($H84, SeanRanks!$A$2:$H$303, 7, FALSE)=0, "", VLOOKUP($H84, SeanRanks!$A$2:$H$303, 7, FALSE))</f>
        <v>19</v>
      </c>
    </row>
    <row r="85" ht="14.25" customHeight="1">
      <c r="A85" s="11" t="s">
        <v>1156</v>
      </c>
      <c r="B85" s="11" t="str">
        <f t="shared" si="1"/>
        <v>#N/A</v>
      </c>
      <c r="C85" s="11" t="s">
        <v>95</v>
      </c>
      <c r="D85" s="11">
        <v>5.0</v>
      </c>
      <c r="E85" s="11">
        <v>5.0</v>
      </c>
      <c r="F85" s="11">
        <f t="shared" si="2"/>
        <v>0</v>
      </c>
      <c r="G85" s="58" t="s">
        <v>106</v>
      </c>
      <c r="H85" s="11" t="s">
        <v>898</v>
      </c>
      <c r="I85" s="11" t="str">
        <f>VLOOKUP($H85, 'ADP Data'!$B$4:$Q$300, 2, FALSE)</f>
        <v>#N/A</v>
      </c>
      <c r="J85" s="11" t="s">
        <v>772</v>
      </c>
      <c r="K85" s="11" t="str">
        <f>VLOOKUP($H85, SeanRanks!$A$2:$H$303, 5, FALSE)</f>
        <v>#N/A</v>
      </c>
      <c r="L85" s="11" t="str">
        <f>IF(VLOOKUP($H85, SeanRanks!$A$2:$H$303, 6, FALSE)=0, "", VLOOKUP($H85, SeanRanks!$A$2:$H$303, 6, FALSE))</f>
        <v>#N/A</v>
      </c>
      <c r="M85" s="11">
        <f t="shared" si="3"/>
        <v>16</v>
      </c>
      <c r="N85" s="11" t="str">
        <f>VLOOKUP($H85, 'ADP Data'!$B$4:$Q$300, 10, FALSE)</f>
        <v>#N/A</v>
      </c>
      <c r="O85" s="11" t="str">
        <f>VLOOKUP($H85, 'ADP Data'!$B$4:$Q$300, 4, FALSE)</f>
        <v>#N/A</v>
      </c>
      <c r="P85" s="11" t="str">
        <f t="shared" si="4"/>
        <v>#N/A</v>
      </c>
      <c r="Q85" s="11" t="str">
        <f>VLOOKUP($H85, 'ADP Data'!$B$4:$Q$300, 5, FALSE)</f>
        <v>#N/A</v>
      </c>
      <c r="R85" s="11" t="str">
        <f>VLOOKUP($H85, 'ADP Data'!$B$4:$Q$300, 6, FALSE)</f>
        <v>#N/A</v>
      </c>
      <c r="S85" s="11" t="str">
        <f>VLOOKUP($H85, 'ADP Data'!$B$4:$Q$300, 7, FALSE)</f>
        <v>#N/A</v>
      </c>
      <c r="T85" s="11" t="str">
        <f>VLOOKUP($H85, 'ADP Data'!$B$4:$Q$300, 8, FALSE)</f>
        <v>#N/A</v>
      </c>
      <c r="U85" s="11" t="str">
        <f>VLOOKUP($H85, 'ADP Data'!$B$4:$Q$300, 9, FALSE)</f>
        <v>#N/A</v>
      </c>
      <c r="V85" s="11" t="str">
        <f t="shared" si="5"/>
        <v>#N/A</v>
      </c>
      <c r="W85" s="11" t="str">
        <f t="shared" si="6"/>
        <v>#N/A</v>
      </c>
      <c r="X85" s="11" t="str">
        <f>IF(VLOOKUP($H85, SeanRanks!$A$2:$H$303, 7, FALSE)=0, "", VLOOKUP($H85, SeanRanks!$A$2:$H$303, 7, FALSE))</f>
        <v>#N/A</v>
      </c>
    </row>
    <row r="86" ht="14.25" customHeight="1">
      <c r="A86" s="11" t="s">
        <v>1156</v>
      </c>
      <c r="B86" s="11" t="str">
        <f t="shared" si="1"/>
        <v>#N/A</v>
      </c>
      <c r="C86" s="11" t="s">
        <v>95</v>
      </c>
      <c r="D86" s="11">
        <v>4.0</v>
      </c>
      <c r="E86" s="11">
        <v>3.0</v>
      </c>
      <c r="F86" s="11">
        <f t="shared" si="2"/>
        <v>1</v>
      </c>
      <c r="G86" s="11"/>
      <c r="H86" s="11" t="s">
        <v>286</v>
      </c>
      <c r="I86" s="11" t="str">
        <f>VLOOKUP($H86, 'ADP Data'!$B$4:$Q$300, 2, FALSE)</f>
        <v>#N/A</v>
      </c>
      <c r="J86" s="11" t="s">
        <v>775</v>
      </c>
      <c r="K86" s="11" t="str">
        <f>VLOOKUP($H86, SeanRanks!$A$2:$H$303, 5, FALSE)</f>
        <v>No</v>
      </c>
      <c r="L86" s="11" t="str">
        <f>IF(VLOOKUP($H86, SeanRanks!$A$2:$H$303, 6, FALSE)=0, "", VLOOKUP($H86, SeanRanks!$A$2:$H$303, 6, FALSE))</f>
        <v>WR4 - 2 - unclear path to WR2</v>
      </c>
      <c r="M86" s="11">
        <f t="shared" si="3"/>
        <v>16</v>
      </c>
      <c r="N86" s="11" t="str">
        <f>VLOOKUP($H86, 'ADP Data'!$B$4:$Q$300, 10, FALSE)</f>
        <v>#N/A</v>
      </c>
      <c r="O86" s="11" t="str">
        <f>VLOOKUP($H86, 'ADP Data'!$B$4:$Q$300, 4, FALSE)</f>
        <v>#N/A</v>
      </c>
      <c r="P86" s="11" t="str">
        <f t="shared" si="4"/>
        <v>#N/A</v>
      </c>
      <c r="Q86" s="11" t="str">
        <f>VLOOKUP($H86, 'ADP Data'!$B$4:$Q$300, 5, FALSE)</f>
        <v>#N/A</v>
      </c>
      <c r="R86" s="11" t="str">
        <f>VLOOKUP($H86, 'ADP Data'!$B$4:$Q$300, 6, FALSE)</f>
        <v>#N/A</v>
      </c>
      <c r="S86" s="11" t="str">
        <f>VLOOKUP($H86, 'ADP Data'!$B$4:$Q$300, 7, FALSE)</f>
        <v>#N/A</v>
      </c>
      <c r="T86" s="11" t="str">
        <f>VLOOKUP($H86, 'ADP Data'!$B$4:$Q$300, 8, FALSE)</f>
        <v>#N/A</v>
      </c>
      <c r="U86" s="11" t="str">
        <f>VLOOKUP($H86, 'ADP Data'!$B$4:$Q$300, 9, FALSE)</f>
        <v>#N/A</v>
      </c>
      <c r="V86" s="11" t="str">
        <f t="shared" si="5"/>
        <v>#N/A</v>
      </c>
      <c r="W86" s="11" t="str">
        <f t="shared" si="6"/>
        <v>#N/A</v>
      </c>
      <c r="X86" s="11">
        <f>IF(VLOOKUP($H86, SeanRanks!$A$2:$H$303, 7, FALSE)=0, "", VLOOKUP($H86, SeanRanks!$A$2:$H$303, 7, FALSE))</f>
        <v>47</v>
      </c>
    </row>
    <row r="87" ht="14.25" customHeight="1">
      <c r="A87" s="11"/>
      <c r="B87" s="11" t="str">
        <f t="shared" si="1"/>
        <v>#N/A</v>
      </c>
      <c r="C87" s="11" t="s">
        <v>95</v>
      </c>
      <c r="D87" s="11">
        <v>2.0</v>
      </c>
      <c r="E87" s="11">
        <v>4.0</v>
      </c>
      <c r="F87" s="11">
        <f t="shared" si="2"/>
        <v>-2</v>
      </c>
      <c r="G87" s="11" t="s">
        <v>1123</v>
      </c>
      <c r="H87" s="11" t="s">
        <v>973</v>
      </c>
      <c r="I87" s="11" t="str">
        <f>VLOOKUP($H87, 'ADP Data'!$B$4:$Q$300, 2, FALSE)</f>
        <v>#N/A</v>
      </c>
      <c r="J87" s="11" t="s">
        <v>772</v>
      </c>
      <c r="K87" s="11" t="str">
        <f>VLOOKUP($H87, SeanRanks!$A$2:$H$303, 5, FALSE)</f>
        <v>#N/A</v>
      </c>
      <c r="L87" s="11" t="str">
        <f>IF(VLOOKUP($H87, SeanRanks!$A$2:$H$303, 6, FALSE)=0, "", VLOOKUP($H87, SeanRanks!$A$2:$H$303, 6, FALSE))</f>
        <v>#N/A</v>
      </c>
      <c r="M87" s="11">
        <f t="shared" si="3"/>
        <v>16</v>
      </c>
      <c r="N87" s="11" t="str">
        <f>VLOOKUP($H87, 'ADP Data'!$B$4:$Q$300, 10, FALSE)</f>
        <v>#N/A</v>
      </c>
      <c r="O87" s="11" t="str">
        <f>VLOOKUP($H87, 'ADP Data'!$B$4:$Q$300, 4, FALSE)</f>
        <v>#N/A</v>
      </c>
      <c r="P87" s="11" t="str">
        <f t="shared" si="4"/>
        <v>#N/A</v>
      </c>
      <c r="Q87" s="11" t="str">
        <f>VLOOKUP($H87, 'ADP Data'!$B$4:$Q$300, 5, FALSE)</f>
        <v>#N/A</v>
      </c>
      <c r="R87" s="11" t="str">
        <f>VLOOKUP($H87, 'ADP Data'!$B$4:$Q$300, 6, FALSE)</f>
        <v>#N/A</v>
      </c>
      <c r="S87" s="11" t="str">
        <f>VLOOKUP($H87, 'ADP Data'!$B$4:$Q$300, 7, FALSE)</f>
        <v>#N/A</v>
      </c>
      <c r="T87" s="11" t="str">
        <f>VLOOKUP($H87, 'ADP Data'!$B$4:$Q$300, 8, FALSE)</f>
        <v>#N/A</v>
      </c>
      <c r="U87" s="11" t="str">
        <f>VLOOKUP($H87, 'ADP Data'!$B$4:$Q$300, 9, FALSE)</f>
        <v>#N/A</v>
      </c>
      <c r="V87" s="11" t="str">
        <f t="shared" si="5"/>
        <v>#N/A</v>
      </c>
      <c r="W87" s="11" t="str">
        <f t="shared" si="6"/>
        <v>#N/A</v>
      </c>
      <c r="X87" s="11" t="str">
        <f>IF(VLOOKUP($H87, SeanRanks!$A$2:$H$303, 7, FALSE)=0, "", VLOOKUP($H87, SeanRanks!$A$2:$H$303, 7, FALSE))</f>
        <v>#N/A</v>
      </c>
    </row>
    <row r="88" ht="14.25" customHeight="1">
      <c r="A88" s="11"/>
      <c r="B88" s="11" t="str">
        <f t="shared" si="1"/>
        <v>#N/A</v>
      </c>
      <c r="C88" s="11" t="s">
        <v>95</v>
      </c>
      <c r="D88" s="11">
        <v>7.0</v>
      </c>
      <c r="E88" s="11">
        <v>3.0</v>
      </c>
      <c r="F88" s="11">
        <f t="shared" si="2"/>
        <v>4</v>
      </c>
      <c r="G88" s="11"/>
      <c r="H88" s="11" t="s">
        <v>51</v>
      </c>
      <c r="I88" s="11" t="str">
        <f>VLOOKUP($H88, 'ADP Data'!$B$4:$Q$300, 2, FALSE)</f>
        <v>#N/A</v>
      </c>
      <c r="J88" s="11" t="s">
        <v>775</v>
      </c>
      <c r="K88" s="11" t="str">
        <f>VLOOKUP($H88, SeanRanks!$A$2:$H$303, 5, FALSE)</f>
        <v/>
      </c>
      <c r="L88" s="11" t="str">
        <f>IF(VLOOKUP($H88, SeanRanks!$A$2:$H$303, 6, FALSE)=0, "", VLOOKUP($H88, SeanRanks!$A$2:$H$303, 6, FALSE))</f>
        <v>WR2 - 1 - WR1 upside</v>
      </c>
      <c r="M88" s="11">
        <f t="shared" si="3"/>
        <v>16</v>
      </c>
      <c r="N88" s="11" t="str">
        <f>VLOOKUP($H88, 'ADP Data'!$B$4:$Q$300, 10, FALSE)</f>
        <v>#N/A</v>
      </c>
      <c r="O88" s="11" t="str">
        <f>VLOOKUP($H88, 'ADP Data'!$B$4:$Q$300, 4, FALSE)</f>
        <v>#N/A</v>
      </c>
      <c r="P88" s="11" t="str">
        <f t="shared" si="4"/>
        <v>#N/A</v>
      </c>
      <c r="Q88" s="11" t="str">
        <f>VLOOKUP($H88, 'ADP Data'!$B$4:$Q$300, 5, FALSE)</f>
        <v>#N/A</v>
      </c>
      <c r="R88" s="11" t="str">
        <f>VLOOKUP($H88, 'ADP Data'!$B$4:$Q$300, 6, FALSE)</f>
        <v>#N/A</v>
      </c>
      <c r="S88" s="11" t="str">
        <f>VLOOKUP($H88, 'ADP Data'!$B$4:$Q$300, 7, FALSE)</f>
        <v>#N/A</v>
      </c>
      <c r="T88" s="11" t="str">
        <f>VLOOKUP($H88, 'ADP Data'!$B$4:$Q$300, 8, FALSE)</f>
        <v>#N/A</v>
      </c>
      <c r="U88" s="11" t="str">
        <f>VLOOKUP($H88, 'ADP Data'!$B$4:$Q$300, 9, FALSE)</f>
        <v>#N/A</v>
      </c>
      <c r="V88" s="11" t="str">
        <f t="shared" si="5"/>
        <v>#N/A</v>
      </c>
      <c r="W88" s="11" t="str">
        <f t="shared" si="6"/>
        <v>#N/A</v>
      </c>
      <c r="X88" s="11">
        <f>IF(VLOOKUP($H88, SeanRanks!$A$2:$H$303, 7, FALSE)=0, "", VLOOKUP($H88, SeanRanks!$A$2:$H$303, 7, FALSE))</f>
        <v>13</v>
      </c>
    </row>
    <row r="89" ht="14.25" customHeight="1">
      <c r="A89" s="11"/>
      <c r="B89" s="11" t="str">
        <f t="shared" si="1"/>
        <v>#N/A</v>
      </c>
      <c r="C89" s="11" t="s">
        <v>95</v>
      </c>
      <c r="D89" s="11">
        <v>5.0</v>
      </c>
      <c r="E89" s="11">
        <v>4.0</v>
      </c>
      <c r="F89" s="11">
        <f t="shared" si="2"/>
        <v>1</v>
      </c>
      <c r="G89" s="11"/>
      <c r="H89" s="11" t="s">
        <v>422</v>
      </c>
      <c r="I89" s="11" t="str">
        <f>VLOOKUP($H89, 'ADP Data'!$B$4:$Q$300, 2, FALSE)</f>
        <v>#N/A</v>
      </c>
      <c r="J89" s="11" t="s">
        <v>772</v>
      </c>
      <c r="K89" s="11" t="str">
        <f>VLOOKUP($H89, SeanRanks!$A$2:$H$303, 5, FALSE)</f>
        <v/>
      </c>
      <c r="L89" s="11" t="str">
        <f>IF(VLOOKUP($H89, SeanRanks!$A$2:$H$303, 6, FALSE)=0, "", VLOOKUP($H89, SeanRanks!$A$2:$H$303, 6, FALSE))</f>
        <v>RB3 - 2 - low ceiling</v>
      </c>
      <c r="M89" s="11">
        <f t="shared" si="3"/>
        <v>16</v>
      </c>
      <c r="N89" s="11" t="str">
        <f>VLOOKUP($H89, 'ADP Data'!$B$4:$Q$300, 10, FALSE)</f>
        <v>#N/A</v>
      </c>
      <c r="O89" s="11" t="str">
        <f>VLOOKUP($H89, 'ADP Data'!$B$4:$Q$300, 4, FALSE)</f>
        <v>#N/A</v>
      </c>
      <c r="P89" s="11" t="str">
        <f t="shared" si="4"/>
        <v>#N/A</v>
      </c>
      <c r="Q89" s="11" t="str">
        <f>VLOOKUP($H89, 'ADP Data'!$B$4:$Q$300, 5, FALSE)</f>
        <v>#N/A</v>
      </c>
      <c r="R89" s="11" t="str">
        <f>VLOOKUP($H89, 'ADP Data'!$B$4:$Q$300, 6, FALSE)</f>
        <v>#N/A</v>
      </c>
      <c r="S89" s="11" t="str">
        <f>VLOOKUP($H89, 'ADP Data'!$B$4:$Q$300, 7, FALSE)</f>
        <v>#N/A</v>
      </c>
      <c r="T89" s="11" t="str">
        <f>VLOOKUP($H89, 'ADP Data'!$B$4:$Q$300, 8, FALSE)</f>
        <v>#N/A</v>
      </c>
      <c r="U89" s="11" t="str">
        <f>VLOOKUP($H89, 'ADP Data'!$B$4:$Q$300, 9, FALSE)</f>
        <v>#N/A</v>
      </c>
      <c r="V89" s="11" t="str">
        <f t="shared" si="5"/>
        <v>#N/A</v>
      </c>
      <c r="W89" s="11" t="str">
        <f t="shared" si="6"/>
        <v>#N/A</v>
      </c>
      <c r="X89" s="11">
        <f>IF(VLOOKUP($H89, SeanRanks!$A$2:$H$303, 7, FALSE)=0, "", VLOOKUP($H89, SeanRanks!$A$2:$H$303, 7, FALSE))</f>
        <v>36</v>
      </c>
    </row>
    <row r="90" ht="14.25" customHeight="1">
      <c r="A90" s="11"/>
      <c r="B90" s="11" t="str">
        <f t="shared" si="1"/>
        <v>#N/A</v>
      </c>
      <c r="C90" s="11" t="s">
        <v>95</v>
      </c>
      <c r="D90" s="11">
        <v>3.0</v>
      </c>
      <c r="E90" s="11">
        <v>2.0</v>
      </c>
      <c r="F90" s="11">
        <f t="shared" si="2"/>
        <v>1</v>
      </c>
      <c r="G90" s="11"/>
      <c r="H90" s="11" t="s">
        <v>552</v>
      </c>
      <c r="I90" s="11" t="str">
        <f>VLOOKUP($H90, 'ADP Data'!$B$4:$Q$300, 2, FALSE)</f>
        <v>#N/A</v>
      </c>
      <c r="J90" s="11" t="s">
        <v>781</v>
      </c>
      <c r="K90" s="11" t="str">
        <f>VLOOKUP($H90, SeanRanks!$A$2:$H$303, 5, FALSE)</f>
        <v/>
      </c>
      <c r="L90" s="11" t="str">
        <f>IF(VLOOKUP($H90, SeanRanks!$A$2:$H$303, 6, FALSE)=0, "", VLOOKUP($H90, SeanRanks!$A$2:$H$303, 6, FALSE))</f>
        <v/>
      </c>
      <c r="M90" s="11">
        <f t="shared" si="3"/>
        <v>16</v>
      </c>
      <c r="N90" s="11" t="str">
        <f>VLOOKUP($H90, 'ADP Data'!$B$4:$Q$300, 10, FALSE)</f>
        <v>#N/A</v>
      </c>
      <c r="O90" s="11" t="str">
        <f>VLOOKUP($H90, 'ADP Data'!$B$4:$Q$300, 4, FALSE)</f>
        <v>#N/A</v>
      </c>
      <c r="P90" s="11" t="str">
        <f t="shared" si="4"/>
        <v>#N/A</v>
      </c>
      <c r="Q90" s="11" t="str">
        <f>VLOOKUP($H90, 'ADP Data'!$B$4:$Q$300, 5, FALSE)</f>
        <v>#N/A</v>
      </c>
      <c r="R90" s="11" t="str">
        <f>VLOOKUP($H90, 'ADP Data'!$B$4:$Q$300, 6, FALSE)</f>
        <v>#N/A</v>
      </c>
      <c r="S90" s="11" t="str">
        <f>VLOOKUP($H90, 'ADP Data'!$B$4:$Q$300, 7, FALSE)</f>
        <v>#N/A</v>
      </c>
      <c r="T90" s="11" t="str">
        <f>VLOOKUP($H90, 'ADP Data'!$B$4:$Q$300, 8, FALSE)</f>
        <v>#N/A</v>
      </c>
      <c r="U90" s="11" t="str">
        <f>VLOOKUP($H90, 'ADP Data'!$B$4:$Q$300, 9, FALSE)</f>
        <v>#N/A</v>
      </c>
      <c r="V90" s="11" t="str">
        <f t="shared" si="5"/>
        <v>#N/A</v>
      </c>
      <c r="W90" s="11" t="str">
        <f t="shared" si="6"/>
        <v>#N/A</v>
      </c>
      <c r="X90" s="11" t="str">
        <f>IF(VLOOKUP($H90, SeanRanks!$A$2:$H$303, 7, FALSE)=0, "", VLOOKUP($H90, SeanRanks!$A$2:$H$303, 7, FALSE))</f>
        <v/>
      </c>
    </row>
    <row r="91" ht="14.25" customHeight="1">
      <c r="A91" s="11"/>
      <c r="B91" s="11" t="str">
        <f t="shared" si="1"/>
        <v>#N/A</v>
      </c>
      <c r="C91" s="11" t="s">
        <v>95</v>
      </c>
      <c r="D91" s="11">
        <v>9.0</v>
      </c>
      <c r="E91" s="11">
        <v>5.0</v>
      </c>
      <c r="F91" s="11">
        <f t="shared" si="2"/>
        <v>4</v>
      </c>
      <c r="G91" s="11"/>
      <c r="H91" s="11" t="s">
        <v>144</v>
      </c>
      <c r="I91" s="11" t="str">
        <f>VLOOKUP($H91, 'ADP Data'!$B$4:$Q$300, 2, FALSE)</f>
        <v>#N/A</v>
      </c>
      <c r="J91" s="11" t="s">
        <v>772</v>
      </c>
      <c r="K91" s="11" t="str">
        <f>VLOOKUP($H91, SeanRanks!$A$2:$H$303, 5, FALSE)</f>
        <v>No</v>
      </c>
      <c r="L91" s="11" t="str">
        <f>IF(VLOOKUP($H91, SeanRanks!$A$2:$H$303, 6, FALSE)=0, "", VLOOKUP($H91, SeanRanks!$A$2:$H$303, 6, FALSE))</f>
        <v>RB4 - 2 - low ceiling</v>
      </c>
      <c r="M91" s="11">
        <f t="shared" si="3"/>
        <v>16</v>
      </c>
      <c r="N91" s="11" t="str">
        <f>VLOOKUP($H91, 'ADP Data'!$B$4:$Q$300, 10, FALSE)</f>
        <v>#N/A</v>
      </c>
      <c r="O91" s="11" t="str">
        <f>VLOOKUP($H91, 'ADP Data'!$B$4:$Q$300, 4, FALSE)</f>
        <v>#N/A</v>
      </c>
      <c r="P91" s="11" t="str">
        <f t="shared" si="4"/>
        <v>#N/A</v>
      </c>
      <c r="Q91" s="11" t="str">
        <f>VLOOKUP($H91, 'ADP Data'!$B$4:$Q$300, 5, FALSE)</f>
        <v>#N/A</v>
      </c>
      <c r="R91" s="11" t="str">
        <f>VLOOKUP($H91, 'ADP Data'!$B$4:$Q$300, 6, FALSE)</f>
        <v>#N/A</v>
      </c>
      <c r="S91" s="11" t="str">
        <f>VLOOKUP($H91, 'ADP Data'!$B$4:$Q$300, 7, FALSE)</f>
        <v>#N/A</v>
      </c>
      <c r="T91" s="11" t="str">
        <f>VLOOKUP($H91, 'ADP Data'!$B$4:$Q$300, 8, FALSE)</f>
        <v>#N/A</v>
      </c>
      <c r="U91" s="11" t="str">
        <f>VLOOKUP($H91, 'ADP Data'!$B$4:$Q$300, 9, FALSE)</f>
        <v>#N/A</v>
      </c>
      <c r="V91" s="11" t="str">
        <f t="shared" si="5"/>
        <v>#N/A</v>
      </c>
      <c r="W91" s="11" t="str">
        <f t="shared" si="6"/>
        <v>#N/A</v>
      </c>
      <c r="X91" s="11">
        <f>IF(VLOOKUP($H91, SeanRanks!$A$2:$H$303, 7, FALSE)=0, "", VLOOKUP($H91, SeanRanks!$A$2:$H$303, 7, FALSE))</f>
        <v>52</v>
      </c>
    </row>
    <row r="92" ht="14.25" customHeight="1">
      <c r="A92" s="11"/>
      <c r="B92" s="11" t="str">
        <f t="shared" si="1"/>
        <v>#N/A</v>
      </c>
      <c r="C92" s="11" t="s">
        <v>95</v>
      </c>
      <c r="D92" s="11">
        <v>1.0</v>
      </c>
      <c r="E92" s="11">
        <v>4.0</v>
      </c>
      <c r="F92" s="11">
        <f t="shared" si="2"/>
        <v>-3</v>
      </c>
      <c r="G92" s="11"/>
      <c r="H92" s="11" t="s">
        <v>670</v>
      </c>
      <c r="I92" s="11" t="str">
        <f>VLOOKUP($H92, 'ADP Data'!$B$4:$Q$300, 2, FALSE)</f>
        <v>#N/A</v>
      </c>
      <c r="J92" s="11" t="s">
        <v>772</v>
      </c>
      <c r="K92" s="11" t="str">
        <f>VLOOKUP($H92, SeanRanks!$A$2:$H$303, 5, FALSE)</f>
        <v>#N/A</v>
      </c>
      <c r="L92" s="11" t="str">
        <f>IF(VLOOKUP($H92, SeanRanks!$A$2:$H$303, 6, FALSE)=0, "", VLOOKUP($H92, SeanRanks!$A$2:$H$303, 6, FALSE))</f>
        <v>#N/A</v>
      </c>
      <c r="M92" s="11">
        <f t="shared" si="3"/>
        <v>16</v>
      </c>
      <c r="N92" s="11" t="str">
        <f>VLOOKUP($H92, 'ADP Data'!$B$4:$Q$300, 10, FALSE)</f>
        <v>#N/A</v>
      </c>
      <c r="O92" s="11" t="str">
        <f>VLOOKUP($H92, 'ADP Data'!$B$4:$Q$300, 4, FALSE)</f>
        <v>#N/A</v>
      </c>
      <c r="P92" s="11" t="str">
        <f t="shared" si="4"/>
        <v>#N/A</v>
      </c>
      <c r="Q92" s="11" t="str">
        <f>VLOOKUP($H92, 'ADP Data'!$B$4:$Q$300, 5, FALSE)</f>
        <v>#N/A</v>
      </c>
      <c r="R92" s="11" t="str">
        <f>VLOOKUP($H92, 'ADP Data'!$B$4:$Q$300, 6, FALSE)</f>
        <v>#N/A</v>
      </c>
      <c r="S92" s="11" t="str">
        <f>VLOOKUP($H92, 'ADP Data'!$B$4:$Q$300, 7, FALSE)</f>
        <v>#N/A</v>
      </c>
      <c r="T92" s="11" t="str">
        <f>VLOOKUP($H92, 'ADP Data'!$B$4:$Q$300, 8, FALSE)</f>
        <v>#N/A</v>
      </c>
      <c r="U92" s="11" t="str">
        <f>VLOOKUP($H92, 'ADP Data'!$B$4:$Q$300, 9, FALSE)</f>
        <v>#N/A</v>
      </c>
      <c r="V92" s="11" t="str">
        <f t="shared" si="5"/>
        <v>#N/A</v>
      </c>
      <c r="W92" s="11" t="str">
        <f t="shared" si="6"/>
        <v>#N/A</v>
      </c>
      <c r="X92" s="11" t="str">
        <f>IF(VLOOKUP($H92, SeanRanks!$A$2:$H$303, 7, FALSE)=0, "", VLOOKUP($H92, SeanRanks!$A$2:$H$303, 7, FALSE))</f>
        <v>#N/A</v>
      </c>
    </row>
    <row r="93" ht="14.25" customHeight="1">
      <c r="A93" s="11"/>
      <c r="B93" s="11" t="str">
        <f t="shared" si="1"/>
        <v>#N/A</v>
      </c>
      <c r="C93" s="11" t="s">
        <v>95</v>
      </c>
      <c r="D93" s="11">
        <v>3.0</v>
      </c>
      <c r="E93" s="11">
        <v>4.0</v>
      </c>
      <c r="F93" s="11">
        <f t="shared" si="2"/>
        <v>-1</v>
      </c>
      <c r="G93" s="11" t="s">
        <v>1123</v>
      </c>
      <c r="H93" s="11" t="s">
        <v>303</v>
      </c>
      <c r="I93" s="58" t="str">
        <f>VLOOKUP($H93, 'ADP Data'!$B$4:$Q$300, 2, FALSE)</f>
        <v>#N/A</v>
      </c>
      <c r="J93" s="11" t="s">
        <v>775</v>
      </c>
      <c r="K93" s="11" t="str">
        <f>VLOOKUP($H93, SeanRanks!$A$2:$H$303, 5, FALSE)</f>
        <v/>
      </c>
      <c r="L93" s="11" t="str">
        <f>IF(VLOOKUP($H93, SeanRanks!$A$2:$H$303, 6, FALSE)=0, "", VLOOKUP($H93, SeanRanks!$A$2:$H$303, 6, FALSE))</f>
        <v>WR3 - 3 - lower ceiling</v>
      </c>
      <c r="M93" s="11">
        <f t="shared" si="3"/>
        <v>16</v>
      </c>
      <c r="N93" s="11" t="str">
        <f>VLOOKUP($H93, 'ADP Data'!$B$4:$Q$300, 10, FALSE)</f>
        <v>#N/A</v>
      </c>
      <c r="O93" s="11" t="str">
        <f>VLOOKUP($H93, 'ADP Data'!$B$4:$Q$300, 4, FALSE)</f>
        <v>#N/A</v>
      </c>
      <c r="P93" s="11" t="str">
        <f t="shared" si="4"/>
        <v>#N/A</v>
      </c>
      <c r="Q93" s="11" t="str">
        <f>VLOOKUP($H93, 'ADP Data'!$B$4:$Q$300, 5, FALSE)</f>
        <v>#N/A</v>
      </c>
      <c r="R93" s="11" t="str">
        <f>VLOOKUP($H93, 'ADP Data'!$B$4:$Q$300, 6, FALSE)</f>
        <v>#N/A</v>
      </c>
      <c r="S93" s="11" t="str">
        <f>VLOOKUP($H93, 'ADP Data'!$B$4:$Q$300, 7, FALSE)</f>
        <v>#N/A</v>
      </c>
      <c r="T93" s="11" t="str">
        <f>VLOOKUP($H93, 'ADP Data'!$B$4:$Q$300, 8, FALSE)</f>
        <v>#N/A</v>
      </c>
      <c r="U93" s="11" t="str">
        <f>VLOOKUP($H93, 'ADP Data'!$B$4:$Q$300, 9, FALSE)</f>
        <v>#N/A</v>
      </c>
      <c r="V93" s="11" t="str">
        <f t="shared" si="5"/>
        <v>#N/A</v>
      </c>
      <c r="W93" s="11" t="str">
        <f t="shared" si="6"/>
        <v>#N/A</v>
      </c>
      <c r="X93" s="11">
        <f>IF(VLOOKUP($H93, SeanRanks!$A$2:$H$303, 7, FALSE)=0, "", VLOOKUP($H93, SeanRanks!$A$2:$H$303, 7, FALSE))</f>
        <v>36</v>
      </c>
    </row>
    <row r="94" ht="14.25" customHeight="1">
      <c r="A94" s="11" t="s">
        <v>1156</v>
      </c>
      <c r="B94" s="11" t="str">
        <f t="shared" si="1"/>
        <v>#N/A</v>
      </c>
      <c r="C94" s="11" t="s">
        <v>95</v>
      </c>
      <c r="D94" s="11">
        <v>6.0</v>
      </c>
      <c r="E94" s="11">
        <v>4.0</v>
      </c>
      <c r="F94" s="11">
        <f t="shared" si="2"/>
        <v>2</v>
      </c>
      <c r="G94" s="11"/>
      <c r="H94" s="11" t="s">
        <v>813</v>
      </c>
      <c r="I94" s="11" t="str">
        <f>VLOOKUP($H94, 'ADP Data'!$B$4:$Q$300, 2, FALSE)</f>
        <v>#N/A</v>
      </c>
      <c r="J94" s="11" t="s">
        <v>775</v>
      </c>
      <c r="K94" s="11" t="str">
        <f>VLOOKUP($H94, SeanRanks!$A$2:$H$303, 5, FALSE)</f>
        <v>#N/A</v>
      </c>
      <c r="L94" s="11" t="str">
        <f>IF(VLOOKUP($H94, SeanRanks!$A$2:$H$303, 6, FALSE)=0, "", VLOOKUP($H94, SeanRanks!$A$2:$H$303, 6, FALSE))</f>
        <v>#N/A</v>
      </c>
      <c r="M94" s="11">
        <f t="shared" si="3"/>
        <v>16</v>
      </c>
      <c r="N94" s="11" t="str">
        <f>VLOOKUP($H94, 'ADP Data'!$B$4:$Q$300, 10, FALSE)</f>
        <v>#N/A</v>
      </c>
      <c r="O94" s="11" t="str">
        <f>VLOOKUP($H94, 'ADP Data'!$B$4:$Q$300, 4, FALSE)</f>
        <v>#N/A</v>
      </c>
      <c r="P94" s="11" t="str">
        <f t="shared" si="4"/>
        <v>#N/A</v>
      </c>
      <c r="Q94" s="11" t="str">
        <f>VLOOKUP($H94, 'ADP Data'!$B$4:$Q$300, 5, FALSE)</f>
        <v>#N/A</v>
      </c>
      <c r="R94" s="11" t="str">
        <f>VLOOKUP($H94, 'ADP Data'!$B$4:$Q$300, 6, FALSE)</f>
        <v>#N/A</v>
      </c>
      <c r="S94" s="11" t="str">
        <f>VLOOKUP($H94, 'ADP Data'!$B$4:$Q$300, 7, FALSE)</f>
        <v>#N/A</v>
      </c>
      <c r="T94" s="11" t="str">
        <f>VLOOKUP($H94, 'ADP Data'!$B$4:$Q$300, 8, FALSE)</f>
        <v>#N/A</v>
      </c>
      <c r="U94" s="11" t="str">
        <f>VLOOKUP($H94, 'ADP Data'!$B$4:$Q$300, 9, FALSE)</f>
        <v>#N/A</v>
      </c>
      <c r="V94" s="11" t="str">
        <f t="shared" si="5"/>
        <v>#N/A</v>
      </c>
      <c r="W94" s="11" t="str">
        <f t="shared" si="6"/>
        <v>#N/A</v>
      </c>
      <c r="X94" s="11" t="str">
        <f>IF(VLOOKUP($H94, SeanRanks!$A$2:$H$303, 7, FALSE)=0, "", VLOOKUP($H94, SeanRanks!$A$2:$H$303, 7, FALSE))</f>
        <v>#N/A</v>
      </c>
    </row>
    <row r="95" ht="14.25" customHeight="1">
      <c r="A95" s="11"/>
      <c r="B95" s="11" t="str">
        <f t="shared" si="1"/>
        <v>#N/A</v>
      </c>
      <c r="C95" s="11" t="s">
        <v>95</v>
      </c>
      <c r="D95" s="11">
        <v>3.0</v>
      </c>
      <c r="E95" s="11">
        <v>2.0</v>
      </c>
      <c r="F95" s="11">
        <f t="shared" si="2"/>
        <v>1</v>
      </c>
      <c r="G95" s="11"/>
      <c r="H95" s="11" t="s">
        <v>666</v>
      </c>
      <c r="I95" s="11" t="str">
        <f>VLOOKUP($H95, 'ADP Data'!$B$4:$Q$300, 2, FALSE)</f>
        <v>#N/A</v>
      </c>
      <c r="J95" s="11" t="s">
        <v>781</v>
      </c>
      <c r="K95" s="11" t="str">
        <f>VLOOKUP($H95, SeanRanks!$A$2:$H$303, 5, FALSE)</f>
        <v>No</v>
      </c>
      <c r="L95" s="11" t="str">
        <f>IF(VLOOKUP($H95, SeanRanks!$A$2:$H$303, 6, FALSE)=0, "", VLOOKUP($H95, SeanRanks!$A$2:$H$303, 6, FALSE))</f>
        <v>TE1 - 3 - Weekly Start</v>
      </c>
      <c r="M95" s="11">
        <f t="shared" si="3"/>
        <v>16</v>
      </c>
      <c r="N95" s="11" t="str">
        <f>VLOOKUP($H95, 'ADP Data'!$B$4:$Q$300, 10, FALSE)</f>
        <v>#N/A</v>
      </c>
      <c r="O95" s="11" t="str">
        <f>VLOOKUP($H95, 'ADP Data'!$B$4:$Q$300, 4, FALSE)</f>
        <v>#N/A</v>
      </c>
      <c r="P95" s="11" t="str">
        <f t="shared" si="4"/>
        <v>#N/A</v>
      </c>
      <c r="Q95" s="11" t="str">
        <f>VLOOKUP($H95, 'ADP Data'!$B$4:$Q$300, 5, FALSE)</f>
        <v>#N/A</v>
      </c>
      <c r="R95" s="11" t="str">
        <f>VLOOKUP($H95, 'ADP Data'!$B$4:$Q$300, 6, FALSE)</f>
        <v>#N/A</v>
      </c>
      <c r="S95" s="11" t="str">
        <f>VLOOKUP($H95, 'ADP Data'!$B$4:$Q$300, 7, FALSE)</f>
        <v>#N/A</v>
      </c>
      <c r="T95" s="11" t="str">
        <f>VLOOKUP($H95, 'ADP Data'!$B$4:$Q$300, 8, FALSE)</f>
        <v>#N/A</v>
      </c>
      <c r="U95" s="11" t="str">
        <f>VLOOKUP($H95, 'ADP Data'!$B$4:$Q$300, 9, FALSE)</f>
        <v>#N/A</v>
      </c>
      <c r="V95" s="11" t="str">
        <f t="shared" si="5"/>
        <v>#N/A</v>
      </c>
      <c r="W95" s="11" t="str">
        <f t="shared" si="6"/>
        <v>#N/A</v>
      </c>
      <c r="X95" s="11">
        <f>IF(VLOOKUP($H95, SeanRanks!$A$2:$H$303, 7, FALSE)=0, "", VLOOKUP($H95, SeanRanks!$A$2:$H$303, 7, FALSE))</f>
        <v>8</v>
      </c>
    </row>
    <row r="96" ht="14.25" customHeight="1">
      <c r="A96" s="11"/>
      <c r="B96" s="11" t="str">
        <f t="shared" si="1"/>
        <v>#N/A</v>
      </c>
      <c r="C96" s="11" t="s">
        <v>95</v>
      </c>
      <c r="D96" s="11">
        <v>1.0</v>
      </c>
      <c r="E96" s="11">
        <v>3.0</v>
      </c>
      <c r="F96" s="11">
        <f t="shared" si="2"/>
        <v>-2</v>
      </c>
      <c r="G96" s="11"/>
      <c r="H96" s="11" t="s">
        <v>891</v>
      </c>
      <c r="I96" s="11" t="str">
        <f>VLOOKUP($H96, 'ADP Data'!$B$4:$Q$300, 2, FALSE)</f>
        <v>#N/A</v>
      </c>
      <c r="J96" s="11" t="s">
        <v>775</v>
      </c>
      <c r="K96" s="11" t="str">
        <f>VLOOKUP($H96, SeanRanks!$A$2:$H$303, 5, FALSE)</f>
        <v>#N/A</v>
      </c>
      <c r="L96" s="11" t="str">
        <f>IF(VLOOKUP($H96, SeanRanks!$A$2:$H$303, 6, FALSE)=0, "", VLOOKUP($H96, SeanRanks!$A$2:$H$303, 6, FALSE))</f>
        <v>#N/A</v>
      </c>
      <c r="M96" s="11">
        <f t="shared" si="3"/>
        <v>16</v>
      </c>
      <c r="N96" s="11" t="str">
        <f>VLOOKUP($H96, 'ADP Data'!$B$4:$Q$300, 10, FALSE)</f>
        <v>#N/A</v>
      </c>
      <c r="O96" s="11" t="str">
        <f>VLOOKUP($H96, 'ADP Data'!$B$4:$Q$300, 4, FALSE)</f>
        <v>#N/A</v>
      </c>
      <c r="P96" s="11" t="str">
        <f t="shared" si="4"/>
        <v>#N/A</v>
      </c>
      <c r="Q96" s="11" t="str">
        <f>VLOOKUP($H96, 'ADP Data'!$B$4:$Q$300, 5, FALSE)</f>
        <v>#N/A</v>
      </c>
      <c r="R96" s="11" t="str">
        <f>VLOOKUP($H96, 'ADP Data'!$B$4:$Q$300, 6, FALSE)</f>
        <v>#N/A</v>
      </c>
      <c r="S96" s="11" t="str">
        <f>VLOOKUP($H96, 'ADP Data'!$B$4:$Q$300, 7, FALSE)</f>
        <v>#N/A</v>
      </c>
      <c r="T96" s="11" t="str">
        <f>VLOOKUP($H96, 'ADP Data'!$B$4:$Q$300, 8, FALSE)</f>
        <v>#N/A</v>
      </c>
      <c r="U96" s="11" t="str">
        <f>VLOOKUP($H96, 'ADP Data'!$B$4:$Q$300, 9, FALSE)</f>
        <v>#N/A</v>
      </c>
      <c r="V96" s="11" t="str">
        <f t="shared" si="5"/>
        <v>#N/A</v>
      </c>
      <c r="W96" s="11" t="str">
        <f t="shared" si="6"/>
        <v>#N/A</v>
      </c>
      <c r="X96" s="11" t="str">
        <f>IF(VLOOKUP($H96, SeanRanks!$A$2:$H$303, 7, FALSE)=0, "", VLOOKUP($H96, SeanRanks!$A$2:$H$303, 7, FALSE))</f>
        <v>#N/A</v>
      </c>
    </row>
    <row r="97" ht="14.25" customHeight="1">
      <c r="A97" s="11"/>
      <c r="B97" s="11" t="str">
        <f t="shared" si="1"/>
        <v>#N/A</v>
      </c>
      <c r="C97" s="11" t="s">
        <v>95</v>
      </c>
      <c r="D97" s="11">
        <v>10.0</v>
      </c>
      <c r="E97" s="11">
        <v>4.0</v>
      </c>
      <c r="F97" s="11">
        <f t="shared" si="2"/>
        <v>6</v>
      </c>
      <c r="G97" s="11"/>
      <c r="H97" s="11" t="s">
        <v>1128</v>
      </c>
      <c r="I97" s="57" t="str">
        <f>VLOOKUP($H97, 'ADP Data'!$B$4:$Q$300, 2, FALSE)</f>
        <v>#N/A</v>
      </c>
      <c r="J97" s="11" t="s">
        <v>772</v>
      </c>
      <c r="K97" s="11" t="str">
        <f>VLOOKUP($H97, SeanRanks!$A$2:$H$303, 5, FALSE)</f>
        <v>#N/A</v>
      </c>
      <c r="L97" s="11" t="str">
        <f>IF(VLOOKUP($H97, SeanRanks!$A$2:$H$303, 6, FALSE)=0, "", VLOOKUP($H97, SeanRanks!$A$2:$H$303, 6, FALSE))</f>
        <v>#N/A</v>
      </c>
      <c r="M97" s="11">
        <f t="shared" si="3"/>
        <v>16</v>
      </c>
      <c r="N97" s="11" t="str">
        <f>VLOOKUP($H97, 'ADP Data'!$B$4:$Q$300, 10, FALSE)</f>
        <v>#N/A</v>
      </c>
      <c r="O97" s="11" t="str">
        <f>VLOOKUP($H97, 'ADP Data'!$B$4:$Q$300, 4, FALSE)</f>
        <v>#N/A</v>
      </c>
      <c r="P97" s="11" t="str">
        <f t="shared" si="4"/>
        <v>#N/A</v>
      </c>
      <c r="Q97" s="11" t="str">
        <f>VLOOKUP($H97, 'ADP Data'!$B$4:$Q$300, 5, FALSE)</f>
        <v>#N/A</v>
      </c>
      <c r="R97" s="11" t="str">
        <f>VLOOKUP($H97, 'ADP Data'!$B$4:$Q$300, 6, FALSE)</f>
        <v>#N/A</v>
      </c>
      <c r="S97" s="11" t="str">
        <f>VLOOKUP($H97, 'ADP Data'!$B$4:$Q$300, 7, FALSE)</f>
        <v>#N/A</v>
      </c>
      <c r="T97" s="11" t="str">
        <f>VLOOKUP($H97, 'ADP Data'!$B$4:$Q$300, 8, FALSE)</f>
        <v>#N/A</v>
      </c>
      <c r="U97" s="11" t="str">
        <f>VLOOKUP($H97, 'ADP Data'!$B$4:$Q$300, 9, FALSE)</f>
        <v>#N/A</v>
      </c>
      <c r="V97" s="11" t="str">
        <f t="shared" si="5"/>
        <v>#N/A</v>
      </c>
      <c r="W97" s="11" t="str">
        <f t="shared" si="6"/>
        <v>#N/A</v>
      </c>
      <c r="X97" s="11" t="str">
        <f>IF(VLOOKUP($H97, SeanRanks!$A$2:$H$303, 7, FALSE)=0, "", VLOOKUP($H97, SeanRanks!$A$2:$H$303, 7, FALSE))</f>
        <v>#N/A</v>
      </c>
    </row>
    <row r="98" ht="14.25" customHeight="1">
      <c r="A98" s="11"/>
      <c r="B98" s="11" t="str">
        <f t="shared" si="1"/>
        <v>#N/A</v>
      </c>
      <c r="C98" s="11" t="s">
        <v>106</v>
      </c>
      <c r="D98" s="11"/>
      <c r="E98" s="11">
        <v>4.0</v>
      </c>
      <c r="F98" s="11">
        <f t="shared" si="2"/>
        <v>-4</v>
      </c>
      <c r="G98" s="11" t="s">
        <v>1122</v>
      </c>
      <c r="H98" s="11" t="s">
        <v>639</v>
      </c>
      <c r="I98" s="11" t="str">
        <f>VLOOKUP($H98, 'ADP Data'!$B$4:$Q$300, 2, FALSE)</f>
        <v>#N/A</v>
      </c>
      <c r="J98" s="11" t="s">
        <v>770</v>
      </c>
      <c r="K98" s="11" t="str">
        <f>VLOOKUP($H98, SeanRanks!$A$2:$H$303, 5, FALSE)</f>
        <v/>
      </c>
      <c r="L98" s="11" t="str">
        <f>IF(VLOOKUP($H98, SeanRanks!$A$2:$H$303, 6, FALSE)=0, "", VLOOKUP($H98, SeanRanks!$A$2:$H$303, 6, FALSE))</f>
        <v>Don’t Draft - Streamer</v>
      </c>
      <c r="M98" s="11">
        <f t="shared" si="3"/>
        <v>16</v>
      </c>
      <c r="N98" s="11" t="str">
        <f>VLOOKUP($H98, 'ADP Data'!$B$4:$Q$300, 10, FALSE)</f>
        <v>#N/A</v>
      </c>
      <c r="O98" s="11" t="str">
        <f>VLOOKUP($H98, 'ADP Data'!$B$4:$Q$300, 4, FALSE)</f>
        <v>#N/A</v>
      </c>
      <c r="P98" s="11" t="str">
        <f t="shared" si="4"/>
        <v>#N/A</v>
      </c>
      <c r="Q98" s="11" t="str">
        <f>VLOOKUP($H98, 'ADP Data'!$B$4:$Q$300, 5, FALSE)</f>
        <v>#N/A</v>
      </c>
      <c r="R98" s="11" t="str">
        <f>VLOOKUP($H98, 'ADP Data'!$B$4:$Q$300, 6, FALSE)</f>
        <v>#N/A</v>
      </c>
      <c r="S98" s="11" t="str">
        <f>VLOOKUP($H98, 'ADP Data'!$B$4:$Q$300, 7, FALSE)</f>
        <v>#N/A</v>
      </c>
      <c r="T98" s="11" t="str">
        <f>VLOOKUP($H98, 'ADP Data'!$B$4:$Q$300, 8, FALSE)</f>
        <v>#N/A</v>
      </c>
      <c r="U98" s="11" t="str">
        <f>VLOOKUP($H98, 'ADP Data'!$B$4:$Q$300, 9, FALSE)</f>
        <v>#N/A</v>
      </c>
      <c r="V98" s="11" t="str">
        <f t="shared" si="5"/>
        <v>#N/A</v>
      </c>
      <c r="W98" s="11" t="str">
        <f t="shared" si="6"/>
        <v>#N/A</v>
      </c>
      <c r="X98" s="11">
        <f>IF(VLOOKUP($H98, SeanRanks!$A$2:$H$303, 7, FALSE)=0, "", VLOOKUP($H98, SeanRanks!$A$2:$H$303, 7, FALSE))</f>
        <v>20</v>
      </c>
    </row>
    <row r="99" ht="14.25" customHeight="1">
      <c r="A99" s="11" t="s">
        <v>1156</v>
      </c>
      <c r="B99" s="11" t="str">
        <f t="shared" si="1"/>
        <v>#N/A</v>
      </c>
      <c r="C99" s="11" t="s">
        <v>95</v>
      </c>
      <c r="D99" s="11">
        <v>2.0</v>
      </c>
      <c r="E99" s="11">
        <v>2.0</v>
      </c>
      <c r="F99" s="11">
        <f t="shared" si="2"/>
        <v>0</v>
      </c>
      <c r="G99" s="11"/>
      <c r="H99" s="11" t="s">
        <v>578</v>
      </c>
      <c r="I99" s="11" t="str">
        <f>VLOOKUP($H99, 'ADP Data'!$B$4:$Q$300, 2, FALSE)</f>
        <v>#N/A</v>
      </c>
      <c r="J99" s="11" t="s">
        <v>781</v>
      </c>
      <c r="K99" s="11" t="str">
        <f>VLOOKUP($H99, SeanRanks!$A$2:$H$303, 5, FALSE)</f>
        <v/>
      </c>
      <c r="L99" s="11" t="str">
        <f>IF(VLOOKUP($H99, SeanRanks!$A$2:$H$303, 6, FALSE)=0, "", VLOOKUP($H99, SeanRanks!$A$2:$H$303, 6, FALSE))</f>
        <v>TE1 - 3 - Weekly Start</v>
      </c>
      <c r="M99" s="11">
        <f t="shared" si="3"/>
        <v>16</v>
      </c>
      <c r="N99" s="11" t="str">
        <f>VLOOKUP($H99, 'ADP Data'!$B$4:$Q$300, 10, FALSE)</f>
        <v>#N/A</v>
      </c>
      <c r="O99" s="11" t="str">
        <f>VLOOKUP($H99, 'ADP Data'!$B$4:$Q$300, 4, FALSE)</f>
        <v>#N/A</v>
      </c>
      <c r="P99" s="11" t="str">
        <f t="shared" si="4"/>
        <v>#N/A</v>
      </c>
      <c r="Q99" s="11" t="str">
        <f>VLOOKUP($H99, 'ADP Data'!$B$4:$Q$300, 5, FALSE)</f>
        <v>#N/A</v>
      </c>
      <c r="R99" s="11" t="str">
        <f>VLOOKUP($H99, 'ADP Data'!$B$4:$Q$300, 6, FALSE)</f>
        <v>#N/A</v>
      </c>
      <c r="S99" s="11" t="str">
        <f>VLOOKUP($H99, 'ADP Data'!$B$4:$Q$300, 7, FALSE)</f>
        <v>#N/A</v>
      </c>
      <c r="T99" s="11" t="str">
        <f>VLOOKUP($H99, 'ADP Data'!$B$4:$Q$300, 8, FALSE)</f>
        <v>#N/A</v>
      </c>
      <c r="U99" s="11" t="str">
        <f>VLOOKUP($H99, 'ADP Data'!$B$4:$Q$300, 9, FALSE)</f>
        <v>#N/A</v>
      </c>
      <c r="V99" s="11" t="str">
        <f t="shared" si="5"/>
        <v>#N/A</v>
      </c>
      <c r="W99" s="11" t="str">
        <f t="shared" si="6"/>
        <v>#N/A</v>
      </c>
      <c r="X99" s="11">
        <f>IF(VLOOKUP($H99, SeanRanks!$A$2:$H$303, 7, FALSE)=0, "", VLOOKUP($H99, SeanRanks!$A$2:$H$303, 7, FALSE))</f>
        <v>10</v>
      </c>
    </row>
    <row r="100" ht="14.25" customHeight="1">
      <c r="A100" s="11" t="s">
        <v>1156</v>
      </c>
      <c r="B100" s="11" t="str">
        <f t="shared" si="1"/>
        <v>#N/A</v>
      </c>
      <c r="C100" s="11" t="s">
        <v>95</v>
      </c>
      <c r="D100" s="11">
        <v>2.0</v>
      </c>
      <c r="E100" s="11">
        <v>2.0</v>
      </c>
      <c r="F100" s="11">
        <f t="shared" si="2"/>
        <v>0</v>
      </c>
      <c r="G100" s="58" t="s">
        <v>106</v>
      </c>
      <c r="H100" s="11" t="s">
        <v>150</v>
      </c>
      <c r="I100" s="11" t="str">
        <f>VLOOKUP($H100, 'ADP Data'!$B$4:$Q$300, 2, FALSE)</f>
        <v>#N/A</v>
      </c>
      <c r="J100" s="11" t="s">
        <v>775</v>
      </c>
      <c r="K100" s="11" t="str">
        <f>VLOOKUP($H100, SeanRanks!$A$2:$H$303, 5, FALSE)</f>
        <v/>
      </c>
      <c r="L100" s="11" t="str">
        <f>IF(VLOOKUP($H100, SeanRanks!$A$2:$H$303, 6, FALSE)=0, "", VLOOKUP($H100, SeanRanks!$A$2:$H$303, 6, FALSE))</f>
        <v>WR3 - 1 - </v>
      </c>
      <c r="M100" s="11">
        <f t="shared" si="3"/>
        <v>16</v>
      </c>
      <c r="N100" s="11" t="str">
        <f>VLOOKUP($H100, 'ADP Data'!$B$4:$Q$300, 10, FALSE)</f>
        <v>#N/A</v>
      </c>
      <c r="O100" s="11" t="str">
        <f>VLOOKUP($H100, 'ADP Data'!$B$4:$Q$300, 4, FALSE)</f>
        <v>#N/A</v>
      </c>
      <c r="P100" s="11" t="str">
        <f t="shared" si="4"/>
        <v>#N/A</v>
      </c>
      <c r="Q100" s="11" t="str">
        <f>VLOOKUP($H100, 'ADP Data'!$B$4:$Q$300, 5, FALSE)</f>
        <v>#N/A</v>
      </c>
      <c r="R100" s="11" t="str">
        <f>VLOOKUP($H100, 'ADP Data'!$B$4:$Q$300, 6, FALSE)</f>
        <v>#N/A</v>
      </c>
      <c r="S100" s="11" t="str">
        <f>VLOOKUP($H100, 'ADP Data'!$B$4:$Q$300, 7, FALSE)</f>
        <v>#N/A</v>
      </c>
      <c r="T100" s="11" t="str">
        <f>VLOOKUP($H100, 'ADP Data'!$B$4:$Q$300, 8, FALSE)</f>
        <v>#N/A</v>
      </c>
      <c r="U100" s="11" t="str">
        <f>VLOOKUP($H100, 'ADP Data'!$B$4:$Q$300, 9, FALSE)</f>
        <v>#N/A</v>
      </c>
      <c r="V100" s="11" t="str">
        <f t="shared" si="5"/>
        <v>#N/A</v>
      </c>
      <c r="W100" s="11" t="str">
        <f t="shared" si="6"/>
        <v>#N/A</v>
      </c>
      <c r="X100" s="11">
        <f>IF(VLOOKUP($H100, SeanRanks!$A$2:$H$303, 7, FALSE)=0, "", VLOOKUP($H100, SeanRanks!$A$2:$H$303, 7, FALSE))</f>
        <v>27</v>
      </c>
    </row>
    <row r="101" ht="14.25" customHeight="1">
      <c r="A101" s="11" t="s">
        <v>1156</v>
      </c>
      <c r="B101" s="11" t="str">
        <f t="shared" si="1"/>
        <v>#N/A</v>
      </c>
      <c r="C101" s="11" t="s">
        <v>95</v>
      </c>
      <c r="D101" s="11">
        <v>3.0</v>
      </c>
      <c r="E101" s="11">
        <v>3.0</v>
      </c>
      <c r="F101" s="11">
        <f t="shared" si="2"/>
        <v>0</v>
      </c>
      <c r="G101" s="52" t="s">
        <v>106</v>
      </c>
      <c r="H101" s="11" t="s">
        <v>391</v>
      </c>
      <c r="I101" s="11" t="str">
        <f>VLOOKUP($H101, 'ADP Data'!$B$4:$Q$300, 2, FALSE)</f>
        <v>#N/A</v>
      </c>
      <c r="J101" s="11" t="s">
        <v>772</v>
      </c>
      <c r="K101" s="11" t="str">
        <f>VLOOKUP($H101, SeanRanks!$A$2:$H$303, 5, FALSE)</f>
        <v/>
      </c>
      <c r="L101" s="11" t="str">
        <f>IF(VLOOKUP($H101, SeanRanks!$A$2:$H$303, 6, FALSE)=0, "", VLOOKUP($H101, SeanRanks!$A$2:$H$303, 6, FALSE))</f>
        <v>RB3 - 1 - Upside</v>
      </c>
      <c r="M101" s="11">
        <f t="shared" si="3"/>
        <v>16</v>
      </c>
      <c r="N101" s="11" t="str">
        <f>VLOOKUP($H101, 'ADP Data'!$B$4:$Q$300, 10, FALSE)</f>
        <v>#N/A</v>
      </c>
      <c r="O101" s="11" t="str">
        <f>VLOOKUP($H101, 'ADP Data'!$B$4:$Q$300, 4, FALSE)</f>
        <v>#N/A</v>
      </c>
      <c r="P101" s="11" t="str">
        <f t="shared" si="4"/>
        <v>#N/A</v>
      </c>
      <c r="Q101" s="11" t="str">
        <f>VLOOKUP($H101, 'ADP Data'!$B$4:$Q$300, 5, FALSE)</f>
        <v>#N/A</v>
      </c>
      <c r="R101" s="11" t="str">
        <f>VLOOKUP($H101, 'ADP Data'!$B$4:$Q$300, 6, FALSE)</f>
        <v>#N/A</v>
      </c>
      <c r="S101" s="11" t="str">
        <f>VLOOKUP($H101, 'ADP Data'!$B$4:$Q$300, 7, FALSE)</f>
        <v>#N/A</v>
      </c>
      <c r="T101" s="11" t="str">
        <f>VLOOKUP($H101, 'ADP Data'!$B$4:$Q$300, 8, FALSE)</f>
        <v>#N/A</v>
      </c>
      <c r="U101" s="11" t="str">
        <f>VLOOKUP($H101, 'ADP Data'!$B$4:$Q$300, 9, FALSE)</f>
        <v>#N/A</v>
      </c>
      <c r="V101" s="11" t="str">
        <f t="shared" si="5"/>
        <v>#N/A</v>
      </c>
      <c r="W101" s="11" t="str">
        <f t="shared" si="6"/>
        <v>#N/A</v>
      </c>
      <c r="X101" s="11">
        <f>IF(VLOOKUP($H101, SeanRanks!$A$2:$H$303, 7, FALSE)=0, "", VLOOKUP($H101, SeanRanks!$A$2:$H$303, 7, FALSE))</f>
        <v>31</v>
      </c>
    </row>
    <row r="102" ht="14.25" customHeight="1">
      <c r="A102" s="11"/>
      <c r="B102" s="11" t="str">
        <f t="shared" si="1"/>
        <v>#N/A</v>
      </c>
      <c r="C102" s="11" t="s">
        <v>95</v>
      </c>
      <c r="D102" s="11">
        <v>1.0</v>
      </c>
      <c r="E102" s="11">
        <v>1.0</v>
      </c>
      <c r="F102" s="11">
        <f t="shared" si="2"/>
        <v>0</v>
      </c>
      <c r="G102" s="11"/>
      <c r="H102" s="11" t="s">
        <v>1229</v>
      </c>
      <c r="I102" s="11" t="str">
        <f>VLOOKUP($H102, 'ADP Data'!$B$4:$Q$300, 2, FALSE)</f>
        <v>#N/A</v>
      </c>
      <c r="J102" s="11" t="s">
        <v>772</v>
      </c>
      <c r="K102" s="11" t="str">
        <f>VLOOKUP($H102, SeanRanks!$A$2:$H$303, 5, FALSE)</f>
        <v>#N/A</v>
      </c>
      <c r="L102" s="11" t="str">
        <f>IF(VLOOKUP($H102, SeanRanks!$A$2:$H$303, 6, FALSE)=0, "", VLOOKUP($H102, SeanRanks!$A$2:$H$303, 6, FALSE))</f>
        <v>#N/A</v>
      </c>
      <c r="M102" s="11">
        <f t="shared" si="3"/>
        <v>16</v>
      </c>
      <c r="N102" s="11" t="str">
        <f>VLOOKUP($H102, 'ADP Data'!$B$4:$Q$300, 10, FALSE)</f>
        <v>#N/A</v>
      </c>
      <c r="O102" s="11" t="str">
        <f>VLOOKUP($H102, 'ADP Data'!$B$4:$Q$300, 4, FALSE)</f>
        <v>#N/A</v>
      </c>
      <c r="P102" s="11" t="str">
        <f t="shared" si="4"/>
        <v>#N/A</v>
      </c>
      <c r="Q102" s="11" t="str">
        <f>VLOOKUP($H102, 'ADP Data'!$B$4:$Q$300, 5, FALSE)</f>
        <v>#N/A</v>
      </c>
      <c r="R102" s="11" t="str">
        <f>VLOOKUP($H102, 'ADP Data'!$B$4:$Q$300, 6, FALSE)</f>
        <v>#N/A</v>
      </c>
      <c r="S102" s="11" t="str">
        <f>VLOOKUP($H102, 'ADP Data'!$B$4:$Q$300, 7, FALSE)</f>
        <v>#N/A</v>
      </c>
      <c r="T102" s="11" t="str">
        <f>VLOOKUP($H102, 'ADP Data'!$B$4:$Q$300, 8, FALSE)</f>
        <v>#N/A</v>
      </c>
      <c r="U102" s="11" t="str">
        <f>VLOOKUP($H102, 'ADP Data'!$B$4:$Q$300, 9, FALSE)</f>
        <v>#N/A</v>
      </c>
      <c r="V102" s="11" t="str">
        <f t="shared" si="5"/>
        <v>#N/A</v>
      </c>
      <c r="W102" s="11" t="str">
        <f t="shared" si="6"/>
        <v>#N/A</v>
      </c>
      <c r="X102" s="11" t="str">
        <f>IF(VLOOKUP($H102, SeanRanks!$A$2:$H$303, 7, FALSE)=0, "", VLOOKUP($H102, SeanRanks!$A$2:$H$303, 7, FALSE))</f>
        <v>#N/A</v>
      </c>
    </row>
    <row r="103" ht="14.25" customHeight="1">
      <c r="A103" s="11"/>
      <c r="B103" s="11" t="str">
        <f t="shared" si="1"/>
        <v>#N/A</v>
      </c>
      <c r="C103" s="11" t="s">
        <v>95</v>
      </c>
      <c r="D103" s="11">
        <v>6.0</v>
      </c>
      <c r="E103" s="11">
        <v>1.0</v>
      </c>
      <c r="F103" s="11">
        <f t="shared" si="2"/>
        <v>5</v>
      </c>
      <c r="G103" s="11"/>
      <c r="H103" s="11" t="s">
        <v>121</v>
      </c>
      <c r="I103" s="11" t="str">
        <f>VLOOKUP($H103, 'ADP Data'!$B$4:$Q$300, 2, FALSE)</f>
        <v>#N/A</v>
      </c>
      <c r="J103" s="11" t="s">
        <v>775</v>
      </c>
      <c r="K103" s="11" t="str">
        <f>VLOOKUP($H103, SeanRanks!$A$2:$H$303, 5, FALSE)</f>
        <v>Yes</v>
      </c>
      <c r="L103" s="11" t="str">
        <f>IF(VLOOKUP($H103, SeanRanks!$A$2:$H$303, 6, FALSE)=0, "", VLOOKUP($H103, SeanRanks!$A$2:$H$303, 6, FALSE))</f>
        <v>WR2 - 2 - Upside with risk</v>
      </c>
      <c r="M103" s="11">
        <f t="shared" si="3"/>
        <v>16</v>
      </c>
      <c r="N103" s="11" t="str">
        <f>VLOOKUP($H103, 'ADP Data'!$B$4:$Q$300, 10, FALSE)</f>
        <v>#N/A</v>
      </c>
      <c r="O103" s="11" t="str">
        <f>VLOOKUP($H103, 'ADP Data'!$B$4:$Q$300, 4, FALSE)</f>
        <v>#N/A</v>
      </c>
      <c r="P103" s="11" t="str">
        <f t="shared" si="4"/>
        <v>#N/A</v>
      </c>
      <c r="Q103" s="11" t="str">
        <f>VLOOKUP($H103, 'ADP Data'!$B$4:$Q$300, 5, FALSE)</f>
        <v>#N/A</v>
      </c>
      <c r="R103" s="11" t="str">
        <f>VLOOKUP($H103, 'ADP Data'!$B$4:$Q$300, 6, FALSE)</f>
        <v>#N/A</v>
      </c>
      <c r="S103" s="11" t="str">
        <f>VLOOKUP($H103, 'ADP Data'!$B$4:$Q$300, 7, FALSE)</f>
        <v>#N/A</v>
      </c>
      <c r="T103" s="11" t="str">
        <f>VLOOKUP($H103, 'ADP Data'!$B$4:$Q$300, 8, FALSE)</f>
        <v>#N/A</v>
      </c>
      <c r="U103" s="11" t="str">
        <f>VLOOKUP($H103, 'ADP Data'!$B$4:$Q$300, 9, FALSE)</f>
        <v>#N/A</v>
      </c>
      <c r="V103" s="11" t="str">
        <f t="shared" si="5"/>
        <v>#N/A</v>
      </c>
      <c r="W103" s="11" t="str">
        <f t="shared" si="6"/>
        <v>#N/A</v>
      </c>
      <c r="X103" s="11">
        <f>IF(VLOOKUP($H103, SeanRanks!$A$2:$H$303, 7, FALSE)=0, "", VLOOKUP($H103, SeanRanks!$A$2:$H$303, 7, FALSE))</f>
        <v>21</v>
      </c>
    </row>
    <row r="104" ht="14.25" customHeight="1">
      <c r="A104" s="11"/>
      <c r="B104" s="11" t="str">
        <f t="shared" si="1"/>
        <v>#N/A</v>
      </c>
      <c r="C104" s="11" t="s">
        <v>95</v>
      </c>
      <c r="D104" s="11">
        <v>8.0</v>
      </c>
      <c r="E104" s="11">
        <v>1.0</v>
      </c>
      <c r="F104" s="11">
        <f t="shared" si="2"/>
        <v>7</v>
      </c>
      <c r="G104" s="11"/>
      <c r="H104" s="11" t="s">
        <v>181</v>
      </c>
      <c r="I104" s="11" t="str">
        <f>VLOOKUP($H104, 'ADP Data'!$B$4:$Q$300, 2, FALSE)</f>
        <v>#N/A</v>
      </c>
      <c r="J104" s="11" t="s">
        <v>772</v>
      </c>
      <c r="K104" s="11" t="str">
        <f>VLOOKUP($H104, SeanRanks!$A$2:$H$303, 5, FALSE)</f>
        <v>No</v>
      </c>
      <c r="L104" s="11" t="str">
        <f>IF(VLOOKUP($H104, SeanRanks!$A$2:$H$303, 6, FALSE)=0, "", VLOOKUP($H104, SeanRanks!$A$2:$H$303, 6, FALSE))</f>
        <v>RB2 - 2 - Path to spikes</v>
      </c>
      <c r="M104" s="11">
        <f t="shared" si="3"/>
        <v>16</v>
      </c>
      <c r="N104" s="11" t="str">
        <f>VLOOKUP($H104, 'ADP Data'!$B$4:$Q$300, 10, FALSE)</f>
        <v>#N/A</v>
      </c>
      <c r="O104" s="11" t="str">
        <f>VLOOKUP($H104, 'ADP Data'!$B$4:$Q$300, 4, FALSE)</f>
        <v>#N/A</v>
      </c>
      <c r="P104" s="11" t="str">
        <f t="shared" si="4"/>
        <v>#N/A</v>
      </c>
      <c r="Q104" s="11" t="str">
        <f>VLOOKUP($H104, 'ADP Data'!$B$4:$Q$300, 5, FALSE)</f>
        <v>#N/A</v>
      </c>
      <c r="R104" s="11" t="str">
        <f>VLOOKUP($H104, 'ADP Data'!$B$4:$Q$300, 6, FALSE)</f>
        <v>#N/A</v>
      </c>
      <c r="S104" s="11" t="str">
        <f>VLOOKUP($H104, 'ADP Data'!$B$4:$Q$300, 7, FALSE)</f>
        <v>#N/A</v>
      </c>
      <c r="T104" s="11" t="str">
        <f>VLOOKUP($H104, 'ADP Data'!$B$4:$Q$300, 8, FALSE)</f>
        <v>#N/A</v>
      </c>
      <c r="U104" s="11" t="str">
        <f>VLOOKUP($H104, 'ADP Data'!$B$4:$Q$300, 9, FALSE)</f>
        <v>#N/A</v>
      </c>
      <c r="V104" s="11" t="str">
        <f t="shared" si="5"/>
        <v>#N/A</v>
      </c>
      <c r="W104" s="11" t="str">
        <f t="shared" si="6"/>
        <v>#N/A</v>
      </c>
      <c r="X104" s="11">
        <f>IF(VLOOKUP($H104, SeanRanks!$A$2:$H$303, 7, FALSE)=0, "", VLOOKUP($H104, SeanRanks!$A$2:$H$303, 7, FALSE))</f>
        <v>26</v>
      </c>
    </row>
    <row r="105" ht="14.25" customHeight="1">
      <c r="A105" s="11"/>
      <c r="B105" s="11" t="str">
        <f t="shared" si="1"/>
        <v>#N/A</v>
      </c>
      <c r="C105" s="11" t="s">
        <v>95</v>
      </c>
      <c r="D105" s="11">
        <v>1.0</v>
      </c>
      <c r="E105" s="11">
        <v>4.0</v>
      </c>
      <c r="F105" s="11">
        <f t="shared" si="2"/>
        <v>-3</v>
      </c>
      <c r="G105" s="11"/>
      <c r="H105" s="11" t="s">
        <v>259</v>
      </c>
      <c r="I105" s="11" t="str">
        <f>VLOOKUP($H105, 'ADP Data'!$B$4:$Q$300, 2, FALSE)</f>
        <v>#N/A</v>
      </c>
      <c r="J105" s="11" t="s">
        <v>770</v>
      </c>
      <c r="K105" s="11" t="str">
        <f>VLOOKUP($H105, SeanRanks!$A$2:$H$303, 5, FALSE)</f>
        <v/>
      </c>
      <c r="L105" s="11" t="str">
        <f>IF(VLOOKUP($H105, SeanRanks!$A$2:$H$303, 6, FALSE)=0, "", VLOOKUP($H105, SeanRanks!$A$2:$H$303, 6, FALSE))</f>
        <v>QB1 - 4 - Weekly Start</v>
      </c>
      <c r="M105" s="11">
        <f t="shared" si="3"/>
        <v>16</v>
      </c>
      <c r="N105" s="11" t="str">
        <f>VLOOKUP($H105, 'ADP Data'!$B$4:$Q$300, 10, FALSE)</f>
        <v>#N/A</v>
      </c>
      <c r="O105" s="11" t="str">
        <f>VLOOKUP($H105, 'ADP Data'!$B$4:$Q$300, 4, FALSE)</f>
        <v>#N/A</v>
      </c>
      <c r="P105" s="11" t="str">
        <f t="shared" si="4"/>
        <v>#N/A</v>
      </c>
      <c r="Q105" s="11" t="str">
        <f>VLOOKUP($H105, 'ADP Data'!$B$4:$Q$300, 5, FALSE)</f>
        <v>#N/A</v>
      </c>
      <c r="R105" s="11" t="str">
        <f>VLOOKUP($H105, 'ADP Data'!$B$4:$Q$300, 6, FALSE)</f>
        <v>#N/A</v>
      </c>
      <c r="S105" s="11" t="str">
        <f>VLOOKUP($H105, 'ADP Data'!$B$4:$Q$300, 7, FALSE)</f>
        <v>#N/A</v>
      </c>
      <c r="T105" s="11" t="str">
        <f>VLOOKUP($H105, 'ADP Data'!$B$4:$Q$300, 8, FALSE)</f>
        <v>#N/A</v>
      </c>
      <c r="U105" s="11" t="str">
        <f>VLOOKUP($H105, 'ADP Data'!$B$4:$Q$300, 9, FALSE)</f>
        <v>#N/A</v>
      </c>
      <c r="V105" s="11" t="str">
        <f t="shared" si="5"/>
        <v>#N/A</v>
      </c>
      <c r="W105" s="11" t="str">
        <f t="shared" si="6"/>
        <v>#N/A</v>
      </c>
      <c r="X105" s="11">
        <f>IF(VLOOKUP($H105, SeanRanks!$A$2:$H$303, 7, FALSE)=0, "", VLOOKUP($H105, SeanRanks!$A$2:$H$303, 7, FALSE))</f>
        <v>11</v>
      </c>
    </row>
    <row r="106" ht="14.25" customHeight="1">
      <c r="A106" s="11"/>
      <c r="B106" s="11" t="str">
        <f t="shared" si="1"/>
        <v>#N/A</v>
      </c>
      <c r="C106" s="11" t="s">
        <v>95</v>
      </c>
      <c r="D106" s="11">
        <v>1.0</v>
      </c>
      <c r="E106" s="11">
        <v>5.0</v>
      </c>
      <c r="F106" s="11">
        <f t="shared" si="2"/>
        <v>-4</v>
      </c>
      <c r="G106" s="11" t="s">
        <v>1122</v>
      </c>
      <c r="H106" s="11" t="s">
        <v>798</v>
      </c>
      <c r="I106" s="93" t="str">
        <f>VLOOKUP($H106, 'ADP Data'!$B$4:$Q$300, 2, FALSE)</f>
        <v>#N/A</v>
      </c>
      <c r="J106" s="11" t="s">
        <v>770</v>
      </c>
      <c r="K106" s="11" t="str">
        <f>VLOOKUP($H106, SeanRanks!$A$2:$H$303, 5, FALSE)</f>
        <v/>
      </c>
      <c r="L106" s="11" t="str">
        <f>IF(VLOOKUP($H106, SeanRanks!$A$2:$H$303, 6, FALSE)=0, "", VLOOKUP($H106, SeanRanks!$A$2:$H$303, 6, FALSE))</f>
        <v>QB3 - League Winner?</v>
      </c>
      <c r="M106" s="11">
        <f t="shared" si="3"/>
        <v>16</v>
      </c>
      <c r="N106" s="11" t="str">
        <f>VLOOKUP($H106, 'ADP Data'!$B$4:$Q$300, 10, FALSE)</f>
        <v>#N/A</v>
      </c>
      <c r="O106" s="11" t="str">
        <f>VLOOKUP($H106, 'ADP Data'!$B$4:$Q$300, 4, FALSE)</f>
        <v>#N/A</v>
      </c>
      <c r="P106" s="11" t="str">
        <f t="shared" si="4"/>
        <v>#N/A</v>
      </c>
      <c r="Q106" s="11" t="str">
        <f>VLOOKUP($H106, 'ADP Data'!$B$4:$Q$300, 5, FALSE)</f>
        <v>#N/A</v>
      </c>
      <c r="R106" s="11" t="str">
        <f>VLOOKUP($H106, 'ADP Data'!$B$4:$Q$300, 6, FALSE)</f>
        <v>#N/A</v>
      </c>
      <c r="S106" s="11" t="str">
        <f>VLOOKUP($H106, 'ADP Data'!$B$4:$Q$300, 7, FALSE)</f>
        <v>#N/A</v>
      </c>
      <c r="T106" s="11" t="str">
        <f>VLOOKUP($H106, 'ADP Data'!$B$4:$Q$300, 8, FALSE)</f>
        <v>#N/A</v>
      </c>
      <c r="U106" s="11" t="str">
        <f>VLOOKUP($H106, 'ADP Data'!$B$4:$Q$300, 9, FALSE)</f>
        <v>#N/A</v>
      </c>
      <c r="V106" s="11" t="str">
        <f t="shared" si="5"/>
        <v>#N/A</v>
      </c>
      <c r="W106" s="11" t="str">
        <f t="shared" si="6"/>
        <v>#N/A</v>
      </c>
      <c r="X106" s="11" t="str">
        <f>IF(VLOOKUP($H106, SeanRanks!$A$2:$H$303, 7, FALSE)=0, "", VLOOKUP($H106, SeanRanks!$A$2:$H$303, 7, FALSE))</f>
        <v/>
      </c>
    </row>
    <row r="107" ht="14.25" customHeight="1">
      <c r="A107" s="11"/>
      <c r="B107" s="11" t="str">
        <f t="shared" si="1"/>
        <v>#N/A</v>
      </c>
      <c r="C107" s="11" t="s">
        <v>106</v>
      </c>
      <c r="D107" s="11"/>
      <c r="E107" s="11">
        <v>5.0</v>
      </c>
      <c r="F107" s="11">
        <f t="shared" si="2"/>
        <v>-5</v>
      </c>
      <c r="G107" s="11" t="s">
        <v>106</v>
      </c>
      <c r="H107" s="11" t="s">
        <v>623</v>
      </c>
      <c r="I107" s="11" t="str">
        <f>VLOOKUP($H107, 'ADP Data'!$B$4:$Q$300, 2, FALSE)</f>
        <v>#N/A</v>
      </c>
      <c r="J107" s="11" t="s">
        <v>770</v>
      </c>
      <c r="K107" s="11" t="str">
        <f>VLOOKUP($H107, SeanRanks!$A$2:$H$303, 5, FALSE)</f>
        <v/>
      </c>
      <c r="L107" s="11" t="str">
        <f>IF(VLOOKUP($H107, SeanRanks!$A$2:$H$303, 6, FALSE)=0, "", VLOOKUP($H107, SeanRanks!$A$2:$H$303, 6, FALSE))</f>
        <v>Don’t Draft - Streamer</v>
      </c>
      <c r="M107" s="11">
        <f t="shared" si="3"/>
        <v>16</v>
      </c>
      <c r="N107" s="11" t="str">
        <f>VLOOKUP($H107, 'ADP Data'!$B$4:$Q$300, 10, FALSE)</f>
        <v>#N/A</v>
      </c>
      <c r="O107" s="11" t="str">
        <f>VLOOKUP($H107, 'ADP Data'!$B$4:$Q$300, 4, FALSE)</f>
        <v>#N/A</v>
      </c>
      <c r="P107" s="11" t="str">
        <f t="shared" si="4"/>
        <v>#N/A</v>
      </c>
      <c r="Q107" s="11" t="str">
        <f>VLOOKUP($H107, 'ADP Data'!$B$4:$Q$300, 5, FALSE)</f>
        <v>#N/A</v>
      </c>
      <c r="R107" s="11" t="str">
        <f>VLOOKUP($H107, 'ADP Data'!$B$4:$Q$300, 6, FALSE)</f>
        <v>#N/A</v>
      </c>
      <c r="S107" s="11" t="str">
        <f>VLOOKUP($H107, 'ADP Data'!$B$4:$Q$300, 7, FALSE)</f>
        <v>#N/A</v>
      </c>
      <c r="T107" s="11" t="str">
        <f>VLOOKUP($H107, 'ADP Data'!$B$4:$Q$300, 8, FALSE)</f>
        <v>#N/A</v>
      </c>
      <c r="U107" s="11" t="str">
        <f>VLOOKUP($H107, 'ADP Data'!$B$4:$Q$300, 9, FALSE)</f>
        <v>#N/A</v>
      </c>
      <c r="V107" s="11" t="str">
        <f t="shared" si="5"/>
        <v>#N/A</v>
      </c>
      <c r="W107" s="11" t="str">
        <f t="shared" si="6"/>
        <v>#N/A</v>
      </c>
      <c r="X107" s="11" t="str">
        <f>IF(VLOOKUP($H107, SeanRanks!$A$2:$H$303, 7, FALSE)=0, "", VLOOKUP($H107, SeanRanks!$A$2:$H$303, 7, FALSE))</f>
        <v/>
      </c>
    </row>
    <row r="108" ht="14.25" customHeight="1">
      <c r="A108" s="11"/>
      <c r="B108" s="11" t="str">
        <f t="shared" si="1"/>
        <v>#N/A</v>
      </c>
      <c r="C108" s="11" t="s">
        <v>106</v>
      </c>
      <c r="D108" s="11"/>
      <c r="E108" s="11"/>
      <c r="F108" s="11">
        <f t="shared" si="2"/>
        <v>0</v>
      </c>
      <c r="G108" s="11"/>
      <c r="H108" s="11" t="s">
        <v>888</v>
      </c>
      <c r="I108" s="11" t="str">
        <f>VLOOKUP($H108, 'ADP Data'!$B$4:$Q$300, 2, FALSE)</f>
        <v>#N/A</v>
      </c>
      <c r="J108" s="11" t="s">
        <v>775</v>
      </c>
      <c r="K108" s="11" t="str">
        <f>VLOOKUP($H108, SeanRanks!$A$2:$H$303, 5, FALSE)</f>
        <v>#N/A</v>
      </c>
      <c r="L108" s="11" t="str">
        <f>IF(VLOOKUP($H108, SeanRanks!$A$2:$H$303, 6, FALSE)=0, "", VLOOKUP($H108, SeanRanks!$A$2:$H$303, 6, FALSE))</f>
        <v>#N/A</v>
      </c>
      <c r="M108" s="11">
        <f t="shared" si="3"/>
        <v>16</v>
      </c>
      <c r="N108" s="11" t="str">
        <f>VLOOKUP($H108, 'ADP Data'!$B$4:$Q$300, 10, FALSE)</f>
        <v>#N/A</v>
      </c>
      <c r="O108" s="11" t="str">
        <f>VLOOKUP($H108, 'ADP Data'!$B$4:$Q$300, 4, FALSE)</f>
        <v>#N/A</v>
      </c>
      <c r="P108" s="11" t="str">
        <f t="shared" si="4"/>
        <v>#N/A</v>
      </c>
      <c r="Q108" s="11" t="str">
        <f>VLOOKUP($H108, 'ADP Data'!$B$4:$Q$300, 5, FALSE)</f>
        <v>#N/A</v>
      </c>
      <c r="R108" s="11" t="str">
        <f>VLOOKUP($H108, 'ADP Data'!$B$4:$Q$300, 6, FALSE)</f>
        <v>#N/A</v>
      </c>
      <c r="S108" s="11" t="str">
        <f>VLOOKUP($H108, 'ADP Data'!$B$4:$Q$300, 7, FALSE)</f>
        <v>#N/A</v>
      </c>
      <c r="T108" s="11" t="str">
        <f>VLOOKUP($H108, 'ADP Data'!$B$4:$Q$300, 8, FALSE)</f>
        <v>#N/A</v>
      </c>
      <c r="U108" s="11" t="str">
        <f>VLOOKUP($H108, 'ADP Data'!$B$4:$Q$300, 9, FALSE)</f>
        <v>#N/A</v>
      </c>
      <c r="V108" s="11" t="str">
        <f t="shared" si="5"/>
        <v>#N/A</v>
      </c>
      <c r="W108" s="11" t="str">
        <f t="shared" si="6"/>
        <v>#N/A</v>
      </c>
      <c r="X108" s="11" t="str">
        <f>IF(VLOOKUP($H108, SeanRanks!$A$2:$H$303, 7, FALSE)=0, "", VLOOKUP($H108, SeanRanks!$A$2:$H$303, 7, FALSE))</f>
        <v>#N/A</v>
      </c>
    </row>
    <row r="109" ht="14.25" customHeight="1">
      <c r="A109" s="11"/>
      <c r="B109" s="11" t="str">
        <f t="shared" si="1"/>
        <v>#N/A</v>
      </c>
      <c r="C109" s="11" t="s">
        <v>95</v>
      </c>
      <c r="D109" s="11">
        <v>2.0</v>
      </c>
      <c r="E109" s="11">
        <v>0.0</v>
      </c>
      <c r="F109" s="11">
        <f t="shared" si="2"/>
        <v>2</v>
      </c>
      <c r="G109" s="11" t="s">
        <v>1122</v>
      </c>
      <c r="H109" s="11" t="s">
        <v>986</v>
      </c>
      <c r="I109" s="11" t="str">
        <f>VLOOKUP($H109, 'ADP Data'!$B$4:$Q$300, 2, FALSE)</f>
        <v>#N/A</v>
      </c>
      <c r="J109" s="11" t="s">
        <v>775</v>
      </c>
      <c r="K109" s="11" t="str">
        <f>VLOOKUP($H109, SeanRanks!$A$2:$H$303, 5, FALSE)</f>
        <v>#N/A</v>
      </c>
      <c r="L109" s="11" t="str">
        <f>IF(VLOOKUP($H109, SeanRanks!$A$2:$H$303, 6, FALSE)=0, "", VLOOKUP($H109, SeanRanks!$A$2:$H$303, 6, FALSE))</f>
        <v>#N/A</v>
      </c>
      <c r="M109" s="11">
        <f t="shared" si="3"/>
        <v>16</v>
      </c>
      <c r="N109" s="11" t="str">
        <f>VLOOKUP($H109, 'ADP Data'!$B$4:$Q$300, 10, FALSE)</f>
        <v>#N/A</v>
      </c>
      <c r="O109" s="11" t="str">
        <f>VLOOKUP($H109, 'ADP Data'!$B$4:$Q$300, 4, FALSE)</f>
        <v>#N/A</v>
      </c>
      <c r="P109" s="11" t="str">
        <f t="shared" si="4"/>
        <v>#N/A</v>
      </c>
      <c r="Q109" s="11" t="str">
        <f>VLOOKUP($H109, 'ADP Data'!$B$4:$Q$300, 5, FALSE)</f>
        <v>#N/A</v>
      </c>
      <c r="R109" s="11" t="str">
        <f>VLOOKUP($H109, 'ADP Data'!$B$4:$Q$300, 6, FALSE)</f>
        <v>#N/A</v>
      </c>
      <c r="S109" s="11" t="str">
        <f>VLOOKUP($H109, 'ADP Data'!$B$4:$Q$300, 7, FALSE)</f>
        <v>#N/A</v>
      </c>
      <c r="T109" s="11" t="str">
        <f>VLOOKUP($H109, 'ADP Data'!$B$4:$Q$300, 8, FALSE)</f>
        <v>#N/A</v>
      </c>
      <c r="U109" s="11" t="str">
        <f>VLOOKUP($H109, 'ADP Data'!$B$4:$Q$300, 9, FALSE)</f>
        <v>#N/A</v>
      </c>
      <c r="V109" s="11" t="str">
        <f t="shared" si="5"/>
        <v>#N/A</v>
      </c>
      <c r="W109" s="11" t="str">
        <f t="shared" si="6"/>
        <v>#N/A</v>
      </c>
      <c r="X109" s="11" t="str">
        <f>IF(VLOOKUP($H109, SeanRanks!$A$2:$H$303, 7, FALSE)=0, "", VLOOKUP($H109, SeanRanks!$A$2:$H$303, 7, FALSE))</f>
        <v>#N/A</v>
      </c>
    </row>
    <row r="110" ht="14.25" customHeight="1">
      <c r="A110" s="11"/>
      <c r="B110" s="11">
        <v>12.0</v>
      </c>
      <c r="C110" s="11" t="s">
        <v>95</v>
      </c>
      <c r="D110" s="11">
        <v>1.0</v>
      </c>
      <c r="E110" s="11"/>
      <c r="F110" s="11">
        <f t="shared" si="2"/>
        <v>1</v>
      </c>
      <c r="G110" s="11"/>
      <c r="H110" s="11" t="s">
        <v>970</v>
      </c>
      <c r="I110" s="11" t="str">
        <f>VLOOKUP($H110, 'ADP Data'!$B$4:$Q$300, 2, FALSE)</f>
        <v>#N/A</v>
      </c>
      <c r="J110" s="11" t="s">
        <v>775</v>
      </c>
      <c r="K110" s="11" t="str">
        <f>VLOOKUP($H110, SeanRanks!$A$2:$H$303, 5, FALSE)</f>
        <v/>
      </c>
      <c r="L110" s="11" t="str">
        <f>IF(VLOOKUP($H110, SeanRanks!$A$2:$H$303, 6, FALSE)=0, "", VLOOKUP($H110, SeanRanks!$A$2:$H$303, 6, FALSE))</f>
        <v/>
      </c>
      <c r="M110" s="11">
        <f t="shared" si="3"/>
        <v>16</v>
      </c>
      <c r="N110" s="11" t="str">
        <f>VLOOKUP($H110, 'ADP Data'!$B$4:$Q$300, 10, FALSE)</f>
        <v>#N/A</v>
      </c>
      <c r="O110" s="11" t="str">
        <f>VLOOKUP($H110, 'ADP Data'!$B$4:$Q$300, 4, FALSE)</f>
        <v>#N/A</v>
      </c>
      <c r="P110" s="11" t="str">
        <f t="shared" si="4"/>
        <v>#N/A</v>
      </c>
      <c r="Q110" s="11" t="str">
        <f>VLOOKUP($H110, 'ADP Data'!$B$4:$Q$300, 5, FALSE)</f>
        <v>#N/A</v>
      </c>
      <c r="R110" s="11" t="str">
        <f>VLOOKUP($H110, 'ADP Data'!$B$4:$Q$300, 6, FALSE)</f>
        <v>#N/A</v>
      </c>
      <c r="S110" s="11" t="str">
        <f>VLOOKUP($H110, 'ADP Data'!$B$4:$Q$300, 7, FALSE)</f>
        <v>#N/A</v>
      </c>
      <c r="T110" s="11" t="str">
        <f>VLOOKUP($H110, 'ADP Data'!$B$4:$Q$300, 8, FALSE)</f>
        <v>#N/A</v>
      </c>
      <c r="U110" s="11" t="str">
        <f>VLOOKUP($H110, 'ADP Data'!$B$4:$Q$300, 9, FALSE)</f>
        <v>#N/A</v>
      </c>
      <c r="V110" s="11" t="str">
        <f t="shared" si="5"/>
        <v>#N/A</v>
      </c>
      <c r="W110" s="11" t="str">
        <f t="shared" si="6"/>
        <v>#N/A</v>
      </c>
      <c r="X110" s="11" t="str">
        <f>IF(VLOOKUP($H110, SeanRanks!$A$2:$H$303, 7, FALSE)=0, "", VLOOKUP($H110, SeanRanks!$A$2:$H$303, 7, FALSE))</f>
        <v/>
      </c>
    </row>
    <row r="111" ht="14.25" customHeight="1">
      <c r="A111" s="11"/>
      <c r="B111" s="11" t="str">
        <f t="shared" ref="B111:B307" si="7">IFERROR(INT(AVERAGE(Q111:U111)/12)+1, INT(AVERAGE(N111)/12)+1)</f>
        <v>#N/A</v>
      </c>
      <c r="C111" s="11" t="s">
        <v>106</v>
      </c>
      <c r="D111" s="11"/>
      <c r="E111" s="11"/>
      <c r="F111" s="11">
        <f t="shared" si="2"/>
        <v>0</v>
      </c>
      <c r="G111" s="11"/>
      <c r="H111" s="11" t="s">
        <v>584</v>
      </c>
      <c r="I111" s="11" t="str">
        <f>VLOOKUP($H111, 'ADP Data'!$B$4:$Q$300, 2, FALSE)</f>
        <v>#N/A</v>
      </c>
      <c r="J111" s="11" t="s">
        <v>775</v>
      </c>
      <c r="K111" s="11" t="str">
        <f>VLOOKUP($H111, SeanRanks!$A$2:$H$303, 5, FALSE)</f>
        <v/>
      </c>
      <c r="L111" s="11" t="str">
        <f>IF(VLOOKUP($H111, SeanRanks!$A$2:$H$303, 6, FALSE)=0, "", VLOOKUP($H111, SeanRanks!$A$2:$H$303, 6, FALSE))</f>
        <v>WR5 - 1 - upside path</v>
      </c>
      <c r="M111" s="11">
        <f t="shared" si="3"/>
        <v>16</v>
      </c>
      <c r="N111" s="11" t="str">
        <f>VLOOKUP($H111, 'ADP Data'!$B$4:$Q$300, 10, FALSE)</f>
        <v>#N/A</v>
      </c>
      <c r="O111" s="11" t="str">
        <f>VLOOKUP($H111, 'ADP Data'!$B$4:$Q$300, 4, FALSE)</f>
        <v>#N/A</v>
      </c>
      <c r="P111" s="11" t="str">
        <f t="shared" si="4"/>
        <v>#N/A</v>
      </c>
      <c r="Q111" s="11" t="str">
        <f>VLOOKUP($H111, 'ADP Data'!$B$4:$Q$300, 5, FALSE)</f>
        <v>#N/A</v>
      </c>
      <c r="R111" s="11" t="str">
        <f>VLOOKUP($H111, 'ADP Data'!$B$4:$Q$300, 6, FALSE)</f>
        <v>#N/A</v>
      </c>
      <c r="S111" s="11" t="str">
        <f>VLOOKUP($H111, 'ADP Data'!$B$4:$Q$300, 7, FALSE)</f>
        <v>#N/A</v>
      </c>
      <c r="T111" s="11" t="str">
        <f>VLOOKUP($H111, 'ADP Data'!$B$4:$Q$300, 8, FALSE)</f>
        <v>#N/A</v>
      </c>
      <c r="U111" s="11" t="str">
        <f>VLOOKUP($H111, 'ADP Data'!$B$4:$Q$300, 9, FALSE)</f>
        <v>#N/A</v>
      </c>
      <c r="V111" s="11" t="str">
        <f t="shared" si="5"/>
        <v>#N/A</v>
      </c>
      <c r="W111" s="11" t="str">
        <f t="shared" si="6"/>
        <v>#N/A</v>
      </c>
      <c r="X111" s="11">
        <f>IF(VLOOKUP($H111, SeanRanks!$A$2:$H$303, 7, FALSE)=0, "", VLOOKUP($H111, SeanRanks!$A$2:$H$303, 7, FALSE))</f>
        <v>52</v>
      </c>
    </row>
    <row r="112" ht="14.25" customHeight="1">
      <c r="A112" s="11"/>
      <c r="B112" s="11" t="str">
        <f t="shared" si="7"/>
        <v>#N/A</v>
      </c>
      <c r="C112" s="11" t="s">
        <v>106</v>
      </c>
      <c r="D112" s="11"/>
      <c r="E112" s="11">
        <v>1.0</v>
      </c>
      <c r="F112" s="11">
        <f t="shared" si="2"/>
        <v>-1</v>
      </c>
      <c r="G112" s="52" t="s">
        <v>1122</v>
      </c>
      <c r="H112" s="11" t="s">
        <v>407</v>
      </c>
      <c r="I112" s="93" t="str">
        <f>VLOOKUP($H112, 'ADP Data'!$B$4:$Q$300, 2, FALSE)</f>
        <v>#N/A</v>
      </c>
      <c r="J112" s="11" t="s">
        <v>772</v>
      </c>
      <c r="K112" s="11" t="str">
        <f>VLOOKUP($H112, SeanRanks!$A$2:$H$303, 5, FALSE)</f>
        <v/>
      </c>
      <c r="L112" s="11" t="str">
        <f>IF(VLOOKUP($H112, SeanRanks!$A$2:$H$303, 6, FALSE)=0, "", VLOOKUP($H112, SeanRanks!$A$2:$H$303, 6, FALSE))</f>
        <v>RB4 - 1 - Path to spikes</v>
      </c>
      <c r="M112" s="11">
        <f t="shared" si="3"/>
        <v>16</v>
      </c>
      <c r="N112" s="11" t="str">
        <f>VLOOKUP($H112, 'ADP Data'!$B$4:$Q$300, 10, FALSE)</f>
        <v>#N/A</v>
      </c>
      <c r="O112" s="11" t="str">
        <f>VLOOKUP($H112, 'ADP Data'!$B$4:$Q$300, 4, FALSE)</f>
        <v>#N/A</v>
      </c>
      <c r="P112" s="11" t="str">
        <f t="shared" si="4"/>
        <v>#N/A</v>
      </c>
      <c r="Q112" s="11" t="str">
        <f>VLOOKUP($H112, 'ADP Data'!$B$4:$Q$300, 5, FALSE)</f>
        <v>#N/A</v>
      </c>
      <c r="R112" s="11" t="str">
        <f>VLOOKUP($H112, 'ADP Data'!$B$4:$Q$300, 6, FALSE)</f>
        <v>#N/A</v>
      </c>
      <c r="S112" s="11" t="str">
        <f>VLOOKUP($H112, 'ADP Data'!$B$4:$Q$300, 7, FALSE)</f>
        <v>#N/A</v>
      </c>
      <c r="T112" s="11" t="str">
        <f>VLOOKUP($H112, 'ADP Data'!$B$4:$Q$300, 8, FALSE)</f>
        <v>#N/A</v>
      </c>
      <c r="U112" s="11" t="str">
        <f>VLOOKUP($H112, 'ADP Data'!$B$4:$Q$300, 9, FALSE)</f>
        <v>#N/A</v>
      </c>
      <c r="V112" s="11" t="str">
        <f t="shared" si="5"/>
        <v>#N/A</v>
      </c>
      <c r="W112" s="11" t="str">
        <f t="shared" si="6"/>
        <v>#N/A</v>
      </c>
      <c r="X112" s="11">
        <f>IF(VLOOKUP($H112, SeanRanks!$A$2:$H$303, 7, FALSE)=0, "", VLOOKUP($H112, SeanRanks!$A$2:$H$303, 7, FALSE))</f>
        <v>38</v>
      </c>
    </row>
    <row r="113" ht="14.25" customHeight="1">
      <c r="A113" s="11"/>
      <c r="B113" s="11" t="str">
        <f t="shared" si="7"/>
        <v>#N/A</v>
      </c>
      <c r="C113" s="11" t="s">
        <v>95</v>
      </c>
      <c r="D113" s="11">
        <v>1.0</v>
      </c>
      <c r="E113" s="11">
        <v>1.0</v>
      </c>
      <c r="F113" s="11">
        <f t="shared" si="2"/>
        <v>0</v>
      </c>
      <c r="G113" s="11"/>
      <c r="H113" s="11" t="s">
        <v>651</v>
      </c>
      <c r="I113" s="58" t="str">
        <f>VLOOKUP($H113, 'ADP Data'!$B$4:$Q$300, 2, FALSE)</f>
        <v>#N/A</v>
      </c>
      <c r="J113" s="11" t="s">
        <v>770</v>
      </c>
      <c r="K113" s="11" t="str">
        <f>VLOOKUP($H113, SeanRanks!$A$2:$H$303, 5, FALSE)</f>
        <v/>
      </c>
      <c r="L113" s="11" t="str">
        <f>IF(VLOOKUP($H113, SeanRanks!$A$2:$H$303, 6, FALSE)=0, "", VLOOKUP($H113, SeanRanks!$A$2:$H$303, 6, FALSE))</f>
        <v/>
      </c>
      <c r="M113" s="11">
        <f t="shared" si="3"/>
        <v>16</v>
      </c>
      <c r="N113" s="11" t="str">
        <f>VLOOKUP($H113, 'ADP Data'!$B$4:$Q$300, 10, FALSE)</f>
        <v>#N/A</v>
      </c>
      <c r="O113" s="11" t="str">
        <f>VLOOKUP($H113, 'ADP Data'!$B$4:$Q$300, 4, FALSE)</f>
        <v>#N/A</v>
      </c>
      <c r="P113" s="11" t="str">
        <f t="shared" si="4"/>
        <v>#N/A</v>
      </c>
      <c r="Q113" s="11" t="str">
        <f>VLOOKUP($H113, 'ADP Data'!$B$4:$Q$300, 5, FALSE)</f>
        <v>#N/A</v>
      </c>
      <c r="R113" s="11" t="str">
        <f>VLOOKUP($H113, 'ADP Data'!$B$4:$Q$300, 6, FALSE)</f>
        <v>#N/A</v>
      </c>
      <c r="S113" s="11" t="str">
        <f>VLOOKUP($H113, 'ADP Data'!$B$4:$Q$300, 7, FALSE)</f>
        <v>#N/A</v>
      </c>
      <c r="T113" s="11" t="str">
        <f>VLOOKUP($H113, 'ADP Data'!$B$4:$Q$300, 8, FALSE)</f>
        <v>#N/A</v>
      </c>
      <c r="U113" s="11" t="str">
        <f>VLOOKUP($H113, 'ADP Data'!$B$4:$Q$300, 9, FALSE)</f>
        <v>#N/A</v>
      </c>
      <c r="V113" s="11" t="str">
        <f t="shared" si="5"/>
        <v>#N/A</v>
      </c>
      <c r="W113" s="11" t="str">
        <f t="shared" si="6"/>
        <v>#N/A</v>
      </c>
      <c r="X113" s="11" t="str">
        <f>IF(VLOOKUP($H113, SeanRanks!$A$2:$H$303, 7, FALSE)=0, "", VLOOKUP($H113, SeanRanks!$A$2:$H$303, 7, FALSE))</f>
        <v/>
      </c>
    </row>
    <row r="114" ht="14.25" customHeight="1">
      <c r="A114" s="11" t="s">
        <v>1156</v>
      </c>
      <c r="B114" s="11" t="str">
        <f t="shared" si="7"/>
        <v>#N/A</v>
      </c>
      <c r="C114" s="11" t="s">
        <v>95</v>
      </c>
      <c r="D114" s="11">
        <v>3.0</v>
      </c>
      <c r="E114" s="11">
        <v>2.0</v>
      </c>
      <c r="F114" s="11">
        <f t="shared" si="2"/>
        <v>1</v>
      </c>
      <c r="G114" s="11" t="s">
        <v>106</v>
      </c>
      <c r="H114" s="11" t="s">
        <v>988</v>
      </c>
      <c r="I114" s="58" t="str">
        <f>VLOOKUP($H114, 'ADP Data'!$B$4:$Q$300, 2, FALSE)</f>
        <v>#N/A</v>
      </c>
      <c r="J114" s="11" t="s">
        <v>775</v>
      </c>
      <c r="K114" s="11" t="str">
        <f>VLOOKUP($H114, SeanRanks!$A$2:$H$303, 5, FALSE)</f>
        <v>#N/A</v>
      </c>
      <c r="L114" s="11" t="str">
        <f>IF(VLOOKUP($H114, SeanRanks!$A$2:$H$303, 6, FALSE)=0, "", VLOOKUP($H114, SeanRanks!$A$2:$H$303, 6, FALSE))</f>
        <v>#N/A</v>
      </c>
      <c r="M114" s="11">
        <f t="shared" si="3"/>
        <v>16</v>
      </c>
      <c r="N114" s="11" t="str">
        <f>VLOOKUP($H114, 'ADP Data'!$B$4:$Q$300, 10, FALSE)</f>
        <v>#N/A</v>
      </c>
      <c r="O114" s="11" t="str">
        <f>VLOOKUP($H114, 'ADP Data'!$B$4:$Q$300, 4, FALSE)</f>
        <v>#N/A</v>
      </c>
      <c r="P114" s="11" t="str">
        <f t="shared" si="4"/>
        <v>#N/A</v>
      </c>
      <c r="Q114" s="11" t="str">
        <f>VLOOKUP($H114, 'ADP Data'!$B$4:$Q$300, 5, FALSE)</f>
        <v>#N/A</v>
      </c>
      <c r="R114" s="11" t="str">
        <f>VLOOKUP($H114, 'ADP Data'!$B$4:$Q$300, 6, FALSE)</f>
        <v>#N/A</v>
      </c>
      <c r="S114" s="11" t="str">
        <f>VLOOKUP($H114, 'ADP Data'!$B$4:$Q$300, 7, FALSE)</f>
        <v>#N/A</v>
      </c>
      <c r="T114" s="11" t="str">
        <f>VLOOKUP($H114, 'ADP Data'!$B$4:$Q$300, 8, FALSE)</f>
        <v>#N/A</v>
      </c>
      <c r="U114" s="11" t="str">
        <f>VLOOKUP($H114, 'ADP Data'!$B$4:$Q$300, 9, FALSE)</f>
        <v>#N/A</v>
      </c>
      <c r="V114" s="11" t="str">
        <f t="shared" si="5"/>
        <v>#N/A</v>
      </c>
      <c r="W114" s="11" t="str">
        <f t="shared" si="6"/>
        <v>#N/A</v>
      </c>
      <c r="X114" s="11" t="str">
        <f>IF(VLOOKUP($H114, SeanRanks!$A$2:$H$303, 7, FALSE)=0, "", VLOOKUP($H114, SeanRanks!$A$2:$H$303, 7, FALSE))</f>
        <v>#N/A</v>
      </c>
    </row>
    <row r="115" ht="14.25" customHeight="1">
      <c r="A115" s="11" t="s">
        <v>1156</v>
      </c>
      <c r="B115" s="11" t="str">
        <f t="shared" si="7"/>
        <v>#N/A</v>
      </c>
      <c r="C115" s="11" t="s">
        <v>95</v>
      </c>
      <c r="D115" s="11">
        <v>3.0</v>
      </c>
      <c r="E115" s="11">
        <v>5.0</v>
      </c>
      <c r="F115" s="11">
        <f t="shared" si="2"/>
        <v>-2</v>
      </c>
      <c r="G115" s="52" t="s">
        <v>106</v>
      </c>
      <c r="H115" s="11" t="s">
        <v>1239</v>
      </c>
      <c r="I115" s="11" t="str">
        <f>VLOOKUP($H115, 'ADP Data'!$B$4:$Q$300, 2, FALSE)</f>
        <v>#N/A</v>
      </c>
      <c r="J115" s="11" t="s">
        <v>772</v>
      </c>
      <c r="K115" s="11" t="str">
        <f>VLOOKUP($H115, SeanRanks!$A$2:$H$303, 5, FALSE)</f>
        <v>#N/A</v>
      </c>
      <c r="L115" s="11" t="str">
        <f>IF(VLOOKUP($H115, SeanRanks!$A$2:$H$303, 6, FALSE)=0, "", VLOOKUP($H115, SeanRanks!$A$2:$H$303, 6, FALSE))</f>
        <v>#N/A</v>
      </c>
      <c r="M115" s="11">
        <f t="shared" si="3"/>
        <v>16</v>
      </c>
      <c r="N115" s="11" t="str">
        <f>VLOOKUP($H115, 'ADP Data'!$B$4:$Q$300, 10, FALSE)</f>
        <v>#N/A</v>
      </c>
      <c r="O115" s="11" t="str">
        <f>VLOOKUP($H115, 'ADP Data'!$B$4:$Q$300, 4, FALSE)</f>
        <v>#N/A</v>
      </c>
      <c r="P115" s="11" t="str">
        <f t="shared" si="4"/>
        <v>#N/A</v>
      </c>
      <c r="Q115" s="11" t="str">
        <f>VLOOKUP($H115, 'ADP Data'!$B$4:$Q$300, 5, FALSE)</f>
        <v>#N/A</v>
      </c>
      <c r="R115" s="11" t="str">
        <f>VLOOKUP($H115, 'ADP Data'!$B$4:$Q$300, 6, FALSE)</f>
        <v>#N/A</v>
      </c>
      <c r="S115" s="11" t="str">
        <f>VLOOKUP($H115, 'ADP Data'!$B$4:$Q$300, 7, FALSE)</f>
        <v>#N/A</v>
      </c>
      <c r="T115" s="11" t="str">
        <f>VLOOKUP($H115, 'ADP Data'!$B$4:$Q$300, 8, FALSE)</f>
        <v>#N/A</v>
      </c>
      <c r="U115" s="11" t="str">
        <f>VLOOKUP($H115, 'ADP Data'!$B$4:$Q$300, 9, FALSE)</f>
        <v>#N/A</v>
      </c>
      <c r="V115" s="11" t="str">
        <f t="shared" si="5"/>
        <v>#N/A</v>
      </c>
      <c r="W115" s="11" t="str">
        <f t="shared" si="6"/>
        <v>#N/A</v>
      </c>
      <c r="X115" s="11" t="str">
        <f>IF(VLOOKUP($H115, SeanRanks!$A$2:$H$303, 7, FALSE)=0, "", VLOOKUP($H115, SeanRanks!$A$2:$H$303, 7, FALSE))</f>
        <v>#N/A</v>
      </c>
    </row>
    <row r="116" ht="14.25" customHeight="1">
      <c r="A116" s="11"/>
      <c r="B116" s="11" t="str">
        <f t="shared" si="7"/>
        <v>#N/A</v>
      </c>
      <c r="C116" s="11" t="s">
        <v>95</v>
      </c>
      <c r="D116" s="11">
        <v>3.0</v>
      </c>
      <c r="E116" s="11">
        <v>1.0</v>
      </c>
      <c r="F116" s="11">
        <f t="shared" si="2"/>
        <v>2</v>
      </c>
      <c r="G116" s="11"/>
      <c r="H116" s="11" t="s">
        <v>550</v>
      </c>
      <c r="I116" s="57" t="str">
        <f>VLOOKUP($H116, 'ADP Data'!$B$4:$Q$300, 2, FALSE)</f>
        <v>#N/A</v>
      </c>
      <c r="J116" s="11" t="s">
        <v>770</v>
      </c>
      <c r="K116" s="11" t="str">
        <f>VLOOKUP($H116, SeanRanks!$A$2:$H$303, 5, FALSE)</f>
        <v/>
      </c>
      <c r="L116" s="11" t="str">
        <f>IF(VLOOKUP($H116, SeanRanks!$A$2:$H$303, 6, FALSE)=0, "", VLOOKUP($H116, SeanRanks!$A$2:$H$303, 6, FALSE))</f>
        <v>Don’t Draft - Streamer</v>
      </c>
      <c r="M116" s="11">
        <f t="shared" si="3"/>
        <v>16</v>
      </c>
      <c r="N116" s="11" t="str">
        <f>VLOOKUP($H116, 'ADP Data'!$B$4:$Q$300, 10, FALSE)</f>
        <v>#N/A</v>
      </c>
      <c r="O116" s="11" t="str">
        <f>VLOOKUP($H116, 'ADP Data'!$B$4:$Q$300, 4, FALSE)</f>
        <v>#N/A</v>
      </c>
      <c r="P116" s="11" t="str">
        <f t="shared" si="4"/>
        <v>#N/A</v>
      </c>
      <c r="Q116" s="11" t="str">
        <f>VLOOKUP($H116, 'ADP Data'!$B$4:$Q$300, 5, FALSE)</f>
        <v>#N/A</v>
      </c>
      <c r="R116" s="11" t="str">
        <f>VLOOKUP($H116, 'ADP Data'!$B$4:$Q$300, 6, FALSE)</f>
        <v>#N/A</v>
      </c>
      <c r="S116" s="11" t="str">
        <f>VLOOKUP($H116, 'ADP Data'!$B$4:$Q$300, 7, FALSE)</f>
        <v>#N/A</v>
      </c>
      <c r="T116" s="11" t="str">
        <f>VLOOKUP($H116, 'ADP Data'!$B$4:$Q$300, 8, FALSE)</f>
        <v>#N/A</v>
      </c>
      <c r="U116" s="11" t="str">
        <f>VLOOKUP($H116, 'ADP Data'!$B$4:$Q$300, 9, FALSE)</f>
        <v>#N/A</v>
      </c>
      <c r="V116" s="11" t="str">
        <f t="shared" si="5"/>
        <v>#N/A</v>
      </c>
      <c r="W116" s="11" t="str">
        <f t="shared" si="6"/>
        <v>#N/A</v>
      </c>
      <c r="X116" s="11" t="str">
        <f>IF(VLOOKUP($H116, SeanRanks!$A$2:$H$303, 7, FALSE)=0, "", VLOOKUP($H116, SeanRanks!$A$2:$H$303, 7, FALSE))</f>
        <v/>
      </c>
    </row>
    <row r="117" ht="14.25" customHeight="1">
      <c r="A117" s="11"/>
      <c r="B117" s="11" t="str">
        <f t="shared" si="7"/>
        <v>#N/A</v>
      </c>
      <c r="C117" s="11" t="s">
        <v>95</v>
      </c>
      <c r="D117" s="11"/>
      <c r="E117" s="11">
        <v>1.0</v>
      </c>
      <c r="F117" s="11">
        <f t="shared" si="2"/>
        <v>-1</v>
      </c>
      <c r="G117" s="11"/>
      <c r="H117" s="11" t="s">
        <v>1241</v>
      </c>
      <c r="I117" s="58" t="str">
        <f>VLOOKUP($H117, 'ADP Data'!$B$4:$Q$300, 2, FALSE)</f>
        <v>#N/A</v>
      </c>
      <c r="J117" s="11" t="s">
        <v>775</v>
      </c>
      <c r="K117" s="11" t="str">
        <f>VLOOKUP($H117, SeanRanks!$A$2:$H$303, 5, FALSE)</f>
        <v>#N/A</v>
      </c>
      <c r="L117" s="11" t="str">
        <f>IF(VLOOKUP($H117, SeanRanks!$A$2:$H$303, 6, FALSE)=0, "", VLOOKUP($H117, SeanRanks!$A$2:$H$303, 6, FALSE))</f>
        <v>#N/A</v>
      </c>
      <c r="M117" s="11">
        <f t="shared" si="3"/>
        <v>16</v>
      </c>
      <c r="N117" s="11" t="str">
        <f>VLOOKUP($H117, 'ADP Data'!$B$4:$Q$300, 10, FALSE)</f>
        <v>#N/A</v>
      </c>
      <c r="O117" s="11" t="str">
        <f>VLOOKUP($H117, 'ADP Data'!$B$4:$Q$300, 4, FALSE)</f>
        <v>#N/A</v>
      </c>
      <c r="P117" s="11" t="str">
        <f t="shared" si="4"/>
        <v>#N/A</v>
      </c>
      <c r="Q117" s="11" t="str">
        <f>VLOOKUP($H117, 'ADP Data'!$B$4:$Q$300, 5, FALSE)</f>
        <v>#N/A</v>
      </c>
      <c r="R117" s="11" t="str">
        <f>VLOOKUP($H117, 'ADP Data'!$B$4:$Q$300, 6, FALSE)</f>
        <v>#N/A</v>
      </c>
      <c r="S117" s="11" t="str">
        <f>VLOOKUP($H117, 'ADP Data'!$B$4:$Q$300, 7, FALSE)</f>
        <v>#N/A</v>
      </c>
      <c r="T117" s="11" t="str">
        <f>VLOOKUP($H117, 'ADP Data'!$B$4:$Q$300, 8, FALSE)</f>
        <v>#N/A</v>
      </c>
      <c r="U117" s="11" t="str">
        <f>VLOOKUP($H117, 'ADP Data'!$B$4:$Q$300, 9, FALSE)</f>
        <v>#N/A</v>
      </c>
      <c r="V117" s="11" t="str">
        <f t="shared" si="5"/>
        <v>#N/A</v>
      </c>
      <c r="W117" s="11" t="str">
        <f t="shared" si="6"/>
        <v>#N/A</v>
      </c>
      <c r="X117" s="11" t="str">
        <f>IF(VLOOKUP($H117, SeanRanks!$A$2:$H$303, 7, FALSE)=0, "", VLOOKUP($H117, SeanRanks!$A$2:$H$303, 7, FALSE))</f>
        <v>#N/A</v>
      </c>
    </row>
    <row r="118" ht="14.25" customHeight="1">
      <c r="A118" s="11"/>
      <c r="B118" s="11" t="str">
        <f t="shared" si="7"/>
        <v>#N/A</v>
      </c>
      <c r="C118" s="11" t="s">
        <v>95</v>
      </c>
      <c r="D118" s="11">
        <v>1.0</v>
      </c>
      <c r="E118" s="11">
        <v>1.0</v>
      </c>
      <c r="F118" s="11">
        <f t="shared" si="2"/>
        <v>0</v>
      </c>
      <c r="G118" s="52" t="s">
        <v>106</v>
      </c>
      <c r="H118" s="11" t="s">
        <v>334</v>
      </c>
      <c r="I118" s="11" t="str">
        <f>VLOOKUP($H118, 'ADP Data'!$B$4:$Q$300, 2, FALSE)</f>
        <v>#N/A</v>
      </c>
      <c r="J118" s="11" t="s">
        <v>781</v>
      </c>
      <c r="K118" s="11" t="str">
        <f>VLOOKUP($H118, SeanRanks!$A$2:$H$303, 5, FALSE)</f>
        <v/>
      </c>
      <c r="L118" s="11" t="str">
        <f>IF(VLOOKUP($H118, SeanRanks!$A$2:$H$303, 6, FALSE)=0, "", VLOOKUP($H118, SeanRanks!$A$2:$H$303, 6, FALSE))</f>
        <v/>
      </c>
      <c r="M118" s="11">
        <f t="shared" si="3"/>
        <v>16</v>
      </c>
      <c r="N118" s="11" t="str">
        <f>VLOOKUP($H118, 'ADP Data'!$B$4:$Q$300, 10, FALSE)</f>
        <v>#N/A</v>
      </c>
      <c r="O118" s="11" t="str">
        <f>VLOOKUP($H118, 'ADP Data'!$B$4:$Q$300, 4, FALSE)</f>
        <v>#N/A</v>
      </c>
      <c r="P118" s="11" t="str">
        <f t="shared" si="4"/>
        <v>#N/A</v>
      </c>
      <c r="Q118" s="11" t="str">
        <f>VLOOKUP($H118, 'ADP Data'!$B$4:$Q$300, 5, FALSE)</f>
        <v>#N/A</v>
      </c>
      <c r="R118" s="11" t="str">
        <f>VLOOKUP($H118, 'ADP Data'!$B$4:$Q$300, 6, FALSE)</f>
        <v>#N/A</v>
      </c>
      <c r="S118" s="11" t="str">
        <f>VLOOKUP($H118, 'ADP Data'!$B$4:$Q$300, 7, FALSE)</f>
        <v>#N/A</v>
      </c>
      <c r="T118" s="11" t="str">
        <f>VLOOKUP($H118, 'ADP Data'!$B$4:$Q$300, 8, FALSE)</f>
        <v>#N/A</v>
      </c>
      <c r="U118" s="11" t="str">
        <f>VLOOKUP($H118, 'ADP Data'!$B$4:$Q$300, 9, FALSE)</f>
        <v>#N/A</v>
      </c>
      <c r="V118" s="11" t="str">
        <f t="shared" si="5"/>
        <v>#N/A</v>
      </c>
      <c r="W118" s="11" t="str">
        <f t="shared" si="6"/>
        <v>#N/A</v>
      </c>
      <c r="X118" s="11" t="str">
        <f>IF(VLOOKUP($H118, SeanRanks!$A$2:$H$303, 7, FALSE)=0, "", VLOOKUP($H118, SeanRanks!$A$2:$H$303, 7, FALSE))</f>
        <v/>
      </c>
    </row>
    <row r="119" ht="14.25" customHeight="1">
      <c r="A119" s="11"/>
      <c r="B119" s="11" t="str">
        <f t="shared" si="7"/>
        <v>#N/A</v>
      </c>
      <c r="C119" s="11" t="s">
        <v>95</v>
      </c>
      <c r="D119" s="11">
        <v>1.0</v>
      </c>
      <c r="E119" s="11">
        <v>0.0</v>
      </c>
      <c r="F119" s="11">
        <f t="shared" si="2"/>
        <v>1</v>
      </c>
      <c r="G119" s="11"/>
      <c r="H119" s="11" t="s">
        <v>1245</v>
      </c>
      <c r="I119" s="11" t="str">
        <f>VLOOKUP($H119, 'ADP Data'!$B$4:$Q$300, 2, FALSE)</f>
        <v>#N/A</v>
      </c>
      <c r="J119" s="11" t="s">
        <v>775</v>
      </c>
      <c r="K119" s="11" t="str">
        <f>VLOOKUP($H119, SeanRanks!$A$2:$H$303, 5, FALSE)</f>
        <v>#N/A</v>
      </c>
      <c r="L119" s="11" t="str">
        <f>IF(VLOOKUP($H119, SeanRanks!$A$2:$H$303, 6, FALSE)=0, "", VLOOKUP($H119, SeanRanks!$A$2:$H$303, 6, FALSE))</f>
        <v>#N/A</v>
      </c>
      <c r="M119" s="11">
        <f t="shared" si="3"/>
        <v>16</v>
      </c>
      <c r="N119" s="11" t="str">
        <f>VLOOKUP($H119, 'ADP Data'!$B$4:$Q$300, 10, FALSE)</f>
        <v>#N/A</v>
      </c>
      <c r="O119" s="11" t="str">
        <f>VLOOKUP($H119, 'ADP Data'!$B$4:$Q$300, 4, FALSE)</f>
        <v>#N/A</v>
      </c>
      <c r="P119" s="11" t="str">
        <f t="shared" si="4"/>
        <v>#N/A</v>
      </c>
      <c r="Q119" s="11" t="str">
        <f>VLOOKUP($H119, 'ADP Data'!$B$4:$Q$300, 5, FALSE)</f>
        <v>#N/A</v>
      </c>
      <c r="R119" s="11" t="str">
        <f>VLOOKUP($H119, 'ADP Data'!$B$4:$Q$300, 6, FALSE)</f>
        <v>#N/A</v>
      </c>
      <c r="S119" s="11" t="str">
        <f>VLOOKUP($H119, 'ADP Data'!$B$4:$Q$300, 7, FALSE)</f>
        <v>#N/A</v>
      </c>
      <c r="T119" s="11" t="str">
        <f>VLOOKUP($H119, 'ADP Data'!$B$4:$Q$300, 8, FALSE)</f>
        <v>#N/A</v>
      </c>
      <c r="U119" s="11" t="str">
        <f>VLOOKUP($H119, 'ADP Data'!$B$4:$Q$300, 9, FALSE)</f>
        <v>#N/A</v>
      </c>
      <c r="V119" s="11" t="str">
        <f t="shared" si="5"/>
        <v>#N/A</v>
      </c>
      <c r="W119" s="11" t="str">
        <f t="shared" si="6"/>
        <v>#N/A</v>
      </c>
      <c r="X119" s="11" t="str">
        <f>IF(VLOOKUP($H119, SeanRanks!$A$2:$H$303, 7, FALSE)=0, "", VLOOKUP($H119, SeanRanks!$A$2:$H$303, 7, FALSE))</f>
        <v>#N/A</v>
      </c>
    </row>
    <row r="120" ht="14.25" customHeight="1">
      <c r="A120" s="11"/>
      <c r="B120" s="11" t="str">
        <f t="shared" si="7"/>
        <v>#N/A</v>
      </c>
      <c r="C120" s="11" t="s">
        <v>95</v>
      </c>
      <c r="D120" s="11">
        <v>1.0</v>
      </c>
      <c r="E120" s="11"/>
      <c r="F120" s="11">
        <f t="shared" si="2"/>
        <v>1</v>
      </c>
      <c r="G120" s="11"/>
      <c r="H120" s="11" t="s">
        <v>1223</v>
      </c>
      <c r="I120" s="58" t="str">
        <f>VLOOKUP($H120, 'ADP Data'!$B$4:$Q$300, 2, FALSE)</f>
        <v>#N/A</v>
      </c>
      <c r="J120" s="11" t="s">
        <v>772</v>
      </c>
      <c r="K120" s="11" t="str">
        <f>VLOOKUP($H120, SeanRanks!$A$2:$H$303, 5, FALSE)</f>
        <v>#N/A</v>
      </c>
      <c r="L120" s="11" t="str">
        <f>IF(VLOOKUP($H120, SeanRanks!$A$2:$H$303, 6, FALSE)=0, "", VLOOKUP($H120, SeanRanks!$A$2:$H$303, 6, FALSE))</f>
        <v>#N/A</v>
      </c>
      <c r="M120" s="11">
        <f t="shared" si="3"/>
        <v>16</v>
      </c>
      <c r="N120" s="11" t="str">
        <f>VLOOKUP($H120, 'ADP Data'!$B$4:$Q$300, 10, FALSE)</f>
        <v>#N/A</v>
      </c>
      <c r="O120" s="11" t="str">
        <f>VLOOKUP($H120, 'ADP Data'!$B$4:$Q$300, 4, FALSE)</f>
        <v>#N/A</v>
      </c>
      <c r="P120" s="11" t="str">
        <f t="shared" si="4"/>
        <v>#N/A</v>
      </c>
      <c r="Q120" s="11" t="str">
        <f>VLOOKUP($H120, 'ADP Data'!$B$4:$Q$300, 5, FALSE)</f>
        <v>#N/A</v>
      </c>
      <c r="R120" s="11" t="str">
        <f>VLOOKUP($H120, 'ADP Data'!$B$4:$Q$300, 6, FALSE)</f>
        <v>#N/A</v>
      </c>
      <c r="S120" s="11" t="str">
        <f>VLOOKUP($H120, 'ADP Data'!$B$4:$Q$300, 7, FALSE)</f>
        <v>#N/A</v>
      </c>
      <c r="T120" s="11" t="str">
        <f>VLOOKUP($H120, 'ADP Data'!$B$4:$Q$300, 8, FALSE)</f>
        <v>#N/A</v>
      </c>
      <c r="U120" s="11" t="str">
        <f>VLOOKUP($H120, 'ADP Data'!$B$4:$Q$300, 9, FALSE)</f>
        <v>#N/A</v>
      </c>
      <c r="V120" s="11" t="str">
        <f t="shared" si="5"/>
        <v>#N/A</v>
      </c>
      <c r="W120" s="11" t="str">
        <f t="shared" si="6"/>
        <v>#N/A</v>
      </c>
      <c r="X120" s="11" t="str">
        <f>IF(VLOOKUP($H120, SeanRanks!$A$2:$H$303, 7, FALSE)=0, "", VLOOKUP($H120, SeanRanks!$A$2:$H$303, 7, FALSE))</f>
        <v>#N/A</v>
      </c>
    </row>
    <row r="121" ht="14.25" customHeight="1">
      <c r="A121" s="11"/>
      <c r="B121" s="11" t="str">
        <f t="shared" si="7"/>
        <v>#N/A</v>
      </c>
      <c r="C121" s="11" t="s">
        <v>106</v>
      </c>
      <c r="D121" s="11"/>
      <c r="E121" s="11"/>
      <c r="F121" s="11">
        <f t="shared" si="2"/>
        <v>0</v>
      </c>
      <c r="G121" s="11"/>
      <c r="H121" s="11" t="s">
        <v>917</v>
      </c>
      <c r="I121" s="11" t="str">
        <f>VLOOKUP($H121, 'ADP Data'!$B$4:$Q$300, 2, FALSE)</f>
        <v>#N/A</v>
      </c>
      <c r="J121" s="11" t="s">
        <v>772</v>
      </c>
      <c r="K121" s="11" t="str">
        <f>VLOOKUP($H121, SeanRanks!$A$2:$H$303, 5, FALSE)</f>
        <v/>
      </c>
      <c r="L121" s="11" t="str">
        <f>IF(VLOOKUP($H121, SeanRanks!$A$2:$H$303, 6, FALSE)=0, "", VLOOKUP($H121, SeanRanks!$A$2:$H$303, 6, FALSE))</f>
        <v/>
      </c>
      <c r="M121" s="11">
        <f t="shared" si="3"/>
        <v>16</v>
      </c>
      <c r="N121" s="11" t="str">
        <f>VLOOKUP($H121, 'ADP Data'!$B$4:$Q$300, 10, FALSE)</f>
        <v>#N/A</v>
      </c>
      <c r="O121" s="11" t="str">
        <f>VLOOKUP($H121, 'ADP Data'!$B$4:$Q$300, 4, FALSE)</f>
        <v>#N/A</v>
      </c>
      <c r="P121" s="11" t="str">
        <f t="shared" si="4"/>
        <v>#N/A</v>
      </c>
      <c r="Q121" s="11" t="str">
        <f>VLOOKUP($H121, 'ADP Data'!$B$4:$Q$300, 5, FALSE)</f>
        <v>#N/A</v>
      </c>
      <c r="R121" s="11" t="str">
        <f>VLOOKUP($H121, 'ADP Data'!$B$4:$Q$300, 6, FALSE)</f>
        <v>#N/A</v>
      </c>
      <c r="S121" s="11" t="str">
        <f>VLOOKUP($H121, 'ADP Data'!$B$4:$Q$300, 7, FALSE)</f>
        <v>#N/A</v>
      </c>
      <c r="T121" s="11" t="str">
        <f>VLOOKUP($H121, 'ADP Data'!$B$4:$Q$300, 8, FALSE)</f>
        <v>#N/A</v>
      </c>
      <c r="U121" s="11" t="str">
        <f>VLOOKUP($H121, 'ADP Data'!$B$4:$Q$300, 9, FALSE)</f>
        <v>#N/A</v>
      </c>
      <c r="V121" s="11" t="str">
        <f t="shared" si="5"/>
        <v>#N/A</v>
      </c>
      <c r="W121" s="11" t="str">
        <f t="shared" si="6"/>
        <v>#N/A</v>
      </c>
      <c r="X121" s="11" t="str">
        <f>IF(VLOOKUP($H121, SeanRanks!$A$2:$H$303, 7, FALSE)=0, "", VLOOKUP($H121, SeanRanks!$A$2:$H$303, 7, FALSE))</f>
        <v/>
      </c>
    </row>
    <row r="122" ht="14.25" customHeight="1">
      <c r="A122" s="11"/>
      <c r="B122" s="11" t="str">
        <f t="shared" si="7"/>
        <v>#N/A</v>
      </c>
      <c r="C122" s="11" t="s">
        <v>95</v>
      </c>
      <c r="D122" s="11">
        <v>2.0</v>
      </c>
      <c r="E122" s="11">
        <v>2.0</v>
      </c>
      <c r="F122" s="11">
        <f t="shared" si="2"/>
        <v>0</v>
      </c>
      <c r="G122" s="11"/>
      <c r="H122" s="11" t="s">
        <v>819</v>
      </c>
      <c r="I122" s="11" t="str">
        <f>VLOOKUP($H122, 'ADP Data'!$B$4:$Q$300, 2, FALSE)</f>
        <v>#N/A</v>
      </c>
      <c r="J122" s="11" t="s">
        <v>772</v>
      </c>
      <c r="K122" s="11" t="str">
        <f>VLOOKUP($H122, SeanRanks!$A$2:$H$303, 5, FALSE)</f>
        <v/>
      </c>
      <c r="L122" s="11" t="str">
        <f>IF(VLOOKUP($H122, SeanRanks!$A$2:$H$303, 6, FALSE)=0, "", VLOOKUP($H122, SeanRanks!$A$2:$H$303, 6, FALSE))</f>
        <v/>
      </c>
      <c r="M122" s="11">
        <f t="shared" si="3"/>
        <v>16</v>
      </c>
      <c r="N122" s="11" t="str">
        <f>VLOOKUP($H122, 'ADP Data'!$B$4:$Q$300, 10, FALSE)</f>
        <v>#N/A</v>
      </c>
      <c r="O122" s="11" t="str">
        <f>VLOOKUP($H122, 'ADP Data'!$B$4:$Q$300, 4, FALSE)</f>
        <v>#N/A</v>
      </c>
      <c r="P122" s="11" t="str">
        <f t="shared" si="4"/>
        <v>#N/A</v>
      </c>
      <c r="Q122" s="11" t="str">
        <f>VLOOKUP($H122, 'ADP Data'!$B$4:$Q$300, 5, FALSE)</f>
        <v>#N/A</v>
      </c>
      <c r="R122" s="11" t="str">
        <f>VLOOKUP($H122, 'ADP Data'!$B$4:$Q$300, 6, FALSE)</f>
        <v>#N/A</v>
      </c>
      <c r="S122" s="11" t="str">
        <f>VLOOKUP($H122, 'ADP Data'!$B$4:$Q$300, 7, FALSE)</f>
        <v>#N/A</v>
      </c>
      <c r="T122" s="11" t="str">
        <f>VLOOKUP($H122, 'ADP Data'!$B$4:$Q$300, 8, FALSE)</f>
        <v>#N/A</v>
      </c>
      <c r="U122" s="11" t="str">
        <f>VLOOKUP($H122, 'ADP Data'!$B$4:$Q$300, 9, FALSE)</f>
        <v>#N/A</v>
      </c>
      <c r="V122" s="11" t="str">
        <f t="shared" si="5"/>
        <v>#N/A</v>
      </c>
      <c r="W122" s="11" t="str">
        <f t="shared" si="6"/>
        <v>#N/A</v>
      </c>
      <c r="X122" s="11" t="str">
        <f>IF(VLOOKUP($H122, SeanRanks!$A$2:$H$303, 7, FALSE)=0, "", VLOOKUP($H122, SeanRanks!$A$2:$H$303, 7, FALSE))</f>
        <v/>
      </c>
    </row>
    <row r="123" ht="14.25" customHeight="1">
      <c r="A123" s="11"/>
      <c r="B123" s="11" t="str">
        <f t="shared" si="7"/>
        <v>#N/A</v>
      </c>
      <c r="C123" s="11" t="s">
        <v>95</v>
      </c>
      <c r="D123" s="11">
        <v>1.0</v>
      </c>
      <c r="E123" s="11">
        <v>1.0</v>
      </c>
      <c r="F123" s="11">
        <f t="shared" si="2"/>
        <v>0</v>
      </c>
      <c r="G123" s="11" t="s">
        <v>106</v>
      </c>
      <c r="H123" s="11" t="s">
        <v>294</v>
      </c>
      <c r="I123" s="11" t="str">
        <f>VLOOKUP($H123, 'ADP Data'!$B$4:$Q$300, 2, FALSE)</f>
        <v>#N/A</v>
      </c>
      <c r="J123" s="11" t="s">
        <v>772</v>
      </c>
      <c r="K123" s="11" t="str">
        <f>VLOOKUP($H123, SeanRanks!$A$2:$H$303, 5, FALSE)</f>
        <v>#N/A</v>
      </c>
      <c r="L123" s="11" t="str">
        <f>IF(VLOOKUP($H123, SeanRanks!$A$2:$H$303, 6, FALSE)=0, "", VLOOKUP($H123, SeanRanks!$A$2:$H$303, 6, FALSE))</f>
        <v>#N/A</v>
      </c>
      <c r="M123" s="11">
        <f t="shared" si="3"/>
        <v>16</v>
      </c>
      <c r="N123" s="11" t="str">
        <f>VLOOKUP($H123, 'ADP Data'!$B$4:$Q$300, 10, FALSE)</f>
        <v>#N/A</v>
      </c>
      <c r="O123" s="11" t="str">
        <f>VLOOKUP($H123, 'ADP Data'!$B$4:$Q$300, 4, FALSE)</f>
        <v>#N/A</v>
      </c>
      <c r="P123" s="11" t="str">
        <f t="shared" si="4"/>
        <v>#N/A</v>
      </c>
      <c r="Q123" s="11" t="str">
        <f>VLOOKUP($H123, 'ADP Data'!$B$4:$Q$300, 5, FALSE)</f>
        <v>#N/A</v>
      </c>
      <c r="R123" s="11" t="str">
        <f>VLOOKUP($H123, 'ADP Data'!$B$4:$Q$300, 6, FALSE)</f>
        <v>#N/A</v>
      </c>
      <c r="S123" s="11" t="str">
        <f>VLOOKUP($H123, 'ADP Data'!$B$4:$Q$300, 7, FALSE)</f>
        <v>#N/A</v>
      </c>
      <c r="T123" s="11" t="str">
        <f>VLOOKUP($H123, 'ADP Data'!$B$4:$Q$300, 8, FALSE)</f>
        <v>#N/A</v>
      </c>
      <c r="U123" s="11" t="str">
        <f>VLOOKUP($H123, 'ADP Data'!$B$4:$Q$300, 9, FALSE)</f>
        <v>#N/A</v>
      </c>
      <c r="V123" s="11" t="str">
        <f t="shared" si="5"/>
        <v>#N/A</v>
      </c>
      <c r="W123" s="11" t="str">
        <f t="shared" si="6"/>
        <v>#N/A</v>
      </c>
      <c r="X123" s="11" t="str">
        <f>IF(VLOOKUP($H123, SeanRanks!$A$2:$H$303, 7, FALSE)=0, "", VLOOKUP($H123, SeanRanks!$A$2:$H$303, 7, FALSE))</f>
        <v>#N/A</v>
      </c>
    </row>
    <row r="124" ht="14.25" customHeight="1">
      <c r="A124" s="11"/>
      <c r="B124" s="11" t="str">
        <f t="shared" si="7"/>
        <v>#N/A</v>
      </c>
      <c r="C124" s="11" t="s">
        <v>95</v>
      </c>
      <c r="D124" s="11">
        <v>1.0</v>
      </c>
      <c r="E124" s="11">
        <v>1.0</v>
      </c>
      <c r="F124" s="11">
        <f t="shared" si="2"/>
        <v>0</v>
      </c>
      <c r="G124" s="11"/>
      <c r="H124" s="11" t="s">
        <v>411</v>
      </c>
      <c r="I124" s="11" t="str">
        <f>VLOOKUP($H124, 'ADP Data'!$B$4:$Q$300, 2, FALSE)</f>
        <v>#N/A</v>
      </c>
      <c r="J124" s="11" t="s">
        <v>770</v>
      </c>
      <c r="K124" s="11" t="str">
        <f>VLOOKUP($H124, SeanRanks!$A$2:$H$303, 5, FALSE)</f>
        <v>Yes</v>
      </c>
      <c r="L124" s="11" t="str">
        <f>IF(VLOOKUP($H124, SeanRanks!$A$2:$H$303, 6, FALSE)=0, "", VLOOKUP($H124, SeanRanks!$A$2:$H$303, 6, FALSE))</f>
        <v>Fine very late round pick</v>
      </c>
      <c r="M124" s="11">
        <f t="shared" si="3"/>
        <v>16</v>
      </c>
      <c r="N124" s="11" t="str">
        <f>VLOOKUP($H124, 'ADP Data'!$B$4:$Q$300, 10, FALSE)</f>
        <v>#N/A</v>
      </c>
      <c r="O124" s="11" t="str">
        <f>VLOOKUP($H124, 'ADP Data'!$B$4:$Q$300, 4, FALSE)</f>
        <v>#N/A</v>
      </c>
      <c r="P124" s="11" t="str">
        <f t="shared" si="4"/>
        <v>#N/A</v>
      </c>
      <c r="Q124" s="11" t="str">
        <f>VLOOKUP($H124, 'ADP Data'!$B$4:$Q$300, 5, FALSE)</f>
        <v>#N/A</v>
      </c>
      <c r="R124" s="11" t="str">
        <f>VLOOKUP($H124, 'ADP Data'!$B$4:$Q$300, 6, FALSE)</f>
        <v>#N/A</v>
      </c>
      <c r="S124" s="11" t="str">
        <f>VLOOKUP($H124, 'ADP Data'!$B$4:$Q$300, 7, FALSE)</f>
        <v>#N/A</v>
      </c>
      <c r="T124" s="11" t="str">
        <f>VLOOKUP($H124, 'ADP Data'!$B$4:$Q$300, 8, FALSE)</f>
        <v>#N/A</v>
      </c>
      <c r="U124" s="11" t="str">
        <f>VLOOKUP($H124, 'ADP Data'!$B$4:$Q$300, 9, FALSE)</f>
        <v>#N/A</v>
      </c>
      <c r="V124" s="11" t="str">
        <f t="shared" si="5"/>
        <v>#N/A</v>
      </c>
      <c r="W124" s="11" t="str">
        <f t="shared" si="6"/>
        <v>#N/A</v>
      </c>
      <c r="X124" s="11">
        <f>IF(VLOOKUP($H124, SeanRanks!$A$2:$H$303, 7, FALSE)=0, "", VLOOKUP($H124, SeanRanks!$A$2:$H$303, 7, FALSE))</f>
        <v>25</v>
      </c>
    </row>
    <row r="125" ht="14.25" customHeight="1">
      <c r="A125" s="11"/>
      <c r="B125" s="11" t="str">
        <f t="shared" si="7"/>
        <v>#N/A</v>
      </c>
      <c r="C125" s="11" t="s">
        <v>95</v>
      </c>
      <c r="D125" s="11">
        <v>1.0</v>
      </c>
      <c r="E125" s="11">
        <v>0.0</v>
      </c>
      <c r="F125" s="11">
        <f t="shared" si="2"/>
        <v>1</v>
      </c>
      <c r="G125" s="11"/>
      <c r="H125" s="11" t="s">
        <v>993</v>
      </c>
      <c r="I125" s="11" t="str">
        <f>VLOOKUP($H125, 'ADP Data'!$B$4:$Q$300, 2, FALSE)</f>
        <v>#N/A</v>
      </c>
      <c r="J125" s="11" t="s">
        <v>781</v>
      </c>
      <c r="K125" s="11" t="str">
        <f>VLOOKUP($H125, SeanRanks!$A$2:$H$303, 5, FALSE)</f>
        <v/>
      </c>
      <c r="L125" s="11" t="str">
        <f>IF(VLOOKUP($H125, SeanRanks!$A$2:$H$303, 6, FALSE)=0, "", VLOOKUP($H125, SeanRanks!$A$2:$H$303, 6, FALSE))</f>
        <v/>
      </c>
      <c r="M125" s="11">
        <f t="shared" si="3"/>
        <v>16</v>
      </c>
      <c r="N125" s="11" t="str">
        <f>VLOOKUP($H125, 'ADP Data'!$B$4:$Q$300, 10, FALSE)</f>
        <v>#N/A</v>
      </c>
      <c r="O125" s="11" t="str">
        <f>VLOOKUP($H125, 'ADP Data'!$B$4:$Q$300, 4, FALSE)</f>
        <v>#N/A</v>
      </c>
      <c r="P125" s="11" t="str">
        <f t="shared" si="4"/>
        <v>#N/A</v>
      </c>
      <c r="Q125" s="11" t="str">
        <f>VLOOKUP($H125, 'ADP Data'!$B$4:$Q$300, 5, FALSE)</f>
        <v>#N/A</v>
      </c>
      <c r="R125" s="11" t="str">
        <f>VLOOKUP($H125, 'ADP Data'!$B$4:$Q$300, 6, FALSE)</f>
        <v>#N/A</v>
      </c>
      <c r="S125" s="11" t="str">
        <f>VLOOKUP($H125, 'ADP Data'!$B$4:$Q$300, 7, FALSE)</f>
        <v>#N/A</v>
      </c>
      <c r="T125" s="11" t="str">
        <f>VLOOKUP($H125, 'ADP Data'!$B$4:$Q$300, 8, FALSE)</f>
        <v>#N/A</v>
      </c>
      <c r="U125" s="11" t="str">
        <f>VLOOKUP($H125, 'ADP Data'!$B$4:$Q$300, 9, FALSE)</f>
        <v>#N/A</v>
      </c>
      <c r="V125" s="11" t="str">
        <f t="shared" si="5"/>
        <v>#N/A</v>
      </c>
      <c r="W125" s="11" t="str">
        <f t="shared" si="6"/>
        <v>#N/A</v>
      </c>
      <c r="X125" s="11" t="str">
        <f>IF(VLOOKUP($H125, SeanRanks!$A$2:$H$303, 7, FALSE)=0, "", VLOOKUP($H125, SeanRanks!$A$2:$H$303, 7, FALSE))</f>
        <v/>
      </c>
    </row>
    <row r="126" ht="14.25" customHeight="1">
      <c r="A126" s="11" t="s">
        <v>1156</v>
      </c>
      <c r="B126" s="11" t="str">
        <f t="shared" si="7"/>
        <v>#N/A</v>
      </c>
      <c r="C126" s="11" t="s">
        <v>95</v>
      </c>
      <c r="D126" s="11">
        <v>2.0</v>
      </c>
      <c r="E126" s="11"/>
      <c r="F126" s="11">
        <f t="shared" si="2"/>
        <v>2</v>
      </c>
      <c r="G126" s="11"/>
      <c r="H126" s="11" t="s">
        <v>676</v>
      </c>
      <c r="I126" s="11" t="str">
        <f>VLOOKUP($H126, 'ADP Data'!$B$4:$Q$300, 2, FALSE)</f>
        <v>#N/A</v>
      </c>
      <c r="J126" s="11" t="s">
        <v>785</v>
      </c>
      <c r="K126" s="11" t="str">
        <f>VLOOKUP($H126, SeanRanks!$A$2:$H$303, 5, FALSE)</f>
        <v/>
      </c>
      <c r="L126" s="11" t="str">
        <f>IF(VLOOKUP($H126, SeanRanks!$A$2:$H$303, 6, FALSE)=0, "", VLOOKUP($H126, SeanRanks!$A$2:$H$303, 6, FALSE))</f>
        <v/>
      </c>
      <c r="M126" s="11">
        <f t="shared" si="3"/>
        <v>16</v>
      </c>
      <c r="N126" s="11" t="str">
        <f>VLOOKUP($H126, 'ADP Data'!$B$4:$Q$300, 10, FALSE)</f>
        <v>#N/A</v>
      </c>
      <c r="O126" s="11" t="str">
        <f>VLOOKUP($H126, 'ADP Data'!$B$4:$Q$300, 4, FALSE)</f>
        <v>#N/A</v>
      </c>
      <c r="P126" s="11" t="str">
        <f t="shared" si="4"/>
        <v>#N/A</v>
      </c>
      <c r="Q126" s="11" t="str">
        <f>VLOOKUP($H126, 'ADP Data'!$B$4:$Q$300, 5, FALSE)</f>
        <v>#N/A</v>
      </c>
      <c r="R126" s="11" t="str">
        <f>VLOOKUP($H126, 'ADP Data'!$B$4:$Q$300, 6, FALSE)</f>
        <v>#N/A</v>
      </c>
      <c r="S126" s="11" t="str">
        <f>VLOOKUP($H126, 'ADP Data'!$B$4:$Q$300, 7, FALSE)</f>
        <v>#N/A</v>
      </c>
      <c r="T126" s="11" t="str">
        <f>VLOOKUP($H126, 'ADP Data'!$B$4:$Q$300, 8, FALSE)</f>
        <v>#N/A</v>
      </c>
      <c r="U126" s="11" t="str">
        <f>VLOOKUP($H126, 'ADP Data'!$B$4:$Q$300, 9, FALSE)</f>
        <v>#N/A</v>
      </c>
      <c r="V126" s="11" t="str">
        <f t="shared" si="5"/>
        <v>#N/A</v>
      </c>
      <c r="W126" s="11" t="str">
        <f t="shared" si="6"/>
        <v>#N/A</v>
      </c>
      <c r="X126" s="11" t="str">
        <f>IF(VLOOKUP($H126, SeanRanks!$A$2:$H$303, 7, FALSE)=0, "", VLOOKUP($H126, SeanRanks!$A$2:$H$303, 7, FALSE))</f>
        <v/>
      </c>
    </row>
    <row r="127" ht="14.25" customHeight="1">
      <c r="A127" s="11"/>
      <c r="B127" s="11" t="str">
        <f t="shared" si="7"/>
        <v>#N/A</v>
      </c>
      <c r="C127" s="11" t="s">
        <v>106</v>
      </c>
      <c r="D127" s="11">
        <v>4.0</v>
      </c>
      <c r="E127" s="11">
        <v>0.0</v>
      </c>
      <c r="F127" s="11">
        <f t="shared" si="2"/>
        <v>4</v>
      </c>
      <c r="G127" s="11"/>
      <c r="H127" s="11" t="s">
        <v>261</v>
      </c>
      <c r="I127" s="11" t="str">
        <f>VLOOKUP($H127, 'ADP Data'!$B$4:$Q$300, 2, FALSE)</f>
        <v>#N/A</v>
      </c>
      <c r="J127" s="11" t="s">
        <v>775</v>
      </c>
      <c r="K127" s="11" t="str">
        <f>VLOOKUP($H127, SeanRanks!$A$2:$H$303, 5, FALSE)</f>
        <v>Yes</v>
      </c>
      <c r="L127" s="11" t="str">
        <f>IF(VLOOKUP($H127, SeanRanks!$A$2:$H$303, 6, FALSE)=0, "", VLOOKUP($H127, SeanRanks!$A$2:$H$303, 6, FALSE))</f>
        <v>WR3 - 1 - </v>
      </c>
      <c r="M127" s="11">
        <f t="shared" si="3"/>
        <v>16</v>
      </c>
      <c r="N127" s="11" t="str">
        <f>VLOOKUP($H127, 'ADP Data'!$B$4:$Q$300, 10, FALSE)</f>
        <v>#N/A</v>
      </c>
      <c r="O127" s="11" t="str">
        <f>VLOOKUP($H127, 'ADP Data'!$B$4:$Q$300, 4, FALSE)</f>
        <v>#N/A</v>
      </c>
      <c r="P127" s="11" t="str">
        <f t="shared" si="4"/>
        <v>#N/A</v>
      </c>
      <c r="Q127" s="11" t="str">
        <f>VLOOKUP($H127, 'ADP Data'!$B$4:$Q$300, 5, FALSE)</f>
        <v>#N/A</v>
      </c>
      <c r="R127" s="11" t="str">
        <f>VLOOKUP($H127, 'ADP Data'!$B$4:$Q$300, 6, FALSE)</f>
        <v>#N/A</v>
      </c>
      <c r="S127" s="11" t="str">
        <f>VLOOKUP($H127, 'ADP Data'!$B$4:$Q$300, 7, FALSE)</f>
        <v>#N/A</v>
      </c>
      <c r="T127" s="11" t="str">
        <f>VLOOKUP($H127, 'ADP Data'!$B$4:$Q$300, 8, FALSE)</f>
        <v>#N/A</v>
      </c>
      <c r="U127" s="11" t="str">
        <f>VLOOKUP($H127, 'ADP Data'!$B$4:$Q$300, 9, FALSE)</f>
        <v>#N/A</v>
      </c>
      <c r="V127" s="11" t="str">
        <f t="shared" si="5"/>
        <v>#N/A</v>
      </c>
      <c r="W127" s="11" t="str">
        <f t="shared" si="6"/>
        <v>#N/A</v>
      </c>
      <c r="X127" s="11">
        <f>IF(VLOOKUP($H127, SeanRanks!$A$2:$H$303, 7, FALSE)=0, "", VLOOKUP($H127, SeanRanks!$A$2:$H$303, 7, FALSE))</f>
        <v>26</v>
      </c>
    </row>
    <row r="128" ht="14.25" customHeight="1">
      <c r="A128" s="11"/>
      <c r="B128" s="11" t="str">
        <f t="shared" si="7"/>
        <v>#N/A</v>
      </c>
      <c r="C128" s="11" t="s">
        <v>95</v>
      </c>
      <c r="D128" s="11">
        <v>1.0</v>
      </c>
      <c r="E128" s="11">
        <v>1.0</v>
      </c>
      <c r="F128" s="11">
        <f t="shared" si="2"/>
        <v>0</v>
      </c>
      <c r="G128" s="11"/>
      <c r="H128" s="11" t="s">
        <v>280</v>
      </c>
      <c r="I128" s="58" t="str">
        <f>VLOOKUP($H128, 'ADP Data'!$B$4:$Q$300, 2, FALSE)</f>
        <v>#N/A</v>
      </c>
      <c r="J128" s="11" t="s">
        <v>775</v>
      </c>
      <c r="K128" s="11" t="str">
        <f>VLOOKUP($H128, SeanRanks!$A$2:$H$303, 5, FALSE)</f>
        <v/>
      </c>
      <c r="L128" s="11" t="str">
        <f>IF(VLOOKUP($H128, SeanRanks!$A$2:$H$303, 6, FALSE)=0, "", VLOOKUP($H128, SeanRanks!$A$2:$H$303, 6, FALSE))</f>
        <v/>
      </c>
      <c r="M128" s="11">
        <f t="shared" si="3"/>
        <v>16</v>
      </c>
      <c r="N128" s="11" t="str">
        <f>VLOOKUP($H128, 'ADP Data'!$B$4:$Q$300, 10, FALSE)</f>
        <v>#N/A</v>
      </c>
      <c r="O128" s="11" t="str">
        <f>VLOOKUP($H128, 'ADP Data'!$B$4:$Q$300, 4, FALSE)</f>
        <v>#N/A</v>
      </c>
      <c r="P128" s="11" t="str">
        <f t="shared" si="4"/>
        <v>#N/A</v>
      </c>
      <c r="Q128" s="11" t="str">
        <f>VLOOKUP($H128, 'ADP Data'!$B$4:$Q$300, 5, FALSE)</f>
        <v>#N/A</v>
      </c>
      <c r="R128" s="11" t="str">
        <f>VLOOKUP($H128, 'ADP Data'!$B$4:$Q$300, 6, FALSE)</f>
        <v>#N/A</v>
      </c>
      <c r="S128" s="11" t="str">
        <f>VLOOKUP($H128, 'ADP Data'!$B$4:$Q$300, 7, FALSE)</f>
        <v>#N/A</v>
      </c>
      <c r="T128" s="11" t="str">
        <f>VLOOKUP($H128, 'ADP Data'!$B$4:$Q$300, 8, FALSE)</f>
        <v>#N/A</v>
      </c>
      <c r="U128" s="11" t="str">
        <f>VLOOKUP($H128, 'ADP Data'!$B$4:$Q$300, 9, FALSE)</f>
        <v>#N/A</v>
      </c>
      <c r="V128" s="11" t="str">
        <f t="shared" si="5"/>
        <v>#N/A</v>
      </c>
      <c r="W128" s="11" t="str">
        <f t="shared" si="6"/>
        <v>#N/A</v>
      </c>
      <c r="X128" s="11" t="str">
        <f>IF(VLOOKUP($H128, SeanRanks!$A$2:$H$303, 7, FALSE)=0, "", VLOOKUP($H128, SeanRanks!$A$2:$H$303, 7, FALSE))</f>
        <v/>
      </c>
    </row>
    <row r="129" ht="14.25" customHeight="1">
      <c r="A129" s="11"/>
      <c r="B129" s="11" t="str">
        <f t="shared" si="7"/>
        <v>#N/A</v>
      </c>
      <c r="C129" s="11" t="s">
        <v>106</v>
      </c>
      <c r="D129" s="11"/>
      <c r="E129" s="11"/>
      <c r="F129" s="11">
        <f t="shared" si="2"/>
        <v>0</v>
      </c>
      <c r="G129" s="11"/>
      <c r="H129" s="11" t="s">
        <v>409</v>
      </c>
      <c r="I129" s="11" t="str">
        <f>VLOOKUP($H129, 'ADP Data'!$B$4:$Q$300, 2, FALSE)</f>
        <v>#N/A</v>
      </c>
      <c r="J129" s="11" t="s">
        <v>781</v>
      </c>
      <c r="K129" s="11" t="str">
        <f>VLOOKUP($H129, SeanRanks!$A$2:$H$303, 5, FALSE)</f>
        <v/>
      </c>
      <c r="L129" s="11" t="str">
        <f>IF(VLOOKUP($H129, SeanRanks!$A$2:$H$303, 6, FALSE)=0, "", VLOOKUP($H129, SeanRanks!$A$2:$H$303, 6, FALSE))</f>
        <v/>
      </c>
      <c r="M129" s="11">
        <f t="shared" si="3"/>
        <v>16</v>
      </c>
      <c r="N129" s="11" t="str">
        <f>VLOOKUP($H129, 'ADP Data'!$B$4:$Q$300, 10, FALSE)</f>
        <v>#N/A</v>
      </c>
      <c r="O129" s="11" t="str">
        <f>VLOOKUP($H129, 'ADP Data'!$B$4:$Q$300, 4, FALSE)</f>
        <v>#N/A</v>
      </c>
      <c r="P129" s="11" t="str">
        <f t="shared" si="4"/>
        <v>#N/A</v>
      </c>
      <c r="Q129" s="11" t="str">
        <f>VLOOKUP($H129, 'ADP Data'!$B$4:$Q$300, 5, FALSE)</f>
        <v>#N/A</v>
      </c>
      <c r="R129" s="11" t="str">
        <f>VLOOKUP($H129, 'ADP Data'!$B$4:$Q$300, 6, FALSE)</f>
        <v>#N/A</v>
      </c>
      <c r="S129" s="11" t="str">
        <f>VLOOKUP($H129, 'ADP Data'!$B$4:$Q$300, 7, FALSE)</f>
        <v>#N/A</v>
      </c>
      <c r="T129" s="11" t="str">
        <f>VLOOKUP($H129, 'ADP Data'!$B$4:$Q$300, 8, FALSE)</f>
        <v>#N/A</v>
      </c>
      <c r="U129" s="11" t="str">
        <f>VLOOKUP($H129, 'ADP Data'!$B$4:$Q$300, 9, FALSE)</f>
        <v>#N/A</v>
      </c>
      <c r="V129" s="11" t="str">
        <f t="shared" si="5"/>
        <v>#N/A</v>
      </c>
      <c r="W129" s="11" t="str">
        <f t="shared" si="6"/>
        <v>#N/A</v>
      </c>
      <c r="X129" s="11" t="str">
        <f>IF(VLOOKUP($H129, SeanRanks!$A$2:$H$303, 7, FALSE)=0, "", VLOOKUP($H129, SeanRanks!$A$2:$H$303, 7, FALSE))</f>
        <v/>
      </c>
    </row>
    <row r="130" ht="14.25" customHeight="1">
      <c r="A130" s="11"/>
      <c r="B130" s="11" t="str">
        <f t="shared" si="7"/>
        <v>#N/A</v>
      </c>
      <c r="C130" s="11" t="s">
        <v>106</v>
      </c>
      <c r="D130" s="11"/>
      <c r="E130" s="11"/>
      <c r="F130" s="11">
        <f t="shared" si="2"/>
        <v>0</v>
      </c>
      <c r="G130" s="11"/>
      <c r="H130" s="11" t="s">
        <v>203</v>
      </c>
      <c r="I130" s="58" t="str">
        <f>VLOOKUP($H130, 'ADP Data'!$B$4:$Q$300, 2, FALSE)</f>
        <v>#N/A</v>
      </c>
      <c r="J130" s="11" t="s">
        <v>775</v>
      </c>
      <c r="K130" s="11" t="str">
        <f>VLOOKUP($H130, SeanRanks!$A$2:$H$303, 5, FALSE)</f>
        <v/>
      </c>
      <c r="L130" s="11" t="str">
        <f>IF(VLOOKUP($H130, SeanRanks!$A$2:$H$303, 6, FALSE)=0, "", VLOOKUP($H130, SeanRanks!$A$2:$H$303, 6, FALSE))</f>
        <v>WR3 - 1 - </v>
      </c>
      <c r="M130" s="11">
        <f t="shared" si="3"/>
        <v>16</v>
      </c>
      <c r="N130" s="11" t="str">
        <f>VLOOKUP($H130, 'ADP Data'!$B$4:$Q$300, 10, FALSE)</f>
        <v>#N/A</v>
      </c>
      <c r="O130" s="11" t="str">
        <f>VLOOKUP($H130, 'ADP Data'!$B$4:$Q$300, 4, FALSE)</f>
        <v>#N/A</v>
      </c>
      <c r="P130" s="11" t="str">
        <f t="shared" si="4"/>
        <v>#N/A</v>
      </c>
      <c r="Q130" s="11" t="str">
        <f>VLOOKUP($H130, 'ADP Data'!$B$4:$Q$300, 5, FALSE)</f>
        <v>#N/A</v>
      </c>
      <c r="R130" s="11" t="str">
        <f>VLOOKUP($H130, 'ADP Data'!$B$4:$Q$300, 6, FALSE)</f>
        <v>#N/A</v>
      </c>
      <c r="S130" s="11" t="str">
        <f>VLOOKUP($H130, 'ADP Data'!$B$4:$Q$300, 7, FALSE)</f>
        <v>#N/A</v>
      </c>
      <c r="T130" s="11" t="str">
        <f>VLOOKUP($H130, 'ADP Data'!$B$4:$Q$300, 8, FALSE)</f>
        <v>#N/A</v>
      </c>
      <c r="U130" s="11" t="str">
        <f>VLOOKUP($H130, 'ADP Data'!$B$4:$Q$300, 9, FALSE)</f>
        <v>#N/A</v>
      </c>
      <c r="V130" s="11" t="str">
        <f t="shared" si="5"/>
        <v>#N/A</v>
      </c>
      <c r="W130" s="11" t="str">
        <f t="shared" si="6"/>
        <v>#N/A</v>
      </c>
      <c r="X130" s="11">
        <f>IF(VLOOKUP($H130, SeanRanks!$A$2:$H$303, 7, FALSE)=0, "", VLOOKUP($H130, SeanRanks!$A$2:$H$303, 7, FALSE))</f>
        <v>23</v>
      </c>
    </row>
    <row r="131" ht="14.25" customHeight="1">
      <c r="A131" s="11"/>
      <c r="B131" s="11" t="str">
        <f t="shared" si="7"/>
        <v>#N/A</v>
      </c>
      <c r="C131" s="11" t="s">
        <v>106</v>
      </c>
      <c r="D131" s="11"/>
      <c r="E131" s="11"/>
      <c r="F131" s="11">
        <f t="shared" si="2"/>
        <v>0</v>
      </c>
      <c r="G131" s="11"/>
      <c r="H131" s="11" t="s">
        <v>931</v>
      </c>
      <c r="I131" s="11" t="str">
        <f>VLOOKUP($H131, 'ADP Data'!$B$4:$Q$300, 2, FALSE)</f>
        <v>#N/A</v>
      </c>
      <c r="J131" s="11" t="s">
        <v>775</v>
      </c>
      <c r="K131" s="11" t="str">
        <f>VLOOKUP($H131, SeanRanks!$A$2:$H$303, 5, FALSE)</f>
        <v>#N/A</v>
      </c>
      <c r="L131" s="11" t="str">
        <f>IF(VLOOKUP($H131, SeanRanks!$A$2:$H$303, 6, FALSE)=0, "", VLOOKUP($H131, SeanRanks!$A$2:$H$303, 6, FALSE))</f>
        <v>#N/A</v>
      </c>
      <c r="M131" s="11">
        <f t="shared" si="3"/>
        <v>16</v>
      </c>
      <c r="N131" s="11" t="str">
        <f>VLOOKUP($H131, 'ADP Data'!$B$4:$Q$300, 10, FALSE)</f>
        <v>#N/A</v>
      </c>
      <c r="O131" s="11" t="str">
        <f>VLOOKUP($H131, 'ADP Data'!$B$4:$Q$300, 4, FALSE)</f>
        <v>#N/A</v>
      </c>
      <c r="P131" s="11" t="str">
        <f t="shared" si="4"/>
        <v>#N/A</v>
      </c>
      <c r="Q131" s="11" t="str">
        <f>VLOOKUP($H131, 'ADP Data'!$B$4:$Q$300, 5, FALSE)</f>
        <v>#N/A</v>
      </c>
      <c r="R131" s="11" t="str">
        <f>VLOOKUP($H131, 'ADP Data'!$B$4:$Q$300, 6, FALSE)</f>
        <v>#N/A</v>
      </c>
      <c r="S131" s="11" t="str">
        <f>VLOOKUP($H131, 'ADP Data'!$B$4:$Q$300, 7, FALSE)</f>
        <v>#N/A</v>
      </c>
      <c r="T131" s="11" t="str">
        <f>VLOOKUP($H131, 'ADP Data'!$B$4:$Q$300, 8, FALSE)</f>
        <v>#N/A</v>
      </c>
      <c r="U131" s="11" t="str">
        <f>VLOOKUP($H131, 'ADP Data'!$B$4:$Q$300, 9, FALSE)</f>
        <v>#N/A</v>
      </c>
      <c r="V131" s="11" t="str">
        <f t="shared" si="5"/>
        <v>#N/A</v>
      </c>
      <c r="W131" s="11" t="str">
        <f t="shared" si="6"/>
        <v>#N/A</v>
      </c>
      <c r="X131" s="11" t="str">
        <f>IF(VLOOKUP($H131, SeanRanks!$A$2:$H$303, 7, FALSE)=0, "", VLOOKUP($H131, SeanRanks!$A$2:$H$303, 7, FALSE))</f>
        <v>#N/A</v>
      </c>
    </row>
    <row r="132" ht="14.25" customHeight="1">
      <c r="A132" s="11"/>
      <c r="B132" s="11" t="str">
        <f t="shared" si="7"/>
        <v>#N/A</v>
      </c>
      <c r="C132" s="11" t="s">
        <v>106</v>
      </c>
      <c r="D132" s="11"/>
      <c r="E132" s="11"/>
      <c r="F132" s="11">
        <f t="shared" si="2"/>
        <v>0</v>
      </c>
      <c r="G132" s="11"/>
      <c r="H132" s="11" t="s">
        <v>1254</v>
      </c>
      <c r="I132" s="11" t="str">
        <f>VLOOKUP($H132, 'ADP Data'!$B$4:$Q$300, 2, FALSE)</f>
        <v>#N/A</v>
      </c>
      <c r="J132" s="11" t="s">
        <v>772</v>
      </c>
      <c r="K132" s="11" t="str">
        <f>VLOOKUP($H132, SeanRanks!$A$2:$H$303, 5, FALSE)</f>
        <v>#N/A</v>
      </c>
      <c r="L132" s="11" t="str">
        <f>IF(VLOOKUP($H132, SeanRanks!$A$2:$H$303, 6, FALSE)=0, "", VLOOKUP($H132, SeanRanks!$A$2:$H$303, 6, FALSE))</f>
        <v>#N/A</v>
      </c>
      <c r="M132" s="11">
        <f t="shared" si="3"/>
        <v>16</v>
      </c>
      <c r="N132" s="11" t="str">
        <f>VLOOKUP($H132, 'ADP Data'!$B$4:$Q$300, 10, FALSE)</f>
        <v>#N/A</v>
      </c>
      <c r="O132" s="11" t="str">
        <f>VLOOKUP($H132, 'ADP Data'!$B$4:$Q$300, 4, FALSE)</f>
        <v>#N/A</v>
      </c>
      <c r="P132" s="11" t="str">
        <f t="shared" si="4"/>
        <v>#N/A</v>
      </c>
      <c r="Q132" s="11" t="str">
        <f>VLOOKUP($H132, 'ADP Data'!$B$4:$Q$300, 5, FALSE)</f>
        <v>#N/A</v>
      </c>
      <c r="R132" s="11" t="str">
        <f>VLOOKUP($H132, 'ADP Data'!$B$4:$Q$300, 6, FALSE)</f>
        <v>#N/A</v>
      </c>
      <c r="S132" s="11" t="str">
        <f>VLOOKUP($H132, 'ADP Data'!$B$4:$Q$300, 7, FALSE)</f>
        <v>#N/A</v>
      </c>
      <c r="T132" s="11" t="str">
        <f>VLOOKUP($H132, 'ADP Data'!$B$4:$Q$300, 8, FALSE)</f>
        <v>#N/A</v>
      </c>
      <c r="U132" s="11" t="str">
        <f>VLOOKUP($H132, 'ADP Data'!$B$4:$Q$300, 9, FALSE)</f>
        <v>#N/A</v>
      </c>
      <c r="V132" s="11" t="str">
        <f t="shared" si="5"/>
        <v>#N/A</v>
      </c>
      <c r="W132" s="11" t="str">
        <f t="shared" si="6"/>
        <v>#N/A</v>
      </c>
      <c r="X132" s="11" t="str">
        <f>IF(VLOOKUP($H132, SeanRanks!$A$2:$H$303, 7, FALSE)=0, "", VLOOKUP($H132, SeanRanks!$A$2:$H$303, 7, FALSE))</f>
        <v>#N/A</v>
      </c>
    </row>
    <row r="133" ht="14.25" customHeight="1">
      <c r="A133" s="11"/>
      <c r="B133" s="11" t="str">
        <f t="shared" si="7"/>
        <v>#N/A</v>
      </c>
      <c r="C133" s="11" t="s">
        <v>106</v>
      </c>
      <c r="D133" s="11"/>
      <c r="E133" s="11"/>
      <c r="F133" s="11">
        <f t="shared" si="2"/>
        <v>0</v>
      </c>
      <c r="G133" s="11"/>
      <c r="H133" s="11" t="s">
        <v>246</v>
      </c>
      <c r="I133" s="58" t="str">
        <f>VLOOKUP($H133, 'ADP Data'!$B$4:$Q$300, 2, FALSE)</f>
        <v>#N/A</v>
      </c>
      <c r="J133" s="11" t="s">
        <v>781</v>
      </c>
      <c r="K133" s="11" t="str">
        <f>VLOOKUP($H133, SeanRanks!$A$2:$H$303, 5, FALSE)</f>
        <v/>
      </c>
      <c r="L133" s="11" t="str">
        <f>IF(VLOOKUP($H133, SeanRanks!$A$2:$H$303, 6, FALSE)=0, "", VLOOKUP($H133, SeanRanks!$A$2:$H$303, 6, FALSE))</f>
        <v>TE1 - 2 - Very Good</v>
      </c>
      <c r="M133" s="11">
        <f t="shared" si="3"/>
        <v>16</v>
      </c>
      <c r="N133" s="11" t="str">
        <f>VLOOKUP($H133, 'ADP Data'!$B$4:$Q$300, 10, FALSE)</f>
        <v>#N/A</v>
      </c>
      <c r="O133" s="11" t="str">
        <f>VLOOKUP($H133, 'ADP Data'!$B$4:$Q$300, 4, FALSE)</f>
        <v>#N/A</v>
      </c>
      <c r="P133" s="11" t="str">
        <f t="shared" si="4"/>
        <v>#N/A</v>
      </c>
      <c r="Q133" s="11" t="str">
        <f>VLOOKUP($H133, 'ADP Data'!$B$4:$Q$300, 5, FALSE)</f>
        <v>#N/A</v>
      </c>
      <c r="R133" s="11" t="str">
        <f>VLOOKUP($H133, 'ADP Data'!$B$4:$Q$300, 6, FALSE)</f>
        <v>#N/A</v>
      </c>
      <c r="S133" s="11" t="str">
        <f>VLOOKUP($H133, 'ADP Data'!$B$4:$Q$300, 7, FALSE)</f>
        <v>#N/A</v>
      </c>
      <c r="T133" s="11" t="str">
        <f>VLOOKUP($H133, 'ADP Data'!$B$4:$Q$300, 8, FALSE)</f>
        <v>#N/A</v>
      </c>
      <c r="U133" s="11" t="str">
        <f>VLOOKUP($H133, 'ADP Data'!$B$4:$Q$300, 9, FALSE)</f>
        <v>#N/A</v>
      </c>
      <c r="V133" s="11" t="str">
        <f t="shared" si="5"/>
        <v>#N/A</v>
      </c>
      <c r="W133" s="11" t="str">
        <f t="shared" si="6"/>
        <v>#N/A</v>
      </c>
      <c r="X133" s="11">
        <f>IF(VLOOKUP($H133, SeanRanks!$A$2:$H$303, 7, FALSE)=0, "", VLOOKUP($H133, SeanRanks!$A$2:$H$303, 7, FALSE))</f>
        <v>4</v>
      </c>
    </row>
    <row r="134" ht="14.25" customHeight="1">
      <c r="A134" s="11"/>
      <c r="B134" s="11" t="str">
        <f t="shared" si="7"/>
        <v>#N/A</v>
      </c>
      <c r="C134" s="11" t="s">
        <v>106</v>
      </c>
      <c r="D134" s="11"/>
      <c r="E134" s="11"/>
      <c r="F134" s="11">
        <f t="shared" si="2"/>
        <v>0</v>
      </c>
      <c r="G134" s="11"/>
      <c r="H134" s="11" t="s">
        <v>118</v>
      </c>
      <c r="I134" s="11" t="str">
        <f>VLOOKUP($H134, 'ADP Data'!$B$4:$Q$300, 2, FALSE)</f>
        <v>#N/A</v>
      </c>
      <c r="J134" s="11" t="s">
        <v>775</v>
      </c>
      <c r="K134" s="11" t="str">
        <f>VLOOKUP($H134, SeanRanks!$A$2:$H$303, 5, FALSE)</f>
        <v/>
      </c>
      <c r="L134" s="11" t="str">
        <f>IF(VLOOKUP($H134, SeanRanks!$A$2:$H$303, 6, FALSE)=0, "", VLOOKUP($H134, SeanRanks!$A$2:$H$303, 6, FALSE))</f>
        <v>WR1 - 2 - High Floor</v>
      </c>
      <c r="M134" s="11">
        <f t="shared" si="3"/>
        <v>16</v>
      </c>
      <c r="N134" s="11" t="str">
        <f>VLOOKUP($H134, 'ADP Data'!$B$4:$Q$300, 10, FALSE)</f>
        <v>#N/A</v>
      </c>
      <c r="O134" s="11" t="str">
        <f>VLOOKUP($H134, 'ADP Data'!$B$4:$Q$300, 4, FALSE)</f>
        <v>#N/A</v>
      </c>
      <c r="P134" s="11" t="str">
        <f t="shared" si="4"/>
        <v>#N/A</v>
      </c>
      <c r="Q134" s="11" t="str">
        <f>VLOOKUP($H134, 'ADP Data'!$B$4:$Q$300, 5, FALSE)</f>
        <v>#N/A</v>
      </c>
      <c r="R134" s="11" t="str">
        <f>VLOOKUP($H134, 'ADP Data'!$B$4:$Q$300, 6, FALSE)</f>
        <v>#N/A</v>
      </c>
      <c r="S134" s="11" t="str">
        <f>VLOOKUP($H134, 'ADP Data'!$B$4:$Q$300, 7, FALSE)</f>
        <v>#N/A</v>
      </c>
      <c r="T134" s="11" t="str">
        <f>VLOOKUP($H134, 'ADP Data'!$B$4:$Q$300, 8, FALSE)</f>
        <v>#N/A</v>
      </c>
      <c r="U134" s="11" t="str">
        <f>VLOOKUP($H134, 'ADP Data'!$B$4:$Q$300, 9, FALSE)</f>
        <v>#N/A</v>
      </c>
      <c r="V134" s="11" t="str">
        <f t="shared" si="5"/>
        <v>#N/A</v>
      </c>
      <c r="W134" s="11" t="str">
        <f t="shared" si="6"/>
        <v>#N/A</v>
      </c>
      <c r="X134" s="11">
        <f>IF(VLOOKUP($H134, SeanRanks!$A$2:$H$303, 7, FALSE)=0, "", VLOOKUP($H134, SeanRanks!$A$2:$H$303, 7, FALSE))</f>
        <v>4</v>
      </c>
    </row>
    <row r="135" ht="14.25" customHeight="1">
      <c r="A135" s="11"/>
      <c r="B135" s="11" t="str">
        <f t="shared" si="7"/>
        <v>#N/A</v>
      </c>
      <c r="C135" s="11" t="s">
        <v>95</v>
      </c>
      <c r="D135" s="11">
        <v>2.0</v>
      </c>
      <c r="E135" s="11">
        <v>2.0</v>
      </c>
      <c r="F135" s="11">
        <f t="shared" si="2"/>
        <v>0</v>
      </c>
      <c r="G135" s="11"/>
      <c r="H135" s="11" t="s">
        <v>956</v>
      </c>
      <c r="I135" s="11" t="str">
        <f>VLOOKUP($H135, 'ADP Data'!$B$4:$Q$300, 2, FALSE)</f>
        <v>#N/A</v>
      </c>
      <c r="J135" s="11" t="s">
        <v>772</v>
      </c>
      <c r="K135" s="11" t="str">
        <f>VLOOKUP($H135, SeanRanks!$A$2:$H$303, 5, FALSE)</f>
        <v>#N/A</v>
      </c>
      <c r="L135" s="11" t="str">
        <f>IF(VLOOKUP($H135, SeanRanks!$A$2:$H$303, 6, FALSE)=0, "", VLOOKUP($H135, SeanRanks!$A$2:$H$303, 6, FALSE))</f>
        <v>#N/A</v>
      </c>
      <c r="M135" s="11">
        <f t="shared" si="3"/>
        <v>16</v>
      </c>
      <c r="N135" s="11" t="str">
        <f>VLOOKUP($H135, 'ADP Data'!$B$4:$Q$300, 10, FALSE)</f>
        <v>#N/A</v>
      </c>
      <c r="O135" s="11" t="str">
        <f>VLOOKUP($H135, 'ADP Data'!$B$4:$Q$300, 4, FALSE)</f>
        <v>#N/A</v>
      </c>
      <c r="P135" s="11" t="str">
        <f t="shared" si="4"/>
        <v>#N/A</v>
      </c>
      <c r="Q135" s="11" t="str">
        <f>VLOOKUP($H135, 'ADP Data'!$B$4:$Q$300, 5, FALSE)</f>
        <v>#N/A</v>
      </c>
      <c r="R135" s="11" t="str">
        <f>VLOOKUP($H135, 'ADP Data'!$B$4:$Q$300, 6, FALSE)</f>
        <v>#N/A</v>
      </c>
      <c r="S135" s="11" t="str">
        <f>VLOOKUP($H135, 'ADP Data'!$B$4:$Q$300, 7, FALSE)</f>
        <v>#N/A</v>
      </c>
      <c r="T135" s="11" t="str">
        <f>VLOOKUP($H135, 'ADP Data'!$B$4:$Q$300, 8, FALSE)</f>
        <v>#N/A</v>
      </c>
      <c r="U135" s="11" t="str">
        <f>VLOOKUP($H135, 'ADP Data'!$B$4:$Q$300, 9, FALSE)</f>
        <v>#N/A</v>
      </c>
      <c r="V135" s="11" t="str">
        <f t="shared" si="5"/>
        <v>#N/A</v>
      </c>
      <c r="W135" s="11" t="str">
        <f t="shared" si="6"/>
        <v>#N/A</v>
      </c>
      <c r="X135" s="11" t="str">
        <f>IF(VLOOKUP($H135, SeanRanks!$A$2:$H$303, 7, FALSE)=0, "", VLOOKUP($H135, SeanRanks!$A$2:$H$303, 7, FALSE))</f>
        <v>#N/A</v>
      </c>
    </row>
    <row r="136" ht="14.25" customHeight="1">
      <c r="A136" s="11"/>
      <c r="B136" s="11" t="str">
        <f t="shared" si="7"/>
        <v>#N/A</v>
      </c>
      <c r="C136" s="11" t="s">
        <v>95</v>
      </c>
      <c r="D136" s="11">
        <v>1.0</v>
      </c>
      <c r="E136" s="11"/>
      <c r="F136" s="11">
        <f t="shared" si="2"/>
        <v>1</v>
      </c>
      <c r="G136" s="11"/>
      <c r="H136" s="11" t="s">
        <v>1130</v>
      </c>
      <c r="I136" s="11" t="str">
        <f>VLOOKUP($H136, 'ADP Data'!$B$4:$Q$300, 2, FALSE)</f>
        <v>#N/A</v>
      </c>
      <c r="J136" s="11" t="s">
        <v>775</v>
      </c>
      <c r="K136" s="11" t="str">
        <f>VLOOKUP($H136, SeanRanks!$A$2:$H$303, 5, FALSE)</f>
        <v>#N/A</v>
      </c>
      <c r="L136" s="11" t="str">
        <f>IF(VLOOKUP($H136, SeanRanks!$A$2:$H$303, 6, FALSE)=0, "", VLOOKUP($H136, SeanRanks!$A$2:$H$303, 6, FALSE))</f>
        <v>#N/A</v>
      </c>
      <c r="M136" s="11">
        <f t="shared" si="3"/>
        <v>16</v>
      </c>
      <c r="N136" s="11" t="str">
        <f>VLOOKUP($H136, 'ADP Data'!$B$4:$Q$300, 10, FALSE)</f>
        <v>#N/A</v>
      </c>
      <c r="O136" s="11" t="str">
        <f>VLOOKUP($H136, 'ADP Data'!$B$4:$Q$300, 4, FALSE)</f>
        <v>#N/A</v>
      </c>
      <c r="P136" s="11" t="str">
        <f t="shared" si="4"/>
        <v>#N/A</v>
      </c>
      <c r="Q136" s="11" t="str">
        <f>VLOOKUP($H136, 'ADP Data'!$B$4:$Q$300, 5, FALSE)</f>
        <v>#N/A</v>
      </c>
      <c r="R136" s="11" t="str">
        <f>VLOOKUP($H136, 'ADP Data'!$B$4:$Q$300, 6, FALSE)</f>
        <v>#N/A</v>
      </c>
      <c r="S136" s="11" t="str">
        <f>VLOOKUP($H136, 'ADP Data'!$B$4:$Q$300, 7, FALSE)</f>
        <v>#N/A</v>
      </c>
      <c r="T136" s="11" t="str">
        <f>VLOOKUP($H136, 'ADP Data'!$B$4:$Q$300, 8, FALSE)</f>
        <v>#N/A</v>
      </c>
      <c r="U136" s="11" t="str">
        <f>VLOOKUP($H136, 'ADP Data'!$B$4:$Q$300, 9, FALSE)</f>
        <v>#N/A</v>
      </c>
      <c r="V136" s="11" t="str">
        <f t="shared" si="5"/>
        <v>#N/A</v>
      </c>
      <c r="W136" s="11" t="str">
        <f t="shared" si="6"/>
        <v>#N/A</v>
      </c>
      <c r="X136" s="11" t="str">
        <f>IF(VLOOKUP($H136, SeanRanks!$A$2:$H$303, 7, FALSE)=0, "", VLOOKUP($H136, SeanRanks!$A$2:$H$303, 7, FALSE))</f>
        <v>#N/A</v>
      </c>
    </row>
    <row r="137" ht="14.25" customHeight="1">
      <c r="A137" s="11"/>
      <c r="B137" s="11" t="str">
        <f t="shared" si="7"/>
        <v>#N/A</v>
      </c>
      <c r="C137" s="11" t="s">
        <v>95</v>
      </c>
      <c r="D137" s="11">
        <v>1.0</v>
      </c>
      <c r="E137" s="11">
        <v>1.0</v>
      </c>
      <c r="F137" s="11">
        <f t="shared" si="2"/>
        <v>0</v>
      </c>
      <c r="G137" s="11"/>
      <c r="H137" s="11" t="s">
        <v>236</v>
      </c>
      <c r="I137" s="93" t="str">
        <f>VLOOKUP($H137, 'ADP Data'!$B$4:$Q$300, 2, FALSE)</f>
        <v>#N/A</v>
      </c>
      <c r="J137" s="11" t="s">
        <v>772</v>
      </c>
      <c r="K137" s="11" t="str">
        <f>VLOOKUP($H137, SeanRanks!$A$2:$H$303, 5, FALSE)</f>
        <v/>
      </c>
      <c r="L137" s="11" t="str">
        <f>IF(VLOOKUP($H137, SeanRanks!$A$2:$H$303, 6, FALSE)=0, "", VLOOKUP($H137, SeanRanks!$A$2:$H$303, 6, FALSE))</f>
        <v>RB3 - 2 - low ceiling</v>
      </c>
      <c r="M137" s="11">
        <f t="shared" si="3"/>
        <v>16</v>
      </c>
      <c r="N137" s="11" t="str">
        <f>VLOOKUP($H137, 'ADP Data'!$B$4:$Q$300, 10, FALSE)</f>
        <v>#N/A</v>
      </c>
      <c r="O137" s="11" t="str">
        <f>VLOOKUP($H137, 'ADP Data'!$B$4:$Q$300, 4, FALSE)</f>
        <v>#N/A</v>
      </c>
      <c r="P137" s="11" t="str">
        <f t="shared" si="4"/>
        <v>#N/A</v>
      </c>
      <c r="Q137" s="11" t="str">
        <f>VLOOKUP($H137, 'ADP Data'!$B$4:$Q$300, 5, FALSE)</f>
        <v>#N/A</v>
      </c>
      <c r="R137" s="11" t="str">
        <f>VLOOKUP($H137, 'ADP Data'!$B$4:$Q$300, 6, FALSE)</f>
        <v>#N/A</v>
      </c>
      <c r="S137" s="11" t="str">
        <f>VLOOKUP($H137, 'ADP Data'!$B$4:$Q$300, 7, FALSE)</f>
        <v>#N/A</v>
      </c>
      <c r="T137" s="11" t="str">
        <f>VLOOKUP($H137, 'ADP Data'!$B$4:$Q$300, 8, FALSE)</f>
        <v>#N/A</v>
      </c>
      <c r="U137" s="11" t="str">
        <f>VLOOKUP($H137, 'ADP Data'!$B$4:$Q$300, 9, FALSE)</f>
        <v>#N/A</v>
      </c>
      <c r="V137" s="11" t="str">
        <f t="shared" si="5"/>
        <v>#N/A</v>
      </c>
      <c r="W137" s="11" t="str">
        <f t="shared" si="6"/>
        <v>#N/A</v>
      </c>
      <c r="X137" s="11">
        <f>IF(VLOOKUP($H137, SeanRanks!$A$2:$H$303, 7, FALSE)=0, "", VLOOKUP($H137, SeanRanks!$A$2:$H$303, 7, FALSE))</f>
        <v>35</v>
      </c>
    </row>
    <row r="138" ht="14.25" customHeight="1">
      <c r="A138" s="11"/>
      <c r="B138" s="11" t="str">
        <f t="shared" si="7"/>
        <v>#N/A</v>
      </c>
      <c r="C138" s="11" t="s">
        <v>106</v>
      </c>
      <c r="D138" s="11"/>
      <c r="E138" s="11"/>
      <c r="F138" s="11">
        <f t="shared" si="2"/>
        <v>0</v>
      </c>
      <c r="G138" s="11"/>
      <c r="H138" s="11" t="s">
        <v>920</v>
      </c>
      <c r="I138" s="11" t="str">
        <f>VLOOKUP($H138, 'ADP Data'!$B$4:$Q$300, 2, FALSE)</f>
        <v>#N/A</v>
      </c>
      <c r="J138" s="11" t="s">
        <v>772</v>
      </c>
      <c r="K138" s="11" t="str">
        <f>VLOOKUP($H138, SeanRanks!$A$2:$H$303, 5, FALSE)</f>
        <v/>
      </c>
      <c r="L138" s="11" t="str">
        <f>IF(VLOOKUP($H138, SeanRanks!$A$2:$H$303, 6, FALSE)=0, "", VLOOKUP($H138, SeanRanks!$A$2:$H$303, 6, FALSE))</f>
        <v/>
      </c>
      <c r="M138" s="11">
        <f t="shared" si="3"/>
        <v>16</v>
      </c>
      <c r="N138" s="11" t="str">
        <f>VLOOKUP($H138, 'ADP Data'!$B$4:$Q$300, 10, FALSE)</f>
        <v>#N/A</v>
      </c>
      <c r="O138" s="11" t="str">
        <f>VLOOKUP($H138, 'ADP Data'!$B$4:$Q$300, 4, FALSE)</f>
        <v>#N/A</v>
      </c>
      <c r="P138" s="11" t="str">
        <f t="shared" si="4"/>
        <v>#N/A</v>
      </c>
      <c r="Q138" s="11" t="str">
        <f>VLOOKUP($H138, 'ADP Data'!$B$4:$Q$300, 5, FALSE)</f>
        <v>#N/A</v>
      </c>
      <c r="R138" s="11" t="str">
        <f>VLOOKUP($H138, 'ADP Data'!$B$4:$Q$300, 6, FALSE)</f>
        <v>#N/A</v>
      </c>
      <c r="S138" s="11" t="str">
        <f>VLOOKUP($H138, 'ADP Data'!$B$4:$Q$300, 7, FALSE)</f>
        <v>#N/A</v>
      </c>
      <c r="T138" s="11" t="str">
        <f>VLOOKUP($H138, 'ADP Data'!$B$4:$Q$300, 8, FALSE)</f>
        <v>#N/A</v>
      </c>
      <c r="U138" s="11" t="str">
        <f>VLOOKUP($H138, 'ADP Data'!$B$4:$Q$300, 9, FALSE)</f>
        <v>#N/A</v>
      </c>
      <c r="V138" s="11" t="str">
        <f t="shared" si="5"/>
        <v>#N/A</v>
      </c>
      <c r="W138" s="11" t="str">
        <f t="shared" si="6"/>
        <v>#N/A</v>
      </c>
      <c r="X138" s="11" t="str">
        <f>IF(VLOOKUP($H138, SeanRanks!$A$2:$H$303, 7, FALSE)=0, "", VLOOKUP($H138, SeanRanks!$A$2:$H$303, 7, FALSE))</f>
        <v/>
      </c>
    </row>
    <row r="139" ht="14.25" customHeight="1">
      <c r="A139" s="11"/>
      <c r="B139" s="11" t="str">
        <f t="shared" si="7"/>
        <v>#N/A</v>
      </c>
      <c r="C139" s="11" t="s">
        <v>95</v>
      </c>
      <c r="D139" s="11">
        <v>1.0</v>
      </c>
      <c r="E139" s="11">
        <v>1.0</v>
      </c>
      <c r="F139" s="11">
        <f t="shared" si="2"/>
        <v>0</v>
      </c>
      <c r="G139" s="52" t="s">
        <v>106</v>
      </c>
      <c r="H139" s="11" t="s">
        <v>811</v>
      </c>
      <c r="I139" s="11" t="str">
        <f>VLOOKUP($H139, 'ADP Data'!$B$4:$Q$300, 2, FALSE)</f>
        <v>#N/A</v>
      </c>
      <c r="J139" s="11" t="s">
        <v>781</v>
      </c>
      <c r="K139" s="11" t="str">
        <f>VLOOKUP($H139, SeanRanks!$A$2:$H$303, 5, FALSE)</f>
        <v/>
      </c>
      <c r="L139" s="11" t="str">
        <f>IF(VLOOKUP($H139, SeanRanks!$A$2:$H$303, 6, FALSE)=0, "", VLOOKUP($H139, SeanRanks!$A$2:$H$303, 6, FALSE))</f>
        <v/>
      </c>
      <c r="M139" s="11">
        <f t="shared" si="3"/>
        <v>16</v>
      </c>
      <c r="N139" s="11" t="str">
        <f>VLOOKUP($H139, 'ADP Data'!$B$4:$Q$300, 10, FALSE)</f>
        <v>#N/A</v>
      </c>
      <c r="O139" s="11" t="str">
        <f>VLOOKUP($H139, 'ADP Data'!$B$4:$Q$300, 4, FALSE)</f>
        <v>#N/A</v>
      </c>
      <c r="P139" s="11" t="str">
        <f t="shared" si="4"/>
        <v>#N/A</v>
      </c>
      <c r="Q139" s="11" t="str">
        <f>VLOOKUP($H139, 'ADP Data'!$B$4:$Q$300, 5, FALSE)</f>
        <v>#N/A</v>
      </c>
      <c r="R139" s="11" t="str">
        <f>VLOOKUP($H139, 'ADP Data'!$B$4:$Q$300, 6, FALSE)</f>
        <v>#N/A</v>
      </c>
      <c r="S139" s="11" t="str">
        <f>VLOOKUP($H139, 'ADP Data'!$B$4:$Q$300, 7, FALSE)</f>
        <v>#N/A</v>
      </c>
      <c r="T139" s="11" t="str">
        <f>VLOOKUP($H139, 'ADP Data'!$B$4:$Q$300, 8, FALSE)</f>
        <v>#N/A</v>
      </c>
      <c r="U139" s="11" t="str">
        <f>VLOOKUP($H139, 'ADP Data'!$B$4:$Q$300, 9, FALSE)</f>
        <v>#N/A</v>
      </c>
      <c r="V139" s="11" t="str">
        <f t="shared" si="5"/>
        <v>#N/A</v>
      </c>
      <c r="W139" s="11" t="str">
        <f t="shared" si="6"/>
        <v>#N/A</v>
      </c>
      <c r="X139" s="11" t="str">
        <f>IF(VLOOKUP($H139, SeanRanks!$A$2:$H$303, 7, FALSE)=0, "", VLOOKUP($H139, SeanRanks!$A$2:$H$303, 7, FALSE))</f>
        <v/>
      </c>
    </row>
    <row r="140" ht="14.25" customHeight="1">
      <c r="A140" s="11"/>
      <c r="B140" s="11" t="str">
        <f t="shared" si="7"/>
        <v>#N/A</v>
      </c>
      <c r="C140" s="11" t="s">
        <v>106</v>
      </c>
      <c r="D140" s="11"/>
      <c r="E140" s="11">
        <v>1.0</v>
      </c>
      <c r="F140" s="11">
        <f t="shared" si="2"/>
        <v>-1</v>
      </c>
      <c r="G140" s="11" t="s">
        <v>106</v>
      </c>
      <c r="H140" s="11" t="s">
        <v>1194</v>
      </c>
      <c r="I140" s="11" t="str">
        <f>VLOOKUP($H140, 'ADP Data'!$B$4:$Q$300, 2, FALSE)</f>
        <v>#N/A</v>
      </c>
      <c r="J140" s="11" t="s">
        <v>775</v>
      </c>
      <c r="K140" s="11" t="str">
        <f>VLOOKUP($H140, SeanRanks!$A$2:$H$303, 5, FALSE)</f>
        <v>#N/A</v>
      </c>
      <c r="L140" s="11" t="str">
        <f>IF(VLOOKUP($H140, SeanRanks!$A$2:$H$303, 6, FALSE)=0, "", VLOOKUP($H140, SeanRanks!$A$2:$H$303, 6, FALSE))</f>
        <v>#N/A</v>
      </c>
      <c r="M140" s="11">
        <f t="shared" si="3"/>
        <v>16</v>
      </c>
      <c r="N140" s="11" t="str">
        <f>VLOOKUP($H140, 'ADP Data'!$B$4:$Q$300, 10, FALSE)</f>
        <v>#N/A</v>
      </c>
      <c r="O140" s="11" t="str">
        <f>VLOOKUP($H140, 'ADP Data'!$B$4:$Q$300, 4, FALSE)</f>
        <v>#N/A</v>
      </c>
      <c r="P140" s="11" t="str">
        <f t="shared" si="4"/>
        <v>#N/A</v>
      </c>
      <c r="Q140" s="11" t="str">
        <f>VLOOKUP($H140, 'ADP Data'!$B$4:$Q$300, 5, FALSE)</f>
        <v>#N/A</v>
      </c>
      <c r="R140" s="11" t="str">
        <f>VLOOKUP($H140, 'ADP Data'!$B$4:$Q$300, 6, FALSE)</f>
        <v>#N/A</v>
      </c>
      <c r="S140" s="11" t="str">
        <f>VLOOKUP($H140, 'ADP Data'!$B$4:$Q$300, 7, FALSE)</f>
        <v>#N/A</v>
      </c>
      <c r="T140" s="11" t="str">
        <f>VLOOKUP($H140, 'ADP Data'!$B$4:$Q$300, 8, FALSE)</f>
        <v>#N/A</v>
      </c>
      <c r="U140" s="11" t="str">
        <f>VLOOKUP($H140, 'ADP Data'!$B$4:$Q$300, 9, FALSE)</f>
        <v>#N/A</v>
      </c>
      <c r="V140" s="11" t="str">
        <f t="shared" si="5"/>
        <v>#N/A</v>
      </c>
      <c r="W140" s="11" t="str">
        <f t="shared" si="6"/>
        <v>#N/A</v>
      </c>
      <c r="X140" s="11" t="str">
        <f>IF(VLOOKUP($H140, SeanRanks!$A$2:$H$303, 7, FALSE)=0, "", VLOOKUP($H140, SeanRanks!$A$2:$H$303, 7, FALSE))</f>
        <v>#N/A</v>
      </c>
    </row>
    <row r="141" ht="14.25" customHeight="1">
      <c r="A141" s="11"/>
      <c r="B141" s="11" t="str">
        <f t="shared" si="7"/>
        <v>#N/A</v>
      </c>
      <c r="C141" s="11" t="s">
        <v>95</v>
      </c>
      <c r="D141" s="11">
        <v>1.0</v>
      </c>
      <c r="E141" s="11"/>
      <c r="F141" s="11">
        <f t="shared" si="2"/>
        <v>1</v>
      </c>
      <c r="G141" s="11"/>
      <c r="H141" s="11" t="s">
        <v>342</v>
      </c>
      <c r="I141" s="11" t="str">
        <f>VLOOKUP($H141, 'ADP Data'!$B$4:$Q$300, 2, FALSE)</f>
        <v>#N/A</v>
      </c>
      <c r="J141" s="11" t="s">
        <v>775</v>
      </c>
      <c r="K141" s="11" t="str">
        <f>VLOOKUP($H141, SeanRanks!$A$2:$H$303, 5, FALSE)</f>
        <v/>
      </c>
      <c r="L141" s="11" t="str">
        <f>IF(VLOOKUP($H141, SeanRanks!$A$2:$H$303, 6, FALSE)=0, "", VLOOKUP($H141, SeanRanks!$A$2:$H$303, 6, FALSE))</f>
        <v>WR3 - 3 - lower ceiling</v>
      </c>
      <c r="M141" s="11">
        <f t="shared" si="3"/>
        <v>16</v>
      </c>
      <c r="N141" s="11" t="str">
        <f>VLOOKUP($H141, 'ADP Data'!$B$4:$Q$300, 10, FALSE)</f>
        <v>#N/A</v>
      </c>
      <c r="O141" s="11" t="str">
        <f>VLOOKUP($H141, 'ADP Data'!$B$4:$Q$300, 4, FALSE)</f>
        <v>#N/A</v>
      </c>
      <c r="P141" s="11" t="str">
        <f t="shared" si="4"/>
        <v>#N/A</v>
      </c>
      <c r="Q141" s="11" t="str">
        <f>VLOOKUP($H141, 'ADP Data'!$B$4:$Q$300, 5, FALSE)</f>
        <v>#N/A</v>
      </c>
      <c r="R141" s="11" t="str">
        <f>VLOOKUP($H141, 'ADP Data'!$B$4:$Q$300, 6, FALSE)</f>
        <v>#N/A</v>
      </c>
      <c r="S141" s="11" t="str">
        <f>VLOOKUP($H141, 'ADP Data'!$B$4:$Q$300, 7, FALSE)</f>
        <v>#N/A</v>
      </c>
      <c r="T141" s="11" t="str">
        <f>VLOOKUP($H141, 'ADP Data'!$B$4:$Q$300, 8, FALSE)</f>
        <v>#N/A</v>
      </c>
      <c r="U141" s="11" t="str">
        <f>VLOOKUP($H141, 'ADP Data'!$B$4:$Q$300, 9, FALSE)</f>
        <v>#N/A</v>
      </c>
      <c r="V141" s="11" t="str">
        <f t="shared" si="5"/>
        <v>#N/A</v>
      </c>
      <c r="W141" s="11" t="str">
        <f t="shared" si="6"/>
        <v>#N/A</v>
      </c>
      <c r="X141" s="11">
        <f>IF(VLOOKUP($H141, SeanRanks!$A$2:$H$303, 7, FALSE)=0, "", VLOOKUP($H141, SeanRanks!$A$2:$H$303, 7, FALSE))</f>
        <v>35</v>
      </c>
    </row>
    <row r="142" ht="14.25" customHeight="1">
      <c r="A142" s="11"/>
      <c r="B142" s="11" t="str">
        <f t="shared" si="7"/>
        <v>#N/A</v>
      </c>
      <c r="C142" s="11" t="s">
        <v>106</v>
      </c>
      <c r="D142" s="11"/>
      <c r="E142" s="11"/>
      <c r="F142" s="11">
        <f t="shared" si="2"/>
        <v>0</v>
      </c>
      <c r="G142" s="11"/>
      <c r="H142" s="11" t="s">
        <v>590</v>
      </c>
      <c r="I142" s="11" t="str">
        <f>VLOOKUP($H142, 'ADP Data'!$B$4:$Q$300, 2, FALSE)</f>
        <v>#N/A</v>
      </c>
      <c r="J142" s="11" t="s">
        <v>775</v>
      </c>
      <c r="K142" s="11" t="str">
        <f>VLOOKUP($H142, SeanRanks!$A$2:$H$303, 5, FALSE)</f>
        <v/>
      </c>
      <c r="L142" s="11" t="str">
        <f>IF(VLOOKUP($H142, SeanRanks!$A$2:$H$303, 6, FALSE)=0, "", VLOOKUP($H142, SeanRanks!$A$2:$H$303, 6, FALSE))</f>
        <v>WR5 - 2 - floor play not league winner</v>
      </c>
      <c r="M142" s="11">
        <f t="shared" si="3"/>
        <v>16</v>
      </c>
      <c r="N142" s="11" t="str">
        <f>VLOOKUP($H142, 'ADP Data'!$B$4:$Q$300, 10, FALSE)</f>
        <v>#N/A</v>
      </c>
      <c r="O142" s="11" t="str">
        <f>VLOOKUP($H142, 'ADP Data'!$B$4:$Q$300, 4, FALSE)</f>
        <v>#N/A</v>
      </c>
      <c r="P142" s="11" t="str">
        <f t="shared" si="4"/>
        <v>#N/A</v>
      </c>
      <c r="Q142" s="11" t="str">
        <f>VLOOKUP($H142, 'ADP Data'!$B$4:$Q$300, 5, FALSE)</f>
        <v>#N/A</v>
      </c>
      <c r="R142" s="11" t="str">
        <f>VLOOKUP($H142, 'ADP Data'!$B$4:$Q$300, 6, FALSE)</f>
        <v>#N/A</v>
      </c>
      <c r="S142" s="11" t="str">
        <f>VLOOKUP($H142, 'ADP Data'!$B$4:$Q$300, 7, FALSE)</f>
        <v>#N/A</v>
      </c>
      <c r="T142" s="11" t="str">
        <f>VLOOKUP($H142, 'ADP Data'!$B$4:$Q$300, 8, FALSE)</f>
        <v>#N/A</v>
      </c>
      <c r="U142" s="11" t="str">
        <f>VLOOKUP($H142, 'ADP Data'!$B$4:$Q$300, 9, FALSE)</f>
        <v>#N/A</v>
      </c>
      <c r="V142" s="11" t="str">
        <f t="shared" si="5"/>
        <v>#N/A</v>
      </c>
      <c r="W142" s="11" t="str">
        <f t="shared" si="6"/>
        <v>#N/A</v>
      </c>
      <c r="X142" s="11">
        <f>IF(VLOOKUP($H142, SeanRanks!$A$2:$H$303, 7, FALSE)=0, "", VLOOKUP($H142, SeanRanks!$A$2:$H$303, 7, FALSE))</f>
        <v>56</v>
      </c>
    </row>
    <row r="143" ht="14.25" customHeight="1">
      <c r="A143" s="11"/>
      <c r="B143" s="11" t="str">
        <f t="shared" si="7"/>
        <v>#N/A</v>
      </c>
      <c r="C143" s="11" t="s">
        <v>106</v>
      </c>
      <c r="D143" s="11"/>
      <c r="E143" s="11"/>
      <c r="F143" s="11">
        <f t="shared" si="2"/>
        <v>0</v>
      </c>
      <c r="G143" s="11" t="s">
        <v>1122</v>
      </c>
      <c r="H143" s="11" t="s">
        <v>359</v>
      </c>
      <c r="I143" s="11" t="str">
        <f>VLOOKUP($H143, 'ADP Data'!$B$4:$Q$300, 2, FALSE)</f>
        <v>#N/A</v>
      </c>
      <c r="J143" s="11" t="s">
        <v>775</v>
      </c>
      <c r="K143" s="11" t="str">
        <f>VLOOKUP($H143, SeanRanks!$A$2:$H$303, 5, FALSE)</f>
        <v/>
      </c>
      <c r="L143" s="11" t="str">
        <f>IF(VLOOKUP($H143, SeanRanks!$A$2:$H$303, 6, FALSE)=0, "", VLOOKUP($H143, SeanRanks!$A$2:$H$303, 6, FALSE))</f>
        <v/>
      </c>
      <c r="M143" s="11">
        <f t="shared" si="3"/>
        <v>16</v>
      </c>
      <c r="N143" s="11" t="str">
        <f>VLOOKUP($H143, 'ADP Data'!$B$4:$Q$300, 10, FALSE)</f>
        <v>#N/A</v>
      </c>
      <c r="O143" s="11" t="str">
        <f>VLOOKUP($H143, 'ADP Data'!$B$4:$Q$300, 4, FALSE)</f>
        <v>#N/A</v>
      </c>
      <c r="P143" s="11" t="str">
        <f t="shared" si="4"/>
        <v>#N/A</v>
      </c>
      <c r="Q143" s="11" t="str">
        <f>VLOOKUP($H143, 'ADP Data'!$B$4:$Q$300, 5, FALSE)</f>
        <v>#N/A</v>
      </c>
      <c r="R143" s="11" t="str">
        <f>VLOOKUP($H143, 'ADP Data'!$B$4:$Q$300, 6, FALSE)</f>
        <v>#N/A</v>
      </c>
      <c r="S143" s="11" t="str">
        <f>VLOOKUP($H143, 'ADP Data'!$B$4:$Q$300, 7, FALSE)</f>
        <v>#N/A</v>
      </c>
      <c r="T143" s="11" t="str">
        <f>VLOOKUP($H143, 'ADP Data'!$B$4:$Q$300, 8, FALSE)</f>
        <v>#N/A</v>
      </c>
      <c r="U143" s="11" t="str">
        <f>VLOOKUP($H143, 'ADP Data'!$B$4:$Q$300, 9, FALSE)</f>
        <v>#N/A</v>
      </c>
      <c r="V143" s="11" t="str">
        <f t="shared" si="5"/>
        <v>#N/A</v>
      </c>
      <c r="W143" s="11" t="str">
        <f t="shared" si="6"/>
        <v>#N/A</v>
      </c>
      <c r="X143" s="11" t="str">
        <f>IF(VLOOKUP($H143, SeanRanks!$A$2:$H$303, 7, FALSE)=0, "", VLOOKUP($H143, SeanRanks!$A$2:$H$303, 7, FALSE))</f>
        <v/>
      </c>
    </row>
    <row r="144" ht="14.25" customHeight="1">
      <c r="A144" s="11"/>
      <c r="B144" s="11" t="str">
        <f t="shared" si="7"/>
        <v>#N/A</v>
      </c>
      <c r="C144" s="11" t="s">
        <v>106</v>
      </c>
      <c r="D144" s="11"/>
      <c r="E144" s="11">
        <v>2.0</v>
      </c>
      <c r="F144" s="11">
        <f t="shared" si="2"/>
        <v>-2</v>
      </c>
      <c r="G144" s="52" t="s">
        <v>1270</v>
      </c>
      <c r="H144" s="11" t="s">
        <v>346</v>
      </c>
      <c r="I144" s="58" t="str">
        <f>VLOOKUP($H144, 'ADP Data'!$B$4:$Q$300, 2, FALSE)</f>
        <v>#N/A</v>
      </c>
      <c r="J144" s="11" t="s">
        <v>770</v>
      </c>
      <c r="K144" s="11" t="str">
        <f>VLOOKUP($H144, SeanRanks!$A$2:$H$303, 5, FALSE)</f>
        <v/>
      </c>
      <c r="L144" s="11" t="str">
        <f>IF(VLOOKUP($H144, SeanRanks!$A$2:$H$303, 6, FALSE)=0, "", VLOOKUP($H144, SeanRanks!$A$2:$H$303, 6, FALSE))</f>
        <v>QB2 - 2 - Not League Winner</v>
      </c>
      <c r="M144" s="11">
        <f t="shared" si="3"/>
        <v>16</v>
      </c>
      <c r="N144" s="11" t="str">
        <f>VLOOKUP($H144, 'ADP Data'!$B$4:$Q$300, 10, FALSE)</f>
        <v>#N/A</v>
      </c>
      <c r="O144" s="11" t="str">
        <f>VLOOKUP($H144, 'ADP Data'!$B$4:$Q$300, 4, FALSE)</f>
        <v>#N/A</v>
      </c>
      <c r="P144" s="11" t="str">
        <f t="shared" si="4"/>
        <v>#N/A</v>
      </c>
      <c r="Q144" s="11" t="str">
        <f>VLOOKUP($H144, 'ADP Data'!$B$4:$Q$300, 5, FALSE)</f>
        <v>#N/A</v>
      </c>
      <c r="R144" s="11" t="str">
        <f>VLOOKUP($H144, 'ADP Data'!$B$4:$Q$300, 6, FALSE)</f>
        <v>#N/A</v>
      </c>
      <c r="S144" s="11" t="str">
        <f>VLOOKUP($H144, 'ADP Data'!$B$4:$Q$300, 7, FALSE)</f>
        <v>#N/A</v>
      </c>
      <c r="T144" s="11" t="str">
        <f>VLOOKUP($H144, 'ADP Data'!$B$4:$Q$300, 8, FALSE)</f>
        <v>#N/A</v>
      </c>
      <c r="U144" s="11" t="str">
        <f>VLOOKUP($H144, 'ADP Data'!$B$4:$Q$300, 9, FALSE)</f>
        <v>#N/A</v>
      </c>
      <c r="V144" s="11" t="str">
        <f t="shared" si="5"/>
        <v>#N/A</v>
      </c>
      <c r="W144" s="11" t="str">
        <f t="shared" si="6"/>
        <v>#N/A</v>
      </c>
      <c r="X144" s="11">
        <f>IF(VLOOKUP($H144, SeanRanks!$A$2:$H$303, 7, FALSE)=0, "", VLOOKUP($H144, SeanRanks!$A$2:$H$303, 7, FALSE))</f>
        <v>16</v>
      </c>
    </row>
    <row r="145" ht="14.25" customHeight="1">
      <c r="A145" s="11"/>
      <c r="B145" s="11" t="str">
        <f t="shared" si="7"/>
        <v>#N/A</v>
      </c>
      <c r="C145" s="11" t="s">
        <v>106</v>
      </c>
      <c r="D145" s="11"/>
      <c r="E145" s="11"/>
      <c r="F145" s="11">
        <f t="shared" si="2"/>
        <v>0</v>
      </c>
      <c r="G145" s="11"/>
      <c r="H145" s="11" t="s">
        <v>921</v>
      </c>
      <c r="I145" s="11" t="str">
        <f>VLOOKUP($H145, 'ADP Data'!$B$4:$Q$300, 2, FALSE)</f>
        <v>#N/A</v>
      </c>
      <c r="J145" s="11" t="s">
        <v>770</v>
      </c>
      <c r="K145" s="11" t="str">
        <f>VLOOKUP($H145, SeanRanks!$A$2:$H$303, 5, FALSE)</f>
        <v/>
      </c>
      <c r="L145" s="11" t="str">
        <f>IF(VLOOKUP($H145, SeanRanks!$A$2:$H$303, 6, FALSE)=0, "", VLOOKUP($H145, SeanRanks!$A$2:$H$303, 6, FALSE))</f>
        <v/>
      </c>
      <c r="M145" s="11">
        <f t="shared" si="3"/>
        <v>16</v>
      </c>
      <c r="N145" s="11" t="str">
        <f>VLOOKUP($H145, 'ADP Data'!$B$4:$Q$300, 10, FALSE)</f>
        <v>#N/A</v>
      </c>
      <c r="O145" s="11" t="str">
        <f>VLOOKUP($H145, 'ADP Data'!$B$4:$Q$300, 4, FALSE)</f>
        <v>#N/A</v>
      </c>
      <c r="P145" s="11" t="str">
        <f t="shared" si="4"/>
        <v>#N/A</v>
      </c>
      <c r="Q145" s="11" t="str">
        <f>VLOOKUP($H145, 'ADP Data'!$B$4:$Q$300, 5, FALSE)</f>
        <v>#N/A</v>
      </c>
      <c r="R145" s="11" t="str">
        <f>VLOOKUP($H145, 'ADP Data'!$B$4:$Q$300, 6, FALSE)</f>
        <v>#N/A</v>
      </c>
      <c r="S145" s="11" t="str">
        <f>VLOOKUP($H145, 'ADP Data'!$B$4:$Q$300, 7, FALSE)</f>
        <v>#N/A</v>
      </c>
      <c r="T145" s="11" t="str">
        <f>VLOOKUP($H145, 'ADP Data'!$B$4:$Q$300, 8, FALSE)</f>
        <v>#N/A</v>
      </c>
      <c r="U145" s="11" t="str">
        <f>VLOOKUP($H145, 'ADP Data'!$B$4:$Q$300, 9, FALSE)</f>
        <v>#N/A</v>
      </c>
      <c r="V145" s="11" t="str">
        <f t="shared" si="5"/>
        <v>#N/A</v>
      </c>
      <c r="W145" s="11" t="str">
        <f t="shared" si="6"/>
        <v>#N/A</v>
      </c>
      <c r="X145" s="11" t="str">
        <f>IF(VLOOKUP($H145, SeanRanks!$A$2:$H$303, 7, FALSE)=0, "", VLOOKUP($H145, SeanRanks!$A$2:$H$303, 7, FALSE))</f>
        <v/>
      </c>
    </row>
    <row r="146" ht="14.25" customHeight="1">
      <c r="A146" s="11"/>
      <c r="B146" s="11" t="str">
        <f t="shared" si="7"/>
        <v>#N/A</v>
      </c>
      <c r="C146" s="11" t="s">
        <v>95</v>
      </c>
      <c r="D146" s="11">
        <v>2.0</v>
      </c>
      <c r="E146" s="11">
        <v>0.0</v>
      </c>
      <c r="F146" s="11">
        <f t="shared" si="2"/>
        <v>2</v>
      </c>
      <c r="G146" s="11"/>
      <c r="H146" s="11" t="s">
        <v>1272</v>
      </c>
      <c r="I146" s="11" t="str">
        <f>VLOOKUP($H146, 'ADP Data'!$B$4:$Q$300, 2, FALSE)</f>
        <v>#N/A</v>
      </c>
      <c r="J146" s="11" t="s">
        <v>775</v>
      </c>
      <c r="K146" s="11" t="str">
        <f>VLOOKUP($H146, SeanRanks!$A$2:$H$303, 5, FALSE)</f>
        <v>#N/A</v>
      </c>
      <c r="L146" s="11" t="str">
        <f>IF(VLOOKUP($H146, SeanRanks!$A$2:$H$303, 6, FALSE)=0, "", VLOOKUP($H146, SeanRanks!$A$2:$H$303, 6, FALSE))</f>
        <v>#N/A</v>
      </c>
      <c r="M146" s="11">
        <f t="shared" si="3"/>
        <v>16</v>
      </c>
      <c r="N146" s="11" t="str">
        <f>VLOOKUP($H146, 'ADP Data'!$B$4:$Q$300, 10, FALSE)</f>
        <v>#N/A</v>
      </c>
      <c r="O146" s="11" t="str">
        <f>VLOOKUP($H146, 'ADP Data'!$B$4:$Q$300, 4, FALSE)</f>
        <v>#N/A</v>
      </c>
      <c r="P146" s="11" t="str">
        <f t="shared" si="4"/>
        <v>#N/A</v>
      </c>
      <c r="Q146" s="11" t="str">
        <f>VLOOKUP($H146, 'ADP Data'!$B$4:$Q$300, 5, FALSE)</f>
        <v>#N/A</v>
      </c>
      <c r="R146" s="11" t="str">
        <f>VLOOKUP($H146, 'ADP Data'!$B$4:$Q$300, 6, FALSE)</f>
        <v>#N/A</v>
      </c>
      <c r="S146" s="11" t="str">
        <f>VLOOKUP($H146, 'ADP Data'!$B$4:$Q$300, 7, FALSE)</f>
        <v>#N/A</v>
      </c>
      <c r="T146" s="11" t="str">
        <f>VLOOKUP($H146, 'ADP Data'!$B$4:$Q$300, 8, FALSE)</f>
        <v>#N/A</v>
      </c>
      <c r="U146" s="11" t="str">
        <f>VLOOKUP($H146, 'ADP Data'!$B$4:$Q$300, 9, FALSE)</f>
        <v>#N/A</v>
      </c>
      <c r="V146" s="11" t="str">
        <f t="shared" si="5"/>
        <v>#N/A</v>
      </c>
      <c r="W146" s="11" t="str">
        <f t="shared" si="6"/>
        <v>#N/A</v>
      </c>
      <c r="X146" s="11" t="str">
        <f>IF(VLOOKUP($H146, SeanRanks!$A$2:$H$303, 7, FALSE)=0, "", VLOOKUP($H146, SeanRanks!$A$2:$H$303, 7, FALSE))</f>
        <v>#N/A</v>
      </c>
    </row>
    <row r="147" ht="14.25" customHeight="1">
      <c r="A147" s="11"/>
      <c r="B147" s="11" t="str">
        <f t="shared" si="7"/>
        <v>#N/A</v>
      </c>
      <c r="C147" s="11" t="s">
        <v>95</v>
      </c>
      <c r="D147" s="11">
        <v>1.0</v>
      </c>
      <c r="E147" s="11">
        <v>0.0</v>
      </c>
      <c r="F147" s="11">
        <f t="shared" si="2"/>
        <v>1</v>
      </c>
      <c r="G147" s="11"/>
      <c r="H147" s="11" t="s">
        <v>714</v>
      </c>
      <c r="I147" s="11" t="str">
        <f>VLOOKUP($H147, 'ADP Data'!$B$4:$Q$300, 2, FALSE)</f>
        <v>#N/A</v>
      </c>
      <c r="J147" s="11" t="s">
        <v>775</v>
      </c>
      <c r="K147" s="11" t="str">
        <f>VLOOKUP($H147, SeanRanks!$A$2:$H$303, 5, FALSE)</f>
        <v>#N/A</v>
      </c>
      <c r="L147" s="11" t="str">
        <f>IF(VLOOKUP($H147, SeanRanks!$A$2:$H$303, 6, FALSE)=0, "", VLOOKUP($H147, SeanRanks!$A$2:$H$303, 6, FALSE))</f>
        <v>#N/A</v>
      </c>
      <c r="M147" s="11">
        <f t="shared" si="3"/>
        <v>16</v>
      </c>
      <c r="N147" s="11" t="str">
        <f>VLOOKUP($H147, 'ADP Data'!$B$4:$Q$300, 10, FALSE)</f>
        <v>#N/A</v>
      </c>
      <c r="O147" s="11" t="str">
        <f>VLOOKUP($H147, 'ADP Data'!$B$4:$Q$300, 4, FALSE)</f>
        <v>#N/A</v>
      </c>
      <c r="P147" s="11" t="str">
        <f t="shared" si="4"/>
        <v>#N/A</v>
      </c>
      <c r="Q147" s="11" t="str">
        <f>VLOOKUP($H147, 'ADP Data'!$B$4:$Q$300, 5, FALSE)</f>
        <v>#N/A</v>
      </c>
      <c r="R147" s="11" t="str">
        <f>VLOOKUP($H147, 'ADP Data'!$B$4:$Q$300, 6, FALSE)</f>
        <v>#N/A</v>
      </c>
      <c r="S147" s="11" t="str">
        <f>VLOOKUP($H147, 'ADP Data'!$B$4:$Q$300, 7, FALSE)</f>
        <v>#N/A</v>
      </c>
      <c r="T147" s="11" t="str">
        <f>VLOOKUP($H147, 'ADP Data'!$B$4:$Q$300, 8, FALSE)</f>
        <v>#N/A</v>
      </c>
      <c r="U147" s="11" t="str">
        <f>VLOOKUP($H147, 'ADP Data'!$B$4:$Q$300, 9, FALSE)</f>
        <v>#N/A</v>
      </c>
      <c r="V147" s="11" t="str">
        <f t="shared" si="5"/>
        <v>#N/A</v>
      </c>
      <c r="W147" s="11" t="str">
        <f t="shared" si="6"/>
        <v>#N/A</v>
      </c>
      <c r="X147" s="11" t="str">
        <f>IF(VLOOKUP($H147, SeanRanks!$A$2:$H$303, 7, FALSE)=0, "", VLOOKUP($H147, SeanRanks!$A$2:$H$303, 7, FALSE))</f>
        <v>#N/A</v>
      </c>
    </row>
    <row r="148" ht="14.25" customHeight="1">
      <c r="A148" s="11"/>
      <c r="B148" s="11" t="str">
        <f t="shared" si="7"/>
        <v>#N/A</v>
      </c>
      <c r="C148" s="11" t="s">
        <v>95</v>
      </c>
      <c r="D148" s="11">
        <v>1.0</v>
      </c>
      <c r="E148" s="11">
        <v>0.0</v>
      </c>
      <c r="F148" s="11">
        <f t="shared" si="2"/>
        <v>1</v>
      </c>
      <c r="G148" s="11"/>
      <c r="H148" s="11" t="s">
        <v>420</v>
      </c>
      <c r="I148" s="11" t="str">
        <f>VLOOKUP($H148, 'ADP Data'!$B$4:$Q$300, 2, FALSE)</f>
        <v>#N/A</v>
      </c>
      <c r="J148" s="11" t="s">
        <v>781</v>
      </c>
      <c r="K148" s="11" t="str">
        <f>VLOOKUP($H148, SeanRanks!$A$2:$H$303, 5, FALSE)</f>
        <v/>
      </c>
      <c r="L148" s="11" t="str">
        <f>IF(VLOOKUP($H148, SeanRanks!$A$2:$H$303, 6, FALSE)=0, "", VLOOKUP($H148, SeanRanks!$A$2:$H$303, 6, FALSE))</f>
        <v/>
      </c>
      <c r="M148" s="11">
        <f t="shared" si="3"/>
        <v>16</v>
      </c>
      <c r="N148" s="11" t="str">
        <f>VLOOKUP($H148, 'ADP Data'!$B$4:$Q$300, 10, FALSE)</f>
        <v>#N/A</v>
      </c>
      <c r="O148" s="11" t="str">
        <f>VLOOKUP($H148, 'ADP Data'!$B$4:$Q$300, 4, FALSE)</f>
        <v>#N/A</v>
      </c>
      <c r="P148" s="11" t="str">
        <f t="shared" si="4"/>
        <v>#N/A</v>
      </c>
      <c r="Q148" s="11" t="str">
        <f>VLOOKUP($H148, 'ADP Data'!$B$4:$Q$300, 5, FALSE)</f>
        <v>#N/A</v>
      </c>
      <c r="R148" s="11" t="str">
        <f>VLOOKUP($H148, 'ADP Data'!$B$4:$Q$300, 6, FALSE)</f>
        <v>#N/A</v>
      </c>
      <c r="S148" s="11" t="str">
        <f>VLOOKUP($H148, 'ADP Data'!$B$4:$Q$300, 7, FALSE)</f>
        <v>#N/A</v>
      </c>
      <c r="T148" s="11" t="str">
        <f>VLOOKUP($H148, 'ADP Data'!$B$4:$Q$300, 8, FALSE)</f>
        <v>#N/A</v>
      </c>
      <c r="U148" s="11" t="str">
        <f>VLOOKUP($H148, 'ADP Data'!$B$4:$Q$300, 9, FALSE)</f>
        <v>#N/A</v>
      </c>
      <c r="V148" s="11" t="str">
        <f t="shared" si="5"/>
        <v>#N/A</v>
      </c>
      <c r="W148" s="11" t="str">
        <f t="shared" si="6"/>
        <v>#N/A</v>
      </c>
      <c r="X148" s="11" t="str">
        <f>IF(VLOOKUP($H148, SeanRanks!$A$2:$H$303, 7, FALSE)=0, "", VLOOKUP($H148, SeanRanks!$A$2:$H$303, 7, FALSE))</f>
        <v/>
      </c>
    </row>
    <row r="149" ht="14.25" customHeight="1">
      <c r="A149" s="11"/>
      <c r="B149" s="11" t="str">
        <f t="shared" si="7"/>
        <v>#N/A</v>
      </c>
      <c r="C149" s="11" t="s">
        <v>106</v>
      </c>
      <c r="D149" s="11"/>
      <c r="E149" s="11"/>
      <c r="F149" s="11">
        <f t="shared" si="2"/>
        <v>0</v>
      </c>
      <c r="G149" s="11"/>
      <c r="H149" s="11" t="s">
        <v>348</v>
      </c>
      <c r="I149" s="11" t="str">
        <f>VLOOKUP($H149, 'ADP Data'!$B$4:$Q$300, 2, FALSE)</f>
        <v>#N/A</v>
      </c>
      <c r="J149" s="11" t="s">
        <v>781</v>
      </c>
      <c r="K149" s="11" t="str">
        <f>VLOOKUP($H149, SeanRanks!$A$2:$H$303, 5, FALSE)</f>
        <v>Yes</v>
      </c>
      <c r="L149" s="11" t="str">
        <f>IF(VLOOKUP($H149, SeanRanks!$A$2:$H$303, 6, FALSE)=0, "", VLOOKUP($H149, SeanRanks!$A$2:$H$303, 6, FALSE))</f>
        <v>TE2 - 1 - Big Upside</v>
      </c>
      <c r="M149" s="11">
        <f t="shared" si="3"/>
        <v>16</v>
      </c>
      <c r="N149" s="11" t="str">
        <f>VLOOKUP($H149, 'ADP Data'!$B$4:$Q$300, 10, FALSE)</f>
        <v>#N/A</v>
      </c>
      <c r="O149" s="11" t="str">
        <f>VLOOKUP($H149, 'ADP Data'!$B$4:$Q$300, 4, FALSE)</f>
        <v>#N/A</v>
      </c>
      <c r="P149" s="11" t="str">
        <f t="shared" si="4"/>
        <v>#N/A</v>
      </c>
      <c r="Q149" s="11" t="str">
        <f>VLOOKUP($H149, 'ADP Data'!$B$4:$Q$300, 5, FALSE)</f>
        <v>#N/A</v>
      </c>
      <c r="R149" s="11" t="str">
        <f>VLOOKUP($H149, 'ADP Data'!$B$4:$Q$300, 6, FALSE)</f>
        <v>#N/A</v>
      </c>
      <c r="S149" s="11" t="str">
        <f>VLOOKUP($H149, 'ADP Data'!$B$4:$Q$300, 7, FALSE)</f>
        <v>#N/A</v>
      </c>
      <c r="T149" s="11" t="str">
        <f>VLOOKUP($H149, 'ADP Data'!$B$4:$Q$300, 8, FALSE)</f>
        <v>#N/A</v>
      </c>
      <c r="U149" s="11" t="str">
        <f>VLOOKUP($H149, 'ADP Data'!$B$4:$Q$300, 9, FALSE)</f>
        <v>#N/A</v>
      </c>
      <c r="V149" s="11" t="str">
        <f t="shared" si="5"/>
        <v>#N/A</v>
      </c>
      <c r="W149" s="11" t="str">
        <f t="shared" si="6"/>
        <v>#N/A</v>
      </c>
      <c r="X149" s="11">
        <f>IF(VLOOKUP($H149, SeanRanks!$A$2:$H$303, 7, FALSE)=0, "", VLOOKUP($H149, SeanRanks!$A$2:$H$303, 7, FALSE))</f>
        <v>14</v>
      </c>
    </row>
    <row r="150" ht="14.25" customHeight="1">
      <c r="A150" s="11"/>
      <c r="B150" s="11" t="str">
        <f t="shared" si="7"/>
        <v>#N/A</v>
      </c>
      <c r="C150" s="11" t="s">
        <v>106</v>
      </c>
      <c r="D150" s="11"/>
      <c r="E150" s="11"/>
      <c r="F150" s="11">
        <f t="shared" si="2"/>
        <v>0</v>
      </c>
      <c r="G150" s="11"/>
      <c r="H150" s="11" t="s">
        <v>389</v>
      </c>
      <c r="I150" s="11" t="str">
        <f>VLOOKUP($H150, 'ADP Data'!$B$4:$Q$300, 2, FALSE)</f>
        <v>#N/A</v>
      </c>
      <c r="J150" s="11" t="s">
        <v>781</v>
      </c>
      <c r="K150" s="11" t="str">
        <f>VLOOKUP($H150, SeanRanks!$A$2:$H$303, 5, FALSE)</f>
        <v/>
      </c>
      <c r="L150" s="11" t="str">
        <f>IF(VLOOKUP($H150, SeanRanks!$A$2:$H$303, 6, FALSE)=0, "", VLOOKUP($H150, SeanRanks!$A$2:$H$303, 6, FALSE))</f>
        <v/>
      </c>
      <c r="M150" s="11">
        <f t="shared" si="3"/>
        <v>16</v>
      </c>
      <c r="N150" s="11" t="str">
        <f>VLOOKUP($H150, 'ADP Data'!$B$4:$Q$300, 10, FALSE)</f>
        <v>#N/A</v>
      </c>
      <c r="O150" s="11" t="str">
        <f>VLOOKUP($H150, 'ADP Data'!$B$4:$Q$300, 4, FALSE)</f>
        <v>#N/A</v>
      </c>
      <c r="P150" s="11" t="str">
        <f t="shared" si="4"/>
        <v>#N/A</v>
      </c>
      <c r="Q150" s="11" t="str">
        <f>VLOOKUP($H150, 'ADP Data'!$B$4:$Q$300, 5, FALSE)</f>
        <v>#N/A</v>
      </c>
      <c r="R150" s="11" t="str">
        <f>VLOOKUP($H150, 'ADP Data'!$B$4:$Q$300, 6, FALSE)</f>
        <v>#N/A</v>
      </c>
      <c r="S150" s="11" t="str">
        <f>VLOOKUP($H150, 'ADP Data'!$B$4:$Q$300, 7, FALSE)</f>
        <v>#N/A</v>
      </c>
      <c r="T150" s="11" t="str">
        <f>VLOOKUP($H150, 'ADP Data'!$B$4:$Q$300, 8, FALSE)</f>
        <v>#N/A</v>
      </c>
      <c r="U150" s="11" t="str">
        <f>VLOOKUP($H150, 'ADP Data'!$B$4:$Q$300, 9, FALSE)</f>
        <v>#N/A</v>
      </c>
      <c r="V150" s="11" t="str">
        <f t="shared" si="5"/>
        <v>#N/A</v>
      </c>
      <c r="W150" s="11" t="str">
        <f t="shared" si="6"/>
        <v>#N/A</v>
      </c>
      <c r="X150" s="11" t="str">
        <f>IF(VLOOKUP($H150, SeanRanks!$A$2:$H$303, 7, FALSE)=0, "", VLOOKUP($H150, SeanRanks!$A$2:$H$303, 7, FALSE))</f>
        <v/>
      </c>
    </row>
    <row r="151" ht="14.25" customHeight="1">
      <c r="A151" s="11"/>
      <c r="B151" s="11" t="str">
        <f t="shared" si="7"/>
        <v>#N/A</v>
      </c>
      <c r="C151" s="11" t="s">
        <v>106</v>
      </c>
      <c r="D151" s="11"/>
      <c r="E151" s="11"/>
      <c r="F151" s="11">
        <f t="shared" si="2"/>
        <v>0</v>
      </c>
      <c r="G151" s="11"/>
      <c r="H151" s="11" t="s">
        <v>982</v>
      </c>
      <c r="I151" s="11" t="str">
        <f>VLOOKUP($H151, 'ADP Data'!$B$4:$Q$300, 2, FALSE)</f>
        <v>#N/A</v>
      </c>
      <c r="J151" s="11" t="s">
        <v>775</v>
      </c>
      <c r="K151" s="11" t="str">
        <f>VLOOKUP($H151, SeanRanks!$A$2:$H$303, 5, FALSE)</f>
        <v>#N/A</v>
      </c>
      <c r="L151" s="11" t="str">
        <f>IF(VLOOKUP($H151, SeanRanks!$A$2:$H$303, 6, FALSE)=0, "", VLOOKUP($H151, SeanRanks!$A$2:$H$303, 6, FALSE))</f>
        <v>#N/A</v>
      </c>
      <c r="M151" s="11">
        <f t="shared" si="3"/>
        <v>16</v>
      </c>
      <c r="N151" s="11" t="str">
        <f>VLOOKUP($H151, 'ADP Data'!$B$4:$Q$300, 10, FALSE)</f>
        <v>#N/A</v>
      </c>
      <c r="O151" s="11" t="str">
        <f>VLOOKUP($H151, 'ADP Data'!$B$4:$Q$300, 4, FALSE)</f>
        <v>#N/A</v>
      </c>
      <c r="P151" s="11" t="str">
        <f t="shared" si="4"/>
        <v>#N/A</v>
      </c>
      <c r="Q151" s="11" t="str">
        <f>VLOOKUP($H151, 'ADP Data'!$B$4:$Q$300, 5, FALSE)</f>
        <v>#N/A</v>
      </c>
      <c r="R151" s="11" t="str">
        <f>VLOOKUP($H151, 'ADP Data'!$B$4:$Q$300, 6, FALSE)</f>
        <v>#N/A</v>
      </c>
      <c r="S151" s="11" t="str">
        <f>VLOOKUP($H151, 'ADP Data'!$B$4:$Q$300, 7, FALSE)</f>
        <v>#N/A</v>
      </c>
      <c r="T151" s="11" t="str">
        <f>VLOOKUP($H151, 'ADP Data'!$B$4:$Q$300, 8, FALSE)</f>
        <v>#N/A</v>
      </c>
      <c r="U151" s="11" t="str">
        <f>VLOOKUP($H151, 'ADP Data'!$B$4:$Q$300, 9, FALSE)</f>
        <v>#N/A</v>
      </c>
      <c r="V151" s="11" t="str">
        <f t="shared" si="5"/>
        <v>#N/A</v>
      </c>
      <c r="W151" s="11" t="str">
        <f t="shared" si="6"/>
        <v>#N/A</v>
      </c>
      <c r="X151" s="11" t="str">
        <f>IF(VLOOKUP($H151, SeanRanks!$A$2:$H$303, 7, FALSE)=0, "", VLOOKUP($H151, SeanRanks!$A$2:$H$303, 7, FALSE))</f>
        <v>#N/A</v>
      </c>
    </row>
    <row r="152" ht="14.25" customHeight="1">
      <c r="A152" s="11" t="s">
        <v>1156</v>
      </c>
      <c r="B152" s="11" t="str">
        <f t="shared" si="7"/>
        <v>#N/A</v>
      </c>
      <c r="C152" s="11" t="s">
        <v>95</v>
      </c>
      <c r="D152" s="11">
        <v>2.0</v>
      </c>
      <c r="E152" s="11"/>
      <c r="F152" s="11">
        <f t="shared" si="2"/>
        <v>2</v>
      </c>
      <c r="G152" s="11"/>
      <c r="H152" s="11" t="s">
        <v>1142</v>
      </c>
      <c r="I152" s="11" t="str">
        <f>VLOOKUP($H152, 'ADP Data'!$B$4:$Q$300, 2, FALSE)</f>
        <v>#N/A</v>
      </c>
      <c r="J152" s="11" t="s">
        <v>784</v>
      </c>
      <c r="K152" s="11" t="str">
        <f>VLOOKUP($H152, SeanRanks!$A$2:$H$303, 5, FALSE)</f>
        <v>#N/A</v>
      </c>
      <c r="L152" s="11" t="str">
        <f>IF(VLOOKUP($H152, SeanRanks!$A$2:$H$303, 6, FALSE)=0, "", VLOOKUP($H152, SeanRanks!$A$2:$H$303, 6, FALSE))</f>
        <v>#N/A</v>
      </c>
      <c r="M152" s="11">
        <f t="shared" si="3"/>
        <v>16</v>
      </c>
      <c r="N152" s="11" t="str">
        <f>VLOOKUP($H152, 'ADP Data'!$B$4:$Q$300, 10, FALSE)</f>
        <v>#N/A</v>
      </c>
      <c r="O152" s="11" t="str">
        <f>VLOOKUP($H152, 'ADP Data'!$B$4:$Q$300, 4, FALSE)</f>
        <v>#N/A</v>
      </c>
      <c r="P152" s="11" t="str">
        <f t="shared" si="4"/>
        <v>#N/A</v>
      </c>
      <c r="Q152" s="11" t="str">
        <f>VLOOKUP($H152, 'ADP Data'!$B$4:$Q$300, 5, FALSE)</f>
        <v>#N/A</v>
      </c>
      <c r="R152" s="11" t="str">
        <f>VLOOKUP($H152, 'ADP Data'!$B$4:$Q$300, 6, FALSE)</f>
        <v>#N/A</v>
      </c>
      <c r="S152" s="11" t="str">
        <f>VLOOKUP($H152, 'ADP Data'!$B$4:$Q$300, 7, FALSE)</f>
        <v>#N/A</v>
      </c>
      <c r="T152" s="11" t="str">
        <f>VLOOKUP($H152, 'ADP Data'!$B$4:$Q$300, 8, FALSE)</f>
        <v>#N/A</v>
      </c>
      <c r="U152" s="11" t="str">
        <f>VLOOKUP($H152, 'ADP Data'!$B$4:$Q$300, 9, FALSE)</f>
        <v>#N/A</v>
      </c>
      <c r="V152" s="11" t="str">
        <f t="shared" si="5"/>
        <v>#N/A</v>
      </c>
      <c r="W152" s="11" t="str">
        <f t="shared" si="6"/>
        <v>#N/A</v>
      </c>
      <c r="X152" s="11" t="str">
        <f>IF(VLOOKUP($H152, SeanRanks!$A$2:$H$303, 7, FALSE)=0, "", VLOOKUP($H152, SeanRanks!$A$2:$H$303, 7, FALSE))</f>
        <v>#N/A</v>
      </c>
    </row>
    <row r="153" ht="14.25" customHeight="1">
      <c r="A153" s="11"/>
      <c r="B153" s="11" t="str">
        <f t="shared" si="7"/>
        <v>#N/A</v>
      </c>
      <c r="C153" s="11" t="s">
        <v>106</v>
      </c>
      <c r="D153" s="11"/>
      <c r="E153" s="11"/>
      <c r="F153" s="11">
        <f t="shared" si="2"/>
        <v>0</v>
      </c>
      <c r="G153" s="11"/>
      <c r="H153" s="11" t="s">
        <v>588</v>
      </c>
      <c r="I153" s="11" t="str">
        <f>VLOOKUP($H153, 'ADP Data'!$B$4:$Q$300, 2, FALSE)</f>
        <v>#N/A</v>
      </c>
      <c r="J153" s="11" t="s">
        <v>785</v>
      </c>
      <c r="K153" s="11" t="str">
        <f>VLOOKUP($H153, SeanRanks!$A$2:$H$303, 5, FALSE)</f>
        <v/>
      </c>
      <c r="L153" s="11" t="str">
        <f>IF(VLOOKUP($H153, SeanRanks!$A$2:$H$303, 6, FALSE)=0, "", VLOOKUP($H153, SeanRanks!$A$2:$H$303, 6, FALSE))</f>
        <v/>
      </c>
      <c r="M153" s="11">
        <f t="shared" si="3"/>
        <v>16</v>
      </c>
      <c r="N153" s="11" t="str">
        <f>VLOOKUP($H153, 'ADP Data'!$B$4:$Q$300, 10, FALSE)</f>
        <v>#N/A</v>
      </c>
      <c r="O153" s="11" t="str">
        <f>VLOOKUP($H153, 'ADP Data'!$B$4:$Q$300, 4, FALSE)</f>
        <v>#N/A</v>
      </c>
      <c r="P153" s="11" t="str">
        <f t="shared" si="4"/>
        <v>#N/A</v>
      </c>
      <c r="Q153" s="11" t="str">
        <f>VLOOKUP($H153, 'ADP Data'!$B$4:$Q$300, 5, FALSE)</f>
        <v>#N/A</v>
      </c>
      <c r="R153" s="11" t="str">
        <f>VLOOKUP($H153, 'ADP Data'!$B$4:$Q$300, 6, FALSE)</f>
        <v>#N/A</v>
      </c>
      <c r="S153" s="11" t="str">
        <f>VLOOKUP($H153, 'ADP Data'!$B$4:$Q$300, 7, FALSE)</f>
        <v>#N/A</v>
      </c>
      <c r="T153" s="11" t="str">
        <f>VLOOKUP($H153, 'ADP Data'!$B$4:$Q$300, 8, FALSE)</f>
        <v>#N/A</v>
      </c>
      <c r="U153" s="11" t="str">
        <f>VLOOKUP($H153, 'ADP Data'!$B$4:$Q$300, 9, FALSE)</f>
        <v>#N/A</v>
      </c>
      <c r="V153" s="11" t="str">
        <f t="shared" si="5"/>
        <v>#N/A</v>
      </c>
      <c r="W153" s="11" t="str">
        <f t="shared" si="6"/>
        <v>#N/A</v>
      </c>
      <c r="X153" s="11" t="str">
        <f>IF(VLOOKUP($H153, SeanRanks!$A$2:$H$303, 7, FALSE)=0, "", VLOOKUP($H153, SeanRanks!$A$2:$H$303, 7, FALSE))</f>
        <v/>
      </c>
    </row>
    <row r="154" ht="14.25" customHeight="1">
      <c r="A154" s="11"/>
      <c r="B154" s="11" t="str">
        <f t="shared" si="7"/>
        <v>#N/A</v>
      </c>
      <c r="C154" s="11" t="s">
        <v>106</v>
      </c>
      <c r="D154" s="11"/>
      <c r="E154" s="11"/>
      <c r="F154" s="11">
        <f t="shared" si="2"/>
        <v>0</v>
      </c>
      <c r="G154" s="11"/>
      <c r="H154" s="11" t="s">
        <v>972</v>
      </c>
      <c r="I154" s="58" t="str">
        <f>VLOOKUP($H154, 'ADP Data'!$B$4:$Q$300, 2, FALSE)</f>
        <v>#N/A</v>
      </c>
      <c r="J154" s="11" t="s">
        <v>781</v>
      </c>
      <c r="K154" s="11" t="str">
        <f>VLOOKUP($H154, SeanRanks!$A$2:$H$303, 5, FALSE)</f>
        <v>#N/A</v>
      </c>
      <c r="L154" s="11" t="str">
        <f>IF(VLOOKUP($H154, SeanRanks!$A$2:$H$303, 6, FALSE)=0, "", VLOOKUP($H154, SeanRanks!$A$2:$H$303, 6, FALSE))</f>
        <v>#N/A</v>
      </c>
      <c r="M154" s="11">
        <f t="shared" si="3"/>
        <v>16</v>
      </c>
      <c r="N154" s="11" t="str">
        <f>VLOOKUP($H154, 'ADP Data'!$B$4:$Q$300, 10, FALSE)</f>
        <v>#N/A</v>
      </c>
      <c r="O154" s="11" t="str">
        <f>VLOOKUP($H154, 'ADP Data'!$B$4:$Q$300, 4, FALSE)</f>
        <v>#N/A</v>
      </c>
      <c r="P154" s="11" t="str">
        <f t="shared" si="4"/>
        <v>#N/A</v>
      </c>
      <c r="Q154" s="11" t="str">
        <f>VLOOKUP($H154, 'ADP Data'!$B$4:$Q$300, 5, FALSE)</f>
        <v>#N/A</v>
      </c>
      <c r="R154" s="11" t="str">
        <f>VLOOKUP($H154, 'ADP Data'!$B$4:$Q$300, 6, FALSE)</f>
        <v>#N/A</v>
      </c>
      <c r="S154" s="11" t="str">
        <f>VLOOKUP($H154, 'ADP Data'!$B$4:$Q$300, 7, FALSE)</f>
        <v>#N/A</v>
      </c>
      <c r="T154" s="11" t="str">
        <f>VLOOKUP($H154, 'ADP Data'!$B$4:$Q$300, 8, FALSE)</f>
        <v>#N/A</v>
      </c>
      <c r="U154" s="11" t="str">
        <f>VLOOKUP($H154, 'ADP Data'!$B$4:$Q$300, 9, FALSE)</f>
        <v>#N/A</v>
      </c>
      <c r="V154" s="11" t="str">
        <f t="shared" si="5"/>
        <v>#N/A</v>
      </c>
      <c r="W154" s="11" t="str">
        <f t="shared" si="6"/>
        <v>#N/A</v>
      </c>
      <c r="X154" s="11" t="str">
        <f>IF(VLOOKUP($H154, SeanRanks!$A$2:$H$303, 7, FALSE)=0, "", VLOOKUP($H154, SeanRanks!$A$2:$H$303, 7, FALSE))</f>
        <v>#N/A</v>
      </c>
    </row>
    <row r="155" ht="14.25" customHeight="1">
      <c r="A155" s="11"/>
      <c r="B155" s="11" t="str">
        <f t="shared" si="7"/>
        <v>#N/A</v>
      </c>
      <c r="C155" s="11" t="s">
        <v>106</v>
      </c>
      <c r="D155" s="11"/>
      <c r="E155" s="11"/>
      <c r="F155" s="11">
        <f t="shared" si="2"/>
        <v>0</v>
      </c>
      <c r="G155" s="11"/>
      <c r="H155" s="11" t="s">
        <v>134</v>
      </c>
      <c r="I155" s="58" t="str">
        <f>VLOOKUP($H155, 'ADP Data'!$B$4:$Q$300, 2, FALSE)</f>
        <v>#N/A</v>
      </c>
      <c r="J155" s="11" t="s">
        <v>775</v>
      </c>
      <c r="K155" s="11" t="str">
        <f>VLOOKUP($H155, SeanRanks!$A$2:$H$303, 5, FALSE)</f>
        <v>Yes</v>
      </c>
      <c r="L155" s="11" t="str">
        <f>IF(VLOOKUP($H155, SeanRanks!$A$2:$H$303, 6, FALSE)=0, "", VLOOKUP($H155, SeanRanks!$A$2:$H$303, 6, FALSE))</f>
        <v>WR3 - 1 - </v>
      </c>
      <c r="M155" s="11">
        <f t="shared" si="3"/>
        <v>16</v>
      </c>
      <c r="N155" s="11" t="str">
        <f>VLOOKUP($H155, 'ADP Data'!$B$4:$Q$300, 10, FALSE)</f>
        <v>#N/A</v>
      </c>
      <c r="O155" s="11" t="str">
        <f>VLOOKUP($H155, 'ADP Data'!$B$4:$Q$300, 4, FALSE)</f>
        <v>#N/A</v>
      </c>
      <c r="P155" s="11" t="str">
        <f t="shared" si="4"/>
        <v>#N/A</v>
      </c>
      <c r="Q155" s="11" t="str">
        <f>VLOOKUP($H155, 'ADP Data'!$B$4:$Q$300, 5, FALSE)</f>
        <v>#N/A</v>
      </c>
      <c r="R155" s="11" t="str">
        <f>VLOOKUP($H155, 'ADP Data'!$B$4:$Q$300, 6, FALSE)</f>
        <v>#N/A</v>
      </c>
      <c r="S155" s="11" t="str">
        <f>VLOOKUP($H155, 'ADP Data'!$B$4:$Q$300, 7, FALSE)</f>
        <v>#N/A</v>
      </c>
      <c r="T155" s="11" t="str">
        <f>VLOOKUP($H155, 'ADP Data'!$B$4:$Q$300, 8, FALSE)</f>
        <v>#N/A</v>
      </c>
      <c r="U155" s="11" t="str">
        <f>VLOOKUP($H155, 'ADP Data'!$B$4:$Q$300, 9, FALSE)</f>
        <v>#N/A</v>
      </c>
      <c r="V155" s="11" t="str">
        <f t="shared" si="5"/>
        <v>#N/A</v>
      </c>
      <c r="W155" s="11" t="str">
        <f t="shared" si="6"/>
        <v>#N/A</v>
      </c>
      <c r="X155" s="11">
        <f>IF(VLOOKUP($H155, SeanRanks!$A$2:$H$303, 7, FALSE)=0, "", VLOOKUP($H155, SeanRanks!$A$2:$H$303, 7, FALSE))</f>
        <v>29</v>
      </c>
    </row>
    <row r="156" ht="14.25" customHeight="1">
      <c r="A156" s="11"/>
      <c r="B156" s="11" t="str">
        <f t="shared" si="7"/>
        <v>#N/A</v>
      </c>
      <c r="C156" s="11" t="s">
        <v>106</v>
      </c>
      <c r="D156" s="11"/>
      <c r="E156" s="11"/>
      <c r="F156" s="11">
        <f t="shared" si="2"/>
        <v>0</v>
      </c>
      <c r="G156" s="11"/>
      <c r="H156" s="11" t="s">
        <v>495</v>
      </c>
      <c r="I156" s="11" t="str">
        <f>VLOOKUP($H156, 'ADP Data'!$B$4:$Q$300, 2, FALSE)</f>
        <v>#N/A</v>
      </c>
      <c r="J156" s="11" t="s">
        <v>785</v>
      </c>
      <c r="K156" s="11" t="str">
        <f>VLOOKUP($H156, SeanRanks!$A$2:$H$303, 5, FALSE)</f>
        <v/>
      </c>
      <c r="L156" s="11" t="str">
        <f>IF(VLOOKUP($H156, SeanRanks!$A$2:$H$303, 6, FALSE)=0, "", VLOOKUP($H156, SeanRanks!$A$2:$H$303, 6, FALSE))</f>
        <v/>
      </c>
      <c r="M156" s="11">
        <f t="shared" si="3"/>
        <v>16</v>
      </c>
      <c r="N156" s="11" t="str">
        <f>VLOOKUP($H156, 'ADP Data'!$B$4:$Q$300, 10, FALSE)</f>
        <v>#N/A</v>
      </c>
      <c r="O156" s="11" t="str">
        <f>VLOOKUP($H156, 'ADP Data'!$B$4:$Q$300, 4, FALSE)</f>
        <v>#N/A</v>
      </c>
      <c r="P156" s="11" t="str">
        <f t="shared" si="4"/>
        <v>#N/A</v>
      </c>
      <c r="Q156" s="11" t="str">
        <f>VLOOKUP($H156, 'ADP Data'!$B$4:$Q$300, 5, FALSE)</f>
        <v>#N/A</v>
      </c>
      <c r="R156" s="11" t="str">
        <f>VLOOKUP($H156, 'ADP Data'!$B$4:$Q$300, 6, FALSE)</f>
        <v>#N/A</v>
      </c>
      <c r="S156" s="11" t="str">
        <f>VLOOKUP($H156, 'ADP Data'!$B$4:$Q$300, 7, FALSE)</f>
        <v>#N/A</v>
      </c>
      <c r="T156" s="11" t="str">
        <f>VLOOKUP($H156, 'ADP Data'!$B$4:$Q$300, 8, FALSE)</f>
        <v>#N/A</v>
      </c>
      <c r="U156" s="11" t="str">
        <f>VLOOKUP($H156, 'ADP Data'!$B$4:$Q$300, 9, FALSE)</f>
        <v>#N/A</v>
      </c>
      <c r="V156" s="11" t="str">
        <f t="shared" si="5"/>
        <v>#N/A</v>
      </c>
      <c r="W156" s="11" t="str">
        <f t="shared" si="6"/>
        <v>#N/A</v>
      </c>
      <c r="X156" s="11" t="str">
        <f>IF(VLOOKUP($H156, SeanRanks!$A$2:$H$303, 7, FALSE)=0, "", VLOOKUP($H156, SeanRanks!$A$2:$H$303, 7, FALSE))</f>
        <v/>
      </c>
    </row>
    <row r="157" ht="14.25" customHeight="1">
      <c r="A157" s="11"/>
      <c r="B157" s="11" t="str">
        <f t="shared" si="7"/>
        <v>#N/A</v>
      </c>
      <c r="C157" s="11" t="s">
        <v>106</v>
      </c>
      <c r="D157" s="11"/>
      <c r="E157" s="11"/>
      <c r="F157" s="11">
        <f t="shared" si="2"/>
        <v>0</v>
      </c>
      <c r="G157" s="11"/>
      <c r="H157" s="11" t="s">
        <v>405</v>
      </c>
      <c r="I157" s="11" t="str">
        <f>VLOOKUP($H157, 'ADP Data'!$B$4:$Q$300, 2, FALSE)</f>
        <v>#N/A</v>
      </c>
      <c r="J157" s="11" t="s">
        <v>781</v>
      </c>
      <c r="K157" s="11" t="str">
        <f>VLOOKUP($H157, SeanRanks!$A$2:$H$303, 5, FALSE)</f>
        <v/>
      </c>
      <c r="L157" s="11" t="str">
        <f>IF(VLOOKUP($H157, SeanRanks!$A$2:$H$303, 6, FALSE)=0, "", VLOOKUP($H157, SeanRanks!$A$2:$H$303, 6, FALSE))</f>
        <v/>
      </c>
      <c r="M157" s="11">
        <f t="shared" si="3"/>
        <v>16</v>
      </c>
      <c r="N157" s="11" t="str">
        <f>VLOOKUP($H157, 'ADP Data'!$B$4:$Q$300, 10, FALSE)</f>
        <v>#N/A</v>
      </c>
      <c r="O157" s="11" t="str">
        <f>VLOOKUP($H157, 'ADP Data'!$B$4:$Q$300, 4, FALSE)</f>
        <v>#N/A</v>
      </c>
      <c r="P157" s="11" t="str">
        <f t="shared" si="4"/>
        <v>#N/A</v>
      </c>
      <c r="Q157" s="11" t="str">
        <f>VLOOKUP($H157, 'ADP Data'!$B$4:$Q$300, 5, FALSE)</f>
        <v>#N/A</v>
      </c>
      <c r="R157" s="11" t="str">
        <f>VLOOKUP($H157, 'ADP Data'!$B$4:$Q$300, 6, FALSE)</f>
        <v>#N/A</v>
      </c>
      <c r="S157" s="11" t="str">
        <f>VLOOKUP($H157, 'ADP Data'!$B$4:$Q$300, 7, FALSE)</f>
        <v>#N/A</v>
      </c>
      <c r="T157" s="11" t="str">
        <f>VLOOKUP($H157, 'ADP Data'!$B$4:$Q$300, 8, FALSE)</f>
        <v>#N/A</v>
      </c>
      <c r="U157" s="11" t="str">
        <f>VLOOKUP($H157, 'ADP Data'!$B$4:$Q$300, 9, FALSE)</f>
        <v>#N/A</v>
      </c>
      <c r="V157" s="11" t="str">
        <f t="shared" si="5"/>
        <v>#N/A</v>
      </c>
      <c r="W157" s="11" t="str">
        <f t="shared" si="6"/>
        <v>#N/A</v>
      </c>
      <c r="X157" s="11" t="str">
        <f>IF(VLOOKUP($H157, SeanRanks!$A$2:$H$303, 7, FALSE)=0, "", VLOOKUP($H157, SeanRanks!$A$2:$H$303, 7, FALSE))</f>
        <v/>
      </c>
    </row>
    <row r="158" ht="14.25" customHeight="1">
      <c r="A158" s="11"/>
      <c r="B158" s="11" t="str">
        <f t="shared" si="7"/>
        <v>#N/A</v>
      </c>
      <c r="C158" s="11" t="s">
        <v>106</v>
      </c>
      <c r="D158" s="11"/>
      <c r="E158" s="11"/>
      <c r="F158" s="11">
        <f t="shared" si="2"/>
        <v>0</v>
      </c>
      <c r="G158" s="11"/>
      <c r="H158" s="11" t="s">
        <v>489</v>
      </c>
      <c r="I158" s="11" t="str">
        <f>VLOOKUP($H158, 'ADP Data'!$B$4:$Q$300, 2, FALSE)</f>
        <v>#N/A</v>
      </c>
      <c r="J158" s="11" t="s">
        <v>781</v>
      </c>
      <c r="K158" s="11" t="str">
        <f>VLOOKUP($H158, SeanRanks!$A$2:$H$303, 5, FALSE)</f>
        <v>#N/A</v>
      </c>
      <c r="L158" s="11" t="str">
        <f>IF(VLOOKUP($H158, SeanRanks!$A$2:$H$303, 6, FALSE)=0, "", VLOOKUP($H158, SeanRanks!$A$2:$H$303, 6, FALSE))</f>
        <v>#N/A</v>
      </c>
      <c r="M158" s="11">
        <f t="shared" si="3"/>
        <v>16</v>
      </c>
      <c r="N158" s="11" t="str">
        <f>VLOOKUP($H158, 'ADP Data'!$B$4:$Q$300, 10, FALSE)</f>
        <v>#N/A</v>
      </c>
      <c r="O158" s="11" t="str">
        <f>VLOOKUP($H158, 'ADP Data'!$B$4:$Q$300, 4, FALSE)</f>
        <v>#N/A</v>
      </c>
      <c r="P158" s="11" t="str">
        <f t="shared" si="4"/>
        <v>#N/A</v>
      </c>
      <c r="Q158" s="11" t="str">
        <f>VLOOKUP($H158, 'ADP Data'!$B$4:$Q$300, 5, FALSE)</f>
        <v>#N/A</v>
      </c>
      <c r="R158" s="11" t="str">
        <f>VLOOKUP($H158, 'ADP Data'!$B$4:$Q$300, 6, FALSE)</f>
        <v>#N/A</v>
      </c>
      <c r="S158" s="11" t="str">
        <f>VLOOKUP($H158, 'ADP Data'!$B$4:$Q$300, 7, FALSE)</f>
        <v>#N/A</v>
      </c>
      <c r="T158" s="11" t="str">
        <f>VLOOKUP($H158, 'ADP Data'!$B$4:$Q$300, 8, FALSE)</f>
        <v>#N/A</v>
      </c>
      <c r="U158" s="11" t="str">
        <f>VLOOKUP($H158, 'ADP Data'!$B$4:$Q$300, 9, FALSE)</f>
        <v>#N/A</v>
      </c>
      <c r="V158" s="11" t="str">
        <f t="shared" si="5"/>
        <v>#N/A</v>
      </c>
      <c r="W158" s="11" t="str">
        <f t="shared" si="6"/>
        <v>#N/A</v>
      </c>
      <c r="X158" s="11" t="str">
        <f>IF(VLOOKUP($H158, SeanRanks!$A$2:$H$303, 7, FALSE)=0, "", VLOOKUP($H158, SeanRanks!$A$2:$H$303, 7, FALSE))</f>
        <v>#N/A</v>
      </c>
    </row>
    <row r="159" ht="14.25" customHeight="1">
      <c r="A159" s="11"/>
      <c r="B159" s="11" t="str">
        <f t="shared" si="7"/>
        <v>#N/A</v>
      </c>
      <c r="C159" s="11" t="s">
        <v>106</v>
      </c>
      <c r="D159" s="11"/>
      <c r="E159" s="11"/>
      <c r="F159" s="11">
        <f t="shared" si="2"/>
        <v>0</v>
      </c>
      <c r="G159" s="11"/>
      <c r="H159" s="11" t="s">
        <v>1191</v>
      </c>
      <c r="I159" s="11" t="str">
        <f>VLOOKUP($H159, 'ADP Data'!$B$4:$Q$300, 2, FALSE)</f>
        <v>#N/A</v>
      </c>
      <c r="J159" s="11" t="s">
        <v>772</v>
      </c>
      <c r="K159" s="11" t="str">
        <f>VLOOKUP($H159, SeanRanks!$A$2:$H$303, 5, FALSE)</f>
        <v>#N/A</v>
      </c>
      <c r="L159" s="11" t="str">
        <f>IF(VLOOKUP($H159, SeanRanks!$A$2:$H$303, 6, FALSE)=0, "", VLOOKUP($H159, SeanRanks!$A$2:$H$303, 6, FALSE))</f>
        <v>#N/A</v>
      </c>
      <c r="M159" s="11">
        <f t="shared" si="3"/>
        <v>16</v>
      </c>
      <c r="N159" s="11" t="str">
        <f>VLOOKUP($H159, 'ADP Data'!$B$4:$Q$300, 10, FALSE)</f>
        <v>#N/A</v>
      </c>
      <c r="O159" s="11" t="str">
        <f>VLOOKUP($H159, 'ADP Data'!$B$4:$Q$300, 4, FALSE)</f>
        <v>#N/A</v>
      </c>
      <c r="P159" s="11" t="str">
        <f t="shared" si="4"/>
        <v>#N/A</v>
      </c>
      <c r="Q159" s="11" t="str">
        <f>VLOOKUP($H159, 'ADP Data'!$B$4:$Q$300, 5, FALSE)</f>
        <v>#N/A</v>
      </c>
      <c r="R159" s="11" t="str">
        <f>VLOOKUP($H159, 'ADP Data'!$B$4:$Q$300, 6, FALSE)</f>
        <v>#N/A</v>
      </c>
      <c r="S159" s="11" t="str">
        <f>VLOOKUP($H159, 'ADP Data'!$B$4:$Q$300, 7, FALSE)</f>
        <v>#N/A</v>
      </c>
      <c r="T159" s="11" t="str">
        <f>VLOOKUP($H159, 'ADP Data'!$B$4:$Q$300, 8, FALSE)</f>
        <v>#N/A</v>
      </c>
      <c r="U159" s="11" t="str">
        <f>VLOOKUP($H159, 'ADP Data'!$B$4:$Q$300, 9, FALSE)</f>
        <v>#N/A</v>
      </c>
      <c r="V159" s="11" t="str">
        <f t="shared" si="5"/>
        <v>#N/A</v>
      </c>
      <c r="W159" s="11" t="str">
        <f t="shared" si="6"/>
        <v>#N/A</v>
      </c>
      <c r="X159" s="11" t="str">
        <f>IF(VLOOKUP($H159, SeanRanks!$A$2:$H$303, 7, FALSE)=0, "", VLOOKUP($H159, SeanRanks!$A$2:$H$303, 7, FALSE))</f>
        <v>#N/A</v>
      </c>
    </row>
    <row r="160" ht="14.25" customHeight="1">
      <c r="A160" s="11"/>
      <c r="B160" s="11" t="str">
        <f t="shared" si="7"/>
        <v>#N/A</v>
      </c>
      <c r="C160" s="11" t="s">
        <v>106</v>
      </c>
      <c r="D160" s="11"/>
      <c r="E160" s="11"/>
      <c r="F160" s="11">
        <f t="shared" si="2"/>
        <v>0</v>
      </c>
      <c r="G160" s="11" t="s">
        <v>1122</v>
      </c>
      <c r="H160" s="11" t="s">
        <v>925</v>
      </c>
      <c r="I160" s="11" t="str">
        <f>VLOOKUP($H160, 'ADP Data'!$B$4:$Q$300, 2, FALSE)</f>
        <v>#N/A</v>
      </c>
      <c r="J160" s="11" t="s">
        <v>772</v>
      </c>
      <c r="K160" s="11" t="str">
        <f>VLOOKUP($H160, SeanRanks!$A$2:$H$303, 5, FALSE)</f>
        <v/>
      </c>
      <c r="L160" s="11" t="str">
        <f>IF(VLOOKUP($H160, SeanRanks!$A$2:$H$303, 6, FALSE)=0, "", VLOOKUP($H160, SeanRanks!$A$2:$H$303, 6, FALSE))</f>
        <v/>
      </c>
      <c r="M160" s="11">
        <f t="shared" si="3"/>
        <v>16</v>
      </c>
      <c r="N160" s="11" t="str">
        <f>VLOOKUP($H160, 'ADP Data'!$B$4:$Q$300, 10, FALSE)</f>
        <v>#N/A</v>
      </c>
      <c r="O160" s="11" t="str">
        <f>VLOOKUP($H160, 'ADP Data'!$B$4:$Q$300, 4, FALSE)</f>
        <v>#N/A</v>
      </c>
      <c r="P160" s="11" t="str">
        <f t="shared" si="4"/>
        <v>#N/A</v>
      </c>
      <c r="Q160" s="11" t="str">
        <f>VLOOKUP($H160, 'ADP Data'!$B$4:$Q$300, 5, FALSE)</f>
        <v>#N/A</v>
      </c>
      <c r="R160" s="11" t="str">
        <f>VLOOKUP($H160, 'ADP Data'!$B$4:$Q$300, 6, FALSE)</f>
        <v>#N/A</v>
      </c>
      <c r="S160" s="11" t="str">
        <f>VLOOKUP($H160, 'ADP Data'!$B$4:$Q$300, 7, FALSE)</f>
        <v>#N/A</v>
      </c>
      <c r="T160" s="11" t="str">
        <f>VLOOKUP($H160, 'ADP Data'!$B$4:$Q$300, 8, FALSE)</f>
        <v>#N/A</v>
      </c>
      <c r="U160" s="11" t="str">
        <f>VLOOKUP($H160, 'ADP Data'!$B$4:$Q$300, 9, FALSE)</f>
        <v>#N/A</v>
      </c>
      <c r="V160" s="11" t="str">
        <f t="shared" si="5"/>
        <v>#N/A</v>
      </c>
      <c r="W160" s="11" t="str">
        <f t="shared" si="6"/>
        <v>#N/A</v>
      </c>
      <c r="X160" s="11" t="str">
        <f>IF(VLOOKUP($H160, SeanRanks!$A$2:$H$303, 7, FALSE)=0, "", VLOOKUP($H160, SeanRanks!$A$2:$H$303, 7, FALSE))</f>
        <v/>
      </c>
    </row>
    <row r="161" ht="14.25" customHeight="1">
      <c r="A161" s="11"/>
      <c r="B161" s="11" t="str">
        <f t="shared" si="7"/>
        <v>#N/A</v>
      </c>
      <c r="C161" s="11" t="s">
        <v>106</v>
      </c>
      <c r="D161" s="11"/>
      <c r="E161" s="11">
        <v>1.0</v>
      </c>
      <c r="F161" s="11">
        <f t="shared" si="2"/>
        <v>-1</v>
      </c>
      <c r="G161" s="11"/>
      <c r="H161" s="11" t="s">
        <v>876</v>
      </c>
      <c r="I161" s="57" t="str">
        <f>VLOOKUP($H161, 'ADP Data'!$B$4:$Q$300, 2, FALSE)</f>
        <v>#N/A</v>
      </c>
      <c r="J161" s="11" t="s">
        <v>772</v>
      </c>
      <c r="K161" s="11" t="str">
        <f>VLOOKUP($H161, SeanRanks!$A$2:$H$303, 5, FALSE)</f>
        <v/>
      </c>
      <c r="L161" s="11" t="str">
        <f>IF(VLOOKUP($H161, SeanRanks!$A$2:$H$303, 6, FALSE)=0, "", VLOOKUP($H161, SeanRanks!$A$2:$H$303, 6, FALSE))</f>
        <v>Don’t draft - replacement value</v>
      </c>
      <c r="M161" s="11">
        <f t="shared" si="3"/>
        <v>16</v>
      </c>
      <c r="N161" s="11" t="str">
        <f>VLOOKUP($H161, 'ADP Data'!$B$4:$Q$300, 10, FALSE)</f>
        <v>#N/A</v>
      </c>
      <c r="O161" s="11" t="str">
        <f>VLOOKUP($H161, 'ADP Data'!$B$4:$Q$300, 4, FALSE)</f>
        <v>#N/A</v>
      </c>
      <c r="P161" s="11" t="str">
        <f t="shared" si="4"/>
        <v>#N/A</v>
      </c>
      <c r="Q161" s="11" t="str">
        <f>VLOOKUP($H161, 'ADP Data'!$B$4:$Q$300, 5, FALSE)</f>
        <v>#N/A</v>
      </c>
      <c r="R161" s="11" t="str">
        <f>VLOOKUP($H161, 'ADP Data'!$B$4:$Q$300, 6, FALSE)</f>
        <v>#N/A</v>
      </c>
      <c r="S161" s="11" t="str">
        <f>VLOOKUP($H161, 'ADP Data'!$B$4:$Q$300, 7, FALSE)</f>
        <v>#N/A</v>
      </c>
      <c r="T161" s="11" t="str">
        <f>VLOOKUP($H161, 'ADP Data'!$B$4:$Q$300, 8, FALSE)</f>
        <v>#N/A</v>
      </c>
      <c r="U161" s="11" t="str">
        <f>VLOOKUP($H161, 'ADP Data'!$B$4:$Q$300, 9, FALSE)</f>
        <v>#N/A</v>
      </c>
      <c r="V161" s="11" t="str">
        <f t="shared" si="5"/>
        <v>#N/A</v>
      </c>
      <c r="W161" s="11" t="str">
        <f t="shared" si="6"/>
        <v>#N/A</v>
      </c>
      <c r="X161" s="11">
        <f>IF(VLOOKUP($H161, SeanRanks!$A$2:$H$303, 7, FALSE)=0, "", VLOOKUP($H161, SeanRanks!$A$2:$H$303, 7, FALSE))</f>
        <v>56</v>
      </c>
    </row>
    <row r="162" ht="14.25" customHeight="1">
      <c r="A162" s="11"/>
      <c r="B162" s="11" t="str">
        <f t="shared" si="7"/>
        <v>#N/A</v>
      </c>
      <c r="C162" s="11" t="s">
        <v>95</v>
      </c>
      <c r="D162" s="11">
        <v>3.0</v>
      </c>
      <c r="E162" s="11">
        <v>0.0</v>
      </c>
      <c r="F162" s="11">
        <f t="shared" si="2"/>
        <v>3</v>
      </c>
      <c r="G162" s="11"/>
      <c r="H162" s="11" t="s">
        <v>877</v>
      </c>
      <c r="I162" s="11" t="str">
        <f>VLOOKUP($H162, 'ADP Data'!$B$4:$Q$300, 2, FALSE)</f>
        <v>#N/A</v>
      </c>
      <c r="J162" s="11" t="s">
        <v>772</v>
      </c>
      <c r="K162" s="11" t="str">
        <f>VLOOKUP($H162, SeanRanks!$A$2:$H$303, 5, FALSE)</f>
        <v>#N/A</v>
      </c>
      <c r="L162" s="11" t="str">
        <f>IF(VLOOKUP($H162, SeanRanks!$A$2:$H$303, 6, FALSE)=0, "", VLOOKUP($H162, SeanRanks!$A$2:$H$303, 6, FALSE))</f>
        <v>#N/A</v>
      </c>
      <c r="M162" s="11">
        <f t="shared" si="3"/>
        <v>16</v>
      </c>
      <c r="N162" s="11" t="str">
        <f>VLOOKUP($H162, 'ADP Data'!$B$4:$Q$300, 10, FALSE)</f>
        <v>#N/A</v>
      </c>
      <c r="O162" s="11" t="str">
        <f>VLOOKUP($H162, 'ADP Data'!$B$4:$Q$300, 4, FALSE)</f>
        <v>#N/A</v>
      </c>
      <c r="P162" s="11" t="str">
        <f t="shared" si="4"/>
        <v>#N/A</v>
      </c>
      <c r="Q162" s="11" t="str">
        <f>VLOOKUP($H162, 'ADP Data'!$B$4:$Q$300, 5, FALSE)</f>
        <v>#N/A</v>
      </c>
      <c r="R162" s="11" t="str">
        <f>VLOOKUP($H162, 'ADP Data'!$B$4:$Q$300, 6, FALSE)</f>
        <v>#N/A</v>
      </c>
      <c r="S162" s="11" t="str">
        <f>VLOOKUP($H162, 'ADP Data'!$B$4:$Q$300, 7, FALSE)</f>
        <v>#N/A</v>
      </c>
      <c r="T162" s="11" t="str">
        <f>VLOOKUP($H162, 'ADP Data'!$B$4:$Q$300, 8, FALSE)</f>
        <v>#N/A</v>
      </c>
      <c r="U162" s="11" t="str">
        <f>VLOOKUP($H162, 'ADP Data'!$B$4:$Q$300, 9, FALSE)</f>
        <v>#N/A</v>
      </c>
      <c r="V162" s="11" t="str">
        <f t="shared" si="5"/>
        <v>#N/A</v>
      </c>
      <c r="W162" s="11" t="str">
        <f t="shared" si="6"/>
        <v>#N/A</v>
      </c>
      <c r="X162" s="11" t="str">
        <f>IF(VLOOKUP($H162, SeanRanks!$A$2:$H$303, 7, FALSE)=0, "", VLOOKUP($H162, SeanRanks!$A$2:$H$303, 7, FALSE))</f>
        <v>#N/A</v>
      </c>
    </row>
    <row r="163" ht="14.25" customHeight="1">
      <c r="A163" s="11"/>
      <c r="B163" s="11" t="str">
        <f t="shared" si="7"/>
        <v>#N/A</v>
      </c>
      <c r="C163" s="11" t="s">
        <v>106</v>
      </c>
      <c r="D163" s="11"/>
      <c r="E163" s="11"/>
      <c r="F163" s="11">
        <f t="shared" si="2"/>
        <v>0</v>
      </c>
      <c r="G163" s="11"/>
      <c r="H163" s="11" t="s">
        <v>626</v>
      </c>
      <c r="I163" s="11" t="str">
        <f>VLOOKUP($H163, 'ADP Data'!$B$4:$Q$300, 2, FALSE)</f>
        <v>#N/A</v>
      </c>
      <c r="J163" s="11" t="s">
        <v>785</v>
      </c>
      <c r="K163" s="11" t="str">
        <f>VLOOKUP($H163, SeanRanks!$A$2:$H$303, 5, FALSE)</f>
        <v/>
      </c>
      <c r="L163" s="11" t="str">
        <f>IF(VLOOKUP($H163, SeanRanks!$A$2:$H$303, 6, FALSE)=0, "", VLOOKUP($H163, SeanRanks!$A$2:$H$303, 6, FALSE))</f>
        <v/>
      </c>
      <c r="M163" s="11">
        <f t="shared" si="3"/>
        <v>16</v>
      </c>
      <c r="N163" s="11" t="str">
        <f>VLOOKUP($H163, 'ADP Data'!$B$4:$Q$300, 10, FALSE)</f>
        <v>#N/A</v>
      </c>
      <c r="O163" s="11" t="str">
        <f>VLOOKUP($H163, 'ADP Data'!$B$4:$Q$300, 4, FALSE)</f>
        <v>#N/A</v>
      </c>
      <c r="P163" s="11" t="str">
        <f t="shared" si="4"/>
        <v>#N/A</v>
      </c>
      <c r="Q163" s="11" t="str">
        <f>VLOOKUP($H163, 'ADP Data'!$B$4:$Q$300, 5, FALSE)</f>
        <v>#N/A</v>
      </c>
      <c r="R163" s="11" t="str">
        <f>VLOOKUP($H163, 'ADP Data'!$B$4:$Q$300, 6, FALSE)</f>
        <v>#N/A</v>
      </c>
      <c r="S163" s="11" t="str">
        <f>VLOOKUP($H163, 'ADP Data'!$B$4:$Q$300, 7, FALSE)</f>
        <v>#N/A</v>
      </c>
      <c r="T163" s="11" t="str">
        <f>VLOOKUP($H163, 'ADP Data'!$B$4:$Q$300, 8, FALSE)</f>
        <v>#N/A</v>
      </c>
      <c r="U163" s="11" t="str">
        <f>VLOOKUP($H163, 'ADP Data'!$B$4:$Q$300, 9, FALSE)</f>
        <v>#N/A</v>
      </c>
      <c r="V163" s="11" t="str">
        <f t="shared" si="5"/>
        <v>#N/A</v>
      </c>
      <c r="W163" s="11" t="str">
        <f t="shared" si="6"/>
        <v>#N/A</v>
      </c>
      <c r="X163" s="11" t="str">
        <f>IF(VLOOKUP($H163, SeanRanks!$A$2:$H$303, 7, FALSE)=0, "", VLOOKUP($H163, SeanRanks!$A$2:$H$303, 7, FALSE))</f>
        <v/>
      </c>
    </row>
    <row r="164" ht="14.25" customHeight="1">
      <c r="A164" s="11"/>
      <c r="B164" s="11" t="str">
        <f t="shared" si="7"/>
        <v>#N/A</v>
      </c>
      <c r="C164" s="11" t="s">
        <v>106</v>
      </c>
      <c r="D164" s="11"/>
      <c r="E164" s="11"/>
      <c r="F164" s="11">
        <f t="shared" si="2"/>
        <v>0</v>
      </c>
      <c r="G164" s="11"/>
      <c r="H164" s="11" t="s">
        <v>992</v>
      </c>
      <c r="I164" s="11" t="str">
        <f>VLOOKUP($H164, 'ADP Data'!$B$4:$Q$300, 2, FALSE)</f>
        <v>#N/A</v>
      </c>
      <c r="J164" s="11" t="s">
        <v>775</v>
      </c>
      <c r="K164" s="11" t="str">
        <f>VLOOKUP($H164, SeanRanks!$A$2:$H$303, 5, FALSE)</f>
        <v>#N/A</v>
      </c>
      <c r="L164" s="11" t="str">
        <f>IF(VLOOKUP($H164, SeanRanks!$A$2:$H$303, 6, FALSE)=0, "", VLOOKUP($H164, SeanRanks!$A$2:$H$303, 6, FALSE))</f>
        <v>#N/A</v>
      </c>
      <c r="M164" s="11">
        <f t="shared" si="3"/>
        <v>16</v>
      </c>
      <c r="N164" s="11" t="str">
        <f>VLOOKUP($H164, 'ADP Data'!$B$4:$Q$300, 10, FALSE)</f>
        <v>#N/A</v>
      </c>
      <c r="O164" s="11" t="str">
        <f>VLOOKUP($H164, 'ADP Data'!$B$4:$Q$300, 4, FALSE)</f>
        <v>#N/A</v>
      </c>
      <c r="P164" s="11" t="str">
        <f t="shared" si="4"/>
        <v>#N/A</v>
      </c>
      <c r="Q164" s="11" t="str">
        <f>VLOOKUP($H164, 'ADP Data'!$B$4:$Q$300, 5, FALSE)</f>
        <v>#N/A</v>
      </c>
      <c r="R164" s="11" t="str">
        <f>VLOOKUP($H164, 'ADP Data'!$B$4:$Q$300, 6, FALSE)</f>
        <v>#N/A</v>
      </c>
      <c r="S164" s="11" t="str">
        <f>VLOOKUP($H164, 'ADP Data'!$B$4:$Q$300, 7, FALSE)</f>
        <v>#N/A</v>
      </c>
      <c r="T164" s="11" t="str">
        <f>VLOOKUP($H164, 'ADP Data'!$B$4:$Q$300, 8, FALSE)</f>
        <v>#N/A</v>
      </c>
      <c r="U164" s="11" t="str">
        <f>VLOOKUP($H164, 'ADP Data'!$B$4:$Q$300, 9, FALSE)</f>
        <v>#N/A</v>
      </c>
      <c r="V164" s="11" t="str">
        <f t="shared" si="5"/>
        <v>#N/A</v>
      </c>
      <c r="W164" s="11" t="str">
        <f t="shared" si="6"/>
        <v>#N/A</v>
      </c>
      <c r="X164" s="11" t="str">
        <f>IF(VLOOKUP($H164, SeanRanks!$A$2:$H$303, 7, FALSE)=0, "", VLOOKUP($H164, SeanRanks!$A$2:$H$303, 7, FALSE))</f>
        <v>#N/A</v>
      </c>
    </row>
    <row r="165" ht="14.25" customHeight="1">
      <c r="A165" s="11"/>
      <c r="B165" s="11" t="str">
        <f t="shared" si="7"/>
        <v>#N/A</v>
      </c>
      <c r="C165" s="11" t="s">
        <v>106</v>
      </c>
      <c r="D165" s="11"/>
      <c r="E165" s="11"/>
      <c r="F165" s="11">
        <f t="shared" si="2"/>
        <v>0</v>
      </c>
      <c r="G165" s="11"/>
      <c r="H165" s="11" t="s">
        <v>310</v>
      </c>
      <c r="I165" s="11" t="str">
        <f>VLOOKUP($H165, 'ADP Data'!$B$4:$Q$300, 2, FALSE)</f>
        <v>#N/A</v>
      </c>
      <c r="J165" s="11" t="s">
        <v>770</v>
      </c>
      <c r="K165" s="11" t="str">
        <f>VLOOKUP($H165, SeanRanks!$A$2:$H$303, 5, FALSE)</f>
        <v/>
      </c>
      <c r="L165" s="11" t="str">
        <f>IF(VLOOKUP($H165, SeanRanks!$A$2:$H$303, 6, FALSE)=0, "", VLOOKUP($H165, SeanRanks!$A$2:$H$303, 6, FALSE))</f>
        <v>Don’t Draft - Streamer</v>
      </c>
      <c r="M165" s="11">
        <f t="shared" si="3"/>
        <v>16</v>
      </c>
      <c r="N165" s="11" t="str">
        <f>VLOOKUP($H165, 'ADP Data'!$B$4:$Q$300, 10, FALSE)</f>
        <v>#N/A</v>
      </c>
      <c r="O165" s="11" t="str">
        <f>VLOOKUP($H165, 'ADP Data'!$B$4:$Q$300, 4, FALSE)</f>
        <v>#N/A</v>
      </c>
      <c r="P165" s="11" t="str">
        <f t="shared" si="4"/>
        <v>#N/A</v>
      </c>
      <c r="Q165" s="11" t="str">
        <f>VLOOKUP($H165, 'ADP Data'!$B$4:$Q$300, 5, FALSE)</f>
        <v>#N/A</v>
      </c>
      <c r="R165" s="11" t="str">
        <f>VLOOKUP($H165, 'ADP Data'!$B$4:$Q$300, 6, FALSE)</f>
        <v>#N/A</v>
      </c>
      <c r="S165" s="11" t="str">
        <f>VLOOKUP($H165, 'ADP Data'!$B$4:$Q$300, 7, FALSE)</f>
        <v>#N/A</v>
      </c>
      <c r="T165" s="11" t="str">
        <f>VLOOKUP($H165, 'ADP Data'!$B$4:$Q$300, 8, FALSE)</f>
        <v>#N/A</v>
      </c>
      <c r="U165" s="11" t="str">
        <f>VLOOKUP($H165, 'ADP Data'!$B$4:$Q$300, 9, FALSE)</f>
        <v>#N/A</v>
      </c>
      <c r="V165" s="11" t="str">
        <f t="shared" si="5"/>
        <v>#N/A</v>
      </c>
      <c r="W165" s="11" t="str">
        <f t="shared" si="6"/>
        <v>#N/A</v>
      </c>
      <c r="X165" s="11" t="str">
        <f>IF(VLOOKUP($H165, SeanRanks!$A$2:$H$303, 7, FALSE)=0, "", VLOOKUP($H165, SeanRanks!$A$2:$H$303, 7, FALSE))</f>
        <v/>
      </c>
    </row>
    <row r="166" ht="14.25" customHeight="1">
      <c r="A166" s="11"/>
      <c r="B166" s="11" t="str">
        <f t="shared" si="7"/>
        <v>#N/A</v>
      </c>
      <c r="C166" s="11" t="s">
        <v>106</v>
      </c>
      <c r="D166" s="11"/>
      <c r="E166" s="11"/>
      <c r="F166" s="11">
        <f t="shared" si="2"/>
        <v>0</v>
      </c>
      <c r="G166" s="11"/>
      <c r="H166" s="11" t="s">
        <v>892</v>
      </c>
      <c r="I166" s="11" t="str">
        <f>VLOOKUP($H166, 'ADP Data'!$B$4:$Q$300, 2, FALSE)</f>
        <v>#N/A</v>
      </c>
      <c r="J166" s="11" t="s">
        <v>775</v>
      </c>
      <c r="K166" s="11" t="str">
        <f>VLOOKUP($H166, SeanRanks!$A$2:$H$303, 5, FALSE)</f>
        <v/>
      </c>
      <c r="L166" s="11" t="str">
        <f>IF(VLOOKUP($H166, SeanRanks!$A$2:$H$303, 6, FALSE)=0, "", VLOOKUP($H166, SeanRanks!$A$2:$H$303, 6, FALSE))</f>
        <v>WR6 - dart throw upside</v>
      </c>
      <c r="M166" s="11">
        <f t="shared" si="3"/>
        <v>16</v>
      </c>
      <c r="N166" s="11" t="str">
        <f>VLOOKUP($H166, 'ADP Data'!$B$4:$Q$300, 10, FALSE)</f>
        <v>#N/A</v>
      </c>
      <c r="O166" s="11" t="str">
        <f>VLOOKUP($H166, 'ADP Data'!$B$4:$Q$300, 4, FALSE)</f>
        <v>#N/A</v>
      </c>
      <c r="P166" s="11" t="str">
        <f t="shared" si="4"/>
        <v>#N/A</v>
      </c>
      <c r="Q166" s="11" t="str">
        <f>VLOOKUP($H166, 'ADP Data'!$B$4:$Q$300, 5, FALSE)</f>
        <v>#N/A</v>
      </c>
      <c r="R166" s="11" t="str">
        <f>VLOOKUP($H166, 'ADP Data'!$B$4:$Q$300, 6, FALSE)</f>
        <v>#N/A</v>
      </c>
      <c r="S166" s="11" t="str">
        <f>VLOOKUP($H166, 'ADP Data'!$B$4:$Q$300, 7, FALSE)</f>
        <v>#N/A</v>
      </c>
      <c r="T166" s="11" t="str">
        <f>VLOOKUP($H166, 'ADP Data'!$B$4:$Q$300, 8, FALSE)</f>
        <v>#N/A</v>
      </c>
      <c r="U166" s="11" t="str">
        <f>VLOOKUP($H166, 'ADP Data'!$B$4:$Q$300, 9, FALSE)</f>
        <v>#N/A</v>
      </c>
      <c r="V166" s="11" t="str">
        <f t="shared" si="5"/>
        <v>#N/A</v>
      </c>
      <c r="W166" s="11" t="str">
        <f t="shared" si="6"/>
        <v>#N/A</v>
      </c>
      <c r="X166" s="11">
        <f>IF(VLOOKUP($H166, SeanRanks!$A$2:$H$303, 7, FALSE)=0, "", VLOOKUP($H166, SeanRanks!$A$2:$H$303, 7, FALSE))</f>
        <v>65</v>
      </c>
    </row>
    <row r="167" ht="14.25" customHeight="1">
      <c r="A167" s="11"/>
      <c r="B167" s="11" t="str">
        <f t="shared" si="7"/>
        <v>#N/A</v>
      </c>
      <c r="C167" s="11" t="s">
        <v>106</v>
      </c>
      <c r="D167" s="11"/>
      <c r="E167" s="11">
        <v>1.0</v>
      </c>
      <c r="F167" s="11">
        <f t="shared" si="2"/>
        <v>-1</v>
      </c>
      <c r="G167" s="11"/>
      <c r="H167" s="11" t="s">
        <v>906</v>
      </c>
      <c r="I167" s="11" t="str">
        <f>VLOOKUP($H167, 'ADP Data'!$B$4:$Q$300, 2, FALSE)</f>
        <v>#N/A</v>
      </c>
      <c r="J167" s="11" t="s">
        <v>775</v>
      </c>
      <c r="K167" s="11" t="str">
        <f>VLOOKUP($H167, SeanRanks!$A$2:$H$303, 5, FALSE)</f>
        <v/>
      </c>
      <c r="L167" s="11" t="str">
        <f>IF(VLOOKUP($H167, SeanRanks!$A$2:$H$303, 6, FALSE)=0, "", VLOOKUP($H167, SeanRanks!$A$2:$H$303, 6, FALSE))</f>
        <v>WR6 - dart throw upside</v>
      </c>
      <c r="M167" s="11">
        <f t="shared" si="3"/>
        <v>16</v>
      </c>
      <c r="N167" s="11" t="str">
        <f>VLOOKUP($H167, 'ADP Data'!$B$4:$Q$300, 10, FALSE)</f>
        <v>#N/A</v>
      </c>
      <c r="O167" s="11" t="str">
        <f>VLOOKUP($H167, 'ADP Data'!$B$4:$Q$300, 4, FALSE)</f>
        <v>#N/A</v>
      </c>
      <c r="P167" s="11" t="str">
        <f t="shared" si="4"/>
        <v>#N/A</v>
      </c>
      <c r="Q167" s="11" t="str">
        <f>VLOOKUP($H167, 'ADP Data'!$B$4:$Q$300, 5, FALSE)</f>
        <v>#N/A</v>
      </c>
      <c r="R167" s="11" t="str">
        <f>VLOOKUP($H167, 'ADP Data'!$B$4:$Q$300, 6, FALSE)</f>
        <v>#N/A</v>
      </c>
      <c r="S167" s="11" t="str">
        <f>VLOOKUP($H167, 'ADP Data'!$B$4:$Q$300, 7, FALSE)</f>
        <v>#N/A</v>
      </c>
      <c r="T167" s="11" t="str">
        <f>VLOOKUP($H167, 'ADP Data'!$B$4:$Q$300, 8, FALSE)</f>
        <v>#N/A</v>
      </c>
      <c r="U167" s="11" t="str">
        <f>VLOOKUP($H167, 'ADP Data'!$B$4:$Q$300, 9, FALSE)</f>
        <v>#N/A</v>
      </c>
      <c r="V167" s="11" t="str">
        <f t="shared" si="5"/>
        <v>#N/A</v>
      </c>
      <c r="W167" s="11" t="str">
        <f t="shared" si="6"/>
        <v>#N/A</v>
      </c>
      <c r="X167" s="11">
        <f>IF(VLOOKUP($H167, SeanRanks!$A$2:$H$303, 7, FALSE)=0, "", VLOOKUP($H167, SeanRanks!$A$2:$H$303, 7, FALSE))</f>
        <v>60</v>
      </c>
    </row>
    <row r="168" ht="14.25" customHeight="1">
      <c r="A168" s="11"/>
      <c r="B168" s="11" t="str">
        <f t="shared" si="7"/>
        <v>#N/A</v>
      </c>
      <c r="C168" s="11" t="s">
        <v>95</v>
      </c>
      <c r="D168" s="11">
        <v>1.0</v>
      </c>
      <c r="E168" s="11"/>
      <c r="F168" s="11">
        <f t="shared" si="2"/>
        <v>1</v>
      </c>
      <c r="G168" s="11"/>
      <c r="H168" s="11" t="s">
        <v>1170</v>
      </c>
      <c r="I168" s="11" t="str">
        <f>VLOOKUP($H168, 'ADP Data'!$B$4:$Q$300, 2, FALSE)</f>
        <v>#N/A</v>
      </c>
      <c r="J168" s="11" t="s">
        <v>775</v>
      </c>
      <c r="K168" s="11" t="str">
        <f>VLOOKUP($H168, SeanRanks!$A$2:$H$303, 5, FALSE)</f>
        <v>#N/A</v>
      </c>
      <c r="L168" s="11" t="str">
        <f>IF(VLOOKUP($H168, SeanRanks!$A$2:$H$303, 6, FALSE)=0, "", VLOOKUP($H168, SeanRanks!$A$2:$H$303, 6, FALSE))</f>
        <v>#N/A</v>
      </c>
      <c r="M168" s="11">
        <f t="shared" si="3"/>
        <v>16</v>
      </c>
      <c r="N168" s="11" t="str">
        <f>VLOOKUP($H168, 'ADP Data'!$B$4:$Q$300, 10, FALSE)</f>
        <v>#N/A</v>
      </c>
      <c r="O168" s="11" t="str">
        <f>VLOOKUP($H168, 'ADP Data'!$B$4:$Q$300, 4, FALSE)</f>
        <v>#N/A</v>
      </c>
      <c r="P168" s="11" t="str">
        <f t="shared" si="4"/>
        <v>#N/A</v>
      </c>
      <c r="Q168" s="11" t="str">
        <f>VLOOKUP($H168, 'ADP Data'!$B$4:$Q$300, 5, FALSE)</f>
        <v>#N/A</v>
      </c>
      <c r="R168" s="11" t="str">
        <f>VLOOKUP($H168, 'ADP Data'!$B$4:$Q$300, 6, FALSE)</f>
        <v>#N/A</v>
      </c>
      <c r="S168" s="11" t="str">
        <f>VLOOKUP($H168, 'ADP Data'!$B$4:$Q$300, 7, FALSE)</f>
        <v>#N/A</v>
      </c>
      <c r="T168" s="11" t="str">
        <f>VLOOKUP($H168, 'ADP Data'!$B$4:$Q$300, 8, FALSE)</f>
        <v>#N/A</v>
      </c>
      <c r="U168" s="11" t="str">
        <f>VLOOKUP($H168, 'ADP Data'!$B$4:$Q$300, 9, FALSE)</f>
        <v>#N/A</v>
      </c>
      <c r="V168" s="11" t="str">
        <f t="shared" si="5"/>
        <v>#N/A</v>
      </c>
      <c r="W168" s="11" t="str">
        <f t="shared" si="6"/>
        <v>#N/A</v>
      </c>
      <c r="X168" s="11" t="str">
        <f>IF(VLOOKUP($H168, SeanRanks!$A$2:$H$303, 7, FALSE)=0, "", VLOOKUP($H168, SeanRanks!$A$2:$H$303, 7, FALSE))</f>
        <v>#N/A</v>
      </c>
    </row>
    <row r="169" ht="14.25" customHeight="1">
      <c r="A169" s="11"/>
      <c r="B169" s="11" t="str">
        <f t="shared" si="7"/>
        <v>#N/A</v>
      </c>
      <c r="C169" s="11" t="s">
        <v>106</v>
      </c>
      <c r="D169" s="11"/>
      <c r="E169" s="11">
        <v>1.0</v>
      </c>
      <c r="F169" s="11">
        <f t="shared" si="2"/>
        <v>-1</v>
      </c>
      <c r="G169" s="11"/>
      <c r="H169" s="11" t="s">
        <v>393</v>
      </c>
      <c r="I169" s="93" t="str">
        <f>VLOOKUP($H169, 'ADP Data'!$B$4:$Q$300, 2, FALSE)</f>
        <v>#N/A</v>
      </c>
      <c r="J169" s="11" t="s">
        <v>772</v>
      </c>
      <c r="K169" s="11" t="str">
        <f>VLOOKUP($H169, SeanRanks!$A$2:$H$303, 5, FALSE)</f>
        <v/>
      </c>
      <c r="L169" s="11" t="str">
        <f>IF(VLOOKUP($H169, SeanRanks!$A$2:$H$303, 6, FALSE)=0, "", VLOOKUP($H169, SeanRanks!$A$2:$H$303, 6, FALSE))</f>
        <v>RB4 - 1 - Path to spikes</v>
      </c>
      <c r="M169" s="11">
        <f t="shared" si="3"/>
        <v>16</v>
      </c>
      <c r="N169" s="11" t="str">
        <f>VLOOKUP($H169, 'ADP Data'!$B$4:$Q$300, 10, FALSE)</f>
        <v>#N/A</v>
      </c>
      <c r="O169" s="11" t="str">
        <f>VLOOKUP($H169, 'ADP Data'!$B$4:$Q$300, 4, FALSE)</f>
        <v>#N/A</v>
      </c>
      <c r="P169" s="11" t="str">
        <f t="shared" si="4"/>
        <v>#N/A</v>
      </c>
      <c r="Q169" s="11" t="str">
        <f>VLOOKUP($H169, 'ADP Data'!$B$4:$Q$300, 5, FALSE)</f>
        <v>#N/A</v>
      </c>
      <c r="R169" s="11" t="str">
        <f>VLOOKUP($H169, 'ADP Data'!$B$4:$Q$300, 6, FALSE)</f>
        <v>#N/A</v>
      </c>
      <c r="S169" s="11" t="str">
        <f>VLOOKUP($H169, 'ADP Data'!$B$4:$Q$300, 7, FALSE)</f>
        <v>#N/A</v>
      </c>
      <c r="T169" s="11" t="str">
        <f>VLOOKUP($H169, 'ADP Data'!$B$4:$Q$300, 8, FALSE)</f>
        <v>#N/A</v>
      </c>
      <c r="U169" s="11" t="str">
        <f>VLOOKUP($H169, 'ADP Data'!$B$4:$Q$300, 9, FALSE)</f>
        <v>#N/A</v>
      </c>
      <c r="V169" s="11" t="str">
        <f t="shared" si="5"/>
        <v>#N/A</v>
      </c>
      <c r="W169" s="11" t="str">
        <f t="shared" si="6"/>
        <v>#N/A</v>
      </c>
      <c r="X169" s="11">
        <f>IF(VLOOKUP($H169, SeanRanks!$A$2:$H$303, 7, FALSE)=0, "", VLOOKUP($H169, SeanRanks!$A$2:$H$303, 7, FALSE))</f>
        <v>40</v>
      </c>
    </row>
    <row r="170" ht="14.25" customHeight="1">
      <c r="A170" s="11"/>
      <c r="B170" s="11" t="str">
        <f t="shared" si="7"/>
        <v>#N/A</v>
      </c>
      <c r="C170" s="11" t="s">
        <v>106</v>
      </c>
      <c r="D170" s="11"/>
      <c r="E170" s="11"/>
      <c r="F170" s="11">
        <f t="shared" si="2"/>
        <v>0</v>
      </c>
      <c r="G170" s="11"/>
      <c r="H170" s="11" t="s">
        <v>909</v>
      </c>
      <c r="I170" s="11" t="str">
        <f>VLOOKUP($H170, 'ADP Data'!$B$4:$Q$300, 2, FALSE)</f>
        <v>#N/A</v>
      </c>
      <c r="J170" s="11" t="s">
        <v>770</v>
      </c>
      <c r="K170" s="11" t="str">
        <f>VLOOKUP($H170, SeanRanks!$A$2:$H$303, 5, FALSE)</f>
        <v>#N/A</v>
      </c>
      <c r="L170" s="11" t="str">
        <f>IF(VLOOKUP($H170, SeanRanks!$A$2:$H$303, 6, FALSE)=0, "", VLOOKUP($H170, SeanRanks!$A$2:$H$303, 6, FALSE))</f>
        <v>#N/A</v>
      </c>
      <c r="M170" s="11">
        <f t="shared" si="3"/>
        <v>16</v>
      </c>
      <c r="N170" s="11" t="str">
        <f>VLOOKUP($H170, 'ADP Data'!$B$4:$Q$300, 10, FALSE)</f>
        <v>#N/A</v>
      </c>
      <c r="O170" s="11" t="str">
        <f>VLOOKUP($H170, 'ADP Data'!$B$4:$Q$300, 4, FALSE)</f>
        <v>#N/A</v>
      </c>
      <c r="P170" s="11" t="str">
        <f t="shared" si="4"/>
        <v>#N/A</v>
      </c>
      <c r="Q170" s="11" t="str">
        <f>VLOOKUP($H170, 'ADP Data'!$B$4:$Q$300, 5, FALSE)</f>
        <v>#N/A</v>
      </c>
      <c r="R170" s="11" t="str">
        <f>VLOOKUP($H170, 'ADP Data'!$B$4:$Q$300, 6, FALSE)</f>
        <v>#N/A</v>
      </c>
      <c r="S170" s="11" t="str">
        <f>VLOOKUP($H170, 'ADP Data'!$B$4:$Q$300, 7, FALSE)</f>
        <v>#N/A</v>
      </c>
      <c r="T170" s="11" t="str">
        <f>VLOOKUP($H170, 'ADP Data'!$B$4:$Q$300, 8, FALSE)</f>
        <v>#N/A</v>
      </c>
      <c r="U170" s="11" t="str">
        <f>VLOOKUP($H170, 'ADP Data'!$B$4:$Q$300, 9, FALSE)</f>
        <v>#N/A</v>
      </c>
      <c r="V170" s="11" t="str">
        <f t="shared" si="5"/>
        <v>#N/A</v>
      </c>
      <c r="W170" s="11" t="str">
        <f t="shared" si="6"/>
        <v>#N/A</v>
      </c>
      <c r="X170" s="11" t="str">
        <f>IF(VLOOKUP($H170, SeanRanks!$A$2:$H$303, 7, FALSE)=0, "", VLOOKUP($H170, SeanRanks!$A$2:$H$303, 7, FALSE))</f>
        <v>#N/A</v>
      </c>
    </row>
    <row r="171" ht="14.25" customHeight="1">
      <c r="A171" s="11"/>
      <c r="B171" s="11" t="str">
        <f t="shared" si="7"/>
        <v>#N/A</v>
      </c>
      <c r="C171" s="11" t="s">
        <v>106</v>
      </c>
      <c r="D171" s="11"/>
      <c r="E171" s="11"/>
      <c r="F171" s="11">
        <f t="shared" si="2"/>
        <v>0</v>
      </c>
      <c r="G171" s="11"/>
      <c r="H171" s="11" t="s">
        <v>1261</v>
      </c>
      <c r="I171" s="58" t="str">
        <f>VLOOKUP($H171, 'ADP Data'!$B$4:$Q$300, 2, FALSE)</f>
        <v>#N/A</v>
      </c>
      <c r="J171" s="11" t="s">
        <v>775</v>
      </c>
      <c r="K171" s="11" t="str">
        <f>VLOOKUP($H171, SeanRanks!$A$2:$H$303, 5, FALSE)</f>
        <v>#N/A</v>
      </c>
      <c r="L171" s="11" t="str">
        <f>IF(VLOOKUP($H171, SeanRanks!$A$2:$H$303, 6, FALSE)=0, "", VLOOKUP($H171, SeanRanks!$A$2:$H$303, 6, FALSE))</f>
        <v>#N/A</v>
      </c>
      <c r="M171" s="11">
        <f t="shared" si="3"/>
        <v>16</v>
      </c>
      <c r="N171" s="11" t="str">
        <f>VLOOKUP($H171, 'ADP Data'!$B$4:$Q$300, 10, FALSE)</f>
        <v>#N/A</v>
      </c>
      <c r="O171" s="11" t="str">
        <f>VLOOKUP($H171, 'ADP Data'!$B$4:$Q$300, 4, FALSE)</f>
        <v>#N/A</v>
      </c>
      <c r="P171" s="11" t="str">
        <f t="shared" si="4"/>
        <v>#N/A</v>
      </c>
      <c r="Q171" s="11" t="str">
        <f>VLOOKUP($H171, 'ADP Data'!$B$4:$Q$300, 5, FALSE)</f>
        <v>#N/A</v>
      </c>
      <c r="R171" s="11" t="str">
        <f>VLOOKUP($H171, 'ADP Data'!$B$4:$Q$300, 6, FALSE)</f>
        <v>#N/A</v>
      </c>
      <c r="S171" s="11" t="str">
        <f>VLOOKUP($H171, 'ADP Data'!$B$4:$Q$300, 7, FALSE)</f>
        <v>#N/A</v>
      </c>
      <c r="T171" s="11" t="str">
        <f>VLOOKUP($H171, 'ADP Data'!$B$4:$Q$300, 8, FALSE)</f>
        <v>#N/A</v>
      </c>
      <c r="U171" s="11" t="str">
        <f>VLOOKUP($H171, 'ADP Data'!$B$4:$Q$300, 9, FALSE)</f>
        <v>#N/A</v>
      </c>
      <c r="V171" s="11" t="str">
        <f t="shared" si="5"/>
        <v>#N/A</v>
      </c>
      <c r="W171" s="11" t="str">
        <f t="shared" si="6"/>
        <v>#N/A</v>
      </c>
      <c r="X171" s="11" t="str">
        <f>IF(VLOOKUP($H171, SeanRanks!$A$2:$H$303, 7, FALSE)=0, "", VLOOKUP($H171, SeanRanks!$A$2:$H$303, 7, FALSE))</f>
        <v>#N/A</v>
      </c>
    </row>
    <row r="172" ht="14.25" customHeight="1">
      <c r="A172" s="11"/>
      <c r="B172" s="11" t="str">
        <f t="shared" si="7"/>
        <v>#N/A</v>
      </c>
      <c r="C172" s="11" t="s">
        <v>106</v>
      </c>
      <c r="D172" s="11"/>
      <c r="E172" s="11">
        <v>1.0</v>
      </c>
      <c r="F172" s="11">
        <f t="shared" si="2"/>
        <v>-1</v>
      </c>
      <c r="G172" s="52" t="s">
        <v>1294</v>
      </c>
      <c r="H172" s="11" t="s">
        <v>376</v>
      </c>
      <c r="I172" s="11" t="str">
        <f>VLOOKUP($H172, 'ADP Data'!$B$4:$Q$300, 2, FALSE)</f>
        <v>#N/A</v>
      </c>
      <c r="J172" s="11" t="s">
        <v>770</v>
      </c>
      <c r="K172" s="11" t="str">
        <f>VLOOKUP($H172, SeanRanks!$A$2:$H$303, 5, FALSE)</f>
        <v/>
      </c>
      <c r="L172" s="11" t="str">
        <f>IF(VLOOKUP($H172, SeanRanks!$A$2:$H$303, 6, FALSE)=0, "", VLOOKUP($H172, SeanRanks!$A$2:$H$303, 6, FALSE))</f>
        <v>QB2 - 1 - League Winner</v>
      </c>
      <c r="M172" s="11">
        <f t="shared" si="3"/>
        <v>16</v>
      </c>
      <c r="N172" s="11" t="str">
        <f>VLOOKUP($H172, 'ADP Data'!$B$4:$Q$300, 10, FALSE)</f>
        <v>#N/A</v>
      </c>
      <c r="O172" s="11" t="str">
        <f>VLOOKUP($H172, 'ADP Data'!$B$4:$Q$300, 4, FALSE)</f>
        <v>#N/A</v>
      </c>
      <c r="P172" s="11" t="str">
        <f t="shared" si="4"/>
        <v>#N/A</v>
      </c>
      <c r="Q172" s="11" t="str">
        <f>VLOOKUP($H172, 'ADP Data'!$B$4:$Q$300, 5, FALSE)</f>
        <v>#N/A</v>
      </c>
      <c r="R172" s="11" t="str">
        <f>VLOOKUP($H172, 'ADP Data'!$B$4:$Q$300, 6, FALSE)</f>
        <v>#N/A</v>
      </c>
      <c r="S172" s="11" t="str">
        <f>VLOOKUP($H172, 'ADP Data'!$B$4:$Q$300, 7, FALSE)</f>
        <v>#N/A</v>
      </c>
      <c r="T172" s="11" t="str">
        <f>VLOOKUP($H172, 'ADP Data'!$B$4:$Q$300, 8, FALSE)</f>
        <v>#N/A</v>
      </c>
      <c r="U172" s="11" t="str">
        <f>VLOOKUP($H172, 'ADP Data'!$B$4:$Q$300, 9, FALSE)</f>
        <v>#N/A</v>
      </c>
      <c r="V172" s="11" t="str">
        <f t="shared" si="5"/>
        <v>#N/A</v>
      </c>
      <c r="W172" s="11" t="str">
        <f t="shared" si="6"/>
        <v>#N/A</v>
      </c>
      <c r="X172" s="11">
        <f>IF(VLOOKUP($H172, SeanRanks!$A$2:$H$303, 7, FALSE)=0, "", VLOOKUP($H172, SeanRanks!$A$2:$H$303, 7, FALSE))</f>
        <v>15</v>
      </c>
    </row>
    <row r="173" ht="14.25" customHeight="1">
      <c r="A173" s="11"/>
      <c r="B173" s="11" t="str">
        <f t="shared" si="7"/>
        <v>#N/A</v>
      </c>
      <c r="C173" s="11" t="s">
        <v>106</v>
      </c>
      <c r="D173" s="11"/>
      <c r="E173" s="11">
        <v>0.0</v>
      </c>
      <c r="F173" s="11">
        <f t="shared" si="2"/>
        <v>0</v>
      </c>
      <c r="G173" s="52" t="s">
        <v>1270</v>
      </c>
      <c r="H173" s="11" t="s">
        <v>893</v>
      </c>
      <c r="I173" s="11" t="str">
        <f>VLOOKUP($H173, 'ADP Data'!$B$4:$Q$300, 2, FALSE)</f>
        <v>#N/A</v>
      </c>
      <c r="J173" s="11" t="s">
        <v>781</v>
      </c>
      <c r="K173" s="11" t="str">
        <f>VLOOKUP($H173, SeanRanks!$A$2:$H$303, 5, FALSE)</f>
        <v>#N/A</v>
      </c>
      <c r="L173" s="11" t="str">
        <f>IF(VLOOKUP($H173, SeanRanks!$A$2:$H$303, 6, FALSE)=0, "", VLOOKUP($H173, SeanRanks!$A$2:$H$303, 6, FALSE))</f>
        <v>#N/A</v>
      </c>
      <c r="M173" s="11">
        <f t="shared" si="3"/>
        <v>16</v>
      </c>
      <c r="N173" s="11" t="str">
        <f>VLOOKUP($H173, 'ADP Data'!$B$4:$Q$300, 10, FALSE)</f>
        <v>#N/A</v>
      </c>
      <c r="O173" s="11" t="str">
        <f>VLOOKUP($H173, 'ADP Data'!$B$4:$Q$300, 4, FALSE)</f>
        <v>#N/A</v>
      </c>
      <c r="P173" s="11" t="str">
        <f t="shared" si="4"/>
        <v>#N/A</v>
      </c>
      <c r="Q173" s="11" t="str">
        <f>VLOOKUP($H173, 'ADP Data'!$B$4:$Q$300, 5, FALSE)</f>
        <v>#N/A</v>
      </c>
      <c r="R173" s="11" t="str">
        <f>VLOOKUP($H173, 'ADP Data'!$B$4:$Q$300, 6, FALSE)</f>
        <v>#N/A</v>
      </c>
      <c r="S173" s="11" t="str">
        <f>VLOOKUP($H173, 'ADP Data'!$B$4:$Q$300, 7, FALSE)</f>
        <v>#N/A</v>
      </c>
      <c r="T173" s="11" t="str">
        <f>VLOOKUP($H173, 'ADP Data'!$B$4:$Q$300, 8, FALSE)</f>
        <v>#N/A</v>
      </c>
      <c r="U173" s="11" t="str">
        <f>VLOOKUP($H173, 'ADP Data'!$B$4:$Q$300, 9, FALSE)</f>
        <v>#N/A</v>
      </c>
      <c r="V173" s="11" t="str">
        <f t="shared" si="5"/>
        <v>#N/A</v>
      </c>
      <c r="W173" s="11" t="str">
        <f t="shared" si="6"/>
        <v>#N/A</v>
      </c>
      <c r="X173" s="11" t="str">
        <f>IF(VLOOKUP($H173, SeanRanks!$A$2:$H$303, 7, FALSE)=0, "", VLOOKUP($H173, SeanRanks!$A$2:$H$303, 7, FALSE))</f>
        <v>#N/A</v>
      </c>
    </row>
    <row r="174" ht="14.25" customHeight="1">
      <c r="A174" s="11"/>
      <c r="B174" s="11" t="str">
        <f t="shared" si="7"/>
        <v>#N/A</v>
      </c>
      <c r="C174" s="11" t="s">
        <v>106</v>
      </c>
      <c r="D174" s="11"/>
      <c r="E174" s="11">
        <v>0.0</v>
      </c>
      <c r="F174" s="11">
        <f t="shared" si="2"/>
        <v>0</v>
      </c>
      <c r="G174" s="52" t="s">
        <v>1270</v>
      </c>
      <c r="H174" s="11" t="s">
        <v>1179</v>
      </c>
      <c r="I174" s="11" t="str">
        <f>VLOOKUP($H174, 'ADP Data'!$B$4:$Q$300, 2, FALSE)</f>
        <v>#N/A</v>
      </c>
      <c r="J174" s="11" t="s">
        <v>781</v>
      </c>
      <c r="K174" s="11" t="str">
        <f>VLOOKUP($H174, SeanRanks!$A$2:$H$303, 5, FALSE)</f>
        <v>#N/A</v>
      </c>
      <c r="L174" s="11" t="str">
        <f>IF(VLOOKUP($H174, SeanRanks!$A$2:$H$303, 6, FALSE)=0, "", VLOOKUP($H174, SeanRanks!$A$2:$H$303, 6, FALSE))</f>
        <v>#N/A</v>
      </c>
      <c r="M174" s="11">
        <f t="shared" si="3"/>
        <v>16</v>
      </c>
      <c r="N174" s="11" t="str">
        <f>VLOOKUP($H174, 'ADP Data'!$B$4:$Q$300, 10, FALSE)</f>
        <v>#N/A</v>
      </c>
      <c r="O174" s="11" t="str">
        <f>VLOOKUP($H174, 'ADP Data'!$B$4:$Q$300, 4, FALSE)</f>
        <v>#N/A</v>
      </c>
      <c r="P174" s="11" t="str">
        <f t="shared" si="4"/>
        <v>#N/A</v>
      </c>
      <c r="Q174" s="11" t="str">
        <f>VLOOKUP($H174, 'ADP Data'!$B$4:$Q$300, 5, FALSE)</f>
        <v>#N/A</v>
      </c>
      <c r="R174" s="11" t="str">
        <f>VLOOKUP($H174, 'ADP Data'!$B$4:$Q$300, 6, FALSE)</f>
        <v>#N/A</v>
      </c>
      <c r="S174" s="11" t="str">
        <f>VLOOKUP($H174, 'ADP Data'!$B$4:$Q$300, 7, FALSE)</f>
        <v>#N/A</v>
      </c>
      <c r="T174" s="11" t="str">
        <f>VLOOKUP($H174, 'ADP Data'!$B$4:$Q$300, 8, FALSE)</f>
        <v>#N/A</v>
      </c>
      <c r="U174" s="11" t="str">
        <f>VLOOKUP($H174, 'ADP Data'!$B$4:$Q$300, 9, FALSE)</f>
        <v>#N/A</v>
      </c>
      <c r="V174" s="11" t="str">
        <f t="shared" si="5"/>
        <v>#N/A</v>
      </c>
      <c r="W174" s="11" t="str">
        <f t="shared" si="6"/>
        <v>#N/A</v>
      </c>
      <c r="X174" s="11" t="str">
        <f>IF(VLOOKUP($H174, SeanRanks!$A$2:$H$303, 7, FALSE)=0, "", VLOOKUP($H174, SeanRanks!$A$2:$H$303, 7, FALSE))</f>
        <v>#N/A</v>
      </c>
    </row>
    <row r="175" ht="14.25" customHeight="1">
      <c r="A175" s="11"/>
      <c r="B175" s="11" t="str">
        <f t="shared" si="7"/>
        <v>#N/A</v>
      </c>
      <c r="C175" s="11" t="s">
        <v>106</v>
      </c>
      <c r="D175" s="11"/>
      <c r="E175" s="11"/>
      <c r="F175" s="11">
        <f t="shared" si="2"/>
        <v>0</v>
      </c>
      <c r="G175" s="11"/>
      <c r="H175" s="11" t="s">
        <v>886</v>
      </c>
      <c r="I175" s="11" t="str">
        <f>VLOOKUP($H175, 'ADP Data'!$B$4:$Q$300, 2, FALSE)</f>
        <v>#N/A</v>
      </c>
      <c r="J175" s="11" t="s">
        <v>785</v>
      </c>
      <c r="K175" s="11" t="str">
        <f>VLOOKUP($H175, SeanRanks!$A$2:$H$303, 5, FALSE)</f>
        <v/>
      </c>
      <c r="L175" s="11" t="str">
        <f>IF(VLOOKUP($H175, SeanRanks!$A$2:$H$303, 6, FALSE)=0, "", VLOOKUP($H175, SeanRanks!$A$2:$H$303, 6, FALSE))</f>
        <v/>
      </c>
      <c r="M175" s="11">
        <f t="shared" si="3"/>
        <v>16</v>
      </c>
      <c r="N175" s="11" t="str">
        <f>VLOOKUP($H175, 'ADP Data'!$B$4:$Q$300, 10, FALSE)</f>
        <v>#N/A</v>
      </c>
      <c r="O175" s="11" t="str">
        <f>VLOOKUP($H175, 'ADP Data'!$B$4:$Q$300, 4, FALSE)</f>
        <v>#N/A</v>
      </c>
      <c r="P175" s="11" t="str">
        <f t="shared" si="4"/>
        <v>#N/A</v>
      </c>
      <c r="Q175" s="11" t="str">
        <f>VLOOKUP($H175, 'ADP Data'!$B$4:$Q$300, 5, FALSE)</f>
        <v>#N/A</v>
      </c>
      <c r="R175" s="11" t="str">
        <f>VLOOKUP($H175, 'ADP Data'!$B$4:$Q$300, 6, FALSE)</f>
        <v>#N/A</v>
      </c>
      <c r="S175" s="11" t="str">
        <f>VLOOKUP($H175, 'ADP Data'!$B$4:$Q$300, 7, FALSE)</f>
        <v>#N/A</v>
      </c>
      <c r="T175" s="11" t="str">
        <f>VLOOKUP($H175, 'ADP Data'!$B$4:$Q$300, 8, FALSE)</f>
        <v>#N/A</v>
      </c>
      <c r="U175" s="11" t="str">
        <f>VLOOKUP($H175, 'ADP Data'!$B$4:$Q$300, 9, FALSE)</f>
        <v>#N/A</v>
      </c>
      <c r="V175" s="11" t="str">
        <f t="shared" si="5"/>
        <v>#N/A</v>
      </c>
      <c r="W175" s="11" t="str">
        <f t="shared" si="6"/>
        <v>#N/A</v>
      </c>
      <c r="X175" s="11" t="str">
        <f>IF(VLOOKUP($H175, SeanRanks!$A$2:$H$303, 7, FALSE)=0, "", VLOOKUP($H175, SeanRanks!$A$2:$H$303, 7, FALSE))</f>
        <v/>
      </c>
    </row>
    <row r="176" ht="14.25" customHeight="1">
      <c r="A176" s="11"/>
      <c r="B176" s="11" t="str">
        <f t="shared" si="7"/>
        <v>#N/A</v>
      </c>
      <c r="C176" s="11" t="s">
        <v>106</v>
      </c>
      <c r="D176" s="11"/>
      <c r="E176" s="11"/>
      <c r="F176" s="11">
        <f t="shared" si="2"/>
        <v>0</v>
      </c>
      <c r="G176" s="11"/>
      <c r="H176" s="11" t="s">
        <v>968</v>
      </c>
      <c r="I176" s="11" t="str">
        <f>VLOOKUP($H176, 'ADP Data'!$B$4:$Q$300, 2, FALSE)</f>
        <v>#N/A</v>
      </c>
      <c r="J176" s="11" t="s">
        <v>775</v>
      </c>
      <c r="K176" s="11" t="str">
        <f>VLOOKUP($H176, SeanRanks!$A$2:$H$303, 5, FALSE)</f>
        <v>#N/A</v>
      </c>
      <c r="L176" s="11" t="str">
        <f>IF(VLOOKUP($H176, SeanRanks!$A$2:$H$303, 6, FALSE)=0, "", VLOOKUP($H176, SeanRanks!$A$2:$H$303, 6, FALSE))</f>
        <v>#N/A</v>
      </c>
      <c r="M176" s="11">
        <f t="shared" si="3"/>
        <v>16</v>
      </c>
      <c r="N176" s="11" t="str">
        <f>VLOOKUP($H176, 'ADP Data'!$B$4:$Q$300, 10, FALSE)</f>
        <v>#N/A</v>
      </c>
      <c r="O176" s="11" t="str">
        <f>VLOOKUP($H176, 'ADP Data'!$B$4:$Q$300, 4, FALSE)</f>
        <v>#N/A</v>
      </c>
      <c r="P176" s="11" t="str">
        <f t="shared" si="4"/>
        <v>#N/A</v>
      </c>
      <c r="Q176" s="11" t="str">
        <f>VLOOKUP($H176, 'ADP Data'!$B$4:$Q$300, 5, FALSE)</f>
        <v>#N/A</v>
      </c>
      <c r="R176" s="11" t="str">
        <f>VLOOKUP($H176, 'ADP Data'!$B$4:$Q$300, 6, FALSE)</f>
        <v>#N/A</v>
      </c>
      <c r="S176" s="11" t="str">
        <f>VLOOKUP($H176, 'ADP Data'!$B$4:$Q$300, 7, FALSE)</f>
        <v>#N/A</v>
      </c>
      <c r="T176" s="11" t="str">
        <f>VLOOKUP($H176, 'ADP Data'!$B$4:$Q$300, 8, FALSE)</f>
        <v>#N/A</v>
      </c>
      <c r="U176" s="11" t="str">
        <f>VLOOKUP($H176, 'ADP Data'!$B$4:$Q$300, 9, FALSE)</f>
        <v>#N/A</v>
      </c>
      <c r="V176" s="11" t="str">
        <f t="shared" si="5"/>
        <v>#N/A</v>
      </c>
      <c r="W176" s="11" t="str">
        <f t="shared" si="6"/>
        <v>#N/A</v>
      </c>
      <c r="X176" s="11" t="str">
        <f>IF(VLOOKUP($H176, SeanRanks!$A$2:$H$303, 7, FALSE)=0, "", VLOOKUP($H176, SeanRanks!$A$2:$H$303, 7, FALSE))</f>
        <v>#N/A</v>
      </c>
    </row>
    <row r="177" ht="14.25" customHeight="1">
      <c r="A177" s="11"/>
      <c r="B177" s="11" t="str">
        <f t="shared" si="7"/>
        <v>#N/A</v>
      </c>
      <c r="C177" s="11" t="s">
        <v>95</v>
      </c>
      <c r="D177" s="11">
        <v>1.0</v>
      </c>
      <c r="E177" s="11"/>
      <c r="F177" s="11">
        <f t="shared" si="2"/>
        <v>1</v>
      </c>
      <c r="G177" s="11"/>
      <c r="H177" s="11" t="s">
        <v>380</v>
      </c>
      <c r="I177" s="11" t="str">
        <f>VLOOKUP($H177, 'ADP Data'!$B$4:$Q$300, 2, FALSE)</f>
        <v>#N/A</v>
      </c>
      <c r="J177" s="11" t="s">
        <v>772</v>
      </c>
      <c r="K177" s="11" t="str">
        <f>VLOOKUP($H177, SeanRanks!$A$2:$H$303, 5, FALSE)</f>
        <v/>
      </c>
      <c r="L177" s="11" t="str">
        <f>IF(VLOOKUP($H177, SeanRanks!$A$2:$H$303, 6, FALSE)=0, "", VLOOKUP($H177, SeanRanks!$A$2:$H$303, 6, FALSE))</f>
        <v>RB4 - 1 - Path to spikes</v>
      </c>
      <c r="M177" s="11">
        <f t="shared" si="3"/>
        <v>16</v>
      </c>
      <c r="N177" s="11" t="str">
        <f>VLOOKUP($H177, 'ADP Data'!$B$4:$Q$300, 10, FALSE)</f>
        <v>#N/A</v>
      </c>
      <c r="O177" s="11" t="str">
        <f>VLOOKUP($H177, 'ADP Data'!$B$4:$Q$300, 4, FALSE)</f>
        <v>#N/A</v>
      </c>
      <c r="P177" s="11" t="str">
        <f t="shared" si="4"/>
        <v>#N/A</v>
      </c>
      <c r="Q177" s="11" t="str">
        <f>VLOOKUP($H177, 'ADP Data'!$B$4:$Q$300, 5, FALSE)</f>
        <v>#N/A</v>
      </c>
      <c r="R177" s="11" t="str">
        <f>VLOOKUP($H177, 'ADP Data'!$B$4:$Q$300, 6, FALSE)</f>
        <v>#N/A</v>
      </c>
      <c r="S177" s="11" t="str">
        <f>VLOOKUP($H177, 'ADP Data'!$B$4:$Q$300, 7, FALSE)</f>
        <v>#N/A</v>
      </c>
      <c r="T177" s="11" t="str">
        <f>VLOOKUP($H177, 'ADP Data'!$B$4:$Q$300, 8, FALSE)</f>
        <v>#N/A</v>
      </c>
      <c r="U177" s="11" t="str">
        <f>VLOOKUP($H177, 'ADP Data'!$B$4:$Q$300, 9, FALSE)</f>
        <v>#N/A</v>
      </c>
      <c r="V177" s="11" t="str">
        <f t="shared" si="5"/>
        <v>#N/A</v>
      </c>
      <c r="W177" s="11" t="str">
        <f t="shared" si="6"/>
        <v>#N/A</v>
      </c>
      <c r="X177" s="11">
        <f>IF(VLOOKUP($H177, SeanRanks!$A$2:$H$303, 7, FALSE)=0, "", VLOOKUP($H177, SeanRanks!$A$2:$H$303, 7, FALSE))</f>
        <v>46</v>
      </c>
    </row>
    <row r="178" ht="14.25" customHeight="1">
      <c r="A178" s="11"/>
      <c r="B178" s="11" t="str">
        <f t="shared" si="7"/>
        <v>#N/A</v>
      </c>
      <c r="C178" s="11" t="s">
        <v>106</v>
      </c>
      <c r="D178" s="11"/>
      <c r="E178" s="11"/>
      <c r="F178" s="11">
        <f t="shared" si="2"/>
        <v>0</v>
      </c>
      <c r="G178" s="11"/>
      <c r="H178" s="11" t="s">
        <v>850</v>
      </c>
      <c r="I178" s="11" t="str">
        <f>VLOOKUP($H178, 'ADP Data'!$B$4:$Q$300, 2, FALSE)</f>
        <v>#N/A</v>
      </c>
      <c r="J178" s="11" t="s">
        <v>772</v>
      </c>
      <c r="K178" s="11" t="str">
        <f>VLOOKUP($H178, SeanRanks!$A$2:$H$303, 5, FALSE)</f>
        <v>#N/A</v>
      </c>
      <c r="L178" s="11" t="str">
        <f>IF(VLOOKUP($H178, SeanRanks!$A$2:$H$303, 6, FALSE)=0, "", VLOOKUP($H178, SeanRanks!$A$2:$H$303, 6, FALSE))</f>
        <v>#N/A</v>
      </c>
      <c r="M178" s="11">
        <f t="shared" si="3"/>
        <v>16</v>
      </c>
      <c r="N178" s="11" t="str">
        <f>VLOOKUP($H178, 'ADP Data'!$B$4:$Q$300, 10, FALSE)</f>
        <v>#N/A</v>
      </c>
      <c r="O178" s="11" t="str">
        <f>VLOOKUP($H178, 'ADP Data'!$B$4:$Q$300, 4, FALSE)</f>
        <v>#N/A</v>
      </c>
      <c r="P178" s="11" t="str">
        <f t="shared" si="4"/>
        <v>#N/A</v>
      </c>
      <c r="Q178" s="11" t="str">
        <f>VLOOKUP($H178, 'ADP Data'!$B$4:$Q$300, 5, FALSE)</f>
        <v>#N/A</v>
      </c>
      <c r="R178" s="11" t="str">
        <f>VLOOKUP($H178, 'ADP Data'!$B$4:$Q$300, 6, FALSE)</f>
        <v>#N/A</v>
      </c>
      <c r="S178" s="11" t="str">
        <f>VLOOKUP($H178, 'ADP Data'!$B$4:$Q$300, 7, FALSE)</f>
        <v>#N/A</v>
      </c>
      <c r="T178" s="11" t="str">
        <f>VLOOKUP($H178, 'ADP Data'!$B$4:$Q$300, 8, FALSE)</f>
        <v>#N/A</v>
      </c>
      <c r="U178" s="11" t="str">
        <f>VLOOKUP($H178, 'ADP Data'!$B$4:$Q$300, 9, FALSE)</f>
        <v>#N/A</v>
      </c>
      <c r="V178" s="11" t="str">
        <f t="shared" si="5"/>
        <v>#N/A</v>
      </c>
      <c r="W178" s="11" t="str">
        <f t="shared" si="6"/>
        <v>#N/A</v>
      </c>
      <c r="X178" s="11" t="str">
        <f>IF(VLOOKUP($H178, SeanRanks!$A$2:$H$303, 7, FALSE)=0, "", VLOOKUP($H178, SeanRanks!$A$2:$H$303, 7, FALSE))</f>
        <v>#N/A</v>
      </c>
    </row>
    <row r="179" ht="14.25" customHeight="1">
      <c r="A179" s="11"/>
      <c r="B179" s="11" t="str">
        <f t="shared" si="7"/>
        <v>#N/A</v>
      </c>
      <c r="C179" s="11" t="s">
        <v>106</v>
      </c>
      <c r="D179" s="11"/>
      <c r="E179" s="11"/>
      <c r="F179" s="11">
        <f t="shared" si="2"/>
        <v>0</v>
      </c>
      <c r="G179" s="11"/>
      <c r="H179" s="11" t="s">
        <v>1297</v>
      </c>
      <c r="I179" s="11" t="str">
        <f>VLOOKUP($H179, 'ADP Data'!$B$4:$Q$300, 2, FALSE)</f>
        <v>#N/A</v>
      </c>
      <c r="J179" s="11" t="s">
        <v>772</v>
      </c>
      <c r="K179" s="11" t="str">
        <f>VLOOKUP($H179, SeanRanks!$A$2:$H$303, 5, FALSE)</f>
        <v>#N/A</v>
      </c>
      <c r="L179" s="11" t="str">
        <f>IF(VLOOKUP($H179, SeanRanks!$A$2:$H$303, 6, FALSE)=0, "", VLOOKUP($H179, SeanRanks!$A$2:$H$303, 6, FALSE))</f>
        <v>#N/A</v>
      </c>
      <c r="M179" s="11">
        <f t="shared" si="3"/>
        <v>16</v>
      </c>
      <c r="N179" s="11" t="str">
        <f>VLOOKUP($H179, 'ADP Data'!$B$4:$Q$300, 10, FALSE)</f>
        <v>#N/A</v>
      </c>
      <c r="O179" s="11" t="str">
        <f>VLOOKUP($H179, 'ADP Data'!$B$4:$Q$300, 4, FALSE)</f>
        <v>#N/A</v>
      </c>
      <c r="P179" s="11" t="str">
        <f t="shared" si="4"/>
        <v>#N/A</v>
      </c>
      <c r="Q179" s="11" t="str">
        <f>VLOOKUP($H179, 'ADP Data'!$B$4:$Q$300, 5, FALSE)</f>
        <v>#N/A</v>
      </c>
      <c r="R179" s="11" t="str">
        <f>VLOOKUP($H179, 'ADP Data'!$B$4:$Q$300, 6, FALSE)</f>
        <v>#N/A</v>
      </c>
      <c r="S179" s="11" t="str">
        <f>VLOOKUP($H179, 'ADP Data'!$B$4:$Q$300, 7, FALSE)</f>
        <v>#N/A</v>
      </c>
      <c r="T179" s="11" t="str">
        <f>VLOOKUP($H179, 'ADP Data'!$B$4:$Q$300, 8, FALSE)</f>
        <v>#N/A</v>
      </c>
      <c r="U179" s="11" t="str">
        <f>VLOOKUP($H179, 'ADP Data'!$B$4:$Q$300, 9, FALSE)</f>
        <v>#N/A</v>
      </c>
      <c r="V179" s="11" t="str">
        <f t="shared" si="5"/>
        <v>#N/A</v>
      </c>
      <c r="W179" s="11" t="str">
        <f t="shared" si="6"/>
        <v>#N/A</v>
      </c>
      <c r="X179" s="11" t="str">
        <f>IF(VLOOKUP($H179, SeanRanks!$A$2:$H$303, 7, FALSE)=0, "", VLOOKUP($H179, SeanRanks!$A$2:$H$303, 7, FALSE))</f>
        <v>#N/A</v>
      </c>
    </row>
    <row r="180" ht="14.25" customHeight="1">
      <c r="A180" s="11"/>
      <c r="B180" s="11" t="str">
        <f t="shared" si="7"/>
        <v>#N/A</v>
      </c>
      <c r="C180" s="11" t="s">
        <v>106</v>
      </c>
      <c r="D180" s="11"/>
      <c r="E180" s="11"/>
      <c r="F180" s="11">
        <f t="shared" si="2"/>
        <v>0</v>
      </c>
      <c r="G180" s="11"/>
      <c r="H180" s="11" t="s">
        <v>485</v>
      </c>
      <c r="I180" s="11" t="str">
        <f>VLOOKUP($H180, 'ADP Data'!$B$4:$Q$300, 2, FALSE)</f>
        <v>#N/A</v>
      </c>
      <c r="J180" s="11" t="s">
        <v>785</v>
      </c>
      <c r="K180" s="11" t="str">
        <f>VLOOKUP($H180, SeanRanks!$A$2:$H$303, 5, FALSE)</f>
        <v/>
      </c>
      <c r="L180" s="11" t="str">
        <f>IF(VLOOKUP($H180, SeanRanks!$A$2:$H$303, 6, FALSE)=0, "", VLOOKUP($H180, SeanRanks!$A$2:$H$303, 6, FALSE))</f>
        <v/>
      </c>
      <c r="M180" s="11">
        <f t="shared" si="3"/>
        <v>16</v>
      </c>
      <c r="N180" s="11" t="str">
        <f>VLOOKUP($H180, 'ADP Data'!$B$4:$Q$300, 10, FALSE)</f>
        <v>#N/A</v>
      </c>
      <c r="O180" s="11" t="str">
        <f>VLOOKUP($H180, 'ADP Data'!$B$4:$Q$300, 4, FALSE)</f>
        <v>#N/A</v>
      </c>
      <c r="P180" s="11" t="str">
        <f t="shared" si="4"/>
        <v>#N/A</v>
      </c>
      <c r="Q180" s="11" t="str">
        <f>VLOOKUP($H180, 'ADP Data'!$B$4:$Q$300, 5, FALSE)</f>
        <v>#N/A</v>
      </c>
      <c r="R180" s="11" t="str">
        <f>VLOOKUP($H180, 'ADP Data'!$B$4:$Q$300, 6, FALSE)</f>
        <v>#N/A</v>
      </c>
      <c r="S180" s="11" t="str">
        <f>VLOOKUP($H180, 'ADP Data'!$B$4:$Q$300, 7, FALSE)</f>
        <v>#N/A</v>
      </c>
      <c r="T180" s="11" t="str">
        <f>VLOOKUP($H180, 'ADP Data'!$B$4:$Q$300, 8, FALSE)</f>
        <v>#N/A</v>
      </c>
      <c r="U180" s="11" t="str">
        <f>VLOOKUP($H180, 'ADP Data'!$B$4:$Q$300, 9, FALSE)</f>
        <v>#N/A</v>
      </c>
      <c r="V180" s="11" t="str">
        <f t="shared" si="5"/>
        <v>#N/A</v>
      </c>
      <c r="W180" s="11" t="str">
        <f t="shared" si="6"/>
        <v>#N/A</v>
      </c>
      <c r="X180" s="11" t="str">
        <f>IF(VLOOKUP($H180, SeanRanks!$A$2:$H$303, 7, FALSE)=0, "", VLOOKUP($H180, SeanRanks!$A$2:$H$303, 7, FALSE))</f>
        <v/>
      </c>
    </row>
    <row r="181" ht="14.25" customHeight="1">
      <c r="A181" s="11"/>
      <c r="B181" s="11" t="str">
        <f t="shared" si="7"/>
        <v>#N/A</v>
      </c>
      <c r="C181" s="11" t="s">
        <v>106</v>
      </c>
      <c r="D181" s="11"/>
      <c r="E181" s="11"/>
      <c r="F181" s="11">
        <f t="shared" si="2"/>
        <v>0</v>
      </c>
      <c r="G181" s="11"/>
      <c r="H181" s="11" t="s">
        <v>967</v>
      </c>
      <c r="I181" s="11" t="str">
        <f>VLOOKUP($H181, 'ADP Data'!$B$4:$Q$300, 2, FALSE)</f>
        <v>#N/A</v>
      </c>
      <c r="J181" s="11" t="s">
        <v>772</v>
      </c>
      <c r="K181" s="11" t="str">
        <f>VLOOKUP($H181, SeanRanks!$A$2:$H$303, 5, FALSE)</f>
        <v>#N/A</v>
      </c>
      <c r="L181" s="11" t="str">
        <f>IF(VLOOKUP($H181, SeanRanks!$A$2:$H$303, 6, FALSE)=0, "", VLOOKUP($H181, SeanRanks!$A$2:$H$303, 6, FALSE))</f>
        <v>#N/A</v>
      </c>
      <c r="M181" s="11">
        <f t="shared" si="3"/>
        <v>16</v>
      </c>
      <c r="N181" s="11" t="str">
        <f>VLOOKUP($H181, 'ADP Data'!$B$4:$Q$300, 10, FALSE)</f>
        <v>#N/A</v>
      </c>
      <c r="O181" s="11" t="str">
        <f>VLOOKUP($H181, 'ADP Data'!$B$4:$Q$300, 4, FALSE)</f>
        <v>#N/A</v>
      </c>
      <c r="P181" s="11" t="str">
        <f t="shared" si="4"/>
        <v>#N/A</v>
      </c>
      <c r="Q181" s="11" t="str">
        <f>VLOOKUP($H181, 'ADP Data'!$B$4:$Q$300, 5, FALSE)</f>
        <v>#N/A</v>
      </c>
      <c r="R181" s="11" t="str">
        <f>VLOOKUP($H181, 'ADP Data'!$B$4:$Q$300, 6, FALSE)</f>
        <v>#N/A</v>
      </c>
      <c r="S181" s="11" t="str">
        <f>VLOOKUP($H181, 'ADP Data'!$B$4:$Q$300, 7, FALSE)</f>
        <v>#N/A</v>
      </c>
      <c r="T181" s="11" t="str">
        <f>VLOOKUP($H181, 'ADP Data'!$B$4:$Q$300, 8, FALSE)</f>
        <v>#N/A</v>
      </c>
      <c r="U181" s="11" t="str">
        <f>VLOOKUP($H181, 'ADP Data'!$B$4:$Q$300, 9, FALSE)</f>
        <v>#N/A</v>
      </c>
      <c r="V181" s="11" t="str">
        <f t="shared" si="5"/>
        <v>#N/A</v>
      </c>
      <c r="W181" s="11" t="str">
        <f t="shared" si="6"/>
        <v>#N/A</v>
      </c>
      <c r="X181" s="11" t="str">
        <f>IF(VLOOKUP($H181, SeanRanks!$A$2:$H$303, 7, FALSE)=0, "", VLOOKUP($H181, SeanRanks!$A$2:$H$303, 7, FALSE))</f>
        <v>#N/A</v>
      </c>
    </row>
    <row r="182" ht="14.25" customHeight="1">
      <c r="A182" s="11"/>
      <c r="B182" s="11" t="str">
        <f t="shared" si="7"/>
        <v>#N/A</v>
      </c>
      <c r="C182" s="11" t="s">
        <v>106</v>
      </c>
      <c r="D182" s="11"/>
      <c r="E182" s="11"/>
      <c r="F182" s="11">
        <f t="shared" si="2"/>
        <v>0</v>
      </c>
      <c r="G182" s="11"/>
      <c r="H182" s="11" t="s">
        <v>897</v>
      </c>
      <c r="I182" s="11" t="str">
        <f>VLOOKUP($H182, 'ADP Data'!$B$4:$Q$300, 2, FALSE)</f>
        <v>#N/A</v>
      </c>
      <c r="J182" s="11" t="s">
        <v>784</v>
      </c>
      <c r="K182" s="11" t="str">
        <f>VLOOKUP($H182, SeanRanks!$A$2:$H$303, 5, FALSE)</f>
        <v>#N/A</v>
      </c>
      <c r="L182" s="11" t="str">
        <f>IF(VLOOKUP($H182, SeanRanks!$A$2:$H$303, 6, FALSE)=0, "", VLOOKUP($H182, SeanRanks!$A$2:$H$303, 6, FALSE))</f>
        <v>#N/A</v>
      </c>
      <c r="M182" s="11">
        <f t="shared" si="3"/>
        <v>16</v>
      </c>
      <c r="N182" s="11" t="str">
        <f>VLOOKUP($H182, 'ADP Data'!$B$4:$Q$300, 10, FALSE)</f>
        <v>#N/A</v>
      </c>
      <c r="O182" s="11" t="str">
        <f>VLOOKUP($H182, 'ADP Data'!$B$4:$Q$300, 4, FALSE)</f>
        <v>#N/A</v>
      </c>
      <c r="P182" s="11" t="str">
        <f t="shared" si="4"/>
        <v>#N/A</v>
      </c>
      <c r="Q182" s="11" t="str">
        <f>VLOOKUP($H182, 'ADP Data'!$B$4:$Q$300, 5, FALSE)</f>
        <v>#N/A</v>
      </c>
      <c r="R182" s="11" t="str">
        <f>VLOOKUP($H182, 'ADP Data'!$B$4:$Q$300, 6, FALSE)</f>
        <v>#N/A</v>
      </c>
      <c r="S182" s="11" t="str">
        <f>VLOOKUP($H182, 'ADP Data'!$B$4:$Q$300, 7, FALSE)</f>
        <v>#N/A</v>
      </c>
      <c r="T182" s="11" t="str">
        <f>VLOOKUP($H182, 'ADP Data'!$B$4:$Q$300, 8, FALSE)</f>
        <v>#N/A</v>
      </c>
      <c r="U182" s="11" t="str">
        <f>VLOOKUP($H182, 'ADP Data'!$B$4:$Q$300, 9, FALSE)</f>
        <v>#N/A</v>
      </c>
      <c r="V182" s="11" t="str">
        <f t="shared" si="5"/>
        <v>#N/A</v>
      </c>
      <c r="W182" s="11" t="str">
        <f t="shared" si="6"/>
        <v>#N/A</v>
      </c>
      <c r="X182" s="11" t="str">
        <f>IF(VLOOKUP($H182, SeanRanks!$A$2:$H$303, 7, FALSE)=0, "", VLOOKUP($H182, SeanRanks!$A$2:$H$303, 7, FALSE))</f>
        <v>#N/A</v>
      </c>
    </row>
    <row r="183" ht="14.25" customHeight="1">
      <c r="A183" s="11"/>
      <c r="B183" s="11" t="str">
        <f t="shared" si="7"/>
        <v>#N/A</v>
      </c>
      <c r="C183" s="11" t="s">
        <v>106</v>
      </c>
      <c r="D183" s="11"/>
      <c r="E183" s="11">
        <v>1.0</v>
      </c>
      <c r="F183" s="11">
        <f t="shared" si="2"/>
        <v>-1</v>
      </c>
      <c r="G183" s="52" t="s">
        <v>1294</v>
      </c>
      <c r="H183" s="11" t="s">
        <v>1299</v>
      </c>
      <c r="I183" s="11" t="str">
        <f>VLOOKUP($H183, 'ADP Data'!$B$4:$Q$300, 2, FALSE)</f>
        <v>#N/A</v>
      </c>
      <c r="J183" s="11" t="s">
        <v>770</v>
      </c>
      <c r="K183" s="11" t="str">
        <f>VLOOKUP($H183, SeanRanks!$A$2:$H$303, 5, FALSE)</f>
        <v>#N/A</v>
      </c>
      <c r="L183" s="11" t="str">
        <f>IF(VLOOKUP($H183, SeanRanks!$A$2:$H$303, 6, FALSE)=0, "", VLOOKUP($H183, SeanRanks!$A$2:$H$303, 6, FALSE))</f>
        <v>#N/A</v>
      </c>
      <c r="M183" s="11">
        <f t="shared" si="3"/>
        <v>16</v>
      </c>
      <c r="N183" s="11" t="str">
        <f>VLOOKUP($H183, 'ADP Data'!$B$4:$Q$300, 10, FALSE)</f>
        <v>#N/A</v>
      </c>
      <c r="O183" s="11" t="str">
        <f>VLOOKUP($H183, 'ADP Data'!$B$4:$Q$300, 4, FALSE)</f>
        <v>#N/A</v>
      </c>
      <c r="P183" s="11" t="str">
        <f t="shared" si="4"/>
        <v>#N/A</v>
      </c>
      <c r="Q183" s="11" t="str">
        <f>VLOOKUP($H183, 'ADP Data'!$B$4:$Q$300, 5, FALSE)</f>
        <v>#N/A</v>
      </c>
      <c r="R183" s="11" t="str">
        <f>VLOOKUP($H183, 'ADP Data'!$B$4:$Q$300, 6, FALSE)</f>
        <v>#N/A</v>
      </c>
      <c r="S183" s="11" t="str">
        <f>VLOOKUP($H183, 'ADP Data'!$B$4:$Q$300, 7, FALSE)</f>
        <v>#N/A</v>
      </c>
      <c r="T183" s="11" t="str">
        <f>VLOOKUP($H183, 'ADP Data'!$B$4:$Q$300, 8, FALSE)</f>
        <v>#N/A</v>
      </c>
      <c r="U183" s="11" t="str">
        <f>VLOOKUP($H183, 'ADP Data'!$B$4:$Q$300, 9, FALSE)</f>
        <v>#N/A</v>
      </c>
      <c r="V183" s="11" t="str">
        <f t="shared" si="5"/>
        <v>#N/A</v>
      </c>
      <c r="W183" s="11" t="str">
        <f t="shared" si="6"/>
        <v>#N/A</v>
      </c>
      <c r="X183" s="11" t="str">
        <f>IF(VLOOKUP($H183, SeanRanks!$A$2:$H$303, 7, FALSE)=0, "", VLOOKUP($H183, SeanRanks!$A$2:$H$303, 7, FALSE))</f>
        <v>#N/A</v>
      </c>
    </row>
    <row r="184" ht="14.25" customHeight="1">
      <c r="A184" s="11"/>
      <c r="B184" s="11" t="str">
        <f t="shared" si="7"/>
        <v>#N/A</v>
      </c>
      <c r="C184" s="11" t="s">
        <v>106</v>
      </c>
      <c r="D184" s="11"/>
      <c r="E184" s="11">
        <v>1.0</v>
      </c>
      <c r="F184" s="11">
        <f t="shared" si="2"/>
        <v>-1</v>
      </c>
      <c r="G184" s="11"/>
      <c r="H184" s="11" t="s">
        <v>976</v>
      </c>
      <c r="I184" s="11" t="str">
        <f>VLOOKUP($H184, 'ADP Data'!$B$4:$Q$300, 2, FALSE)</f>
        <v>#N/A</v>
      </c>
      <c r="J184" s="11" t="s">
        <v>775</v>
      </c>
      <c r="K184" s="11" t="str">
        <f>VLOOKUP($H184, SeanRanks!$A$2:$H$303, 5, FALSE)</f>
        <v>#N/A</v>
      </c>
      <c r="L184" s="11" t="str">
        <f>IF(VLOOKUP($H184, SeanRanks!$A$2:$H$303, 6, FALSE)=0, "", VLOOKUP($H184, SeanRanks!$A$2:$H$303, 6, FALSE))</f>
        <v>#N/A</v>
      </c>
      <c r="M184" s="11">
        <f t="shared" si="3"/>
        <v>16</v>
      </c>
      <c r="N184" s="11" t="str">
        <f>VLOOKUP($H184, 'ADP Data'!$B$4:$Q$300, 10, FALSE)</f>
        <v>#N/A</v>
      </c>
      <c r="O184" s="11" t="str">
        <f>VLOOKUP($H184, 'ADP Data'!$B$4:$Q$300, 4, FALSE)</f>
        <v>#N/A</v>
      </c>
      <c r="P184" s="11" t="str">
        <f t="shared" si="4"/>
        <v>#N/A</v>
      </c>
      <c r="Q184" s="11" t="str">
        <f>VLOOKUP($H184, 'ADP Data'!$B$4:$Q$300, 5, FALSE)</f>
        <v>#N/A</v>
      </c>
      <c r="R184" s="11" t="str">
        <f>VLOOKUP($H184, 'ADP Data'!$B$4:$Q$300, 6, FALSE)</f>
        <v>#N/A</v>
      </c>
      <c r="S184" s="11" t="str">
        <f>VLOOKUP($H184, 'ADP Data'!$B$4:$Q$300, 7, FALSE)</f>
        <v>#N/A</v>
      </c>
      <c r="T184" s="11" t="str">
        <f>VLOOKUP($H184, 'ADP Data'!$B$4:$Q$300, 8, FALSE)</f>
        <v>#N/A</v>
      </c>
      <c r="U184" s="11" t="str">
        <f>VLOOKUP($H184, 'ADP Data'!$B$4:$Q$300, 9, FALSE)</f>
        <v>#N/A</v>
      </c>
      <c r="V184" s="11" t="str">
        <f t="shared" si="5"/>
        <v>#N/A</v>
      </c>
      <c r="W184" s="11" t="str">
        <f t="shared" si="6"/>
        <v>#N/A</v>
      </c>
      <c r="X184" s="11" t="str">
        <f>IF(VLOOKUP($H184, SeanRanks!$A$2:$H$303, 7, FALSE)=0, "", VLOOKUP($H184, SeanRanks!$A$2:$H$303, 7, FALSE))</f>
        <v>#N/A</v>
      </c>
    </row>
    <row r="185" ht="14.25" customHeight="1">
      <c r="A185" s="11"/>
      <c r="B185" s="11" t="str">
        <f t="shared" si="7"/>
        <v>#N/A</v>
      </c>
      <c r="C185" s="11" t="s">
        <v>106</v>
      </c>
      <c r="D185" s="11"/>
      <c r="E185" s="11"/>
      <c r="F185" s="11">
        <f t="shared" si="2"/>
        <v>0</v>
      </c>
      <c r="G185" s="11"/>
      <c r="H185" s="11" t="s">
        <v>958</v>
      </c>
      <c r="I185" s="58" t="str">
        <f>VLOOKUP($H185, 'ADP Data'!$B$4:$Q$300, 2, FALSE)</f>
        <v>#N/A</v>
      </c>
      <c r="J185" s="11" t="s">
        <v>772</v>
      </c>
      <c r="K185" s="11" t="str">
        <f>VLOOKUP($H185, SeanRanks!$A$2:$H$303, 5, FALSE)</f>
        <v>#N/A</v>
      </c>
      <c r="L185" s="11" t="str">
        <f>IF(VLOOKUP($H185, SeanRanks!$A$2:$H$303, 6, FALSE)=0, "", VLOOKUP($H185, SeanRanks!$A$2:$H$303, 6, FALSE))</f>
        <v>#N/A</v>
      </c>
      <c r="M185" s="11">
        <f t="shared" si="3"/>
        <v>16</v>
      </c>
      <c r="N185" s="11" t="str">
        <f>VLOOKUP($H185, 'ADP Data'!$B$4:$Q$300, 10, FALSE)</f>
        <v>#N/A</v>
      </c>
      <c r="O185" s="11" t="str">
        <f>VLOOKUP($H185, 'ADP Data'!$B$4:$Q$300, 4, FALSE)</f>
        <v>#N/A</v>
      </c>
      <c r="P185" s="11" t="str">
        <f t="shared" si="4"/>
        <v>#N/A</v>
      </c>
      <c r="Q185" s="11" t="str">
        <f>VLOOKUP($H185, 'ADP Data'!$B$4:$Q$300, 5, FALSE)</f>
        <v>#N/A</v>
      </c>
      <c r="R185" s="11" t="str">
        <f>VLOOKUP($H185, 'ADP Data'!$B$4:$Q$300, 6, FALSE)</f>
        <v>#N/A</v>
      </c>
      <c r="S185" s="11" t="str">
        <f>VLOOKUP($H185, 'ADP Data'!$B$4:$Q$300, 7, FALSE)</f>
        <v>#N/A</v>
      </c>
      <c r="T185" s="11" t="str">
        <f>VLOOKUP($H185, 'ADP Data'!$B$4:$Q$300, 8, FALSE)</f>
        <v>#N/A</v>
      </c>
      <c r="U185" s="11" t="str">
        <f>VLOOKUP($H185, 'ADP Data'!$B$4:$Q$300, 9, FALSE)</f>
        <v>#N/A</v>
      </c>
      <c r="V185" s="11" t="str">
        <f t="shared" si="5"/>
        <v>#N/A</v>
      </c>
      <c r="W185" s="11" t="str">
        <f t="shared" si="6"/>
        <v>#N/A</v>
      </c>
      <c r="X185" s="11" t="str">
        <f>IF(VLOOKUP($H185, SeanRanks!$A$2:$H$303, 7, FALSE)=0, "", VLOOKUP($H185, SeanRanks!$A$2:$H$303, 7, FALSE))</f>
        <v>#N/A</v>
      </c>
    </row>
    <row r="186" ht="14.25" customHeight="1">
      <c r="A186" s="11"/>
      <c r="B186" s="11" t="str">
        <f t="shared" si="7"/>
        <v>#N/A</v>
      </c>
      <c r="C186" s="11" t="s">
        <v>106</v>
      </c>
      <c r="D186" s="11"/>
      <c r="E186" s="11"/>
      <c r="F186" s="11">
        <f t="shared" si="2"/>
        <v>0</v>
      </c>
      <c r="G186" s="11"/>
      <c r="H186" s="11" t="s">
        <v>1164</v>
      </c>
      <c r="I186" s="58" t="str">
        <f>VLOOKUP($H186, 'ADP Data'!$B$4:$Q$300, 2, FALSE)</f>
        <v>#N/A</v>
      </c>
      <c r="J186" s="11" t="s">
        <v>775</v>
      </c>
      <c r="K186" s="11" t="str">
        <f>VLOOKUP($H186, SeanRanks!$A$2:$H$303, 5, FALSE)</f>
        <v>#N/A</v>
      </c>
      <c r="L186" s="11" t="str">
        <f>IF(VLOOKUP($H186, SeanRanks!$A$2:$H$303, 6, FALSE)=0, "", VLOOKUP($H186, SeanRanks!$A$2:$H$303, 6, FALSE))</f>
        <v>#N/A</v>
      </c>
      <c r="M186" s="11">
        <f t="shared" si="3"/>
        <v>16</v>
      </c>
      <c r="N186" s="11" t="str">
        <f>VLOOKUP($H186, 'ADP Data'!$B$4:$Q$300, 10, FALSE)</f>
        <v>#N/A</v>
      </c>
      <c r="O186" s="11" t="str">
        <f>VLOOKUP($H186, 'ADP Data'!$B$4:$Q$300, 4, FALSE)</f>
        <v>#N/A</v>
      </c>
      <c r="P186" s="11" t="str">
        <f t="shared" si="4"/>
        <v>#N/A</v>
      </c>
      <c r="Q186" s="11" t="str">
        <f>VLOOKUP($H186, 'ADP Data'!$B$4:$Q$300, 5, FALSE)</f>
        <v>#N/A</v>
      </c>
      <c r="R186" s="11" t="str">
        <f>VLOOKUP($H186, 'ADP Data'!$B$4:$Q$300, 6, FALSE)</f>
        <v>#N/A</v>
      </c>
      <c r="S186" s="11" t="str">
        <f>VLOOKUP($H186, 'ADP Data'!$B$4:$Q$300, 7, FALSE)</f>
        <v>#N/A</v>
      </c>
      <c r="T186" s="11" t="str">
        <f>VLOOKUP($H186, 'ADP Data'!$B$4:$Q$300, 8, FALSE)</f>
        <v>#N/A</v>
      </c>
      <c r="U186" s="11" t="str">
        <f>VLOOKUP($H186, 'ADP Data'!$B$4:$Q$300, 9, FALSE)</f>
        <v>#N/A</v>
      </c>
      <c r="V186" s="11" t="str">
        <f t="shared" si="5"/>
        <v>#N/A</v>
      </c>
      <c r="W186" s="11" t="str">
        <f t="shared" si="6"/>
        <v>#N/A</v>
      </c>
      <c r="X186" s="11" t="str">
        <f>IF(VLOOKUP($H186, SeanRanks!$A$2:$H$303, 7, FALSE)=0, "", VLOOKUP($H186, SeanRanks!$A$2:$H$303, 7, FALSE))</f>
        <v>#N/A</v>
      </c>
    </row>
    <row r="187" ht="14.25" customHeight="1">
      <c r="A187" s="11"/>
      <c r="B187" s="11" t="str">
        <f t="shared" si="7"/>
        <v>#N/A</v>
      </c>
      <c r="C187" s="11" t="s">
        <v>106</v>
      </c>
      <c r="D187" s="11"/>
      <c r="E187" s="11">
        <v>0.0</v>
      </c>
      <c r="F187" s="11">
        <f t="shared" si="2"/>
        <v>0</v>
      </c>
      <c r="G187" s="11"/>
      <c r="H187" s="11" t="s">
        <v>1135</v>
      </c>
      <c r="I187" s="11" t="str">
        <f>VLOOKUP($H187, 'ADP Data'!$B$4:$Q$300, 2, FALSE)</f>
        <v>#N/A</v>
      </c>
      <c r="J187" s="11" t="s">
        <v>775</v>
      </c>
      <c r="K187" s="11" t="str">
        <f>VLOOKUP($H187, SeanRanks!$A$2:$H$303, 5, FALSE)</f>
        <v>#N/A</v>
      </c>
      <c r="L187" s="11" t="str">
        <f>IF(VLOOKUP($H187, SeanRanks!$A$2:$H$303, 6, FALSE)=0, "", VLOOKUP($H187, SeanRanks!$A$2:$H$303, 6, FALSE))</f>
        <v>#N/A</v>
      </c>
      <c r="M187" s="11">
        <f t="shared" si="3"/>
        <v>16</v>
      </c>
      <c r="N187" s="11" t="str">
        <f>VLOOKUP($H187, 'ADP Data'!$B$4:$Q$300, 10, FALSE)</f>
        <v>#N/A</v>
      </c>
      <c r="O187" s="11" t="str">
        <f>VLOOKUP($H187, 'ADP Data'!$B$4:$Q$300, 4, FALSE)</f>
        <v>#N/A</v>
      </c>
      <c r="P187" s="11" t="str">
        <f t="shared" si="4"/>
        <v>#N/A</v>
      </c>
      <c r="Q187" s="11" t="str">
        <f>VLOOKUP($H187, 'ADP Data'!$B$4:$Q$300, 5, FALSE)</f>
        <v>#N/A</v>
      </c>
      <c r="R187" s="11" t="str">
        <f>VLOOKUP($H187, 'ADP Data'!$B$4:$Q$300, 6, FALSE)</f>
        <v>#N/A</v>
      </c>
      <c r="S187" s="11" t="str">
        <f>VLOOKUP($H187, 'ADP Data'!$B$4:$Q$300, 7, FALSE)</f>
        <v>#N/A</v>
      </c>
      <c r="T187" s="11" t="str">
        <f>VLOOKUP($H187, 'ADP Data'!$B$4:$Q$300, 8, FALSE)</f>
        <v>#N/A</v>
      </c>
      <c r="U187" s="11" t="str">
        <f>VLOOKUP($H187, 'ADP Data'!$B$4:$Q$300, 9, FALSE)</f>
        <v>#N/A</v>
      </c>
      <c r="V187" s="11" t="str">
        <f t="shared" si="5"/>
        <v>#N/A</v>
      </c>
      <c r="W187" s="11" t="str">
        <f t="shared" si="6"/>
        <v>#N/A</v>
      </c>
      <c r="X187" s="11" t="str">
        <f>IF(VLOOKUP($H187, SeanRanks!$A$2:$H$303, 7, FALSE)=0, "", VLOOKUP($H187, SeanRanks!$A$2:$H$303, 7, FALSE))</f>
        <v>#N/A</v>
      </c>
    </row>
    <row r="188" ht="14.25" customHeight="1">
      <c r="A188" s="11"/>
      <c r="B188" s="11" t="str">
        <f t="shared" si="7"/>
        <v>#N/A</v>
      </c>
      <c r="C188" s="11" t="s">
        <v>106</v>
      </c>
      <c r="D188" s="11"/>
      <c r="E188" s="11"/>
      <c r="F188" s="11">
        <f t="shared" si="2"/>
        <v>0</v>
      </c>
      <c r="G188" s="11"/>
      <c r="H188" s="11" t="s">
        <v>301</v>
      </c>
      <c r="I188" s="11" t="str">
        <f>VLOOKUP($H188, 'ADP Data'!$B$4:$Q$300, 2, FALSE)</f>
        <v>#N/A</v>
      </c>
      <c r="J188" s="11" t="s">
        <v>775</v>
      </c>
      <c r="K188" s="11" t="str">
        <f>VLOOKUP($H188, SeanRanks!$A$2:$H$303, 5, FALSE)</f>
        <v/>
      </c>
      <c r="L188" s="11" t="str">
        <f>IF(VLOOKUP($H188, SeanRanks!$A$2:$H$303, 6, FALSE)=0, "", VLOOKUP($H188, SeanRanks!$A$2:$H$303, 6, FALSE))</f>
        <v>WR4 - 2 - unclear path to WR2</v>
      </c>
      <c r="M188" s="11">
        <f t="shared" si="3"/>
        <v>16</v>
      </c>
      <c r="N188" s="11" t="str">
        <f>VLOOKUP($H188, 'ADP Data'!$B$4:$Q$300, 10, FALSE)</f>
        <v>#N/A</v>
      </c>
      <c r="O188" s="11" t="str">
        <f>VLOOKUP($H188, 'ADP Data'!$B$4:$Q$300, 4, FALSE)</f>
        <v>#N/A</v>
      </c>
      <c r="P188" s="11" t="str">
        <f t="shared" si="4"/>
        <v>#N/A</v>
      </c>
      <c r="Q188" s="11" t="str">
        <f>VLOOKUP($H188, 'ADP Data'!$B$4:$Q$300, 5, FALSE)</f>
        <v>#N/A</v>
      </c>
      <c r="R188" s="11" t="str">
        <f>VLOOKUP($H188, 'ADP Data'!$B$4:$Q$300, 6, FALSE)</f>
        <v>#N/A</v>
      </c>
      <c r="S188" s="11" t="str">
        <f>VLOOKUP($H188, 'ADP Data'!$B$4:$Q$300, 7, FALSE)</f>
        <v>#N/A</v>
      </c>
      <c r="T188" s="11" t="str">
        <f>VLOOKUP($H188, 'ADP Data'!$B$4:$Q$300, 8, FALSE)</f>
        <v>#N/A</v>
      </c>
      <c r="U188" s="11" t="str">
        <f>VLOOKUP($H188, 'ADP Data'!$B$4:$Q$300, 9, FALSE)</f>
        <v>#N/A</v>
      </c>
      <c r="V188" s="11" t="str">
        <f t="shared" si="5"/>
        <v>#N/A</v>
      </c>
      <c r="W188" s="11" t="str">
        <f t="shared" si="6"/>
        <v>#N/A</v>
      </c>
      <c r="X188" s="11">
        <f>IF(VLOOKUP($H188, SeanRanks!$A$2:$H$303, 7, FALSE)=0, "", VLOOKUP($H188, SeanRanks!$A$2:$H$303, 7, FALSE))</f>
        <v>43</v>
      </c>
    </row>
    <row r="189" ht="14.25" customHeight="1">
      <c r="A189" s="11"/>
      <c r="B189" s="11" t="str">
        <f t="shared" si="7"/>
        <v>#N/A</v>
      </c>
      <c r="C189" s="11" t="s">
        <v>106</v>
      </c>
      <c r="D189" s="11"/>
      <c r="E189" s="11"/>
      <c r="F189" s="11">
        <f t="shared" si="2"/>
        <v>0</v>
      </c>
      <c r="G189" s="11"/>
      <c r="H189" s="11" t="s">
        <v>1177</v>
      </c>
      <c r="I189" s="11" t="str">
        <f>VLOOKUP($H189, 'ADP Data'!$B$4:$Q$300, 2, FALSE)</f>
        <v>#N/A</v>
      </c>
      <c r="J189" s="11" t="s">
        <v>775</v>
      </c>
      <c r="K189" s="11" t="str">
        <f>VLOOKUP($H189, SeanRanks!$A$2:$H$303, 5, FALSE)</f>
        <v>#N/A</v>
      </c>
      <c r="L189" s="11" t="str">
        <f>IF(VLOOKUP($H189, SeanRanks!$A$2:$H$303, 6, FALSE)=0, "", VLOOKUP($H189, SeanRanks!$A$2:$H$303, 6, FALSE))</f>
        <v>#N/A</v>
      </c>
      <c r="M189" s="11">
        <f t="shared" si="3"/>
        <v>16</v>
      </c>
      <c r="N189" s="11" t="str">
        <f>VLOOKUP($H189, 'ADP Data'!$B$4:$Q$300, 10, FALSE)</f>
        <v>#N/A</v>
      </c>
      <c r="O189" s="11" t="str">
        <f>VLOOKUP($H189, 'ADP Data'!$B$4:$Q$300, 4, FALSE)</f>
        <v>#N/A</v>
      </c>
      <c r="P189" s="11" t="str">
        <f t="shared" si="4"/>
        <v>#N/A</v>
      </c>
      <c r="Q189" s="11" t="str">
        <f>VLOOKUP($H189, 'ADP Data'!$B$4:$Q$300, 5, FALSE)</f>
        <v>#N/A</v>
      </c>
      <c r="R189" s="11" t="str">
        <f>VLOOKUP($H189, 'ADP Data'!$B$4:$Q$300, 6, FALSE)</f>
        <v>#N/A</v>
      </c>
      <c r="S189" s="11" t="str">
        <f>VLOOKUP($H189, 'ADP Data'!$B$4:$Q$300, 7, FALSE)</f>
        <v>#N/A</v>
      </c>
      <c r="T189" s="11" t="str">
        <f>VLOOKUP($H189, 'ADP Data'!$B$4:$Q$300, 8, FALSE)</f>
        <v>#N/A</v>
      </c>
      <c r="U189" s="11" t="str">
        <f>VLOOKUP($H189, 'ADP Data'!$B$4:$Q$300, 9, FALSE)</f>
        <v>#N/A</v>
      </c>
      <c r="V189" s="11" t="str">
        <f t="shared" si="5"/>
        <v>#N/A</v>
      </c>
      <c r="W189" s="11" t="str">
        <f t="shared" si="6"/>
        <v>#N/A</v>
      </c>
      <c r="X189" s="11" t="str">
        <f>IF(VLOOKUP($H189, SeanRanks!$A$2:$H$303, 7, FALSE)=0, "", VLOOKUP($H189, SeanRanks!$A$2:$H$303, 7, FALSE))</f>
        <v>#N/A</v>
      </c>
    </row>
    <row r="190" ht="14.25" customHeight="1">
      <c r="A190" s="11"/>
      <c r="B190" s="11" t="str">
        <f t="shared" si="7"/>
        <v>#N/A</v>
      </c>
      <c r="C190" s="11" t="s">
        <v>106</v>
      </c>
      <c r="D190" s="11"/>
      <c r="E190" s="11"/>
      <c r="F190" s="11">
        <f t="shared" si="2"/>
        <v>0</v>
      </c>
      <c r="G190" s="11"/>
      <c r="H190" s="11" t="s">
        <v>504</v>
      </c>
      <c r="I190" s="11" t="str">
        <f>VLOOKUP($H190, 'ADP Data'!$B$4:$Q$300, 2, FALSE)</f>
        <v>#N/A</v>
      </c>
      <c r="J190" s="11" t="s">
        <v>785</v>
      </c>
      <c r="K190" s="11" t="str">
        <f>VLOOKUP($H190, SeanRanks!$A$2:$H$303, 5, FALSE)</f>
        <v/>
      </c>
      <c r="L190" s="11" t="str">
        <f>IF(VLOOKUP($H190, SeanRanks!$A$2:$H$303, 6, FALSE)=0, "", VLOOKUP($H190, SeanRanks!$A$2:$H$303, 6, FALSE))</f>
        <v/>
      </c>
      <c r="M190" s="11">
        <f t="shared" si="3"/>
        <v>16</v>
      </c>
      <c r="N190" s="11" t="str">
        <f>VLOOKUP($H190, 'ADP Data'!$B$4:$Q$300, 10, FALSE)</f>
        <v>#N/A</v>
      </c>
      <c r="O190" s="11" t="str">
        <f>VLOOKUP($H190, 'ADP Data'!$B$4:$Q$300, 4, FALSE)</f>
        <v>#N/A</v>
      </c>
      <c r="P190" s="11" t="str">
        <f t="shared" si="4"/>
        <v>#N/A</v>
      </c>
      <c r="Q190" s="11" t="str">
        <f>VLOOKUP($H190, 'ADP Data'!$B$4:$Q$300, 5, FALSE)</f>
        <v>#N/A</v>
      </c>
      <c r="R190" s="11" t="str">
        <f>VLOOKUP($H190, 'ADP Data'!$B$4:$Q$300, 6, FALSE)</f>
        <v>#N/A</v>
      </c>
      <c r="S190" s="11" t="str">
        <f>VLOOKUP($H190, 'ADP Data'!$B$4:$Q$300, 7, FALSE)</f>
        <v>#N/A</v>
      </c>
      <c r="T190" s="11" t="str">
        <f>VLOOKUP($H190, 'ADP Data'!$B$4:$Q$300, 8, FALSE)</f>
        <v>#N/A</v>
      </c>
      <c r="U190" s="11" t="str">
        <f>VLOOKUP($H190, 'ADP Data'!$B$4:$Q$300, 9, FALSE)</f>
        <v>#N/A</v>
      </c>
      <c r="V190" s="11" t="str">
        <f t="shared" si="5"/>
        <v>#N/A</v>
      </c>
      <c r="W190" s="11" t="str">
        <f t="shared" si="6"/>
        <v>#N/A</v>
      </c>
      <c r="X190" s="11" t="str">
        <f>IF(VLOOKUP($H190, SeanRanks!$A$2:$H$303, 7, FALSE)=0, "", VLOOKUP($H190, SeanRanks!$A$2:$H$303, 7, FALSE))</f>
        <v/>
      </c>
    </row>
    <row r="191" ht="14.25" customHeight="1">
      <c r="A191" s="11"/>
      <c r="B191" s="11" t="str">
        <f t="shared" si="7"/>
        <v>#N/A</v>
      </c>
      <c r="C191" s="11" t="s">
        <v>106</v>
      </c>
      <c r="D191" s="11"/>
      <c r="E191" s="11">
        <v>1.0</v>
      </c>
      <c r="F191" s="11">
        <f t="shared" si="2"/>
        <v>-1</v>
      </c>
      <c r="G191" s="52" t="s">
        <v>1270</v>
      </c>
      <c r="H191" s="11" t="s">
        <v>1053</v>
      </c>
      <c r="I191" s="11" t="str">
        <f>VLOOKUP($H191, 'ADP Data'!$B$4:$Q$300, 2, FALSE)</f>
        <v>#N/A</v>
      </c>
      <c r="J191" s="11" t="s">
        <v>772</v>
      </c>
      <c r="K191" s="11" t="str">
        <f>VLOOKUP($H191, SeanRanks!$A$2:$H$303, 5, FALSE)</f>
        <v/>
      </c>
      <c r="L191" s="11" t="str">
        <f>IF(VLOOKUP($H191, SeanRanks!$A$2:$H$303, 6, FALSE)=0, "", VLOOKUP($H191, SeanRanks!$A$2:$H$303, 6, FALSE))</f>
        <v/>
      </c>
      <c r="M191" s="11">
        <f t="shared" si="3"/>
        <v>16</v>
      </c>
      <c r="N191" s="11" t="str">
        <f>VLOOKUP($H191, 'ADP Data'!$B$4:$Q$300, 10, FALSE)</f>
        <v>#N/A</v>
      </c>
      <c r="O191" s="11" t="str">
        <f>VLOOKUP($H191, 'ADP Data'!$B$4:$Q$300, 4, FALSE)</f>
        <v>#N/A</v>
      </c>
      <c r="P191" s="11" t="str">
        <f t="shared" si="4"/>
        <v>#N/A</v>
      </c>
      <c r="Q191" s="11" t="str">
        <f>VLOOKUP($H191, 'ADP Data'!$B$4:$Q$300, 5, FALSE)</f>
        <v>#N/A</v>
      </c>
      <c r="R191" s="11" t="str">
        <f>VLOOKUP($H191, 'ADP Data'!$B$4:$Q$300, 6, FALSE)</f>
        <v>#N/A</v>
      </c>
      <c r="S191" s="11" t="str">
        <f>VLOOKUP($H191, 'ADP Data'!$B$4:$Q$300, 7, FALSE)</f>
        <v>#N/A</v>
      </c>
      <c r="T191" s="11" t="str">
        <f>VLOOKUP($H191, 'ADP Data'!$B$4:$Q$300, 8, FALSE)</f>
        <v>#N/A</v>
      </c>
      <c r="U191" s="11" t="str">
        <f>VLOOKUP($H191, 'ADP Data'!$B$4:$Q$300, 9, FALSE)</f>
        <v>#N/A</v>
      </c>
      <c r="V191" s="11" t="str">
        <f t="shared" si="5"/>
        <v>#N/A</v>
      </c>
      <c r="W191" s="11" t="str">
        <f t="shared" si="6"/>
        <v>#N/A</v>
      </c>
      <c r="X191" s="11" t="str">
        <f>IF(VLOOKUP($H191, SeanRanks!$A$2:$H$303, 7, FALSE)=0, "", VLOOKUP($H191, SeanRanks!$A$2:$H$303, 7, FALSE))</f>
        <v/>
      </c>
    </row>
    <row r="192" ht="14.25" customHeight="1">
      <c r="A192" s="11"/>
      <c r="B192" s="11" t="str">
        <f t="shared" si="7"/>
        <v>#N/A</v>
      </c>
      <c r="C192" s="11" t="s">
        <v>106</v>
      </c>
      <c r="D192" s="11"/>
      <c r="E192" s="11"/>
      <c r="F192" s="11">
        <f t="shared" si="2"/>
        <v>0</v>
      </c>
      <c r="G192" s="11"/>
      <c r="H192" s="11" t="s">
        <v>288</v>
      </c>
      <c r="I192" s="11" t="str">
        <f>VLOOKUP($H192, 'ADP Data'!$B$4:$Q$300, 2, FALSE)</f>
        <v>#N/A</v>
      </c>
      <c r="J192" s="11" t="s">
        <v>772</v>
      </c>
      <c r="K192" s="11" t="str">
        <f>VLOOKUP($H192, SeanRanks!$A$2:$H$303, 5, FALSE)</f>
        <v/>
      </c>
      <c r="L192" s="11" t="str">
        <f>IF(VLOOKUP($H192, SeanRanks!$A$2:$H$303, 6, FALSE)=0, "", VLOOKUP($H192, SeanRanks!$A$2:$H$303, 6, FALSE))</f>
        <v>RB2 - 1 - Clear path to spikes</v>
      </c>
      <c r="M192" s="11">
        <f t="shared" si="3"/>
        <v>16</v>
      </c>
      <c r="N192" s="11" t="str">
        <f>VLOOKUP($H192, 'ADP Data'!$B$4:$Q$300, 10, FALSE)</f>
        <v>#N/A</v>
      </c>
      <c r="O192" s="11" t="str">
        <f>VLOOKUP($H192, 'ADP Data'!$B$4:$Q$300, 4, FALSE)</f>
        <v>#N/A</v>
      </c>
      <c r="P192" s="11" t="str">
        <f t="shared" si="4"/>
        <v>#N/A</v>
      </c>
      <c r="Q192" s="11" t="str">
        <f>VLOOKUP($H192, 'ADP Data'!$B$4:$Q$300, 5, FALSE)</f>
        <v>#N/A</v>
      </c>
      <c r="R192" s="11" t="str">
        <f>VLOOKUP($H192, 'ADP Data'!$B$4:$Q$300, 6, FALSE)</f>
        <v>#N/A</v>
      </c>
      <c r="S192" s="11" t="str">
        <f>VLOOKUP($H192, 'ADP Data'!$B$4:$Q$300, 7, FALSE)</f>
        <v>#N/A</v>
      </c>
      <c r="T192" s="11" t="str">
        <f>VLOOKUP($H192, 'ADP Data'!$B$4:$Q$300, 8, FALSE)</f>
        <v>#N/A</v>
      </c>
      <c r="U192" s="11" t="str">
        <f>VLOOKUP($H192, 'ADP Data'!$B$4:$Q$300, 9, FALSE)</f>
        <v>#N/A</v>
      </c>
      <c r="V192" s="11" t="str">
        <f t="shared" si="5"/>
        <v>#N/A</v>
      </c>
      <c r="W192" s="11" t="str">
        <f t="shared" si="6"/>
        <v>#N/A</v>
      </c>
      <c r="X192" s="11">
        <f>IF(VLOOKUP($H192, SeanRanks!$A$2:$H$303, 7, FALSE)=0, "", VLOOKUP($H192, SeanRanks!$A$2:$H$303, 7, FALSE))</f>
        <v>17</v>
      </c>
    </row>
    <row r="193" ht="14.25" customHeight="1">
      <c r="A193" s="11"/>
      <c r="B193" s="11" t="str">
        <f t="shared" si="7"/>
        <v>#N/A</v>
      </c>
      <c r="C193" s="11" t="s">
        <v>106</v>
      </c>
      <c r="D193" s="11"/>
      <c r="E193" s="11"/>
      <c r="F193" s="11">
        <f t="shared" si="2"/>
        <v>0</v>
      </c>
      <c r="G193" s="11"/>
      <c r="H193" s="11" t="s">
        <v>361</v>
      </c>
      <c r="I193" s="57" t="str">
        <f>VLOOKUP($H193, 'ADP Data'!$B$4:$Q$300, 2, FALSE)</f>
        <v>#N/A</v>
      </c>
      <c r="J193" s="11" t="s">
        <v>770</v>
      </c>
      <c r="K193" s="11" t="str">
        <f>VLOOKUP($H193, SeanRanks!$A$2:$H$303, 5, FALSE)</f>
        <v/>
      </c>
      <c r="L193" s="11" t="str">
        <f>IF(VLOOKUP($H193, SeanRanks!$A$2:$H$303, 6, FALSE)=0, "", VLOOKUP($H193, SeanRanks!$A$2:$H$303, 6, FALSE))</f>
        <v>QB1 - 3 - Top 5 Ceiling</v>
      </c>
      <c r="M193" s="11">
        <f t="shared" si="3"/>
        <v>16</v>
      </c>
      <c r="N193" s="11" t="str">
        <f>VLOOKUP($H193, 'ADP Data'!$B$4:$Q$300, 10, FALSE)</f>
        <v>#N/A</v>
      </c>
      <c r="O193" s="11" t="str">
        <f>VLOOKUP($H193, 'ADP Data'!$B$4:$Q$300, 4, FALSE)</f>
        <v>#N/A</v>
      </c>
      <c r="P193" s="11" t="str">
        <f t="shared" si="4"/>
        <v>#N/A</v>
      </c>
      <c r="Q193" s="11" t="str">
        <f>VLOOKUP($H193, 'ADP Data'!$B$4:$Q$300, 5, FALSE)</f>
        <v>#N/A</v>
      </c>
      <c r="R193" s="11" t="str">
        <f>VLOOKUP($H193, 'ADP Data'!$B$4:$Q$300, 6, FALSE)</f>
        <v>#N/A</v>
      </c>
      <c r="S193" s="11" t="str">
        <f>VLOOKUP($H193, 'ADP Data'!$B$4:$Q$300, 7, FALSE)</f>
        <v>#N/A</v>
      </c>
      <c r="T193" s="11" t="str">
        <f>VLOOKUP($H193, 'ADP Data'!$B$4:$Q$300, 8, FALSE)</f>
        <v>#N/A</v>
      </c>
      <c r="U193" s="11" t="str">
        <f>VLOOKUP($H193, 'ADP Data'!$B$4:$Q$300, 9, FALSE)</f>
        <v>#N/A</v>
      </c>
      <c r="V193" s="11" t="str">
        <f t="shared" si="5"/>
        <v>#N/A</v>
      </c>
      <c r="W193" s="11" t="str">
        <f t="shared" si="6"/>
        <v>#N/A</v>
      </c>
      <c r="X193" s="11">
        <f>IF(VLOOKUP($H193, SeanRanks!$A$2:$H$303, 7, FALSE)=0, "", VLOOKUP($H193, SeanRanks!$A$2:$H$303, 7, FALSE))</f>
        <v>8</v>
      </c>
    </row>
    <row r="194" ht="14.25" customHeight="1">
      <c r="A194" s="11"/>
      <c r="B194" s="11" t="str">
        <f t="shared" si="7"/>
        <v>#N/A</v>
      </c>
      <c r="C194" s="11" t="s">
        <v>106</v>
      </c>
      <c r="D194" s="11"/>
      <c r="E194" s="11"/>
      <c r="F194" s="11">
        <f t="shared" si="2"/>
        <v>0</v>
      </c>
      <c r="G194" s="11"/>
      <c r="H194" s="11" t="s">
        <v>881</v>
      </c>
      <c r="I194" s="11" t="str">
        <f>VLOOKUP($H194, 'ADP Data'!$B$4:$Q$300, 2, FALSE)</f>
        <v>#N/A</v>
      </c>
      <c r="J194" s="11" t="s">
        <v>775</v>
      </c>
      <c r="K194" s="11" t="str">
        <f>VLOOKUP($H194, SeanRanks!$A$2:$H$303, 5, FALSE)</f>
        <v>#N/A</v>
      </c>
      <c r="L194" s="11" t="str">
        <f>IF(VLOOKUP($H194, SeanRanks!$A$2:$H$303, 6, FALSE)=0, "", VLOOKUP($H194, SeanRanks!$A$2:$H$303, 6, FALSE))</f>
        <v>#N/A</v>
      </c>
      <c r="M194" s="11">
        <f t="shared" si="3"/>
        <v>16</v>
      </c>
      <c r="N194" s="11" t="str">
        <f>VLOOKUP($H194, 'ADP Data'!$B$4:$Q$300, 10, FALSE)</f>
        <v>#N/A</v>
      </c>
      <c r="O194" s="11" t="str">
        <f>VLOOKUP($H194, 'ADP Data'!$B$4:$Q$300, 4, FALSE)</f>
        <v>#N/A</v>
      </c>
      <c r="P194" s="11" t="str">
        <f t="shared" si="4"/>
        <v>#N/A</v>
      </c>
      <c r="Q194" s="11" t="str">
        <f>VLOOKUP($H194, 'ADP Data'!$B$4:$Q$300, 5, FALSE)</f>
        <v>#N/A</v>
      </c>
      <c r="R194" s="11" t="str">
        <f>VLOOKUP($H194, 'ADP Data'!$B$4:$Q$300, 6, FALSE)</f>
        <v>#N/A</v>
      </c>
      <c r="S194" s="11" t="str">
        <f>VLOOKUP($H194, 'ADP Data'!$B$4:$Q$300, 7, FALSE)</f>
        <v>#N/A</v>
      </c>
      <c r="T194" s="11" t="str">
        <f>VLOOKUP($H194, 'ADP Data'!$B$4:$Q$300, 8, FALSE)</f>
        <v>#N/A</v>
      </c>
      <c r="U194" s="11" t="str">
        <f>VLOOKUP($H194, 'ADP Data'!$B$4:$Q$300, 9, FALSE)</f>
        <v>#N/A</v>
      </c>
      <c r="V194" s="11" t="str">
        <f t="shared" si="5"/>
        <v>#N/A</v>
      </c>
      <c r="W194" s="11" t="str">
        <f t="shared" si="6"/>
        <v>#N/A</v>
      </c>
      <c r="X194" s="11" t="str">
        <f>IF(VLOOKUP($H194, SeanRanks!$A$2:$H$303, 7, FALSE)=0, "", VLOOKUP($H194, SeanRanks!$A$2:$H$303, 7, FALSE))</f>
        <v>#N/A</v>
      </c>
    </row>
    <row r="195" ht="14.25" customHeight="1">
      <c r="A195" s="11"/>
      <c r="B195" s="11" t="str">
        <f t="shared" si="7"/>
        <v>#N/A</v>
      </c>
      <c r="C195" s="11" t="s">
        <v>106</v>
      </c>
      <c r="D195" s="11"/>
      <c r="E195" s="11"/>
      <c r="F195" s="11">
        <f t="shared" si="2"/>
        <v>0</v>
      </c>
      <c r="G195" s="11"/>
      <c r="H195" s="11" t="s">
        <v>732</v>
      </c>
      <c r="I195" s="11" t="str">
        <f>VLOOKUP($H195, 'ADP Data'!$B$4:$Q$300, 2, FALSE)</f>
        <v>#N/A</v>
      </c>
      <c r="J195" s="11" t="s">
        <v>785</v>
      </c>
      <c r="K195" s="11" t="str">
        <f>VLOOKUP($H195, SeanRanks!$A$2:$H$303, 5, FALSE)</f>
        <v>#N/A</v>
      </c>
      <c r="L195" s="11" t="str">
        <f>IF(VLOOKUP($H195, SeanRanks!$A$2:$H$303, 6, FALSE)=0, "", VLOOKUP($H195, SeanRanks!$A$2:$H$303, 6, FALSE))</f>
        <v>#N/A</v>
      </c>
      <c r="M195" s="11">
        <f t="shared" si="3"/>
        <v>16</v>
      </c>
      <c r="N195" s="11" t="str">
        <f>VLOOKUP($H195, 'ADP Data'!$B$4:$Q$300, 10, FALSE)</f>
        <v>#N/A</v>
      </c>
      <c r="O195" s="11" t="str">
        <f>VLOOKUP($H195, 'ADP Data'!$B$4:$Q$300, 4, FALSE)</f>
        <v>#N/A</v>
      </c>
      <c r="P195" s="11" t="str">
        <f t="shared" si="4"/>
        <v>#N/A</v>
      </c>
      <c r="Q195" s="11" t="str">
        <f>VLOOKUP($H195, 'ADP Data'!$B$4:$Q$300, 5, FALSE)</f>
        <v>#N/A</v>
      </c>
      <c r="R195" s="11" t="str">
        <f>VLOOKUP($H195, 'ADP Data'!$B$4:$Q$300, 6, FALSE)</f>
        <v>#N/A</v>
      </c>
      <c r="S195" s="11" t="str">
        <f>VLOOKUP($H195, 'ADP Data'!$B$4:$Q$300, 7, FALSE)</f>
        <v>#N/A</v>
      </c>
      <c r="T195" s="11" t="str">
        <f>VLOOKUP($H195, 'ADP Data'!$B$4:$Q$300, 8, FALSE)</f>
        <v>#N/A</v>
      </c>
      <c r="U195" s="11" t="str">
        <f>VLOOKUP($H195, 'ADP Data'!$B$4:$Q$300, 9, FALSE)</f>
        <v>#N/A</v>
      </c>
      <c r="V195" s="11" t="str">
        <f t="shared" si="5"/>
        <v>#N/A</v>
      </c>
      <c r="W195" s="11" t="str">
        <f t="shared" si="6"/>
        <v>#N/A</v>
      </c>
      <c r="X195" s="11" t="str">
        <f>IF(VLOOKUP($H195, SeanRanks!$A$2:$H$303, 7, FALSE)=0, "", VLOOKUP($H195, SeanRanks!$A$2:$H$303, 7, FALSE))</f>
        <v>#N/A</v>
      </c>
    </row>
    <row r="196" ht="14.25" customHeight="1">
      <c r="A196" s="11"/>
      <c r="B196" s="11" t="str">
        <f t="shared" si="7"/>
        <v>#N/A</v>
      </c>
      <c r="C196" s="11" t="s">
        <v>106</v>
      </c>
      <c r="D196" s="11"/>
      <c r="E196" s="11"/>
      <c r="F196" s="11">
        <f t="shared" si="2"/>
        <v>0</v>
      </c>
      <c r="G196" s="11"/>
      <c r="H196" s="11" t="s">
        <v>889</v>
      </c>
      <c r="I196" s="58" t="str">
        <f>VLOOKUP($H196, 'ADP Data'!$B$4:$Q$300, 2, FALSE)</f>
        <v>#N/A</v>
      </c>
      <c r="J196" s="11" t="s">
        <v>772</v>
      </c>
      <c r="K196" s="11" t="str">
        <f>VLOOKUP($H196, SeanRanks!$A$2:$H$303, 5, FALSE)</f>
        <v>#N/A</v>
      </c>
      <c r="L196" s="11" t="str">
        <f>IF(VLOOKUP($H196, SeanRanks!$A$2:$H$303, 6, FALSE)=0, "", VLOOKUP($H196, SeanRanks!$A$2:$H$303, 6, FALSE))</f>
        <v>#N/A</v>
      </c>
      <c r="M196" s="11">
        <f t="shared" si="3"/>
        <v>16</v>
      </c>
      <c r="N196" s="11" t="str">
        <f>VLOOKUP($H196, 'ADP Data'!$B$4:$Q$300, 10, FALSE)</f>
        <v>#N/A</v>
      </c>
      <c r="O196" s="11" t="str">
        <f>VLOOKUP($H196, 'ADP Data'!$B$4:$Q$300, 4, FALSE)</f>
        <v>#N/A</v>
      </c>
      <c r="P196" s="11" t="str">
        <f t="shared" si="4"/>
        <v>#N/A</v>
      </c>
      <c r="Q196" s="11" t="str">
        <f>VLOOKUP($H196, 'ADP Data'!$B$4:$Q$300, 5, FALSE)</f>
        <v>#N/A</v>
      </c>
      <c r="R196" s="11" t="str">
        <f>VLOOKUP($H196, 'ADP Data'!$B$4:$Q$300, 6, FALSE)</f>
        <v>#N/A</v>
      </c>
      <c r="S196" s="11" t="str">
        <f>VLOOKUP($H196, 'ADP Data'!$B$4:$Q$300, 7, FALSE)</f>
        <v>#N/A</v>
      </c>
      <c r="T196" s="11" t="str">
        <f>VLOOKUP($H196, 'ADP Data'!$B$4:$Q$300, 8, FALSE)</f>
        <v>#N/A</v>
      </c>
      <c r="U196" s="11" t="str">
        <f>VLOOKUP($H196, 'ADP Data'!$B$4:$Q$300, 9, FALSE)</f>
        <v>#N/A</v>
      </c>
      <c r="V196" s="11" t="str">
        <f t="shared" si="5"/>
        <v>#N/A</v>
      </c>
      <c r="W196" s="11" t="str">
        <f t="shared" si="6"/>
        <v>#N/A</v>
      </c>
      <c r="X196" s="11" t="str">
        <f>IF(VLOOKUP($H196, SeanRanks!$A$2:$H$303, 7, FALSE)=0, "", VLOOKUP($H196, SeanRanks!$A$2:$H$303, 7, FALSE))</f>
        <v>#N/A</v>
      </c>
    </row>
    <row r="197" ht="14.25" customHeight="1">
      <c r="A197" s="11"/>
      <c r="B197" s="11" t="str">
        <f t="shared" si="7"/>
        <v>#N/A</v>
      </c>
      <c r="C197" s="11" t="s">
        <v>106</v>
      </c>
      <c r="D197" s="11"/>
      <c r="E197" s="11"/>
      <c r="F197" s="11">
        <f t="shared" si="2"/>
        <v>0</v>
      </c>
      <c r="G197" s="11"/>
      <c r="H197" s="11" t="s">
        <v>961</v>
      </c>
      <c r="I197" s="11" t="str">
        <f>VLOOKUP($H197, 'ADP Data'!$B$4:$Q$300, 2, FALSE)</f>
        <v>#N/A</v>
      </c>
      <c r="J197" s="11" t="s">
        <v>781</v>
      </c>
      <c r="K197" s="11" t="str">
        <f>VLOOKUP($H197, SeanRanks!$A$2:$H$303, 5, FALSE)</f>
        <v>#N/A</v>
      </c>
      <c r="L197" s="11" t="str">
        <f>IF(VLOOKUP($H197, SeanRanks!$A$2:$H$303, 6, FALSE)=0, "", VLOOKUP($H197, SeanRanks!$A$2:$H$303, 6, FALSE))</f>
        <v>#N/A</v>
      </c>
      <c r="M197" s="11">
        <f t="shared" si="3"/>
        <v>16</v>
      </c>
      <c r="N197" s="11" t="str">
        <f>VLOOKUP($H197, 'ADP Data'!$B$4:$Q$300, 10, FALSE)</f>
        <v>#N/A</v>
      </c>
      <c r="O197" s="11" t="str">
        <f>VLOOKUP($H197, 'ADP Data'!$B$4:$Q$300, 4, FALSE)</f>
        <v>#N/A</v>
      </c>
      <c r="P197" s="11" t="str">
        <f t="shared" si="4"/>
        <v>#N/A</v>
      </c>
      <c r="Q197" s="11" t="str">
        <f>VLOOKUP($H197, 'ADP Data'!$B$4:$Q$300, 5, FALSE)</f>
        <v>#N/A</v>
      </c>
      <c r="R197" s="11" t="str">
        <f>VLOOKUP($H197, 'ADP Data'!$B$4:$Q$300, 6, FALSE)</f>
        <v>#N/A</v>
      </c>
      <c r="S197" s="11" t="str">
        <f>VLOOKUP($H197, 'ADP Data'!$B$4:$Q$300, 7, FALSE)</f>
        <v>#N/A</v>
      </c>
      <c r="T197" s="11" t="str">
        <f>VLOOKUP($H197, 'ADP Data'!$B$4:$Q$300, 8, FALSE)</f>
        <v>#N/A</v>
      </c>
      <c r="U197" s="11" t="str">
        <f>VLOOKUP($H197, 'ADP Data'!$B$4:$Q$300, 9, FALSE)</f>
        <v>#N/A</v>
      </c>
      <c r="V197" s="11" t="str">
        <f t="shared" si="5"/>
        <v>#N/A</v>
      </c>
      <c r="W197" s="11" t="str">
        <f t="shared" si="6"/>
        <v>#N/A</v>
      </c>
      <c r="X197" s="11" t="str">
        <f>IF(VLOOKUP($H197, SeanRanks!$A$2:$H$303, 7, FALSE)=0, "", VLOOKUP($H197, SeanRanks!$A$2:$H$303, 7, FALSE))</f>
        <v>#N/A</v>
      </c>
    </row>
    <row r="198" ht="14.25" customHeight="1">
      <c r="A198" s="11"/>
      <c r="B198" s="11" t="str">
        <f t="shared" si="7"/>
        <v>#N/A</v>
      </c>
      <c r="C198" s="11" t="s">
        <v>106</v>
      </c>
      <c r="D198" s="11"/>
      <c r="E198" s="11"/>
      <c r="F198" s="11">
        <f t="shared" si="2"/>
        <v>0</v>
      </c>
      <c r="G198" s="11"/>
      <c r="H198" s="11" t="s">
        <v>875</v>
      </c>
      <c r="I198" s="93" t="str">
        <f>VLOOKUP($H198, 'ADP Data'!$B$4:$Q$300, 2, FALSE)</f>
        <v>#N/A</v>
      </c>
      <c r="J198" s="11" t="s">
        <v>772</v>
      </c>
      <c r="K198" s="11" t="str">
        <f>VLOOKUP($H198, SeanRanks!$A$2:$H$303, 5, FALSE)</f>
        <v>#N/A</v>
      </c>
      <c r="L198" s="11" t="str">
        <f>IF(VLOOKUP($H198, SeanRanks!$A$2:$H$303, 6, FALSE)=0, "", VLOOKUP($H198, SeanRanks!$A$2:$H$303, 6, FALSE))</f>
        <v>#N/A</v>
      </c>
      <c r="M198" s="11">
        <f t="shared" si="3"/>
        <v>16</v>
      </c>
      <c r="N198" s="11" t="str">
        <f>VLOOKUP($H198, 'ADP Data'!$B$4:$Q$300, 10, FALSE)</f>
        <v>#N/A</v>
      </c>
      <c r="O198" s="11" t="str">
        <f>VLOOKUP($H198, 'ADP Data'!$B$4:$Q$300, 4, FALSE)</f>
        <v>#N/A</v>
      </c>
      <c r="P198" s="11" t="str">
        <f t="shared" si="4"/>
        <v>#N/A</v>
      </c>
      <c r="Q198" s="11" t="str">
        <f>VLOOKUP($H198, 'ADP Data'!$B$4:$Q$300, 5, FALSE)</f>
        <v>#N/A</v>
      </c>
      <c r="R198" s="11" t="str">
        <f>VLOOKUP($H198, 'ADP Data'!$B$4:$Q$300, 6, FALSE)</f>
        <v>#N/A</v>
      </c>
      <c r="S198" s="11" t="str">
        <f>VLOOKUP($H198, 'ADP Data'!$B$4:$Q$300, 7, FALSE)</f>
        <v>#N/A</v>
      </c>
      <c r="T198" s="11" t="str">
        <f>VLOOKUP($H198, 'ADP Data'!$B$4:$Q$300, 8, FALSE)</f>
        <v>#N/A</v>
      </c>
      <c r="U198" s="11" t="str">
        <f>VLOOKUP($H198, 'ADP Data'!$B$4:$Q$300, 9, FALSE)</f>
        <v>#N/A</v>
      </c>
      <c r="V198" s="11" t="str">
        <f t="shared" si="5"/>
        <v>#N/A</v>
      </c>
      <c r="W198" s="11" t="str">
        <f t="shared" si="6"/>
        <v>#N/A</v>
      </c>
      <c r="X198" s="11" t="str">
        <f>IF(VLOOKUP($H198, SeanRanks!$A$2:$H$303, 7, FALSE)=0, "", VLOOKUP($H198, SeanRanks!$A$2:$H$303, 7, FALSE))</f>
        <v>#N/A</v>
      </c>
    </row>
    <row r="199" ht="14.25" customHeight="1">
      <c r="A199" s="11"/>
      <c r="B199" s="11" t="str">
        <f t="shared" si="7"/>
        <v>#N/A</v>
      </c>
      <c r="C199" s="11" t="s">
        <v>106</v>
      </c>
      <c r="D199" s="11"/>
      <c r="E199" s="11"/>
      <c r="F199" s="11">
        <f t="shared" si="2"/>
        <v>0</v>
      </c>
      <c r="G199" s="11"/>
      <c r="H199" s="11" t="s">
        <v>1307</v>
      </c>
      <c r="I199" s="11" t="str">
        <f>VLOOKUP($H199, 'ADP Data'!$B$4:$Q$300, 2, FALSE)</f>
        <v>#N/A</v>
      </c>
      <c r="J199" s="11" t="s">
        <v>775</v>
      </c>
      <c r="K199" s="11" t="str">
        <f>VLOOKUP($H199, SeanRanks!$A$2:$H$303, 5, FALSE)</f>
        <v>#N/A</v>
      </c>
      <c r="L199" s="11" t="str">
        <f>IF(VLOOKUP($H199, SeanRanks!$A$2:$H$303, 6, FALSE)=0, "", VLOOKUP($H199, SeanRanks!$A$2:$H$303, 6, FALSE))</f>
        <v>#N/A</v>
      </c>
      <c r="M199" s="11">
        <f t="shared" si="3"/>
        <v>16</v>
      </c>
      <c r="N199" s="11" t="str">
        <f>VLOOKUP($H199, 'ADP Data'!$B$4:$Q$300, 10, FALSE)</f>
        <v>#N/A</v>
      </c>
      <c r="O199" s="11" t="str">
        <f>VLOOKUP($H199, 'ADP Data'!$B$4:$Q$300, 4, FALSE)</f>
        <v>#N/A</v>
      </c>
      <c r="P199" s="11" t="str">
        <f t="shared" si="4"/>
        <v>#N/A</v>
      </c>
      <c r="Q199" s="11" t="str">
        <f>VLOOKUP($H199, 'ADP Data'!$B$4:$Q$300, 5, FALSE)</f>
        <v>#N/A</v>
      </c>
      <c r="R199" s="11" t="str">
        <f>VLOOKUP($H199, 'ADP Data'!$B$4:$Q$300, 6, FALSE)</f>
        <v>#N/A</v>
      </c>
      <c r="S199" s="11" t="str">
        <f>VLOOKUP($H199, 'ADP Data'!$B$4:$Q$300, 7, FALSE)</f>
        <v>#N/A</v>
      </c>
      <c r="T199" s="11" t="str">
        <f>VLOOKUP($H199, 'ADP Data'!$B$4:$Q$300, 8, FALSE)</f>
        <v>#N/A</v>
      </c>
      <c r="U199" s="11" t="str">
        <f>VLOOKUP($H199, 'ADP Data'!$B$4:$Q$300, 9, FALSE)</f>
        <v>#N/A</v>
      </c>
      <c r="V199" s="11" t="str">
        <f t="shared" si="5"/>
        <v>#N/A</v>
      </c>
      <c r="W199" s="11" t="str">
        <f t="shared" si="6"/>
        <v>#N/A</v>
      </c>
      <c r="X199" s="11" t="str">
        <f>IF(VLOOKUP($H199, SeanRanks!$A$2:$H$303, 7, FALSE)=0, "", VLOOKUP($H199, SeanRanks!$A$2:$H$303, 7, FALSE))</f>
        <v>#N/A</v>
      </c>
    </row>
    <row r="200" ht="14.25" customHeight="1">
      <c r="A200" s="11"/>
      <c r="B200" s="11" t="str">
        <f t="shared" si="7"/>
        <v>#N/A</v>
      </c>
      <c r="C200" s="11" t="s">
        <v>106</v>
      </c>
      <c r="D200" s="11"/>
      <c r="E200" s="11"/>
      <c r="F200" s="11">
        <f t="shared" si="2"/>
        <v>0</v>
      </c>
      <c r="G200" s="11"/>
      <c r="H200" s="11" t="s">
        <v>718</v>
      </c>
      <c r="I200" s="11" t="str">
        <f>VLOOKUP($H200, 'ADP Data'!$B$4:$Q$300, 2, FALSE)</f>
        <v>#N/A</v>
      </c>
      <c r="J200" s="11" t="s">
        <v>781</v>
      </c>
      <c r="K200" s="11" t="str">
        <f>VLOOKUP($H200, SeanRanks!$A$2:$H$303, 5, FALSE)</f>
        <v>#N/A</v>
      </c>
      <c r="L200" s="11" t="str">
        <f>IF(VLOOKUP($H200, SeanRanks!$A$2:$H$303, 6, FALSE)=0, "", VLOOKUP($H200, SeanRanks!$A$2:$H$303, 6, FALSE))</f>
        <v>#N/A</v>
      </c>
      <c r="M200" s="11">
        <f t="shared" si="3"/>
        <v>16</v>
      </c>
      <c r="N200" s="11" t="str">
        <f>VLOOKUP($H200, 'ADP Data'!$B$4:$Q$300, 10, FALSE)</f>
        <v>#N/A</v>
      </c>
      <c r="O200" s="11" t="str">
        <f>VLOOKUP($H200, 'ADP Data'!$B$4:$Q$300, 4, FALSE)</f>
        <v>#N/A</v>
      </c>
      <c r="P200" s="11" t="str">
        <f t="shared" si="4"/>
        <v>#N/A</v>
      </c>
      <c r="Q200" s="11" t="str">
        <f>VLOOKUP($H200, 'ADP Data'!$B$4:$Q$300, 5, FALSE)</f>
        <v>#N/A</v>
      </c>
      <c r="R200" s="11" t="str">
        <f>VLOOKUP($H200, 'ADP Data'!$B$4:$Q$300, 6, FALSE)</f>
        <v>#N/A</v>
      </c>
      <c r="S200" s="11" t="str">
        <f>VLOOKUP($H200, 'ADP Data'!$B$4:$Q$300, 7, FALSE)</f>
        <v>#N/A</v>
      </c>
      <c r="T200" s="11" t="str">
        <f>VLOOKUP($H200, 'ADP Data'!$B$4:$Q$300, 8, FALSE)</f>
        <v>#N/A</v>
      </c>
      <c r="U200" s="11" t="str">
        <f>VLOOKUP($H200, 'ADP Data'!$B$4:$Q$300, 9, FALSE)</f>
        <v>#N/A</v>
      </c>
      <c r="V200" s="11" t="str">
        <f t="shared" si="5"/>
        <v>#N/A</v>
      </c>
      <c r="W200" s="11" t="str">
        <f t="shared" si="6"/>
        <v>#N/A</v>
      </c>
      <c r="X200" s="11" t="str">
        <f>IF(VLOOKUP($H200, SeanRanks!$A$2:$H$303, 7, FALSE)=0, "", VLOOKUP($H200, SeanRanks!$A$2:$H$303, 7, FALSE))</f>
        <v>#N/A</v>
      </c>
    </row>
    <row r="201" ht="14.25" customHeight="1">
      <c r="A201" s="11"/>
      <c r="B201" s="11" t="str">
        <f t="shared" si="7"/>
        <v>#N/A</v>
      </c>
      <c r="C201" s="11" t="s">
        <v>106</v>
      </c>
      <c r="D201" s="11"/>
      <c r="E201" s="11"/>
      <c r="F201" s="11">
        <f t="shared" si="2"/>
        <v>0</v>
      </c>
      <c r="G201" s="11"/>
      <c r="H201" s="11" t="s">
        <v>290</v>
      </c>
      <c r="I201" s="11" t="str">
        <f>VLOOKUP($H201, 'ADP Data'!$B$4:$Q$300, 2, FALSE)</f>
        <v>#N/A</v>
      </c>
      <c r="J201" s="11" t="s">
        <v>775</v>
      </c>
      <c r="K201" s="11" t="str">
        <f>VLOOKUP($H201, SeanRanks!$A$2:$H$303, 5, FALSE)</f>
        <v/>
      </c>
      <c r="L201" s="11" t="str">
        <f>IF(VLOOKUP($H201, SeanRanks!$A$2:$H$303, 6, FALSE)=0, "", VLOOKUP($H201, SeanRanks!$A$2:$H$303, 6, FALSE))</f>
        <v/>
      </c>
      <c r="M201" s="11">
        <f t="shared" si="3"/>
        <v>16</v>
      </c>
      <c r="N201" s="11" t="str">
        <f>VLOOKUP($H201, 'ADP Data'!$B$4:$Q$300, 10, FALSE)</f>
        <v>#N/A</v>
      </c>
      <c r="O201" s="11" t="str">
        <f>VLOOKUP($H201, 'ADP Data'!$B$4:$Q$300, 4, FALSE)</f>
        <v>#N/A</v>
      </c>
      <c r="P201" s="11" t="str">
        <f t="shared" si="4"/>
        <v>#N/A</v>
      </c>
      <c r="Q201" s="11" t="str">
        <f>VLOOKUP($H201, 'ADP Data'!$B$4:$Q$300, 5, FALSE)</f>
        <v>#N/A</v>
      </c>
      <c r="R201" s="11" t="str">
        <f>VLOOKUP($H201, 'ADP Data'!$B$4:$Q$300, 6, FALSE)</f>
        <v>#N/A</v>
      </c>
      <c r="S201" s="11" t="str">
        <f>VLOOKUP($H201, 'ADP Data'!$B$4:$Q$300, 7, FALSE)</f>
        <v>#N/A</v>
      </c>
      <c r="T201" s="11" t="str">
        <f>VLOOKUP($H201, 'ADP Data'!$B$4:$Q$300, 8, FALSE)</f>
        <v>#N/A</v>
      </c>
      <c r="U201" s="11" t="str">
        <f>VLOOKUP($H201, 'ADP Data'!$B$4:$Q$300, 9, FALSE)</f>
        <v>#N/A</v>
      </c>
      <c r="V201" s="11" t="str">
        <f t="shared" si="5"/>
        <v>#N/A</v>
      </c>
      <c r="W201" s="11" t="str">
        <f t="shared" si="6"/>
        <v>#N/A</v>
      </c>
      <c r="X201" s="11" t="str">
        <f>IF(VLOOKUP($H201, SeanRanks!$A$2:$H$303, 7, FALSE)=0, "", VLOOKUP($H201, SeanRanks!$A$2:$H$303, 7, FALSE))</f>
        <v/>
      </c>
    </row>
    <row r="202" ht="14.25" customHeight="1">
      <c r="A202" s="11"/>
      <c r="B202" s="11" t="str">
        <f t="shared" si="7"/>
        <v>#N/A</v>
      </c>
      <c r="C202" s="11" t="s">
        <v>106</v>
      </c>
      <c r="D202" s="11"/>
      <c r="E202" s="11"/>
      <c r="F202" s="11">
        <f t="shared" si="2"/>
        <v>0</v>
      </c>
      <c r="G202" s="11"/>
      <c r="H202" s="11" t="s">
        <v>385</v>
      </c>
      <c r="I202" s="11" t="str">
        <f>VLOOKUP($H202, 'ADP Data'!$B$4:$Q$300, 2, FALSE)</f>
        <v>#N/A</v>
      </c>
      <c r="J202" s="11" t="s">
        <v>775</v>
      </c>
      <c r="K202" s="11" t="str">
        <f>VLOOKUP($H202, SeanRanks!$A$2:$H$303, 5, FALSE)</f>
        <v/>
      </c>
      <c r="L202" s="11" t="str">
        <f>IF(VLOOKUP($H202, SeanRanks!$A$2:$H$303, 6, FALSE)=0, "", VLOOKUP($H202, SeanRanks!$A$2:$H$303, 6, FALSE))</f>
        <v>WR4 - 2 - unclear path to WR2</v>
      </c>
      <c r="M202" s="11">
        <f t="shared" si="3"/>
        <v>16</v>
      </c>
      <c r="N202" s="11" t="str">
        <f>VLOOKUP($H202, 'ADP Data'!$B$4:$Q$300, 10, FALSE)</f>
        <v>#N/A</v>
      </c>
      <c r="O202" s="11" t="str">
        <f>VLOOKUP($H202, 'ADP Data'!$B$4:$Q$300, 4, FALSE)</f>
        <v>#N/A</v>
      </c>
      <c r="P202" s="11" t="str">
        <f t="shared" si="4"/>
        <v>#N/A</v>
      </c>
      <c r="Q202" s="11" t="str">
        <f>VLOOKUP($H202, 'ADP Data'!$B$4:$Q$300, 5, FALSE)</f>
        <v>#N/A</v>
      </c>
      <c r="R202" s="11" t="str">
        <f>VLOOKUP($H202, 'ADP Data'!$B$4:$Q$300, 6, FALSE)</f>
        <v>#N/A</v>
      </c>
      <c r="S202" s="11" t="str">
        <f>VLOOKUP($H202, 'ADP Data'!$B$4:$Q$300, 7, FALSE)</f>
        <v>#N/A</v>
      </c>
      <c r="T202" s="11" t="str">
        <f>VLOOKUP($H202, 'ADP Data'!$B$4:$Q$300, 8, FALSE)</f>
        <v>#N/A</v>
      </c>
      <c r="U202" s="11" t="str">
        <f>VLOOKUP($H202, 'ADP Data'!$B$4:$Q$300, 9, FALSE)</f>
        <v>#N/A</v>
      </c>
      <c r="V202" s="11" t="str">
        <f t="shared" si="5"/>
        <v>#N/A</v>
      </c>
      <c r="W202" s="11" t="str">
        <f t="shared" si="6"/>
        <v>#N/A</v>
      </c>
      <c r="X202" s="11">
        <f>IF(VLOOKUP($H202, SeanRanks!$A$2:$H$303, 7, FALSE)=0, "", VLOOKUP($H202, SeanRanks!$A$2:$H$303, 7, FALSE))</f>
        <v>44</v>
      </c>
    </row>
    <row r="203" ht="14.25" customHeight="1">
      <c r="A203" s="11"/>
      <c r="B203" s="11" t="str">
        <f t="shared" si="7"/>
        <v>#N/A</v>
      </c>
      <c r="C203" s="11" t="s">
        <v>106</v>
      </c>
      <c r="D203" s="11"/>
      <c r="E203" s="11"/>
      <c r="F203" s="11">
        <f t="shared" si="2"/>
        <v>0</v>
      </c>
      <c r="G203" s="11"/>
      <c r="H203" s="11" t="s">
        <v>1120</v>
      </c>
      <c r="I203" s="11" t="str">
        <f>VLOOKUP($H203, 'ADP Data'!$B$4:$Q$300, 2, FALSE)</f>
        <v>#N/A</v>
      </c>
      <c r="J203" s="11" t="s">
        <v>775</v>
      </c>
      <c r="K203" s="11" t="str">
        <f>VLOOKUP($H203, SeanRanks!$A$2:$H$303, 5, FALSE)</f>
        <v>#N/A</v>
      </c>
      <c r="L203" s="11" t="str">
        <f>IF(VLOOKUP($H203, SeanRanks!$A$2:$H$303, 6, FALSE)=0, "", VLOOKUP($H203, SeanRanks!$A$2:$H$303, 6, FALSE))</f>
        <v>#N/A</v>
      </c>
      <c r="M203" s="11">
        <f t="shared" si="3"/>
        <v>16</v>
      </c>
      <c r="N203" s="11" t="str">
        <f>VLOOKUP($H203, 'ADP Data'!$B$4:$Q$300, 10, FALSE)</f>
        <v>#N/A</v>
      </c>
      <c r="O203" s="11" t="str">
        <f>VLOOKUP($H203, 'ADP Data'!$B$4:$Q$300, 4, FALSE)</f>
        <v>#N/A</v>
      </c>
      <c r="P203" s="11" t="str">
        <f t="shared" si="4"/>
        <v>#N/A</v>
      </c>
      <c r="Q203" s="11" t="str">
        <f>VLOOKUP($H203, 'ADP Data'!$B$4:$Q$300, 5, FALSE)</f>
        <v>#N/A</v>
      </c>
      <c r="R203" s="11" t="str">
        <f>VLOOKUP($H203, 'ADP Data'!$B$4:$Q$300, 6, FALSE)</f>
        <v>#N/A</v>
      </c>
      <c r="S203" s="11" t="str">
        <f>VLOOKUP($H203, 'ADP Data'!$B$4:$Q$300, 7, FALSE)</f>
        <v>#N/A</v>
      </c>
      <c r="T203" s="11" t="str">
        <f>VLOOKUP($H203, 'ADP Data'!$B$4:$Q$300, 8, FALSE)</f>
        <v>#N/A</v>
      </c>
      <c r="U203" s="11" t="str">
        <f>VLOOKUP($H203, 'ADP Data'!$B$4:$Q$300, 9, FALSE)</f>
        <v>#N/A</v>
      </c>
      <c r="V203" s="11" t="str">
        <f t="shared" si="5"/>
        <v>#N/A</v>
      </c>
      <c r="W203" s="11" t="str">
        <f t="shared" si="6"/>
        <v>#N/A</v>
      </c>
      <c r="X203" s="11" t="str">
        <f>IF(VLOOKUP($H203, SeanRanks!$A$2:$H$303, 7, FALSE)=0, "", VLOOKUP($H203, SeanRanks!$A$2:$H$303, 7, FALSE))</f>
        <v>#N/A</v>
      </c>
    </row>
    <row r="204" ht="14.25" customHeight="1">
      <c r="A204" s="11"/>
      <c r="B204" s="11" t="str">
        <f t="shared" si="7"/>
        <v>#N/A</v>
      </c>
      <c r="C204" s="11" t="s">
        <v>106</v>
      </c>
      <c r="D204" s="11"/>
      <c r="E204" s="11"/>
      <c r="F204" s="11">
        <f t="shared" si="2"/>
        <v>0</v>
      </c>
      <c r="G204" s="11"/>
      <c r="H204" s="11" t="s">
        <v>502</v>
      </c>
      <c r="I204" s="11" t="str">
        <f>VLOOKUP($H204, 'ADP Data'!$B$4:$Q$300, 2, FALSE)</f>
        <v>#N/A</v>
      </c>
      <c r="J204" s="11" t="s">
        <v>785</v>
      </c>
      <c r="K204" s="11" t="str">
        <f>VLOOKUP($H204, SeanRanks!$A$2:$H$303, 5, FALSE)</f>
        <v/>
      </c>
      <c r="L204" s="11" t="str">
        <f>IF(VLOOKUP($H204, SeanRanks!$A$2:$H$303, 6, FALSE)=0, "", VLOOKUP($H204, SeanRanks!$A$2:$H$303, 6, FALSE))</f>
        <v/>
      </c>
      <c r="M204" s="11">
        <f t="shared" si="3"/>
        <v>16</v>
      </c>
      <c r="N204" s="11" t="str">
        <f>VLOOKUP($H204, 'ADP Data'!$B$4:$Q$300, 10, FALSE)</f>
        <v>#N/A</v>
      </c>
      <c r="O204" s="11" t="str">
        <f>VLOOKUP($H204, 'ADP Data'!$B$4:$Q$300, 4, FALSE)</f>
        <v>#N/A</v>
      </c>
      <c r="P204" s="11" t="str">
        <f t="shared" si="4"/>
        <v>#N/A</v>
      </c>
      <c r="Q204" s="11" t="str">
        <f>VLOOKUP($H204, 'ADP Data'!$B$4:$Q$300, 5, FALSE)</f>
        <v>#N/A</v>
      </c>
      <c r="R204" s="11" t="str">
        <f>VLOOKUP($H204, 'ADP Data'!$B$4:$Q$300, 6, FALSE)</f>
        <v>#N/A</v>
      </c>
      <c r="S204" s="11" t="str">
        <f>VLOOKUP($H204, 'ADP Data'!$B$4:$Q$300, 7, FALSE)</f>
        <v>#N/A</v>
      </c>
      <c r="T204" s="11" t="str">
        <f>VLOOKUP($H204, 'ADP Data'!$B$4:$Q$300, 8, FALSE)</f>
        <v>#N/A</v>
      </c>
      <c r="U204" s="11" t="str">
        <f>VLOOKUP($H204, 'ADP Data'!$B$4:$Q$300, 9, FALSE)</f>
        <v>#N/A</v>
      </c>
      <c r="V204" s="11" t="str">
        <f t="shared" si="5"/>
        <v>#N/A</v>
      </c>
      <c r="W204" s="11" t="str">
        <f t="shared" si="6"/>
        <v>#N/A</v>
      </c>
      <c r="X204" s="11" t="str">
        <f>IF(VLOOKUP($H204, SeanRanks!$A$2:$H$303, 7, FALSE)=0, "", VLOOKUP($H204, SeanRanks!$A$2:$H$303, 7, FALSE))</f>
        <v/>
      </c>
    </row>
    <row r="205" ht="14.25" customHeight="1">
      <c r="A205" s="11"/>
      <c r="B205" s="11" t="str">
        <f t="shared" si="7"/>
        <v>#N/A</v>
      </c>
      <c r="C205" s="11" t="s">
        <v>106</v>
      </c>
      <c r="D205" s="11"/>
      <c r="E205" s="11"/>
      <c r="F205" s="11">
        <f t="shared" si="2"/>
        <v>0</v>
      </c>
      <c r="G205" s="11"/>
      <c r="H205" s="11" t="s">
        <v>952</v>
      </c>
      <c r="I205" s="11" t="str">
        <f>VLOOKUP($H205, 'ADP Data'!$B$4:$Q$300, 2, FALSE)</f>
        <v>#N/A</v>
      </c>
      <c r="J205" s="11" t="s">
        <v>784</v>
      </c>
      <c r="K205" s="11" t="str">
        <f>VLOOKUP($H205, SeanRanks!$A$2:$H$303, 5, FALSE)</f>
        <v/>
      </c>
      <c r="L205" s="11" t="str">
        <f>IF(VLOOKUP($H205, SeanRanks!$A$2:$H$303, 6, FALSE)=0, "", VLOOKUP($H205, SeanRanks!$A$2:$H$303, 6, FALSE))</f>
        <v/>
      </c>
      <c r="M205" s="11">
        <f t="shared" si="3"/>
        <v>16</v>
      </c>
      <c r="N205" s="11" t="str">
        <f>VLOOKUP($H205, 'ADP Data'!$B$4:$Q$300, 10, FALSE)</f>
        <v>#N/A</v>
      </c>
      <c r="O205" s="11" t="str">
        <f>VLOOKUP($H205, 'ADP Data'!$B$4:$Q$300, 4, FALSE)</f>
        <v>#N/A</v>
      </c>
      <c r="P205" s="11" t="str">
        <f t="shared" si="4"/>
        <v>#N/A</v>
      </c>
      <c r="Q205" s="11" t="str">
        <f>VLOOKUP($H205, 'ADP Data'!$B$4:$Q$300, 5, FALSE)</f>
        <v>#N/A</v>
      </c>
      <c r="R205" s="11" t="str">
        <f>VLOOKUP($H205, 'ADP Data'!$B$4:$Q$300, 6, FALSE)</f>
        <v>#N/A</v>
      </c>
      <c r="S205" s="11" t="str">
        <f>VLOOKUP($H205, 'ADP Data'!$B$4:$Q$300, 7, FALSE)</f>
        <v>#N/A</v>
      </c>
      <c r="T205" s="11" t="str">
        <f>VLOOKUP($H205, 'ADP Data'!$B$4:$Q$300, 8, FALSE)</f>
        <v>#N/A</v>
      </c>
      <c r="U205" s="11" t="str">
        <f>VLOOKUP($H205, 'ADP Data'!$B$4:$Q$300, 9, FALSE)</f>
        <v>#N/A</v>
      </c>
      <c r="V205" s="11" t="str">
        <f t="shared" si="5"/>
        <v>#N/A</v>
      </c>
      <c r="W205" s="11" t="str">
        <f t="shared" si="6"/>
        <v>#N/A</v>
      </c>
      <c r="X205" s="11" t="str">
        <f>IF(VLOOKUP($H205, SeanRanks!$A$2:$H$303, 7, FALSE)=0, "", VLOOKUP($H205, SeanRanks!$A$2:$H$303, 7, FALSE))</f>
        <v/>
      </c>
    </row>
    <row r="206" ht="14.25" customHeight="1">
      <c r="A206" s="11"/>
      <c r="B206" s="11" t="str">
        <f t="shared" si="7"/>
        <v>#N/A</v>
      </c>
      <c r="C206" s="11" t="s">
        <v>106</v>
      </c>
      <c r="D206" s="11"/>
      <c r="E206" s="11"/>
      <c r="F206" s="11">
        <f t="shared" si="2"/>
        <v>0</v>
      </c>
      <c r="G206" s="11"/>
      <c r="H206" s="11" t="s">
        <v>472</v>
      </c>
      <c r="I206" s="11" t="str">
        <f>VLOOKUP($H206, 'ADP Data'!$B$4:$Q$300, 2, FALSE)</f>
        <v>#N/A</v>
      </c>
      <c r="J206" s="11" t="s">
        <v>775</v>
      </c>
      <c r="K206" s="11" t="str">
        <f>VLOOKUP($H206, SeanRanks!$A$2:$H$303, 5, FALSE)</f>
        <v>#N/A</v>
      </c>
      <c r="L206" s="11" t="str">
        <f>IF(VLOOKUP($H206, SeanRanks!$A$2:$H$303, 6, FALSE)=0, "", VLOOKUP($H206, SeanRanks!$A$2:$H$303, 6, FALSE))</f>
        <v>#N/A</v>
      </c>
      <c r="M206" s="11">
        <f t="shared" si="3"/>
        <v>16</v>
      </c>
      <c r="N206" s="11" t="str">
        <f>VLOOKUP($H206, 'ADP Data'!$B$4:$Q$300, 10, FALSE)</f>
        <v>#N/A</v>
      </c>
      <c r="O206" s="11" t="str">
        <f>VLOOKUP($H206, 'ADP Data'!$B$4:$Q$300, 4, FALSE)</f>
        <v>#N/A</v>
      </c>
      <c r="P206" s="11" t="str">
        <f t="shared" si="4"/>
        <v>#N/A</v>
      </c>
      <c r="Q206" s="11" t="str">
        <f>VLOOKUP($H206, 'ADP Data'!$B$4:$Q$300, 5, FALSE)</f>
        <v>#N/A</v>
      </c>
      <c r="R206" s="11" t="str">
        <f>VLOOKUP($H206, 'ADP Data'!$B$4:$Q$300, 6, FALSE)</f>
        <v>#N/A</v>
      </c>
      <c r="S206" s="11" t="str">
        <f>VLOOKUP($H206, 'ADP Data'!$B$4:$Q$300, 7, FALSE)</f>
        <v>#N/A</v>
      </c>
      <c r="T206" s="11" t="str">
        <f>VLOOKUP($H206, 'ADP Data'!$B$4:$Q$300, 8, FALSE)</f>
        <v>#N/A</v>
      </c>
      <c r="U206" s="11" t="str">
        <f>VLOOKUP($H206, 'ADP Data'!$B$4:$Q$300, 9, FALSE)</f>
        <v>#N/A</v>
      </c>
      <c r="V206" s="11" t="str">
        <f t="shared" si="5"/>
        <v>#N/A</v>
      </c>
      <c r="W206" s="11" t="str">
        <f t="shared" si="6"/>
        <v>#N/A</v>
      </c>
      <c r="X206" s="11" t="str">
        <f>IF(VLOOKUP($H206, SeanRanks!$A$2:$H$303, 7, FALSE)=0, "", VLOOKUP($H206, SeanRanks!$A$2:$H$303, 7, FALSE))</f>
        <v>#N/A</v>
      </c>
    </row>
    <row r="207" ht="14.25" customHeight="1">
      <c r="A207" s="11"/>
      <c r="B207" s="11" t="str">
        <f t="shared" si="7"/>
        <v>#N/A</v>
      </c>
      <c r="C207" s="11" t="s">
        <v>106</v>
      </c>
      <c r="D207" s="11"/>
      <c r="E207" s="11"/>
      <c r="F207" s="11">
        <f t="shared" si="2"/>
        <v>0</v>
      </c>
      <c r="G207" s="11"/>
      <c r="H207" s="11" t="s">
        <v>556</v>
      </c>
      <c r="I207" s="11" t="str">
        <f>VLOOKUP($H207, 'ADP Data'!$B$4:$Q$300, 2, FALSE)</f>
        <v>#N/A</v>
      </c>
      <c r="J207" s="11" t="s">
        <v>781</v>
      </c>
      <c r="K207" s="11" t="str">
        <f>VLOOKUP($H207, SeanRanks!$A$2:$H$303, 5, FALSE)</f>
        <v/>
      </c>
      <c r="L207" s="11" t="str">
        <f>IF(VLOOKUP($H207, SeanRanks!$A$2:$H$303, 6, FALSE)=0, "", VLOOKUP($H207, SeanRanks!$A$2:$H$303, 6, FALSE))</f>
        <v/>
      </c>
      <c r="M207" s="11">
        <f t="shared" si="3"/>
        <v>16</v>
      </c>
      <c r="N207" s="11" t="str">
        <f>VLOOKUP($H207, 'ADP Data'!$B$4:$Q$300, 10, FALSE)</f>
        <v>#N/A</v>
      </c>
      <c r="O207" s="11" t="str">
        <f>VLOOKUP($H207, 'ADP Data'!$B$4:$Q$300, 4, FALSE)</f>
        <v>#N/A</v>
      </c>
      <c r="P207" s="11" t="str">
        <f t="shared" si="4"/>
        <v>#N/A</v>
      </c>
      <c r="Q207" s="11" t="str">
        <f>VLOOKUP($H207, 'ADP Data'!$B$4:$Q$300, 5, FALSE)</f>
        <v>#N/A</v>
      </c>
      <c r="R207" s="11" t="str">
        <f>VLOOKUP($H207, 'ADP Data'!$B$4:$Q$300, 6, FALSE)</f>
        <v>#N/A</v>
      </c>
      <c r="S207" s="11" t="str">
        <f>VLOOKUP($H207, 'ADP Data'!$B$4:$Q$300, 7, FALSE)</f>
        <v>#N/A</v>
      </c>
      <c r="T207" s="11" t="str">
        <f>VLOOKUP($H207, 'ADP Data'!$B$4:$Q$300, 8, FALSE)</f>
        <v>#N/A</v>
      </c>
      <c r="U207" s="11" t="str">
        <f>VLOOKUP($H207, 'ADP Data'!$B$4:$Q$300, 9, FALSE)</f>
        <v>#N/A</v>
      </c>
      <c r="V207" s="11" t="str">
        <f t="shared" si="5"/>
        <v>#N/A</v>
      </c>
      <c r="W207" s="11" t="str">
        <f t="shared" si="6"/>
        <v>#N/A</v>
      </c>
      <c r="X207" s="11" t="str">
        <f>IF(VLOOKUP($H207, SeanRanks!$A$2:$H$303, 7, FALSE)=0, "", VLOOKUP($H207, SeanRanks!$A$2:$H$303, 7, FALSE))</f>
        <v/>
      </c>
    </row>
    <row r="208" ht="14.25" customHeight="1">
      <c r="A208" s="11"/>
      <c r="B208" s="11" t="str">
        <f t="shared" si="7"/>
        <v>#N/A</v>
      </c>
      <c r="C208" s="11" t="s">
        <v>106</v>
      </c>
      <c r="D208" s="11"/>
      <c r="E208" s="11"/>
      <c r="F208" s="11">
        <f t="shared" si="2"/>
        <v>0</v>
      </c>
      <c r="G208" s="11"/>
      <c r="H208" s="11" t="s">
        <v>954</v>
      </c>
      <c r="I208" s="11" t="str">
        <f>VLOOKUP($H208, 'ADP Data'!$B$4:$Q$300, 2, FALSE)</f>
        <v>#N/A</v>
      </c>
      <c r="J208" s="11" t="s">
        <v>784</v>
      </c>
      <c r="K208" s="11" t="str">
        <f>VLOOKUP($H208, SeanRanks!$A$2:$H$303, 5, FALSE)</f>
        <v/>
      </c>
      <c r="L208" s="11" t="str">
        <f>IF(VLOOKUP($H208, SeanRanks!$A$2:$H$303, 6, FALSE)=0, "", VLOOKUP($H208, SeanRanks!$A$2:$H$303, 6, FALSE))</f>
        <v/>
      </c>
      <c r="M208" s="11">
        <f t="shared" si="3"/>
        <v>16</v>
      </c>
      <c r="N208" s="11" t="str">
        <f>VLOOKUP($H208, 'ADP Data'!$B$4:$Q$300, 10, FALSE)</f>
        <v>#N/A</v>
      </c>
      <c r="O208" s="11" t="str">
        <f>VLOOKUP($H208, 'ADP Data'!$B$4:$Q$300, 4, FALSE)</f>
        <v>#N/A</v>
      </c>
      <c r="P208" s="11" t="str">
        <f t="shared" si="4"/>
        <v>#N/A</v>
      </c>
      <c r="Q208" s="11" t="str">
        <f>VLOOKUP($H208, 'ADP Data'!$B$4:$Q$300, 5, FALSE)</f>
        <v>#N/A</v>
      </c>
      <c r="R208" s="11" t="str">
        <f>VLOOKUP($H208, 'ADP Data'!$B$4:$Q$300, 6, FALSE)</f>
        <v>#N/A</v>
      </c>
      <c r="S208" s="11" t="str">
        <f>VLOOKUP($H208, 'ADP Data'!$B$4:$Q$300, 7, FALSE)</f>
        <v>#N/A</v>
      </c>
      <c r="T208" s="11" t="str">
        <f>VLOOKUP($H208, 'ADP Data'!$B$4:$Q$300, 8, FALSE)</f>
        <v>#N/A</v>
      </c>
      <c r="U208" s="11" t="str">
        <f>VLOOKUP($H208, 'ADP Data'!$B$4:$Q$300, 9, FALSE)</f>
        <v>#N/A</v>
      </c>
      <c r="V208" s="11" t="str">
        <f t="shared" si="5"/>
        <v>#N/A</v>
      </c>
      <c r="W208" s="11" t="str">
        <f t="shared" si="6"/>
        <v>#N/A</v>
      </c>
      <c r="X208" s="11" t="str">
        <f>IF(VLOOKUP($H208, SeanRanks!$A$2:$H$303, 7, FALSE)=0, "", VLOOKUP($H208, SeanRanks!$A$2:$H$303, 7, FALSE))</f>
        <v/>
      </c>
    </row>
    <row r="209" ht="14.25" customHeight="1">
      <c r="A209" s="11"/>
      <c r="B209" s="11" t="str">
        <f t="shared" si="7"/>
        <v>#N/A</v>
      </c>
      <c r="C209" s="11" t="s">
        <v>106</v>
      </c>
      <c r="D209" s="11"/>
      <c r="E209" s="11"/>
      <c r="F209" s="11">
        <f t="shared" si="2"/>
        <v>0</v>
      </c>
      <c r="G209" s="11"/>
      <c r="H209" s="11" t="s">
        <v>1280</v>
      </c>
      <c r="I209" s="11" t="str">
        <f>VLOOKUP($H209, 'ADP Data'!$B$4:$Q$300, 2, FALSE)</f>
        <v>#N/A</v>
      </c>
      <c r="J209" s="11" t="s">
        <v>775</v>
      </c>
      <c r="K209" s="11" t="str">
        <f>VLOOKUP($H209, SeanRanks!$A$2:$H$303, 5, FALSE)</f>
        <v>#N/A</v>
      </c>
      <c r="L209" s="11" t="str">
        <f>IF(VLOOKUP($H209, SeanRanks!$A$2:$H$303, 6, FALSE)=0, "", VLOOKUP($H209, SeanRanks!$A$2:$H$303, 6, FALSE))</f>
        <v>#N/A</v>
      </c>
      <c r="M209" s="11">
        <f t="shared" si="3"/>
        <v>16</v>
      </c>
      <c r="N209" s="11" t="str">
        <f>VLOOKUP($H209, 'ADP Data'!$B$4:$Q$300, 10, FALSE)</f>
        <v>#N/A</v>
      </c>
      <c r="O209" s="11" t="str">
        <f>VLOOKUP($H209, 'ADP Data'!$B$4:$Q$300, 4, FALSE)</f>
        <v>#N/A</v>
      </c>
      <c r="P209" s="11" t="str">
        <f t="shared" si="4"/>
        <v>#N/A</v>
      </c>
      <c r="Q209" s="11" t="str">
        <f>VLOOKUP($H209, 'ADP Data'!$B$4:$Q$300, 5, FALSE)</f>
        <v>#N/A</v>
      </c>
      <c r="R209" s="11" t="str">
        <f>VLOOKUP($H209, 'ADP Data'!$B$4:$Q$300, 6, FALSE)</f>
        <v>#N/A</v>
      </c>
      <c r="S209" s="11" t="str">
        <f>VLOOKUP($H209, 'ADP Data'!$B$4:$Q$300, 7, FALSE)</f>
        <v>#N/A</v>
      </c>
      <c r="T209" s="11" t="str">
        <f>VLOOKUP($H209, 'ADP Data'!$B$4:$Q$300, 8, FALSE)</f>
        <v>#N/A</v>
      </c>
      <c r="U209" s="11" t="str">
        <f>VLOOKUP($H209, 'ADP Data'!$B$4:$Q$300, 9, FALSE)</f>
        <v>#N/A</v>
      </c>
      <c r="V209" s="11" t="str">
        <f t="shared" si="5"/>
        <v>#N/A</v>
      </c>
      <c r="W209" s="11" t="str">
        <f t="shared" si="6"/>
        <v>#N/A</v>
      </c>
      <c r="X209" s="11" t="str">
        <f>IF(VLOOKUP($H209, SeanRanks!$A$2:$H$303, 7, FALSE)=0, "", VLOOKUP($H209, SeanRanks!$A$2:$H$303, 7, FALSE))</f>
        <v>#N/A</v>
      </c>
    </row>
    <row r="210" ht="14.25" customHeight="1">
      <c r="A210" s="11"/>
      <c r="B210" s="11" t="str">
        <f t="shared" si="7"/>
        <v>#N/A</v>
      </c>
      <c r="C210" s="11" t="s">
        <v>106</v>
      </c>
      <c r="D210" s="11"/>
      <c r="E210" s="11"/>
      <c r="F210" s="11">
        <f t="shared" si="2"/>
        <v>0</v>
      </c>
      <c r="G210" s="11"/>
      <c r="H210" s="11" t="s">
        <v>513</v>
      </c>
      <c r="I210" s="11" t="str">
        <f>VLOOKUP($H210, 'ADP Data'!$B$4:$Q$300, 2, FALSE)</f>
        <v>#N/A</v>
      </c>
      <c r="J210" s="11" t="s">
        <v>785</v>
      </c>
      <c r="K210" s="11" t="str">
        <f>VLOOKUP($H210, SeanRanks!$A$2:$H$303, 5, FALSE)</f>
        <v/>
      </c>
      <c r="L210" s="11" t="str">
        <f>IF(VLOOKUP($H210, SeanRanks!$A$2:$H$303, 6, FALSE)=0, "", VLOOKUP($H210, SeanRanks!$A$2:$H$303, 6, FALSE))</f>
        <v/>
      </c>
      <c r="M210" s="11">
        <f t="shared" si="3"/>
        <v>16</v>
      </c>
      <c r="N210" s="11" t="str">
        <f>VLOOKUP($H210, 'ADP Data'!$B$4:$Q$300, 10, FALSE)</f>
        <v>#N/A</v>
      </c>
      <c r="O210" s="11" t="str">
        <f>VLOOKUP($H210, 'ADP Data'!$B$4:$Q$300, 4, FALSE)</f>
        <v>#N/A</v>
      </c>
      <c r="P210" s="11" t="str">
        <f t="shared" si="4"/>
        <v>#N/A</v>
      </c>
      <c r="Q210" s="11" t="str">
        <f>VLOOKUP($H210, 'ADP Data'!$B$4:$Q$300, 5, FALSE)</f>
        <v>#N/A</v>
      </c>
      <c r="R210" s="11" t="str">
        <f>VLOOKUP($H210, 'ADP Data'!$B$4:$Q$300, 6, FALSE)</f>
        <v>#N/A</v>
      </c>
      <c r="S210" s="11" t="str">
        <f>VLOOKUP($H210, 'ADP Data'!$B$4:$Q$300, 7, FALSE)</f>
        <v>#N/A</v>
      </c>
      <c r="T210" s="11" t="str">
        <f>VLOOKUP($H210, 'ADP Data'!$B$4:$Q$300, 8, FALSE)</f>
        <v>#N/A</v>
      </c>
      <c r="U210" s="11" t="str">
        <f>VLOOKUP($H210, 'ADP Data'!$B$4:$Q$300, 9, FALSE)</f>
        <v>#N/A</v>
      </c>
      <c r="V210" s="11" t="str">
        <f t="shared" si="5"/>
        <v>#N/A</v>
      </c>
      <c r="W210" s="11" t="str">
        <f t="shared" si="6"/>
        <v>#N/A</v>
      </c>
      <c r="X210" s="11" t="str">
        <f>IF(VLOOKUP($H210, SeanRanks!$A$2:$H$303, 7, FALSE)=0, "", VLOOKUP($H210, SeanRanks!$A$2:$H$303, 7, FALSE))</f>
        <v/>
      </c>
    </row>
    <row r="211" ht="14.25" customHeight="1">
      <c r="A211" s="11"/>
      <c r="B211" s="11" t="str">
        <f t="shared" si="7"/>
        <v>#N/A</v>
      </c>
      <c r="C211" s="11" t="s">
        <v>106</v>
      </c>
      <c r="D211" s="11"/>
      <c r="E211" s="11"/>
      <c r="F211" s="11">
        <f t="shared" si="2"/>
        <v>0</v>
      </c>
      <c r="G211" s="11"/>
      <c r="H211" s="11" t="s">
        <v>1309</v>
      </c>
      <c r="I211" s="93" t="str">
        <f>VLOOKUP($H211, 'ADP Data'!$B$4:$Q$300, 2, FALSE)</f>
        <v>#N/A</v>
      </c>
      <c r="J211" s="11" t="s">
        <v>772</v>
      </c>
      <c r="K211" s="11" t="str">
        <f>VLOOKUP($H211, SeanRanks!$A$2:$H$303, 5, FALSE)</f>
        <v>#N/A</v>
      </c>
      <c r="L211" s="11" t="str">
        <f>IF(VLOOKUP($H211, SeanRanks!$A$2:$H$303, 6, FALSE)=0, "", VLOOKUP($H211, SeanRanks!$A$2:$H$303, 6, FALSE))</f>
        <v>#N/A</v>
      </c>
      <c r="M211" s="11">
        <f t="shared" si="3"/>
        <v>16</v>
      </c>
      <c r="N211" s="11" t="str">
        <f>VLOOKUP($H211, 'ADP Data'!$B$4:$Q$300, 10, FALSE)</f>
        <v>#N/A</v>
      </c>
      <c r="O211" s="11" t="str">
        <f>VLOOKUP($H211, 'ADP Data'!$B$4:$Q$300, 4, FALSE)</f>
        <v>#N/A</v>
      </c>
      <c r="P211" s="11" t="str">
        <f t="shared" si="4"/>
        <v>#N/A</v>
      </c>
      <c r="Q211" s="11" t="str">
        <f>VLOOKUP($H211, 'ADP Data'!$B$4:$Q$300, 5, FALSE)</f>
        <v>#N/A</v>
      </c>
      <c r="R211" s="11" t="str">
        <f>VLOOKUP($H211, 'ADP Data'!$B$4:$Q$300, 6, FALSE)</f>
        <v>#N/A</v>
      </c>
      <c r="S211" s="11" t="str">
        <f>VLOOKUP($H211, 'ADP Data'!$B$4:$Q$300, 7, FALSE)</f>
        <v>#N/A</v>
      </c>
      <c r="T211" s="11" t="str">
        <f>VLOOKUP($H211, 'ADP Data'!$B$4:$Q$300, 8, FALSE)</f>
        <v>#N/A</v>
      </c>
      <c r="U211" s="11" t="str">
        <f>VLOOKUP($H211, 'ADP Data'!$B$4:$Q$300, 9, FALSE)</f>
        <v>#N/A</v>
      </c>
      <c r="V211" s="11" t="str">
        <f t="shared" si="5"/>
        <v>#N/A</v>
      </c>
      <c r="W211" s="11" t="str">
        <f t="shared" si="6"/>
        <v>#N/A</v>
      </c>
      <c r="X211" s="11" t="str">
        <f>IF(VLOOKUP($H211, SeanRanks!$A$2:$H$303, 7, FALSE)=0, "", VLOOKUP($H211, SeanRanks!$A$2:$H$303, 7, FALSE))</f>
        <v>#N/A</v>
      </c>
    </row>
    <row r="212" ht="14.25" customHeight="1">
      <c r="A212" s="11"/>
      <c r="B212" s="11" t="str">
        <f t="shared" si="7"/>
        <v>#N/A</v>
      </c>
      <c r="C212" s="11" t="s">
        <v>106</v>
      </c>
      <c r="D212" s="11"/>
      <c r="E212" s="11"/>
      <c r="F212" s="11">
        <f t="shared" si="2"/>
        <v>0</v>
      </c>
      <c r="G212" s="11"/>
      <c r="H212" s="11" t="s">
        <v>481</v>
      </c>
      <c r="I212" s="11" t="str">
        <f>VLOOKUP($H212, 'ADP Data'!$B$4:$Q$300, 2, FALSE)</f>
        <v>#N/A</v>
      </c>
      <c r="J212" s="11" t="s">
        <v>770</v>
      </c>
      <c r="K212" s="11" t="str">
        <f>VLOOKUP($H212, SeanRanks!$A$2:$H$303, 5, FALSE)</f>
        <v/>
      </c>
      <c r="L212" s="11" t="str">
        <f>IF(VLOOKUP($H212, SeanRanks!$A$2:$H$303, 6, FALSE)=0, "", VLOOKUP($H212, SeanRanks!$A$2:$H$303, 6, FALSE))</f>
        <v>QB3 - League Winner?</v>
      </c>
      <c r="M212" s="11">
        <f t="shared" si="3"/>
        <v>16</v>
      </c>
      <c r="N212" s="11" t="str">
        <f>VLOOKUP($H212, 'ADP Data'!$B$4:$Q$300, 10, FALSE)</f>
        <v>#N/A</v>
      </c>
      <c r="O212" s="11" t="str">
        <f>VLOOKUP($H212, 'ADP Data'!$B$4:$Q$300, 4, FALSE)</f>
        <v>#N/A</v>
      </c>
      <c r="P212" s="11" t="str">
        <f t="shared" si="4"/>
        <v>#N/A</v>
      </c>
      <c r="Q212" s="11" t="str">
        <f>VLOOKUP($H212, 'ADP Data'!$B$4:$Q$300, 5, FALSE)</f>
        <v>#N/A</v>
      </c>
      <c r="R212" s="11" t="str">
        <f>VLOOKUP($H212, 'ADP Data'!$B$4:$Q$300, 6, FALSE)</f>
        <v>#N/A</v>
      </c>
      <c r="S212" s="11" t="str">
        <f>VLOOKUP($H212, 'ADP Data'!$B$4:$Q$300, 7, FALSE)</f>
        <v>#N/A</v>
      </c>
      <c r="T212" s="11" t="str">
        <f>VLOOKUP($H212, 'ADP Data'!$B$4:$Q$300, 8, FALSE)</f>
        <v>#N/A</v>
      </c>
      <c r="U212" s="11" t="str">
        <f>VLOOKUP($H212, 'ADP Data'!$B$4:$Q$300, 9, FALSE)</f>
        <v>#N/A</v>
      </c>
      <c r="V212" s="11" t="str">
        <f t="shared" si="5"/>
        <v>#N/A</v>
      </c>
      <c r="W212" s="11" t="str">
        <f t="shared" si="6"/>
        <v>#N/A</v>
      </c>
      <c r="X212" s="11">
        <f>IF(VLOOKUP($H212, SeanRanks!$A$2:$H$303, 7, FALSE)=0, "", VLOOKUP($H212, SeanRanks!$A$2:$H$303, 7, FALSE))</f>
        <v>21</v>
      </c>
    </row>
    <row r="213" ht="14.25" customHeight="1">
      <c r="A213" s="11"/>
      <c r="B213" s="11" t="str">
        <f t="shared" si="7"/>
        <v>#N/A</v>
      </c>
      <c r="C213" s="11" t="s">
        <v>106</v>
      </c>
      <c r="D213" s="11"/>
      <c r="E213" s="11"/>
      <c r="F213" s="11">
        <f t="shared" si="2"/>
        <v>0</v>
      </c>
      <c r="G213" s="11"/>
      <c r="H213" s="11" t="s">
        <v>1259</v>
      </c>
      <c r="I213" s="58" t="str">
        <f>VLOOKUP($H213, 'ADP Data'!$B$4:$Q$300, 2, FALSE)</f>
        <v>#N/A</v>
      </c>
      <c r="J213" s="11" t="s">
        <v>775</v>
      </c>
      <c r="K213" s="11" t="str">
        <f>VLOOKUP($H213, SeanRanks!$A$2:$H$303, 5, FALSE)</f>
        <v>#N/A</v>
      </c>
      <c r="L213" s="11" t="str">
        <f>IF(VLOOKUP($H213, SeanRanks!$A$2:$H$303, 6, FALSE)=0, "", VLOOKUP($H213, SeanRanks!$A$2:$H$303, 6, FALSE))</f>
        <v>#N/A</v>
      </c>
      <c r="M213" s="11">
        <f t="shared" si="3"/>
        <v>16</v>
      </c>
      <c r="N213" s="11" t="str">
        <f>VLOOKUP($H213, 'ADP Data'!$B$4:$Q$300, 10, FALSE)</f>
        <v>#N/A</v>
      </c>
      <c r="O213" s="11" t="str">
        <f>VLOOKUP($H213, 'ADP Data'!$B$4:$Q$300, 4, FALSE)</f>
        <v>#N/A</v>
      </c>
      <c r="P213" s="11" t="str">
        <f t="shared" si="4"/>
        <v>#N/A</v>
      </c>
      <c r="Q213" s="11" t="str">
        <f>VLOOKUP($H213, 'ADP Data'!$B$4:$Q$300, 5, FALSE)</f>
        <v>#N/A</v>
      </c>
      <c r="R213" s="11" t="str">
        <f>VLOOKUP($H213, 'ADP Data'!$B$4:$Q$300, 6, FALSE)</f>
        <v>#N/A</v>
      </c>
      <c r="S213" s="11" t="str">
        <f>VLOOKUP($H213, 'ADP Data'!$B$4:$Q$300, 7, FALSE)</f>
        <v>#N/A</v>
      </c>
      <c r="T213" s="11" t="str">
        <f>VLOOKUP($H213, 'ADP Data'!$B$4:$Q$300, 8, FALSE)</f>
        <v>#N/A</v>
      </c>
      <c r="U213" s="11" t="str">
        <f>VLOOKUP($H213, 'ADP Data'!$B$4:$Q$300, 9, FALSE)</f>
        <v>#N/A</v>
      </c>
      <c r="V213" s="11" t="str">
        <f t="shared" si="5"/>
        <v>#N/A</v>
      </c>
      <c r="W213" s="11" t="str">
        <f t="shared" si="6"/>
        <v>#N/A</v>
      </c>
      <c r="X213" s="11" t="str">
        <f>IF(VLOOKUP($H213, SeanRanks!$A$2:$H$303, 7, FALSE)=0, "", VLOOKUP($H213, SeanRanks!$A$2:$H$303, 7, FALSE))</f>
        <v>#N/A</v>
      </c>
    </row>
    <row r="214" ht="14.25" customHeight="1">
      <c r="A214" s="11"/>
      <c r="B214" s="11" t="str">
        <f t="shared" si="7"/>
        <v>#N/A</v>
      </c>
      <c r="C214" s="11" t="s">
        <v>106</v>
      </c>
      <c r="D214" s="11"/>
      <c r="E214" s="11"/>
      <c r="F214" s="11">
        <f t="shared" si="2"/>
        <v>0</v>
      </c>
      <c r="G214" s="11"/>
      <c r="H214" s="11" t="s">
        <v>902</v>
      </c>
      <c r="I214" s="11" t="str">
        <f>VLOOKUP($H214, 'ADP Data'!$B$4:$Q$300, 2, FALSE)</f>
        <v>#N/A</v>
      </c>
      <c r="J214" s="11" t="s">
        <v>785</v>
      </c>
      <c r="K214" s="11" t="str">
        <f>VLOOKUP($H214, SeanRanks!$A$2:$H$303, 5, FALSE)</f>
        <v>#N/A</v>
      </c>
      <c r="L214" s="11" t="str">
        <f>IF(VLOOKUP($H214, SeanRanks!$A$2:$H$303, 6, FALSE)=0, "", VLOOKUP($H214, SeanRanks!$A$2:$H$303, 6, FALSE))</f>
        <v>#N/A</v>
      </c>
      <c r="M214" s="11">
        <f t="shared" si="3"/>
        <v>16</v>
      </c>
      <c r="N214" s="11" t="str">
        <f>VLOOKUP($H214, 'ADP Data'!$B$4:$Q$300, 10, FALSE)</f>
        <v>#N/A</v>
      </c>
      <c r="O214" s="11" t="str">
        <f>VLOOKUP($H214, 'ADP Data'!$B$4:$Q$300, 4, FALSE)</f>
        <v>#N/A</v>
      </c>
      <c r="P214" s="11" t="str">
        <f t="shared" si="4"/>
        <v>#N/A</v>
      </c>
      <c r="Q214" s="11" t="str">
        <f>VLOOKUP($H214, 'ADP Data'!$B$4:$Q$300, 5, FALSE)</f>
        <v>#N/A</v>
      </c>
      <c r="R214" s="11" t="str">
        <f>VLOOKUP($H214, 'ADP Data'!$B$4:$Q$300, 6, FALSE)</f>
        <v>#N/A</v>
      </c>
      <c r="S214" s="11" t="str">
        <f>VLOOKUP($H214, 'ADP Data'!$B$4:$Q$300, 7, FALSE)</f>
        <v>#N/A</v>
      </c>
      <c r="T214" s="11" t="str">
        <f>VLOOKUP($H214, 'ADP Data'!$B$4:$Q$300, 8, FALSE)</f>
        <v>#N/A</v>
      </c>
      <c r="U214" s="11" t="str">
        <f>VLOOKUP($H214, 'ADP Data'!$B$4:$Q$300, 9, FALSE)</f>
        <v>#N/A</v>
      </c>
      <c r="V214" s="11" t="str">
        <f t="shared" si="5"/>
        <v>#N/A</v>
      </c>
      <c r="W214" s="11" t="str">
        <f t="shared" si="6"/>
        <v>#N/A</v>
      </c>
      <c r="X214" s="11" t="str">
        <f>IF(VLOOKUP($H214, SeanRanks!$A$2:$H$303, 7, FALSE)=0, "", VLOOKUP($H214, SeanRanks!$A$2:$H$303, 7, FALSE))</f>
        <v>#N/A</v>
      </c>
    </row>
    <row r="215" ht="14.25" customHeight="1">
      <c r="A215" s="11"/>
      <c r="B215" s="11" t="str">
        <f t="shared" si="7"/>
        <v>#N/A</v>
      </c>
      <c r="C215" s="11" t="s">
        <v>106</v>
      </c>
      <c r="D215" s="11"/>
      <c r="E215" s="11"/>
      <c r="F215" s="11">
        <f t="shared" si="2"/>
        <v>0</v>
      </c>
      <c r="G215" s="11"/>
      <c r="H215" s="11" t="s">
        <v>816</v>
      </c>
      <c r="I215" s="11" t="str">
        <f>VLOOKUP($H215, 'ADP Data'!$B$4:$Q$300, 2, FALSE)</f>
        <v>#N/A</v>
      </c>
      <c r="J215" s="11" t="s">
        <v>772</v>
      </c>
      <c r="K215" s="11" t="str">
        <f>VLOOKUP($H215, SeanRanks!$A$2:$H$303, 5, FALSE)</f>
        <v>#N/A</v>
      </c>
      <c r="L215" s="11" t="str">
        <f>IF(VLOOKUP($H215, SeanRanks!$A$2:$H$303, 6, FALSE)=0, "", VLOOKUP($H215, SeanRanks!$A$2:$H$303, 6, FALSE))</f>
        <v>#N/A</v>
      </c>
      <c r="M215" s="11">
        <f t="shared" si="3"/>
        <v>16</v>
      </c>
      <c r="N215" s="11" t="str">
        <f>VLOOKUP($H215, 'ADP Data'!$B$4:$Q$300, 10, FALSE)</f>
        <v>#N/A</v>
      </c>
      <c r="O215" s="11" t="str">
        <f>VLOOKUP($H215, 'ADP Data'!$B$4:$Q$300, 4, FALSE)</f>
        <v>#N/A</v>
      </c>
      <c r="P215" s="11" t="str">
        <f t="shared" si="4"/>
        <v>#N/A</v>
      </c>
      <c r="Q215" s="11" t="str">
        <f>VLOOKUP($H215, 'ADP Data'!$B$4:$Q$300, 5, FALSE)</f>
        <v>#N/A</v>
      </c>
      <c r="R215" s="11" t="str">
        <f>VLOOKUP($H215, 'ADP Data'!$B$4:$Q$300, 6, FALSE)</f>
        <v>#N/A</v>
      </c>
      <c r="S215" s="11" t="str">
        <f>VLOOKUP($H215, 'ADP Data'!$B$4:$Q$300, 7, FALSE)</f>
        <v>#N/A</v>
      </c>
      <c r="T215" s="11" t="str">
        <f>VLOOKUP($H215, 'ADP Data'!$B$4:$Q$300, 8, FALSE)</f>
        <v>#N/A</v>
      </c>
      <c r="U215" s="11" t="str">
        <f>VLOOKUP($H215, 'ADP Data'!$B$4:$Q$300, 9, FALSE)</f>
        <v>#N/A</v>
      </c>
      <c r="V215" s="11" t="str">
        <f t="shared" si="5"/>
        <v>#N/A</v>
      </c>
      <c r="W215" s="11" t="str">
        <f t="shared" si="6"/>
        <v>#N/A</v>
      </c>
      <c r="X215" s="11" t="str">
        <f>IF(VLOOKUP($H215, SeanRanks!$A$2:$H$303, 7, FALSE)=0, "", VLOOKUP($H215, SeanRanks!$A$2:$H$303, 7, FALSE))</f>
        <v>#N/A</v>
      </c>
    </row>
    <row r="216" ht="14.25" customHeight="1">
      <c r="A216" s="11"/>
      <c r="B216" s="11" t="str">
        <f t="shared" si="7"/>
        <v>#N/A</v>
      </c>
      <c r="C216" s="11" t="s">
        <v>106</v>
      </c>
      <c r="D216" s="11"/>
      <c r="E216" s="11"/>
      <c r="F216" s="11">
        <f t="shared" si="2"/>
        <v>0</v>
      </c>
      <c r="G216" s="11"/>
      <c r="H216" s="11" t="s">
        <v>566</v>
      </c>
      <c r="I216" s="11" t="str">
        <f>VLOOKUP($H216, 'ADP Data'!$B$4:$Q$300, 2, FALSE)</f>
        <v>#N/A</v>
      </c>
      <c r="J216" s="11" t="s">
        <v>772</v>
      </c>
      <c r="K216" s="11" t="str">
        <f>VLOOKUP($H216, SeanRanks!$A$2:$H$303, 5, FALSE)</f>
        <v/>
      </c>
      <c r="L216" s="11" t="str">
        <f>IF(VLOOKUP($H216, SeanRanks!$A$2:$H$303, 6, FALSE)=0, "", VLOOKUP($H216, SeanRanks!$A$2:$H$303, 6, FALSE))</f>
        <v/>
      </c>
      <c r="M216" s="11">
        <f t="shared" si="3"/>
        <v>16</v>
      </c>
      <c r="N216" s="11" t="str">
        <f>VLOOKUP($H216, 'ADP Data'!$B$4:$Q$300, 10, FALSE)</f>
        <v>#N/A</v>
      </c>
      <c r="O216" s="11" t="str">
        <f>VLOOKUP($H216, 'ADP Data'!$B$4:$Q$300, 4, FALSE)</f>
        <v>#N/A</v>
      </c>
      <c r="P216" s="11" t="str">
        <f t="shared" si="4"/>
        <v>#N/A</v>
      </c>
      <c r="Q216" s="11" t="str">
        <f>VLOOKUP($H216, 'ADP Data'!$B$4:$Q$300, 5, FALSE)</f>
        <v>#N/A</v>
      </c>
      <c r="R216" s="11" t="str">
        <f>VLOOKUP($H216, 'ADP Data'!$B$4:$Q$300, 6, FALSE)</f>
        <v>#N/A</v>
      </c>
      <c r="S216" s="11" t="str">
        <f>VLOOKUP($H216, 'ADP Data'!$B$4:$Q$300, 7, FALSE)</f>
        <v>#N/A</v>
      </c>
      <c r="T216" s="11" t="str">
        <f>VLOOKUP($H216, 'ADP Data'!$B$4:$Q$300, 8, FALSE)</f>
        <v>#N/A</v>
      </c>
      <c r="U216" s="11" t="str">
        <f>VLOOKUP($H216, 'ADP Data'!$B$4:$Q$300, 9, FALSE)</f>
        <v>#N/A</v>
      </c>
      <c r="V216" s="11" t="str">
        <f t="shared" si="5"/>
        <v>#N/A</v>
      </c>
      <c r="W216" s="11" t="str">
        <f t="shared" si="6"/>
        <v>#N/A</v>
      </c>
      <c r="X216" s="11" t="str">
        <f>IF(VLOOKUP($H216, SeanRanks!$A$2:$H$303, 7, FALSE)=0, "", VLOOKUP($H216, SeanRanks!$A$2:$H$303, 7, FALSE))</f>
        <v/>
      </c>
    </row>
    <row r="217" ht="14.25" customHeight="1">
      <c r="A217" s="11"/>
      <c r="B217" s="11" t="str">
        <f t="shared" si="7"/>
        <v>#N/A</v>
      </c>
      <c r="C217" s="11" t="s">
        <v>106</v>
      </c>
      <c r="D217" s="11"/>
      <c r="E217" s="11"/>
      <c r="F217" s="11">
        <f t="shared" si="2"/>
        <v>0</v>
      </c>
      <c r="G217" s="11"/>
      <c r="H217" s="11" t="s">
        <v>1311</v>
      </c>
      <c r="I217" s="11" t="str">
        <f>VLOOKUP($H217, 'ADP Data'!$B$4:$Q$300, 2, FALSE)</f>
        <v>#N/A</v>
      </c>
      <c r="J217" s="11" t="s">
        <v>772</v>
      </c>
      <c r="K217" s="11" t="str">
        <f>VLOOKUP($H217, SeanRanks!$A$2:$H$303, 5, FALSE)</f>
        <v>#N/A</v>
      </c>
      <c r="L217" s="11" t="str">
        <f>IF(VLOOKUP($H217, SeanRanks!$A$2:$H$303, 6, FALSE)=0, "", VLOOKUP($H217, SeanRanks!$A$2:$H$303, 6, FALSE))</f>
        <v>#N/A</v>
      </c>
      <c r="M217" s="11">
        <f t="shared" si="3"/>
        <v>16</v>
      </c>
      <c r="N217" s="11" t="str">
        <f>VLOOKUP($H217, 'ADP Data'!$B$4:$Q$300, 10, FALSE)</f>
        <v>#N/A</v>
      </c>
      <c r="O217" s="11" t="str">
        <f>VLOOKUP($H217, 'ADP Data'!$B$4:$Q$300, 4, FALSE)</f>
        <v>#N/A</v>
      </c>
      <c r="P217" s="11" t="str">
        <f t="shared" si="4"/>
        <v>#N/A</v>
      </c>
      <c r="Q217" s="11" t="str">
        <f>VLOOKUP($H217, 'ADP Data'!$B$4:$Q$300, 5, FALSE)</f>
        <v>#N/A</v>
      </c>
      <c r="R217" s="11" t="str">
        <f>VLOOKUP($H217, 'ADP Data'!$B$4:$Q$300, 6, FALSE)</f>
        <v>#N/A</v>
      </c>
      <c r="S217" s="11" t="str">
        <f>VLOOKUP($H217, 'ADP Data'!$B$4:$Q$300, 7, FALSE)</f>
        <v>#N/A</v>
      </c>
      <c r="T217" s="11" t="str">
        <f>VLOOKUP($H217, 'ADP Data'!$B$4:$Q$300, 8, FALSE)</f>
        <v>#N/A</v>
      </c>
      <c r="U217" s="11" t="str">
        <f>VLOOKUP($H217, 'ADP Data'!$B$4:$Q$300, 9, FALSE)</f>
        <v>#N/A</v>
      </c>
      <c r="V217" s="11" t="str">
        <f t="shared" si="5"/>
        <v>#N/A</v>
      </c>
      <c r="W217" s="11" t="str">
        <f t="shared" si="6"/>
        <v>#N/A</v>
      </c>
      <c r="X217" s="11" t="str">
        <f>IF(VLOOKUP($H217, SeanRanks!$A$2:$H$303, 7, FALSE)=0, "", VLOOKUP($H217, SeanRanks!$A$2:$H$303, 7, FALSE))</f>
        <v>#N/A</v>
      </c>
    </row>
    <row r="218" ht="14.25" customHeight="1">
      <c r="A218" s="11"/>
      <c r="B218" s="11" t="str">
        <f t="shared" si="7"/>
        <v>#N/A</v>
      </c>
      <c r="C218" s="11" t="s">
        <v>106</v>
      </c>
      <c r="D218" s="11"/>
      <c r="E218" s="11"/>
      <c r="F218" s="11">
        <f t="shared" si="2"/>
        <v>0</v>
      </c>
      <c r="G218" s="11"/>
      <c r="H218" s="11" t="s">
        <v>124</v>
      </c>
      <c r="I218" s="11" t="str">
        <f>VLOOKUP($H218, 'ADP Data'!$B$4:$Q$300, 2, FALSE)</f>
        <v>#N/A</v>
      </c>
      <c r="J218" s="11" t="s">
        <v>781</v>
      </c>
      <c r="K218" s="11" t="str">
        <f>VLOOKUP($H218, SeanRanks!$A$2:$H$303, 5, FALSE)</f>
        <v/>
      </c>
      <c r="L218" s="11" t="str">
        <f>IF(VLOOKUP($H218, SeanRanks!$A$2:$H$303, 6, FALSE)=0, "", VLOOKUP($H218, SeanRanks!$A$2:$H$303, 6, FALSE))</f>
        <v>TE1 - 1 - Elite</v>
      </c>
      <c r="M218" s="11">
        <f t="shared" si="3"/>
        <v>16</v>
      </c>
      <c r="N218" s="11" t="str">
        <f>VLOOKUP($H218, 'ADP Data'!$B$4:$Q$300, 10, FALSE)</f>
        <v>#N/A</v>
      </c>
      <c r="O218" s="11" t="str">
        <f>VLOOKUP($H218, 'ADP Data'!$B$4:$Q$300, 4, FALSE)</f>
        <v>#N/A</v>
      </c>
      <c r="P218" s="11" t="str">
        <f t="shared" si="4"/>
        <v>#N/A</v>
      </c>
      <c r="Q218" s="11" t="str">
        <f>VLOOKUP($H218, 'ADP Data'!$B$4:$Q$300, 5, FALSE)</f>
        <v>#N/A</v>
      </c>
      <c r="R218" s="11" t="str">
        <f>VLOOKUP($H218, 'ADP Data'!$B$4:$Q$300, 6, FALSE)</f>
        <v>#N/A</v>
      </c>
      <c r="S218" s="11" t="str">
        <f>VLOOKUP($H218, 'ADP Data'!$B$4:$Q$300, 7, FALSE)</f>
        <v>#N/A</v>
      </c>
      <c r="T218" s="11" t="str">
        <f>VLOOKUP($H218, 'ADP Data'!$B$4:$Q$300, 8, FALSE)</f>
        <v>#N/A</v>
      </c>
      <c r="U218" s="11" t="str">
        <f>VLOOKUP($H218, 'ADP Data'!$B$4:$Q$300, 9, FALSE)</f>
        <v>#N/A</v>
      </c>
      <c r="V218" s="11" t="str">
        <f t="shared" si="5"/>
        <v>#N/A</v>
      </c>
      <c r="W218" s="11" t="str">
        <f t="shared" si="6"/>
        <v>#N/A</v>
      </c>
      <c r="X218" s="11">
        <f>IF(VLOOKUP($H218, SeanRanks!$A$2:$H$303, 7, FALSE)=0, "", VLOOKUP($H218, SeanRanks!$A$2:$H$303, 7, FALSE))</f>
        <v>2</v>
      </c>
    </row>
    <row r="219" ht="14.25" customHeight="1">
      <c r="A219" s="11"/>
      <c r="B219" s="11" t="str">
        <f t="shared" si="7"/>
        <v>#N/A</v>
      </c>
      <c r="C219" s="11" t="s">
        <v>106</v>
      </c>
      <c r="D219" s="11"/>
      <c r="E219" s="11"/>
      <c r="F219" s="11">
        <f t="shared" si="2"/>
        <v>0</v>
      </c>
      <c r="G219" s="11"/>
      <c r="H219" s="11" t="s">
        <v>1219</v>
      </c>
      <c r="I219" s="11" t="str">
        <f>VLOOKUP($H219, 'ADP Data'!$B$4:$Q$300, 2, FALSE)</f>
        <v>#N/A</v>
      </c>
      <c r="J219" s="11" t="s">
        <v>781</v>
      </c>
      <c r="K219" s="11" t="str">
        <f>VLOOKUP($H219, SeanRanks!$A$2:$H$303, 5, FALSE)</f>
        <v>#N/A</v>
      </c>
      <c r="L219" s="11" t="str">
        <f>IF(VLOOKUP($H219, SeanRanks!$A$2:$H$303, 6, FALSE)=0, "", VLOOKUP($H219, SeanRanks!$A$2:$H$303, 6, FALSE))</f>
        <v>#N/A</v>
      </c>
      <c r="M219" s="11">
        <f t="shared" si="3"/>
        <v>16</v>
      </c>
      <c r="N219" s="11" t="str">
        <f>VLOOKUP($H219, 'ADP Data'!$B$4:$Q$300, 10, FALSE)</f>
        <v>#N/A</v>
      </c>
      <c r="O219" s="11" t="str">
        <f>VLOOKUP($H219, 'ADP Data'!$B$4:$Q$300, 4, FALSE)</f>
        <v>#N/A</v>
      </c>
      <c r="P219" s="11" t="str">
        <f t="shared" si="4"/>
        <v>#N/A</v>
      </c>
      <c r="Q219" s="11" t="str">
        <f>VLOOKUP($H219, 'ADP Data'!$B$4:$Q$300, 5, FALSE)</f>
        <v>#N/A</v>
      </c>
      <c r="R219" s="11" t="str">
        <f>VLOOKUP($H219, 'ADP Data'!$B$4:$Q$300, 6, FALSE)</f>
        <v>#N/A</v>
      </c>
      <c r="S219" s="11" t="str">
        <f>VLOOKUP($H219, 'ADP Data'!$B$4:$Q$300, 7, FALSE)</f>
        <v>#N/A</v>
      </c>
      <c r="T219" s="11" t="str">
        <f>VLOOKUP($H219, 'ADP Data'!$B$4:$Q$300, 8, FALSE)</f>
        <v>#N/A</v>
      </c>
      <c r="U219" s="11" t="str">
        <f>VLOOKUP($H219, 'ADP Data'!$B$4:$Q$300, 9, FALSE)</f>
        <v>#N/A</v>
      </c>
      <c r="V219" s="11" t="str">
        <f t="shared" si="5"/>
        <v>#N/A</v>
      </c>
      <c r="W219" s="11" t="str">
        <f t="shared" si="6"/>
        <v>#N/A</v>
      </c>
      <c r="X219" s="11" t="str">
        <f>IF(VLOOKUP($H219, SeanRanks!$A$2:$H$303, 7, FALSE)=0, "", VLOOKUP($H219, SeanRanks!$A$2:$H$303, 7, FALSE))</f>
        <v>#N/A</v>
      </c>
    </row>
    <row r="220" ht="14.25" customHeight="1">
      <c r="A220" s="11"/>
      <c r="B220" s="11" t="str">
        <f t="shared" si="7"/>
        <v>#N/A</v>
      </c>
      <c r="C220" s="11" t="s">
        <v>106</v>
      </c>
      <c r="D220" s="11"/>
      <c r="E220" s="11"/>
      <c r="F220" s="11">
        <f t="shared" si="2"/>
        <v>0</v>
      </c>
      <c r="G220" s="11"/>
      <c r="H220" s="11" t="s">
        <v>904</v>
      </c>
      <c r="I220" s="11" t="str">
        <f>VLOOKUP($H220, 'ADP Data'!$B$4:$Q$300, 2, FALSE)</f>
        <v>#N/A</v>
      </c>
      <c r="J220" s="11" t="s">
        <v>785</v>
      </c>
      <c r="K220" s="11" t="str">
        <f>VLOOKUP($H220, SeanRanks!$A$2:$H$303, 5, FALSE)</f>
        <v>#N/A</v>
      </c>
      <c r="L220" s="11" t="str">
        <f>IF(VLOOKUP($H220, SeanRanks!$A$2:$H$303, 6, FALSE)=0, "", VLOOKUP($H220, SeanRanks!$A$2:$H$303, 6, FALSE))</f>
        <v>#N/A</v>
      </c>
      <c r="M220" s="11">
        <f t="shared" si="3"/>
        <v>16</v>
      </c>
      <c r="N220" s="11" t="str">
        <f>VLOOKUP($H220, 'ADP Data'!$B$4:$Q$300, 10, FALSE)</f>
        <v>#N/A</v>
      </c>
      <c r="O220" s="11" t="str">
        <f>VLOOKUP($H220, 'ADP Data'!$B$4:$Q$300, 4, FALSE)</f>
        <v>#N/A</v>
      </c>
      <c r="P220" s="11" t="str">
        <f t="shared" si="4"/>
        <v>#N/A</v>
      </c>
      <c r="Q220" s="11" t="str">
        <f>VLOOKUP($H220, 'ADP Data'!$B$4:$Q$300, 5, FALSE)</f>
        <v>#N/A</v>
      </c>
      <c r="R220" s="11" t="str">
        <f>VLOOKUP($H220, 'ADP Data'!$B$4:$Q$300, 6, FALSE)</f>
        <v>#N/A</v>
      </c>
      <c r="S220" s="11" t="str">
        <f>VLOOKUP($H220, 'ADP Data'!$B$4:$Q$300, 7, FALSE)</f>
        <v>#N/A</v>
      </c>
      <c r="T220" s="11" t="str">
        <f>VLOOKUP($H220, 'ADP Data'!$B$4:$Q$300, 8, FALSE)</f>
        <v>#N/A</v>
      </c>
      <c r="U220" s="11" t="str">
        <f>VLOOKUP($H220, 'ADP Data'!$B$4:$Q$300, 9, FALSE)</f>
        <v>#N/A</v>
      </c>
      <c r="V220" s="11" t="str">
        <f t="shared" si="5"/>
        <v>#N/A</v>
      </c>
      <c r="W220" s="11" t="str">
        <f t="shared" si="6"/>
        <v>#N/A</v>
      </c>
      <c r="X220" s="11" t="str">
        <f>IF(VLOOKUP($H220, SeanRanks!$A$2:$H$303, 7, FALSE)=0, "", VLOOKUP($H220, SeanRanks!$A$2:$H$303, 7, FALSE))</f>
        <v>#N/A</v>
      </c>
    </row>
    <row r="221" ht="14.25" customHeight="1">
      <c r="A221" s="11"/>
      <c r="B221" s="11" t="str">
        <f t="shared" si="7"/>
        <v>#N/A</v>
      </c>
      <c r="C221" s="11" t="s">
        <v>106</v>
      </c>
      <c r="D221" s="11"/>
      <c r="E221" s="11"/>
      <c r="F221" s="11">
        <f t="shared" si="2"/>
        <v>0</v>
      </c>
      <c r="G221" s="11"/>
      <c r="H221" s="11" t="s">
        <v>659</v>
      </c>
      <c r="I221" s="58" t="str">
        <f>VLOOKUP($H221, 'ADP Data'!$B$4:$Q$300, 2, FALSE)</f>
        <v>#N/A</v>
      </c>
      <c r="J221" s="11" t="s">
        <v>784</v>
      </c>
      <c r="K221" s="11" t="str">
        <f>VLOOKUP($H221, SeanRanks!$A$2:$H$303, 5, FALSE)</f>
        <v/>
      </c>
      <c r="L221" s="11" t="str">
        <f>IF(VLOOKUP($H221, SeanRanks!$A$2:$H$303, 6, FALSE)=0, "", VLOOKUP($H221, SeanRanks!$A$2:$H$303, 6, FALSE))</f>
        <v/>
      </c>
      <c r="M221" s="11">
        <f t="shared" si="3"/>
        <v>16</v>
      </c>
      <c r="N221" s="11" t="str">
        <f>VLOOKUP($H221, 'ADP Data'!$B$4:$Q$300, 10, FALSE)</f>
        <v>#N/A</v>
      </c>
      <c r="O221" s="11" t="str">
        <f>VLOOKUP($H221, 'ADP Data'!$B$4:$Q$300, 4, FALSE)</f>
        <v>#N/A</v>
      </c>
      <c r="P221" s="11" t="str">
        <f t="shared" si="4"/>
        <v>#N/A</v>
      </c>
      <c r="Q221" s="11" t="str">
        <f>VLOOKUP($H221, 'ADP Data'!$B$4:$Q$300, 5, FALSE)</f>
        <v>#N/A</v>
      </c>
      <c r="R221" s="11" t="str">
        <f>VLOOKUP($H221, 'ADP Data'!$B$4:$Q$300, 6, FALSE)</f>
        <v>#N/A</v>
      </c>
      <c r="S221" s="11" t="str">
        <f>VLOOKUP($H221, 'ADP Data'!$B$4:$Q$300, 7, FALSE)</f>
        <v>#N/A</v>
      </c>
      <c r="T221" s="11" t="str">
        <f>VLOOKUP($H221, 'ADP Data'!$B$4:$Q$300, 8, FALSE)</f>
        <v>#N/A</v>
      </c>
      <c r="U221" s="11" t="str">
        <f>VLOOKUP($H221, 'ADP Data'!$B$4:$Q$300, 9, FALSE)</f>
        <v>#N/A</v>
      </c>
      <c r="V221" s="11" t="str">
        <f t="shared" si="5"/>
        <v>#N/A</v>
      </c>
      <c r="W221" s="11" t="str">
        <f t="shared" si="6"/>
        <v>#N/A</v>
      </c>
      <c r="X221" s="11" t="str">
        <f>IF(VLOOKUP($H221, SeanRanks!$A$2:$H$303, 7, FALSE)=0, "", VLOOKUP($H221, SeanRanks!$A$2:$H$303, 7, FALSE))</f>
        <v/>
      </c>
    </row>
    <row r="222" ht="14.25" customHeight="1">
      <c r="A222" s="11"/>
      <c r="B222" s="11" t="str">
        <f t="shared" si="7"/>
        <v>#N/A</v>
      </c>
      <c r="C222" s="11" t="s">
        <v>106</v>
      </c>
      <c r="D222" s="11"/>
      <c r="E222" s="11"/>
      <c r="F222" s="11">
        <f t="shared" si="2"/>
        <v>0</v>
      </c>
      <c r="G222" s="11"/>
      <c r="H222" s="11" t="s">
        <v>620</v>
      </c>
      <c r="I222" s="11" t="str">
        <f>VLOOKUP($H222, 'ADP Data'!$B$4:$Q$300, 2, FALSE)</f>
        <v>#N/A</v>
      </c>
      <c r="J222" s="11" t="s">
        <v>784</v>
      </c>
      <c r="K222" s="11" t="str">
        <f>VLOOKUP($H222, SeanRanks!$A$2:$H$303, 5, FALSE)</f>
        <v/>
      </c>
      <c r="L222" s="11" t="str">
        <f>IF(VLOOKUP($H222, SeanRanks!$A$2:$H$303, 6, FALSE)=0, "", VLOOKUP($H222, SeanRanks!$A$2:$H$303, 6, FALSE))</f>
        <v/>
      </c>
      <c r="M222" s="11">
        <f t="shared" si="3"/>
        <v>16</v>
      </c>
      <c r="N222" s="11" t="str">
        <f>VLOOKUP($H222, 'ADP Data'!$B$4:$Q$300, 10, FALSE)</f>
        <v>#N/A</v>
      </c>
      <c r="O222" s="11" t="str">
        <f>VLOOKUP($H222, 'ADP Data'!$B$4:$Q$300, 4, FALSE)</f>
        <v>#N/A</v>
      </c>
      <c r="P222" s="11" t="str">
        <f t="shared" si="4"/>
        <v>#N/A</v>
      </c>
      <c r="Q222" s="11" t="str">
        <f>VLOOKUP($H222, 'ADP Data'!$B$4:$Q$300, 5, FALSE)</f>
        <v>#N/A</v>
      </c>
      <c r="R222" s="11" t="str">
        <f>VLOOKUP($H222, 'ADP Data'!$B$4:$Q$300, 6, FALSE)</f>
        <v>#N/A</v>
      </c>
      <c r="S222" s="11" t="str">
        <f>VLOOKUP($H222, 'ADP Data'!$B$4:$Q$300, 7, FALSE)</f>
        <v>#N/A</v>
      </c>
      <c r="T222" s="11" t="str">
        <f>VLOOKUP($H222, 'ADP Data'!$B$4:$Q$300, 8, FALSE)</f>
        <v>#N/A</v>
      </c>
      <c r="U222" s="11" t="str">
        <f>VLOOKUP($H222, 'ADP Data'!$B$4:$Q$300, 9, FALSE)</f>
        <v>#N/A</v>
      </c>
      <c r="V222" s="11" t="str">
        <f t="shared" si="5"/>
        <v>#N/A</v>
      </c>
      <c r="W222" s="11" t="str">
        <f t="shared" si="6"/>
        <v>#N/A</v>
      </c>
      <c r="X222" s="11" t="str">
        <f>IF(VLOOKUP($H222, SeanRanks!$A$2:$H$303, 7, FALSE)=0, "", VLOOKUP($H222, SeanRanks!$A$2:$H$303, 7, FALSE))</f>
        <v/>
      </c>
    </row>
    <row r="223" ht="14.25" customHeight="1">
      <c r="A223" s="11"/>
      <c r="B223" s="11" t="str">
        <f t="shared" si="7"/>
        <v>#N/A</v>
      </c>
      <c r="C223" s="11" t="s">
        <v>106</v>
      </c>
      <c r="D223" s="11"/>
      <c r="E223" s="11"/>
      <c r="F223" s="11">
        <f t="shared" si="2"/>
        <v>0</v>
      </c>
      <c r="G223" s="11"/>
      <c r="H223" s="11" t="s">
        <v>424</v>
      </c>
      <c r="I223" s="11" t="str">
        <f>VLOOKUP($H223, 'ADP Data'!$B$4:$Q$300, 2, FALSE)</f>
        <v>#N/A</v>
      </c>
      <c r="J223" s="11" t="s">
        <v>770</v>
      </c>
      <c r="K223" s="11" t="str">
        <f>VLOOKUP($H223, SeanRanks!$A$2:$H$303, 5, FALSE)</f>
        <v/>
      </c>
      <c r="L223" s="11" t="str">
        <f>IF(VLOOKUP($H223, SeanRanks!$A$2:$H$303, 6, FALSE)=0, "", VLOOKUP($H223, SeanRanks!$A$2:$H$303, 6, FALSE))</f>
        <v>QB2 - 2 - Not League Winner</v>
      </c>
      <c r="M223" s="11">
        <f t="shared" si="3"/>
        <v>16</v>
      </c>
      <c r="N223" s="11" t="str">
        <f>VLOOKUP($H223, 'ADP Data'!$B$4:$Q$300, 10, FALSE)</f>
        <v>#N/A</v>
      </c>
      <c r="O223" s="11" t="str">
        <f>VLOOKUP($H223, 'ADP Data'!$B$4:$Q$300, 4, FALSE)</f>
        <v>#N/A</v>
      </c>
      <c r="P223" s="11" t="str">
        <f t="shared" si="4"/>
        <v>#N/A</v>
      </c>
      <c r="Q223" s="11" t="str">
        <f>VLOOKUP($H223, 'ADP Data'!$B$4:$Q$300, 5, FALSE)</f>
        <v>#N/A</v>
      </c>
      <c r="R223" s="11" t="str">
        <f>VLOOKUP($H223, 'ADP Data'!$B$4:$Q$300, 6, FALSE)</f>
        <v>#N/A</v>
      </c>
      <c r="S223" s="11" t="str">
        <f>VLOOKUP($H223, 'ADP Data'!$B$4:$Q$300, 7, FALSE)</f>
        <v>#N/A</v>
      </c>
      <c r="T223" s="11" t="str">
        <f>VLOOKUP($H223, 'ADP Data'!$B$4:$Q$300, 8, FALSE)</f>
        <v>#N/A</v>
      </c>
      <c r="U223" s="11" t="str">
        <f>VLOOKUP($H223, 'ADP Data'!$B$4:$Q$300, 9, FALSE)</f>
        <v>#N/A</v>
      </c>
      <c r="V223" s="11" t="str">
        <f t="shared" si="5"/>
        <v>#N/A</v>
      </c>
      <c r="W223" s="11" t="str">
        <f t="shared" si="6"/>
        <v>#N/A</v>
      </c>
      <c r="X223" s="11">
        <f>IF(VLOOKUP($H223, SeanRanks!$A$2:$H$303, 7, FALSE)=0, "", VLOOKUP($H223, SeanRanks!$A$2:$H$303, 7, FALSE))</f>
        <v>18</v>
      </c>
    </row>
    <row r="224" ht="14.25" customHeight="1">
      <c r="A224" s="11"/>
      <c r="B224" s="11" t="str">
        <f t="shared" si="7"/>
        <v>#N/A</v>
      </c>
      <c r="C224" s="11" t="s">
        <v>106</v>
      </c>
      <c r="D224" s="11"/>
      <c r="E224" s="11"/>
      <c r="F224" s="11">
        <f t="shared" si="2"/>
        <v>0</v>
      </c>
      <c r="G224" s="11"/>
      <c r="H224" s="11" t="s">
        <v>987</v>
      </c>
      <c r="I224" s="11" t="str">
        <f>VLOOKUP($H224, 'ADP Data'!$B$4:$Q$300, 2, FALSE)</f>
        <v>#N/A</v>
      </c>
      <c r="J224" s="11" t="s">
        <v>781</v>
      </c>
      <c r="K224" s="11" t="str">
        <f>VLOOKUP($H224, SeanRanks!$A$2:$H$303, 5, FALSE)</f>
        <v>#N/A</v>
      </c>
      <c r="L224" s="11" t="str">
        <f>IF(VLOOKUP($H224, SeanRanks!$A$2:$H$303, 6, FALSE)=0, "", VLOOKUP($H224, SeanRanks!$A$2:$H$303, 6, FALSE))</f>
        <v>#N/A</v>
      </c>
      <c r="M224" s="11">
        <f t="shared" si="3"/>
        <v>16</v>
      </c>
      <c r="N224" s="11" t="str">
        <f>VLOOKUP($H224, 'ADP Data'!$B$4:$Q$300, 10, FALSE)</f>
        <v>#N/A</v>
      </c>
      <c r="O224" s="11" t="str">
        <f>VLOOKUP($H224, 'ADP Data'!$B$4:$Q$300, 4, FALSE)</f>
        <v>#N/A</v>
      </c>
      <c r="P224" s="11" t="str">
        <f t="shared" si="4"/>
        <v>#N/A</v>
      </c>
      <c r="Q224" s="11" t="str">
        <f>VLOOKUP($H224, 'ADP Data'!$B$4:$Q$300, 5, FALSE)</f>
        <v>#N/A</v>
      </c>
      <c r="R224" s="11" t="str">
        <f>VLOOKUP($H224, 'ADP Data'!$B$4:$Q$300, 6, FALSE)</f>
        <v>#N/A</v>
      </c>
      <c r="S224" s="11" t="str">
        <f>VLOOKUP($H224, 'ADP Data'!$B$4:$Q$300, 7, FALSE)</f>
        <v>#N/A</v>
      </c>
      <c r="T224" s="11" t="str">
        <f>VLOOKUP($H224, 'ADP Data'!$B$4:$Q$300, 8, FALSE)</f>
        <v>#N/A</v>
      </c>
      <c r="U224" s="11" t="str">
        <f>VLOOKUP($H224, 'ADP Data'!$B$4:$Q$300, 9, FALSE)</f>
        <v>#N/A</v>
      </c>
      <c r="V224" s="11" t="str">
        <f t="shared" si="5"/>
        <v>#N/A</v>
      </c>
      <c r="W224" s="11" t="str">
        <f t="shared" si="6"/>
        <v>#N/A</v>
      </c>
      <c r="X224" s="11" t="str">
        <f>IF(VLOOKUP($H224, SeanRanks!$A$2:$H$303, 7, FALSE)=0, "", VLOOKUP($H224, SeanRanks!$A$2:$H$303, 7, FALSE))</f>
        <v>#N/A</v>
      </c>
    </row>
    <row r="225" ht="14.25" customHeight="1">
      <c r="A225" s="11"/>
      <c r="B225" s="11" t="str">
        <f t="shared" si="7"/>
        <v>#N/A</v>
      </c>
      <c r="C225" s="11" t="s">
        <v>106</v>
      </c>
      <c r="D225" s="11"/>
      <c r="E225" s="11"/>
      <c r="F225" s="11">
        <f t="shared" si="2"/>
        <v>0</v>
      </c>
      <c r="G225" s="11"/>
      <c r="H225" s="11" t="s">
        <v>645</v>
      </c>
      <c r="I225" s="11" t="str">
        <f>VLOOKUP($H225, 'ADP Data'!$B$4:$Q$300, 2, FALSE)</f>
        <v>#N/A</v>
      </c>
      <c r="J225" s="11" t="s">
        <v>781</v>
      </c>
      <c r="K225" s="11" t="str">
        <f>VLOOKUP($H225, SeanRanks!$A$2:$H$303, 5, FALSE)</f>
        <v/>
      </c>
      <c r="L225" s="11" t="str">
        <f>IF(VLOOKUP($H225, SeanRanks!$A$2:$H$303, 6, FALSE)=0, "", VLOOKUP($H225, SeanRanks!$A$2:$H$303, 6, FALSE))</f>
        <v/>
      </c>
      <c r="M225" s="11">
        <f t="shared" si="3"/>
        <v>16</v>
      </c>
      <c r="N225" s="11" t="str">
        <f>VLOOKUP($H225, 'ADP Data'!$B$4:$Q$300, 10, FALSE)</f>
        <v>#N/A</v>
      </c>
      <c r="O225" s="11" t="str">
        <f>VLOOKUP($H225, 'ADP Data'!$B$4:$Q$300, 4, FALSE)</f>
        <v>#N/A</v>
      </c>
      <c r="P225" s="11" t="str">
        <f t="shared" si="4"/>
        <v>#N/A</v>
      </c>
      <c r="Q225" s="11" t="str">
        <f>VLOOKUP($H225, 'ADP Data'!$B$4:$Q$300, 5, FALSE)</f>
        <v>#N/A</v>
      </c>
      <c r="R225" s="11" t="str">
        <f>VLOOKUP($H225, 'ADP Data'!$B$4:$Q$300, 6, FALSE)</f>
        <v>#N/A</v>
      </c>
      <c r="S225" s="11" t="str">
        <f>VLOOKUP($H225, 'ADP Data'!$B$4:$Q$300, 7, FALSE)</f>
        <v>#N/A</v>
      </c>
      <c r="T225" s="11" t="str">
        <f>VLOOKUP($H225, 'ADP Data'!$B$4:$Q$300, 8, FALSE)</f>
        <v>#N/A</v>
      </c>
      <c r="U225" s="11" t="str">
        <f>VLOOKUP($H225, 'ADP Data'!$B$4:$Q$300, 9, FALSE)</f>
        <v>#N/A</v>
      </c>
      <c r="V225" s="11" t="str">
        <f t="shared" si="5"/>
        <v>#N/A</v>
      </c>
      <c r="W225" s="11" t="str">
        <f t="shared" si="6"/>
        <v>#N/A</v>
      </c>
      <c r="X225" s="11" t="str">
        <f>IF(VLOOKUP($H225, SeanRanks!$A$2:$H$303, 7, FALSE)=0, "", VLOOKUP($H225, SeanRanks!$A$2:$H$303, 7, FALSE))</f>
        <v/>
      </c>
    </row>
    <row r="226" ht="14.25" customHeight="1">
      <c r="A226" s="11"/>
      <c r="B226" s="11" t="str">
        <f t="shared" si="7"/>
        <v>#N/A</v>
      </c>
      <c r="C226" s="11" t="s">
        <v>106</v>
      </c>
      <c r="D226" s="11"/>
      <c r="E226" s="11"/>
      <c r="F226" s="11">
        <f t="shared" si="2"/>
        <v>0</v>
      </c>
      <c r="G226" s="11"/>
      <c r="H226" s="11" t="s">
        <v>905</v>
      </c>
      <c r="I226" s="11" t="str">
        <f>VLOOKUP($H226, 'ADP Data'!$B$4:$Q$300, 2, FALSE)</f>
        <v>#N/A</v>
      </c>
      <c r="J226" s="11" t="s">
        <v>781</v>
      </c>
      <c r="K226" s="11" t="str">
        <f>VLOOKUP($H226, SeanRanks!$A$2:$H$303, 5, FALSE)</f>
        <v/>
      </c>
      <c r="L226" s="11" t="str">
        <f>IF(VLOOKUP($H226, SeanRanks!$A$2:$H$303, 6, FALSE)=0, "", VLOOKUP($H226, SeanRanks!$A$2:$H$303, 6, FALSE))</f>
        <v/>
      </c>
      <c r="M226" s="11">
        <f t="shared" si="3"/>
        <v>16</v>
      </c>
      <c r="N226" s="11" t="str">
        <f>VLOOKUP($H226, 'ADP Data'!$B$4:$Q$300, 10, FALSE)</f>
        <v>#N/A</v>
      </c>
      <c r="O226" s="11" t="str">
        <f>VLOOKUP($H226, 'ADP Data'!$B$4:$Q$300, 4, FALSE)</f>
        <v>#N/A</v>
      </c>
      <c r="P226" s="11" t="str">
        <f t="shared" si="4"/>
        <v>#N/A</v>
      </c>
      <c r="Q226" s="11" t="str">
        <f>VLOOKUP($H226, 'ADP Data'!$B$4:$Q$300, 5, FALSE)</f>
        <v>#N/A</v>
      </c>
      <c r="R226" s="11" t="str">
        <f>VLOOKUP($H226, 'ADP Data'!$B$4:$Q$300, 6, FALSE)</f>
        <v>#N/A</v>
      </c>
      <c r="S226" s="11" t="str">
        <f>VLOOKUP($H226, 'ADP Data'!$B$4:$Q$300, 7, FALSE)</f>
        <v>#N/A</v>
      </c>
      <c r="T226" s="11" t="str">
        <f>VLOOKUP($H226, 'ADP Data'!$B$4:$Q$300, 8, FALSE)</f>
        <v>#N/A</v>
      </c>
      <c r="U226" s="11" t="str">
        <f>VLOOKUP($H226, 'ADP Data'!$B$4:$Q$300, 9, FALSE)</f>
        <v>#N/A</v>
      </c>
      <c r="V226" s="11" t="str">
        <f t="shared" si="5"/>
        <v>#N/A</v>
      </c>
      <c r="W226" s="11" t="str">
        <f t="shared" si="6"/>
        <v>#N/A</v>
      </c>
      <c r="X226" s="11" t="str">
        <f>IF(VLOOKUP($H226, SeanRanks!$A$2:$H$303, 7, FALSE)=0, "", VLOOKUP($H226, SeanRanks!$A$2:$H$303, 7, FALSE))</f>
        <v/>
      </c>
    </row>
    <row r="227" ht="14.25" customHeight="1">
      <c r="A227" s="11"/>
      <c r="B227" s="11" t="str">
        <f t="shared" si="7"/>
        <v>#N/A</v>
      </c>
      <c r="C227" s="11" t="s">
        <v>106</v>
      </c>
      <c r="D227" s="11"/>
      <c r="E227" s="11"/>
      <c r="F227" s="11">
        <f t="shared" si="2"/>
        <v>0</v>
      </c>
      <c r="G227" s="11"/>
      <c r="H227" s="11" t="s">
        <v>1133</v>
      </c>
      <c r="I227" s="11" t="str">
        <f>VLOOKUP($H227, 'ADP Data'!$B$4:$Q$300, 2, FALSE)</f>
        <v>#N/A</v>
      </c>
      <c r="J227" s="11" t="s">
        <v>772</v>
      </c>
      <c r="K227" s="11" t="str">
        <f>VLOOKUP($H227, SeanRanks!$A$2:$H$303, 5, FALSE)</f>
        <v>#N/A</v>
      </c>
      <c r="L227" s="11" t="str">
        <f>IF(VLOOKUP($H227, SeanRanks!$A$2:$H$303, 6, FALSE)=0, "", VLOOKUP($H227, SeanRanks!$A$2:$H$303, 6, FALSE))</f>
        <v>#N/A</v>
      </c>
      <c r="M227" s="11">
        <f t="shared" si="3"/>
        <v>16</v>
      </c>
      <c r="N227" s="11" t="str">
        <f>VLOOKUP($H227, 'ADP Data'!$B$4:$Q$300, 10, FALSE)</f>
        <v>#N/A</v>
      </c>
      <c r="O227" s="11" t="str">
        <f>VLOOKUP($H227, 'ADP Data'!$B$4:$Q$300, 4, FALSE)</f>
        <v>#N/A</v>
      </c>
      <c r="P227" s="11" t="str">
        <f t="shared" si="4"/>
        <v>#N/A</v>
      </c>
      <c r="Q227" s="11" t="str">
        <f>VLOOKUP($H227, 'ADP Data'!$B$4:$Q$300, 5, FALSE)</f>
        <v>#N/A</v>
      </c>
      <c r="R227" s="11" t="str">
        <f>VLOOKUP($H227, 'ADP Data'!$B$4:$Q$300, 6, FALSE)</f>
        <v>#N/A</v>
      </c>
      <c r="S227" s="11" t="str">
        <f>VLOOKUP($H227, 'ADP Data'!$B$4:$Q$300, 7, FALSE)</f>
        <v>#N/A</v>
      </c>
      <c r="T227" s="11" t="str">
        <f>VLOOKUP($H227, 'ADP Data'!$B$4:$Q$300, 8, FALSE)</f>
        <v>#N/A</v>
      </c>
      <c r="U227" s="11" t="str">
        <f>VLOOKUP($H227, 'ADP Data'!$B$4:$Q$300, 9, FALSE)</f>
        <v>#N/A</v>
      </c>
      <c r="V227" s="11" t="str">
        <f t="shared" si="5"/>
        <v>#N/A</v>
      </c>
      <c r="W227" s="11" t="str">
        <f t="shared" si="6"/>
        <v>#N/A</v>
      </c>
      <c r="X227" s="11" t="str">
        <f>IF(VLOOKUP($H227, SeanRanks!$A$2:$H$303, 7, FALSE)=0, "", VLOOKUP($H227, SeanRanks!$A$2:$H$303, 7, FALSE))</f>
        <v>#N/A</v>
      </c>
    </row>
    <row r="228" ht="14.25" customHeight="1">
      <c r="A228" s="11"/>
      <c r="B228" s="11" t="str">
        <f t="shared" si="7"/>
        <v>#N/A</v>
      </c>
      <c r="C228" s="11" t="s">
        <v>106</v>
      </c>
      <c r="D228" s="11"/>
      <c r="E228" s="11"/>
      <c r="F228" s="11">
        <f t="shared" si="2"/>
        <v>0</v>
      </c>
      <c r="G228" s="11"/>
      <c r="H228" s="11" t="s">
        <v>1172</v>
      </c>
      <c r="I228" s="11" t="str">
        <f>VLOOKUP($H228, 'ADP Data'!$B$4:$Q$300, 2, FALSE)</f>
        <v>#N/A</v>
      </c>
      <c r="J228" s="11" t="s">
        <v>775</v>
      </c>
      <c r="K228" s="11" t="str">
        <f>VLOOKUP($H228, SeanRanks!$A$2:$H$303, 5, FALSE)</f>
        <v>#N/A</v>
      </c>
      <c r="L228" s="11" t="str">
        <f>IF(VLOOKUP($H228, SeanRanks!$A$2:$H$303, 6, FALSE)=0, "", VLOOKUP($H228, SeanRanks!$A$2:$H$303, 6, FALSE))</f>
        <v>#N/A</v>
      </c>
      <c r="M228" s="11">
        <f t="shared" si="3"/>
        <v>16</v>
      </c>
      <c r="N228" s="11" t="str">
        <f>VLOOKUP($H228, 'ADP Data'!$B$4:$Q$300, 10, FALSE)</f>
        <v>#N/A</v>
      </c>
      <c r="O228" s="11" t="str">
        <f>VLOOKUP($H228, 'ADP Data'!$B$4:$Q$300, 4, FALSE)</f>
        <v>#N/A</v>
      </c>
      <c r="P228" s="11" t="str">
        <f t="shared" si="4"/>
        <v>#N/A</v>
      </c>
      <c r="Q228" s="11" t="str">
        <f>VLOOKUP($H228, 'ADP Data'!$B$4:$Q$300, 5, FALSE)</f>
        <v>#N/A</v>
      </c>
      <c r="R228" s="11" t="str">
        <f>VLOOKUP($H228, 'ADP Data'!$B$4:$Q$300, 6, FALSE)</f>
        <v>#N/A</v>
      </c>
      <c r="S228" s="11" t="str">
        <f>VLOOKUP($H228, 'ADP Data'!$B$4:$Q$300, 7, FALSE)</f>
        <v>#N/A</v>
      </c>
      <c r="T228" s="11" t="str">
        <f>VLOOKUP($H228, 'ADP Data'!$B$4:$Q$300, 8, FALSE)</f>
        <v>#N/A</v>
      </c>
      <c r="U228" s="11" t="str">
        <f>VLOOKUP($H228, 'ADP Data'!$B$4:$Q$300, 9, FALSE)</f>
        <v>#N/A</v>
      </c>
      <c r="V228" s="11" t="str">
        <f t="shared" si="5"/>
        <v>#N/A</v>
      </c>
      <c r="W228" s="11" t="str">
        <f t="shared" si="6"/>
        <v>#N/A</v>
      </c>
      <c r="X228" s="11" t="str">
        <f>IF(VLOOKUP($H228, SeanRanks!$A$2:$H$303, 7, FALSE)=0, "", VLOOKUP($H228, SeanRanks!$A$2:$H$303, 7, FALSE))</f>
        <v>#N/A</v>
      </c>
    </row>
    <row r="229" ht="14.25" customHeight="1">
      <c r="A229" s="11"/>
      <c r="B229" s="11" t="str">
        <f t="shared" si="7"/>
        <v>#N/A</v>
      </c>
      <c r="C229" s="11" t="s">
        <v>106</v>
      </c>
      <c r="D229" s="11"/>
      <c r="E229" s="11"/>
      <c r="F229" s="11">
        <f t="shared" si="2"/>
        <v>0</v>
      </c>
      <c r="G229" s="11"/>
      <c r="H229" s="11" t="s">
        <v>707</v>
      </c>
      <c r="I229" s="11" t="str">
        <f>VLOOKUP($H229, 'ADP Data'!$B$4:$Q$300, 2, FALSE)</f>
        <v>#N/A</v>
      </c>
      <c r="J229" s="11" t="s">
        <v>781</v>
      </c>
      <c r="K229" s="11" t="str">
        <f>VLOOKUP($H229, SeanRanks!$A$2:$H$303, 5, FALSE)</f>
        <v>#N/A</v>
      </c>
      <c r="L229" s="11" t="str">
        <f>IF(VLOOKUP($H229, SeanRanks!$A$2:$H$303, 6, FALSE)=0, "", VLOOKUP($H229, SeanRanks!$A$2:$H$303, 6, FALSE))</f>
        <v>#N/A</v>
      </c>
      <c r="M229" s="11">
        <f t="shared" si="3"/>
        <v>16</v>
      </c>
      <c r="N229" s="11" t="str">
        <f>VLOOKUP($H229, 'ADP Data'!$B$4:$Q$300, 10, FALSE)</f>
        <v>#N/A</v>
      </c>
      <c r="O229" s="11" t="str">
        <f>VLOOKUP($H229, 'ADP Data'!$B$4:$Q$300, 4, FALSE)</f>
        <v>#N/A</v>
      </c>
      <c r="P229" s="11" t="str">
        <f t="shared" si="4"/>
        <v>#N/A</v>
      </c>
      <c r="Q229" s="11" t="str">
        <f>VLOOKUP($H229, 'ADP Data'!$B$4:$Q$300, 5, FALSE)</f>
        <v>#N/A</v>
      </c>
      <c r="R229" s="11" t="str">
        <f>VLOOKUP($H229, 'ADP Data'!$B$4:$Q$300, 6, FALSE)</f>
        <v>#N/A</v>
      </c>
      <c r="S229" s="11" t="str">
        <f>VLOOKUP($H229, 'ADP Data'!$B$4:$Q$300, 7, FALSE)</f>
        <v>#N/A</v>
      </c>
      <c r="T229" s="11" t="str">
        <f>VLOOKUP($H229, 'ADP Data'!$B$4:$Q$300, 8, FALSE)</f>
        <v>#N/A</v>
      </c>
      <c r="U229" s="11" t="str">
        <f>VLOOKUP($H229, 'ADP Data'!$B$4:$Q$300, 9, FALSE)</f>
        <v>#N/A</v>
      </c>
      <c r="V229" s="11" t="str">
        <f t="shared" si="5"/>
        <v>#N/A</v>
      </c>
      <c r="W229" s="11" t="str">
        <f t="shared" si="6"/>
        <v>#N/A</v>
      </c>
      <c r="X229" s="11" t="str">
        <f>IF(VLOOKUP($H229, SeanRanks!$A$2:$H$303, 7, FALSE)=0, "", VLOOKUP($H229, SeanRanks!$A$2:$H$303, 7, FALSE))</f>
        <v>#N/A</v>
      </c>
    </row>
    <row r="230" ht="14.25" customHeight="1">
      <c r="A230" s="11"/>
      <c r="B230" s="11" t="str">
        <f t="shared" si="7"/>
        <v>#N/A</v>
      </c>
      <c r="C230" s="11" t="s">
        <v>106</v>
      </c>
      <c r="D230" s="11"/>
      <c r="E230" s="11"/>
      <c r="F230" s="11">
        <f t="shared" si="2"/>
        <v>0</v>
      </c>
      <c r="G230" s="11"/>
      <c r="H230" s="11" t="s">
        <v>315</v>
      </c>
      <c r="I230" s="11" t="str">
        <f>VLOOKUP($H230, 'ADP Data'!$B$4:$Q$300, 2, FALSE)</f>
        <v>#N/A</v>
      </c>
      <c r="J230" s="11" t="s">
        <v>770</v>
      </c>
      <c r="K230" s="11" t="str">
        <f>VLOOKUP($H230, SeanRanks!$A$2:$H$303, 5, FALSE)</f>
        <v/>
      </c>
      <c r="L230" s="11" t="str">
        <f>IF(VLOOKUP($H230, SeanRanks!$A$2:$H$303, 6, FALSE)=0, "", VLOOKUP($H230, SeanRanks!$A$2:$H$303, 6, FALSE))</f>
        <v>QB1 - 4 - Weekly Start</v>
      </c>
      <c r="M230" s="11">
        <f t="shared" si="3"/>
        <v>16</v>
      </c>
      <c r="N230" s="11" t="str">
        <f>VLOOKUP($H230, 'ADP Data'!$B$4:$Q$300, 10, FALSE)</f>
        <v>#N/A</v>
      </c>
      <c r="O230" s="11" t="str">
        <f>VLOOKUP($H230, 'ADP Data'!$B$4:$Q$300, 4, FALSE)</f>
        <v>#N/A</v>
      </c>
      <c r="P230" s="11" t="str">
        <f t="shared" si="4"/>
        <v>#N/A</v>
      </c>
      <c r="Q230" s="11" t="str">
        <f>VLOOKUP($H230, 'ADP Data'!$B$4:$Q$300, 5, FALSE)</f>
        <v>#N/A</v>
      </c>
      <c r="R230" s="11" t="str">
        <f>VLOOKUP($H230, 'ADP Data'!$B$4:$Q$300, 6, FALSE)</f>
        <v>#N/A</v>
      </c>
      <c r="S230" s="11" t="str">
        <f>VLOOKUP($H230, 'ADP Data'!$B$4:$Q$300, 7, FALSE)</f>
        <v>#N/A</v>
      </c>
      <c r="T230" s="11" t="str">
        <f>VLOOKUP($H230, 'ADP Data'!$B$4:$Q$300, 8, FALSE)</f>
        <v>#N/A</v>
      </c>
      <c r="U230" s="11" t="str">
        <f>VLOOKUP($H230, 'ADP Data'!$B$4:$Q$300, 9, FALSE)</f>
        <v>#N/A</v>
      </c>
      <c r="V230" s="11" t="str">
        <f t="shared" si="5"/>
        <v>#N/A</v>
      </c>
      <c r="W230" s="11" t="str">
        <f t="shared" si="6"/>
        <v>#N/A</v>
      </c>
      <c r="X230" s="11">
        <f>IF(VLOOKUP($H230, SeanRanks!$A$2:$H$303, 7, FALSE)=0, "", VLOOKUP($H230, SeanRanks!$A$2:$H$303, 7, FALSE))</f>
        <v>12</v>
      </c>
    </row>
    <row r="231" ht="14.25" customHeight="1">
      <c r="A231" s="11"/>
      <c r="B231" s="11" t="str">
        <f t="shared" si="7"/>
        <v>#N/A</v>
      </c>
      <c r="C231" s="11" t="s">
        <v>106</v>
      </c>
      <c r="D231" s="11"/>
      <c r="E231" s="11"/>
      <c r="F231" s="11">
        <f t="shared" si="2"/>
        <v>0</v>
      </c>
      <c r="G231" s="11"/>
      <c r="H231" s="11" t="s">
        <v>1233</v>
      </c>
      <c r="I231" s="93" t="str">
        <f>VLOOKUP($H231, 'ADP Data'!$B$4:$Q$300, 2, FALSE)</f>
        <v>#N/A</v>
      </c>
      <c r="J231" s="11" t="s">
        <v>770</v>
      </c>
      <c r="K231" s="11" t="str">
        <f>VLOOKUP($H231, SeanRanks!$A$2:$H$303, 5, FALSE)</f>
        <v>#N/A</v>
      </c>
      <c r="L231" s="11" t="str">
        <f>IF(VLOOKUP($H231, SeanRanks!$A$2:$H$303, 6, FALSE)=0, "", VLOOKUP($H231, SeanRanks!$A$2:$H$303, 6, FALSE))</f>
        <v>#N/A</v>
      </c>
      <c r="M231" s="11">
        <f t="shared" si="3"/>
        <v>16</v>
      </c>
      <c r="N231" s="11" t="str">
        <f>VLOOKUP($H231, 'ADP Data'!$B$4:$Q$300, 10, FALSE)</f>
        <v>#N/A</v>
      </c>
      <c r="O231" s="11" t="str">
        <f>VLOOKUP($H231, 'ADP Data'!$B$4:$Q$300, 4, FALSE)</f>
        <v>#N/A</v>
      </c>
      <c r="P231" s="11" t="str">
        <f t="shared" si="4"/>
        <v>#N/A</v>
      </c>
      <c r="Q231" s="11" t="str">
        <f>VLOOKUP($H231, 'ADP Data'!$B$4:$Q$300, 5, FALSE)</f>
        <v>#N/A</v>
      </c>
      <c r="R231" s="11" t="str">
        <f>VLOOKUP($H231, 'ADP Data'!$B$4:$Q$300, 6, FALSE)</f>
        <v>#N/A</v>
      </c>
      <c r="S231" s="11" t="str">
        <f>VLOOKUP($H231, 'ADP Data'!$B$4:$Q$300, 7, FALSE)</f>
        <v>#N/A</v>
      </c>
      <c r="T231" s="11" t="str">
        <f>VLOOKUP($H231, 'ADP Data'!$B$4:$Q$300, 8, FALSE)</f>
        <v>#N/A</v>
      </c>
      <c r="U231" s="11" t="str">
        <f>VLOOKUP($H231, 'ADP Data'!$B$4:$Q$300, 9, FALSE)</f>
        <v>#N/A</v>
      </c>
      <c r="V231" s="11" t="str">
        <f t="shared" si="5"/>
        <v>#N/A</v>
      </c>
      <c r="W231" s="11" t="str">
        <f t="shared" si="6"/>
        <v>#N/A</v>
      </c>
      <c r="X231" s="11" t="str">
        <f>IF(VLOOKUP($H231, SeanRanks!$A$2:$H$303, 7, FALSE)=0, "", VLOOKUP($H231, SeanRanks!$A$2:$H$303, 7, FALSE))</f>
        <v>#N/A</v>
      </c>
    </row>
    <row r="232" ht="14.25" customHeight="1">
      <c r="A232" s="11"/>
      <c r="B232" s="11" t="str">
        <f t="shared" si="7"/>
        <v>#N/A</v>
      </c>
      <c r="C232" s="11" t="s">
        <v>106</v>
      </c>
      <c r="D232" s="11"/>
      <c r="E232" s="11"/>
      <c r="F232" s="11">
        <f t="shared" si="2"/>
        <v>0</v>
      </c>
      <c r="G232" s="11"/>
      <c r="H232" s="11" t="s">
        <v>915</v>
      </c>
      <c r="I232" s="11" t="str">
        <f>VLOOKUP($H232, 'ADP Data'!$B$4:$Q$300, 2, FALSE)</f>
        <v>#N/A</v>
      </c>
      <c r="J232" s="11" t="s">
        <v>785</v>
      </c>
      <c r="K232" s="11" t="str">
        <f>VLOOKUP($H232, SeanRanks!$A$2:$H$303, 5, FALSE)</f>
        <v/>
      </c>
      <c r="L232" s="11" t="str">
        <f>IF(VLOOKUP($H232, SeanRanks!$A$2:$H$303, 6, FALSE)=0, "", VLOOKUP($H232, SeanRanks!$A$2:$H$303, 6, FALSE))</f>
        <v/>
      </c>
      <c r="M232" s="11">
        <f t="shared" si="3"/>
        <v>16</v>
      </c>
      <c r="N232" s="11" t="str">
        <f>VLOOKUP($H232, 'ADP Data'!$B$4:$Q$300, 10, FALSE)</f>
        <v>#N/A</v>
      </c>
      <c r="O232" s="11" t="str">
        <f>VLOOKUP($H232, 'ADP Data'!$B$4:$Q$300, 4, FALSE)</f>
        <v>#N/A</v>
      </c>
      <c r="P232" s="11" t="str">
        <f t="shared" si="4"/>
        <v>#N/A</v>
      </c>
      <c r="Q232" s="11" t="str">
        <f>VLOOKUP($H232, 'ADP Data'!$B$4:$Q$300, 5, FALSE)</f>
        <v>#N/A</v>
      </c>
      <c r="R232" s="11" t="str">
        <f>VLOOKUP($H232, 'ADP Data'!$B$4:$Q$300, 6, FALSE)</f>
        <v>#N/A</v>
      </c>
      <c r="S232" s="11" t="str">
        <f>VLOOKUP($H232, 'ADP Data'!$B$4:$Q$300, 7, FALSE)</f>
        <v>#N/A</v>
      </c>
      <c r="T232" s="11" t="str">
        <f>VLOOKUP($H232, 'ADP Data'!$B$4:$Q$300, 8, FALSE)</f>
        <v>#N/A</v>
      </c>
      <c r="U232" s="11" t="str">
        <f>VLOOKUP($H232, 'ADP Data'!$B$4:$Q$300, 9, FALSE)</f>
        <v>#N/A</v>
      </c>
      <c r="V232" s="11" t="str">
        <f t="shared" si="5"/>
        <v>#N/A</v>
      </c>
      <c r="W232" s="11" t="str">
        <f t="shared" si="6"/>
        <v>#N/A</v>
      </c>
      <c r="X232" s="11" t="str">
        <f>IF(VLOOKUP($H232, SeanRanks!$A$2:$H$303, 7, FALSE)=0, "", VLOOKUP($H232, SeanRanks!$A$2:$H$303, 7, FALSE))</f>
        <v/>
      </c>
    </row>
    <row r="233" ht="14.25" customHeight="1">
      <c r="A233" s="11"/>
      <c r="B233" s="11" t="str">
        <f t="shared" si="7"/>
        <v>#N/A</v>
      </c>
      <c r="C233" s="11" t="s">
        <v>106</v>
      </c>
      <c r="D233" s="11"/>
      <c r="E233" s="11"/>
      <c r="F233" s="11">
        <f t="shared" si="2"/>
        <v>0</v>
      </c>
      <c r="G233" s="11"/>
      <c r="H233" s="11" t="s">
        <v>1249</v>
      </c>
      <c r="I233" s="11" t="str">
        <f>VLOOKUP($H233, 'ADP Data'!$B$4:$Q$300, 2, FALSE)</f>
        <v>#N/A</v>
      </c>
      <c r="J233" s="11" t="s">
        <v>770</v>
      </c>
      <c r="K233" s="11" t="str">
        <f>VLOOKUP($H233, SeanRanks!$A$2:$H$303, 5, FALSE)</f>
        <v>#N/A</v>
      </c>
      <c r="L233" s="11" t="str">
        <f>IF(VLOOKUP($H233, SeanRanks!$A$2:$H$303, 6, FALSE)=0, "", VLOOKUP($H233, SeanRanks!$A$2:$H$303, 6, FALSE))</f>
        <v>#N/A</v>
      </c>
      <c r="M233" s="11">
        <f t="shared" si="3"/>
        <v>16</v>
      </c>
      <c r="N233" s="11" t="str">
        <f>VLOOKUP($H233, 'ADP Data'!$B$4:$Q$300, 10, FALSE)</f>
        <v>#N/A</v>
      </c>
      <c r="O233" s="11" t="str">
        <f>VLOOKUP($H233, 'ADP Data'!$B$4:$Q$300, 4, FALSE)</f>
        <v>#N/A</v>
      </c>
      <c r="P233" s="11" t="str">
        <f t="shared" si="4"/>
        <v>#N/A</v>
      </c>
      <c r="Q233" s="11" t="str">
        <f>VLOOKUP($H233, 'ADP Data'!$B$4:$Q$300, 5, FALSE)</f>
        <v>#N/A</v>
      </c>
      <c r="R233" s="11" t="str">
        <f>VLOOKUP($H233, 'ADP Data'!$B$4:$Q$300, 6, FALSE)</f>
        <v>#N/A</v>
      </c>
      <c r="S233" s="11" t="str">
        <f>VLOOKUP($H233, 'ADP Data'!$B$4:$Q$300, 7, FALSE)</f>
        <v>#N/A</v>
      </c>
      <c r="T233" s="11" t="str">
        <f>VLOOKUP($H233, 'ADP Data'!$B$4:$Q$300, 8, FALSE)</f>
        <v>#N/A</v>
      </c>
      <c r="U233" s="11" t="str">
        <f>VLOOKUP($H233, 'ADP Data'!$B$4:$Q$300, 9, FALSE)</f>
        <v>#N/A</v>
      </c>
      <c r="V233" s="11" t="str">
        <f t="shared" si="5"/>
        <v>#N/A</v>
      </c>
      <c r="W233" s="11" t="str">
        <f t="shared" si="6"/>
        <v>#N/A</v>
      </c>
      <c r="X233" s="11" t="str">
        <f>IF(VLOOKUP($H233, SeanRanks!$A$2:$H$303, 7, FALSE)=0, "", VLOOKUP($H233, SeanRanks!$A$2:$H$303, 7, FALSE))</f>
        <v>#N/A</v>
      </c>
    </row>
    <row r="234" ht="14.25" customHeight="1">
      <c r="A234" s="11"/>
      <c r="B234" s="11" t="str">
        <f t="shared" si="7"/>
        <v>#N/A</v>
      </c>
      <c r="C234" s="11" t="s">
        <v>106</v>
      </c>
      <c r="D234" s="11"/>
      <c r="E234" s="11"/>
      <c r="F234" s="11">
        <f t="shared" si="2"/>
        <v>0</v>
      </c>
      <c r="G234" s="11"/>
      <c r="H234" s="11" t="s">
        <v>572</v>
      </c>
      <c r="I234" s="58" t="str">
        <f>VLOOKUP($H234, 'ADP Data'!$B$4:$Q$300, 2, FALSE)</f>
        <v>#N/A</v>
      </c>
      <c r="J234" s="11" t="s">
        <v>785</v>
      </c>
      <c r="K234" s="11" t="str">
        <f>VLOOKUP($H234, SeanRanks!$A$2:$H$303, 5, FALSE)</f>
        <v/>
      </c>
      <c r="L234" s="11" t="str">
        <f>IF(VLOOKUP($H234, SeanRanks!$A$2:$H$303, 6, FALSE)=0, "", VLOOKUP($H234, SeanRanks!$A$2:$H$303, 6, FALSE))</f>
        <v/>
      </c>
      <c r="M234" s="11">
        <f t="shared" si="3"/>
        <v>16</v>
      </c>
      <c r="N234" s="11" t="str">
        <f>VLOOKUP($H234, 'ADP Data'!$B$4:$Q$300, 10, FALSE)</f>
        <v>#N/A</v>
      </c>
      <c r="O234" s="11" t="str">
        <f>VLOOKUP($H234, 'ADP Data'!$B$4:$Q$300, 4, FALSE)</f>
        <v>#N/A</v>
      </c>
      <c r="P234" s="11" t="str">
        <f t="shared" si="4"/>
        <v>#N/A</v>
      </c>
      <c r="Q234" s="11" t="str">
        <f>VLOOKUP($H234, 'ADP Data'!$B$4:$Q$300, 5, FALSE)</f>
        <v>#N/A</v>
      </c>
      <c r="R234" s="11" t="str">
        <f>VLOOKUP($H234, 'ADP Data'!$B$4:$Q$300, 6, FALSE)</f>
        <v>#N/A</v>
      </c>
      <c r="S234" s="11" t="str">
        <f>VLOOKUP($H234, 'ADP Data'!$B$4:$Q$300, 7, FALSE)</f>
        <v>#N/A</v>
      </c>
      <c r="T234" s="11" t="str">
        <f>VLOOKUP($H234, 'ADP Data'!$B$4:$Q$300, 8, FALSE)</f>
        <v>#N/A</v>
      </c>
      <c r="U234" s="11" t="str">
        <f>VLOOKUP($H234, 'ADP Data'!$B$4:$Q$300, 9, FALSE)</f>
        <v>#N/A</v>
      </c>
      <c r="V234" s="11" t="str">
        <f t="shared" si="5"/>
        <v>#N/A</v>
      </c>
      <c r="W234" s="11" t="str">
        <f t="shared" si="6"/>
        <v>#N/A</v>
      </c>
      <c r="X234" s="11" t="str">
        <f>IF(VLOOKUP($H234, SeanRanks!$A$2:$H$303, 7, FALSE)=0, "", VLOOKUP($H234, SeanRanks!$A$2:$H$303, 7, FALSE))</f>
        <v/>
      </c>
    </row>
    <row r="235" ht="14.25" customHeight="1">
      <c r="A235" s="11"/>
      <c r="B235" s="11" t="str">
        <f t="shared" si="7"/>
        <v>#N/A</v>
      </c>
      <c r="C235" s="11" t="s">
        <v>106</v>
      </c>
      <c r="D235" s="11"/>
      <c r="E235" s="11"/>
      <c r="F235" s="11">
        <f t="shared" si="2"/>
        <v>0</v>
      </c>
      <c r="G235" s="11"/>
      <c r="H235" s="11" t="s">
        <v>1104</v>
      </c>
      <c r="I235" s="11" t="str">
        <f>VLOOKUP($H235, 'ADP Data'!$B$4:$Q$300, 2, FALSE)</f>
        <v>#N/A</v>
      </c>
      <c r="J235" s="11" t="s">
        <v>785</v>
      </c>
      <c r="K235" s="11" t="str">
        <f>VLOOKUP($H235, SeanRanks!$A$2:$H$303, 5, FALSE)</f>
        <v/>
      </c>
      <c r="L235" s="11" t="str">
        <f>IF(VLOOKUP($H235, SeanRanks!$A$2:$H$303, 6, FALSE)=0, "", VLOOKUP($H235, SeanRanks!$A$2:$H$303, 6, FALSE))</f>
        <v/>
      </c>
      <c r="M235" s="11">
        <f t="shared" si="3"/>
        <v>16</v>
      </c>
      <c r="N235" s="11" t="str">
        <f>VLOOKUP($H235, 'ADP Data'!$B$4:$Q$300, 10, FALSE)</f>
        <v>#N/A</v>
      </c>
      <c r="O235" s="11" t="str">
        <f>VLOOKUP($H235, 'ADP Data'!$B$4:$Q$300, 4, FALSE)</f>
        <v>#N/A</v>
      </c>
      <c r="P235" s="11" t="str">
        <f t="shared" si="4"/>
        <v>#N/A</v>
      </c>
      <c r="Q235" s="11" t="str">
        <f>VLOOKUP($H235, 'ADP Data'!$B$4:$Q$300, 5, FALSE)</f>
        <v>#N/A</v>
      </c>
      <c r="R235" s="11" t="str">
        <f>VLOOKUP($H235, 'ADP Data'!$B$4:$Q$300, 6, FALSE)</f>
        <v>#N/A</v>
      </c>
      <c r="S235" s="11" t="str">
        <f>VLOOKUP($H235, 'ADP Data'!$B$4:$Q$300, 7, FALSE)</f>
        <v>#N/A</v>
      </c>
      <c r="T235" s="11" t="str">
        <f>VLOOKUP($H235, 'ADP Data'!$B$4:$Q$300, 8, FALSE)</f>
        <v>#N/A</v>
      </c>
      <c r="U235" s="11" t="str">
        <f>VLOOKUP($H235, 'ADP Data'!$B$4:$Q$300, 9, FALSE)</f>
        <v>#N/A</v>
      </c>
      <c r="V235" s="11" t="str">
        <f t="shared" si="5"/>
        <v>#N/A</v>
      </c>
      <c r="W235" s="11" t="str">
        <f t="shared" si="6"/>
        <v>#N/A</v>
      </c>
      <c r="X235" s="11" t="str">
        <f>IF(VLOOKUP($H235, SeanRanks!$A$2:$H$303, 7, FALSE)=0, "", VLOOKUP($H235, SeanRanks!$A$2:$H$303, 7, FALSE))</f>
        <v/>
      </c>
    </row>
    <row r="236" ht="14.25" customHeight="1">
      <c r="A236" s="11"/>
      <c r="B236" s="11" t="str">
        <f t="shared" si="7"/>
        <v>#N/A</v>
      </c>
      <c r="C236" s="11" t="s">
        <v>106</v>
      </c>
      <c r="D236" s="11"/>
      <c r="E236" s="11"/>
      <c r="F236" s="11">
        <f t="shared" si="2"/>
        <v>0</v>
      </c>
      <c r="G236" s="11"/>
      <c r="H236" s="11" t="s">
        <v>369</v>
      </c>
      <c r="I236" s="11" t="str">
        <f>VLOOKUP($H236, 'ADP Data'!$B$4:$Q$300, 2, FALSE)</f>
        <v>#N/A</v>
      </c>
      <c r="J236" s="11" t="s">
        <v>770</v>
      </c>
      <c r="K236" s="11" t="str">
        <f>VLOOKUP($H236, SeanRanks!$A$2:$H$303, 5, FALSE)</f>
        <v/>
      </c>
      <c r="L236" s="11" t="str">
        <f>IF(VLOOKUP($H236, SeanRanks!$A$2:$H$303, 6, FALSE)=0, "", VLOOKUP($H236, SeanRanks!$A$2:$H$303, 6, FALSE))</f>
        <v>QB1 - 3 - Top 5 Ceiling</v>
      </c>
      <c r="M236" s="11">
        <f t="shared" si="3"/>
        <v>16</v>
      </c>
      <c r="N236" s="11" t="str">
        <f>VLOOKUP($H236, 'ADP Data'!$B$4:$Q$300, 10, FALSE)</f>
        <v>#N/A</v>
      </c>
      <c r="O236" s="11" t="str">
        <f>VLOOKUP($H236, 'ADP Data'!$B$4:$Q$300, 4, FALSE)</f>
        <v>#N/A</v>
      </c>
      <c r="P236" s="11" t="str">
        <f t="shared" si="4"/>
        <v>#N/A</v>
      </c>
      <c r="Q236" s="11" t="str">
        <f>VLOOKUP($H236, 'ADP Data'!$B$4:$Q$300, 5, FALSE)</f>
        <v>#N/A</v>
      </c>
      <c r="R236" s="11" t="str">
        <f>VLOOKUP($H236, 'ADP Data'!$B$4:$Q$300, 6, FALSE)</f>
        <v>#N/A</v>
      </c>
      <c r="S236" s="11" t="str">
        <f>VLOOKUP($H236, 'ADP Data'!$B$4:$Q$300, 7, FALSE)</f>
        <v>#N/A</v>
      </c>
      <c r="T236" s="11" t="str">
        <f>VLOOKUP($H236, 'ADP Data'!$B$4:$Q$300, 8, FALSE)</f>
        <v>#N/A</v>
      </c>
      <c r="U236" s="11" t="str">
        <f>VLOOKUP($H236, 'ADP Data'!$B$4:$Q$300, 9, FALSE)</f>
        <v>#N/A</v>
      </c>
      <c r="V236" s="11" t="str">
        <f t="shared" si="5"/>
        <v>#N/A</v>
      </c>
      <c r="W236" s="11" t="str">
        <f t="shared" si="6"/>
        <v>#N/A</v>
      </c>
      <c r="X236" s="11">
        <f>IF(VLOOKUP($H236, SeanRanks!$A$2:$H$303, 7, FALSE)=0, "", VLOOKUP($H236, SeanRanks!$A$2:$H$303, 7, FALSE))</f>
        <v>6</v>
      </c>
    </row>
    <row r="237" ht="14.25" customHeight="1">
      <c r="A237" s="11"/>
      <c r="B237" s="11" t="str">
        <f t="shared" si="7"/>
        <v>#N/A</v>
      </c>
      <c r="C237" s="11" t="s">
        <v>106</v>
      </c>
      <c r="D237" s="11"/>
      <c r="E237" s="11"/>
      <c r="F237" s="11">
        <f t="shared" si="2"/>
        <v>0</v>
      </c>
      <c r="G237" s="11"/>
      <c r="H237" s="11" t="s">
        <v>830</v>
      </c>
      <c r="I237" s="11" t="str">
        <f>VLOOKUP($H237, 'ADP Data'!$B$4:$Q$300, 2, FALSE)</f>
        <v>#N/A</v>
      </c>
      <c r="J237" s="11" t="s">
        <v>775</v>
      </c>
      <c r="K237" s="11" t="str">
        <f>VLOOKUP($H237, SeanRanks!$A$2:$H$303, 5, FALSE)</f>
        <v/>
      </c>
      <c r="L237" s="11" t="str">
        <f>IF(VLOOKUP($H237, SeanRanks!$A$2:$H$303, 6, FALSE)=0, "", VLOOKUP($H237, SeanRanks!$A$2:$H$303, 6, FALSE))</f>
        <v/>
      </c>
      <c r="M237" s="11">
        <f t="shared" si="3"/>
        <v>16</v>
      </c>
      <c r="N237" s="11" t="str">
        <f>VLOOKUP($H237, 'ADP Data'!$B$4:$Q$300, 10, FALSE)</f>
        <v>#N/A</v>
      </c>
      <c r="O237" s="11" t="str">
        <f>VLOOKUP($H237, 'ADP Data'!$B$4:$Q$300, 4, FALSE)</f>
        <v>#N/A</v>
      </c>
      <c r="P237" s="11" t="str">
        <f t="shared" si="4"/>
        <v>#N/A</v>
      </c>
      <c r="Q237" s="11" t="str">
        <f>VLOOKUP($H237, 'ADP Data'!$B$4:$Q$300, 5, FALSE)</f>
        <v>#N/A</v>
      </c>
      <c r="R237" s="11" t="str">
        <f>VLOOKUP($H237, 'ADP Data'!$B$4:$Q$300, 6, FALSE)</f>
        <v>#N/A</v>
      </c>
      <c r="S237" s="11" t="str">
        <f>VLOOKUP($H237, 'ADP Data'!$B$4:$Q$300, 7, FALSE)</f>
        <v>#N/A</v>
      </c>
      <c r="T237" s="11" t="str">
        <f>VLOOKUP($H237, 'ADP Data'!$B$4:$Q$300, 8, FALSE)</f>
        <v>#N/A</v>
      </c>
      <c r="U237" s="11" t="str">
        <f>VLOOKUP($H237, 'ADP Data'!$B$4:$Q$300, 9, FALSE)</f>
        <v>#N/A</v>
      </c>
      <c r="V237" s="11" t="str">
        <f t="shared" si="5"/>
        <v>#N/A</v>
      </c>
      <c r="W237" s="11" t="str">
        <f t="shared" si="6"/>
        <v>#N/A</v>
      </c>
      <c r="X237" s="11" t="str">
        <f>IF(VLOOKUP($H237, SeanRanks!$A$2:$H$303, 7, FALSE)=0, "", VLOOKUP($H237, SeanRanks!$A$2:$H$303, 7, FALSE))</f>
        <v/>
      </c>
    </row>
    <row r="238" ht="14.25" customHeight="1">
      <c r="A238" s="11"/>
      <c r="B238" s="11" t="str">
        <f t="shared" si="7"/>
        <v>#N/A</v>
      </c>
      <c r="C238" s="11" t="s">
        <v>106</v>
      </c>
      <c r="D238" s="11"/>
      <c r="E238" s="11"/>
      <c r="F238" s="11">
        <f t="shared" si="2"/>
        <v>0</v>
      </c>
      <c r="G238" s="11"/>
      <c r="H238" s="11" t="s">
        <v>1322</v>
      </c>
      <c r="I238" s="58" t="str">
        <f>VLOOKUP($H238, 'ADP Data'!$B$4:$Q$300, 2, FALSE)</f>
        <v>#N/A</v>
      </c>
      <c r="J238" s="11" t="s">
        <v>775</v>
      </c>
      <c r="K238" s="11" t="str">
        <f>VLOOKUP($H238, SeanRanks!$A$2:$H$303, 5, FALSE)</f>
        <v>#N/A</v>
      </c>
      <c r="L238" s="11" t="str">
        <f>IF(VLOOKUP($H238, SeanRanks!$A$2:$H$303, 6, FALSE)=0, "", VLOOKUP($H238, SeanRanks!$A$2:$H$303, 6, FALSE))</f>
        <v>#N/A</v>
      </c>
      <c r="M238" s="11">
        <f t="shared" si="3"/>
        <v>16</v>
      </c>
      <c r="N238" s="11" t="str">
        <f>VLOOKUP($H238, 'ADP Data'!$B$4:$Q$300, 10, FALSE)</f>
        <v>#N/A</v>
      </c>
      <c r="O238" s="11" t="str">
        <f>VLOOKUP($H238, 'ADP Data'!$B$4:$Q$300, 4, FALSE)</f>
        <v>#N/A</v>
      </c>
      <c r="P238" s="11" t="str">
        <f t="shared" si="4"/>
        <v>#N/A</v>
      </c>
      <c r="Q238" s="11" t="str">
        <f>VLOOKUP($H238, 'ADP Data'!$B$4:$Q$300, 5, FALSE)</f>
        <v>#N/A</v>
      </c>
      <c r="R238" s="11" t="str">
        <f>VLOOKUP($H238, 'ADP Data'!$B$4:$Q$300, 6, FALSE)</f>
        <v>#N/A</v>
      </c>
      <c r="S238" s="11" t="str">
        <f>VLOOKUP($H238, 'ADP Data'!$B$4:$Q$300, 7, FALSE)</f>
        <v>#N/A</v>
      </c>
      <c r="T238" s="11" t="str">
        <f>VLOOKUP($H238, 'ADP Data'!$B$4:$Q$300, 8, FALSE)</f>
        <v>#N/A</v>
      </c>
      <c r="U238" s="11" t="str">
        <f>VLOOKUP($H238, 'ADP Data'!$B$4:$Q$300, 9, FALSE)</f>
        <v>#N/A</v>
      </c>
      <c r="V238" s="11" t="str">
        <f t="shared" si="5"/>
        <v>#N/A</v>
      </c>
      <c r="W238" s="11" t="str">
        <f t="shared" si="6"/>
        <v>#N/A</v>
      </c>
      <c r="X238" s="11" t="str">
        <f>IF(VLOOKUP($H238, SeanRanks!$A$2:$H$303, 7, FALSE)=0, "", VLOOKUP($H238, SeanRanks!$A$2:$H$303, 7, FALSE))</f>
        <v>#N/A</v>
      </c>
    </row>
    <row r="239" ht="14.25" customHeight="1">
      <c r="A239" s="11"/>
      <c r="B239" s="11" t="str">
        <f t="shared" si="7"/>
        <v>#N/A</v>
      </c>
      <c r="C239" s="11" t="s">
        <v>106</v>
      </c>
      <c r="D239" s="11"/>
      <c r="E239" s="11"/>
      <c r="F239" s="11">
        <f t="shared" si="2"/>
        <v>0</v>
      </c>
      <c r="G239" s="11"/>
      <c r="H239" s="11" t="s">
        <v>564</v>
      </c>
      <c r="I239" s="11" t="str">
        <f>VLOOKUP($H239, 'ADP Data'!$B$4:$Q$300, 2, FALSE)</f>
        <v>#N/A</v>
      </c>
      <c r="J239" s="11" t="s">
        <v>785</v>
      </c>
      <c r="K239" s="11" t="str">
        <f>VLOOKUP($H239, SeanRanks!$A$2:$H$303, 5, FALSE)</f>
        <v/>
      </c>
      <c r="L239" s="11" t="str">
        <f>IF(VLOOKUP($H239, SeanRanks!$A$2:$H$303, 6, FALSE)=0, "", VLOOKUP($H239, SeanRanks!$A$2:$H$303, 6, FALSE))</f>
        <v/>
      </c>
      <c r="M239" s="11">
        <f t="shared" si="3"/>
        <v>16</v>
      </c>
      <c r="N239" s="11" t="str">
        <f>VLOOKUP($H239, 'ADP Data'!$B$4:$Q$300, 10, FALSE)</f>
        <v>#N/A</v>
      </c>
      <c r="O239" s="11" t="str">
        <f>VLOOKUP($H239, 'ADP Data'!$B$4:$Q$300, 4, FALSE)</f>
        <v>#N/A</v>
      </c>
      <c r="P239" s="11" t="str">
        <f t="shared" si="4"/>
        <v>#N/A</v>
      </c>
      <c r="Q239" s="11" t="str">
        <f>VLOOKUP($H239, 'ADP Data'!$B$4:$Q$300, 5, FALSE)</f>
        <v>#N/A</v>
      </c>
      <c r="R239" s="11" t="str">
        <f>VLOOKUP($H239, 'ADP Data'!$B$4:$Q$300, 6, FALSE)</f>
        <v>#N/A</v>
      </c>
      <c r="S239" s="11" t="str">
        <f>VLOOKUP($H239, 'ADP Data'!$B$4:$Q$300, 7, FALSE)</f>
        <v>#N/A</v>
      </c>
      <c r="T239" s="11" t="str">
        <f>VLOOKUP($H239, 'ADP Data'!$B$4:$Q$300, 8, FALSE)</f>
        <v>#N/A</v>
      </c>
      <c r="U239" s="11" t="str">
        <f>VLOOKUP($H239, 'ADP Data'!$B$4:$Q$300, 9, FALSE)</f>
        <v>#N/A</v>
      </c>
      <c r="V239" s="11" t="str">
        <f t="shared" si="5"/>
        <v>#N/A</v>
      </c>
      <c r="W239" s="11" t="str">
        <f t="shared" si="6"/>
        <v>#N/A</v>
      </c>
      <c r="X239" s="11" t="str">
        <f>IF(VLOOKUP($H239, SeanRanks!$A$2:$H$303, 7, FALSE)=0, "", VLOOKUP($H239, SeanRanks!$A$2:$H$303, 7, FALSE))</f>
        <v/>
      </c>
    </row>
    <row r="240" ht="14.25" customHeight="1">
      <c r="A240" s="11"/>
      <c r="B240" s="11" t="str">
        <f t="shared" si="7"/>
        <v>#N/A</v>
      </c>
      <c r="C240" s="11" t="s">
        <v>106</v>
      </c>
      <c r="D240" s="11"/>
      <c r="E240" s="11"/>
      <c r="F240" s="11">
        <f t="shared" si="2"/>
        <v>0</v>
      </c>
      <c r="G240" s="11"/>
      <c r="H240" s="11" t="s">
        <v>1238</v>
      </c>
      <c r="I240" s="11" t="str">
        <f>VLOOKUP($H240, 'ADP Data'!$B$4:$Q$300, 2, FALSE)</f>
        <v>#N/A</v>
      </c>
      <c r="J240" s="11" t="s">
        <v>775</v>
      </c>
      <c r="K240" s="11" t="str">
        <f>VLOOKUP($H240, SeanRanks!$A$2:$H$303, 5, FALSE)</f>
        <v>#N/A</v>
      </c>
      <c r="L240" s="11" t="str">
        <f>IF(VLOOKUP($H240, SeanRanks!$A$2:$H$303, 6, FALSE)=0, "", VLOOKUP($H240, SeanRanks!$A$2:$H$303, 6, FALSE))</f>
        <v>#N/A</v>
      </c>
      <c r="M240" s="11">
        <f t="shared" si="3"/>
        <v>16</v>
      </c>
      <c r="N240" s="11" t="str">
        <f>VLOOKUP($H240, 'ADP Data'!$B$4:$Q$300, 10, FALSE)</f>
        <v>#N/A</v>
      </c>
      <c r="O240" s="11" t="str">
        <f>VLOOKUP($H240, 'ADP Data'!$B$4:$Q$300, 4, FALSE)</f>
        <v>#N/A</v>
      </c>
      <c r="P240" s="11" t="str">
        <f t="shared" si="4"/>
        <v>#N/A</v>
      </c>
      <c r="Q240" s="11" t="str">
        <f>VLOOKUP($H240, 'ADP Data'!$B$4:$Q$300, 5, FALSE)</f>
        <v>#N/A</v>
      </c>
      <c r="R240" s="11" t="str">
        <f>VLOOKUP($H240, 'ADP Data'!$B$4:$Q$300, 6, FALSE)</f>
        <v>#N/A</v>
      </c>
      <c r="S240" s="11" t="str">
        <f>VLOOKUP($H240, 'ADP Data'!$B$4:$Q$300, 7, FALSE)</f>
        <v>#N/A</v>
      </c>
      <c r="T240" s="11" t="str">
        <f>VLOOKUP($H240, 'ADP Data'!$B$4:$Q$300, 8, FALSE)</f>
        <v>#N/A</v>
      </c>
      <c r="U240" s="11" t="str">
        <f>VLOOKUP($H240, 'ADP Data'!$B$4:$Q$300, 9, FALSE)</f>
        <v>#N/A</v>
      </c>
      <c r="V240" s="11" t="str">
        <f t="shared" si="5"/>
        <v>#N/A</v>
      </c>
      <c r="W240" s="11" t="str">
        <f t="shared" si="6"/>
        <v>#N/A</v>
      </c>
      <c r="X240" s="11" t="str">
        <f>IF(VLOOKUP($H240, SeanRanks!$A$2:$H$303, 7, FALSE)=0, "", VLOOKUP($H240, SeanRanks!$A$2:$H$303, 7, FALSE))</f>
        <v>#N/A</v>
      </c>
    </row>
    <row r="241" ht="14.25" customHeight="1">
      <c r="A241" s="11"/>
      <c r="B241" s="11" t="str">
        <f t="shared" si="7"/>
        <v>#N/A</v>
      </c>
      <c r="C241" s="11" t="s">
        <v>106</v>
      </c>
      <c r="D241" s="11"/>
      <c r="E241" s="11"/>
      <c r="F241" s="11">
        <f t="shared" si="2"/>
        <v>0</v>
      </c>
      <c r="G241" s="11"/>
      <c r="H241" s="11" t="s">
        <v>1305</v>
      </c>
      <c r="I241" s="11" t="str">
        <f>VLOOKUP($H241, 'ADP Data'!$B$4:$Q$300, 2, FALSE)</f>
        <v>#N/A</v>
      </c>
      <c r="J241" s="11" t="s">
        <v>775</v>
      </c>
      <c r="K241" s="11" t="str">
        <f>VLOOKUP($H241, SeanRanks!$A$2:$H$303, 5, FALSE)</f>
        <v>#N/A</v>
      </c>
      <c r="L241" s="11" t="str">
        <f>IF(VLOOKUP($H241, SeanRanks!$A$2:$H$303, 6, FALSE)=0, "", VLOOKUP($H241, SeanRanks!$A$2:$H$303, 6, FALSE))</f>
        <v>#N/A</v>
      </c>
      <c r="M241" s="11">
        <f t="shared" si="3"/>
        <v>16</v>
      </c>
      <c r="N241" s="11" t="str">
        <f>VLOOKUP($H241, 'ADP Data'!$B$4:$Q$300, 10, FALSE)</f>
        <v>#N/A</v>
      </c>
      <c r="O241" s="11" t="str">
        <f>VLOOKUP($H241, 'ADP Data'!$B$4:$Q$300, 4, FALSE)</f>
        <v>#N/A</v>
      </c>
      <c r="P241" s="11" t="str">
        <f t="shared" si="4"/>
        <v>#N/A</v>
      </c>
      <c r="Q241" s="11" t="str">
        <f>VLOOKUP($H241, 'ADP Data'!$B$4:$Q$300, 5, FALSE)</f>
        <v>#N/A</v>
      </c>
      <c r="R241" s="11" t="str">
        <f>VLOOKUP($H241, 'ADP Data'!$B$4:$Q$300, 6, FALSE)</f>
        <v>#N/A</v>
      </c>
      <c r="S241" s="11" t="str">
        <f>VLOOKUP($H241, 'ADP Data'!$B$4:$Q$300, 7, FALSE)</f>
        <v>#N/A</v>
      </c>
      <c r="T241" s="11" t="str">
        <f>VLOOKUP($H241, 'ADP Data'!$B$4:$Q$300, 8, FALSE)</f>
        <v>#N/A</v>
      </c>
      <c r="U241" s="11" t="str">
        <f>VLOOKUP($H241, 'ADP Data'!$B$4:$Q$300, 9, FALSE)</f>
        <v>#N/A</v>
      </c>
      <c r="V241" s="11" t="str">
        <f t="shared" si="5"/>
        <v>#N/A</v>
      </c>
      <c r="W241" s="11" t="str">
        <f t="shared" si="6"/>
        <v>#N/A</v>
      </c>
      <c r="X241" s="11" t="str">
        <f>IF(VLOOKUP($H241, SeanRanks!$A$2:$H$303, 7, FALSE)=0, "", VLOOKUP($H241, SeanRanks!$A$2:$H$303, 7, FALSE))</f>
        <v>#N/A</v>
      </c>
    </row>
    <row r="242" ht="14.25" customHeight="1">
      <c r="A242" s="11"/>
      <c r="B242" s="11" t="str">
        <f t="shared" si="7"/>
        <v>#N/A</v>
      </c>
      <c r="C242" s="11" t="s">
        <v>106</v>
      </c>
      <c r="D242" s="11"/>
      <c r="E242" s="11"/>
      <c r="F242" s="11">
        <f t="shared" si="2"/>
        <v>0</v>
      </c>
      <c r="G242" s="11"/>
      <c r="H242" s="11" t="s">
        <v>308</v>
      </c>
      <c r="I242" s="11" t="str">
        <f>VLOOKUP($H242, 'ADP Data'!$B$4:$Q$300, 2, FALSE)</f>
        <v>#N/A</v>
      </c>
      <c r="J242" s="11" t="s">
        <v>775</v>
      </c>
      <c r="K242" s="11" t="str">
        <f>VLOOKUP($H242, SeanRanks!$A$2:$H$303, 5, FALSE)</f>
        <v/>
      </c>
      <c r="L242" s="11" t="str">
        <f>IF(VLOOKUP($H242, SeanRanks!$A$2:$H$303, 6, FALSE)=0, "", VLOOKUP($H242, SeanRanks!$A$2:$H$303, 6, FALSE))</f>
        <v/>
      </c>
      <c r="M242" s="11">
        <f t="shared" si="3"/>
        <v>16</v>
      </c>
      <c r="N242" s="11" t="str">
        <f>VLOOKUP($H242, 'ADP Data'!$B$4:$Q$300, 10, FALSE)</f>
        <v>#N/A</v>
      </c>
      <c r="O242" s="11" t="str">
        <f>VLOOKUP($H242, 'ADP Data'!$B$4:$Q$300, 4, FALSE)</f>
        <v>#N/A</v>
      </c>
      <c r="P242" s="11" t="str">
        <f t="shared" si="4"/>
        <v>#N/A</v>
      </c>
      <c r="Q242" s="11" t="str">
        <f>VLOOKUP($H242, 'ADP Data'!$B$4:$Q$300, 5, FALSE)</f>
        <v>#N/A</v>
      </c>
      <c r="R242" s="11" t="str">
        <f>VLOOKUP($H242, 'ADP Data'!$B$4:$Q$300, 6, FALSE)</f>
        <v>#N/A</v>
      </c>
      <c r="S242" s="11" t="str">
        <f>VLOOKUP($H242, 'ADP Data'!$B$4:$Q$300, 7, FALSE)</f>
        <v>#N/A</v>
      </c>
      <c r="T242" s="11" t="str">
        <f>VLOOKUP($H242, 'ADP Data'!$B$4:$Q$300, 8, FALSE)</f>
        <v>#N/A</v>
      </c>
      <c r="U242" s="11" t="str">
        <f>VLOOKUP($H242, 'ADP Data'!$B$4:$Q$300, 9, FALSE)</f>
        <v>#N/A</v>
      </c>
      <c r="V242" s="11" t="str">
        <f t="shared" si="5"/>
        <v>#N/A</v>
      </c>
      <c r="W242" s="11" t="str">
        <f t="shared" si="6"/>
        <v>#N/A</v>
      </c>
      <c r="X242" s="11" t="str">
        <f>IF(VLOOKUP($H242, SeanRanks!$A$2:$H$303, 7, FALSE)=0, "", VLOOKUP($H242, SeanRanks!$A$2:$H$303, 7, FALSE))</f>
        <v/>
      </c>
    </row>
    <row r="243" ht="14.25" customHeight="1">
      <c r="A243" s="11"/>
      <c r="B243" s="11" t="str">
        <f t="shared" si="7"/>
        <v>#N/A</v>
      </c>
      <c r="C243" s="11" t="s">
        <v>106</v>
      </c>
      <c r="D243" s="11"/>
      <c r="E243" s="11"/>
      <c r="F243" s="11">
        <f t="shared" si="2"/>
        <v>0</v>
      </c>
      <c r="G243" s="11"/>
      <c r="H243" s="11" t="s">
        <v>1271</v>
      </c>
      <c r="I243" s="11" t="str">
        <f>VLOOKUP($H243, 'ADP Data'!$B$4:$Q$300, 2, FALSE)</f>
        <v>#N/A</v>
      </c>
      <c r="J243" s="11" t="s">
        <v>785</v>
      </c>
      <c r="K243" s="11" t="str">
        <f>VLOOKUP($H243, SeanRanks!$A$2:$H$303, 5, FALSE)</f>
        <v>#N/A</v>
      </c>
      <c r="L243" s="11" t="str">
        <f>IF(VLOOKUP($H243, SeanRanks!$A$2:$H$303, 6, FALSE)=0, "", VLOOKUP($H243, SeanRanks!$A$2:$H$303, 6, FALSE))</f>
        <v>#N/A</v>
      </c>
      <c r="M243" s="11">
        <f t="shared" si="3"/>
        <v>16</v>
      </c>
      <c r="N243" s="11" t="str">
        <f>VLOOKUP($H243, 'ADP Data'!$B$4:$Q$300, 10, FALSE)</f>
        <v>#N/A</v>
      </c>
      <c r="O243" s="11" t="str">
        <f>VLOOKUP($H243, 'ADP Data'!$B$4:$Q$300, 4, FALSE)</f>
        <v>#N/A</v>
      </c>
      <c r="P243" s="11" t="str">
        <f t="shared" si="4"/>
        <v>#N/A</v>
      </c>
      <c r="Q243" s="11" t="str">
        <f>VLOOKUP($H243, 'ADP Data'!$B$4:$Q$300, 5, FALSE)</f>
        <v>#N/A</v>
      </c>
      <c r="R243" s="11" t="str">
        <f>VLOOKUP($H243, 'ADP Data'!$B$4:$Q$300, 6, FALSE)</f>
        <v>#N/A</v>
      </c>
      <c r="S243" s="11" t="str">
        <f>VLOOKUP($H243, 'ADP Data'!$B$4:$Q$300, 7, FALSE)</f>
        <v>#N/A</v>
      </c>
      <c r="T243" s="11" t="str">
        <f>VLOOKUP($H243, 'ADP Data'!$B$4:$Q$300, 8, FALSE)</f>
        <v>#N/A</v>
      </c>
      <c r="U243" s="11" t="str">
        <f>VLOOKUP($H243, 'ADP Data'!$B$4:$Q$300, 9, FALSE)</f>
        <v>#N/A</v>
      </c>
      <c r="V243" s="11" t="str">
        <f t="shared" si="5"/>
        <v>#N/A</v>
      </c>
      <c r="W243" s="11" t="str">
        <f t="shared" si="6"/>
        <v>#N/A</v>
      </c>
      <c r="X243" s="11" t="str">
        <f>IF(VLOOKUP($H243, SeanRanks!$A$2:$H$303, 7, FALSE)=0, "", VLOOKUP($H243, SeanRanks!$A$2:$H$303, 7, FALSE))</f>
        <v>#N/A</v>
      </c>
    </row>
    <row r="244" ht="14.25" customHeight="1">
      <c r="A244" s="11"/>
      <c r="B244" s="11" t="str">
        <f t="shared" si="7"/>
        <v>#N/A</v>
      </c>
      <c r="C244" s="11" t="s">
        <v>106</v>
      </c>
      <c r="D244" s="11"/>
      <c r="E244" s="11"/>
      <c r="F244" s="11">
        <f t="shared" si="2"/>
        <v>0</v>
      </c>
      <c r="G244" s="11"/>
      <c r="H244" s="11" t="s">
        <v>923</v>
      </c>
      <c r="I244" s="11" t="str">
        <f>VLOOKUP($H244, 'ADP Data'!$B$4:$Q$300, 2, FALSE)</f>
        <v>#N/A</v>
      </c>
      <c r="J244" s="11" t="s">
        <v>784</v>
      </c>
      <c r="K244" s="11" t="str">
        <f>VLOOKUP($H244, SeanRanks!$A$2:$H$303, 5, FALSE)</f>
        <v/>
      </c>
      <c r="L244" s="11" t="str">
        <f>IF(VLOOKUP($H244, SeanRanks!$A$2:$H$303, 6, FALSE)=0, "", VLOOKUP($H244, SeanRanks!$A$2:$H$303, 6, FALSE))</f>
        <v/>
      </c>
      <c r="M244" s="11">
        <f t="shared" si="3"/>
        <v>16</v>
      </c>
      <c r="N244" s="11" t="str">
        <f>VLOOKUP($H244, 'ADP Data'!$B$4:$Q$300, 10, FALSE)</f>
        <v>#N/A</v>
      </c>
      <c r="O244" s="11" t="str">
        <f>VLOOKUP($H244, 'ADP Data'!$B$4:$Q$300, 4, FALSE)</f>
        <v>#N/A</v>
      </c>
      <c r="P244" s="11" t="str">
        <f t="shared" si="4"/>
        <v>#N/A</v>
      </c>
      <c r="Q244" s="11" t="str">
        <f>VLOOKUP($H244, 'ADP Data'!$B$4:$Q$300, 5, FALSE)</f>
        <v>#N/A</v>
      </c>
      <c r="R244" s="11" t="str">
        <f>VLOOKUP($H244, 'ADP Data'!$B$4:$Q$300, 6, FALSE)</f>
        <v>#N/A</v>
      </c>
      <c r="S244" s="11" t="str">
        <f>VLOOKUP($H244, 'ADP Data'!$B$4:$Q$300, 7, FALSE)</f>
        <v>#N/A</v>
      </c>
      <c r="T244" s="11" t="str">
        <f>VLOOKUP($H244, 'ADP Data'!$B$4:$Q$300, 8, FALSE)</f>
        <v>#N/A</v>
      </c>
      <c r="U244" s="11" t="str">
        <f>VLOOKUP($H244, 'ADP Data'!$B$4:$Q$300, 9, FALSE)</f>
        <v>#N/A</v>
      </c>
      <c r="V244" s="11" t="str">
        <f t="shared" si="5"/>
        <v>#N/A</v>
      </c>
      <c r="W244" s="11" t="str">
        <f t="shared" si="6"/>
        <v>#N/A</v>
      </c>
      <c r="X244" s="11" t="str">
        <f>IF(VLOOKUP($H244, SeanRanks!$A$2:$H$303, 7, FALSE)=0, "", VLOOKUP($H244, SeanRanks!$A$2:$H$303, 7, FALSE))</f>
        <v/>
      </c>
    </row>
    <row r="245" ht="14.25" customHeight="1">
      <c r="A245" s="11"/>
      <c r="B245" s="11" t="str">
        <f t="shared" si="7"/>
        <v>#N/A</v>
      </c>
      <c r="C245" s="11" t="s">
        <v>106</v>
      </c>
      <c r="D245" s="11"/>
      <c r="E245" s="11"/>
      <c r="F245" s="11">
        <f t="shared" si="2"/>
        <v>0</v>
      </c>
      <c r="G245" s="11"/>
      <c r="H245" s="11" t="s">
        <v>1329</v>
      </c>
      <c r="I245" s="58" t="str">
        <f>VLOOKUP($H245, 'ADP Data'!$B$4:$Q$300, 2, FALSE)</f>
        <v>#N/A</v>
      </c>
      <c r="J245" s="11" t="s">
        <v>772</v>
      </c>
      <c r="K245" s="11" t="str">
        <f>VLOOKUP($H245, SeanRanks!$A$2:$H$303, 5, FALSE)</f>
        <v>#N/A</v>
      </c>
      <c r="L245" s="11" t="str">
        <f>IF(VLOOKUP($H245, SeanRanks!$A$2:$H$303, 6, FALSE)=0, "", VLOOKUP($H245, SeanRanks!$A$2:$H$303, 6, FALSE))</f>
        <v>#N/A</v>
      </c>
      <c r="M245" s="11">
        <f t="shared" si="3"/>
        <v>16</v>
      </c>
      <c r="N245" s="11" t="str">
        <f>VLOOKUP($H245, 'ADP Data'!$B$4:$Q$300, 10, FALSE)</f>
        <v>#N/A</v>
      </c>
      <c r="O245" s="11" t="str">
        <f>VLOOKUP($H245, 'ADP Data'!$B$4:$Q$300, 4, FALSE)</f>
        <v>#N/A</v>
      </c>
      <c r="P245" s="11" t="str">
        <f t="shared" si="4"/>
        <v>#N/A</v>
      </c>
      <c r="Q245" s="11" t="str">
        <f>VLOOKUP($H245, 'ADP Data'!$B$4:$Q$300, 5, FALSE)</f>
        <v>#N/A</v>
      </c>
      <c r="R245" s="11" t="str">
        <f>VLOOKUP($H245, 'ADP Data'!$B$4:$Q$300, 6, FALSE)</f>
        <v>#N/A</v>
      </c>
      <c r="S245" s="11" t="str">
        <f>VLOOKUP($H245, 'ADP Data'!$B$4:$Q$300, 7, FALSE)</f>
        <v>#N/A</v>
      </c>
      <c r="T245" s="11" t="str">
        <f>VLOOKUP($H245, 'ADP Data'!$B$4:$Q$300, 8, FALSE)</f>
        <v>#N/A</v>
      </c>
      <c r="U245" s="11" t="str">
        <f>VLOOKUP($H245, 'ADP Data'!$B$4:$Q$300, 9, FALSE)</f>
        <v>#N/A</v>
      </c>
      <c r="V245" s="11" t="str">
        <f t="shared" si="5"/>
        <v>#N/A</v>
      </c>
      <c r="W245" s="11" t="str">
        <f t="shared" si="6"/>
        <v>#N/A</v>
      </c>
      <c r="X245" s="11" t="str">
        <f>IF(VLOOKUP($H245, SeanRanks!$A$2:$H$303, 7, FALSE)=0, "", VLOOKUP($H245, SeanRanks!$A$2:$H$303, 7, FALSE))</f>
        <v>#N/A</v>
      </c>
    </row>
    <row r="246" ht="14.25" customHeight="1">
      <c r="A246" s="11"/>
      <c r="B246" s="11" t="str">
        <f t="shared" si="7"/>
        <v>#N/A</v>
      </c>
      <c r="C246" s="11" t="s">
        <v>106</v>
      </c>
      <c r="D246" s="11"/>
      <c r="E246" s="11"/>
      <c r="F246" s="11">
        <f t="shared" si="2"/>
        <v>0</v>
      </c>
      <c r="G246" s="11"/>
      <c r="H246" s="11" t="s">
        <v>1187</v>
      </c>
      <c r="I246" s="11" t="str">
        <f>VLOOKUP($H246, 'ADP Data'!$B$4:$Q$300, 2, FALSE)</f>
        <v>#N/A</v>
      </c>
      <c r="J246" s="11" t="s">
        <v>770</v>
      </c>
      <c r="K246" s="11" t="str">
        <f>VLOOKUP($H246, SeanRanks!$A$2:$H$303, 5, FALSE)</f>
        <v>#N/A</v>
      </c>
      <c r="L246" s="11" t="str">
        <f>IF(VLOOKUP($H246, SeanRanks!$A$2:$H$303, 6, FALSE)=0, "", VLOOKUP($H246, SeanRanks!$A$2:$H$303, 6, FALSE))</f>
        <v>#N/A</v>
      </c>
      <c r="M246" s="11">
        <f t="shared" si="3"/>
        <v>16</v>
      </c>
      <c r="N246" s="11" t="str">
        <f>VLOOKUP($H246, 'ADP Data'!$B$4:$Q$300, 10, FALSE)</f>
        <v>#N/A</v>
      </c>
      <c r="O246" s="11" t="str">
        <f>VLOOKUP($H246, 'ADP Data'!$B$4:$Q$300, 4, FALSE)</f>
        <v>#N/A</v>
      </c>
      <c r="P246" s="11" t="str">
        <f t="shared" si="4"/>
        <v>#N/A</v>
      </c>
      <c r="Q246" s="11" t="str">
        <f>VLOOKUP($H246, 'ADP Data'!$B$4:$Q$300, 5, FALSE)</f>
        <v>#N/A</v>
      </c>
      <c r="R246" s="11" t="str">
        <f>VLOOKUP($H246, 'ADP Data'!$B$4:$Q$300, 6, FALSE)</f>
        <v>#N/A</v>
      </c>
      <c r="S246" s="11" t="str">
        <f>VLOOKUP($H246, 'ADP Data'!$B$4:$Q$300, 7, FALSE)</f>
        <v>#N/A</v>
      </c>
      <c r="T246" s="11" t="str">
        <f>VLOOKUP($H246, 'ADP Data'!$B$4:$Q$300, 8, FALSE)</f>
        <v>#N/A</v>
      </c>
      <c r="U246" s="11" t="str">
        <f>VLOOKUP($H246, 'ADP Data'!$B$4:$Q$300, 9, FALSE)</f>
        <v>#N/A</v>
      </c>
      <c r="V246" s="11" t="str">
        <f t="shared" si="5"/>
        <v>#N/A</v>
      </c>
      <c r="W246" s="11" t="str">
        <f t="shared" si="6"/>
        <v>#N/A</v>
      </c>
      <c r="X246" s="11" t="str">
        <f>IF(VLOOKUP($H246, SeanRanks!$A$2:$H$303, 7, FALSE)=0, "", VLOOKUP($H246, SeanRanks!$A$2:$H$303, 7, FALSE))</f>
        <v>#N/A</v>
      </c>
    </row>
    <row r="247" ht="14.25" customHeight="1">
      <c r="A247" s="11"/>
      <c r="B247" s="11" t="str">
        <f t="shared" si="7"/>
        <v>#N/A</v>
      </c>
      <c r="C247" s="11" t="s">
        <v>106</v>
      </c>
      <c r="D247" s="11"/>
      <c r="E247" s="11"/>
      <c r="F247" s="11">
        <f t="shared" si="2"/>
        <v>0</v>
      </c>
      <c r="G247" s="11"/>
      <c r="H247" s="11" t="s">
        <v>907</v>
      </c>
      <c r="I247" s="11" t="str">
        <f>VLOOKUP($H247, 'ADP Data'!$B$4:$Q$300, 2, FALSE)</f>
        <v>#N/A</v>
      </c>
      <c r="J247" s="11" t="s">
        <v>781</v>
      </c>
      <c r="K247" s="11" t="str">
        <f>VLOOKUP($H247, SeanRanks!$A$2:$H$303, 5, FALSE)</f>
        <v>#N/A</v>
      </c>
      <c r="L247" s="11" t="str">
        <f>IF(VLOOKUP($H247, SeanRanks!$A$2:$H$303, 6, FALSE)=0, "", VLOOKUP($H247, SeanRanks!$A$2:$H$303, 6, FALSE))</f>
        <v>#N/A</v>
      </c>
      <c r="M247" s="11">
        <f t="shared" si="3"/>
        <v>16</v>
      </c>
      <c r="N247" s="11" t="str">
        <f>VLOOKUP($H247, 'ADP Data'!$B$4:$Q$300, 10, FALSE)</f>
        <v>#N/A</v>
      </c>
      <c r="O247" s="11" t="str">
        <f>VLOOKUP($H247, 'ADP Data'!$B$4:$Q$300, 4, FALSE)</f>
        <v>#N/A</v>
      </c>
      <c r="P247" s="11" t="str">
        <f t="shared" si="4"/>
        <v>#N/A</v>
      </c>
      <c r="Q247" s="11" t="str">
        <f>VLOOKUP($H247, 'ADP Data'!$B$4:$Q$300, 5, FALSE)</f>
        <v>#N/A</v>
      </c>
      <c r="R247" s="11" t="str">
        <f>VLOOKUP($H247, 'ADP Data'!$B$4:$Q$300, 6, FALSE)</f>
        <v>#N/A</v>
      </c>
      <c r="S247" s="11" t="str">
        <f>VLOOKUP($H247, 'ADP Data'!$B$4:$Q$300, 7, FALSE)</f>
        <v>#N/A</v>
      </c>
      <c r="T247" s="11" t="str">
        <f>VLOOKUP($H247, 'ADP Data'!$B$4:$Q$300, 8, FALSE)</f>
        <v>#N/A</v>
      </c>
      <c r="U247" s="11" t="str">
        <f>VLOOKUP($H247, 'ADP Data'!$B$4:$Q$300, 9, FALSE)</f>
        <v>#N/A</v>
      </c>
      <c r="V247" s="11" t="str">
        <f t="shared" si="5"/>
        <v>#N/A</v>
      </c>
      <c r="W247" s="11" t="str">
        <f t="shared" si="6"/>
        <v>#N/A</v>
      </c>
      <c r="X247" s="11" t="str">
        <f>IF(VLOOKUP($H247, SeanRanks!$A$2:$H$303, 7, FALSE)=0, "", VLOOKUP($H247, SeanRanks!$A$2:$H$303, 7, FALSE))</f>
        <v>#N/A</v>
      </c>
    </row>
    <row r="248" ht="14.25" customHeight="1">
      <c r="A248" s="11"/>
      <c r="B248" s="11" t="str">
        <f t="shared" si="7"/>
        <v>#N/A</v>
      </c>
      <c r="C248" s="11" t="s">
        <v>106</v>
      </c>
      <c r="D248" s="11"/>
      <c r="E248" s="11"/>
      <c r="F248" s="11">
        <f t="shared" si="2"/>
        <v>0</v>
      </c>
      <c r="G248" s="11"/>
      <c r="H248" s="11" t="s">
        <v>919</v>
      </c>
      <c r="I248" s="11" t="str">
        <f>VLOOKUP($H248, 'ADP Data'!$B$4:$Q$300, 2, FALSE)</f>
        <v>#N/A</v>
      </c>
      <c r="J248" s="11" t="s">
        <v>781</v>
      </c>
      <c r="K248" s="11" t="str">
        <f>VLOOKUP($H248, SeanRanks!$A$2:$H$303, 5, FALSE)</f>
        <v/>
      </c>
      <c r="L248" s="11" t="str">
        <f>IF(VLOOKUP($H248, SeanRanks!$A$2:$H$303, 6, FALSE)=0, "", VLOOKUP($H248, SeanRanks!$A$2:$H$303, 6, FALSE))</f>
        <v/>
      </c>
      <c r="M248" s="11">
        <f t="shared" si="3"/>
        <v>16</v>
      </c>
      <c r="N248" s="11" t="str">
        <f>VLOOKUP($H248, 'ADP Data'!$B$4:$Q$300, 10, FALSE)</f>
        <v>#N/A</v>
      </c>
      <c r="O248" s="11" t="str">
        <f>VLOOKUP($H248, 'ADP Data'!$B$4:$Q$300, 4, FALSE)</f>
        <v>#N/A</v>
      </c>
      <c r="P248" s="11" t="str">
        <f t="shared" si="4"/>
        <v>#N/A</v>
      </c>
      <c r="Q248" s="11" t="str">
        <f>VLOOKUP($H248, 'ADP Data'!$B$4:$Q$300, 5, FALSE)</f>
        <v>#N/A</v>
      </c>
      <c r="R248" s="11" t="str">
        <f>VLOOKUP($H248, 'ADP Data'!$B$4:$Q$300, 6, FALSE)</f>
        <v>#N/A</v>
      </c>
      <c r="S248" s="11" t="str">
        <f>VLOOKUP($H248, 'ADP Data'!$B$4:$Q$300, 7, FALSE)</f>
        <v>#N/A</v>
      </c>
      <c r="T248" s="11" t="str">
        <f>VLOOKUP($H248, 'ADP Data'!$B$4:$Q$300, 8, FALSE)</f>
        <v>#N/A</v>
      </c>
      <c r="U248" s="11" t="str">
        <f>VLOOKUP($H248, 'ADP Data'!$B$4:$Q$300, 9, FALSE)</f>
        <v>#N/A</v>
      </c>
      <c r="V248" s="11" t="str">
        <f t="shared" si="5"/>
        <v>#N/A</v>
      </c>
      <c r="W248" s="11" t="str">
        <f t="shared" si="6"/>
        <v>#N/A</v>
      </c>
      <c r="X248" s="11" t="str">
        <f>IF(VLOOKUP($H248, SeanRanks!$A$2:$H$303, 7, FALSE)=0, "", VLOOKUP($H248, SeanRanks!$A$2:$H$303, 7, FALSE))</f>
        <v/>
      </c>
    </row>
    <row r="249" ht="14.25" customHeight="1">
      <c r="A249" s="11"/>
      <c r="B249" s="11" t="str">
        <f t="shared" si="7"/>
        <v>#N/A</v>
      </c>
      <c r="C249" s="11" t="s">
        <v>106</v>
      </c>
      <c r="D249" s="11"/>
      <c r="E249" s="11"/>
      <c r="F249" s="11">
        <f t="shared" si="2"/>
        <v>0</v>
      </c>
      <c r="G249" s="11"/>
      <c r="H249" s="11" t="s">
        <v>895</v>
      </c>
      <c r="I249" s="11" t="str">
        <f>VLOOKUP($H249, 'ADP Data'!$B$4:$Q$300, 2, FALSE)</f>
        <v>#N/A</v>
      </c>
      <c r="J249" s="11" t="s">
        <v>781</v>
      </c>
      <c r="K249" s="11" t="str">
        <f>VLOOKUP($H249, SeanRanks!$A$2:$H$303, 5, FALSE)</f>
        <v/>
      </c>
      <c r="L249" s="11" t="str">
        <f>IF(VLOOKUP($H249, SeanRanks!$A$2:$H$303, 6, FALSE)=0, "", VLOOKUP($H249, SeanRanks!$A$2:$H$303, 6, FALSE))</f>
        <v/>
      </c>
      <c r="M249" s="11">
        <f t="shared" si="3"/>
        <v>16</v>
      </c>
      <c r="N249" s="11" t="str">
        <f>VLOOKUP($H249, 'ADP Data'!$B$4:$Q$300, 10, FALSE)</f>
        <v>#N/A</v>
      </c>
      <c r="O249" s="11" t="str">
        <f>VLOOKUP($H249, 'ADP Data'!$B$4:$Q$300, 4, FALSE)</f>
        <v>#N/A</v>
      </c>
      <c r="P249" s="11" t="str">
        <f t="shared" si="4"/>
        <v>#N/A</v>
      </c>
      <c r="Q249" s="11" t="str">
        <f>VLOOKUP($H249, 'ADP Data'!$B$4:$Q$300, 5, FALSE)</f>
        <v>#N/A</v>
      </c>
      <c r="R249" s="11" t="str">
        <f>VLOOKUP($H249, 'ADP Data'!$B$4:$Q$300, 6, FALSE)</f>
        <v>#N/A</v>
      </c>
      <c r="S249" s="11" t="str">
        <f>VLOOKUP($H249, 'ADP Data'!$B$4:$Q$300, 7, FALSE)</f>
        <v>#N/A</v>
      </c>
      <c r="T249" s="11" t="str">
        <f>VLOOKUP($H249, 'ADP Data'!$B$4:$Q$300, 8, FALSE)</f>
        <v>#N/A</v>
      </c>
      <c r="U249" s="11" t="str">
        <f>VLOOKUP($H249, 'ADP Data'!$B$4:$Q$300, 9, FALSE)</f>
        <v>#N/A</v>
      </c>
      <c r="V249" s="11" t="str">
        <f t="shared" si="5"/>
        <v>#N/A</v>
      </c>
      <c r="W249" s="11" t="str">
        <f t="shared" si="6"/>
        <v>#N/A</v>
      </c>
      <c r="X249" s="11" t="str">
        <f>IF(VLOOKUP($H249, SeanRanks!$A$2:$H$303, 7, FALSE)=0, "", VLOOKUP($H249, SeanRanks!$A$2:$H$303, 7, FALSE))</f>
        <v/>
      </c>
    </row>
    <row r="250" ht="14.25" customHeight="1">
      <c r="A250" s="11"/>
      <c r="B250" s="11" t="str">
        <f t="shared" si="7"/>
        <v>#N/A</v>
      </c>
      <c r="C250" s="11" t="s">
        <v>106</v>
      </c>
      <c r="D250" s="11"/>
      <c r="E250" s="11"/>
      <c r="F250" s="11">
        <f t="shared" si="2"/>
        <v>0</v>
      </c>
      <c r="G250" s="11"/>
      <c r="H250" s="11" t="s">
        <v>1301</v>
      </c>
      <c r="I250" s="11" t="str">
        <f>VLOOKUP($H250, 'ADP Data'!$B$4:$Q$300, 2, FALSE)</f>
        <v>#N/A</v>
      </c>
      <c r="J250" s="11" t="s">
        <v>775</v>
      </c>
      <c r="K250" s="11" t="str">
        <f>VLOOKUP($H250, SeanRanks!$A$2:$H$303, 5, FALSE)</f>
        <v>#N/A</v>
      </c>
      <c r="L250" s="11" t="str">
        <f>IF(VLOOKUP($H250, SeanRanks!$A$2:$H$303, 6, FALSE)=0, "", VLOOKUP($H250, SeanRanks!$A$2:$H$303, 6, FALSE))</f>
        <v>#N/A</v>
      </c>
      <c r="M250" s="11">
        <f t="shared" si="3"/>
        <v>16</v>
      </c>
      <c r="N250" s="11" t="str">
        <f>VLOOKUP($H250, 'ADP Data'!$B$4:$Q$300, 10, FALSE)</f>
        <v>#N/A</v>
      </c>
      <c r="O250" s="11" t="str">
        <f>VLOOKUP($H250, 'ADP Data'!$B$4:$Q$300, 4, FALSE)</f>
        <v>#N/A</v>
      </c>
      <c r="P250" s="11" t="str">
        <f t="shared" si="4"/>
        <v>#N/A</v>
      </c>
      <c r="Q250" s="11" t="str">
        <f>VLOOKUP($H250, 'ADP Data'!$B$4:$Q$300, 5, FALSE)</f>
        <v>#N/A</v>
      </c>
      <c r="R250" s="11" t="str">
        <f>VLOOKUP($H250, 'ADP Data'!$B$4:$Q$300, 6, FALSE)</f>
        <v>#N/A</v>
      </c>
      <c r="S250" s="11" t="str">
        <f>VLOOKUP($H250, 'ADP Data'!$B$4:$Q$300, 7, FALSE)</f>
        <v>#N/A</v>
      </c>
      <c r="T250" s="11" t="str">
        <f>VLOOKUP($H250, 'ADP Data'!$B$4:$Q$300, 8, FALSE)</f>
        <v>#N/A</v>
      </c>
      <c r="U250" s="11" t="str">
        <f>VLOOKUP($H250, 'ADP Data'!$B$4:$Q$300, 9, FALSE)</f>
        <v>#N/A</v>
      </c>
      <c r="V250" s="11" t="str">
        <f t="shared" si="5"/>
        <v>#N/A</v>
      </c>
      <c r="W250" s="11" t="str">
        <f t="shared" si="6"/>
        <v>#N/A</v>
      </c>
      <c r="X250" s="11" t="str">
        <f>IF(VLOOKUP($H250, SeanRanks!$A$2:$H$303, 7, FALSE)=0, "", VLOOKUP($H250, SeanRanks!$A$2:$H$303, 7, FALSE))</f>
        <v>#N/A</v>
      </c>
    </row>
    <row r="251" ht="14.25" customHeight="1">
      <c r="A251" s="11"/>
      <c r="B251" s="11" t="str">
        <f t="shared" si="7"/>
        <v>#N/A</v>
      </c>
      <c r="C251" s="11" t="s">
        <v>106</v>
      </c>
      <c r="D251" s="11"/>
      <c r="E251" s="11"/>
      <c r="F251" s="11">
        <f t="shared" si="2"/>
        <v>0</v>
      </c>
      <c r="G251" s="11"/>
      <c r="H251" s="11" t="s">
        <v>1336</v>
      </c>
      <c r="I251" s="11" t="str">
        <f>VLOOKUP($H251, 'ADP Data'!$B$4:$Q$300, 2, FALSE)</f>
        <v>#N/A</v>
      </c>
      <c r="J251" s="11" t="s">
        <v>770</v>
      </c>
      <c r="K251" s="11" t="str">
        <f>VLOOKUP($H251, SeanRanks!$A$2:$H$303, 5, FALSE)</f>
        <v>#N/A</v>
      </c>
      <c r="L251" s="11" t="str">
        <f>IF(VLOOKUP($H251, SeanRanks!$A$2:$H$303, 6, FALSE)=0, "", VLOOKUP($H251, SeanRanks!$A$2:$H$303, 6, FALSE))</f>
        <v>#N/A</v>
      </c>
      <c r="M251" s="11">
        <f t="shared" si="3"/>
        <v>16</v>
      </c>
      <c r="N251" s="11" t="str">
        <f>VLOOKUP($H251, 'ADP Data'!$B$4:$Q$300, 10, FALSE)</f>
        <v>#N/A</v>
      </c>
      <c r="O251" s="11" t="str">
        <f>VLOOKUP($H251, 'ADP Data'!$B$4:$Q$300, 4, FALSE)</f>
        <v>#N/A</v>
      </c>
      <c r="P251" s="11" t="str">
        <f t="shared" si="4"/>
        <v>#N/A</v>
      </c>
      <c r="Q251" s="11" t="str">
        <f>VLOOKUP($H251, 'ADP Data'!$B$4:$Q$300, 5, FALSE)</f>
        <v>#N/A</v>
      </c>
      <c r="R251" s="11" t="str">
        <f>VLOOKUP($H251, 'ADP Data'!$B$4:$Q$300, 6, FALSE)</f>
        <v>#N/A</v>
      </c>
      <c r="S251" s="11" t="str">
        <f>VLOOKUP($H251, 'ADP Data'!$B$4:$Q$300, 7, FALSE)</f>
        <v>#N/A</v>
      </c>
      <c r="T251" s="11" t="str">
        <f>VLOOKUP($H251, 'ADP Data'!$B$4:$Q$300, 8, FALSE)</f>
        <v>#N/A</v>
      </c>
      <c r="U251" s="11" t="str">
        <f>VLOOKUP($H251, 'ADP Data'!$B$4:$Q$300, 9, FALSE)</f>
        <v>#N/A</v>
      </c>
      <c r="V251" s="11" t="str">
        <f t="shared" si="5"/>
        <v>#N/A</v>
      </c>
      <c r="W251" s="11" t="str">
        <f t="shared" si="6"/>
        <v>#N/A</v>
      </c>
      <c r="X251" s="11" t="str">
        <f>IF(VLOOKUP($H251, SeanRanks!$A$2:$H$303, 7, FALSE)=0, "", VLOOKUP($H251, SeanRanks!$A$2:$H$303, 7, FALSE))</f>
        <v>#N/A</v>
      </c>
    </row>
    <row r="252" ht="14.25" customHeight="1">
      <c r="A252" s="11"/>
      <c r="B252" s="11" t="str">
        <f t="shared" si="7"/>
        <v>#N/A</v>
      </c>
      <c r="C252" s="11" t="s">
        <v>106</v>
      </c>
      <c r="D252" s="11"/>
      <c r="E252" s="11"/>
      <c r="F252" s="11">
        <f t="shared" si="2"/>
        <v>0</v>
      </c>
      <c r="G252" s="11"/>
      <c r="H252" s="11" t="s">
        <v>839</v>
      </c>
      <c r="I252" s="11" t="str">
        <f>VLOOKUP($H252, 'ADP Data'!$B$4:$Q$300, 2, FALSE)</f>
        <v>#N/A</v>
      </c>
      <c r="J252" s="11" t="s">
        <v>770</v>
      </c>
      <c r="K252" s="11" t="str">
        <f>VLOOKUP($H252, SeanRanks!$A$2:$H$303, 5, FALSE)</f>
        <v>#N/A</v>
      </c>
      <c r="L252" s="11" t="str">
        <f>IF(VLOOKUP($H252, SeanRanks!$A$2:$H$303, 6, FALSE)=0, "", VLOOKUP($H252, SeanRanks!$A$2:$H$303, 6, FALSE))</f>
        <v>#N/A</v>
      </c>
      <c r="M252" s="11">
        <f t="shared" si="3"/>
        <v>16</v>
      </c>
      <c r="N252" s="11" t="str">
        <f>VLOOKUP($H252, 'ADP Data'!$B$4:$Q$300, 10, FALSE)</f>
        <v>#N/A</v>
      </c>
      <c r="O252" s="11" t="str">
        <f>VLOOKUP($H252, 'ADP Data'!$B$4:$Q$300, 4, FALSE)</f>
        <v>#N/A</v>
      </c>
      <c r="P252" s="11" t="str">
        <f t="shared" si="4"/>
        <v>#N/A</v>
      </c>
      <c r="Q252" s="11" t="str">
        <f>VLOOKUP($H252, 'ADP Data'!$B$4:$Q$300, 5, FALSE)</f>
        <v>#N/A</v>
      </c>
      <c r="R252" s="11" t="str">
        <f>VLOOKUP($H252, 'ADP Data'!$B$4:$Q$300, 6, FALSE)</f>
        <v>#N/A</v>
      </c>
      <c r="S252" s="11" t="str">
        <f>VLOOKUP($H252, 'ADP Data'!$B$4:$Q$300, 7, FALSE)</f>
        <v>#N/A</v>
      </c>
      <c r="T252" s="11" t="str">
        <f>VLOOKUP($H252, 'ADP Data'!$B$4:$Q$300, 8, FALSE)</f>
        <v>#N/A</v>
      </c>
      <c r="U252" s="11" t="str">
        <f>VLOOKUP($H252, 'ADP Data'!$B$4:$Q$300, 9, FALSE)</f>
        <v>#N/A</v>
      </c>
      <c r="V252" s="11" t="str">
        <f t="shared" si="5"/>
        <v>#N/A</v>
      </c>
      <c r="W252" s="11" t="str">
        <f t="shared" si="6"/>
        <v>#N/A</v>
      </c>
      <c r="X252" s="11" t="str">
        <f>IF(VLOOKUP($H252, SeanRanks!$A$2:$H$303, 7, FALSE)=0, "", VLOOKUP($H252, SeanRanks!$A$2:$H$303, 7, FALSE))</f>
        <v>#N/A</v>
      </c>
    </row>
    <row r="253" ht="14.25" customHeight="1">
      <c r="A253" s="11"/>
      <c r="B253" s="11" t="str">
        <f t="shared" si="7"/>
        <v>#N/A</v>
      </c>
      <c r="C253" s="11" t="s">
        <v>106</v>
      </c>
      <c r="D253" s="11"/>
      <c r="E253" s="11"/>
      <c r="F253" s="11">
        <f t="shared" si="2"/>
        <v>0</v>
      </c>
      <c r="G253" s="11"/>
      <c r="H253" s="11" t="s">
        <v>1342</v>
      </c>
      <c r="I253" s="11" t="str">
        <f>VLOOKUP($H253, 'ADP Data'!$B$4:$Q$300, 2, FALSE)</f>
        <v>#N/A</v>
      </c>
      <c r="J253" s="11" t="s">
        <v>775</v>
      </c>
      <c r="K253" s="11" t="str">
        <f>VLOOKUP($H253, SeanRanks!$A$2:$H$303, 5, FALSE)</f>
        <v>#N/A</v>
      </c>
      <c r="L253" s="11" t="str">
        <f>IF(VLOOKUP($H253, SeanRanks!$A$2:$H$303, 6, FALSE)=0, "", VLOOKUP($H253, SeanRanks!$A$2:$H$303, 6, FALSE))</f>
        <v>#N/A</v>
      </c>
      <c r="M253" s="11">
        <f t="shared" si="3"/>
        <v>16</v>
      </c>
      <c r="N253" s="11" t="str">
        <f>VLOOKUP($H253, 'ADP Data'!$B$4:$Q$300, 10, FALSE)</f>
        <v>#N/A</v>
      </c>
      <c r="O253" s="11" t="str">
        <f>VLOOKUP($H253, 'ADP Data'!$B$4:$Q$300, 4, FALSE)</f>
        <v>#N/A</v>
      </c>
      <c r="P253" s="11" t="str">
        <f t="shared" si="4"/>
        <v>#N/A</v>
      </c>
      <c r="Q253" s="11" t="str">
        <f>VLOOKUP($H253, 'ADP Data'!$B$4:$Q$300, 5, FALSE)</f>
        <v>#N/A</v>
      </c>
      <c r="R253" s="11" t="str">
        <f>VLOOKUP($H253, 'ADP Data'!$B$4:$Q$300, 6, FALSE)</f>
        <v>#N/A</v>
      </c>
      <c r="S253" s="11" t="str">
        <f>VLOOKUP($H253, 'ADP Data'!$B$4:$Q$300, 7, FALSE)</f>
        <v>#N/A</v>
      </c>
      <c r="T253" s="11" t="str">
        <f>VLOOKUP($H253, 'ADP Data'!$B$4:$Q$300, 8, FALSE)</f>
        <v>#N/A</v>
      </c>
      <c r="U253" s="11" t="str">
        <f>VLOOKUP($H253, 'ADP Data'!$B$4:$Q$300, 9, FALSE)</f>
        <v>#N/A</v>
      </c>
      <c r="V253" s="11" t="str">
        <f t="shared" si="5"/>
        <v>#N/A</v>
      </c>
      <c r="W253" s="11" t="str">
        <f t="shared" si="6"/>
        <v>#N/A</v>
      </c>
      <c r="X253" s="11" t="str">
        <f>IF(VLOOKUP($H253, SeanRanks!$A$2:$H$303, 7, FALSE)=0, "", VLOOKUP($H253, SeanRanks!$A$2:$H$303, 7, FALSE))</f>
        <v>#N/A</v>
      </c>
    </row>
    <row r="254" ht="14.25" customHeight="1">
      <c r="A254" s="11"/>
      <c r="B254" s="11" t="str">
        <f t="shared" si="7"/>
        <v>#N/A</v>
      </c>
      <c r="C254" s="11" t="s">
        <v>106</v>
      </c>
      <c r="D254" s="11"/>
      <c r="E254" s="11"/>
      <c r="F254" s="11">
        <f t="shared" si="2"/>
        <v>0</v>
      </c>
      <c r="G254" s="11"/>
      <c r="H254" s="11" t="s">
        <v>80</v>
      </c>
      <c r="I254" s="11" t="str">
        <f>VLOOKUP($H254, 'ADP Data'!$B$4:$Q$300, 2, FALSE)</f>
        <v>#N/A</v>
      </c>
      <c r="J254" s="11" t="s">
        <v>772</v>
      </c>
      <c r="K254" s="11" t="str">
        <f>VLOOKUP($H254, SeanRanks!$A$2:$H$303, 5, FALSE)</f>
        <v>Yes</v>
      </c>
      <c r="L254" s="11" t="str">
        <f>IF(VLOOKUP($H254, SeanRanks!$A$2:$H$303, 6, FALSE)=0, "", VLOOKUP($H254, SeanRanks!$A$2:$H$303, 6, FALSE))</f>
        <v>RB1 - 2 - Elite ceiling/questions</v>
      </c>
      <c r="M254" s="11">
        <f t="shared" si="3"/>
        <v>16</v>
      </c>
      <c r="N254" s="11" t="str">
        <f>VLOOKUP($H254, 'ADP Data'!$B$4:$Q$300, 10, FALSE)</f>
        <v>#N/A</v>
      </c>
      <c r="O254" s="11" t="str">
        <f>VLOOKUP($H254, 'ADP Data'!$B$4:$Q$300, 4, FALSE)</f>
        <v>#N/A</v>
      </c>
      <c r="P254" s="11" t="str">
        <f t="shared" si="4"/>
        <v>#N/A</v>
      </c>
      <c r="Q254" s="11" t="str">
        <f>VLOOKUP($H254, 'ADP Data'!$B$4:$Q$300, 5, FALSE)</f>
        <v>#N/A</v>
      </c>
      <c r="R254" s="11" t="str">
        <f>VLOOKUP($H254, 'ADP Data'!$B$4:$Q$300, 6, FALSE)</f>
        <v>#N/A</v>
      </c>
      <c r="S254" s="11" t="str">
        <f>VLOOKUP($H254, 'ADP Data'!$B$4:$Q$300, 7, FALSE)</f>
        <v>#N/A</v>
      </c>
      <c r="T254" s="11" t="str">
        <f>VLOOKUP($H254, 'ADP Data'!$B$4:$Q$300, 8, FALSE)</f>
        <v>#N/A</v>
      </c>
      <c r="U254" s="11" t="str">
        <f>VLOOKUP($H254, 'ADP Data'!$B$4:$Q$300, 9, FALSE)</f>
        <v>#N/A</v>
      </c>
      <c r="V254" s="11" t="str">
        <f t="shared" si="5"/>
        <v>#N/A</v>
      </c>
      <c r="W254" s="11" t="str">
        <f t="shared" si="6"/>
        <v>#N/A</v>
      </c>
      <c r="X254" s="11">
        <f>IF(VLOOKUP($H254, SeanRanks!$A$2:$H$303, 7, FALSE)=0, "", VLOOKUP($H254, SeanRanks!$A$2:$H$303, 7, FALSE))</f>
        <v>10</v>
      </c>
    </row>
    <row r="255" ht="14.25" customHeight="1">
      <c r="A255" s="11"/>
      <c r="B255" s="11" t="str">
        <f t="shared" si="7"/>
        <v>#N/A</v>
      </c>
      <c r="C255" s="11" t="s">
        <v>106</v>
      </c>
      <c r="D255" s="11"/>
      <c r="E255" s="11"/>
      <c r="F255" s="11">
        <f t="shared" si="2"/>
        <v>0</v>
      </c>
      <c r="G255" s="11"/>
      <c r="H255" s="11" t="s">
        <v>1347</v>
      </c>
      <c r="I255" s="58" t="str">
        <f>VLOOKUP($H255, 'ADP Data'!$B$4:$Q$300, 2, FALSE)</f>
        <v>#N/A</v>
      </c>
      <c r="J255" s="11" t="s">
        <v>775</v>
      </c>
      <c r="K255" s="11" t="str">
        <f>VLOOKUP($H255, SeanRanks!$A$2:$H$303, 5, FALSE)</f>
        <v>#N/A</v>
      </c>
      <c r="L255" s="11" t="str">
        <f>IF(VLOOKUP($H255, SeanRanks!$A$2:$H$303, 6, FALSE)=0, "", VLOOKUP($H255, SeanRanks!$A$2:$H$303, 6, FALSE))</f>
        <v>#N/A</v>
      </c>
      <c r="M255" s="11">
        <f t="shared" si="3"/>
        <v>16</v>
      </c>
      <c r="N255" s="11" t="str">
        <f>VLOOKUP($H255, 'ADP Data'!$B$4:$Q$300, 10, FALSE)</f>
        <v>#N/A</v>
      </c>
      <c r="O255" s="11" t="str">
        <f>VLOOKUP($H255, 'ADP Data'!$B$4:$Q$300, 4, FALSE)</f>
        <v>#N/A</v>
      </c>
      <c r="P255" s="11" t="str">
        <f t="shared" si="4"/>
        <v>#N/A</v>
      </c>
      <c r="Q255" s="11" t="str">
        <f>VLOOKUP($H255, 'ADP Data'!$B$4:$Q$300, 5, FALSE)</f>
        <v>#N/A</v>
      </c>
      <c r="R255" s="11" t="str">
        <f>VLOOKUP($H255, 'ADP Data'!$B$4:$Q$300, 6, FALSE)</f>
        <v>#N/A</v>
      </c>
      <c r="S255" s="11" t="str">
        <f>VLOOKUP($H255, 'ADP Data'!$B$4:$Q$300, 7, FALSE)</f>
        <v>#N/A</v>
      </c>
      <c r="T255" s="11" t="str">
        <f>VLOOKUP($H255, 'ADP Data'!$B$4:$Q$300, 8, FALSE)</f>
        <v>#N/A</v>
      </c>
      <c r="U255" s="11" t="str">
        <f>VLOOKUP($H255, 'ADP Data'!$B$4:$Q$300, 9, FALSE)</f>
        <v>#N/A</v>
      </c>
      <c r="V255" s="11" t="str">
        <f t="shared" si="5"/>
        <v>#N/A</v>
      </c>
      <c r="W255" s="11" t="str">
        <f t="shared" si="6"/>
        <v>#N/A</v>
      </c>
      <c r="X255" s="11" t="str">
        <f>IF(VLOOKUP($H255, SeanRanks!$A$2:$H$303, 7, FALSE)=0, "", VLOOKUP($H255, SeanRanks!$A$2:$H$303, 7, FALSE))</f>
        <v>#N/A</v>
      </c>
    </row>
    <row r="256" ht="14.25" customHeight="1">
      <c r="A256" s="11"/>
      <c r="B256" s="11" t="str">
        <f t="shared" si="7"/>
        <v>#N/A</v>
      </c>
      <c r="C256" s="11" t="s">
        <v>106</v>
      </c>
      <c r="D256" s="11"/>
      <c r="E256" s="11"/>
      <c r="F256" s="11">
        <f t="shared" si="2"/>
        <v>0</v>
      </c>
      <c r="G256" s="11"/>
      <c r="H256" s="11" t="s">
        <v>664</v>
      </c>
      <c r="I256" s="11" t="str">
        <f>VLOOKUP($H256, 'ADP Data'!$B$4:$Q$300, 2, FALSE)</f>
        <v>#N/A</v>
      </c>
      <c r="J256" s="11" t="s">
        <v>785</v>
      </c>
      <c r="K256" s="11" t="str">
        <f>VLOOKUP($H256, SeanRanks!$A$2:$H$303, 5, FALSE)</f>
        <v/>
      </c>
      <c r="L256" s="11" t="str">
        <f>IF(VLOOKUP($H256, SeanRanks!$A$2:$H$303, 6, FALSE)=0, "", VLOOKUP($H256, SeanRanks!$A$2:$H$303, 6, FALSE))</f>
        <v/>
      </c>
      <c r="M256" s="11">
        <f t="shared" si="3"/>
        <v>16</v>
      </c>
      <c r="N256" s="11" t="str">
        <f>VLOOKUP($H256, 'ADP Data'!$B$4:$Q$300, 10, FALSE)</f>
        <v>#N/A</v>
      </c>
      <c r="O256" s="11" t="str">
        <f>VLOOKUP($H256, 'ADP Data'!$B$4:$Q$300, 4, FALSE)</f>
        <v>#N/A</v>
      </c>
      <c r="P256" s="11" t="str">
        <f t="shared" si="4"/>
        <v>#N/A</v>
      </c>
      <c r="Q256" s="11" t="str">
        <f>VLOOKUP($H256, 'ADP Data'!$B$4:$Q$300, 5, FALSE)</f>
        <v>#N/A</v>
      </c>
      <c r="R256" s="11" t="str">
        <f>VLOOKUP($H256, 'ADP Data'!$B$4:$Q$300, 6, FALSE)</f>
        <v>#N/A</v>
      </c>
      <c r="S256" s="11" t="str">
        <f>VLOOKUP($H256, 'ADP Data'!$B$4:$Q$300, 7, FALSE)</f>
        <v>#N/A</v>
      </c>
      <c r="T256" s="11" t="str">
        <f>VLOOKUP($H256, 'ADP Data'!$B$4:$Q$300, 8, FALSE)</f>
        <v>#N/A</v>
      </c>
      <c r="U256" s="11" t="str">
        <f>VLOOKUP($H256, 'ADP Data'!$B$4:$Q$300, 9, FALSE)</f>
        <v>#N/A</v>
      </c>
      <c r="V256" s="11" t="str">
        <f t="shared" si="5"/>
        <v>#N/A</v>
      </c>
      <c r="W256" s="11" t="str">
        <f t="shared" si="6"/>
        <v>#N/A</v>
      </c>
      <c r="X256" s="11" t="str">
        <f>IF(VLOOKUP($H256, SeanRanks!$A$2:$H$303, 7, FALSE)=0, "", VLOOKUP($H256, SeanRanks!$A$2:$H$303, 7, FALSE))</f>
        <v/>
      </c>
    </row>
    <row r="257" ht="14.25" customHeight="1">
      <c r="A257" s="11"/>
      <c r="B257" s="11" t="str">
        <f t="shared" si="7"/>
        <v>#N/A</v>
      </c>
      <c r="C257" s="11" t="s">
        <v>106</v>
      </c>
      <c r="D257" s="11"/>
      <c r="E257" s="11"/>
      <c r="F257" s="11">
        <f t="shared" si="2"/>
        <v>0</v>
      </c>
      <c r="G257" s="11"/>
      <c r="H257" s="11" t="s">
        <v>491</v>
      </c>
      <c r="I257" s="11" t="str">
        <f>VLOOKUP($H257, 'ADP Data'!$B$4:$Q$300, 2, FALSE)</f>
        <v>#N/A</v>
      </c>
      <c r="J257" s="11" t="s">
        <v>785</v>
      </c>
      <c r="K257" s="11" t="str">
        <f>VLOOKUP($H257, SeanRanks!$A$2:$H$303, 5, FALSE)</f>
        <v/>
      </c>
      <c r="L257" s="11" t="str">
        <f>IF(VLOOKUP($H257, SeanRanks!$A$2:$H$303, 6, FALSE)=0, "", VLOOKUP($H257, SeanRanks!$A$2:$H$303, 6, FALSE))</f>
        <v/>
      </c>
      <c r="M257" s="11">
        <f t="shared" si="3"/>
        <v>16</v>
      </c>
      <c r="N257" s="11" t="str">
        <f>VLOOKUP($H257, 'ADP Data'!$B$4:$Q$300, 10, FALSE)</f>
        <v>#N/A</v>
      </c>
      <c r="O257" s="11" t="str">
        <f>VLOOKUP($H257, 'ADP Data'!$B$4:$Q$300, 4, FALSE)</f>
        <v>#N/A</v>
      </c>
      <c r="P257" s="11" t="str">
        <f t="shared" si="4"/>
        <v>#N/A</v>
      </c>
      <c r="Q257" s="11" t="str">
        <f>VLOOKUP($H257, 'ADP Data'!$B$4:$Q$300, 5, FALSE)</f>
        <v>#N/A</v>
      </c>
      <c r="R257" s="11" t="str">
        <f>VLOOKUP($H257, 'ADP Data'!$B$4:$Q$300, 6, FALSE)</f>
        <v>#N/A</v>
      </c>
      <c r="S257" s="11" t="str">
        <f>VLOOKUP($H257, 'ADP Data'!$B$4:$Q$300, 7, FALSE)</f>
        <v>#N/A</v>
      </c>
      <c r="T257" s="11" t="str">
        <f>VLOOKUP($H257, 'ADP Data'!$B$4:$Q$300, 8, FALSE)</f>
        <v>#N/A</v>
      </c>
      <c r="U257" s="11" t="str">
        <f>VLOOKUP($H257, 'ADP Data'!$B$4:$Q$300, 9, FALSE)</f>
        <v>#N/A</v>
      </c>
      <c r="V257" s="11" t="str">
        <f t="shared" si="5"/>
        <v>#N/A</v>
      </c>
      <c r="W257" s="11" t="str">
        <f t="shared" si="6"/>
        <v>#N/A</v>
      </c>
      <c r="X257" s="11" t="str">
        <f>IF(VLOOKUP($H257, SeanRanks!$A$2:$H$303, 7, FALSE)=0, "", VLOOKUP($H257, SeanRanks!$A$2:$H$303, 7, FALSE))</f>
        <v/>
      </c>
    </row>
    <row r="258" ht="14.25" customHeight="1">
      <c r="A258" s="11"/>
      <c r="B258" s="11" t="str">
        <f t="shared" si="7"/>
        <v>#N/A</v>
      </c>
      <c r="C258" s="11" t="s">
        <v>106</v>
      </c>
      <c r="D258" s="11"/>
      <c r="E258" s="11"/>
      <c r="F258" s="11">
        <f t="shared" si="2"/>
        <v>0</v>
      </c>
      <c r="G258" s="11"/>
      <c r="H258" s="11" t="s">
        <v>529</v>
      </c>
      <c r="I258" s="11" t="str">
        <f>VLOOKUP($H258, 'ADP Data'!$B$4:$Q$300, 2, FALSE)</f>
        <v>#N/A</v>
      </c>
      <c r="J258" s="11" t="s">
        <v>785</v>
      </c>
      <c r="K258" s="11" t="str">
        <f>VLOOKUP($H258, SeanRanks!$A$2:$H$303, 5, FALSE)</f>
        <v>#N/A</v>
      </c>
      <c r="L258" s="11" t="str">
        <f>IF(VLOOKUP($H258, SeanRanks!$A$2:$H$303, 6, FALSE)=0, "", VLOOKUP($H258, SeanRanks!$A$2:$H$303, 6, FALSE))</f>
        <v>#N/A</v>
      </c>
      <c r="M258" s="11">
        <f t="shared" si="3"/>
        <v>16</v>
      </c>
      <c r="N258" s="11" t="str">
        <f>VLOOKUP($H258, 'ADP Data'!$B$4:$Q$300, 10, FALSE)</f>
        <v>#N/A</v>
      </c>
      <c r="O258" s="11" t="str">
        <f>VLOOKUP($H258, 'ADP Data'!$B$4:$Q$300, 4, FALSE)</f>
        <v>#N/A</v>
      </c>
      <c r="P258" s="11" t="str">
        <f t="shared" si="4"/>
        <v>#N/A</v>
      </c>
      <c r="Q258" s="11" t="str">
        <f>VLOOKUP($H258, 'ADP Data'!$B$4:$Q$300, 5, FALSE)</f>
        <v>#N/A</v>
      </c>
      <c r="R258" s="11" t="str">
        <f>VLOOKUP($H258, 'ADP Data'!$B$4:$Q$300, 6, FALSE)</f>
        <v>#N/A</v>
      </c>
      <c r="S258" s="11" t="str">
        <f>VLOOKUP($H258, 'ADP Data'!$B$4:$Q$300, 7, FALSE)</f>
        <v>#N/A</v>
      </c>
      <c r="T258" s="11" t="str">
        <f>VLOOKUP($H258, 'ADP Data'!$B$4:$Q$300, 8, FALSE)</f>
        <v>#N/A</v>
      </c>
      <c r="U258" s="11" t="str">
        <f>VLOOKUP($H258, 'ADP Data'!$B$4:$Q$300, 9, FALSE)</f>
        <v>#N/A</v>
      </c>
      <c r="V258" s="11" t="str">
        <f t="shared" si="5"/>
        <v>#N/A</v>
      </c>
      <c r="W258" s="11" t="str">
        <f t="shared" si="6"/>
        <v>#N/A</v>
      </c>
      <c r="X258" s="11" t="str">
        <f>IF(VLOOKUP($H258, SeanRanks!$A$2:$H$303, 7, FALSE)=0, "", VLOOKUP($H258, SeanRanks!$A$2:$H$303, 7, FALSE))</f>
        <v>#N/A</v>
      </c>
    </row>
    <row r="259" ht="14.25" customHeight="1">
      <c r="A259" s="11"/>
      <c r="B259" s="11" t="str">
        <f t="shared" si="7"/>
        <v>#N/A</v>
      </c>
      <c r="C259" s="11" t="s">
        <v>106</v>
      </c>
      <c r="D259" s="11"/>
      <c r="E259" s="11"/>
      <c r="F259" s="11">
        <f t="shared" si="2"/>
        <v>0</v>
      </c>
      <c r="G259" s="11"/>
      <c r="H259" s="11" t="s">
        <v>532</v>
      </c>
      <c r="I259" s="58" t="str">
        <f>VLOOKUP($H259, 'ADP Data'!$B$4:$Q$300, 2, FALSE)</f>
        <v>#N/A</v>
      </c>
      <c r="J259" s="11" t="s">
        <v>785</v>
      </c>
      <c r="K259" s="11" t="str">
        <f>VLOOKUP($H259, SeanRanks!$A$2:$H$303, 5, FALSE)</f>
        <v/>
      </c>
      <c r="L259" s="11" t="str">
        <f>IF(VLOOKUP($H259, SeanRanks!$A$2:$H$303, 6, FALSE)=0, "", VLOOKUP($H259, SeanRanks!$A$2:$H$303, 6, FALSE))</f>
        <v/>
      </c>
      <c r="M259" s="11">
        <f t="shared" si="3"/>
        <v>16</v>
      </c>
      <c r="N259" s="11" t="str">
        <f>VLOOKUP($H259, 'ADP Data'!$B$4:$Q$300, 10, FALSE)</f>
        <v>#N/A</v>
      </c>
      <c r="O259" s="11" t="str">
        <f>VLOOKUP($H259, 'ADP Data'!$B$4:$Q$300, 4, FALSE)</f>
        <v>#N/A</v>
      </c>
      <c r="P259" s="11" t="str">
        <f t="shared" si="4"/>
        <v>#N/A</v>
      </c>
      <c r="Q259" s="11" t="str">
        <f>VLOOKUP($H259, 'ADP Data'!$B$4:$Q$300, 5, FALSE)</f>
        <v>#N/A</v>
      </c>
      <c r="R259" s="11" t="str">
        <f>VLOOKUP($H259, 'ADP Data'!$B$4:$Q$300, 6, FALSE)</f>
        <v>#N/A</v>
      </c>
      <c r="S259" s="11" t="str">
        <f>VLOOKUP($H259, 'ADP Data'!$B$4:$Q$300, 7, FALSE)</f>
        <v>#N/A</v>
      </c>
      <c r="T259" s="11" t="str">
        <f>VLOOKUP($H259, 'ADP Data'!$B$4:$Q$300, 8, FALSE)</f>
        <v>#N/A</v>
      </c>
      <c r="U259" s="11" t="str">
        <f>VLOOKUP($H259, 'ADP Data'!$B$4:$Q$300, 9, FALSE)</f>
        <v>#N/A</v>
      </c>
      <c r="V259" s="11" t="str">
        <f t="shared" si="5"/>
        <v>#N/A</v>
      </c>
      <c r="W259" s="11" t="str">
        <f t="shared" si="6"/>
        <v>#N/A</v>
      </c>
      <c r="X259" s="11" t="str">
        <f>IF(VLOOKUP($H259, SeanRanks!$A$2:$H$303, 7, FALSE)=0, "", VLOOKUP($H259, SeanRanks!$A$2:$H$303, 7, FALSE))</f>
        <v/>
      </c>
    </row>
    <row r="260" ht="14.25" customHeight="1">
      <c r="A260" s="11"/>
      <c r="B260" s="11" t="str">
        <f t="shared" si="7"/>
        <v>#N/A</v>
      </c>
      <c r="C260" s="11" t="s">
        <v>106</v>
      </c>
      <c r="D260" s="11"/>
      <c r="E260" s="11"/>
      <c r="F260" s="11">
        <f t="shared" si="2"/>
        <v>0</v>
      </c>
      <c r="G260" s="11"/>
      <c r="H260" s="11" t="s">
        <v>1355</v>
      </c>
      <c r="I260" s="57" t="str">
        <f>VLOOKUP($H260, 'ADP Data'!$B$4:$Q$300, 2, FALSE)</f>
        <v>#N/A</v>
      </c>
      <c r="J260" s="11" t="s">
        <v>772</v>
      </c>
      <c r="K260" s="11" t="str">
        <f>VLOOKUP($H260, SeanRanks!$A$2:$H$303, 5, FALSE)</f>
        <v>#N/A</v>
      </c>
      <c r="L260" s="11" t="str">
        <f>IF(VLOOKUP($H260, SeanRanks!$A$2:$H$303, 6, FALSE)=0, "", VLOOKUP($H260, SeanRanks!$A$2:$H$303, 6, FALSE))</f>
        <v>#N/A</v>
      </c>
      <c r="M260" s="11">
        <f t="shared" si="3"/>
        <v>16</v>
      </c>
      <c r="N260" s="11" t="str">
        <f>VLOOKUP($H260, 'ADP Data'!$B$4:$Q$300, 10, FALSE)</f>
        <v>#N/A</v>
      </c>
      <c r="O260" s="11" t="str">
        <f>VLOOKUP($H260, 'ADP Data'!$B$4:$Q$300, 4, FALSE)</f>
        <v>#N/A</v>
      </c>
      <c r="P260" s="11" t="str">
        <f t="shared" si="4"/>
        <v>#N/A</v>
      </c>
      <c r="Q260" s="11" t="str">
        <f>VLOOKUP($H260, 'ADP Data'!$B$4:$Q$300, 5, FALSE)</f>
        <v>#N/A</v>
      </c>
      <c r="R260" s="11" t="str">
        <f>VLOOKUP($H260, 'ADP Data'!$B$4:$Q$300, 6, FALSE)</f>
        <v>#N/A</v>
      </c>
      <c r="S260" s="11" t="str">
        <f>VLOOKUP($H260, 'ADP Data'!$B$4:$Q$300, 7, FALSE)</f>
        <v>#N/A</v>
      </c>
      <c r="T260" s="11" t="str">
        <f>VLOOKUP($H260, 'ADP Data'!$B$4:$Q$300, 8, FALSE)</f>
        <v>#N/A</v>
      </c>
      <c r="U260" s="11" t="str">
        <f>VLOOKUP($H260, 'ADP Data'!$B$4:$Q$300, 9, FALSE)</f>
        <v>#N/A</v>
      </c>
      <c r="V260" s="11" t="str">
        <f t="shared" si="5"/>
        <v>#N/A</v>
      </c>
      <c r="W260" s="11" t="str">
        <f t="shared" si="6"/>
        <v>#N/A</v>
      </c>
      <c r="X260" s="11" t="str">
        <f>IF(VLOOKUP($H260, SeanRanks!$A$2:$H$303, 7, FALSE)=0, "", VLOOKUP($H260, SeanRanks!$A$2:$H$303, 7, FALSE))</f>
        <v>#N/A</v>
      </c>
    </row>
    <row r="261" ht="14.25" customHeight="1">
      <c r="A261" s="11"/>
      <c r="B261" s="11" t="str">
        <f t="shared" si="7"/>
        <v>#N/A</v>
      </c>
      <c r="C261" s="11" t="s">
        <v>106</v>
      </c>
      <c r="D261" s="11"/>
      <c r="E261" s="11"/>
      <c r="F261" s="11">
        <f t="shared" si="2"/>
        <v>0</v>
      </c>
      <c r="G261" s="11"/>
      <c r="H261" s="11" t="s">
        <v>1263</v>
      </c>
      <c r="I261" s="58" t="str">
        <f>VLOOKUP($H261, 'ADP Data'!$B$4:$Q$300, 2, FALSE)</f>
        <v>#N/A</v>
      </c>
      <c r="J261" s="11" t="s">
        <v>775</v>
      </c>
      <c r="K261" s="11" t="str">
        <f>VLOOKUP($H261, SeanRanks!$A$2:$H$303, 5, FALSE)</f>
        <v>#N/A</v>
      </c>
      <c r="L261" s="11" t="str">
        <f>IF(VLOOKUP($H261, SeanRanks!$A$2:$H$303, 6, FALSE)=0, "", VLOOKUP($H261, SeanRanks!$A$2:$H$303, 6, FALSE))</f>
        <v>#N/A</v>
      </c>
      <c r="M261" s="11">
        <f t="shared" si="3"/>
        <v>16</v>
      </c>
      <c r="N261" s="11" t="str">
        <f>VLOOKUP($H261, 'ADP Data'!$B$4:$Q$300, 10, FALSE)</f>
        <v>#N/A</v>
      </c>
      <c r="O261" s="11" t="str">
        <f>VLOOKUP($H261, 'ADP Data'!$B$4:$Q$300, 4, FALSE)</f>
        <v>#N/A</v>
      </c>
      <c r="P261" s="11" t="str">
        <f t="shared" si="4"/>
        <v>#N/A</v>
      </c>
      <c r="Q261" s="11" t="str">
        <f>VLOOKUP($H261, 'ADP Data'!$B$4:$Q$300, 5, FALSE)</f>
        <v>#N/A</v>
      </c>
      <c r="R261" s="11" t="str">
        <f>VLOOKUP($H261, 'ADP Data'!$B$4:$Q$300, 6, FALSE)</f>
        <v>#N/A</v>
      </c>
      <c r="S261" s="11" t="str">
        <f>VLOOKUP($H261, 'ADP Data'!$B$4:$Q$300, 7, FALSE)</f>
        <v>#N/A</v>
      </c>
      <c r="T261" s="11" t="str">
        <f>VLOOKUP($H261, 'ADP Data'!$B$4:$Q$300, 8, FALSE)</f>
        <v>#N/A</v>
      </c>
      <c r="U261" s="11" t="str">
        <f>VLOOKUP($H261, 'ADP Data'!$B$4:$Q$300, 9, FALSE)</f>
        <v>#N/A</v>
      </c>
      <c r="V261" s="11" t="str">
        <f t="shared" si="5"/>
        <v>#N/A</v>
      </c>
      <c r="W261" s="11" t="str">
        <f t="shared" si="6"/>
        <v>#N/A</v>
      </c>
      <c r="X261" s="11" t="str">
        <f>IF(VLOOKUP($H261, SeanRanks!$A$2:$H$303, 7, FALSE)=0, "", VLOOKUP($H261, SeanRanks!$A$2:$H$303, 7, FALSE))</f>
        <v>#N/A</v>
      </c>
    </row>
    <row r="262" ht="14.25" customHeight="1">
      <c r="A262" s="11"/>
      <c r="B262" s="11" t="str">
        <f t="shared" si="7"/>
        <v>#N/A</v>
      </c>
      <c r="C262" s="11" t="s">
        <v>106</v>
      </c>
      <c r="D262" s="11"/>
      <c r="E262" s="11"/>
      <c r="F262" s="11">
        <f t="shared" si="2"/>
        <v>0</v>
      </c>
      <c r="G262" s="11"/>
      <c r="H262" s="11" t="s">
        <v>688</v>
      </c>
      <c r="I262" s="11" t="str">
        <f>VLOOKUP($H262, 'ADP Data'!$B$4:$Q$300, 2, FALSE)</f>
        <v>#N/A</v>
      </c>
      <c r="J262" s="11" t="s">
        <v>785</v>
      </c>
      <c r="K262" s="11" t="str">
        <f>VLOOKUP($H262, SeanRanks!$A$2:$H$303, 5, FALSE)</f>
        <v/>
      </c>
      <c r="L262" s="11" t="str">
        <f>IF(VLOOKUP($H262, SeanRanks!$A$2:$H$303, 6, FALSE)=0, "", VLOOKUP($H262, SeanRanks!$A$2:$H$303, 6, FALSE))</f>
        <v/>
      </c>
      <c r="M262" s="11">
        <f t="shared" si="3"/>
        <v>16</v>
      </c>
      <c r="N262" s="11" t="str">
        <f>VLOOKUP($H262, 'ADP Data'!$B$4:$Q$300, 10, FALSE)</f>
        <v>#N/A</v>
      </c>
      <c r="O262" s="11" t="str">
        <f>VLOOKUP($H262, 'ADP Data'!$B$4:$Q$300, 4, FALSE)</f>
        <v>#N/A</v>
      </c>
      <c r="P262" s="11" t="str">
        <f t="shared" si="4"/>
        <v>#N/A</v>
      </c>
      <c r="Q262" s="11" t="str">
        <f>VLOOKUP($H262, 'ADP Data'!$B$4:$Q$300, 5, FALSE)</f>
        <v>#N/A</v>
      </c>
      <c r="R262" s="11" t="str">
        <f>VLOOKUP($H262, 'ADP Data'!$B$4:$Q$300, 6, FALSE)</f>
        <v>#N/A</v>
      </c>
      <c r="S262" s="11" t="str">
        <f>VLOOKUP($H262, 'ADP Data'!$B$4:$Q$300, 7, FALSE)</f>
        <v>#N/A</v>
      </c>
      <c r="T262" s="11" t="str">
        <f>VLOOKUP($H262, 'ADP Data'!$B$4:$Q$300, 8, FALSE)</f>
        <v>#N/A</v>
      </c>
      <c r="U262" s="11" t="str">
        <f>VLOOKUP($H262, 'ADP Data'!$B$4:$Q$300, 9, FALSE)</f>
        <v>#N/A</v>
      </c>
      <c r="V262" s="11" t="str">
        <f t="shared" si="5"/>
        <v>#N/A</v>
      </c>
      <c r="W262" s="11" t="str">
        <f t="shared" si="6"/>
        <v>#N/A</v>
      </c>
      <c r="X262" s="11" t="str">
        <f>IF(VLOOKUP($H262, SeanRanks!$A$2:$H$303, 7, FALSE)=0, "", VLOOKUP($H262, SeanRanks!$A$2:$H$303, 7, FALSE))</f>
        <v/>
      </c>
    </row>
    <row r="263" ht="14.25" customHeight="1">
      <c r="A263" s="11"/>
      <c r="B263" s="11" t="str">
        <f t="shared" si="7"/>
        <v>#N/A</v>
      </c>
      <c r="C263" s="11" t="s">
        <v>106</v>
      </c>
      <c r="D263" s="11"/>
      <c r="E263" s="11"/>
      <c r="F263" s="11">
        <f t="shared" si="2"/>
        <v>0</v>
      </c>
      <c r="G263" s="11"/>
      <c r="H263" s="11" t="s">
        <v>337</v>
      </c>
      <c r="I263" s="11" t="str">
        <f>VLOOKUP($H263, 'ADP Data'!$B$4:$Q$300, 2, FALSE)</f>
        <v>#N/A</v>
      </c>
      <c r="J263" s="11" t="s">
        <v>781</v>
      </c>
      <c r="K263" s="11" t="str">
        <f>VLOOKUP($H263, SeanRanks!$A$2:$H$303, 5, FALSE)</f>
        <v/>
      </c>
      <c r="L263" s="11" t="str">
        <f>IF(VLOOKUP($H263, SeanRanks!$A$2:$H$303, 6, FALSE)=0, "", VLOOKUP($H263, SeanRanks!$A$2:$H$303, 6, FALSE))</f>
        <v/>
      </c>
      <c r="M263" s="11">
        <f t="shared" si="3"/>
        <v>16</v>
      </c>
      <c r="N263" s="11" t="str">
        <f>VLOOKUP($H263, 'ADP Data'!$B$4:$Q$300, 10, FALSE)</f>
        <v>#N/A</v>
      </c>
      <c r="O263" s="11" t="str">
        <f>VLOOKUP($H263, 'ADP Data'!$B$4:$Q$300, 4, FALSE)</f>
        <v>#N/A</v>
      </c>
      <c r="P263" s="11" t="str">
        <f t="shared" si="4"/>
        <v>#N/A</v>
      </c>
      <c r="Q263" s="11" t="str">
        <f>VLOOKUP($H263, 'ADP Data'!$B$4:$Q$300, 5, FALSE)</f>
        <v>#N/A</v>
      </c>
      <c r="R263" s="11" t="str">
        <f>VLOOKUP($H263, 'ADP Data'!$B$4:$Q$300, 6, FALSE)</f>
        <v>#N/A</v>
      </c>
      <c r="S263" s="11" t="str">
        <f>VLOOKUP($H263, 'ADP Data'!$B$4:$Q$300, 7, FALSE)</f>
        <v>#N/A</v>
      </c>
      <c r="T263" s="11" t="str">
        <f>VLOOKUP($H263, 'ADP Data'!$B$4:$Q$300, 8, FALSE)</f>
        <v>#N/A</v>
      </c>
      <c r="U263" s="11" t="str">
        <f>VLOOKUP($H263, 'ADP Data'!$B$4:$Q$300, 9, FALSE)</f>
        <v>#N/A</v>
      </c>
      <c r="V263" s="11" t="str">
        <f t="shared" si="5"/>
        <v>#N/A</v>
      </c>
      <c r="W263" s="11" t="str">
        <f t="shared" si="6"/>
        <v>#N/A</v>
      </c>
      <c r="X263" s="11" t="str">
        <f>IF(VLOOKUP($H263, SeanRanks!$A$2:$H$303, 7, FALSE)=0, "", VLOOKUP($H263, SeanRanks!$A$2:$H$303, 7, FALSE))</f>
        <v/>
      </c>
    </row>
    <row r="264" ht="14.25" customHeight="1">
      <c r="A264" s="11"/>
      <c r="B264" s="11" t="str">
        <f t="shared" si="7"/>
        <v>#N/A</v>
      </c>
      <c r="C264" s="11" t="s">
        <v>106</v>
      </c>
      <c r="D264" s="11"/>
      <c r="E264" s="11"/>
      <c r="F264" s="11">
        <f t="shared" si="2"/>
        <v>0</v>
      </c>
      <c r="G264" s="11"/>
      <c r="H264" s="11" t="s">
        <v>538</v>
      </c>
      <c r="I264" s="58" t="str">
        <f>VLOOKUP($H264, 'ADP Data'!$B$4:$Q$300, 2, FALSE)</f>
        <v>#N/A</v>
      </c>
      <c r="J264" s="11" t="s">
        <v>785</v>
      </c>
      <c r="K264" s="11" t="str">
        <f>VLOOKUP($H264, SeanRanks!$A$2:$H$303, 5, FALSE)</f>
        <v/>
      </c>
      <c r="L264" s="11" t="str">
        <f>IF(VLOOKUP($H264, SeanRanks!$A$2:$H$303, 6, FALSE)=0, "", VLOOKUP($H264, SeanRanks!$A$2:$H$303, 6, FALSE))</f>
        <v/>
      </c>
      <c r="M264" s="11">
        <f t="shared" si="3"/>
        <v>16</v>
      </c>
      <c r="N264" s="11" t="str">
        <f>VLOOKUP($H264, 'ADP Data'!$B$4:$Q$300, 10, FALSE)</f>
        <v>#N/A</v>
      </c>
      <c r="O264" s="11" t="str">
        <f>VLOOKUP($H264, 'ADP Data'!$B$4:$Q$300, 4, FALSE)</f>
        <v>#N/A</v>
      </c>
      <c r="P264" s="11" t="str">
        <f t="shared" si="4"/>
        <v>#N/A</v>
      </c>
      <c r="Q264" s="11" t="str">
        <f>VLOOKUP($H264, 'ADP Data'!$B$4:$Q$300, 5, FALSE)</f>
        <v>#N/A</v>
      </c>
      <c r="R264" s="11" t="str">
        <f>VLOOKUP($H264, 'ADP Data'!$B$4:$Q$300, 6, FALSE)</f>
        <v>#N/A</v>
      </c>
      <c r="S264" s="11" t="str">
        <f>VLOOKUP($H264, 'ADP Data'!$B$4:$Q$300, 7, FALSE)</f>
        <v>#N/A</v>
      </c>
      <c r="T264" s="11" t="str">
        <f>VLOOKUP($H264, 'ADP Data'!$B$4:$Q$300, 8, FALSE)</f>
        <v>#N/A</v>
      </c>
      <c r="U264" s="11" t="str">
        <f>VLOOKUP($H264, 'ADP Data'!$B$4:$Q$300, 9, FALSE)</f>
        <v>#N/A</v>
      </c>
      <c r="V264" s="11" t="str">
        <f t="shared" si="5"/>
        <v>#N/A</v>
      </c>
      <c r="W264" s="11" t="str">
        <f t="shared" si="6"/>
        <v>#N/A</v>
      </c>
      <c r="X264" s="11" t="str">
        <f>IF(VLOOKUP($H264, SeanRanks!$A$2:$H$303, 7, FALSE)=0, "", VLOOKUP($H264, SeanRanks!$A$2:$H$303, 7, FALSE))</f>
        <v/>
      </c>
    </row>
    <row r="265" ht="14.25" customHeight="1">
      <c r="A265" s="11"/>
      <c r="B265" s="11" t="str">
        <f t="shared" si="7"/>
        <v>#N/A</v>
      </c>
      <c r="C265" s="11" t="s">
        <v>106</v>
      </c>
      <c r="D265" s="11"/>
      <c r="E265" s="11"/>
      <c r="F265" s="11">
        <f t="shared" si="2"/>
        <v>0</v>
      </c>
      <c r="G265" s="11"/>
      <c r="H265" s="11" t="s">
        <v>1157</v>
      </c>
      <c r="I265" s="11" t="str">
        <f>VLOOKUP($H265, 'ADP Data'!$B$4:$Q$300, 2, FALSE)</f>
        <v>#N/A</v>
      </c>
      <c r="J265" s="11" t="s">
        <v>770</v>
      </c>
      <c r="K265" s="11" t="str">
        <f>VLOOKUP($H265, SeanRanks!$A$2:$H$303, 5, FALSE)</f>
        <v>#N/A</v>
      </c>
      <c r="L265" s="11" t="str">
        <f>IF(VLOOKUP($H265, SeanRanks!$A$2:$H$303, 6, FALSE)=0, "", VLOOKUP($H265, SeanRanks!$A$2:$H$303, 6, FALSE))</f>
        <v>#N/A</v>
      </c>
      <c r="M265" s="11">
        <f t="shared" si="3"/>
        <v>16</v>
      </c>
      <c r="N265" s="11" t="str">
        <f>VLOOKUP($H265, 'ADP Data'!$B$4:$Q$300, 10, FALSE)</f>
        <v>#N/A</v>
      </c>
      <c r="O265" s="11" t="str">
        <f>VLOOKUP($H265, 'ADP Data'!$B$4:$Q$300, 4, FALSE)</f>
        <v>#N/A</v>
      </c>
      <c r="P265" s="11" t="str">
        <f t="shared" si="4"/>
        <v>#N/A</v>
      </c>
      <c r="Q265" s="11" t="str">
        <f>VLOOKUP($H265, 'ADP Data'!$B$4:$Q$300, 5, FALSE)</f>
        <v>#N/A</v>
      </c>
      <c r="R265" s="11" t="str">
        <f>VLOOKUP($H265, 'ADP Data'!$B$4:$Q$300, 6, FALSE)</f>
        <v>#N/A</v>
      </c>
      <c r="S265" s="11" t="str">
        <f>VLOOKUP($H265, 'ADP Data'!$B$4:$Q$300, 7, FALSE)</f>
        <v>#N/A</v>
      </c>
      <c r="T265" s="11" t="str">
        <f>VLOOKUP($H265, 'ADP Data'!$B$4:$Q$300, 8, FALSE)</f>
        <v>#N/A</v>
      </c>
      <c r="U265" s="11" t="str">
        <f>VLOOKUP($H265, 'ADP Data'!$B$4:$Q$300, 9, FALSE)</f>
        <v>#N/A</v>
      </c>
      <c r="V265" s="11" t="str">
        <f t="shared" si="5"/>
        <v>#N/A</v>
      </c>
      <c r="W265" s="11" t="str">
        <f t="shared" si="6"/>
        <v>#N/A</v>
      </c>
      <c r="X265" s="11" t="str">
        <f>IF(VLOOKUP($H265, SeanRanks!$A$2:$H$303, 7, FALSE)=0, "", VLOOKUP($H265, SeanRanks!$A$2:$H$303, 7, FALSE))</f>
        <v>#N/A</v>
      </c>
    </row>
    <row r="266" ht="14.25" customHeight="1">
      <c r="A266" s="11"/>
      <c r="B266" s="11" t="str">
        <f t="shared" si="7"/>
        <v>#N/A</v>
      </c>
      <c r="C266" s="11" t="s">
        <v>106</v>
      </c>
      <c r="D266" s="11"/>
      <c r="E266" s="11"/>
      <c r="F266" s="11">
        <f t="shared" si="2"/>
        <v>0</v>
      </c>
      <c r="G266" s="11"/>
      <c r="H266" s="11" t="s">
        <v>515</v>
      </c>
      <c r="I266" s="58" t="str">
        <f>VLOOKUP($H266, 'ADP Data'!$B$4:$Q$300, 2, FALSE)</f>
        <v>#N/A</v>
      </c>
      <c r="J266" s="11" t="s">
        <v>785</v>
      </c>
      <c r="K266" s="11" t="str">
        <f>VLOOKUP($H266, SeanRanks!$A$2:$H$303, 5, FALSE)</f>
        <v/>
      </c>
      <c r="L266" s="11" t="str">
        <f>IF(VLOOKUP($H266, SeanRanks!$A$2:$H$303, 6, FALSE)=0, "", VLOOKUP($H266, SeanRanks!$A$2:$H$303, 6, FALSE))</f>
        <v/>
      </c>
      <c r="M266" s="11">
        <f t="shared" si="3"/>
        <v>16</v>
      </c>
      <c r="N266" s="11" t="str">
        <f>VLOOKUP($H266, 'ADP Data'!$B$4:$Q$300, 10, FALSE)</f>
        <v>#N/A</v>
      </c>
      <c r="O266" s="11" t="str">
        <f>VLOOKUP($H266, 'ADP Data'!$B$4:$Q$300, 4, FALSE)</f>
        <v>#N/A</v>
      </c>
      <c r="P266" s="11" t="str">
        <f t="shared" si="4"/>
        <v>#N/A</v>
      </c>
      <c r="Q266" s="11" t="str">
        <f>VLOOKUP($H266, 'ADP Data'!$B$4:$Q$300, 5, FALSE)</f>
        <v>#N/A</v>
      </c>
      <c r="R266" s="11" t="str">
        <f>VLOOKUP($H266, 'ADP Data'!$B$4:$Q$300, 6, FALSE)</f>
        <v>#N/A</v>
      </c>
      <c r="S266" s="11" t="str">
        <f>VLOOKUP($H266, 'ADP Data'!$B$4:$Q$300, 7, FALSE)</f>
        <v>#N/A</v>
      </c>
      <c r="T266" s="11" t="str">
        <f>VLOOKUP($H266, 'ADP Data'!$B$4:$Q$300, 8, FALSE)</f>
        <v>#N/A</v>
      </c>
      <c r="U266" s="11" t="str">
        <f>VLOOKUP($H266, 'ADP Data'!$B$4:$Q$300, 9, FALSE)</f>
        <v>#N/A</v>
      </c>
      <c r="V266" s="11" t="str">
        <f t="shared" si="5"/>
        <v>#N/A</v>
      </c>
      <c r="W266" s="11" t="str">
        <f t="shared" si="6"/>
        <v>#N/A</v>
      </c>
      <c r="X266" s="11" t="str">
        <f>IF(VLOOKUP($H266, SeanRanks!$A$2:$H$303, 7, FALSE)=0, "", VLOOKUP($H266, SeanRanks!$A$2:$H$303, 7, FALSE))</f>
        <v/>
      </c>
    </row>
    <row r="267" ht="14.25" customHeight="1">
      <c r="A267" s="11"/>
      <c r="B267" s="11" t="str">
        <f t="shared" si="7"/>
        <v>#N/A</v>
      </c>
      <c r="C267" s="11" t="s">
        <v>106</v>
      </c>
      <c r="D267" s="11"/>
      <c r="E267" s="11"/>
      <c r="F267" s="11">
        <f t="shared" si="2"/>
        <v>0</v>
      </c>
      <c r="G267" s="11"/>
      <c r="H267" s="11" t="s">
        <v>1369</v>
      </c>
      <c r="I267" s="11" t="str">
        <f>VLOOKUP($H267, 'ADP Data'!$B$4:$Q$300, 2, FALSE)</f>
        <v>#N/A</v>
      </c>
      <c r="J267" s="11" t="s">
        <v>775</v>
      </c>
      <c r="K267" s="11" t="str">
        <f>VLOOKUP($H267, SeanRanks!$A$2:$H$303, 5, FALSE)</f>
        <v>#N/A</v>
      </c>
      <c r="L267" s="11" t="str">
        <f>IF(VLOOKUP($H267, SeanRanks!$A$2:$H$303, 6, FALSE)=0, "", VLOOKUP($H267, SeanRanks!$A$2:$H$303, 6, FALSE))</f>
        <v>#N/A</v>
      </c>
      <c r="M267" s="11">
        <f t="shared" si="3"/>
        <v>16</v>
      </c>
      <c r="N267" s="11" t="str">
        <f>VLOOKUP($H267, 'ADP Data'!$B$4:$Q$300, 10, FALSE)</f>
        <v>#N/A</v>
      </c>
      <c r="O267" s="11" t="str">
        <f>VLOOKUP($H267, 'ADP Data'!$B$4:$Q$300, 4, FALSE)</f>
        <v>#N/A</v>
      </c>
      <c r="P267" s="11" t="str">
        <f t="shared" si="4"/>
        <v>#N/A</v>
      </c>
      <c r="Q267" s="11" t="str">
        <f>VLOOKUP($H267, 'ADP Data'!$B$4:$Q$300, 5, FALSE)</f>
        <v>#N/A</v>
      </c>
      <c r="R267" s="11" t="str">
        <f>VLOOKUP($H267, 'ADP Data'!$B$4:$Q$300, 6, FALSE)</f>
        <v>#N/A</v>
      </c>
      <c r="S267" s="11" t="str">
        <f>VLOOKUP($H267, 'ADP Data'!$B$4:$Q$300, 7, FALSE)</f>
        <v>#N/A</v>
      </c>
      <c r="T267" s="11" t="str">
        <f>VLOOKUP($H267, 'ADP Data'!$B$4:$Q$300, 8, FALSE)</f>
        <v>#N/A</v>
      </c>
      <c r="U267" s="11" t="str">
        <f>VLOOKUP($H267, 'ADP Data'!$B$4:$Q$300, 9, FALSE)</f>
        <v>#N/A</v>
      </c>
      <c r="V267" s="11" t="str">
        <f t="shared" si="5"/>
        <v>#N/A</v>
      </c>
      <c r="W267" s="11" t="str">
        <f t="shared" si="6"/>
        <v>#N/A</v>
      </c>
      <c r="X267" s="11" t="str">
        <f>IF(VLOOKUP($H267, SeanRanks!$A$2:$H$303, 7, FALSE)=0, "", VLOOKUP($H267, SeanRanks!$A$2:$H$303, 7, FALSE))</f>
        <v>#N/A</v>
      </c>
    </row>
    <row r="268" ht="14.25" customHeight="1">
      <c r="A268" s="11"/>
      <c r="B268" s="11" t="str">
        <f t="shared" si="7"/>
        <v>#N/A</v>
      </c>
      <c r="C268" s="11" t="s">
        <v>106</v>
      </c>
      <c r="D268" s="11"/>
      <c r="E268" s="11"/>
      <c r="F268" s="11">
        <f t="shared" si="2"/>
        <v>0</v>
      </c>
      <c r="G268" s="11"/>
      <c r="H268" s="11" t="s">
        <v>475</v>
      </c>
      <c r="I268" s="11" t="str">
        <f>VLOOKUP($H268, 'ADP Data'!$B$4:$Q$300, 2, FALSE)</f>
        <v>#N/A</v>
      </c>
      <c r="J268" s="11" t="s">
        <v>785</v>
      </c>
      <c r="K268" s="11" t="str">
        <f>VLOOKUP($H268, SeanRanks!$A$2:$H$303, 5, FALSE)</f>
        <v/>
      </c>
      <c r="L268" s="11" t="str">
        <f>IF(VLOOKUP($H268, SeanRanks!$A$2:$H$303, 6, FALSE)=0, "", VLOOKUP($H268, SeanRanks!$A$2:$H$303, 6, FALSE))</f>
        <v/>
      </c>
      <c r="M268" s="11">
        <f t="shared" si="3"/>
        <v>16</v>
      </c>
      <c r="N268" s="11" t="str">
        <f>VLOOKUP($H268, 'ADP Data'!$B$4:$Q$300, 10, FALSE)</f>
        <v>#N/A</v>
      </c>
      <c r="O268" s="11" t="str">
        <f>VLOOKUP($H268, 'ADP Data'!$B$4:$Q$300, 4, FALSE)</f>
        <v>#N/A</v>
      </c>
      <c r="P268" s="11" t="str">
        <f t="shared" si="4"/>
        <v>#N/A</v>
      </c>
      <c r="Q268" s="11" t="str">
        <f>VLOOKUP($H268, 'ADP Data'!$B$4:$Q$300, 5, FALSE)</f>
        <v>#N/A</v>
      </c>
      <c r="R268" s="11" t="str">
        <f>VLOOKUP($H268, 'ADP Data'!$B$4:$Q$300, 6, FALSE)</f>
        <v>#N/A</v>
      </c>
      <c r="S268" s="11" t="str">
        <f>VLOOKUP($H268, 'ADP Data'!$B$4:$Q$300, 7, FALSE)</f>
        <v>#N/A</v>
      </c>
      <c r="T268" s="11" t="str">
        <f>VLOOKUP($H268, 'ADP Data'!$B$4:$Q$300, 8, FALSE)</f>
        <v>#N/A</v>
      </c>
      <c r="U268" s="11" t="str">
        <f>VLOOKUP($H268, 'ADP Data'!$B$4:$Q$300, 9, FALSE)</f>
        <v>#N/A</v>
      </c>
      <c r="V268" s="11" t="str">
        <f t="shared" si="5"/>
        <v>#N/A</v>
      </c>
      <c r="W268" s="11" t="str">
        <f t="shared" si="6"/>
        <v>#N/A</v>
      </c>
      <c r="X268" s="11" t="str">
        <f>IF(VLOOKUP($H268, SeanRanks!$A$2:$H$303, 7, FALSE)=0, "", VLOOKUP($H268, SeanRanks!$A$2:$H$303, 7, FALSE))</f>
        <v/>
      </c>
    </row>
    <row r="269" ht="14.25" customHeight="1">
      <c r="A269" s="11"/>
      <c r="B269" s="11" t="str">
        <f t="shared" si="7"/>
        <v>#N/A</v>
      </c>
      <c r="C269" s="11" t="s">
        <v>106</v>
      </c>
      <c r="D269" s="11"/>
      <c r="E269" s="11"/>
      <c r="F269" s="11">
        <f t="shared" si="2"/>
        <v>0</v>
      </c>
      <c r="G269" s="11"/>
      <c r="H269" s="11" t="s">
        <v>709</v>
      </c>
      <c r="I269" s="11" t="str">
        <f>VLOOKUP($H269, 'ADP Data'!$B$4:$Q$300, 2, FALSE)</f>
        <v>#N/A</v>
      </c>
      <c r="J269" s="11" t="s">
        <v>781</v>
      </c>
      <c r="K269" s="11" t="str">
        <f>VLOOKUP($H269, SeanRanks!$A$2:$H$303, 5, FALSE)</f>
        <v>#N/A</v>
      </c>
      <c r="L269" s="11" t="str">
        <f>IF(VLOOKUP($H269, SeanRanks!$A$2:$H$303, 6, FALSE)=0, "", VLOOKUP($H269, SeanRanks!$A$2:$H$303, 6, FALSE))</f>
        <v>#N/A</v>
      </c>
      <c r="M269" s="11">
        <f t="shared" si="3"/>
        <v>16</v>
      </c>
      <c r="N269" s="11" t="str">
        <f>VLOOKUP($H269, 'ADP Data'!$B$4:$Q$300, 10, FALSE)</f>
        <v>#N/A</v>
      </c>
      <c r="O269" s="11" t="str">
        <f>VLOOKUP($H269, 'ADP Data'!$B$4:$Q$300, 4, FALSE)</f>
        <v>#N/A</v>
      </c>
      <c r="P269" s="11" t="str">
        <f t="shared" si="4"/>
        <v>#N/A</v>
      </c>
      <c r="Q269" s="11" t="str">
        <f>VLOOKUP($H269, 'ADP Data'!$B$4:$Q$300, 5, FALSE)</f>
        <v>#N/A</v>
      </c>
      <c r="R269" s="11" t="str">
        <f>VLOOKUP($H269, 'ADP Data'!$B$4:$Q$300, 6, FALSE)</f>
        <v>#N/A</v>
      </c>
      <c r="S269" s="11" t="str">
        <f>VLOOKUP($H269, 'ADP Data'!$B$4:$Q$300, 7, FALSE)</f>
        <v>#N/A</v>
      </c>
      <c r="T269" s="11" t="str">
        <f>VLOOKUP($H269, 'ADP Data'!$B$4:$Q$300, 8, FALSE)</f>
        <v>#N/A</v>
      </c>
      <c r="U269" s="11" t="str">
        <f>VLOOKUP($H269, 'ADP Data'!$B$4:$Q$300, 9, FALSE)</f>
        <v>#N/A</v>
      </c>
      <c r="V269" s="11" t="str">
        <f t="shared" si="5"/>
        <v>#N/A</v>
      </c>
      <c r="W269" s="11" t="str">
        <f t="shared" si="6"/>
        <v>#N/A</v>
      </c>
      <c r="X269" s="11" t="str">
        <f>IF(VLOOKUP($H269, SeanRanks!$A$2:$H$303, 7, FALSE)=0, "", VLOOKUP($H269, SeanRanks!$A$2:$H$303, 7, FALSE))</f>
        <v>#N/A</v>
      </c>
    </row>
    <row r="270" ht="14.25" customHeight="1">
      <c r="A270" s="11"/>
      <c r="B270" s="11" t="str">
        <f t="shared" si="7"/>
        <v>#N/A</v>
      </c>
      <c r="C270" s="11" t="s">
        <v>106</v>
      </c>
      <c r="D270" s="11"/>
      <c r="E270" s="11"/>
      <c r="F270" s="11">
        <f t="shared" si="2"/>
        <v>0</v>
      </c>
      <c r="G270" s="11"/>
      <c r="H270" s="11" t="s">
        <v>1375</v>
      </c>
      <c r="I270" s="11" t="str">
        <f>VLOOKUP($H270, 'ADP Data'!$B$4:$Q$300, 2, FALSE)</f>
        <v>#N/A</v>
      </c>
      <c r="J270" s="11" t="s">
        <v>772</v>
      </c>
      <c r="K270" s="11" t="str">
        <f>VLOOKUP($H270, SeanRanks!$A$2:$H$303, 5, FALSE)</f>
        <v>#N/A</v>
      </c>
      <c r="L270" s="11" t="str">
        <f>IF(VLOOKUP($H270, SeanRanks!$A$2:$H$303, 6, FALSE)=0, "", VLOOKUP($H270, SeanRanks!$A$2:$H$303, 6, FALSE))</f>
        <v>#N/A</v>
      </c>
      <c r="M270" s="11">
        <f t="shared" si="3"/>
        <v>16</v>
      </c>
      <c r="N270" s="11" t="str">
        <f>VLOOKUP($H270, 'ADP Data'!$B$4:$Q$300, 10, FALSE)</f>
        <v>#N/A</v>
      </c>
      <c r="O270" s="11" t="str">
        <f>VLOOKUP($H270, 'ADP Data'!$B$4:$Q$300, 4, FALSE)</f>
        <v>#N/A</v>
      </c>
      <c r="P270" s="11" t="str">
        <f t="shared" si="4"/>
        <v>#N/A</v>
      </c>
      <c r="Q270" s="11" t="str">
        <f>VLOOKUP($H270, 'ADP Data'!$B$4:$Q$300, 5, FALSE)</f>
        <v>#N/A</v>
      </c>
      <c r="R270" s="11" t="str">
        <f>VLOOKUP($H270, 'ADP Data'!$B$4:$Q$300, 6, FALSE)</f>
        <v>#N/A</v>
      </c>
      <c r="S270" s="11" t="str">
        <f>VLOOKUP($H270, 'ADP Data'!$B$4:$Q$300, 7, FALSE)</f>
        <v>#N/A</v>
      </c>
      <c r="T270" s="11" t="str">
        <f>VLOOKUP($H270, 'ADP Data'!$B$4:$Q$300, 8, FALSE)</f>
        <v>#N/A</v>
      </c>
      <c r="U270" s="11" t="str">
        <f>VLOOKUP($H270, 'ADP Data'!$B$4:$Q$300, 9, FALSE)</f>
        <v>#N/A</v>
      </c>
      <c r="V270" s="11" t="str">
        <f t="shared" si="5"/>
        <v>#N/A</v>
      </c>
      <c r="W270" s="11" t="str">
        <f t="shared" si="6"/>
        <v>#N/A</v>
      </c>
      <c r="X270" s="11" t="str">
        <f>IF(VLOOKUP($H270, SeanRanks!$A$2:$H$303, 7, FALSE)=0, "", VLOOKUP($H270, SeanRanks!$A$2:$H$303, 7, FALSE))</f>
        <v>#N/A</v>
      </c>
    </row>
    <row r="271" ht="14.25" customHeight="1">
      <c r="A271" s="11"/>
      <c r="B271" s="11" t="str">
        <f t="shared" si="7"/>
        <v>#N/A</v>
      </c>
      <c r="C271" s="11" t="s">
        <v>106</v>
      </c>
      <c r="D271" s="11"/>
      <c r="E271" s="11"/>
      <c r="F271" s="11">
        <f t="shared" si="2"/>
        <v>0</v>
      </c>
      <c r="G271" s="11"/>
      <c r="H271" s="11" t="s">
        <v>582</v>
      </c>
      <c r="I271" s="11" t="str">
        <f>VLOOKUP($H271, 'ADP Data'!$B$4:$Q$300, 2, FALSE)</f>
        <v>#N/A</v>
      </c>
      <c r="J271" s="11" t="s">
        <v>784</v>
      </c>
      <c r="K271" s="11" t="str">
        <f>VLOOKUP($H271, SeanRanks!$A$2:$H$303, 5, FALSE)</f>
        <v>#N/A</v>
      </c>
      <c r="L271" s="11" t="str">
        <f>IF(VLOOKUP($H271, SeanRanks!$A$2:$H$303, 6, FALSE)=0, "", VLOOKUP($H271, SeanRanks!$A$2:$H$303, 6, FALSE))</f>
        <v>#N/A</v>
      </c>
      <c r="M271" s="11">
        <f t="shared" si="3"/>
        <v>16</v>
      </c>
      <c r="N271" s="11" t="str">
        <f>VLOOKUP($H271, 'ADP Data'!$B$4:$Q$300, 10, FALSE)</f>
        <v>#N/A</v>
      </c>
      <c r="O271" s="11" t="str">
        <f>VLOOKUP($H271, 'ADP Data'!$B$4:$Q$300, 4, FALSE)</f>
        <v>#N/A</v>
      </c>
      <c r="P271" s="11" t="str">
        <f t="shared" si="4"/>
        <v>#N/A</v>
      </c>
      <c r="Q271" s="11" t="str">
        <f>VLOOKUP($H271, 'ADP Data'!$B$4:$Q$300, 5, FALSE)</f>
        <v>#N/A</v>
      </c>
      <c r="R271" s="11" t="str">
        <f>VLOOKUP($H271, 'ADP Data'!$B$4:$Q$300, 6, FALSE)</f>
        <v>#N/A</v>
      </c>
      <c r="S271" s="11" t="str">
        <f>VLOOKUP($H271, 'ADP Data'!$B$4:$Q$300, 7, FALSE)</f>
        <v>#N/A</v>
      </c>
      <c r="T271" s="11" t="str">
        <f>VLOOKUP($H271, 'ADP Data'!$B$4:$Q$300, 8, FALSE)</f>
        <v>#N/A</v>
      </c>
      <c r="U271" s="11" t="str">
        <f>VLOOKUP($H271, 'ADP Data'!$B$4:$Q$300, 9, FALSE)</f>
        <v>#N/A</v>
      </c>
      <c r="V271" s="11" t="str">
        <f t="shared" si="5"/>
        <v>#N/A</v>
      </c>
      <c r="W271" s="11" t="str">
        <f t="shared" si="6"/>
        <v>#N/A</v>
      </c>
      <c r="X271" s="11" t="str">
        <f>IF(VLOOKUP($H271, SeanRanks!$A$2:$H$303, 7, FALSE)=0, "", VLOOKUP($H271, SeanRanks!$A$2:$H$303, 7, FALSE))</f>
        <v>#N/A</v>
      </c>
    </row>
    <row r="272" ht="14.25" customHeight="1">
      <c r="A272" s="11"/>
      <c r="B272" s="11" t="str">
        <f t="shared" si="7"/>
        <v>#N/A</v>
      </c>
      <c r="C272" s="11" t="s">
        <v>106</v>
      </c>
      <c r="D272" s="11"/>
      <c r="E272" s="11"/>
      <c r="F272" s="11">
        <f t="shared" si="2"/>
        <v>0</v>
      </c>
      <c r="G272" s="11"/>
      <c r="H272" s="11" t="s">
        <v>974</v>
      </c>
      <c r="I272" s="58" t="str">
        <f>VLOOKUP($H272, 'ADP Data'!$B$4:$Q$300, 2, FALSE)</f>
        <v>#N/A</v>
      </c>
      <c r="J272" s="11" t="s">
        <v>781</v>
      </c>
      <c r="K272" s="11" t="str">
        <f>VLOOKUP($H272, SeanRanks!$A$2:$H$303, 5, FALSE)</f>
        <v/>
      </c>
      <c r="L272" s="11" t="str">
        <f>IF(VLOOKUP($H272, SeanRanks!$A$2:$H$303, 6, FALSE)=0, "", VLOOKUP($H272, SeanRanks!$A$2:$H$303, 6, FALSE))</f>
        <v/>
      </c>
      <c r="M272" s="11">
        <f t="shared" si="3"/>
        <v>16</v>
      </c>
      <c r="N272" s="11" t="str">
        <f>VLOOKUP($H272, 'ADP Data'!$B$4:$Q$300, 10, FALSE)</f>
        <v>#N/A</v>
      </c>
      <c r="O272" s="11" t="str">
        <f>VLOOKUP($H272, 'ADP Data'!$B$4:$Q$300, 4, FALSE)</f>
        <v>#N/A</v>
      </c>
      <c r="P272" s="11" t="str">
        <f t="shared" si="4"/>
        <v>#N/A</v>
      </c>
      <c r="Q272" s="11" t="str">
        <f>VLOOKUP($H272, 'ADP Data'!$B$4:$Q$300, 5, FALSE)</f>
        <v>#N/A</v>
      </c>
      <c r="R272" s="11" t="str">
        <f>VLOOKUP($H272, 'ADP Data'!$B$4:$Q$300, 6, FALSE)</f>
        <v>#N/A</v>
      </c>
      <c r="S272" s="11" t="str">
        <f>VLOOKUP($H272, 'ADP Data'!$B$4:$Q$300, 7, FALSE)</f>
        <v>#N/A</v>
      </c>
      <c r="T272" s="11" t="str">
        <f>VLOOKUP($H272, 'ADP Data'!$B$4:$Q$300, 8, FALSE)</f>
        <v>#N/A</v>
      </c>
      <c r="U272" s="11" t="str">
        <f>VLOOKUP($H272, 'ADP Data'!$B$4:$Q$300, 9, FALSE)</f>
        <v>#N/A</v>
      </c>
      <c r="V272" s="11" t="str">
        <f t="shared" si="5"/>
        <v>#N/A</v>
      </c>
      <c r="W272" s="11" t="str">
        <f t="shared" si="6"/>
        <v>#N/A</v>
      </c>
      <c r="X272" s="11" t="str">
        <f>IF(VLOOKUP($H272, SeanRanks!$A$2:$H$303, 7, FALSE)=0, "", VLOOKUP($H272, SeanRanks!$A$2:$H$303, 7, FALSE))</f>
        <v/>
      </c>
    </row>
    <row r="273" ht="14.25" customHeight="1">
      <c r="A273" s="11"/>
      <c r="B273" s="11" t="str">
        <f t="shared" si="7"/>
        <v>#N/A</v>
      </c>
      <c r="C273" s="11" t="s">
        <v>106</v>
      </c>
      <c r="D273" s="11"/>
      <c r="E273" s="11"/>
      <c r="F273" s="11">
        <f t="shared" si="2"/>
        <v>0</v>
      </c>
      <c r="G273" s="11"/>
      <c r="H273" s="11" t="s">
        <v>1383</v>
      </c>
      <c r="I273" s="11" t="str">
        <f>VLOOKUP($H273, 'ADP Data'!$B$4:$Q$300, 2, FALSE)</f>
        <v>#N/A</v>
      </c>
      <c r="J273" s="11" t="s">
        <v>784</v>
      </c>
      <c r="K273" s="11" t="str">
        <f>VLOOKUP($H273, SeanRanks!$A$2:$H$303, 5, FALSE)</f>
        <v>#N/A</v>
      </c>
      <c r="L273" s="11" t="str">
        <f>IF(VLOOKUP($H273, SeanRanks!$A$2:$H$303, 6, FALSE)=0, "", VLOOKUP($H273, SeanRanks!$A$2:$H$303, 6, FALSE))</f>
        <v>#N/A</v>
      </c>
      <c r="M273" s="11">
        <f t="shared" si="3"/>
        <v>16</v>
      </c>
      <c r="N273" s="11" t="str">
        <f>VLOOKUP($H273, 'ADP Data'!$B$4:$Q$300, 10, FALSE)</f>
        <v>#N/A</v>
      </c>
      <c r="O273" s="11" t="str">
        <f>VLOOKUP($H273, 'ADP Data'!$B$4:$Q$300, 4, FALSE)</f>
        <v>#N/A</v>
      </c>
      <c r="P273" s="11" t="str">
        <f t="shared" si="4"/>
        <v>#N/A</v>
      </c>
      <c r="Q273" s="11" t="str">
        <f>VLOOKUP($H273, 'ADP Data'!$B$4:$Q$300, 5, FALSE)</f>
        <v>#N/A</v>
      </c>
      <c r="R273" s="11" t="str">
        <f>VLOOKUP($H273, 'ADP Data'!$B$4:$Q$300, 6, FALSE)</f>
        <v>#N/A</v>
      </c>
      <c r="S273" s="11" t="str">
        <f>VLOOKUP($H273, 'ADP Data'!$B$4:$Q$300, 7, FALSE)</f>
        <v>#N/A</v>
      </c>
      <c r="T273" s="11" t="str">
        <f>VLOOKUP($H273, 'ADP Data'!$B$4:$Q$300, 8, FALSE)</f>
        <v>#N/A</v>
      </c>
      <c r="U273" s="11" t="str">
        <f>VLOOKUP($H273, 'ADP Data'!$B$4:$Q$300, 9, FALSE)</f>
        <v>#N/A</v>
      </c>
      <c r="V273" s="11" t="str">
        <f t="shared" si="5"/>
        <v>#N/A</v>
      </c>
      <c r="W273" s="11" t="str">
        <f t="shared" si="6"/>
        <v>#N/A</v>
      </c>
      <c r="X273" s="11" t="str">
        <f>IF(VLOOKUP($H273, SeanRanks!$A$2:$H$303, 7, FALSE)=0, "", VLOOKUP($H273, SeanRanks!$A$2:$H$303, 7, FALSE))</f>
        <v>#N/A</v>
      </c>
    </row>
    <row r="274" ht="14.25" customHeight="1">
      <c r="A274" s="11"/>
      <c r="B274" s="11" t="str">
        <f t="shared" si="7"/>
        <v>#N/A</v>
      </c>
      <c r="C274" s="11" t="s">
        <v>106</v>
      </c>
      <c r="D274" s="11"/>
      <c r="E274" s="11"/>
      <c r="F274" s="11">
        <f t="shared" si="2"/>
        <v>0</v>
      </c>
      <c r="G274" s="11"/>
      <c r="H274" s="11" t="s">
        <v>994</v>
      </c>
      <c r="I274" s="11" t="str">
        <f>VLOOKUP($H274, 'ADP Data'!$B$4:$Q$300, 2, FALSE)</f>
        <v>#N/A</v>
      </c>
      <c r="J274" s="11" t="s">
        <v>781</v>
      </c>
      <c r="K274" s="11" t="str">
        <f>VLOOKUP($H274, SeanRanks!$A$2:$H$303, 5, FALSE)</f>
        <v>#N/A</v>
      </c>
      <c r="L274" s="11" t="str">
        <f>IF(VLOOKUP($H274, SeanRanks!$A$2:$H$303, 6, FALSE)=0, "", VLOOKUP($H274, SeanRanks!$A$2:$H$303, 6, FALSE))</f>
        <v>#N/A</v>
      </c>
      <c r="M274" s="11">
        <f t="shared" si="3"/>
        <v>16</v>
      </c>
      <c r="N274" s="11" t="str">
        <f>VLOOKUP($H274, 'ADP Data'!$B$4:$Q$300, 10, FALSE)</f>
        <v>#N/A</v>
      </c>
      <c r="O274" s="11" t="str">
        <f>VLOOKUP($H274, 'ADP Data'!$B$4:$Q$300, 4, FALSE)</f>
        <v>#N/A</v>
      </c>
      <c r="P274" s="11" t="str">
        <f t="shared" si="4"/>
        <v>#N/A</v>
      </c>
      <c r="Q274" s="11" t="str">
        <f>VLOOKUP($H274, 'ADP Data'!$B$4:$Q$300, 5, FALSE)</f>
        <v>#N/A</v>
      </c>
      <c r="R274" s="11" t="str">
        <f>VLOOKUP($H274, 'ADP Data'!$B$4:$Q$300, 6, FALSE)</f>
        <v>#N/A</v>
      </c>
      <c r="S274" s="11" t="str">
        <f>VLOOKUP($H274, 'ADP Data'!$B$4:$Q$300, 7, FALSE)</f>
        <v>#N/A</v>
      </c>
      <c r="T274" s="11" t="str">
        <f>VLOOKUP($H274, 'ADP Data'!$B$4:$Q$300, 8, FALSE)</f>
        <v>#N/A</v>
      </c>
      <c r="U274" s="11" t="str">
        <f>VLOOKUP($H274, 'ADP Data'!$B$4:$Q$300, 9, FALSE)</f>
        <v>#N/A</v>
      </c>
      <c r="V274" s="11" t="str">
        <f t="shared" si="5"/>
        <v>#N/A</v>
      </c>
      <c r="W274" s="11" t="str">
        <f t="shared" si="6"/>
        <v>#N/A</v>
      </c>
      <c r="X274" s="11" t="str">
        <f>IF(VLOOKUP($H274, SeanRanks!$A$2:$H$303, 7, FALSE)=0, "", VLOOKUP($H274, SeanRanks!$A$2:$H$303, 7, FALSE))</f>
        <v>#N/A</v>
      </c>
    </row>
    <row r="275" ht="14.25" customHeight="1">
      <c r="A275" s="11"/>
      <c r="B275" s="11" t="str">
        <f t="shared" si="7"/>
        <v>#N/A</v>
      </c>
      <c r="C275" s="11" t="s">
        <v>106</v>
      </c>
      <c r="D275" s="11"/>
      <c r="E275" s="11"/>
      <c r="F275" s="11">
        <f t="shared" si="2"/>
        <v>0</v>
      </c>
      <c r="G275" s="11"/>
      <c r="H275" s="11" t="s">
        <v>922</v>
      </c>
      <c r="I275" s="11" t="str">
        <f>VLOOKUP($H275, 'ADP Data'!$B$4:$Q$300, 2, FALSE)</f>
        <v>#N/A</v>
      </c>
      <c r="J275" s="11" t="s">
        <v>784</v>
      </c>
      <c r="K275" s="11" t="str">
        <f>VLOOKUP($H275, SeanRanks!$A$2:$H$303, 5, FALSE)</f>
        <v/>
      </c>
      <c r="L275" s="11" t="str">
        <f>IF(VLOOKUP($H275, SeanRanks!$A$2:$H$303, 6, FALSE)=0, "", VLOOKUP($H275, SeanRanks!$A$2:$H$303, 6, FALSE))</f>
        <v/>
      </c>
      <c r="M275" s="11">
        <f t="shared" si="3"/>
        <v>16</v>
      </c>
      <c r="N275" s="11" t="str">
        <f>VLOOKUP($H275, 'ADP Data'!$B$4:$Q$300, 10, FALSE)</f>
        <v>#N/A</v>
      </c>
      <c r="O275" s="11" t="str">
        <f>VLOOKUP($H275, 'ADP Data'!$B$4:$Q$300, 4, FALSE)</f>
        <v>#N/A</v>
      </c>
      <c r="P275" s="11" t="str">
        <f t="shared" si="4"/>
        <v>#N/A</v>
      </c>
      <c r="Q275" s="11" t="str">
        <f>VLOOKUP($H275, 'ADP Data'!$B$4:$Q$300, 5, FALSE)</f>
        <v>#N/A</v>
      </c>
      <c r="R275" s="11" t="str">
        <f>VLOOKUP($H275, 'ADP Data'!$B$4:$Q$300, 6, FALSE)</f>
        <v>#N/A</v>
      </c>
      <c r="S275" s="11" t="str">
        <f>VLOOKUP($H275, 'ADP Data'!$B$4:$Q$300, 7, FALSE)</f>
        <v>#N/A</v>
      </c>
      <c r="T275" s="11" t="str">
        <f>VLOOKUP($H275, 'ADP Data'!$B$4:$Q$300, 8, FALSE)</f>
        <v>#N/A</v>
      </c>
      <c r="U275" s="11" t="str">
        <f>VLOOKUP($H275, 'ADP Data'!$B$4:$Q$300, 9, FALSE)</f>
        <v>#N/A</v>
      </c>
      <c r="V275" s="11" t="str">
        <f t="shared" si="5"/>
        <v>#N/A</v>
      </c>
      <c r="W275" s="11" t="str">
        <f t="shared" si="6"/>
        <v>#N/A</v>
      </c>
      <c r="X275" s="11" t="str">
        <f>IF(VLOOKUP($H275, SeanRanks!$A$2:$H$303, 7, FALSE)=0, "", VLOOKUP($H275, SeanRanks!$A$2:$H$303, 7, FALSE))</f>
        <v/>
      </c>
    </row>
    <row r="276" ht="14.25" customHeight="1">
      <c r="A276" s="11"/>
      <c r="B276" s="11" t="str">
        <f t="shared" si="7"/>
        <v>#N/A</v>
      </c>
      <c r="C276" s="11" t="s">
        <v>106</v>
      </c>
      <c r="D276" s="11"/>
      <c r="E276" s="11"/>
      <c r="F276" s="11">
        <f t="shared" si="2"/>
        <v>0</v>
      </c>
      <c r="G276" s="11"/>
      <c r="H276" s="11" t="s">
        <v>983</v>
      </c>
      <c r="I276" s="11" t="str">
        <f>VLOOKUP($H276, 'ADP Data'!$B$4:$Q$300, 2, FALSE)</f>
        <v>#N/A</v>
      </c>
      <c r="J276" s="11" t="s">
        <v>784</v>
      </c>
      <c r="K276" s="11" t="str">
        <f>VLOOKUP($H276, SeanRanks!$A$2:$H$303, 5, FALSE)</f>
        <v>#N/A</v>
      </c>
      <c r="L276" s="11" t="str">
        <f>IF(VLOOKUP($H276, SeanRanks!$A$2:$H$303, 6, FALSE)=0, "", VLOOKUP($H276, SeanRanks!$A$2:$H$303, 6, FALSE))</f>
        <v>#N/A</v>
      </c>
      <c r="M276" s="11">
        <f t="shared" si="3"/>
        <v>16</v>
      </c>
      <c r="N276" s="11" t="str">
        <f>VLOOKUP($H276, 'ADP Data'!$B$4:$Q$300, 10, FALSE)</f>
        <v>#N/A</v>
      </c>
      <c r="O276" s="11" t="str">
        <f>VLOOKUP($H276, 'ADP Data'!$B$4:$Q$300, 4, FALSE)</f>
        <v>#N/A</v>
      </c>
      <c r="P276" s="11" t="str">
        <f t="shared" si="4"/>
        <v>#N/A</v>
      </c>
      <c r="Q276" s="11" t="str">
        <f>VLOOKUP($H276, 'ADP Data'!$B$4:$Q$300, 5, FALSE)</f>
        <v>#N/A</v>
      </c>
      <c r="R276" s="11" t="str">
        <f>VLOOKUP($H276, 'ADP Data'!$B$4:$Q$300, 6, FALSE)</f>
        <v>#N/A</v>
      </c>
      <c r="S276" s="11" t="str">
        <f>VLOOKUP($H276, 'ADP Data'!$B$4:$Q$300, 7, FALSE)</f>
        <v>#N/A</v>
      </c>
      <c r="T276" s="11" t="str">
        <f>VLOOKUP($H276, 'ADP Data'!$B$4:$Q$300, 8, FALSE)</f>
        <v>#N/A</v>
      </c>
      <c r="U276" s="11" t="str">
        <f>VLOOKUP($H276, 'ADP Data'!$B$4:$Q$300, 9, FALSE)</f>
        <v>#N/A</v>
      </c>
      <c r="V276" s="11" t="str">
        <f t="shared" si="5"/>
        <v>#N/A</v>
      </c>
      <c r="W276" s="11" t="str">
        <f t="shared" si="6"/>
        <v>#N/A</v>
      </c>
      <c r="X276" s="11" t="str">
        <f>IF(VLOOKUP($H276, SeanRanks!$A$2:$H$303, 7, FALSE)=0, "", VLOOKUP($H276, SeanRanks!$A$2:$H$303, 7, FALSE))</f>
        <v>#N/A</v>
      </c>
    </row>
    <row r="277" ht="14.25" customHeight="1">
      <c r="A277" s="11"/>
      <c r="B277" s="11" t="str">
        <f t="shared" si="7"/>
        <v>#N/A</v>
      </c>
      <c r="C277" s="11" t="s">
        <v>106</v>
      </c>
      <c r="D277" s="11"/>
      <c r="E277" s="11"/>
      <c r="F277" s="11">
        <f t="shared" si="2"/>
        <v>0</v>
      </c>
      <c r="G277" s="11"/>
      <c r="H277" s="11" t="s">
        <v>668</v>
      </c>
      <c r="I277" s="11" t="str">
        <f>VLOOKUP($H277, 'ADP Data'!$B$4:$Q$300, 2, FALSE)</f>
        <v>#N/A</v>
      </c>
      <c r="J277" s="11" t="s">
        <v>784</v>
      </c>
      <c r="K277" s="11" t="str">
        <f>VLOOKUP($H277, SeanRanks!$A$2:$H$303, 5, FALSE)</f>
        <v/>
      </c>
      <c r="L277" s="11" t="str">
        <f>IF(VLOOKUP($H277, SeanRanks!$A$2:$H$303, 6, FALSE)=0, "", VLOOKUP($H277, SeanRanks!$A$2:$H$303, 6, FALSE))</f>
        <v/>
      </c>
      <c r="M277" s="11">
        <f t="shared" si="3"/>
        <v>16</v>
      </c>
      <c r="N277" s="11" t="str">
        <f>VLOOKUP($H277, 'ADP Data'!$B$4:$Q$300, 10, FALSE)</f>
        <v>#N/A</v>
      </c>
      <c r="O277" s="11" t="str">
        <f>VLOOKUP($H277, 'ADP Data'!$B$4:$Q$300, 4, FALSE)</f>
        <v>#N/A</v>
      </c>
      <c r="P277" s="11" t="str">
        <f t="shared" si="4"/>
        <v>#N/A</v>
      </c>
      <c r="Q277" s="11" t="str">
        <f>VLOOKUP($H277, 'ADP Data'!$B$4:$Q$300, 5, FALSE)</f>
        <v>#N/A</v>
      </c>
      <c r="R277" s="11" t="str">
        <f>VLOOKUP($H277, 'ADP Data'!$B$4:$Q$300, 6, FALSE)</f>
        <v>#N/A</v>
      </c>
      <c r="S277" s="11" t="str">
        <f>VLOOKUP($H277, 'ADP Data'!$B$4:$Q$300, 7, FALSE)</f>
        <v>#N/A</v>
      </c>
      <c r="T277" s="11" t="str">
        <f>VLOOKUP($H277, 'ADP Data'!$B$4:$Q$300, 8, FALSE)</f>
        <v>#N/A</v>
      </c>
      <c r="U277" s="11" t="str">
        <f>VLOOKUP($H277, 'ADP Data'!$B$4:$Q$300, 9, FALSE)</f>
        <v>#N/A</v>
      </c>
      <c r="V277" s="11" t="str">
        <f t="shared" si="5"/>
        <v>#N/A</v>
      </c>
      <c r="W277" s="11" t="str">
        <f t="shared" si="6"/>
        <v>#N/A</v>
      </c>
      <c r="X277" s="11" t="str">
        <f>IF(VLOOKUP($H277, SeanRanks!$A$2:$H$303, 7, FALSE)=0, "", VLOOKUP($H277, SeanRanks!$A$2:$H$303, 7, FALSE))</f>
        <v/>
      </c>
    </row>
    <row r="278" ht="14.25" customHeight="1">
      <c r="A278" s="11"/>
      <c r="B278" s="11" t="str">
        <f t="shared" si="7"/>
        <v>#N/A</v>
      </c>
      <c r="C278" s="11" t="s">
        <v>106</v>
      </c>
      <c r="D278" s="11"/>
      <c r="E278" s="11"/>
      <c r="F278" s="11">
        <f t="shared" si="2"/>
        <v>0</v>
      </c>
      <c r="G278" s="11"/>
      <c r="H278" s="11" t="s">
        <v>630</v>
      </c>
      <c r="I278" s="11" t="str">
        <f>VLOOKUP($H278, 'ADP Data'!$B$4:$Q$300, 2, FALSE)</f>
        <v>#N/A</v>
      </c>
      <c r="J278" s="11" t="s">
        <v>785</v>
      </c>
      <c r="K278" s="11" t="str">
        <f>VLOOKUP($H278, SeanRanks!$A$2:$H$303, 5, FALSE)</f>
        <v/>
      </c>
      <c r="L278" s="11" t="str">
        <f>IF(VLOOKUP($H278, SeanRanks!$A$2:$H$303, 6, FALSE)=0, "", VLOOKUP($H278, SeanRanks!$A$2:$H$303, 6, FALSE))</f>
        <v/>
      </c>
      <c r="M278" s="11">
        <f t="shared" si="3"/>
        <v>16</v>
      </c>
      <c r="N278" s="11" t="str">
        <f>VLOOKUP($H278, 'ADP Data'!$B$4:$Q$300, 10, FALSE)</f>
        <v>#N/A</v>
      </c>
      <c r="O278" s="11" t="str">
        <f>VLOOKUP($H278, 'ADP Data'!$B$4:$Q$300, 4, FALSE)</f>
        <v>#N/A</v>
      </c>
      <c r="P278" s="11" t="str">
        <f t="shared" si="4"/>
        <v>#N/A</v>
      </c>
      <c r="Q278" s="11" t="str">
        <f>VLOOKUP($H278, 'ADP Data'!$B$4:$Q$300, 5, FALSE)</f>
        <v>#N/A</v>
      </c>
      <c r="R278" s="11" t="str">
        <f>VLOOKUP($H278, 'ADP Data'!$B$4:$Q$300, 6, FALSE)</f>
        <v>#N/A</v>
      </c>
      <c r="S278" s="11" t="str">
        <f>VLOOKUP($H278, 'ADP Data'!$B$4:$Q$300, 7, FALSE)</f>
        <v>#N/A</v>
      </c>
      <c r="T278" s="11" t="str">
        <f>VLOOKUP($H278, 'ADP Data'!$B$4:$Q$300, 8, FALSE)</f>
        <v>#N/A</v>
      </c>
      <c r="U278" s="11" t="str">
        <f>VLOOKUP($H278, 'ADP Data'!$B$4:$Q$300, 9, FALSE)</f>
        <v>#N/A</v>
      </c>
      <c r="V278" s="11" t="str">
        <f t="shared" si="5"/>
        <v>#N/A</v>
      </c>
      <c r="W278" s="11" t="str">
        <f t="shared" si="6"/>
        <v>#N/A</v>
      </c>
      <c r="X278" s="11" t="str">
        <f>IF(VLOOKUP($H278, SeanRanks!$A$2:$H$303, 7, FALSE)=0, "", VLOOKUP($H278, SeanRanks!$A$2:$H$303, 7, FALSE))</f>
        <v/>
      </c>
    </row>
    <row r="279" ht="14.25" customHeight="1">
      <c r="A279" s="11"/>
      <c r="B279" s="11" t="str">
        <f t="shared" si="7"/>
        <v>#N/A</v>
      </c>
      <c r="C279" s="11" t="s">
        <v>106</v>
      </c>
      <c r="D279" s="11"/>
      <c r="E279" s="11"/>
      <c r="F279" s="11">
        <f t="shared" si="2"/>
        <v>0</v>
      </c>
      <c r="G279" s="11"/>
      <c r="H279" s="11" t="s">
        <v>1222</v>
      </c>
      <c r="I279" s="11" t="str">
        <f>VLOOKUP($H279, 'ADP Data'!$B$4:$Q$300, 2, FALSE)</f>
        <v>#N/A</v>
      </c>
      <c r="J279" s="11" t="s">
        <v>784</v>
      </c>
      <c r="K279" s="11" t="str">
        <f>VLOOKUP($H279, SeanRanks!$A$2:$H$303, 5, FALSE)</f>
        <v>#N/A</v>
      </c>
      <c r="L279" s="11" t="str">
        <f>IF(VLOOKUP($H279, SeanRanks!$A$2:$H$303, 6, FALSE)=0, "", VLOOKUP($H279, SeanRanks!$A$2:$H$303, 6, FALSE))</f>
        <v>#N/A</v>
      </c>
      <c r="M279" s="11">
        <f t="shared" si="3"/>
        <v>16</v>
      </c>
      <c r="N279" s="11" t="str">
        <f>VLOOKUP($H279, 'ADP Data'!$B$4:$Q$300, 10, FALSE)</f>
        <v>#N/A</v>
      </c>
      <c r="O279" s="11" t="str">
        <f>VLOOKUP($H279, 'ADP Data'!$B$4:$Q$300, 4, FALSE)</f>
        <v>#N/A</v>
      </c>
      <c r="P279" s="11" t="str">
        <f t="shared" si="4"/>
        <v>#N/A</v>
      </c>
      <c r="Q279" s="11" t="str">
        <f>VLOOKUP($H279, 'ADP Data'!$B$4:$Q$300, 5, FALSE)</f>
        <v>#N/A</v>
      </c>
      <c r="R279" s="11" t="str">
        <f>VLOOKUP($H279, 'ADP Data'!$B$4:$Q$300, 6, FALSE)</f>
        <v>#N/A</v>
      </c>
      <c r="S279" s="11" t="str">
        <f>VLOOKUP($H279, 'ADP Data'!$B$4:$Q$300, 7, FALSE)</f>
        <v>#N/A</v>
      </c>
      <c r="T279" s="11" t="str">
        <f>VLOOKUP($H279, 'ADP Data'!$B$4:$Q$300, 8, FALSE)</f>
        <v>#N/A</v>
      </c>
      <c r="U279" s="11" t="str">
        <f>VLOOKUP($H279, 'ADP Data'!$B$4:$Q$300, 9, FALSE)</f>
        <v>#N/A</v>
      </c>
      <c r="V279" s="11" t="str">
        <f t="shared" si="5"/>
        <v>#N/A</v>
      </c>
      <c r="W279" s="11" t="str">
        <f t="shared" si="6"/>
        <v>#N/A</v>
      </c>
      <c r="X279" s="11" t="str">
        <f>IF(VLOOKUP($H279, SeanRanks!$A$2:$H$303, 7, FALSE)=0, "", VLOOKUP($H279, SeanRanks!$A$2:$H$303, 7, FALSE))</f>
        <v>#N/A</v>
      </c>
    </row>
    <row r="280" ht="14.25" customHeight="1">
      <c r="A280" s="11"/>
      <c r="B280" s="11" t="str">
        <f t="shared" si="7"/>
        <v>#N/A</v>
      </c>
      <c r="C280" s="11" t="s">
        <v>106</v>
      </c>
      <c r="D280" s="11"/>
      <c r="E280" s="11"/>
      <c r="F280" s="11">
        <f t="shared" si="2"/>
        <v>0</v>
      </c>
      <c r="G280" s="11"/>
      <c r="H280" s="11" t="s">
        <v>1302</v>
      </c>
      <c r="I280" s="57" t="str">
        <f>VLOOKUP($H280, 'ADP Data'!$B$4:$Q$300, 2, FALSE)</f>
        <v>#N/A</v>
      </c>
      <c r="J280" s="11" t="s">
        <v>772</v>
      </c>
      <c r="K280" s="11" t="str">
        <f>VLOOKUP($H280, SeanRanks!$A$2:$H$303, 5, FALSE)</f>
        <v>#N/A</v>
      </c>
      <c r="L280" s="11" t="str">
        <f>IF(VLOOKUP($H280, SeanRanks!$A$2:$H$303, 6, FALSE)=0, "", VLOOKUP($H280, SeanRanks!$A$2:$H$303, 6, FALSE))</f>
        <v>#N/A</v>
      </c>
      <c r="M280" s="11">
        <f t="shared" si="3"/>
        <v>16</v>
      </c>
      <c r="N280" s="11" t="str">
        <f>VLOOKUP($H280, 'ADP Data'!$B$4:$Q$300, 10, FALSE)</f>
        <v>#N/A</v>
      </c>
      <c r="O280" s="11" t="str">
        <f>VLOOKUP($H280, 'ADP Data'!$B$4:$Q$300, 4, FALSE)</f>
        <v>#N/A</v>
      </c>
      <c r="P280" s="11" t="str">
        <f t="shared" si="4"/>
        <v>#N/A</v>
      </c>
      <c r="Q280" s="11" t="str">
        <f>VLOOKUP($H280, 'ADP Data'!$B$4:$Q$300, 5, FALSE)</f>
        <v>#N/A</v>
      </c>
      <c r="R280" s="11" t="str">
        <f>VLOOKUP($H280, 'ADP Data'!$B$4:$Q$300, 6, FALSE)</f>
        <v>#N/A</v>
      </c>
      <c r="S280" s="11" t="str">
        <f>VLOOKUP($H280, 'ADP Data'!$B$4:$Q$300, 7, FALSE)</f>
        <v>#N/A</v>
      </c>
      <c r="T280" s="11" t="str">
        <f>VLOOKUP($H280, 'ADP Data'!$B$4:$Q$300, 8, FALSE)</f>
        <v>#N/A</v>
      </c>
      <c r="U280" s="11" t="str">
        <f>VLOOKUP($H280, 'ADP Data'!$B$4:$Q$300, 9, FALSE)</f>
        <v>#N/A</v>
      </c>
      <c r="V280" s="11" t="str">
        <f t="shared" si="5"/>
        <v>#N/A</v>
      </c>
      <c r="W280" s="11" t="str">
        <f t="shared" si="6"/>
        <v>#N/A</v>
      </c>
      <c r="X280" s="11" t="str">
        <f>IF(VLOOKUP($H280, SeanRanks!$A$2:$H$303, 7, FALSE)=0, "", VLOOKUP($H280, SeanRanks!$A$2:$H$303, 7, FALSE))</f>
        <v>#N/A</v>
      </c>
    </row>
    <row r="281" ht="14.25" customHeight="1">
      <c r="A281" s="11"/>
      <c r="B281" s="11" t="str">
        <f t="shared" si="7"/>
        <v>#N/A</v>
      </c>
      <c r="C281" s="11" t="s">
        <v>106</v>
      </c>
      <c r="D281" s="11"/>
      <c r="E281" s="11"/>
      <c r="F281" s="11">
        <f t="shared" si="2"/>
        <v>0</v>
      </c>
      <c r="G281" s="11"/>
      <c r="H281" s="11" t="s">
        <v>1161</v>
      </c>
      <c r="I281" s="11" t="str">
        <f>VLOOKUP($H281, 'ADP Data'!$B$4:$Q$300, 2, FALSE)</f>
        <v>#N/A</v>
      </c>
      <c r="J281" s="11" t="s">
        <v>772</v>
      </c>
      <c r="K281" s="11" t="str">
        <f>VLOOKUP($H281, SeanRanks!$A$2:$H$303, 5, FALSE)</f>
        <v>#N/A</v>
      </c>
      <c r="L281" s="11" t="str">
        <f>IF(VLOOKUP($H281, SeanRanks!$A$2:$H$303, 6, FALSE)=0, "", VLOOKUP($H281, SeanRanks!$A$2:$H$303, 6, FALSE))</f>
        <v>#N/A</v>
      </c>
      <c r="M281" s="11">
        <f t="shared" si="3"/>
        <v>16</v>
      </c>
      <c r="N281" s="11" t="str">
        <f>VLOOKUP($H281, 'ADP Data'!$B$4:$Q$300, 10, FALSE)</f>
        <v>#N/A</v>
      </c>
      <c r="O281" s="11" t="str">
        <f>VLOOKUP($H281, 'ADP Data'!$B$4:$Q$300, 4, FALSE)</f>
        <v>#N/A</v>
      </c>
      <c r="P281" s="11" t="str">
        <f t="shared" si="4"/>
        <v>#N/A</v>
      </c>
      <c r="Q281" s="11" t="str">
        <f>VLOOKUP($H281, 'ADP Data'!$B$4:$Q$300, 5, FALSE)</f>
        <v>#N/A</v>
      </c>
      <c r="R281" s="11" t="str">
        <f>VLOOKUP($H281, 'ADP Data'!$B$4:$Q$300, 6, FALSE)</f>
        <v>#N/A</v>
      </c>
      <c r="S281" s="11" t="str">
        <f>VLOOKUP($H281, 'ADP Data'!$B$4:$Q$300, 7, FALSE)</f>
        <v>#N/A</v>
      </c>
      <c r="T281" s="11" t="str">
        <f>VLOOKUP($H281, 'ADP Data'!$B$4:$Q$300, 8, FALSE)</f>
        <v>#N/A</v>
      </c>
      <c r="U281" s="11" t="str">
        <f>VLOOKUP($H281, 'ADP Data'!$B$4:$Q$300, 9, FALSE)</f>
        <v>#N/A</v>
      </c>
      <c r="V281" s="11" t="str">
        <f t="shared" si="5"/>
        <v>#N/A</v>
      </c>
      <c r="W281" s="11" t="str">
        <f t="shared" si="6"/>
        <v>#N/A</v>
      </c>
      <c r="X281" s="11" t="str">
        <f>IF(VLOOKUP($H281, SeanRanks!$A$2:$H$303, 7, FALSE)=0, "", VLOOKUP($H281, SeanRanks!$A$2:$H$303, 7, FALSE))</f>
        <v>#N/A</v>
      </c>
    </row>
    <row r="282" ht="14.25" customHeight="1">
      <c r="A282" s="11"/>
      <c r="B282" s="11" t="str">
        <f t="shared" si="7"/>
        <v>#N/A</v>
      </c>
      <c r="C282" s="11" t="s">
        <v>106</v>
      </c>
      <c r="D282" s="11"/>
      <c r="E282" s="11"/>
      <c r="F282" s="11">
        <f t="shared" si="2"/>
        <v>0</v>
      </c>
      <c r="G282" s="11"/>
      <c r="H282" s="11" t="s">
        <v>918</v>
      </c>
      <c r="I282" s="11" t="str">
        <f>VLOOKUP($H282, 'ADP Data'!$B$4:$Q$300, 2, FALSE)</f>
        <v>#N/A</v>
      </c>
      <c r="J282" s="11" t="s">
        <v>785</v>
      </c>
      <c r="K282" s="11" t="str">
        <f>VLOOKUP($H282, SeanRanks!$A$2:$H$303, 5, FALSE)</f>
        <v/>
      </c>
      <c r="L282" s="11" t="str">
        <f>IF(VLOOKUP($H282, SeanRanks!$A$2:$H$303, 6, FALSE)=0, "", VLOOKUP($H282, SeanRanks!$A$2:$H$303, 6, FALSE))</f>
        <v/>
      </c>
      <c r="M282" s="11">
        <f t="shared" si="3"/>
        <v>16</v>
      </c>
      <c r="N282" s="11" t="str">
        <f>VLOOKUP($H282, 'ADP Data'!$B$4:$Q$300, 10, FALSE)</f>
        <v>#N/A</v>
      </c>
      <c r="O282" s="11" t="str">
        <f>VLOOKUP($H282, 'ADP Data'!$B$4:$Q$300, 4, FALSE)</f>
        <v>#N/A</v>
      </c>
      <c r="P282" s="11" t="str">
        <f t="shared" si="4"/>
        <v>#N/A</v>
      </c>
      <c r="Q282" s="11" t="str">
        <f>VLOOKUP($H282, 'ADP Data'!$B$4:$Q$300, 5, FALSE)</f>
        <v>#N/A</v>
      </c>
      <c r="R282" s="11" t="str">
        <f>VLOOKUP($H282, 'ADP Data'!$B$4:$Q$300, 6, FALSE)</f>
        <v>#N/A</v>
      </c>
      <c r="S282" s="11" t="str">
        <f>VLOOKUP($H282, 'ADP Data'!$B$4:$Q$300, 7, FALSE)</f>
        <v>#N/A</v>
      </c>
      <c r="T282" s="11" t="str">
        <f>VLOOKUP($H282, 'ADP Data'!$B$4:$Q$300, 8, FALSE)</f>
        <v>#N/A</v>
      </c>
      <c r="U282" s="11" t="str">
        <f>VLOOKUP($H282, 'ADP Data'!$B$4:$Q$300, 9, FALSE)</f>
        <v>#N/A</v>
      </c>
      <c r="V282" s="11" t="str">
        <f t="shared" si="5"/>
        <v>#N/A</v>
      </c>
      <c r="W282" s="11" t="str">
        <f t="shared" si="6"/>
        <v>#N/A</v>
      </c>
      <c r="X282" s="11" t="str">
        <f>IF(VLOOKUP($H282, SeanRanks!$A$2:$H$303, 7, FALSE)=0, "", VLOOKUP($H282, SeanRanks!$A$2:$H$303, 7, FALSE))</f>
        <v/>
      </c>
    </row>
    <row r="283" ht="14.25" customHeight="1">
      <c r="A283" s="11"/>
      <c r="B283" s="11" t="str">
        <f t="shared" si="7"/>
        <v>#N/A</v>
      </c>
      <c r="C283" s="11" t="s">
        <v>106</v>
      </c>
      <c r="D283" s="11"/>
      <c r="E283" s="11"/>
      <c r="F283" s="11">
        <f t="shared" si="2"/>
        <v>0</v>
      </c>
      <c r="G283" s="11"/>
      <c r="H283" s="11" t="s">
        <v>977</v>
      </c>
      <c r="I283" s="58" t="str">
        <f>VLOOKUP($H283, 'ADP Data'!$B$4:$Q$300, 2, FALSE)</f>
        <v>#N/A</v>
      </c>
      <c r="J283" s="11" t="s">
        <v>775</v>
      </c>
      <c r="K283" s="11" t="str">
        <f>VLOOKUP($H283, SeanRanks!$A$2:$H$303, 5, FALSE)</f>
        <v>#N/A</v>
      </c>
      <c r="L283" s="11" t="str">
        <f>IF(VLOOKUP($H283, SeanRanks!$A$2:$H$303, 6, FALSE)=0, "", VLOOKUP($H283, SeanRanks!$A$2:$H$303, 6, FALSE))</f>
        <v>#N/A</v>
      </c>
      <c r="M283" s="11">
        <f t="shared" si="3"/>
        <v>16</v>
      </c>
      <c r="N283" s="11" t="str">
        <f>VLOOKUP($H283, 'ADP Data'!$B$4:$Q$300, 10, FALSE)</f>
        <v>#N/A</v>
      </c>
      <c r="O283" s="11" t="str">
        <f>VLOOKUP($H283, 'ADP Data'!$B$4:$Q$300, 4, FALSE)</f>
        <v>#N/A</v>
      </c>
      <c r="P283" s="11" t="str">
        <f t="shared" si="4"/>
        <v>#N/A</v>
      </c>
      <c r="Q283" s="11" t="str">
        <f>VLOOKUP($H283, 'ADP Data'!$B$4:$Q$300, 5, FALSE)</f>
        <v>#N/A</v>
      </c>
      <c r="R283" s="11" t="str">
        <f>VLOOKUP($H283, 'ADP Data'!$B$4:$Q$300, 6, FALSE)</f>
        <v>#N/A</v>
      </c>
      <c r="S283" s="11" t="str">
        <f>VLOOKUP($H283, 'ADP Data'!$B$4:$Q$300, 7, FALSE)</f>
        <v>#N/A</v>
      </c>
      <c r="T283" s="11" t="str">
        <f>VLOOKUP($H283, 'ADP Data'!$B$4:$Q$300, 8, FALSE)</f>
        <v>#N/A</v>
      </c>
      <c r="U283" s="11" t="str">
        <f>VLOOKUP($H283, 'ADP Data'!$B$4:$Q$300, 9, FALSE)</f>
        <v>#N/A</v>
      </c>
      <c r="V283" s="11" t="str">
        <f t="shared" si="5"/>
        <v>#N/A</v>
      </c>
      <c r="W283" s="11" t="str">
        <f t="shared" si="6"/>
        <v>#N/A</v>
      </c>
      <c r="X283" s="11" t="str">
        <f>IF(VLOOKUP($H283, SeanRanks!$A$2:$H$303, 7, FALSE)=0, "", VLOOKUP($H283, SeanRanks!$A$2:$H$303, 7, FALSE))</f>
        <v>#N/A</v>
      </c>
    </row>
    <row r="284" ht="14.25" customHeight="1">
      <c r="A284" s="11"/>
      <c r="B284" s="11" t="str">
        <f t="shared" si="7"/>
        <v>#N/A</v>
      </c>
      <c r="C284" s="11" t="s">
        <v>106</v>
      </c>
      <c r="D284" s="11"/>
      <c r="E284" s="11"/>
      <c r="F284" s="11">
        <f t="shared" si="2"/>
        <v>0</v>
      </c>
      <c r="G284" s="11"/>
      <c r="H284" s="11" t="s">
        <v>1414</v>
      </c>
      <c r="I284" s="11" t="str">
        <f>VLOOKUP($H284, 'ADP Data'!$B$4:$Q$300, 2, FALSE)</f>
        <v>#N/A</v>
      </c>
      <c r="J284" s="11" t="str">
        <f>VLOOKUP($H284, 'ADP Data'!$B$4:$Q$300, 3, FALSE)</f>
        <v>#N/A</v>
      </c>
      <c r="K284" s="11" t="str">
        <f>VLOOKUP($H284, SeanRanks!$A$2:$H$303, 5, FALSE)</f>
        <v>#N/A</v>
      </c>
      <c r="L284" s="11" t="str">
        <f>IF(VLOOKUP($H284, SeanRanks!$A$2:$H$303, 6, FALSE)=0, "", VLOOKUP($H284, SeanRanks!$A$2:$H$303, 6, FALSE))</f>
        <v>#N/A</v>
      </c>
      <c r="M284" s="11">
        <f t="shared" si="3"/>
        <v>16</v>
      </c>
      <c r="N284" s="11" t="str">
        <f>VLOOKUP($H284, 'ADP Data'!$B$4:$Q$300, 10, FALSE)</f>
        <v>#N/A</v>
      </c>
      <c r="O284" s="11" t="str">
        <f>VLOOKUP($H284, 'ADP Data'!$B$4:$Q$300, 4, FALSE)</f>
        <v>#N/A</v>
      </c>
      <c r="P284" s="11" t="str">
        <f t="shared" si="4"/>
        <v>#N/A</v>
      </c>
      <c r="Q284" s="11" t="str">
        <f>VLOOKUP($H284, 'ADP Data'!$B$4:$Q$300, 5, FALSE)</f>
        <v>#N/A</v>
      </c>
      <c r="R284" s="11" t="str">
        <f>VLOOKUP($H284, 'ADP Data'!$B$4:$Q$300, 6, FALSE)</f>
        <v>#N/A</v>
      </c>
      <c r="S284" s="11" t="str">
        <f>VLOOKUP($H284, 'ADP Data'!$B$4:$Q$300, 7, FALSE)</f>
        <v>#N/A</v>
      </c>
      <c r="T284" s="11" t="str">
        <f>VLOOKUP($H284, 'ADP Data'!$B$4:$Q$300, 8, FALSE)</f>
        <v>#N/A</v>
      </c>
      <c r="U284" s="11" t="str">
        <f>VLOOKUP($H284, 'ADP Data'!$B$4:$Q$300, 9, FALSE)</f>
        <v>#N/A</v>
      </c>
      <c r="V284" s="11" t="str">
        <f t="shared" si="5"/>
        <v>#N/A</v>
      </c>
      <c r="W284" s="11" t="str">
        <f t="shared" si="6"/>
        <v>#N/A</v>
      </c>
      <c r="X284" s="11" t="str">
        <f>IF(VLOOKUP($H284, SeanRanks!$A$2:$H$303, 7, FALSE)=0, "", VLOOKUP($H284, SeanRanks!$A$2:$H$303, 7, FALSE))</f>
        <v>#N/A</v>
      </c>
    </row>
    <row r="285" ht="14.25" customHeight="1">
      <c r="A285" s="11"/>
      <c r="B285" s="11" t="str">
        <f t="shared" si="7"/>
        <v>#N/A</v>
      </c>
      <c r="C285" s="11" t="s">
        <v>106</v>
      </c>
      <c r="D285" s="11"/>
      <c r="E285" s="11"/>
      <c r="F285" s="11">
        <f t="shared" si="2"/>
        <v>0</v>
      </c>
      <c r="G285" s="11"/>
      <c r="H285" s="11" t="s">
        <v>647</v>
      </c>
      <c r="I285" s="11" t="str">
        <f>VLOOKUP($H285, 'ADP Data'!$B$4:$Q$300, 2, FALSE)</f>
        <v>#N/A</v>
      </c>
      <c r="J285" s="11" t="str">
        <f>VLOOKUP($H285, 'ADP Data'!$B$4:$Q$300, 3, FALSE)</f>
        <v>#N/A</v>
      </c>
      <c r="K285" s="11" t="str">
        <f>VLOOKUP($H285, SeanRanks!$A$2:$H$303, 5, FALSE)</f>
        <v>#N/A</v>
      </c>
      <c r="L285" s="11" t="str">
        <f>IF(VLOOKUP($H285, SeanRanks!$A$2:$H$303, 6, FALSE)=0, "", VLOOKUP($H285, SeanRanks!$A$2:$H$303, 6, FALSE))</f>
        <v>#N/A</v>
      </c>
      <c r="M285" s="11">
        <f t="shared" si="3"/>
        <v>16</v>
      </c>
      <c r="N285" s="11" t="str">
        <f>VLOOKUP($H285, 'ADP Data'!$B$4:$Q$300, 10, FALSE)</f>
        <v>#N/A</v>
      </c>
      <c r="O285" s="11" t="str">
        <f>VLOOKUP($H285, 'ADP Data'!$B$4:$Q$300, 4, FALSE)</f>
        <v>#N/A</v>
      </c>
      <c r="P285" s="11" t="str">
        <f t="shared" si="4"/>
        <v>#N/A</v>
      </c>
      <c r="Q285" s="11" t="str">
        <f>VLOOKUP($H285, 'ADP Data'!$B$4:$Q$300, 5, FALSE)</f>
        <v>#N/A</v>
      </c>
      <c r="R285" s="11" t="str">
        <f>VLOOKUP($H285, 'ADP Data'!$B$4:$Q$300, 6, FALSE)</f>
        <v>#N/A</v>
      </c>
      <c r="S285" s="11" t="str">
        <f>VLOOKUP($H285, 'ADP Data'!$B$4:$Q$300, 7, FALSE)</f>
        <v>#N/A</v>
      </c>
      <c r="T285" s="11" t="str">
        <f>VLOOKUP($H285, 'ADP Data'!$B$4:$Q$300, 8, FALSE)</f>
        <v>#N/A</v>
      </c>
      <c r="U285" s="11" t="str">
        <f>VLOOKUP($H285, 'ADP Data'!$B$4:$Q$300, 9, FALSE)</f>
        <v>#N/A</v>
      </c>
      <c r="V285" s="11" t="str">
        <f t="shared" si="5"/>
        <v>#N/A</v>
      </c>
      <c r="W285" s="11" t="str">
        <f t="shared" si="6"/>
        <v>#N/A</v>
      </c>
      <c r="X285" s="11" t="str">
        <f>IF(VLOOKUP($H285, SeanRanks!$A$2:$H$303, 7, FALSE)=0, "", VLOOKUP($H285, SeanRanks!$A$2:$H$303, 7, FALSE))</f>
        <v>#N/A</v>
      </c>
    </row>
    <row r="286" ht="14.25" customHeight="1">
      <c r="A286" s="11"/>
      <c r="B286" s="11" t="str">
        <f t="shared" si="7"/>
        <v>#N/A</v>
      </c>
      <c r="C286" s="11" t="s">
        <v>106</v>
      </c>
      <c r="D286" s="11"/>
      <c r="E286" s="11"/>
      <c r="F286" s="11">
        <f t="shared" si="2"/>
        <v>0</v>
      </c>
      <c r="G286" s="11"/>
      <c r="H286" s="11" t="s">
        <v>374</v>
      </c>
      <c r="I286" s="11" t="str">
        <f>VLOOKUP($H286, 'ADP Data'!$B$4:$Q$300, 2, FALSE)</f>
        <v>#N/A</v>
      </c>
      <c r="J286" s="11" t="str">
        <f>VLOOKUP($H286, 'ADP Data'!$B$4:$Q$300, 3, FALSE)</f>
        <v>#N/A</v>
      </c>
      <c r="K286" s="11" t="str">
        <f>VLOOKUP($H286, SeanRanks!$A$2:$H$303, 5, FALSE)</f>
        <v/>
      </c>
      <c r="L286" s="11" t="str">
        <f>IF(VLOOKUP($H286, SeanRanks!$A$2:$H$303, 6, FALSE)=0, "", VLOOKUP($H286, SeanRanks!$A$2:$H$303, 6, FALSE))</f>
        <v>WR4 - 2 - unclear path to WR2</v>
      </c>
      <c r="M286" s="11">
        <f t="shared" si="3"/>
        <v>16</v>
      </c>
      <c r="N286" s="11" t="str">
        <f>VLOOKUP($H286, 'ADP Data'!$B$4:$Q$300, 10, FALSE)</f>
        <v>#N/A</v>
      </c>
      <c r="O286" s="11" t="str">
        <f>VLOOKUP($H286, 'ADP Data'!$B$4:$Q$300, 4, FALSE)</f>
        <v>#N/A</v>
      </c>
      <c r="P286" s="11" t="str">
        <f t="shared" si="4"/>
        <v>#N/A</v>
      </c>
      <c r="Q286" s="11" t="str">
        <f>VLOOKUP($H286, 'ADP Data'!$B$4:$Q$300, 5, FALSE)</f>
        <v>#N/A</v>
      </c>
      <c r="R286" s="11" t="str">
        <f>VLOOKUP($H286, 'ADP Data'!$B$4:$Q$300, 6, FALSE)</f>
        <v>#N/A</v>
      </c>
      <c r="S286" s="11" t="str">
        <f>VLOOKUP($H286, 'ADP Data'!$B$4:$Q$300, 7, FALSE)</f>
        <v>#N/A</v>
      </c>
      <c r="T286" s="11" t="str">
        <f>VLOOKUP($H286, 'ADP Data'!$B$4:$Q$300, 8, FALSE)</f>
        <v>#N/A</v>
      </c>
      <c r="U286" s="11" t="str">
        <f>VLOOKUP($H286, 'ADP Data'!$B$4:$Q$300, 9, FALSE)</f>
        <v>#N/A</v>
      </c>
      <c r="V286" s="11" t="str">
        <f t="shared" si="5"/>
        <v>#N/A</v>
      </c>
      <c r="W286" s="11" t="str">
        <f t="shared" si="6"/>
        <v>#N/A</v>
      </c>
      <c r="X286" s="11">
        <f>IF(VLOOKUP($H286, SeanRanks!$A$2:$H$303, 7, FALSE)=0, "", VLOOKUP($H286, SeanRanks!$A$2:$H$303, 7, FALSE))</f>
        <v>45</v>
      </c>
    </row>
    <row r="287" ht="14.25" customHeight="1">
      <c r="A287" s="11"/>
      <c r="B287" s="11" t="str">
        <f t="shared" si="7"/>
        <v>#N/A</v>
      </c>
      <c r="C287" s="11" t="s">
        <v>106</v>
      </c>
      <c r="D287" s="11"/>
      <c r="E287" s="11"/>
      <c r="F287" s="11">
        <f t="shared" si="2"/>
        <v>0</v>
      </c>
      <c r="G287" s="11"/>
      <c r="H287" s="11" t="s">
        <v>292</v>
      </c>
      <c r="I287" s="11" t="str">
        <f>VLOOKUP($H287, 'ADP Data'!$B$4:$Q$300, 2, FALSE)</f>
        <v>#N/A</v>
      </c>
      <c r="J287" s="11" t="str">
        <f>VLOOKUP($H287, 'ADP Data'!$B$4:$Q$300, 3, FALSE)</f>
        <v>#N/A</v>
      </c>
      <c r="K287" s="11" t="str">
        <f>VLOOKUP($H287, SeanRanks!$A$2:$H$303, 5, FALSE)</f>
        <v>No</v>
      </c>
      <c r="L287" s="11" t="str">
        <f>IF(VLOOKUP($H287, SeanRanks!$A$2:$H$303, 6, FALSE)=0, "", VLOOKUP($H287, SeanRanks!$A$2:$H$303, 6, FALSE))</f>
        <v>WR4 - 2 - unclear path to WR2</v>
      </c>
      <c r="M287" s="11">
        <f t="shared" si="3"/>
        <v>16</v>
      </c>
      <c r="N287" s="11" t="str">
        <f>VLOOKUP($H287, 'ADP Data'!$B$4:$Q$300, 10, FALSE)</f>
        <v>#N/A</v>
      </c>
      <c r="O287" s="11" t="str">
        <f>VLOOKUP($H287, 'ADP Data'!$B$4:$Q$300, 4, FALSE)</f>
        <v>#N/A</v>
      </c>
      <c r="P287" s="11" t="str">
        <f t="shared" si="4"/>
        <v>#N/A</v>
      </c>
      <c r="Q287" s="11" t="str">
        <f>VLOOKUP($H287, 'ADP Data'!$B$4:$Q$300, 5, FALSE)</f>
        <v>#N/A</v>
      </c>
      <c r="R287" s="11" t="str">
        <f>VLOOKUP($H287, 'ADP Data'!$B$4:$Q$300, 6, FALSE)</f>
        <v>#N/A</v>
      </c>
      <c r="S287" s="11" t="str">
        <f>VLOOKUP($H287, 'ADP Data'!$B$4:$Q$300, 7, FALSE)</f>
        <v>#N/A</v>
      </c>
      <c r="T287" s="11" t="str">
        <f>VLOOKUP($H287, 'ADP Data'!$B$4:$Q$300, 8, FALSE)</f>
        <v>#N/A</v>
      </c>
      <c r="U287" s="11" t="str">
        <f>VLOOKUP($H287, 'ADP Data'!$B$4:$Q$300, 9, FALSE)</f>
        <v>#N/A</v>
      </c>
      <c r="V287" s="11" t="str">
        <f t="shared" si="5"/>
        <v>#N/A</v>
      </c>
      <c r="W287" s="11" t="str">
        <f t="shared" si="6"/>
        <v>#N/A</v>
      </c>
      <c r="X287" s="11">
        <f>IF(VLOOKUP($H287, SeanRanks!$A$2:$H$303, 7, FALSE)=0, "", VLOOKUP($H287, SeanRanks!$A$2:$H$303, 7, FALSE))</f>
        <v>46</v>
      </c>
    </row>
    <row r="288" ht="14.25" customHeight="1">
      <c r="A288" s="11"/>
      <c r="B288" s="11" t="str">
        <f t="shared" si="7"/>
        <v>#N/A</v>
      </c>
      <c r="C288" s="11" t="s">
        <v>106</v>
      </c>
      <c r="D288" s="11"/>
      <c r="E288" s="11"/>
      <c r="F288" s="11">
        <f t="shared" si="2"/>
        <v>0</v>
      </c>
      <c r="G288" s="11"/>
      <c r="H288" s="11" t="s">
        <v>1264</v>
      </c>
      <c r="I288" s="11" t="str">
        <f>VLOOKUP($H288, 'ADP Data'!$B$4:$Q$300, 2, FALSE)</f>
        <v>#N/A</v>
      </c>
      <c r="J288" s="11" t="str">
        <f>VLOOKUP($H288, 'ADP Data'!$B$4:$Q$300, 3, FALSE)</f>
        <v>#N/A</v>
      </c>
      <c r="K288" s="11" t="str">
        <f>VLOOKUP($H288, SeanRanks!$A$2:$H$303, 5, FALSE)</f>
        <v>#N/A</v>
      </c>
      <c r="L288" s="11" t="str">
        <f>IF(VLOOKUP($H288, SeanRanks!$A$2:$H$303, 6, FALSE)=0, "", VLOOKUP($H288, SeanRanks!$A$2:$H$303, 6, FALSE))</f>
        <v>#N/A</v>
      </c>
      <c r="M288" s="11">
        <f t="shared" si="3"/>
        <v>16</v>
      </c>
      <c r="N288" s="11" t="str">
        <f>VLOOKUP($H288, 'ADP Data'!$B$4:$Q$300, 10, FALSE)</f>
        <v>#N/A</v>
      </c>
      <c r="O288" s="11" t="str">
        <f>VLOOKUP($H288, 'ADP Data'!$B$4:$Q$300, 4, FALSE)</f>
        <v>#N/A</v>
      </c>
      <c r="P288" s="11" t="str">
        <f t="shared" si="4"/>
        <v>#N/A</v>
      </c>
      <c r="Q288" s="11" t="str">
        <f>VLOOKUP($H288, 'ADP Data'!$B$4:$Q$300, 5, FALSE)</f>
        <v>#N/A</v>
      </c>
      <c r="R288" s="11" t="str">
        <f>VLOOKUP($H288, 'ADP Data'!$B$4:$Q$300, 6, FALSE)</f>
        <v>#N/A</v>
      </c>
      <c r="S288" s="11" t="str">
        <f>VLOOKUP($H288, 'ADP Data'!$B$4:$Q$300, 7, FALSE)</f>
        <v>#N/A</v>
      </c>
      <c r="T288" s="11" t="str">
        <f>VLOOKUP($H288, 'ADP Data'!$B$4:$Q$300, 8, FALSE)</f>
        <v>#N/A</v>
      </c>
      <c r="U288" s="11" t="str">
        <f>VLOOKUP($H288, 'ADP Data'!$B$4:$Q$300, 9, FALSE)</f>
        <v>#N/A</v>
      </c>
      <c r="V288" s="11" t="str">
        <f t="shared" si="5"/>
        <v>#N/A</v>
      </c>
      <c r="W288" s="11" t="str">
        <f t="shared" si="6"/>
        <v>#N/A</v>
      </c>
      <c r="X288" s="11" t="str">
        <f>IF(VLOOKUP($H288, SeanRanks!$A$2:$H$303, 7, FALSE)=0, "", VLOOKUP($H288, SeanRanks!$A$2:$H$303, 7, FALSE))</f>
        <v>#N/A</v>
      </c>
    </row>
    <row r="289" ht="14.25" customHeight="1">
      <c r="A289" s="11"/>
      <c r="B289" s="11" t="str">
        <f t="shared" si="7"/>
        <v>#N/A</v>
      </c>
      <c r="C289" s="11" t="s">
        <v>106</v>
      </c>
      <c r="D289" s="11"/>
      <c r="E289" s="11"/>
      <c r="F289" s="11">
        <f t="shared" si="2"/>
        <v>0</v>
      </c>
      <c r="G289" s="11"/>
      <c r="H289" s="11" t="s">
        <v>1236</v>
      </c>
      <c r="I289" s="11" t="str">
        <f>VLOOKUP($H289, 'ADP Data'!$B$4:$Q$300, 2, FALSE)</f>
        <v>#N/A</v>
      </c>
      <c r="J289" s="11" t="str">
        <f>VLOOKUP($H289, 'ADP Data'!$B$4:$Q$300, 3, FALSE)</f>
        <v>#N/A</v>
      </c>
      <c r="K289" s="11" t="str">
        <f>VLOOKUP($H289, SeanRanks!$A$2:$H$303, 5, FALSE)</f>
        <v>#N/A</v>
      </c>
      <c r="L289" s="11" t="str">
        <f>IF(VLOOKUP($H289, SeanRanks!$A$2:$H$303, 6, FALSE)=0, "", VLOOKUP($H289, SeanRanks!$A$2:$H$303, 6, FALSE))</f>
        <v>#N/A</v>
      </c>
      <c r="M289" s="11">
        <f t="shared" si="3"/>
        <v>16</v>
      </c>
      <c r="N289" s="11" t="str">
        <f>VLOOKUP($H289, 'ADP Data'!$B$4:$Q$300, 10, FALSE)</f>
        <v>#N/A</v>
      </c>
      <c r="O289" s="11" t="str">
        <f>VLOOKUP($H289, 'ADP Data'!$B$4:$Q$300, 4, FALSE)</f>
        <v>#N/A</v>
      </c>
      <c r="P289" s="11" t="str">
        <f t="shared" si="4"/>
        <v>#N/A</v>
      </c>
      <c r="Q289" s="11" t="str">
        <f>VLOOKUP($H289, 'ADP Data'!$B$4:$Q$300, 5, FALSE)</f>
        <v>#N/A</v>
      </c>
      <c r="R289" s="11" t="str">
        <f>VLOOKUP($H289, 'ADP Data'!$B$4:$Q$300, 6, FALSE)</f>
        <v>#N/A</v>
      </c>
      <c r="S289" s="11" t="str">
        <f>VLOOKUP($H289, 'ADP Data'!$B$4:$Q$300, 7, FALSE)</f>
        <v>#N/A</v>
      </c>
      <c r="T289" s="11" t="str">
        <f>VLOOKUP($H289, 'ADP Data'!$B$4:$Q$300, 8, FALSE)</f>
        <v>#N/A</v>
      </c>
      <c r="U289" s="11" t="str">
        <f>VLOOKUP($H289, 'ADP Data'!$B$4:$Q$300, 9, FALSE)</f>
        <v>#N/A</v>
      </c>
      <c r="V289" s="11" t="str">
        <f t="shared" si="5"/>
        <v>#N/A</v>
      </c>
      <c r="W289" s="11" t="str">
        <f t="shared" si="6"/>
        <v>#N/A</v>
      </c>
      <c r="X289" s="11" t="str">
        <f>IF(VLOOKUP($H289, SeanRanks!$A$2:$H$303, 7, FALSE)=0, "", VLOOKUP($H289, SeanRanks!$A$2:$H$303, 7, FALSE))</f>
        <v>#N/A</v>
      </c>
    </row>
    <row r="290" ht="14.25" customHeight="1">
      <c r="A290" s="11"/>
      <c r="B290" s="11" t="str">
        <f t="shared" si="7"/>
        <v>#N/A</v>
      </c>
      <c r="C290" s="11" t="s">
        <v>106</v>
      </c>
      <c r="D290" s="11"/>
      <c r="E290" s="11"/>
      <c r="F290" s="11">
        <f t="shared" si="2"/>
        <v>0</v>
      </c>
      <c r="G290" s="11"/>
      <c r="H290" s="11" t="s">
        <v>1446</v>
      </c>
      <c r="I290" s="11" t="str">
        <f>VLOOKUP($H290, 'ADP Data'!$B$4:$Q$300, 2, FALSE)</f>
        <v>#N/A</v>
      </c>
      <c r="J290" s="11" t="str">
        <f>VLOOKUP($H290, 'ADP Data'!$B$4:$Q$300, 3, FALSE)</f>
        <v>#N/A</v>
      </c>
      <c r="K290" s="11" t="str">
        <f>VLOOKUP($H290, SeanRanks!$A$2:$H$303, 5, FALSE)</f>
        <v>#N/A</v>
      </c>
      <c r="L290" s="11" t="str">
        <f>IF(VLOOKUP($H290, SeanRanks!$A$2:$H$303, 6, FALSE)=0, "", VLOOKUP($H290, SeanRanks!$A$2:$H$303, 6, FALSE))</f>
        <v>#N/A</v>
      </c>
      <c r="M290" s="11">
        <f t="shared" si="3"/>
        <v>16</v>
      </c>
      <c r="N290" s="11" t="str">
        <f>VLOOKUP($H290, 'ADP Data'!$B$4:$Q$300, 10, FALSE)</f>
        <v>#N/A</v>
      </c>
      <c r="O290" s="11" t="str">
        <f>VLOOKUP($H290, 'ADP Data'!$B$4:$Q$300, 4, FALSE)</f>
        <v>#N/A</v>
      </c>
      <c r="P290" s="11" t="str">
        <f t="shared" si="4"/>
        <v>#N/A</v>
      </c>
      <c r="Q290" s="11" t="str">
        <f>VLOOKUP($H290, 'ADP Data'!$B$4:$Q$300, 5, FALSE)</f>
        <v>#N/A</v>
      </c>
      <c r="R290" s="11" t="str">
        <f>VLOOKUP($H290, 'ADP Data'!$B$4:$Q$300, 6, FALSE)</f>
        <v>#N/A</v>
      </c>
      <c r="S290" s="11" t="str">
        <f>VLOOKUP($H290, 'ADP Data'!$B$4:$Q$300, 7, FALSE)</f>
        <v>#N/A</v>
      </c>
      <c r="T290" s="11" t="str">
        <f>VLOOKUP($H290, 'ADP Data'!$B$4:$Q$300, 8, FALSE)</f>
        <v>#N/A</v>
      </c>
      <c r="U290" s="11" t="str">
        <f>VLOOKUP($H290, 'ADP Data'!$B$4:$Q$300, 9, FALSE)</f>
        <v>#N/A</v>
      </c>
      <c r="V290" s="11" t="str">
        <f t="shared" si="5"/>
        <v>#N/A</v>
      </c>
      <c r="W290" s="11" t="str">
        <f t="shared" si="6"/>
        <v>#N/A</v>
      </c>
      <c r="X290" s="11" t="str">
        <f>IF(VLOOKUP($H290, SeanRanks!$A$2:$H$303, 7, FALSE)=0, "", VLOOKUP($H290, SeanRanks!$A$2:$H$303, 7, FALSE))</f>
        <v>#N/A</v>
      </c>
    </row>
    <row r="291" ht="14.25" customHeight="1">
      <c r="A291" s="11"/>
      <c r="B291" s="11" t="str">
        <f t="shared" si="7"/>
        <v>#N/A</v>
      </c>
      <c r="C291" s="11" t="s">
        <v>106</v>
      </c>
      <c r="D291" s="11"/>
      <c r="E291" s="11"/>
      <c r="F291" s="11">
        <f t="shared" si="2"/>
        <v>0</v>
      </c>
      <c r="G291" s="11"/>
      <c r="H291" s="11" t="s">
        <v>900</v>
      </c>
      <c r="I291" s="11" t="str">
        <f>VLOOKUP($H291, 'ADP Data'!$B$4:$Q$300, 2, FALSE)</f>
        <v>#N/A</v>
      </c>
      <c r="J291" s="11" t="str">
        <f>VLOOKUP($H291, 'ADP Data'!$B$4:$Q$300, 3, FALSE)</f>
        <v>#N/A</v>
      </c>
      <c r="K291" s="11" t="str">
        <f>VLOOKUP($H291, SeanRanks!$A$2:$H$303, 5, FALSE)</f>
        <v>#N/A</v>
      </c>
      <c r="L291" s="11" t="str">
        <f>IF(VLOOKUP($H291, SeanRanks!$A$2:$H$303, 6, FALSE)=0, "", VLOOKUP($H291, SeanRanks!$A$2:$H$303, 6, FALSE))</f>
        <v>#N/A</v>
      </c>
      <c r="M291" s="11">
        <f t="shared" si="3"/>
        <v>16</v>
      </c>
      <c r="N291" s="11" t="str">
        <f>VLOOKUP($H291, 'ADP Data'!$B$4:$Q$300, 10, FALSE)</f>
        <v>#N/A</v>
      </c>
      <c r="O291" s="11" t="str">
        <f>VLOOKUP($H291, 'ADP Data'!$B$4:$Q$300, 4, FALSE)</f>
        <v>#N/A</v>
      </c>
      <c r="P291" s="11" t="str">
        <f t="shared" si="4"/>
        <v>#N/A</v>
      </c>
      <c r="Q291" s="11" t="str">
        <f>VLOOKUP($H291, 'ADP Data'!$B$4:$Q$300, 5, FALSE)</f>
        <v>#N/A</v>
      </c>
      <c r="R291" s="11" t="str">
        <f>VLOOKUP($H291, 'ADP Data'!$B$4:$Q$300, 6, FALSE)</f>
        <v>#N/A</v>
      </c>
      <c r="S291" s="11" t="str">
        <f>VLOOKUP($H291, 'ADP Data'!$B$4:$Q$300, 7, FALSE)</f>
        <v>#N/A</v>
      </c>
      <c r="T291" s="11" t="str">
        <f>VLOOKUP($H291, 'ADP Data'!$B$4:$Q$300, 8, FALSE)</f>
        <v>#N/A</v>
      </c>
      <c r="U291" s="11" t="str">
        <f>VLOOKUP($H291, 'ADP Data'!$B$4:$Q$300, 9, FALSE)</f>
        <v>#N/A</v>
      </c>
      <c r="V291" s="11" t="str">
        <f t="shared" si="5"/>
        <v>#N/A</v>
      </c>
      <c r="W291" s="11" t="str">
        <f t="shared" si="6"/>
        <v>#N/A</v>
      </c>
      <c r="X291" s="11" t="str">
        <f>IF(VLOOKUP($H291, SeanRanks!$A$2:$H$303, 7, FALSE)=0, "", VLOOKUP($H291, SeanRanks!$A$2:$H$303, 7, FALSE))</f>
        <v>#N/A</v>
      </c>
    </row>
    <row r="292" ht="14.25" customHeight="1">
      <c r="A292" s="11"/>
      <c r="B292" s="11" t="str">
        <f t="shared" si="7"/>
        <v>#N/A</v>
      </c>
      <c r="C292" s="11" t="s">
        <v>106</v>
      </c>
      <c r="D292" s="11"/>
      <c r="E292" s="11"/>
      <c r="F292" s="11">
        <f t="shared" si="2"/>
        <v>0</v>
      </c>
      <c r="G292" s="11"/>
      <c r="H292" s="11" t="s">
        <v>1453</v>
      </c>
      <c r="I292" s="11" t="str">
        <f>VLOOKUP($H292, 'ADP Data'!$B$4:$Q$300, 2, FALSE)</f>
        <v>#N/A</v>
      </c>
      <c r="J292" s="11" t="str">
        <f>VLOOKUP($H292, 'ADP Data'!$B$4:$Q$300, 3, FALSE)</f>
        <v>#N/A</v>
      </c>
      <c r="K292" s="11" t="str">
        <f>VLOOKUP($H292, SeanRanks!$A$2:$H$303, 5, FALSE)</f>
        <v>#N/A</v>
      </c>
      <c r="L292" s="11" t="str">
        <f>IF(VLOOKUP($H292, SeanRanks!$A$2:$H$303, 6, FALSE)=0, "", VLOOKUP($H292, SeanRanks!$A$2:$H$303, 6, FALSE))</f>
        <v>#N/A</v>
      </c>
      <c r="M292" s="11">
        <f t="shared" si="3"/>
        <v>16</v>
      </c>
      <c r="N292" s="11" t="str">
        <f>VLOOKUP($H292, 'ADP Data'!$B$4:$Q$300, 10, FALSE)</f>
        <v>#N/A</v>
      </c>
      <c r="O292" s="11" t="str">
        <f>VLOOKUP($H292, 'ADP Data'!$B$4:$Q$300, 4, FALSE)</f>
        <v>#N/A</v>
      </c>
      <c r="P292" s="11" t="str">
        <f t="shared" si="4"/>
        <v>#N/A</v>
      </c>
      <c r="Q292" s="11" t="str">
        <f>VLOOKUP($H292, 'ADP Data'!$B$4:$Q$300, 5, FALSE)</f>
        <v>#N/A</v>
      </c>
      <c r="R292" s="11" t="str">
        <f>VLOOKUP($H292, 'ADP Data'!$B$4:$Q$300, 6, FALSE)</f>
        <v>#N/A</v>
      </c>
      <c r="S292" s="11" t="str">
        <f>VLOOKUP($H292, 'ADP Data'!$B$4:$Q$300, 7, FALSE)</f>
        <v>#N/A</v>
      </c>
      <c r="T292" s="11" t="str">
        <f>VLOOKUP($H292, 'ADP Data'!$B$4:$Q$300, 8, FALSE)</f>
        <v>#N/A</v>
      </c>
      <c r="U292" s="11" t="str">
        <f>VLOOKUP($H292, 'ADP Data'!$B$4:$Q$300, 9, FALSE)</f>
        <v>#N/A</v>
      </c>
      <c r="V292" s="11" t="str">
        <f t="shared" si="5"/>
        <v>#N/A</v>
      </c>
      <c r="W292" s="11" t="str">
        <f t="shared" si="6"/>
        <v>#N/A</v>
      </c>
      <c r="X292" s="11" t="str">
        <f>IF(VLOOKUP($H292, SeanRanks!$A$2:$H$303, 7, FALSE)=0, "", VLOOKUP($H292, SeanRanks!$A$2:$H$303, 7, FALSE))</f>
        <v>#N/A</v>
      </c>
    </row>
    <row r="293" ht="14.25" customHeight="1">
      <c r="A293" s="11"/>
      <c r="B293" s="11" t="str">
        <f t="shared" si="7"/>
        <v>#N/A</v>
      </c>
      <c r="C293" s="11" t="s">
        <v>106</v>
      </c>
      <c r="D293" s="11"/>
      <c r="E293" s="11"/>
      <c r="F293" s="11">
        <f t="shared" si="2"/>
        <v>0</v>
      </c>
      <c r="G293" s="11"/>
      <c r="H293" s="11" t="s">
        <v>1216</v>
      </c>
      <c r="I293" s="11" t="str">
        <f>VLOOKUP($H293, 'ADP Data'!$B$4:$Q$300, 2, FALSE)</f>
        <v>#N/A</v>
      </c>
      <c r="J293" s="11" t="str">
        <f>VLOOKUP($H293, 'ADP Data'!$B$4:$Q$300, 3, FALSE)</f>
        <v>#N/A</v>
      </c>
      <c r="K293" s="11" t="str">
        <f>VLOOKUP($H293, SeanRanks!$A$2:$H$303, 5, FALSE)</f>
        <v>#N/A</v>
      </c>
      <c r="L293" s="11" t="str">
        <f>IF(VLOOKUP($H293, SeanRanks!$A$2:$H$303, 6, FALSE)=0, "", VLOOKUP($H293, SeanRanks!$A$2:$H$303, 6, FALSE))</f>
        <v>#N/A</v>
      </c>
      <c r="M293" s="11">
        <f t="shared" si="3"/>
        <v>16</v>
      </c>
      <c r="N293" s="11" t="str">
        <f>VLOOKUP($H293, 'ADP Data'!$B$4:$Q$300, 10, FALSE)</f>
        <v>#N/A</v>
      </c>
      <c r="O293" s="11" t="str">
        <f>VLOOKUP($H293, 'ADP Data'!$B$4:$Q$300, 4, FALSE)</f>
        <v>#N/A</v>
      </c>
      <c r="P293" s="11" t="str">
        <f t="shared" si="4"/>
        <v>#N/A</v>
      </c>
      <c r="Q293" s="11" t="str">
        <f>VLOOKUP($H293, 'ADP Data'!$B$4:$Q$300, 5, FALSE)</f>
        <v>#N/A</v>
      </c>
      <c r="R293" s="11" t="str">
        <f>VLOOKUP($H293, 'ADP Data'!$B$4:$Q$300, 6, FALSE)</f>
        <v>#N/A</v>
      </c>
      <c r="S293" s="11" t="str">
        <f>VLOOKUP($H293, 'ADP Data'!$B$4:$Q$300, 7, FALSE)</f>
        <v>#N/A</v>
      </c>
      <c r="T293" s="11" t="str">
        <f>VLOOKUP($H293, 'ADP Data'!$B$4:$Q$300, 8, FALSE)</f>
        <v>#N/A</v>
      </c>
      <c r="U293" s="11" t="str">
        <f>VLOOKUP($H293, 'ADP Data'!$B$4:$Q$300, 9, FALSE)</f>
        <v>#N/A</v>
      </c>
      <c r="V293" s="11" t="str">
        <f t="shared" si="5"/>
        <v>#N/A</v>
      </c>
      <c r="W293" s="11" t="str">
        <f t="shared" si="6"/>
        <v>#N/A</v>
      </c>
      <c r="X293" s="11" t="str">
        <f>IF(VLOOKUP($H293, SeanRanks!$A$2:$H$303, 7, FALSE)=0, "", VLOOKUP($H293, SeanRanks!$A$2:$H$303, 7, FALSE))</f>
        <v>#N/A</v>
      </c>
    </row>
    <row r="294" ht="14.25" customHeight="1">
      <c r="A294" s="11"/>
      <c r="B294" s="11" t="str">
        <f t="shared" si="7"/>
        <v>#N/A</v>
      </c>
      <c r="C294" s="11" t="s">
        <v>106</v>
      </c>
      <c r="D294" s="11"/>
      <c r="E294" s="11"/>
      <c r="F294" s="11">
        <f t="shared" si="2"/>
        <v>0</v>
      </c>
      <c r="G294" s="11"/>
      <c r="H294" s="11" t="s">
        <v>604</v>
      </c>
      <c r="I294" s="11" t="str">
        <f>VLOOKUP($H294, 'ADP Data'!$B$4:$Q$300, 2, FALSE)</f>
        <v>#N/A</v>
      </c>
      <c r="J294" s="11" t="str">
        <f>VLOOKUP($H294, 'ADP Data'!$B$4:$Q$300, 3, FALSE)</f>
        <v>#N/A</v>
      </c>
      <c r="K294" s="11" t="str">
        <f>VLOOKUP($H294, SeanRanks!$A$2:$H$303, 5, FALSE)</f>
        <v>#N/A</v>
      </c>
      <c r="L294" s="11" t="str">
        <f>IF(VLOOKUP($H294, SeanRanks!$A$2:$H$303, 6, FALSE)=0, "", VLOOKUP($H294, SeanRanks!$A$2:$H$303, 6, FALSE))</f>
        <v>#N/A</v>
      </c>
      <c r="M294" s="11">
        <f t="shared" si="3"/>
        <v>16</v>
      </c>
      <c r="N294" s="11" t="str">
        <f>VLOOKUP($H294, 'ADP Data'!$B$4:$Q$300, 10, FALSE)</f>
        <v>#N/A</v>
      </c>
      <c r="O294" s="11" t="str">
        <f>VLOOKUP($H294, 'ADP Data'!$B$4:$Q$300, 4, FALSE)</f>
        <v>#N/A</v>
      </c>
      <c r="P294" s="11" t="str">
        <f t="shared" si="4"/>
        <v>#N/A</v>
      </c>
      <c r="Q294" s="11" t="str">
        <f>VLOOKUP($H294, 'ADP Data'!$B$4:$Q$300, 5, FALSE)</f>
        <v>#N/A</v>
      </c>
      <c r="R294" s="11" t="str">
        <f>VLOOKUP($H294, 'ADP Data'!$B$4:$Q$300, 6, FALSE)</f>
        <v>#N/A</v>
      </c>
      <c r="S294" s="11" t="str">
        <f>VLOOKUP($H294, 'ADP Data'!$B$4:$Q$300, 7, FALSE)</f>
        <v>#N/A</v>
      </c>
      <c r="T294" s="11" t="str">
        <f>VLOOKUP($H294, 'ADP Data'!$B$4:$Q$300, 8, FALSE)</f>
        <v>#N/A</v>
      </c>
      <c r="U294" s="11" t="str">
        <f>VLOOKUP($H294, 'ADP Data'!$B$4:$Q$300, 9, FALSE)</f>
        <v>#N/A</v>
      </c>
      <c r="V294" s="11" t="str">
        <f t="shared" si="5"/>
        <v>#N/A</v>
      </c>
      <c r="W294" s="11" t="str">
        <f t="shared" si="6"/>
        <v>#N/A</v>
      </c>
      <c r="X294" s="11" t="str">
        <f>IF(VLOOKUP($H294, SeanRanks!$A$2:$H$303, 7, FALSE)=0, "", VLOOKUP($H294, SeanRanks!$A$2:$H$303, 7, FALSE))</f>
        <v>#N/A</v>
      </c>
    </row>
    <row r="295" ht="14.25" customHeight="1">
      <c r="A295" s="11"/>
      <c r="B295" s="11" t="str">
        <f t="shared" si="7"/>
        <v>#N/A</v>
      </c>
      <c r="C295" s="11" t="s">
        <v>106</v>
      </c>
      <c r="D295" s="11"/>
      <c r="E295" s="11"/>
      <c r="F295" s="11">
        <f t="shared" si="2"/>
        <v>0</v>
      </c>
      <c r="G295" s="11"/>
      <c r="H295" s="11" t="s">
        <v>674</v>
      </c>
      <c r="I295" s="11" t="str">
        <f>VLOOKUP($H295, 'ADP Data'!$B$4:$Q$300, 2, FALSE)</f>
        <v>#N/A</v>
      </c>
      <c r="J295" s="11" t="str">
        <f>VLOOKUP($H295, 'ADP Data'!$B$4:$Q$300, 3, FALSE)</f>
        <v>#N/A</v>
      </c>
      <c r="K295" s="11" t="str">
        <f>VLOOKUP($H295, SeanRanks!$A$2:$H$303, 5, FALSE)</f>
        <v>#N/A</v>
      </c>
      <c r="L295" s="11" t="str">
        <f>IF(VLOOKUP($H295, SeanRanks!$A$2:$H$303, 6, FALSE)=0, "", VLOOKUP($H295, SeanRanks!$A$2:$H$303, 6, FALSE))</f>
        <v>#N/A</v>
      </c>
      <c r="M295" s="11">
        <f t="shared" si="3"/>
        <v>16</v>
      </c>
      <c r="N295" s="11" t="str">
        <f>VLOOKUP($H295, 'ADP Data'!$B$4:$Q$300, 10, FALSE)</f>
        <v>#N/A</v>
      </c>
      <c r="O295" s="11" t="str">
        <f>VLOOKUP($H295, 'ADP Data'!$B$4:$Q$300, 4, FALSE)</f>
        <v>#N/A</v>
      </c>
      <c r="P295" s="11" t="str">
        <f t="shared" si="4"/>
        <v>#N/A</v>
      </c>
      <c r="Q295" s="11" t="str">
        <f>VLOOKUP($H295, 'ADP Data'!$B$4:$Q$300, 5, FALSE)</f>
        <v>#N/A</v>
      </c>
      <c r="R295" s="11" t="str">
        <f>VLOOKUP($H295, 'ADP Data'!$B$4:$Q$300, 6, FALSE)</f>
        <v>#N/A</v>
      </c>
      <c r="S295" s="11" t="str">
        <f>VLOOKUP($H295, 'ADP Data'!$B$4:$Q$300, 7, FALSE)</f>
        <v>#N/A</v>
      </c>
      <c r="T295" s="11" t="str">
        <f>VLOOKUP($H295, 'ADP Data'!$B$4:$Q$300, 8, FALSE)</f>
        <v>#N/A</v>
      </c>
      <c r="U295" s="11" t="str">
        <f>VLOOKUP($H295, 'ADP Data'!$B$4:$Q$300, 9, FALSE)</f>
        <v>#N/A</v>
      </c>
      <c r="V295" s="11" t="str">
        <f t="shared" si="5"/>
        <v>#N/A</v>
      </c>
      <c r="W295" s="11" t="str">
        <f t="shared" si="6"/>
        <v>#N/A</v>
      </c>
      <c r="X295" s="11" t="str">
        <f>IF(VLOOKUP($H295, SeanRanks!$A$2:$H$303, 7, FALSE)=0, "", VLOOKUP($H295, SeanRanks!$A$2:$H$303, 7, FALSE))</f>
        <v>#N/A</v>
      </c>
    </row>
    <row r="296" ht="14.25" customHeight="1">
      <c r="A296" s="11"/>
      <c r="B296" s="11" t="str">
        <f t="shared" si="7"/>
        <v>#N/A</v>
      </c>
      <c r="C296" s="11" t="s">
        <v>106</v>
      </c>
      <c r="D296" s="11"/>
      <c r="E296" s="11"/>
      <c r="F296" s="11">
        <f t="shared" si="2"/>
        <v>0</v>
      </c>
      <c r="G296" s="11"/>
      <c r="H296" s="11" t="s">
        <v>984</v>
      </c>
      <c r="I296" s="11" t="str">
        <f>VLOOKUP($H296, 'ADP Data'!$B$4:$Q$300, 2, FALSE)</f>
        <v>#N/A</v>
      </c>
      <c r="J296" s="11" t="str">
        <f>VLOOKUP($H296, 'ADP Data'!$B$4:$Q$300, 3, FALSE)</f>
        <v>#N/A</v>
      </c>
      <c r="K296" s="11" t="str">
        <f>VLOOKUP($H296, SeanRanks!$A$2:$H$303, 5, FALSE)</f>
        <v>#N/A</v>
      </c>
      <c r="L296" s="11" t="str">
        <f>IF(VLOOKUP($H296, SeanRanks!$A$2:$H$303, 6, FALSE)=0, "", VLOOKUP($H296, SeanRanks!$A$2:$H$303, 6, FALSE))</f>
        <v>#N/A</v>
      </c>
      <c r="M296" s="11">
        <f t="shared" si="3"/>
        <v>16</v>
      </c>
      <c r="N296" s="11" t="str">
        <f>VLOOKUP($H296, 'ADP Data'!$B$4:$Q$300, 10, FALSE)</f>
        <v>#N/A</v>
      </c>
      <c r="O296" s="11" t="str">
        <f>VLOOKUP($H296, 'ADP Data'!$B$4:$Q$300, 4, FALSE)</f>
        <v>#N/A</v>
      </c>
      <c r="P296" s="11" t="str">
        <f t="shared" si="4"/>
        <v>#N/A</v>
      </c>
      <c r="Q296" s="11" t="str">
        <f>VLOOKUP($H296, 'ADP Data'!$B$4:$Q$300, 5, FALSE)</f>
        <v>#N/A</v>
      </c>
      <c r="R296" s="11" t="str">
        <f>VLOOKUP($H296, 'ADP Data'!$B$4:$Q$300, 6, FALSE)</f>
        <v>#N/A</v>
      </c>
      <c r="S296" s="11" t="str">
        <f>VLOOKUP($H296, 'ADP Data'!$B$4:$Q$300, 7, FALSE)</f>
        <v>#N/A</v>
      </c>
      <c r="T296" s="11" t="str">
        <f>VLOOKUP($H296, 'ADP Data'!$B$4:$Q$300, 8, FALSE)</f>
        <v>#N/A</v>
      </c>
      <c r="U296" s="11" t="str">
        <f>VLOOKUP($H296, 'ADP Data'!$B$4:$Q$300, 9, FALSE)</f>
        <v>#N/A</v>
      </c>
      <c r="V296" s="11" t="str">
        <f t="shared" si="5"/>
        <v>#N/A</v>
      </c>
      <c r="W296" s="11" t="str">
        <f t="shared" si="6"/>
        <v>#N/A</v>
      </c>
      <c r="X296" s="11" t="str">
        <f>IF(VLOOKUP($H296, SeanRanks!$A$2:$H$303, 7, FALSE)=0, "", VLOOKUP($H296, SeanRanks!$A$2:$H$303, 7, FALSE))</f>
        <v>#N/A</v>
      </c>
    </row>
    <row r="297" ht="14.25" customHeight="1">
      <c r="A297" s="11"/>
      <c r="B297" s="11" t="str">
        <f t="shared" si="7"/>
        <v>#N/A</v>
      </c>
      <c r="C297" s="11" t="s">
        <v>106</v>
      </c>
      <c r="D297" s="11"/>
      <c r="E297" s="11"/>
      <c r="F297" s="11">
        <f t="shared" si="2"/>
        <v>0</v>
      </c>
      <c r="G297" s="11"/>
      <c r="H297" s="11" t="s">
        <v>1224</v>
      </c>
      <c r="I297" s="11" t="str">
        <f>VLOOKUP($H297, 'ADP Data'!$B$4:$Q$300, 2, FALSE)</f>
        <v>#N/A</v>
      </c>
      <c r="J297" s="11" t="str">
        <f>VLOOKUP($H297, 'ADP Data'!$B$4:$Q$300, 3, FALSE)</f>
        <v>#N/A</v>
      </c>
      <c r="K297" s="11" t="str">
        <f>VLOOKUP($H297, SeanRanks!$A$2:$H$303, 5, FALSE)</f>
        <v>#N/A</v>
      </c>
      <c r="L297" s="11" t="str">
        <f>IF(VLOOKUP($H297, SeanRanks!$A$2:$H$303, 6, FALSE)=0, "", VLOOKUP($H297, SeanRanks!$A$2:$H$303, 6, FALSE))</f>
        <v>#N/A</v>
      </c>
      <c r="M297" s="11">
        <f t="shared" si="3"/>
        <v>16</v>
      </c>
      <c r="N297" s="11" t="str">
        <f>VLOOKUP($H297, 'ADP Data'!$B$4:$Q$300, 10, FALSE)</f>
        <v>#N/A</v>
      </c>
      <c r="O297" s="11" t="str">
        <f>VLOOKUP($H297, 'ADP Data'!$B$4:$Q$300, 4, FALSE)</f>
        <v>#N/A</v>
      </c>
      <c r="P297" s="11" t="str">
        <f t="shared" si="4"/>
        <v>#N/A</v>
      </c>
      <c r="Q297" s="11" t="str">
        <f>VLOOKUP($H297, 'ADP Data'!$B$4:$Q$300, 5, FALSE)</f>
        <v>#N/A</v>
      </c>
      <c r="R297" s="11" t="str">
        <f>VLOOKUP($H297, 'ADP Data'!$B$4:$Q$300, 6, FALSE)</f>
        <v>#N/A</v>
      </c>
      <c r="S297" s="11" t="str">
        <f>VLOOKUP($H297, 'ADP Data'!$B$4:$Q$300, 7, FALSE)</f>
        <v>#N/A</v>
      </c>
      <c r="T297" s="11" t="str">
        <f>VLOOKUP($H297, 'ADP Data'!$B$4:$Q$300, 8, FALSE)</f>
        <v>#N/A</v>
      </c>
      <c r="U297" s="11" t="str">
        <f>VLOOKUP($H297, 'ADP Data'!$B$4:$Q$300, 9, FALSE)</f>
        <v>#N/A</v>
      </c>
      <c r="V297" s="11" t="str">
        <f t="shared" si="5"/>
        <v>#N/A</v>
      </c>
      <c r="W297" s="11" t="str">
        <f t="shared" si="6"/>
        <v>#N/A</v>
      </c>
      <c r="X297" s="11" t="str">
        <f>IF(VLOOKUP($H297, SeanRanks!$A$2:$H$303, 7, FALSE)=0, "", VLOOKUP($H297, SeanRanks!$A$2:$H$303, 7, FALSE))</f>
        <v>#N/A</v>
      </c>
    </row>
    <row r="298" ht="14.25" customHeight="1">
      <c r="A298" s="11"/>
      <c r="B298" s="11" t="str">
        <f t="shared" si="7"/>
        <v>#N/A</v>
      </c>
      <c r="C298" s="11" t="s">
        <v>106</v>
      </c>
      <c r="D298" s="11"/>
      <c r="E298" s="11"/>
      <c r="F298" s="11">
        <f t="shared" si="2"/>
        <v>0</v>
      </c>
      <c r="G298" s="11"/>
      <c r="H298" s="11" t="s">
        <v>1291</v>
      </c>
      <c r="I298" s="11" t="str">
        <f>VLOOKUP($H298, 'ADP Data'!$B$4:$Q$300, 2, FALSE)</f>
        <v>#N/A</v>
      </c>
      <c r="J298" s="11" t="str">
        <f>VLOOKUP($H298, 'ADP Data'!$B$4:$Q$300, 3, FALSE)</f>
        <v>#N/A</v>
      </c>
      <c r="K298" s="11" t="str">
        <f>VLOOKUP($H298, SeanRanks!$A$2:$H$303, 5, FALSE)</f>
        <v>#N/A</v>
      </c>
      <c r="L298" s="11" t="str">
        <f>IF(VLOOKUP($H298, SeanRanks!$A$2:$H$303, 6, FALSE)=0, "", VLOOKUP($H298, SeanRanks!$A$2:$H$303, 6, FALSE))</f>
        <v>#N/A</v>
      </c>
      <c r="M298" s="11">
        <f t="shared" si="3"/>
        <v>16</v>
      </c>
      <c r="N298" s="11" t="str">
        <f>VLOOKUP($H298, 'ADP Data'!$B$4:$Q$300, 10, FALSE)</f>
        <v>#N/A</v>
      </c>
      <c r="O298" s="11" t="str">
        <f>VLOOKUP($H298, 'ADP Data'!$B$4:$Q$300, 4, FALSE)</f>
        <v>#N/A</v>
      </c>
      <c r="P298" s="11" t="str">
        <f t="shared" si="4"/>
        <v>#N/A</v>
      </c>
      <c r="Q298" s="11" t="str">
        <f>VLOOKUP($H298, 'ADP Data'!$B$4:$Q$300, 5, FALSE)</f>
        <v>#N/A</v>
      </c>
      <c r="R298" s="11" t="str">
        <f>VLOOKUP($H298, 'ADP Data'!$B$4:$Q$300, 6, FALSE)</f>
        <v>#N/A</v>
      </c>
      <c r="S298" s="11" t="str">
        <f>VLOOKUP($H298, 'ADP Data'!$B$4:$Q$300, 7, FALSE)</f>
        <v>#N/A</v>
      </c>
      <c r="T298" s="11" t="str">
        <f>VLOOKUP($H298, 'ADP Data'!$B$4:$Q$300, 8, FALSE)</f>
        <v>#N/A</v>
      </c>
      <c r="U298" s="11" t="str">
        <f>VLOOKUP($H298, 'ADP Data'!$B$4:$Q$300, 9, FALSE)</f>
        <v>#N/A</v>
      </c>
      <c r="V298" s="11" t="str">
        <f t="shared" si="5"/>
        <v>#N/A</v>
      </c>
      <c r="W298" s="11" t="str">
        <f t="shared" si="6"/>
        <v>#N/A</v>
      </c>
      <c r="X298" s="11" t="str">
        <f>IF(VLOOKUP($H298, SeanRanks!$A$2:$H$303, 7, FALSE)=0, "", VLOOKUP($H298, SeanRanks!$A$2:$H$303, 7, FALSE))</f>
        <v>#N/A</v>
      </c>
    </row>
    <row r="299" ht="14.25" customHeight="1">
      <c r="A299" s="11"/>
      <c r="B299" s="11" t="str">
        <f t="shared" si="7"/>
        <v>#N/A</v>
      </c>
      <c r="C299" s="11" t="s">
        <v>106</v>
      </c>
      <c r="D299" s="11"/>
      <c r="E299" s="11"/>
      <c r="F299" s="11">
        <f t="shared" si="2"/>
        <v>0</v>
      </c>
      <c r="G299" s="11"/>
      <c r="H299" s="11" t="s">
        <v>929</v>
      </c>
      <c r="I299" s="11" t="str">
        <f>VLOOKUP($H299, 'ADP Data'!$B$4:$Q$300, 2, FALSE)</f>
        <v>#N/A</v>
      </c>
      <c r="J299" s="11" t="str">
        <f>VLOOKUP($H299, 'ADP Data'!$B$4:$Q$300, 3, FALSE)</f>
        <v>#N/A</v>
      </c>
      <c r="K299" s="11" t="str">
        <f>VLOOKUP($H299, SeanRanks!$A$2:$H$303, 5, FALSE)</f>
        <v>#N/A</v>
      </c>
      <c r="L299" s="11" t="str">
        <f>IF(VLOOKUP($H299, SeanRanks!$A$2:$H$303, 6, FALSE)=0, "", VLOOKUP($H299, SeanRanks!$A$2:$H$303, 6, FALSE))</f>
        <v>#N/A</v>
      </c>
      <c r="M299" s="11">
        <f t="shared" si="3"/>
        <v>16</v>
      </c>
      <c r="N299" s="11" t="str">
        <f>VLOOKUP($H299, 'ADP Data'!$B$4:$Q$300, 10, FALSE)</f>
        <v>#N/A</v>
      </c>
      <c r="O299" s="11" t="str">
        <f>VLOOKUP($H299, 'ADP Data'!$B$4:$Q$300, 4, FALSE)</f>
        <v>#N/A</v>
      </c>
      <c r="P299" s="11" t="str">
        <f t="shared" si="4"/>
        <v>#N/A</v>
      </c>
      <c r="Q299" s="11" t="str">
        <f>VLOOKUP($H299, 'ADP Data'!$B$4:$Q$300, 5, FALSE)</f>
        <v>#N/A</v>
      </c>
      <c r="R299" s="11" t="str">
        <f>VLOOKUP($H299, 'ADP Data'!$B$4:$Q$300, 6, FALSE)</f>
        <v>#N/A</v>
      </c>
      <c r="S299" s="11" t="str">
        <f>VLOOKUP($H299, 'ADP Data'!$B$4:$Q$300, 7, FALSE)</f>
        <v>#N/A</v>
      </c>
      <c r="T299" s="11" t="str">
        <f>VLOOKUP($H299, 'ADP Data'!$B$4:$Q$300, 8, FALSE)</f>
        <v>#N/A</v>
      </c>
      <c r="U299" s="11" t="str">
        <f>VLOOKUP($H299, 'ADP Data'!$B$4:$Q$300, 9, FALSE)</f>
        <v>#N/A</v>
      </c>
      <c r="V299" s="11" t="str">
        <f t="shared" si="5"/>
        <v>#N/A</v>
      </c>
      <c r="W299" s="11" t="str">
        <f t="shared" si="6"/>
        <v>#N/A</v>
      </c>
      <c r="X299" s="11" t="str">
        <f>IF(VLOOKUP($H299, SeanRanks!$A$2:$H$303, 7, FALSE)=0, "", VLOOKUP($H299, SeanRanks!$A$2:$H$303, 7, FALSE))</f>
        <v>#N/A</v>
      </c>
    </row>
    <row r="300" ht="14.25" customHeight="1">
      <c r="A300" s="11"/>
      <c r="B300" s="11" t="str">
        <f t="shared" si="7"/>
        <v>#N/A</v>
      </c>
      <c r="C300" s="11" t="s">
        <v>106</v>
      </c>
      <c r="D300" s="11"/>
      <c r="E300" s="11"/>
      <c r="F300" s="11">
        <f t="shared" si="2"/>
        <v>0</v>
      </c>
      <c r="G300" s="11"/>
      <c r="H300" s="11" t="s">
        <v>1481</v>
      </c>
      <c r="I300" s="11" t="str">
        <f>VLOOKUP($H300, 'ADP Data'!$B$4:$Q$300, 2, FALSE)</f>
        <v>#N/A</v>
      </c>
      <c r="J300" s="11" t="str">
        <f>VLOOKUP($H300, 'ADP Data'!$B$4:$Q$300, 3, FALSE)</f>
        <v>#N/A</v>
      </c>
      <c r="K300" s="11" t="str">
        <f>VLOOKUP($H300, SeanRanks!$A$2:$H$303, 5, FALSE)</f>
        <v>#N/A</v>
      </c>
      <c r="L300" s="11" t="str">
        <f>IF(VLOOKUP($H300, SeanRanks!$A$2:$H$303, 6, FALSE)=0, "", VLOOKUP($H300, SeanRanks!$A$2:$H$303, 6, FALSE))</f>
        <v>#N/A</v>
      </c>
      <c r="M300" s="11">
        <f t="shared" si="3"/>
        <v>16</v>
      </c>
      <c r="N300" s="11" t="str">
        <f>VLOOKUP($H300, 'ADP Data'!$B$4:$Q$300, 10, FALSE)</f>
        <v>#N/A</v>
      </c>
      <c r="O300" s="11" t="str">
        <f>VLOOKUP($H300, 'ADP Data'!$B$4:$Q$300, 4, FALSE)</f>
        <v>#N/A</v>
      </c>
      <c r="P300" s="11" t="str">
        <f t="shared" si="4"/>
        <v>#N/A</v>
      </c>
      <c r="Q300" s="11" t="str">
        <f>VLOOKUP($H300, 'ADP Data'!$B$4:$Q$300, 5, FALSE)</f>
        <v>#N/A</v>
      </c>
      <c r="R300" s="11" t="str">
        <f>VLOOKUP($H300, 'ADP Data'!$B$4:$Q$300, 6, FALSE)</f>
        <v>#N/A</v>
      </c>
      <c r="S300" s="11" t="str">
        <f>VLOOKUP($H300, 'ADP Data'!$B$4:$Q$300, 7, FALSE)</f>
        <v>#N/A</v>
      </c>
      <c r="T300" s="11" t="str">
        <f>VLOOKUP($H300, 'ADP Data'!$B$4:$Q$300, 8, FALSE)</f>
        <v>#N/A</v>
      </c>
      <c r="U300" s="11" t="str">
        <f>VLOOKUP($H300, 'ADP Data'!$B$4:$Q$300, 9, FALSE)</f>
        <v>#N/A</v>
      </c>
      <c r="V300" s="11" t="str">
        <f t="shared" si="5"/>
        <v>#N/A</v>
      </c>
      <c r="W300" s="11" t="str">
        <f t="shared" si="6"/>
        <v>#N/A</v>
      </c>
      <c r="X300" s="11" t="str">
        <f>IF(VLOOKUP($H300, SeanRanks!$A$2:$H$303, 7, FALSE)=0, "", VLOOKUP($H300, SeanRanks!$A$2:$H$303, 7, FALSE))</f>
        <v>#N/A</v>
      </c>
    </row>
    <row r="301" ht="14.25" customHeight="1">
      <c r="A301" s="11"/>
      <c r="B301" s="11" t="str">
        <f t="shared" si="7"/>
        <v>#N/A</v>
      </c>
      <c r="C301" s="11" t="s">
        <v>106</v>
      </c>
      <c r="D301" s="11"/>
      <c r="E301" s="11"/>
      <c r="F301" s="11">
        <f t="shared" si="2"/>
        <v>0</v>
      </c>
      <c r="G301" s="11"/>
      <c r="H301" s="11" t="s">
        <v>1163</v>
      </c>
      <c r="I301" s="11" t="str">
        <f>VLOOKUP($H301, 'ADP Data'!$B$4:$Q$300, 2, FALSE)</f>
        <v>#N/A</v>
      </c>
      <c r="J301" s="11" t="str">
        <f>VLOOKUP($H301, 'ADP Data'!$B$4:$Q$300, 3, FALSE)</f>
        <v>#N/A</v>
      </c>
      <c r="K301" s="11" t="str">
        <f>VLOOKUP($H301, SeanRanks!$A$2:$H$303, 5, FALSE)</f>
        <v>#N/A</v>
      </c>
      <c r="L301" s="11" t="str">
        <f>IF(VLOOKUP($H301, SeanRanks!$A$2:$H$303, 6, FALSE)=0, "", VLOOKUP($H301, SeanRanks!$A$2:$H$303, 6, FALSE))</f>
        <v>#N/A</v>
      </c>
      <c r="M301" s="11">
        <f t="shared" si="3"/>
        <v>16</v>
      </c>
      <c r="N301" s="11" t="str">
        <f>VLOOKUP($H301, 'ADP Data'!$B$4:$Q$300, 10, FALSE)</f>
        <v>#N/A</v>
      </c>
      <c r="O301" s="11" t="str">
        <f>VLOOKUP($H301, 'ADP Data'!$B$4:$Q$300, 4, FALSE)</f>
        <v>#N/A</v>
      </c>
      <c r="P301" s="11" t="str">
        <f t="shared" si="4"/>
        <v>#N/A</v>
      </c>
      <c r="Q301" s="11" t="str">
        <f>VLOOKUP($H301, 'ADP Data'!$B$4:$Q$300, 5, FALSE)</f>
        <v>#N/A</v>
      </c>
      <c r="R301" s="11" t="str">
        <f>VLOOKUP($H301, 'ADP Data'!$B$4:$Q$300, 6, FALSE)</f>
        <v>#N/A</v>
      </c>
      <c r="S301" s="11" t="str">
        <f>VLOOKUP($H301, 'ADP Data'!$B$4:$Q$300, 7, FALSE)</f>
        <v>#N/A</v>
      </c>
      <c r="T301" s="11" t="str">
        <f>VLOOKUP($H301, 'ADP Data'!$B$4:$Q$300, 8, FALSE)</f>
        <v>#N/A</v>
      </c>
      <c r="U301" s="11" t="str">
        <f>VLOOKUP($H301, 'ADP Data'!$B$4:$Q$300, 9, FALSE)</f>
        <v>#N/A</v>
      </c>
      <c r="V301" s="11" t="str">
        <f t="shared" si="5"/>
        <v>#N/A</v>
      </c>
      <c r="W301" s="11" t="str">
        <f t="shared" si="6"/>
        <v>#N/A</v>
      </c>
      <c r="X301" s="11" t="str">
        <f>IF(VLOOKUP($H301, SeanRanks!$A$2:$H$303, 7, FALSE)=0, "", VLOOKUP($H301, SeanRanks!$A$2:$H$303, 7, FALSE))</f>
        <v>#N/A</v>
      </c>
    </row>
    <row r="302" ht="14.25" customHeight="1">
      <c r="A302" s="11"/>
      <c r="B302" s="11" t="str">
        <f t="shared" si="7"/>
        <v>#N/A</v>
      </c>
      <c r="C302" s="11" t="s">
        <v>106</v>
      </c>
      <c r="D302" s="11"/>
      <c r="E302" s="11"/>
      <c r="F302" s="11">
        <f t="shared" si="2"/>
        <v>0</v>
      </c>
      <c r="G302" s="11"/>
      <c r="H302" s="11" t="s">
        <v>1490</v>
      </c>
      <c r="I302" s="11" t="str">
        <f>VLOOKUP($H302, 'ADP Data'!$B$4:$Q$300, 2, FALSE)</f>
        <v>#N/A</v>
      </c>
      <c r="J302" s="11" t="str">
        <f>VLOOKUP($H302, 'ADP Data'!$B$4:$Q$300, 3, FALSE)</f>
        <v>#N/A</v>
      </c>
      <c r="K302" s="11" t="str">
        <f>VLOOKUP($H302, SeanRanks!$A$2:$H$303, 5, FALSE)</f>
        <v>#N/A</v>
      </c>
      <c r="L302" s="11" t="str">
        <f>IF(VLOOKUP($H302, SeanRanks!$A$2:$H$303, 6, FALSE)=0, "", VLOOKUP($H302, SeanRanks!$A$2:$H$303, 6, FALSE))</f>
        <v>#N/A</v>
      </c>
      <c r="M302" s="11">
        <f t="shared" si="3"/>
        <v>16</v>
      </c>
      <c r="N302" s="11" t="str">
        <f>VLOOKUP($H302, 'ADP Data'!$B$4:$Q$300, 10, FALSE)</f>
        <v>#N/A</v>
      </c>
      <c r="O302" s="11" t="str">
        <f>VLOOKUP($H302, 'ADP Data'!$B$4:$Q$300, 4, FALSE)</f>
        <v>#N/A</v>
      </c>
      <c r="P302" s="11" t="str">
        <f t="shared" si="4"/>
        <v>#N/A</v>
      </c>
      <c r="Q302" s="11" t="str">
        <f>VLOOKUP($H302, 'ADP Data'!$B$4:$Q$300, 5, FALSE)</f>
        <v>#N/A</v>
      </c>
      <c r="R302" s="11" t="str">
        <f>VLOOKUP($H302, 'ADP Data'!$B$4:$Q$300, 6, FALSE)</f>
        <v>#N/A</v>
      </c>
      <c r="S302" s="11" t="str">
        <f>VLOOKUP($H302, 'ADP Data'!$B$4:$Q$300, 7, FALSE)</f>
        <v>#N/A</v>
      </c>
      <c r="T302" s="11" t="str">
        <f>VLOOKUP($H302, 'ADP Data'!$B$4:$Q$300, 8, FALSE)</f>
        <v>#N/A</v>
      </c>
      <c r="U302" s="11" t="str">
        <f>VLOOKUP($H302, 'ADP Data'!$B$4:$Q$300, 9, FALSE)</f>
        <v>#N/A</v>
      </c>
      <c r="V302" s="11" t="str">
        <f t="shared" si="5"/>
        <v>#N/A</v>
      </c>
      <c r="W302" s="11" t="str">
        <f t="shared" si="6"/>
        <v>#N/A</v>
      </c>
      <c r="X302" s="11" t="str">
        <f>IF(VLOOKUP($H302, SeanRanks!$A$2:$H$303, 7, FALSE)=0, "", VLOOKUP($H302, SeanRanks!$A$2:$H$303, 7, FALSE))</f>
        <v>#N/A</v>
      </c>
    </row>
    <row r="303" ht="14.25" customHeight="1">
      <c r="B303" s="11" t="str">
        <f t="shared" si="7"/>
        <v>#N/A</v>
      </c>
      <c r="C303" s="11" t="s">
        <v>106</v>
      </c>
      <c r="D303" s="11"/>
      <c r="E303" s="11"/>
      <c r="F303" s="11">
        <f t="shared" si="2"/>
        <v>0</v>
      </c>
      <c r="G303" s="11"/>
      <c r="H303" s="11" t="s">
        <v>1132</v>
      </c>
      <c r="I303" s="11" t="s">
        <v>176</v>
      </c>
      <c r="J303" s="11" t="s">
        <v>775</v>
      </c>
      <c r="K303" s="11" t="str">
        <f>VLOOKUP($H303, SeanRanks!$A$2:$H$303, 5, FALSE)</f>
        <v>#N/A</v>
      </c>
      <c r="L303" s="11" t="str">
        <f>IF(VLOOKUP($H303, SeanRanks!$A$2:$H$303, 6, FALSE)=0, "", VLOOKUP($H303, SeanRanks!$A$2:$H$303, 6, FALSE))</f>
        <v>#N/A</v>
      </c>
      <c r="M303" s="11">
        <f t="shared" si="3"/>
        <v>16</v>
      </c>
      <c r="N303" s="11" t="str">
        <f>VLOOKUP($H303, 'ADP Data'!$B$4:$Q$300, 10, FALSE)</f>
        <v>#N/A</v>
      </c>
      <c r="O303" s="11" t="str">
        <f>VLOOKUP($H303, 'ADP Data'!$B$4:$Q$300, 4, FALSE)</f>
        <v>#N/A</v>
      </c>
      <c r="P303" s="11" t="str">
        <f t="shared" si="4"/>
        <v>#N/A</v>
      </c>
      <c r="Q303" s="11" t="str">
        <f>VLOOKUP($H303, 'ADP Data'!$B$4:$Q$300, 5, FALSE)</f>
        <v>#N/A</v>
      </c>
      <c r="R303" s="11" t="str">
        <f>VLOOKUP($H303, 'ADP Data'!$B$4:$Q$300, 6, FALSE)</f>
        <v>#N/A</v>
      </c>
      <c r="S303" s="11" t="str">
        <f>VLOOKUP($H303, 'ADP Data'!$B$4:$Q$300, 7, FALSE)</f>
        <v>#N/A</v>
      </c>
      <c r="T303" s="11" t="str">
        <f>VLOOKUP($H303, 'ADP Data'!$B$4:$Q$300, 8, FALSE)</f>
        <v>#N/A</v>
      </c>
      <c r="U303" s="11" t="str">
        <f>VLOOKUP($H303, 'ADP Data'!$B$4:$Q$300, 9, FALSE)</f>
        <v>#N/A</v>
      </c>
      <c r="V303" s="11" t="str">
        <f t="shared" si="5"/>
        <v>#N/A</v>
      </c>
      <c r="W303" s="11" t="str">
        <f t="shared" si="6"/>
        <v>#N/A</v>
      </c>
      <c r="X303" s="11" t="str">
        <f>IF(VLOOKUP($H303, SeanRanks!$A$2:$H$303, 7, FALSE)=0, "", VLOOKUP($H303, SeanRanks!$A$2:$H$303, 7, FALSE))</f>
        <v>#N/A</v>
      </c>
    </row>
    <row r="304" ht="14.25" customHeight="1">
      <c r="B304" s="11" t="str">
        <f t="shared" si="7"/>
        <v>#N/A</v>
      </c>
      <c r="C304" s="11" t="s">
        <v>106</v>
      </c>
      <c r="D304" s="11"/>
      <c r="E304" s="11"/>
      <c r="F304" s="11">
        <f t="shared" si="2"/>
        <v>0</v>
      </c>
      <c r="G304" s="11"/>
      <c r="H304" s="11" t="s">
        <v>632</v>
      </c>
      <c r="I304" s="58" t="s">
        <v>105</v>
      </c>
      <c r="J304" s="11" t="s">
        <v>775</v>
      </c>
      <c r="K304" s="11" t="str">
        <f>VLOOKUP($H304, SeanRanks!$A$2:$H$303, 5, FALSE)</f>
        <v>#N/A</v>
      </c>
      <c r="L304" s="11" t="str">
        <f>IF(VLOOKUP($H304, SeanRanks!$A$2:$H$303, 6, FALSE)=0, "", VLOOKUP($H304, SeanRanks!$A$2:$H$303, 6, FALSE))</f>
        <v>#N/A</v>
      </c>
      <c r="M304" s="11">
        <f t="shared" si="3"/>
        <v>16</v>
      </c>
      <c r="N304" s="11" t="str">
        <f>VLOOKUP($H304, 'ADP Data'!$B$4:$Q$300, 10, FALSE)</f>
        <v>#N/A</v>
      </c>
      <c r="O304" s="11" t="str">
        <f>VLOOKUP($H304, 'ADP Data'!$B$4:$Q$300, 4, FALSE)</f>
        <v>#N/A</v>
      </c>
      <c r="P304" s="11" t="str">
        <f t="shared" si="4"/>
        <v>#N/A</v>
      </c>
      <c r="Q304" s="11" t="str">
        <f>VLOOKUP($H304, 'ADP Data'!$B$4:$Q$300, 5, FALSE)</f>
        <v>#N/A</v>
      </c>
      <c r="R304" s="11" t="str">
        <f>VLOOKUP($H304, 'ADP Data'!$B$4:$Q$300, 6, FALSE)</f>
        <v>#N/A</v>
      </c>
      <c r="S304" s="11" t="str">
        <f>VLOOKUP($H304, 'ADP Data'!$B$4:$Q$300, 7, FALSE)</f>
        <v>#N/A</v>
      </c>
      <c r="T304" s="11" t="str">
        <f>VLOOKUP($H304, 'ADP Data'!$B$4:$Q$300, 8, FALSE)</f>
        <v>#N/A</v>
      </c>
      <c r="U304" s="11" t="str">
        <f>VLOOKUP($H304, 'ADP Data'!$B$4:$Q$300, 9, FALSE)</f>
        <v>#N/A</v>
      </c>
      <c r="V304" s="11" t="str">
        <f t="shared" si="5"/>
        <v>#N/A</v>
      </c>
      <c r="W304" s="11" t="str">
        <f t="shared" si="6"/>
        <v>#N/A</v>
      </c>
      <c r="X304" s="11" t="str">
        <f>IF(VLOOKUP($H304, SeanRanks!$A$2:$H$303, 7, FALSE)=0, "", VLOOKUP($H304, SeanRanks!$A$2:$H$303, 7, FALSE))</f>
        <v>#N/A</v>
      </c>
    </row>
    <row r="305" ht="14.25" customHeight="1">
      <c r="B305" s="11" t="str">
        <f t="shared" si="7"/>
        <v>#N/A</v>
      </c>
      <c r="C305" s="11" t="s">
        <v>106</v>
      </c>
      <c r="D305" s="11"/>
      <c r="E305" s="11"/>
      <c r="F305" s="11">
        <f t="shared" si="2"/>
        <v>0</v>
      </c>
      <c r="G305" s="11"/>
      <c r="H305" s="11" t="s">
        <v>1134</v>
      </c>
      <c r="I305" s="11" t="str">
        <f>VLOOKUP($H305, 'ADP Data'!$B$4:$Q$300, 2, FALSE)</f>
        <v>#N/A</v>
      </c>
      <c r="J305" s="11" t="str">
        <f>VLOOKUP($H305, 'ADP Data'!$B$4:$Q$300, 3, FALSE)</f>
        <v>#N/A</v>
      </c>
      <c r="K305" s="11" t="str">
        <f>VLOOKUP($H305, SeanRanks!$A$2:$H$303, 5, FALSE)</f>
        <v>#N/A</v>
      </c>
      <c r="L305" s="11" t="str">
        <f>IF(VLOOKUP($H305, SeanRanks!$A$2:$H$303, 6, FALSE)=0, "", VLOOKUP($H305, SeanRanks!$A$2:$H$303, 6, FALSE))</f>
        <v>#N/A</v>
      </c>
      <c r="M305" s="11">
        <f t="shared" si="3"/>
        <v>16</v>
      </c>
      <c r="N305" s="11" t="str">
        <f>VLOOKUP($H305, 'ADP Data'!$B$4:$Q$300, 10, FALSE)</f>
        <v>#N/A</v>
      </c>
      <c r="O305" s="11" t="str">
        <f>VLOOKUP($H305, 'ADP Data'!$B$4:$Q$300, 4, FALSE)</f>
        <v>#N/A</v>
      </c>
      <c r="P305" s="11" t="str">
        <f t="shared" si="4"/>
        <v>#N/A</v>
      </c>
      <c r="Q305" s="11" t="str">
        <f>VLOOKUP($H305, 'ADP Data'!$B$4:$Q$300, 5, FALSE)</f>
        <v>#N/A</v>
      </c>
      <c r="R305" s="11" t="str">
        <f>VLOOKUP($H305, 'ADP Data'!$B$4:$Q$300, 6, FALSE)</f>
        <v>#N/A</v>
      </c>
      <c r="S305" s="11" t="str">
        <f>VLOOKUP($H305, 'ADP Data'!$B$4:$Q$300, 7, FALSE)</f>
        <v>#N/A</v>
      </c>
      <c r="T305" s="11" t="str">
        <f>VLOOKUP($H305, 'ADP Data'!$B$4:$Q$300, 8, FALSE)</f>
        <v>#N/A</v>
      </c>
      <c r="U305" s="11" t="str">
        <f>VLOOKUP($H305, 'ADP Data'!$B$4:$Q$300, 9, FALSE)</f>
        <v>#N/A</v>
      </c>
      <c r="V305" s="11" t="str">
        <f t="shared" si="5"/>
        <v>#N/A</v>
      </c>
      <c r="W305" s="11" t="str">
        <f t="shared" si="6"/>
        <v>#N/A</v>
      </c>
      <c r="X305" s="11" t="str">
        <f>IF(VLOOKUP($H305, SeanRanks!$A$2:$H$303, 7, FALSE)=0, "", VLOOKUP($H305, SeanRanks!$A$2:$H$303, 7, FALSE))</f>
        <v>#N/A</v>
      </c>
    </row>
    <row r="306" ht="14.25" customHeight="1">
      <c r="B306" s="11" t="str">
        <f t="shared" si="7"/>
        <v>#N/A</v>
      </c>
      <c r="C306" s="11" t="s">
        <v>106</v>
      </c>
      <c r="D306" s="11"/>
      <c r="E306" s="11"/>
      <c r="F306" s="11">
        <f t="shared" si="2"/>
        <v>0</v>
      </c>
      <c r="G306" s="11"/>
      <c r="H306" s="11" t="s">
        <v>487</v>
      </c>
      <c r="I306" s="11" t="str">
        <f>VLOOKUP($H306, 'ADP Data'!$B$4:$Q$300, 2, FALSE)</f>
        <v>#N/A</v>
      </c>
      <c r="J306" s="11" t="str">
        <f>VLOOKUP($H306, 'ADP Data'!$B$4:$Q$300, 3, FALSE)</f>
        <v>#N/A</v>
      </c>
      <c r="K306" s="11" t="str">
        <f>VLOOKUP($H306, SeanRanks!$A$2:$H$303, 5, FALSE)</f>
        <v/>
      </c>
      <c r="L306" s="11" t="str">
        <f>IF(VLOOKUP($H306, SeanRanks!$A$2:$H$303, 6, FALSE)=0, "", VLOOKUP($H306, SeanRanks!$A$2:$H$303, 6, FALSE))</f>
        <v/>
      </c>
      <c r="M306" s="11">
        <f t="shared" si="3"/>
        <v>16</v>
      </c>
      <c r="N306" s="11" t="str">
        <f>VLOOKUP($H306, 'ADP Data'!$B$4:$Q$300, 10, FALSE)</f>
        <v>#N/A</v>
      </c>
      <c r="O306" s="11" t="str">
        <f>VLOOKUP($H306, 'ADP Data'!$B$4:$Q$300, 4, FALSE)</f>
        <v>#N/A</v>
      </c>
      <c r="P306" s="11" t="str">
        <f t="shared" si="4"/>
        <v>#N/A</v>
      </c>
      <c r="Q306" s="11" t="str">
        <f>VLOOKUP($H306, 'ADP Data'!$B$4:$Q$300, 5, FALSE)</f>
        <v>#N/A</v>
      </c>
      <c r="R306" s="11" t="str">
        <f>VLOOKUP($H306, 'ADP Data'!$B$4:$Q$300, 6, FALSE)</f>
        <v>#N/A</v>
      </c>
      <c r="S306" s="11" t="str">
        <f>VLOOKUP($H306, 'ADP Data'!$B$4:$Q$300, 7, FALSE)</f>
        <v>#N/A</v>
      </c>
      <c r="T306" s="11" t="str">
        <f>VLOOKUP($H306, 'ADP Data'!$B$4:$Q$300, 8, FALSE)</f>
        <v>#N/A</v>
      </c>
      <c r="U306" s="11" t="str">
        <f>VLOOKUP($H306, 'ADP Data'!$B$4:$Q$300, 9, FALSE)</f>
        <v>#N/A</v>
      </c>
      <c r="V306" s="11" t="str">
        <f t="shared" si="5"/>
        <v>#N/A</v>
      </c>
      <c r="W306" s="11" t="str">
        <f t="shared" si="6"/>
        <v>#N/A</v>
      </c>
      <c r="X306" s="11" t="str">
        <f>IF(VLOOKUP($H306, SeanRanks!$A$2:$H$303, 7, FALSE)=0, "", VLOOKUP($H306, SeanRanks!$A$2:$H$303, 7, FALSE))</f>
        <v/>
      </c>
    </row>
    <row r="307" ht="14.25" customHeight="1">
      <c r="B307" s="11" t="str">
        <f t="shared" si="7"/>
        <v>#N/A</v>
      </c>
      <c r="C307" s="11" t="s">
        <v>106</v>
      </c>
      <c r="D307" s="11"/>
      <c r="E307" s="11"/>
      <c r="F307" s="11">
        <f t="shared" si="2"/>
        <v>0</v>
      </c>
      <c r="G307" s="11"/>
      <c r="H307" s="11" t="s">
        <v>1303</v>
      </c>
      <c r="I307" s="11" t="str">
        <f>VLOOKUP($H307, 'ADP Data'!$B$4:$Q$300, 2, FALSE)</f>
        <v>#N/A</v>
      </c>
      <c r="J307" s="11" t="str">
        <f>VLOOKUP($H307, 'ADP Data'!$B$4:$Q$300, 3, FALSE)</f>
        <v>#N/A</v>
      </c>
      <c r="K307" s="11" t="str">
        <f>VLOOKUP($H307, SeanRanks!$A$2:$H$303, 5, FALSE)</f>
        <v>#N/A</v>
      </c>
      <c r="L307" s="11" t="str">
        <f>IF(VLOOKUP($H307, SeanRanks!$A$2:$H$303, 6, FALSE)=0, "", VLOOKUP($H307, SeanRanks!$A$2:$H$303, 6, FALSE))</f>
        <v>#N/A</v>
      </c>
      <c r="M307" s="11">
        <f t="shared" si="3"/>
        <v>16</v>
      </c>
      <c r="N307" s="11" t="str">
        <f>VLOOKUP($H307, 'ADP Data'!$B$4:$Q$300, 10, FALSE)</f>
        <v>#N/A</v>
      </c>
      <c r="O307" s="11" t="str">
        <f>VLOOKUP($H307, 'ADP Data'!$B$4:$Q$300, 4, FALSE)</f>
        <v>#N/A</v>
      </c>
      <c r="P307" s="11" t="str">
        <f t="shared" si="4"/>
        <v>#N/A</v>
      </c>
      <c r="Q307" s="11" t="str">
        <f>VLOOKUP($H307, 'ADP Data'!$B$4:$Q$300, 5, FALSE)</f>
        <v>#N/A</v>
      </c>
      <c r="R307" s="11" t="str">
        <f>VLOOKUP($H307, 'ADP Data'!$B$4:$Q$300, 6, FALSE)</f>
        <v>#N/A</v>
      </c>
      <c r="S307" s="11" t="str">
        <f>VLOOKUP($H307, 'ADP Data'!$B$4:$Q$300, 7, FALSE)</f>
        <v>#N/A</v>
      </c>
      <c r="T307" s="11" t="str">
        <f>VLOOKUP($H307, 'ADP Data'!$B$4:$Q$300, 8, FALSE)</f>
        <v>#N/A</v>
      </c>
      <c r="U307" s="11" t="str">
        <f>VLOOKUP($H307, 'ADP Data'!$B$4:$Q$300, 9, FALSE)</f>
        <v>#N/A</v>
      </c>
      <c r="V307" s="11" t="str">
        <f t="shared" si="5"/>
        <v>#N/A</v>
      </c>
      <c r="W307" s="11" t="str">
        <f t="shared" si="6"/>
        <v>#N/A</v>
      </c>
      <c r="X307" s="11" t="str">
        <f>IF(VLOOKUP($H307, SeanRanks!$A$2:$H$303, 7, FALSE)=0, "", VLOOKUP($H307, SeanRanks!$A$2:$H$303, 7, FALSE))</f>
        <v>#N/A</v>
      </c>
    </row>
    <row r="308" ht="14.25" customHeight="1">
      <c r="J308" s="81"/>
    </row>
    <row r="309" ht="14.25" customHeight="1">
      <c r="J309" s="81"/>
    </row>
    <row r="310" ht="14.25" customHeight="1">
      <c r="J310" s="81"/>
    </row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6:$X$307">
    <sortState ref="A6:X307">
      <sortCondition ref="L6:L307"/>
    </sortState>
  </autoFilter>
  <mergeCells count="1">
    <mergeCell ref="A1:C1"/>
  </mergeCells>
  <conditionalFormatting sqref="B7:G307 X7:X307">
    <cfRule type="expression" dxfId="0" priority="1">
      <formula>$C7="No"</formula>
    </cfRule>
  </conditionalFormatting>
  <conditionalFormatting sqref="H7:H296">
    <cfRule type="expression" dxfId="0" priority="2">
      <formula>$D7="No"</formula>
    </cfRule>
  </conditionalFormatting>
  <conditionalFormatting sqref="K7:L307">
    <cfRule type="expression" dxfId="0" priority="3">
      <formula>$C7="No"</formula>
    </cfRule>
  </conditionalFormatting>
  <conditionalFormatting sqref="M7:M307">
    <cfRule type="cellIs" dxfId="1" priority="4" operator="lessThan">
      <formula>B7</formula>
    </cfRule>
  </conditionalFormatting>
  <conditionalFormatting sqref="M7:M307">
    <cfRule type="cellIs" dxfId="2" priority="5" operator="greaterThan">
      <formula>B7</formula>
    </cfRule>
  </conditionalFormatting>
  <conditionalFormatting sqref="O2:AE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7:P307">
    <cfRule type="colorScale" priority="7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W7:W307">
    <cfRule type="colorScale" priority="8">
      <colorScale>
        <cfvo type="formula" val="-15"/>
        <cfvo type="formula" val="0"/>
        <cfvo type="formula" val="15"/>
        <color rgb="FFF8696B"/>
        <color theme="0"/>
        <color rgb="FF63BE7B"/>
      </colorScale>
    </cfRule>
  </conditionalFormatting>
  <conditionalFormatting sqref="W7:W307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7:W307">
    <cfRule type="expression" dxfId="0" priority="10">
      <formula>$C7="No"</formula>
    </cfRule>
  </conditionalFormatting>
  <printOptions/>
  <pageMargins bottom="0.75" footer="0.0" header="0.0" left="0.7" right="0.7" top="0.75"/>
  <pageSetup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2" width="8.71"/>
    <col customWidth="1" min="3" max="6" width="9.71"/>
    <col customWidth="1" min="7" max="7" width="5.29"/>
    <col customWidth="1" min="8" max="8" width="17.86"/>
    <col customWidth="1" min="9" max="10" width="8.71"/>
    <col customWidth="1" min="11" max="11" width="15.86"/>
    <col customWidth="1" min="12" max="31" width="8.71"/>
  </cols>
  <sheetData>
    <row r="1" ht="14.25" customHeight="1">
      <c r="A1" s="68" t="s">
        <v>1151</v>
      </c>
      <c r="D1" s="68"/>
      <c r="E1" s="3"/>
      <c r="F1" s="3"/>
      <c r="G1" s="3"/>
      <c r="H1" s="3"/>
      <c r="I1" s="4"/>
      <c r="J1" s="4" t="s">
        <v>996</v>
      </c>
      <c r="K1" s="69">
        <v>4.0</v>
      </c>
      <c r="L1" s="3"/>
      <c r="M1" s="3"/>
      <c r="N1" s="6" t="s">
        <v>1152</v>
      </c>
      <c r="O1" s="6" t="s">
        <v>999</v>
      </c>
      <c r="P1" s="6" t="s">
        <v>1000</v>
      </c>
      <c r="Q1" s="6" t="s">
        <v>1001</v>
      </c>
      <c r="R1" s="6" t="s">
        <v>1002</v>
      </c>
      <c r="S1" s="6" t="s">
        <v>1003</v>
      </c>
      <c r="T1" s="6" t="s">
        <v>440</v>
      </c>
      <c r="U1" s="6" t="s">
        <v>607</v>
      </c>
      <c r="V1" s="6" t="s">
        <v>1004</v>
      </c>
      <c r="W1" s="6" t="s">
        <v>1005</v>
      </c>
      <c r="X1" s="6" t="s">
        <v>1006</v>
      </c>
      <c r="Y1" s="6" t="s">
        <v>1007</v>
      </c>
      <c r="Z1" s="6" t="s">
        <v>1008</v>
      </c>
      <c r="AA1" s="6" t="s">
        <v>1009</v>
      </c>
      <c r="AB1" s="6" t="s">
        <v>1010</v>
      </c>
      <c r="AC1" s="6" t="s">
        <v>1011</v>
      </c>
      <c r="AD1" s="6" t="s">
        <v>1012</v>
      </c>
      <c r="AE1" s="6" t="s">
        <v>1013</v>
      </c>
    </row>
    <row r="2" ht="14.25" customHeight="1">
      <c r="B2" s="3"/>
      <c r="C2" s="3"/>
      <c r="D2" s="3"/>
      <c r="E2" s="3"/>
      <c r="F2" s="3"/>
      <c r="G2" s="3"/>
      <c r="H2" s="3"/>
      <c r="I2" s="4"/>
      <c r="J2" s="4" t="s">
        <v>1016</v>
      </c>
      <c r="K2" s="69">
        <v>2.0</v>
      </c>
      <c r="L2" s="3"/>
      <c r="M2" s="3"/>
      <c r="N2" s="20" t="s">
        <v>1018</v>
      </c>
      <c r="O2" s="45">
        <v>76.0</v>
      </c>
      <c r="P2" s="45">
        <v>70.0</v>
      </c>
      <c r="Q2" s="45">
        <v>70.0</v>
      </c>
      <c r="R2" s="45">
        <v>36.0</v>
      </c>
      <c r="S2" s="45">
        <v>39.0</v>
      </c>
      <c r="T2" s="45">
        <v>24.0</v>
      </c>
      <c r="U2" s="45">
        <v>4.0</v>
      </c>
      <c r="V2" s="45">
        <v>54.0</v>
      </c>
      <c r="W2" s="45">
        <v>32.0</v>
      </c>
      <c r="X2" s="45">
        <v>19.0</v>
      </c>
      <c r="Y2" s="45">
        <v>8.0</v>
      </c>
      <c r="Z2" s="45">
        <v>28.0</v>
      </c>
      <c r="AA2" s="45">
        <v>22.0</v>
      </c>
      <c r="AB2" s="45">
        <v>12.0</v>
      </c>
      <c r="AC2" s="45">
        <v>52.0</v>
      </c>
      <c r="AD2" s="45">
        <v>12.0</v>
      </c>
      <c r="AE2" s="45">
        <v>5.0</v>
      </c>
    </row>
    <row r="3" ht="14.25" customHeight="1">
      <c r="B3" s="3"/>
      <c r="C3" s="3"/>
      <c r="D3" s="3"/>
      <c r="E3" s="3"/>
      <c r="F3" s="3"/>
      <c r="G3" s="3"/>
      <c r="H3" s="3"/>
      <c r="I3" s="4"/>
      <c r="J3" s="4" t="s">
        <v>1022</v>
      </c>
      <c r="K3" s="69">
        <f>INT((K1)/K2)</f>
        <v>2</v>
      </c>
      <c r="L3" s="3"/>
      <c r="M3" s="3"/>
      <c r="N3" s="20" t="s">
        <v>1023</v>
      </c>
      <c r="O3" s="45">
        <v>75.0</v>
      </c>
      <c r="P3" s="45">
        <v>57.0</v>
      </c>
      <c r="Q3" s="45">
        <v>46.0</v>
      </c>
      <c r="R3" s="45">
        <v>32.0</v>
      </c>
      <c r="S3" s="45">
        <v>3.0</v>
      </c>
      <c r="T3" s="45">
        <v>3.0</v>
      </c>
      <c r="U3" s="45">
        <v>1.0</v>
      </c>
      <c r="V3" s="45">
        <v>24.0</v>
      </c>
      <c r="W3" s="45">
        <v>10.0</v>
      </c>
      <c r="X3" s="45">
        <v>3.0</v>
      </c>
      <c r="Y3" s="45">
        <v>1.0</v>
      </c>
      <c r="Z3" s="45">
        <v>8.0</v>
      </c>
      <c r="AA3" s="45">
        <v>8.0</v>
      </c>
      <c r="AB3" s="45">
        <v>8.0</v>
      </c>
      <c r="AC3" s="45">
        <v>28.0</v>
      </c>
      <c r="AD3" s="45">
        <v>10.0</v>
      </c>
      <c r="AE3" s="45">
        <v>1.0</v>
      </c>
    </row>
    <row r="4" ht="14.25" customHeight="1">
      <c r="C4" s="3"/>
      <c r="D4" s="3"/>
      <c r="E4" s="3"/>
      <c r="F4" s="3"/>
      <c r="G4" s="3"/>
      <c r="H4" s="3"/>
      <c r="I4" s="4"/>
      <c r="J4" s="3"/>
      <c r="K4" s="3"/>
      <c r="L4" s="3"/>
      <c r="M4" s="3"/>
      <c r="N4" s="3"/>
      <c r="O4" s="3"/>
      <c r="P4" s="3"/>
      <c r="Q4" s="3"/>
      <c r="R4" s="3" t="s">
        <v>1153</v>
      </c>
      <c r="S4" s="3"/>
      <c r="T4" s="3"/>
      <c r="U4" s="3"/>
      <c r="V4" s="3"/>
      <c r="W4" s="3"/>
      <c r="X4" s="3"/>
      <c r="Y4" s="3"/>
      <c r="Z4" s="3"/>
      <c r="AA4" s="3"/>
      <c r="AB4" s="3"/>
      <c r="AD4" s="3"/>
    </row>
    <row r="5" ht="14.25" customHeight="1">
      <c r="C5" s="3"/>
      <c r="D5" s="3"/>
      <c r="E5" s="3"/>
      <c r="F5" s="3"/>
      <c r="G5" s="3"/>
      <c r="H5" s="3"/>
      <c r="I5" s="4"/>
      <c r="J5" s="3"/>
      <c r="K5" s="3"/>
      <c r="L5" s="3"/>
      <c r="M5" s="3"/>
      <c r="N5" s="3"/>
      <c r="O5" s="3"/>
      <c r="P5" s="3"/>
      <c r="Q5" s="3"/>
      <c r="R5" s="92" t="s">
        <v>1154</v>
      </c>
      <c r="S5" s="3"/>
      <c r="T5" s="3"/>
      <c r="U5" s="3"/>
      <c r="V5" s="3"/>
      <c r="W5" s="3"/>
      <c r="X5" s="3"/>
      <c r="Y5" s="3"/>
      <c r="Z5" s="3"/>
      <c r="AA5" s="3"/>
      <c r="AB5" s="3"/>
      <c r="AD5" s="3"/>
    </row>
    <row r="6" ht="14.25" customHeight="1">
      <c r="A6" s="20" t="s">
        <v>72</v>
      </c>
      <c r="B6" s="21" t="s">
        <v>76</v>
      </c>
      <c r="C6" s="22" t="s">
        <v>77</v>
      </c>
      <c r="D6" s="22" t="s">
        <v>1034</v>
      </c>
      <c r="E6" s="22" t="s">
        <v>1035</v>
      </c>
      <c r="F6" s="22" t="s">
        <v>1036</v>
      </c>
      <c r="G6" s="22" t="s">
        <v>10</v>
      </c>
      <c r="H6" s="6" t="s">
        <v>5</v>
      </c>
      <c r="I6" s="6" t="s">
        <v>7</v>
      </c>
      <c r="J6" s="6" t="s">
        <v>8</v>
      </c>
      <c r="K6" s="6" t="s">
        <v>11</v>
      </c>
      <c r="L6" s="6" t="s">
        <v>12</v>
      </c>
      <c r="M6" s="23" t="s">
        <v>81</v>
      </c>
      <c r="N6" s="23" t="s">
        <v>17</v>
      </c>
      <c r="O6" s="20" t="s">
        <v>16</v>
      </c>
      <c r="P6" s="24" t="s">
        <v>86</v>
      </c>
      <c r="Q6" s="20" t="s">
        <v>13</v>
      </c>
      <c r="R6" s="20" t="s">
        <v>15</v>
      </c>
      <c r="S6" s="20" t="s">
        <v>20</v>
      </c>
      <c r="T6" s="20" t="s">
        <v>27</v>
      </c>
      <c r="U6" s="20" t="s">
        <v>23</v>
      </c>
      <c r="V6" s="21" t="s">
        <v>87</v>
      </c>
      <c r="W6" s="21" t="s">
        <v>90</v>
      </c>
      <c r="X6" s="6" t="s">
        <v>14</v>
      </c>
    </row>
    <row r="7" ht="14.25" customHeight="1">
      <c r="A7" s="11"/>
      <c r="B7" s="11" t="str">
        <f t="shared" ref="B7:B257" si="1">IFERROR(INT(AVERAGE(Q7:U7)/12)+1, INT(AVERAGE(N7)/12)+1)</f>
        <v>#N/A</v>
      </c>
      <c r="C7" s="11" t="s">
        <v>106</v>
      </c>
      <c r="D7" s="11">
        <v>29.0</v>
      </c>
      <c r="E7" s="60">
        <v>40.0</v>
      </c>
      <c r="F7" s="11">
        <f t="shared" ref="F7:F302" si="2">D7-E7</f>
        <v>-11</v>
      </c>
      <c r="G7" s="60" t="s">
        <v>106</v>
      </c>
      <c r="H7" s="60" t="s">
        <v>877</v>
      </c>
      <c r="I7" s="60" t="str">
        <f>VLOOKUP($H7, 'ADP Data'!$B$4:$Q$300, 2, FALSE)</f>
        <v>#N/A</v>
      </c>
      <c r="J7" s="60" t="str">
        <f>VLOOKUP($H7, 'ADP Data'!$B$4:$Q$300, 3, FALSE)</f>
        <v>#N/A</v>
      </c>
      <c r="K7" s="60" t="str">
        <f>VLOOKUP($H7, SeanRanks!$A$2:$H$303, 4, FALSE)</f>
        <v>#N/A</v>
      </c>
      <c r="L7" s="11" t="str">
        <f>VLOOKUP($H7, SeanRanks!$A$2:$H$303, 5, FALSE)</f>
        <v>#N/A</v>
      </c>
      <c r="M7" s="11">
        <f t="shared" ref="M7:M302" si="3">IFERROR(INT(N7/12)+1, 16)</f>
        <v>16</v>
      </c>
      <c r="N7" s="11" t="str">
        <f>VLOOKUP($H7, 'ADP Data'!$B$4:$Q$300, 11, FALSE)</f>
        <v>#N/A</v>
      </c>
      <c r="O7" s="11" t="str">
        <f>VLOOKUP($H7, 'ADP Data'!$B$4:$Q$300, 5, FALSE)</f>
        <v>#N/A</v>
      </c>
      <c r="P7" s="11" t="str">
        <f t="shared" ref="P7:P302" si="4">N7-O7</f>
        <v>#N/A</v>
      </c>
      <c r="Q7" s="11" t="str">
        <f>VLOOKUP($H7, 'ADP Data'!$B$4:$Q$300, 6, FALSE)</f>
        <v>#N/A</v>
      </c>
      <c r="R7" s="11" t="str">
        <f>VLOOKUP($H7, 'ADP Data'!$B$4:$Q$300, 7, FALSE)</f>
        <v>#N/A</v>
      </c>
      <c r="S7" s="11" t="str">
        <f>VLOOKUP($H7, 'ADP Data'!$B$4:$Q$300, 8, FALSE)</f>
        <v>#N/A</v>
      </c>
      <c r="T7" s="11" t="str">
        <f>VLOOKUP($H7, 'ADP Data'!$B$4:$Q$300, 9, FALSE)</f>
        <v>#N/A</v>
      </c>
      <c r="U7" s="11" t="str">
        <f>VLOOKUP($H7, 'ADP Data'!$B$4:$Q$300, 10, FALSE)</f>
        <v>#N/A</v>
      </c>
      <c r="V7" s="11" t="str">
        <f t="shared" ref="V7:V302" si="5">INT(AVERAGE(N7:T7))</f>
        <v>#N/A</v>
      </c>
      <c r="W7" s="11" t="str">
        <f>VLOOKUP($H7, SeanRanks!$A$2:$J$303, 7, FALSE)-V7</f>
        <v>#N/A</v>
      </c>
      <c r="X7" s="60"/>
    </row>
    <row r="8" ht="14.25" customHeight="1">
      <c r="A8" s="11"/>
      <c r="B8" s="11" t="str">
        <f t="shared" si="1"/>
        <v>#N/A</v>
      </c>
      <c r="C8" s="11" t="s">
        <v>106</v>
      </c>
      <c r="D8" s="11">
        <v>13.0</v>
      </c>
      <c r="E8" s="11">
        <v>20.0</v>
      </c>
      <c r="F8" s="11">
        <f t="shared" si="2"/>
        <v>-7</v>
      </c>
      <c r="G8" s="11"/>
      <c r="H8" s="11" t="s">
        <v>266</v>
      </c>
      <c r="I8" s="11" t="str">
        <f>VLOOKUP($H8, 'ADP Data'!$B$4:$Q$300, 2, FALSE)</f>
        <v>#N/A</v>
      </c>
      <c r="J8" s="11" t="str">
        <f>VLOOKUP($H8, 'ADP Data'!$B$4:$Q$300, 3, FALSE)</f>
        <v>#N/A</v>
      </c>
      <c r="K8" s="11" t="s">
        <v>1155</v>
      </c>
      <c r="L8" s="11">
        <v>2.0</v>
      </c>
      <c r="M8" s="11">
        <f t="shared" si="3"/>
        <v>16</v>
      </c>
      <c r="N8" s="11" t="str">
        <f>VLOOKUP($H8, 'ADP Data'!$B$4:$Q$300, 11, FALSE)</f>
        <v>#N/A</v>
      </c>
      <c r="O8" s="11" t="str">
        <f>VLOOKUP($H8, 'ADP Data'!$B$4:$Q$300, 5, FALSE)</f>
        <v>#N/A</v>
      </c>
      <c r="P8" s="11" t="str">
        <f t="shared" si="4"/>
        <v>#N/A</v>
      </c>
      <c r="Q8" s="11" t="str">
        <f>VLOOKUP($H8, 'ADP Data'!$B$4:$Q$300, 6, FALSE)</f>
        <v>#N/A</v>
      </c>
      <c r="R8" s="11" t="str">
        <f>VLOOKUP($H8, 'ADP Data'!$B$4:$Q$300, 7, FALSE)</f>
        <v>#N/A</v>
      </c>
      <c r="S8" s="11" t="str">
        <f>VLOOKUP($H8, 'ADP Data'!$B$4:$Q$300, 8, FALSE)</f>
        <v>#N/A</v>
      </c>
      <c r="T8" s="11" t="str">
        <f>VLOOKUP($H8, 'ADP Data'!$B$4:$Q$300, 9, FALSE)</f>
        <v>#N/A</v>
      </c>
      <c r="U8" s="11" t="str">
        <f>VLOOKUP($H8, 'ADP Data'!$B$4:$Q$300, 10, FALSE)</f>
        <v>#N/A</v>
      </c>
      <c r="V8" s="11" t="str">
        <f t="shared" si="5"/>
        <v>#N/A</v>
      </c>
      <c r="W8" s="11" t="str">
        <f>VLOOKUP($H8, SeanRanks!$A$2:$J$303, 7, FALSE)-V8</f>
        <v>#N/A</v>
      </c>
      <c r="X8" s="11"/>
    </row>
    <row r="9" ht="14.25" customHeight="1">
      <c r="A9" s="11" t="s">
        <v>1156</v>
      </c>
      <c r="B9" s="11" t="str">
        <f t="shared" si="1"/>
        <v>#N/A</v>
      </c>
      <c r="C9" s="11" t="s">
        <v>106</v>
      </c>
      <c r="D9" s="11">
        <v>58.0</v>
      </c>
      <c r="E9" s="11">
        <v>55.0</v>
      </c>
      <c r="F9" s="11">
        <f t="shared" si="2"/>
        <v>3</v>
      </c>
      <c r="G9" s="11"/>
      <c r="H9" s="11" t="s">
        <v>1128</v>
      </c>
      <c r="I9" s="11" t="str">
        <f>VLOOKUP($H9, 'ADP Data'!$B$4:$Q$300, 2, FALSE)</f>
        <v>#N/A</v>
      </c>
      <c r="J9" s="11" t="str">
        <f>VLOOKUP($H9, 'ADP Data'!$B$4:$Q$300, 3, FALSE)</f>
        <v>#N/A</v>
      </c>
      <c r="K9" s="11" t="str">
        <f>VLOOKUP($H9, SeanRanks!$A$2:$H$303, 4, FALSE)</f>
        <v>#N/A</v>
      </c>
      <c r="L9" s="11" t="str">
        <f>VLOOKUP($H9, SeanRanks!$A$2:$H$303, 5, FALSE)</f>
        <v>#N/A</v>
      </c>
      <c r="M9" s="11">
        <f t="shared" si="3"/>
        <v>16</v>
      </c>
      <c r="N9" s="11" t="str">
        <f>VLOOKUP($H9, 'ADP Data'!$B$4:$Q$300, 11, FALSE)</f>
        <v>#N/A</v>
      </c>
      <c r="O9" s="11" t="str">
        <f>VLOOKUP($H9, 'ADP Data'!$B$4:$Q$300, 5, FALSE)</f>
        <v>#N/A</v>
      </c>
      <c r="P9" s="11" t="str">
        <f t="shared" si="4"/>
        <v>#N/A</v>
      </c>
      <c r="Q9" s="11" t="str">
        <f>VLOOKUP($H9, 'ADP Data'!$B$4:$Q$300, 6, FALSE)</f>
        <v>#N/A</v>
      </c>
      <c r="R9" s="11" t="str">
        <f>VLOOKUP($H9, 'ADP Data'!$B$4:$Q$300, 7, FALSE)</f>
        <v>#N/A</v>
      </c>
      <c r="S9" s="11" t="str">
        <f>VLOOKUP($H9, 'ADP Data'!$B$4:$Q$300, 8, FALSE)</f>
        <v>#N/A</v>
      </c>
      <c r="T9" s="11" t="str">
        <f>VLOOKUP($H9, 'ADP Data'!$B$4:$Q$300, 9, FALSE)</f>
        <v>#N/A</v>
      </c>
      <c r="U9" s="11" t="str">
        <f>VLOOKUP($H9, 'ADP Data'!$B$4:$Q$300, 10, FALSE)</f>
        <v>#N/A</v>
      </c>
      <c r="V9" s="11" t="str">
        <f t="shared" si="5"/>
        <v>#N/A</v>
      </c>
      <c r="W9" s="11" t="str">
        <f>VLOOKUP($H9, SeanRanks!$A$2:$J$303, 7, FALSE)-V9</f>
        <v>#N/A</v>
      </c>
      <c r="X9" s="11"/>
    </row>
    <row r="10" ht="14.25" customHeight="1">
      <c r="A10" s="11"/>
      <c r="B10" s="11" t="str">
        <f t="shared" si="1"/>
        <v>#N/A</v>
      </c>
      <c r="C10" s="11" t="s">
        <v>106</v>
      </c>
      <c r="D10" s="11">
        <v>25.0</v>
      </c>
      <c r="E10" s="11">
        <v>30.0</v>
      </c>
      <c r="F10" s="11">
        <f t="shared" si="2"/>
        <v>-5</v>
      </c>
      <c r="G10" s="11"/>
      <c r="H10" s="11" t="s">
        <v>113</v>
      </c>
      <c r="I10" s="11" t="str">
        <f>VLOOKUP($H10, 'ADP Data'!$B$4:$Q$300, 2, FALSE)</f>
        <v>#N/A</v>
      </c>
      <c r="J10" s="11" t="str">
        <f>VLOOKUP($H10, 'ADP Data'!$B$4:$Q$300, 3, FALSE)</f>
        <v>#N/A</v>
      </c>
      <c r="K10" s="11" t="str">
        <f>VLOOKUP($H10, SeanRanks!$A$2:$H$303, 4, FALSE)</f>
        <v/>
      </c>
      <c r="L10" s="11" t="str">
        <f>VLOOKUP($H10, SeanRanks!$A$2:$H$303, 5, FALSE)</f>
        <v/>
      </c>
      <c r="M10" s="11">
        <f t="shared" si="3"/>
        <v>16</v>
      </c>
      <c r="N10" s="11" t="str">
        <f>VLOOKUP($H10, 'ADP Data'!$B$4:$Q$300, 11, FALSE)</f>
        <v>#N/A</v>
      </c>
      <c r="O10" s="11" t="str">
        <f>VLOOKUP($H10, 'ADP Data'!$B$4:$Q$300, 5, FALSE)</f>
        <v>#N/A</v>
      </c>
      <c r="P10" s="11" t="str">
        <f t="shared" si="4"/>
        <v>#N/A</v>
      </c>
      <c r="Q10" s="11" t="str">
        <f>VLOOKUP($H10, 'ADP Data'!$B$4:$Q$300, 6, FALSE)</f>
        <v>#N/A</v>
      </c>
      <c r="R10" s="11" t="str">
        <f>VLOOKUP($H10, 'ADP Data'!$B$4:$Q$300, 7, FALSE)</f>
        <v>#N/A</v>
      </c>
      <c r="S10" s="11" t="str">
        <f>VLOOKUP($H10, 'ADP Data'!$B$4:$Q$300, 8, FALSE)</f>
        <v>#N/A</v>
      </c>
      <c r="T10" s="11" t="str">
        <f>VLOOKUP($H10, 'ADP Data'!$B$4:$Q$300, 9, FALSE)</f>
        <v>#N/A</v>
      </c>
      <c r="U10" s="11" t="str">
        <f>VLOOKUP($H10, 'ADP Data'!$B$4:$Q$300, 10, FALSE)</f>
        <v>#N/A</v>
      </c>
      <c r="V10" s="11" t="str">
        <f t="shared" si="5"/>
        <v>#N/A</v>
      </c>
      <c r="W10" s="11" t="str">
        <f>VLOOKUP($H10, SeanRanks!$A$2:$J$303, 7, FALSE)-V10</f>
        <v>#N/A</v>
      </c>
      <c r="X10" s="11"/>
    </row>
    <row r="11" ht="14.25" customHeight="1">
      <c r="A11" s="11"/>
      <c r="B11" s="11" t="str">
        <f t="shared" si="1"/>
        <v>#N/A</v>
      </c>
      <c r="C11" s="11" t="s">
        <v>106</v>
      </c>
      <c r="D11" s="11">
        <v>2.0</v>
      </c>
      <c r="E11" s="11">
        <v>6.0</v>
      </c>
      <c r="F11" s="11">
        <f t="shared" si="2"/>
        <v>-4</v>
      </c>
      <c r="G11" s="11" t="s">
        <v>106</v>
      </c>
      <c r="H11" s="11" t="s">
        <v>1157</v>
      </c>
      <c r="I11" s="11" t="str">
        <f>VLOOKUP($H11, 'ADP Data'!$B$4:$Q$300, 2, FALSE)</f>
        <v>#N/A</v>
      </c>
      <c r="J11" s="11" t="str">
        <f>VLOOKUP($H11, 'ADP Data'!$B$4:$Q$300, 3, FALSE)</f>
        <v>#N/A</v>
      </c>
      <c r="K11" s="11" t="s">
        <v>1158</v>
      </c>
      <c r="L11" s="11">
        <v>11.0</v>
      </c>
      <c r="M11" s="11">
        <f t="shared" si="3"/>
        <v>16</v>
      </c>
      <c r="N11" s="11" t="str">
        <f>VLOOKUP($H11, 'ADP Data'!$B$4:$Q$300, 11, FALSE)</f>
        <v>#N/A</v>
      </c>
      <c r="O11" s="11" t="str">
        <f>VLOOKUP($H11, 'ADP Data'!$B$4:$Q$300, 5, FALSE)</f>
        <v>#N/A</v>
      </c>
      <c r="P11" s="11" t="str">
        <f t="shared" si="4"/>
        <v>#N/A</v>
      </c>
      <c r="Q11" s="11" t="str">
        <f>VLOOKUP($H11, 'ADP Data'!$B$4:$Q$300, 6, FALSE)</f>
        <v>#N/A</v>
      </c>
      <c r="R11" s="11" t="str">
        <f>VLOOKUP($H11, 'ADP Data'!$B$4:$Q$300, 7, FALSE)</f>
        <v>#N/A</v>
      </c>
      <c r="S11" s="11" t="str">
        <f>VLOOKUP($H11, 'ADP Data'!$B$4:$Q$300, 8, FALSE)</f>
        <v>#N/A</v>
      </c>
      <c r="T11" s="11" t="str">
        <f>VLOOKUP($H11, 'ADP Data'!$B$4:$Q$300, 9, FALSE)</f>
        <v>#N/A</v>
      </c>
      <c r="U11" s="11" t="str">
        <f>VLOOKUP($H11, 'ADP Data'!$B$4:$Q$300, 10, FALSE)</f>
        <v>#N/A</v>
      </c>
      <c r="V11" s="11" t="str">
        <f t="shared" si="5"/>
        <v>#N/A</v>
      </c>
      <c r="W11" s="11" t="str">
        <f>VLOOKUP($H11, SeanRanks!$A$2:$J$303, 7, FALSE)-V11</f>
        <v>#N/A</v>
      </c>
      <c r="X11" s="11"/>
    </row>
    <row r="12" ht="14.25" customHeight="1">
      <c r="A12" s="11" t="s">
        <v>1156</v>
      </c>
      <c r="B12" s="11" t="str">
        <f t="shared" si="1"/>
        <v>#N/A</v>
      </c>
      <c r="C12" s="11" t="s">
        <v>106</v>
      </c>
      <c r="D12" s="11">
        <v>44.0</v>
      </c>
      <c r="E12" s="60">
        <v>50.0</v>
      </c>
      <c r="F12" s="11">
        <f t="shared" si="2"/>
        <v>-6</v>
      </c>
      <c r="G12" s="60"/>
      <c r="H12" s="60" t="s">
        <v>181</v>
      </c>
      <c r="I12" s="60" t="str">
        <f>VLOOKUP($H12, 'ADP Data'!$B$4:$Q$300, 2, FALSE)</f>
        <v>#N/A</v>
      </c>
      <c r="J12" s="60" t="str">
        <f>VLOOKUP($H12, 'ADP Data'!$B$4:$Q$300, 3, FALSE)</f>
        <v>#N/A</v>
      </c>
      <c r="K12" s="60" t="str">
        <f>VLOOKUP($H12, SeanRanks!$A$2:$H$303, 4, FALSE)</f>
        <v/>
      </c>
      <c r="L12" s="11">
        <v>9.0</v>
      </c>
      <c r="M12" s="11">
        <f t="shared" si="3"/>
        <v>16</v>
      </c>
      <c r="N12" s="11" t="str">
        <f>VLOOKUP($H12, 'ADP Data'!$B$4:$Q$300, 11, FALSE)</f>
        <v>#N/A</v>
      </c>
      <c r="O12" s="11" t="str">
        <f>VLOOKUP($H12, 'ADP Data'!$B$4:$Q$300, 5, FALSE)</f>
        <v>#N/A</v>
      </c>
      <c r="P12" s="11" t="str">
        <f t="shared" si="4"/>
        <v>#N/A</v>
      </c>
      <c r="Q12" s="11" t="str">
        <f>VLOOKUP($H12, 'ADP Data'!$B$4:$Q$300, 6, FALSE)</f>
        <v>#N/A</v>
      </c>
      <c r="R12" s="11" t="str">
        <f>VLOOKUP($H12, 'ADP Data'!$B$4:$Q$300, 7, FALSE)</f>
        <v>#N/A</v>
      </c>
      <c r="S12" s="11" t="str">
        <f>VLOOKUP($H12, 'ADP Data'!$B$4:$Q$300, 8, FALSE)</f>
        <v>#N/A</v>
      </c>
      <c r="T12" s="11" t="str">
        <f>VLOOKUP($H12, 'ADP Data'!$B$4:$Q$300, 9, FALSE)</f>
        <v>#N/A</v>
      </c>
      <c r="U12" s="11" t="str">
        <f>VLOOKUP($H12, 'ADP Data'!$B$4:$Q$300, 10, FALSE)</f>
        <v>#N/A</v>
      </c>
      <c r="V12" s="11" t="str">
        <f t="shared" si="5"/>
        <v>#N/A</v>
      </c>
      <c r="W12" s="11" t="str">
        <f>VLOOKUP($H12, SeanRanks!$A$2:$J$303, 7, FALSE)-V12</f>
        <v>#N/A</v>
      </c>
      <c r="X12" s="60" t="s">
        <v>1159</v>
      </c>
    </row>
    <row r="13" ht="14.25" customHeight="1">
      <c r="A13" s="11"/>
      <c r="B13" s="11" t="str">
        <f t="shared" si="1"/>
        <v>#N/A</v>
      </c>
      <c r="C13" s="11" t="s">
        <v>106</v>
      </c>
      <c r="D13" s="11">
        <v>2.0</v>
      </c>
      <c r="E13" s="11">
        <v>5.0</v>
      </c>
      <c r="F13" s="11">
        <f t="shared" si="2"/>
        <v>-3</v>
      </c>
      <c r="G13" s="11"/>
      <c r="H13" s="11" t="s">
        <v>1160</v>
      </c>
      <c r="I13" s="11" t="str">
        <f>VLOOKUP($H13, 'ADP Data'!$B$4:$Q$300, 2, FALSE)</f>
        <v>#N/A</v>
      </c>
      <c r="J13" s="11" t="str">
        <f>VLOOKUP($H13, 'ADP Data'!$B$4:$Q$300, 3, FALSE)</f>
        <v>#N/A</v>
      </c>
      <c r="K13" s="11" t="s">
        <v>1158</v>
      </c>
      <c r="L13" s="11">
        <v>8.0</v>
      </c>
      <c r="M13" s="11">
        <f t="shared" si="3"/>
        <v>16</v>
      </c>
      <c r="N13" s="11" t="str">
        <f>VLOOKUP($H13, 'ADP Data'!$B$4:$Q$300, 11, FALSE)</f>
        <v>#N/A</v>
      </c>
      <c r="O13" s="11" t="str">
        <f>VLOOKUP($H13, 'ADP Data'!$B$4:$Q$300, 5, FALSE)</f>
        <v>#N/A</v>
      </c>
      <c r="P13" s="11" t="str">
        <f t="shared" si="4"/>
        <v>#N/A</v>
      </c>
      <c r="Q13" s="11" t="str">
        <f>VLOOKUP($H13, 'ADP Data'!$B$4:$Q$300, 6, FALSE)</f>
        <v>#N/A</v>
      </c>
      <c r="R13" s="11" t="str">
        <f>VLOOKUP($H13, 'ADP Data'!$B$4:$Q$300, 7, FALSE)</f>
        <v>#N/A</v>
      </c>
      <c r="S13" s="11" t="str">
        <f>VLOOKUP($H13, 'ADP Data'!$B$4:$Q$300, 8, FALSE)</f>
        <v>#N/A</v>
      </c>
      <c r="T13" s="11" t="str">
        <f>VLOOKUP($H13, 'ADP Data'!$B$4:$Q$300, 9, FALSE)</f>
        <v>#N/A</v>
      </c>
      <c r="U13" s="11" t="str">
        <f>VLOOKUP($H13, 'ADP Data'!$B$4:$Q$300, 10, FALSE)</f>
        <v>#N/A</v>
      </c>
      <c r="V13" s="11" t="str">
        <f t="shared" si="5"/>
        <v>#N/A</v>
      </c>
      <c r="W13" s="11" t="str">
        <f>VLOOKUP($H13, SeanRanks!$A$2:$J$303, 7, FALSE)-V13</f>
        <v>#N/A</v>
      </c>
      <c r="X13" s="11"/>
    </row>
    <row r="14" ht="14.25" customHeight="1">
      <c r="A14" s="11"/>
      <c r="B14" s="11" t="str">
        <f t="shared" si="1"/>
        <v>#N/A</v>
      </c>
      <c r="C14" s="11" t="s">
        <v>106</v>
      </c>
      <c r="D14" s="11">
        <v>37.0</v>
      </c>
      <c r="E14" s="60">
        <v>40.0</v>
      </c>
      <c r="F14" s="11">
        <f t="shared" si="2"/>
        <v>-3</v>
      </c>
      <c r="G14" s="60"/>
      <c r="H14" s="60" t="s">
        <v>350</v>
      </c>
      <c r="I14" s="60" t="str">
        <f>VLOOKUP($H14, 'ADP Data'!$B$4:$Q$300, 2, FALSE)</f>
        <v>#N/A</v>
      </c>
      <c r="J14" s="60" t="str">
        <f>VLOOKUP($H14, 'ADP Data'!$B$4:$Q$300, 3, FALSE)</f>
        <v>#N/A</v>
      </c>
      <c r="K14" s="60" t="str">
        <f>VLOOKUP($H14, SeanRanks!$A$2:$H$303, 4, FALSE)</f>
        <v/>
      </c>
      <c r="L14" s="11">
        <v>10.0</v>
      </c>
      <c r="M14" s="11">
        <f t="shared" si="3"/>
        <v>16</v>
      </c>
      <c r="N14" s="11" t="str">
        <f>VLOOKUP($H14, 'ADP Data'!$B$4:$Q$300, 11, FALSE)</f>
        <v>#N/A</v>
      </c>
      <c r="O14" s="11" t="str">
        <f>VLOOKUP($H14, 'ADP Data'!$B$4:$Q$300, 5, FALSE)</f>
        <v>#N/A</v>
      </c>
      <c r="P14" s="11" t="str">
        <f t="shared" si="4"/>
        <v>#N/A</v>
      </c>
      <c r="Q14" s="11" t="str">
        <f>VLOOKUP($H14, 'ADP Data'!$B$4:$Q$300, 6, FALSE)</f>
        <v>#N/A</v>
      </c>
      <c r="R14" s="11" t="str">
        <f>VLOOKUP($H14, 'ADP Data'!$B$4:$Q$300, 7, FALSE)</f>
        <v>#N/A</v>
      </c>
      <c r="S14" s="11" t="str">
        <f>VLOOKUP($H14, 'ADP Data'!$B$4:$Q$300, 8, FALSE)</f>
        <v>#N/A</v>
      </c>
      <c r="T14" s="11" t="str">
        <f>VLOOKUP($H14, 'ADP Data'!$B$4:$Q$300, 9, FALSE)</f>
        <v>#N/A</v>
      </c>
      <c r="U14" s="11" t="str">
        <f>VLOOKUP($H14, 'ADP Data'!$B$4:$Q$300, 10, FALSE)</f>
        <v>#N/A</v>
      </c>
      <c r="V14" s="11" t="str">
        <f t="shared" si="5"/>
        <v>#N/A</v>
      </c>
      <c r="W14" s="11" t="str">
        <f>VLOOKUP($H14, SeanRanks!$A$2:$J$303, 7, FALSE)-V14</f>
        <v>#N/A</v>
      </c>
      <c r="X14" s="60"/>
    </row>
    <row r="15" ht="14.25" customHeight="1">
      <c r="A15" s="11"/>
      <c r="B15" s="11" t="str">
        <f t="shared" si="1"/>
        <v>#N/A</v>
      </c>
      <c r="C15" s="11" t="s">
        <v>106</v>
      </c>
      <c r="D15" s="11">
        <v>9.0</v>
      </c>
      <c r="E15" s="11">
        <v>12.0</v>
      </c>
      <c r="F15" s="11">
        <f t="shared" si="2"/>
        <v>-3</v>
      </c>
      <c r="G15" s="11" t="s">
        <v>106</v>
      </c>
      <c r="H15" s="11" t="s">
        <v>973</v>
      </c>
      <c r="I15" s="11" t="str">
        <f>VLOOKUP($H15, 'ADP Data'!$B$4:$Q$300, 2, FALSE)</f>
        <v>#N/A</v>
      </c>
      <c r="J15" s="11" t="str">
        <f>VLOOKUP($H15, 'ADP Data'!$B$4:$Q$300, 3, FALSE)</f>
        <v>#N/A</v>
      </c>
      <c r="K15" s="11" t="str">
        <f>VLOOKUP($H15, SeanRanks!$A$2:$H$303, 4, FALSE)</f>
        <v>#N/A</v>
      </c>
      <c r="L15" s="11" t="str">
        <f>VLOOKUP($H15, SeanRanks!$A$2:$H$303, 5, FALSE)</f>
        <v>#N/A</v>
      </c>
      <c r="M15" s="11">
        <f t="shared" si="3"/>
        <v>16</v>
      </c>
      <c r="N15" s="11" t="str">
        <f>VLOOKUP($H15, 'ADP Data'!$B$4:$Q$300, 11, FALSE)</f>
        <v>#N/A</v>
      </c>
      <c r="O15" s="11" t="str">
        <f>VLOOKUP($H15, 'ADP Data'!$B$4:$Q$300, 5, FALSE)</f>
        <v>#N/A</v>
      </c>
      <c r="P15" s="11" t="str">
        <f t="shared" si="4"/>
        <v>#N/A</v>
      </c>
      <c r="Q15" s="11" t="str">
        <f>VLOOKUP($H15, 'ADP Data'!$B$4:$Q$300, 6, FALSE)</f>
        <v>#N/A</v>
      </c>
      <c r="R15" s="11" t="str">
        <f>VLOOKUP($H15, 'ADP Data'!$B$4:$Q$300, 7, FALSE)</f>
        <v>#N/A</v>
      </c>
      <c r="S15" s="11" t="str">
        <f>VLOOKUP($H15, 'ADP Data'!$B$4:$Q$300, 8, FALSE)</f>
        <v>#N/A</v>
      </c>
      <c r="T15" s="11" t="str">
        <f>VLOOKUP($H15, 'ADP Data'!$B$4:$Q$300, 9, FALSE)</f>
        <v>#N/A</v>
      </c>
      <c r="U15" s="11" t="str">
        <f>VLOOKUP($H15, 'ADP Data'!$B$4:$Q$300, 10, FALSE)</f>
        <v>#N/A</v>
      </c>
      <c r="V15" s="11" t="str">
        <f t="shared" si="5"/>
        <v>#N/A</v>
      </c>
      <c r="W15" s="11" t="str">
        <f>VLOOKUP($H15, SeanRanks!$A$2:$J$303, 7, FALSE)-V15</f>
        <v>#N/A</v>
      </c>
      <c r="X15" s="11"/>
    </row>
    <row r="16" ht="14.25" customHeight="1">
      <c r="A16" s="11" t="s">
        <v>1156</v>
      </c>
      <c r="B16" s="11" t="str">
        <f t="shared" si="1"/>
        <v>#N/A</v>
      </c>
      <c r="C16" s="11" t="s">
        <v>106</v>
      </c>
      <c r="D16" s="11">
        <v>3.0</v>
      </c>
      <c r="E16" s="11">
        <v>5.0</v>
      </c>
      <c r="F16" s="11">
        <f t="shared" si="2"/>
        <v>-2</v>
      </c>
      <c r="G16" s="11"/>
      <c r="H16" s="11" t="s">
        <v>259</v>
      </c>
      <c r="I16" s="11" t="str">
        <f>VLOOKUP($H16, 'ADP Data'!$B$4:$Q$300, 2, FALSE)</f>
        <v>#N/A</v>
      </c>
      <c r="J16" s="11" t="str">
        <f>VLOOKUP($H16, 'ADP Data'!$B$4:$Q$300, 3, FALSE)</f>
        <v>#N/A</v>
      </c>
      <c r="K16" s="11" t="s">
        <v>1158</v>
      </c>
      <c r="L16" s="11">
        <v>10.0</v>
      </c>
      <c r="M16" s="11">
        <f t="shared" si="3"/>
        <v>16</v>
      </c>
      <c r="N16" s="11" t="str">
        <f>VLOOKUP($H16, 'ADP Data'!$B$4:$Q$300, 11, FALSE)</f>
        <v>#N/A</v>
      </c>
      <c r="O16" s="11" t="str">
        <f>VLOOKUP($H16, 'ADP Data'!$B$4:$Q$300, 5, FALSE)</f>
        <v>#N/A</v>
      </c>
      <c r="P16" s="11" t="str">
        <f t="shared" si="4"/>
        <v>#N/A</v>
      </c>
      <c r="Q16" s="11" t="str">
        <f>VLOOKUP($H16, 'ADP Data'!$B$4:$Q$300, 6, FALSE)</f>
        <v>#N/A</v>
      </c>
      <c r="R16" s="11" t="str">
        <f>VLOOKUP($H16, 'ADP Data'!$B$4:$Q$300, 7, FALSE)</f>
        <v>#N/A</v>
      </c>
      <c r="S16" s="11" t="str">
        <f>VLOOKUP($H16, 'ADP Data'!$B$4:$Q$300, 8, FALSE)</f>
        <v>#N/A</v>
      </c>
      <c r="T16" s="11" t="str">
        <f>VLOOKUP($H16, 'ADP Data'!$B$4:$Q$300, 9, FALSE)</f>
        <v>#N/A</v>
      </c>
      <c r="U16" s="11" t="str">
        <f>VLOOKUP($H16, 'ADP Data'!$B$4:$Q$300, 10, FALSE)</f>
        <v>#N/A</v>
      </c>
      <c r="V16" s="11" t="str">
        <f t="shared" si="5"/>
        <v>#N/A</v>
      </c>
      <c r="W16" s="11" t="str">
        <f>VLOOKUP($H16, SeanRanks!$A$2:$J$303, 7, FALSE)-V16</f>
        <v>#N/A</v>
      </c>
      <c r="X16" s="11"/>
    </row>
    <row r="17" ht="14.25" customHeight="1">
      <c r="A17" s="11"/>
      <c r="B17" s="11" t="str">
        <f t="shared" si="1"/>
        <v>#N/A</v>
      </c>
      <c r="C17" s="11" t="s">
        <v>106</v>
      </c>
      <c r="D17" s="11">
        <v>9.0</v>
      </c>
      <c r="E17" s="11">
        <v>12.0</v>
      </c>
      <c r="F17" s="11">
        <f t="shared" si="2"/>
        <v>-3</v>
      </c>
      <c r="G17" s="11" t="s">
        <v>106</v>
      </c>
      <c r="H17" s="11" t="s">
        <v>1161</v>
      </c>
      <c r="I17" s="11" t="str">
        <f>VLOOKUP($H17, 'ADP Data'!$B$4:$Q$300, 2, FALSE)</f>
        <v>#N/A</v>
      </c>
      <c r="J17" s="11" t="str">
        <f>VLOOKUP($H17, 'ADP Data'!$B$4:$Q$300, 3, FALSE)</f>
        <v>#N/A</v>
      </c>
      <c r="K17" s="11" t="str">
        <f>VLOOKUP($H17, SeanRanks!$A$2:$H$303, 4, FALSE)</f>
        <v>#N/A</v>
      </c>
      <c r="L17" s="11" t="str">
        <f>VLOOKUP($H17, SeanRanks!$A$2:$H$303, 5, FALSE)</f>
        <v>#N/A</v>
      </c>
      <c r="M17" s="11">
        <f t="shared" si="3"/>
        <v>16</v>
      </c>
      <c r="N17" s="11" t="str">
        <f>VLOOKUP($H17, 'ADP Data'!$B$4:$Q$300, 11, FALSE)</f>
        <v>#N/A</v>
      </c>
      <c r="O17" s="11" t="str">
        <f>VLOOKUP($H17, 'ADP Data'!$B$4:$Q$300, 5, FALSE)</f>
        <v>#N/A</v>
      </c>
      <c r="P17" s="11" t="str">
        <f t="shared" si="4"/>
        <v>#N/A</v>
      </c>
      <c r="Q17" s="11" t="str">
        <f>VLOOKUP($H17, 'ADP Data'!$B$4:$Q$300, 6, FALSE)</f>
        <v>#N/A</v>
      </c>
      <c r="R17" s="11" t="str">
        <f>VLOOKUP($H17, 'ADP Data'!$B$4:$Q$300, 7, FALSE)</f>
        <v>#N/A</v>
      </c>
      <c r="S17" s="11" t="str">
        <f>VLOOKUP($H17, 'ADP Data'!$B$4:$Q$300, 8, FALSE)</f>
        <v>#N/A</v>
      </c>
      <c r="T17" s="11" t="str">
        <f>VLOOKUP($H17, 'ADP Data'!$B$4:$Q$300, 9, FALSE)</f>
        <v>#N/A</v>
      </c>
      <c r="U17" s="11" t="str">
        <f>VLOOKUP($H17, 'ADP Data'!$B$4:$Q$300, 10, FALSE)</f>
        <v>#N/A</v>
      </c>
      <c r="V17" s="11" t="str">
        <f t="shared" si="5"/>
        <v>#N/A</v>
      </c>
      <c r="W17" s="11" t="str">
        <f>VLOOKUP($H17, SeanRanks!$A$2:$J$303, 7, FALSE)-V17</f>
        <v>#N/A</v>
      </c>
      <c r="X17" s="11"/>
    </row>
    <row r="18" ht="14.25" customHeight="1">
      <c r="A18" s="11"/>
      <c r="B18" s="11" t="str">
        <f t="shared" si="1"/>
        <v>#N/A</v>
      </c>
      <c r="C18" s="11" t="s">
        <v>106</v>
      </c>
      <c r="D18" s="11">
        <v>23.0</v>
      </c>
      <c r="E18" s="11">
        <v>25.0</v>
      </c>
      <c r="F18" s="11">
        <f t="shared" si="2"/>
        <v>-2</v>
      </c>
      <c r="G18" s="11"/>
      <c r="H18" s="11" t="s">
        <v>136</v>
      </c>
      <c r="I18" s="11" t="str">
        <f>VLOOKUP($H18, 'ADP Data'!$B$4:$Q$300, 2, FALSE)</f>
        <v>#N/A</v>
      </c>
      <c r="J18" s="11" t="str">
        <f>VLOOKUP($H18, 'ADP Data'!$B$4:$Q$300, 3, FALSE)</f>
        <v>#N/A</v>
      </c>
      <c r="K18" s="11" t="s">
        <v>1155</v>
      </c>
      <c r="L18" s="11">
        <v>1.0</v>
      </c>
      <c r="M18" s="11">
        <f t="shared" si="3"/>
        <v>16</v>
      </c>
      <c r="N18" s="11" t="str">
        <f>VLOOKUP($H18, 'ADP Data'!$B$4:$Q$300, 11, FALSE)</f>
        <v>#N/A</v>
      </c>
      <c r="O18" s="11" t="str">
        <f>VLOOKUP($H18, 'ADP Data'!$B$4:$Q$300, 5, FALSE)</f>
        <v>#N/A</v>
      </c>
      <c r="P18" s="11" t="str">
        <f t="shared" si="4"/>
        <v>#N/A</v>
      </c>
      <c r="Q18" s="11" t="str">
        <f>VLOOKUP($H18, 'ADP Data'!$B$4:$Q$300, 6, FALSE)</f>
        <v>#N/A</v>
      </c>
      <c r="R18" s="11" t="str">
        <f>VLOOKUP($H18, 'ADP Data'!$B$4:$Q$300, 7, FALSE)</f>
        <v>#N/A</v>
      </c>
      <c r="S18" s="11" t="str">
        <f>VLOOKUP($H18, 'ADP Data'!$B$4:$Q$300, 8, FALSE)</f>
        <v>#N/A</v>
      </c>
      <c r="T18" s="11" t="str">
        <f>VLOOKUP($H18, 'ADP Data'!$B$4:$Q$300, 9, FALSE)</f>
        <v>#N/A</v>
      </c>
      <c r="U18" s="11" t="str">
        <f>VLOOKUP($H18, 'ADP Data'!$B$4:$Q$300, 10, FALSE)</f>
        <v>#N/A</v>
      </c>
      <c r="V18" s="11" t="str">
        <f t="shared" si="5"/>
        <v>#N/A</v>
      </c>
      <c r="W18" s="11" t="str">
        <f>VLOOKUP($H18, SeanRanks!$A$2:$J$303, 7, FALSE)-V18</f>
        <v>#N/A</v>
      </c>
      <c r="X18" s="11"/>
    </row>
    <row r="19" ht="14.25" customHeight="1">
      <c r="A19" s="11" t="s">
        <v>1156</v>
      </c>
      <c r="B19" s="11" t="str">
        <f t="shared" si="1"/>
        <v>#N/A</v>
      </c>
      <c r="C19" s="11" t="s">
        <v>106</v>
      </c>
      <c r="D19" s="11">
        <v>2.0</v>
      </c>
      <c r="E19" s="11">
        <v>3.0</v>
      </c>
      <c r="F19" s="11">
        <f t="shared" si="2"/>
        <v>-1</v>
      </c>
      <c r="G19" s="11" t="s">
        <v>106</v>
      </c>
      <c r="H19" s="11" t="s">
        <v>811</v>
      </c>
      <c r="I19" s="11" t="str">
        <f>VLOOKUP($H19, 'ADP Data'!$B$4:$Q$300, 2, FALSE)</f>
        <v>#N/A</v>
      </c>
      <c r="J19" s="11" t="str">
        <f>VLOOKUP($H19, 'ADP Data'!$B$4:$Q$300, 3, FALSE)</f>
        <v>#N/A</v>
      </c>
      <c r="K19" s="11" t="s">
        <v>1162</v>
      </c>
      <c r="L19" s="11" t="str">
        <f>VLOOKUP($H19, SeanRanks!$A$2:$H$303, 5, FALSE)</f>
        <v/>
      </c>
      <c r="M19" s="11">
        <f t="shared" si="3"/>
        <v>16</v>
      </c>
      <c r="N19" s="11" t="str">
        <f>VLOOKUP($H19, 'ADP Data'!$B$4:$Q$300, 11, FALSE)</f>
        <v>#N/A</v>
      </c>
      <c r="O19" s="11" t="str">
        <f>VLOOKUP($H19, 'ADP Data'!$B$4:$Q$300, 5, FALSE)</f>
        <v>#N/A</v>
      </c>
      <c r="P19" s="11" t="str">
        <f t="shared" si="4"/>
        <v>#N/A</v>
      </c>
      <c r="Q19" s="11" t="str">
        <f>VLOOKUP($H19, 'ADP Data'!$B$4:$Q$300, 6, FALSE)</f>
        <v>#N/A</v>
      </c>
      <c r="R19" s="11" t="str">
        <f>VLOOKUP($H19, 'ADP Data'!$B$4:$Q$300, 7, FALSE)</f>
        <v>#N/A</v>
      </c>
      <c r="S19" s="11" t="str">
        <f>VLOOKUP($H19, 'ADP Data'!$B$4:$Q$300, 8, FALSE)</f>
        <v>#N/A</v>
      </c>
      <c r="T19" s="11" t="str">
        <f>VLOOKUP($H19, 'ADP Data'!$B$4:$Q$300, 9, FALSE)</f>
        <v>#N/A</v>
      </c>
      <c r="U19" s="11" t="str">
        <f>VLOOKUP($H19, 'ADP Data'!$B$4:$Q$300, 10, FALSE)</f>
        <v>#N/A</v>
      </c>
      <c r="V19" s="11" t="str">
        <f t="shared" si="5"/>
        <v>#N/A</v>
      </c>
      <c r="W19" s="11" t="str">
        <f>VLOOKUP($H19, SeanRanks!$A$2:$J$303, 7, FALSE)-V19</f>
        <v>#N/A</v>
      </c>
      <c r="X19" s="11"/>
    </row>
    <row r="20" ht="14.25" customHeight="1">
      <c r="A20" s="11" t="s">
        <v>1156</v>
      </c>
      <c r="B20" s="11" t="str">
        <f t="shared" si="1"/>
        <v>#N/A</v>
      </c>
      <c r="C20" s="11" t="s">
        <v>106</v>
      </c>
      <c r="D20" s="11">
        <v>24.0</v>
      </c>
      <c r="E20" s="11">
        <v>25.0</v>
      </c>
      <c r="F20" s="11">
        <f t="shared" si="2"/>
        <v>-1</v>
      </c>
      <c r="G20" s="11" t="s">
        <v>106</v>
      </c>
      <c r="H20" s="11" t="s">
        <v>286</v>
      </c>
      <c r="I20" s="11" t="str">
        <f>VLOOKUP($H20, 'ADP Data'!$B$4:$Q$300, 2, FALSE)</f>
        <v>#N/A</v>
      </c>
      <c r="J20" s="11" t="str">
        <f>VLOOKUP($H20, 'ADP Data'!$B$4:$Q$300, 3, FALSE)</f>
        <v>#N/A</v>
      </c>
      <c r="K20" s="11" t="str">
        <f>VLOOKUP($H20, SeanRanks!$A$2:$H$303, 4, FALSE)</f>
        <v/>
      </c>
      <c r="L20" s="11" t="str">
        <f>VLOOKUP($H20, SeanRanks!$A$2:$H$303, 5, FALSE)</f>
        <v>No</v>
      </c>
      <c r="M20" s="11">
        <f t="shared" si="3"/>
        <v>16</v>
      </c>
      <c r="N20" s="11" t="str">
        <f>VLOOKUP($H20, 'ADP Data'!$B$4:$Q$300, 11, FALSE)</f>
        <v>#N/A</v>
      </c>
      <c r="O20" s="11" t="str">
        <f>VLOOKUP($H20, 'ADP Data'!$B$4:$Q$300, 5, FALSE)</f>
        <v>#N/A</v>
      </c>
      <c r="P20" s="11" t="str">
        <f t="shared" si="4"/>
        <v>#N/A</v>
      </c>
      <c r="Q20" s="11" t="str">
        <f>VLOOKUP($H20, 'ADP Data'!$B$4:$Q$300, 6, FALSE)</f>
        <v>#N/A</v>
      </c>
      <c r="R20" s="11" t="str">
        <f>VLOOKUP($H20, 'ADP Data'!$B$4:$Q$300, 7, FALSE)</f>
        <v>#N/A</v>
      </c>
      <c r="S20" s="11" t="str">
        <f>VLOOKUP($H20, 'ADP Data'!$B$4:$Q$300, 8, FALSE)</f>
        <v>#N/A</v>
      </c>
      <c r="T20" s="11" t="str">
        <f>VLOOKUP($H20, 'ADP Data'!$B$4:$Q$300, 9, FALSE)</f>
        <v>#N/A</v>
      </c>
      <c r="U20" s="11" t="str">
        <f>VLOOKUP($H20, 'ADP Data'!$B$4:$Q$300, 10, FALSE)</f>
        <v>#N/A</v>
      </c>
      <c r="V20" s="11" t="str">
        <f t="shared" si="5"/>
        <v>#N/A</v>
      </c>
      <c r="W20" s="11" t="str">
        <f>VLOOKUP($H20, SeanRanks!$A$2:$J$303, 7, FALSE)-V20</f>
        <v>#N/A</v>
      </c>
      <c r="X20" s="11"/>
    </row>
    <row r="21" ht="14.25" customHeight="1">
      <c r="A21" s="11"/>
      <c r="B21" s="11" t="str">
        <f t="shared" si="1"/>
        <v>#N/A</v>
      </c>
      <c r="C21" s="11" t="s">
        <v>106</v>
      </c>
      <c r="D21" s="11">
        <v>3.0</v>
      </c>
      <c r="E21" s="11">
        <v>5.0</v>
      </c>
      <c r="F21" s="11">
        <f t="shared" si="2"/>
        <v>-2</v>
      </c>
      <c r="G21" s="11"/>
      <c r="H21" s="11" t="s">
        <v>1163</v>
      </c>
      <c r="I21" s="11" t="str">
        <f>VLOOKUP($H21, 'ADP Data'!$B$4:$Q$300, 2, FALSE)</f>
        <v>#N/A</v>
      </c>
      <c r="J21" s="11" t="str">
        <f>VLOOKUP($H21, 'ADP Data'!$B$4:$Q$300, 3, FALSE)</f>
        <v>#N/A</v>
      </c>
      <c r="K21" s="11" t="str">
        <f>VLOOKUP($H21, SeanRanks!$A$2:$H$303, 4, FALSE)</f>
        <v>#N/A</v>
      </c>
      <c r="L21" s="11" t="str">
        <f>VLOOKUP($H21, SeanRanks!$A$2:$H$303, 5, FALSE)</f>
        <v>#N/A</v>
      </c>
      <c r="M21" s="11">
        <f t="shared" si="3"/>
        <v>16</v>
      </c>
      <c r="N21" s="11" t="str">
        <f>VLOOKUP($H21, 'ADP Data'!$B$4:$Q$300, 11, FALSE)</f>
        <v>#N/A</v>
      </c>
      <c r="O21" s="11" t="str">
        <f>VLOOKUP($H21, 'ADP Data'!$B$4:$Q$300, 5, FALSE)</f>
        <v>#N/A</v>
      </c>
      <c r="P21" s="11" t="str">
        <f t="shared" si="4"/>
        <v>#N/A</v>
      </c>
      <c r="Q21" s="11" t="str">
        <f>VLOOKUP($H21, 'ADP Data'!$B$4:$Q$300, 6, FALSE)</f>
        <v>#N/A</v>
      </c>
      <c r="R21" s="11" t="str">
        <f>VLOOKUP($H21, 'ADP Data'!$B$4:$Q$300, 7, FALSE)</f>
        <v>#N/A</v>
      </c>
      <c r="S21" s="11" t="str">
        <f>VLOOKUP($H21, 'ADP Data'!$B$4:$Q$300, 8, FALSE)</f>
        <v>#N/A</v>
      </c>
      <c r="T21" s="11" t="str">
        <f>VLOOKUP($H21, 'ADP Data'!$B$4:$Q$300, 9, FALSE)</f>
        <v>#N/A</v>
      </c>
      <c r="U21" s="11" t="str">
        <f>VLOOKUP($H21, 'ADP Data'!$B$4:$Q$300, 10, FALSE)</f>
        <v>#N/A</v>
      </c>
      <c r="V21" s="11" t="str">
        <f t="shared" si="5"/>
        <v>#N/A</v>
      </c>
      <c r="W21" s="11" t="str">
        <f>VLOOKUP($H21, SeanRanks!$A$2:$J$303, 7, FALSE)-V21</f>
        <v>#N/A</v>
      </c>
      <c r="X21" s="11"/>
    </row>
    <row r="22" ht="14.25" customHeight="1">
      <c r="A22" s="11"/>
      <c r="B22" s="11" t="str">
        <f t="shared" si="1"/>
        <v>#N/A</v>
      </c>
      <c r="C22" s="11" t="s">
        <v>106</v>
      </c>
      <c r="D22" s="11">
        <v>2.0</v>
      </c>
      <c r="E22" s="11">
        <v>4.0</v>
      </c>
      <c r="F22" s="11">
        <f t="shared" si="2"/>
        <v>-2</v>
      </c>
      <c r="G22" s="11" t="s">
        <v>106</v>
      </c>
      <c r="H22" s="11" t="s">
        <v>1164</v>
      </c>
      <c r="I22" s="11" t="str">
        <f>VLOOKUP($H22, 'ADP Data'!$B$4:$Q$300, 2, FALSE)</f>
        <v>#N/A</v>
      </c>
      <c r="J22" s="11" t="str">
        <f>VLOOKUP($H22, 'ADP Data'!$B$4:$Q$300, 3, FALSE)</f>
        <v>#N/A</v>
      </c>
      <c r="K22" s="11" t="str">
        <f>VLOOKUP($H22, SeanRanks!$A$2:$H$303, 4, FALSE)</f>
        <v>#N/A</v>
      </c>
      <c r="L22" s="11" t="str">
        <f>VLOOKUP($H22, SeanRanks!$A$2:$H$303, 5, FALSE)</f>
        <v>#N/A</v>
      </c>
      <c r="M22" s="11">
        <f t="shared" si="3"/>
        <v>16</v>
      </c>
      <c r="N22" s="11" t="str">
        <f>VLOOKUP($H22, 'ADP Data'!$B$4:$Q$300, 11, FALSE)</f>
        <v>#N/A</v>
      </c>
      <c r="O22" s="11" t="str">
        <f>VLOOKUP($H22, 'ADP Data'!$B$4:$Q$300, 5, FALSE)</f>
        <v>#N/A</v>
      </c>
      <c r="P22" s="11" t="str">
        <f t="shared" si="4"/>
        <v>#N/A</v>
      </c>
      <c r="Q22" s="11" t="str">
        <f>VLOOKUP($H22, 'ADP Data'!$B$4:$Q$300, 6, FALSE)</f>
        <v>#N/A</v>
      </c>
      <c r="R22" s="11" t="str">
        <f>VLOOKUP($H22, 'ADP Data'!$B$4:$Q$300, 7, FALSE)</f>
        <v>#N/A</v>
      </c>
      <c r="S22" s="11" t="str">
        <f>VLOOKUP($H22, 'ADP Data'!$B$4:$Q$300, 8, FALSE)</f>
        <v>#N/A</v>
      </c>
      <c r="T22" s="11" t="str">
        <f>VLOOKUP($H22, 'ADP Data'!$B$4:$Q$300, 9, FALSE)</f>
        <v>#N/A</v>
      </c>
      <c r="U22" s="11" t="str">
        <f>VLOOKUP($H22, 'ADP Data'!$B$4:$Q$300, 10, FALSE)</f>
        <v>#N/A</v>
      </c>
      <c r="V22" s="11" t="str">
        <f t="shared" si="5"/>
        <v>#N/A</v>
      </c>
      <c r="W22" s="11" t="str">
        <f>VLOOKUP($H22, SeanRanks!$A$2:$J$303, 7, FALSE)-V22</f>
        <v>#N/A</v>
      </c>
      <c r="X22" s="11"/>
    </row>
    <row r="23" ht="14.25" customHeight="1">
      <c r="A23" s="11"/>
      <c r="B23" s="11" t="str">
        <f t="shared" si="1"/>
        <v>#N/A</v>
      </c>
      <c r="C23" s="11" t="s">
        <v>106</v>
      </c>
      <c r="D23" s="11"/>
      <c r="E23" s="11">
        <v>2.0</v>
      </c>
      <c r="F23" s="11">
        <f t="shared" si="2"/>
        <v>-2</v>
      </c>
      <c r="G23" s="11" t="s">
        <v>106</v>
      </c>
      <c r="H23" s="11" t="s">
        <v>342</v>
      </c>
      <c r="I23" s="11" t="str">
        <f>VLOOKUP($H23, 'ADP Data'!$B$4:$Q$300, 2, FALSE)</f>
        <v>#N/A</v>
      </c>
      <c r="J23" s="11" t="str">
        <f>VLOOKUP($H23, 'ADP Data'!$B$4:$Q$300, 3, FALSE)</f>
        <v>#N/A</v>
      </c>
      <c r="K23" s="11" t="str">
        <f>VLOOKUP($H23, SeanRanks!$A$2:$H$303, 4, FALSE)</f>
        <v/>
      </c>
      <c r="L23" s="11" t="str">
        <f>VLOOKUP($H23, SeanRanks!$A$2:$H$303, 5, FALSE)</f>
        <v/>
      </c>
      <c r="M23" s="11">
        <f t="shared" si="3"/>
        <v>16</v>
      </c>
      <c r="N23" s="11" t="str">
        <f>VLOOKUP($H23, 'ADP Data'!$B$4:$Q$300, 11, FALSE)</f>
        <v>#N/A</v>
      </c>
      <c r="O23" s="11" t="str">
        <f>VLOOKUP($H23, 'ADP Data'!$B$4:$Q$300, 5, FALSE)</f>
        <v>#N/A</v>
      </c>
      <c r="P23" s="11" t="str">
        <f t="shared" si="4"/>
        <v>#N/A</v>
      </c>
      <c r="Q23" s="11" t="str">
        <f>VLOOKUP($H23, 'ADP Data'!$B$4:$Q$300, 6, FALSE)</f>
        <v>#N/A</v>
      </c>
      <c r="R23" s="11" t="str">
        <f>VLOOKUP($H23, 'ADP Data'!$B$4:$Q$300, 7, FALSE)</f>
        <v>#N/A</v>
      </c>
      <c r="S23" s="11" t="str">
        <f>VLOOKUP($H23, 'ADP Data'!$B$4:$Q$300, 8, FALSE)</f>
        <v>#N/A</v>
      </c>
      <c r="T23" s="11" t="str">
        <f>VLOOKUP($H23, 'ADP Data'!$B$4:$Q$300, 9, FALSE)</f>
        <v>#N/A</v>
      </c>
      <c r="U23" s="11" t="str">
        <f>VLOOKUP($H23, 'ADP Data'!$B$4:$Q$300, 10, FALSE)</f>
        <v>#N/A</v>
      </c>
      <c r="V23" s="11" t="str">
        <f t="shared" si="5"/>
        <v>#N/A</v>
      </c>
      <c r="W23" s="11" t="str">
        <f>VLOOKUP($H23, SeanRanks!$A$2:$J$303, 7, FALSE)-V23</f>
        <v>#N/A</v>
      </c>
      <c r="X23" s="11"/>
    </row>
    <row r="24" ht="14.25" customHeight="1">
      <c r="A24" s="11" t="s">
        <v>1156</v>
      </c>
      <c r="B24" s="11" t="str">
        <f t="shared" si="1"/>
        <v>#N/A</v>
      </c>
      <c r="C24" s="11" t="s">
        <v>106</v>
      </c>
      <c r="D24" s="11">
        <v>40.0</v>
      </c>
      <c r="E24" s="60">
        <v>38.0</v>
      </c>
      <c r="F24" s="11">
        <f t="shared" si="2"/>
        <v>2</v>
      </c>
      <c r="G24" s="60" t="s">
        <v>106</v>
      </c>
      <c r="H24" s="60" t="s">
        <v>144</v>
      </c>
      <c r="I24" s="60" t="str">
        <f>VLOOKUP($H24, 'ADP Data'!$B$4:$Q$300, 2, FALSE)</f>
        <v>#N/A</v>
      </c>
      <c r="J24" s="60" t="str">
        <f>VLOOKUP($H24, 'ADP Data'!$B$4:$Q$300, 3, FALSE)</f>
        <v>#N/A</v>
      </c>
      <c r="K24" s="60" t="str">
        <f>VLOOKUP($H24, SeanRanks!$A$2:$H$303, 4, FALSE)</f>
        <v/>
      </c>
      <c r="L24" s="11" t="str">
        <f>VLOOKUP($H24, SeanRanks!$A$2:$H$303, 5, FALSE)</f>
        <v>No</v>
      </c>
      <c r="M24" s="11">
        <f t="shared" si="3"/>
        <v>16</v>
      </c>
      <c r="N24" s="11" t="str">
        <f>VLOOKUP($H24, 'ADP Data'!$B$4:$Q$300, 11, FALSE)</f>
        <v>#N/A</v>
      </c>
      <c r="O24" s="11" t="str">
        <f>VLOOKUP($H24, 'ADP Data'!$B$4:$Q$300, 5, FALSE)</f>
        <v>#N/A</v>
      </c>
      <c r="P24" s="11" t="str">
        <f t="shared" si="4"/>
        <v>#N/A</v>
      </c>
      <c r="Q24" s="11" t="str">
        <f>VLOOKUP($H24, 'ADP Data'!$B$4:$Q$300, 6, FALSE)</f>
        <v>#N/A</v>
      </c>
      <c r="R24" s="11" t="str">
        <f>VLOOKUP($H24, 'ADP Data'!$B$4:$Q$300, 7, FALSE)</f>
        <v>#N/A</v>
      </c>
      <c r="S24" s="11" t="str">
        <f>VLOOKUP($H24, 'ADP Data'!$B$4:$Q$300, 8, FALSE)</f>
        <v>#N/A</v>
      </c>
      <c r="T24" s="11" t="str">
        <f>VLOOKUP($H24, 'ADP Data'!$B$4:$Q$300, 9, FALSE)</f>
        <v>#N/A</v>
      </c>
      <c r="U24" s="11" t="str">
        <f>VLOOKUP($H24, 'ADP Data'!$B$4:$Q$300, 10, FALSE)</f>
        <v>#N/A</v>
      </c>
      <c r="V24" s="11" t="str">
        <f t="shared" si="5"/>
        <v>#N/A</v>
      </c>
      <c r="W24" s="11" t="str">
        <f>VLOOKUP($H24, SeanRanks!$A$2:$J$303, 7, FALSE)-V24</f>
        <v>#N/A</v>
      </c>
      <c r="X24" s="60" t="s">
        <v>1165</v>
      </c>
    </row>
    <row r="25" ht="14.25" customHeight="1">
      <c r="A25" s="11"/>
      <c r="B25" s="11" t="str">
        <f t="shared" si="1"/>
        <v>#N/A</v>
      </c>
      <c r="C25" s="11" t="s">
        <v>106</v>
      </c>
      <c r="D25" s="11">
        <v>67.0</v>
      </c>
      <c r="E25" s="11">
        <v>68.0</v>
      </c>
      <c r="F25" s="11">
        <f t="shared" si="2"/>
        <v>-1</v>
      </c>
      <c r="G25" s="11"/>
      <c r="H25" s="11" t="s">
        <v>57</v>
      </c>
      <c r="I25" s="11" t="str">
        <f>VLOOKUP($H25, 'ADP Data'!$B$4:$Q$300, 2, FALSE)</f>
        <v>#N/A</v>
      </c>
      <c r="J25" s="11" t="str">
        <f>VLOOKUP($H25, 'ADP Data'!$B$4:$Q$300, 3, FALSE)</f>
        <v>#N/A</v>
      </c>
      <c r="K25" s="11" t="str">
        <f>VLOOKUP($H25, SeanRanks!$A$2:$H$303, 4, FALSE)</f>
        <v/>
      </c>
      <c r="L25" s="11" t="str">
        <f>VLOOKUP($H25, SeanRanks!$A$2:$H$303, 5, FALSE)</f>
        <v/>
      </c>
      <c r="M25" s="11">
        <f t="shared" si="3"/>
        <v>16</v>
      </c>
      <c r="N25" s="11" t="str">
        <f>VLOOKUP($H25, 'ADP Data'!$B$4:$Q$300, 11, FALSE)</f>
        <v>#N/A</v>
      </c>
      <c r="O25" s="11" t="str">
        <f>VLOOKUP($H25, 'ADP Data'!$B$4:$Q$300, 5, FALSE)</f>
        <v>#N/A</v>
      </c>
      <c r="P25" s="11" t="str">
        <f t="shared" si="4"/>
        <v>#N/A</v>
      </c>
      <c r="Q25" s="11" t="str">
        <f>VLOOKUP($H25, 'ADP Data'!$B$4:$Q$300, 6, FALSE)</f>
        <v>#N/A</v>
      </c>
      <c r="R25" s="11" t="str">
        <f>VLOOKUP($H25, 'ADP Data'!$B$4:$Q$300, 7, FALSE)</f>
        <v>#N/A</v>
      </c>
      <c r="S25" s="11" t="str">
        <f>VLOOKUP($H25, 'ADP Data'!$B$4:$Q$300, 8, FALSE)</f>
        <v>#N/A</v>
      </c>
      <c r="T25" s="11" t="str">
        <f>VLOOKUP($H25, 'ADP Data'!$B$4:$Q$300, 9, FALSE)</f>
        <v>#N/A</v>
      </c>
      <c r="U25" s="11" t="str">
        <f>VLOOKUP($H25, 'ADP Data'!$B$4:$Q$300, 10, FALSE)</f>
        <v>#N/A</v>
      </c>
      <c r="V25" s="11" t="str">
        <f t="shared" si="5"/>
        <v>#N/A</v>
      </c>
      <c r="W25" s="11" t="str">
        <f>VLOOKUP($H25, SeanRanks!$A$2:$J$303, 7, FALSE)-V25</f>
        <v>#N/A</v>
      </c>
      <c r="X25" s="11"/>
    </row>
    <row r="26" ht="14.25" customHeight="1">
      <c r="A26" s="11"/>
      <c r="B26" s="11" t="str">
        <f t="shared" si="1"/>
        <v>#N/A</v>
      </c>
      <c r="C26" s="11" t="s">
        <v>106</v>
      </c>
      <c r="D26" s="11">
        <v>4.0</v>
      </c>
      <c r="E26" s="11">
        <v>5.0</v>
      </c>
      <c r="F26" s="11">
        <f t="shared" si="2"/>
        <v>-1</v>
      </c>
      <c r="G26" s="11"/>
      <c r="H26" s="11" t="s">
        <v>420</v>
      </c>
      <c r="I26" s="11" t="str">
        <f>VLOOKUP($H26, 'ADP Data'!$B$4:$Q$300, 2, FALSE)</f>
        <v>#N/A</v>
      </c>
      <c r="J26" s="11" t="str">
        <f>VLOOKUP($H26, 'ADP Data'!$B$4:$Q$300, 3, FALSE)</f>
        <v>#N/A</v>
      </c>
      <c r="K26" s="11" t="s">
        <v>710</v>
      </c>
      <c r="L26" s="11" t="str">
        <f>VLOOKUP($H26, SeanRanks!$A$2:$H$303, 5, FALSE)</f>
        <v/>
      </c>
      <c r="M26" s="11">
        <f t="shared" si="3"/>
        <v>16</v>
      </c>
      <c r="N26" s="11" t="str">
        <f>VLOOKUP($H26, 'ADP Data'!$B$4:$Q$300, 11, FALSE)</f>
        <v>#N/A</v>
      </c>
      <c r="O26" s="11" t="str">
        <f>VLOOKUP($H26, 'ADP Data'!$B$4:$Q$300, 5, FALSE)</f>
        <v>#N/A</v>
      </c>
      <c r="P26" s="11" t="str">
        <f t="shared" si="4"/>
        <v>#N/A</v>
      </c>
      <c r="Q26" s="11" t="str">
        <f>VLOOKUP($H26, 'ADP Data'!$B$4:$Q$300, 6, FALSE)</f>
        <v>#N/A</v>
      </c>
      <c r="R26" s="11" t="str">
        <f>VLOOKUP($H26, 'ADP Data'!$B$4:$Q$300, 7, FALSE)</f>
        <v>#N/A</v>
      </c>
      <c r="S26" s="11" t="str">
        <f>VLOOKUP($H26, 'ADP Data'!$B$4:$Q$300, 8, FALSE)</f>
        <v>#N/A</v>
      </c>
      <c r="T26" s="11" t="str">
        <f>VLOOKUP($H26, 'ADP Data'!$B$4:$Q$300, 9, FALSE)</f>
        <v>#N/A</v>
      </c>
      <c r="U26" s="11" t="str">
        <f>VLOOKUP($H26, 'ADP Data'!$B$4:$Q$300, 10, FALSE)</f>
        <v>#N/A</v>
      </c>
      <c r="V26" s="11" t="str">
        <f t="shared" si="5"/>
        <v>#N/A</v>
      </c>
      <c r="W26" s="11" t="str">
        <f>VLOOKUP($H26, SeanRanks!$A$2:$J$303, 7, FALSE)-V26</f>
        <v>#N/A</v>
      </c>
      <c r="X26" s="11"/>
    </row>
    <row r="27" ht="14.25" customHeight="1">
      <c r="A27" s="11"/>
      <c r="B27" s="11" t="str">
        <f t="shared" si="1"/>
        <v>#N/A</v>
      </c>
      <c r="C27" s="11" t="s">
        <v>106</v>
      </c>
      <c r="D27" s="11">
        <v>5.0</v>
      </c>
      <c r="E27" s="11">
        <v>6.0</v>
      </c>
      <c r="F27" s="11">
        <f t="shared" si="2"/>
        <v>-1</v>
      </c>
      <c r="G27" s="11"/>
      <c r="H27" s="11" t="s">
        <v>921</v>
      </c>
      <c r="I27" s="11" t="str">
        <f>VLOOKUP($H27, 'ADP Data'!$B$4:$Q$300, 2, FALSE)</f>
        <v>#N/A</v>
      </c>
      <c r="J27" s="11" t="str">
        <f>VLOOKUP($H27, 'ADP Data'!$B$4:$Q$300, 3, FALSE)</f>
        <v>#N/A</v>
      </c>
      <c r="K27" s="11" t="s">
        <v>1158</v>
      </c>
      <c r="L27" s="11">
        <v>9.0</v>
      </c>
      <c r="M27" s="11">
        <f t="shared" si="3"/>
        <v>16</v>
      </c>
      <c r="N27" s="11" t="str">
        <f>VLOOKUP($H27, 'ADP Data'!$B$4:$Q$300, 11, FALSE)</f>
        <v>#N/A</v>
      </c>
      <c r="O27" s="11" t="str">
        <f>VLOOKUP($H27, 'ADP Data'!$B$4:$Q$300, 5, FALSE)</f>
        <v>#N/A</v>
      </c>
      <c r="P27" s="11" t="str">
        <f t="shared" si="4"/>
        <v>#N/A</v>
      </c>
      <c r="Q27" s="11" t="str">
        <f>VLOOKUP($H27, 'ADP Data'!$B$4:$Q$300, 6, FALSE)</f>
        <v>#N/A</v>
      </c>
      <c r="R27" s="11" t="str">
        <f>VLOOKUP($H27, 'ADP Data'!$B$4:$Q$300, 7, FALSE)</f>
        <v>#N/A</v>
      </c>
      <c r="S27" s="11" t="str">
        <f>VLOOKUP($H27, 'ADP Data'!$B$4:$Q$300, 8, FALSE)</f>
        <v>#N/A</v>
      </c>
      <c r="T27" s="11" t="str">
        <f>VLOOKUP($H27, 'ADP Data'!$B$4:$Q$300, 9, FALSE)</f>
        <v>#N/A</v>
      </c>
      <c r="U27" s="11" t="str">
        <f>VLOOKUP($H27, 'ADP Data'!$B$4:$Q$300, 10, FALSE)</f>
        <v>#N/A</v>
      </c>
      <c r="V27" s="11" t="str">
        <f t="shared" si="5"/>
        <v>#N/A</v>
      </c>
      <c r="W27" s="11" t="str">
        <f>VLOOKUP($H27, SeanRanks!$A$2:$J$303, 7, FALSE)-V27</f>
        <v>#N/A</v>
      </c>
      <c r="X27" s="11"/>
    </row>
    <row r="28" ht="14.25" customHeight="1">
      <c r="A28" s="11"/>
      <c r="B28" s="11" t="str">
        <f t="shared" si="1"/>
        <v>#N/A</v>
      </c>
      <c r="C28" s="11" t="s">
        <v>106</v>
      </c>
      <c r="D28" s="11">
        <v>3.0</v>
      </c>
      <c r="E28" s="11">
        <v>4.0</v>
      </c>
      <c r="F28" s="11">
        <f t="shared" si="2"/>
        <v>-1</v>
      </c>
      <c r="G28" s="11"/>
      <c r="H28" s="11" t="s">
        <v>310</v>
      </c>
      <c r="I28" s="11" t="str">
        <f>VLOOKUP($H28, 'ADP Data'!$B$4:$Q$300, 2, FALSE)</f>
        <v>#N/A</v>
      </c>
      <c r="J28" s="11" t="str">
        <f>VLOOKUP($H28, 'ADP Data'!$B$4:$Q$300, 3, FALSE)</f>
        <v>#N/A</v>
      </c>
      <c r="K28" s="11" t="s">
        <v>1166</v>
      </c>
      <c r="L28" s="11">
        <v>12.0</v>
      </c>
      <c r="M28" s="11">
        <f t="shared" si="3"/>
        <v>16</v>
      </c>
      <c r="N28" s="11" t="str">
        <f>VLOOKUP($H28, 'ADP Data'!$B$4:$Q$300, 11, FALSE)</f>
        <v>#N/A</v>
      </c>
      <c r="O28" s="11" t="str">
        <f>VLOOKUP($H28, 'ADP Data'!$B$4:$Q$300, 5, FALSE)</f>
        <v>#N/A</v>
      </c>
      <c r="P28" s="11" t="str">
        <f t="shared" si="4"/>
        <v>#N/A</v>
      </c>
      <c r="Q28" s="11" t="str">
        <f>VLOOKUP($H28, 'ADP Data'!$B$4:$Q$300, 6, FALSE)</f>
        <v>#N/A</v>
      </c>
      <c r="R28" s="11" t="str">
        <f>VLOOKUP($H28, 'ADP Data'!$B$4:$Q$300, 7, FALSE)</f>
        <v>#N/A</v>
      </c>
      <c r="S28" s="11" t="str">
        <f>VLOOKUP($H28, 'ADP Data'!$B$4:$Q$300, 8, FALSE)</f>
        <v>#N/A</v>
      </c>
      <c r="T28" s="11" t="str">
        <f>VLOOKUP($H28, 'ADP Data'!$B$4:$Q$300, 9, FALSE)</f>
        <v>#N/A</v>
      </c>
      <c r="U28" s="11" t="str">
        <f>VLOOKUP($H28, 'ADP Data'!$B$4:$Q$300, 10, FALSE)</f>
        <v>#N/A</v>
      </c>
      <c r="V28" s="11" t="str">
        <f t="shared" si="5"/>
        <v>#N/A</v>
      </c>
      <c r="W28" s="11" t="str">
        <f>VLOOKUP($H28, SeanRanks!$A$2:$J$303, 7, FALSE)-V28</f>
        <v>#N/A</v>
      </c>
      <c r="X28" s="11"/>
    </row>
    <row r="29" ht="14.25" customHeight="1">
      <c r="A29" s="11" t="s">
        <v>1156</v>
      </c>
      <c r="B29" s="11" t="str">
        <f t="shared" si="1"/>
        <v>#N/A</v>
      </c>
      <c r="C29" s="11" t="s">
        <v>106</v>
      </c>
      <c r="D29" s="11">
        <v>1.0</v>
      </c>
      <c r="E29" s="11">
        <v>2.0</v>
      </c>
      <c r="F29" s="11">
        <f t="shared" si="2"/>
        <v>-1</v>
      </c>
      <c r="G29" s="11" t="s">
        <v>106</v>
      </c>
      <c r="H29" s="11" t="s">
        <v>812</v>
      </c>
      <c r="I29" s="11" t="str">
        <f>VLOOKUP($H29, 'ADP Data'!$B$4:$Q$300, 2, FALSE)</f>
        <v>#N/A</v>
      </c>
      <c r="J29" s="11" t="str">
        <f>VLOOKUP($H29, 'ADP Data'!$B$4:$Q$300, 3, FALSE)</f>
        <v>#N/A</v>
      </c>
      <c r="K29" s="11" t="s">
        <v>1167</v>
      </c>
      <c r="L29" s="11">
        <v>17.0</v>
      </c>
      <c r="M29" s="11">
        <f t="shared" si="3"/>
        <v>16</v>
      </c>
      <c r="N29" s="11" t="str">
        <f>VLOOKUP($H29, 'ADP Data'!$B$4:$Q$300, 11, FALSE)</f>
        <v>#N/A</v>
      </c>
      <c r="O29" s="11" t="str">
        <f>VLOOKUP($H29, 'ADP Data'!$B$4:$Q$300, 5, FALSE)</f>
        <v>#N/A</v>
      </c>
      <c r="P29" s="11" t="str">
        <f t="shared" si="4"/>
        <v>#N/A</v>
      </c>
      <c r="Q29" s="11" t="str">
        <f>VLOOKUP($H29, 'ADP Data'!$B$4:$Q$300, 6, FALSE)</f>
        <v>#N/A</v>
      </c>
      <c r="R29" s="11" t="str">
        <f>VLOOKUP($H29, 'ADP Data'!$B$4:$Q$300, 7, FALSE)</f>
        <v>#N/A</v>
      </c>
      <c r="S29" s="11" t="str">
        <f>VLOOKUP($H29, 'ADP Data'!$B$4:$Q$300, 8, FALSE)</f>
        <v>#N/A</v>
      </c>
      <c r="T29" s="11" t="str">
        <f>VLOOKUP($H29, 'ADP Data'!$B$4:$Q$300, 9, FALSE)</f>
        <v>#N/A</v>
      </c>
      <c r="U29" s="11" t="str">
        <f>VLOOKUP($H29, 'ADP Data'!$B$4:$Q$300, 10, FALSE)</f>
        <v>#N/A</v>
      </c>
      <c r="V29" s="11" t="str">
        <f t="shared" si="5"/>
        <v>#N/A</v>
      </c>
      <c r="W29" s="11" t="str">
        <f>VLOOKUP($H29, SeanRanks!$A$2:$J$303, 7, FALSE)-V29</f>
        <v>#N/A</v>
      </c>
      <c r="X29" s="11"/>
    </row>
    <row r="30" ht="14.25" customHeight="1">
      <c r="A30" s="11" t="s">
        <v>1156</v>
      </c>
      <c r="B30" s="11" t="str">
        <f t="shared" si="1"/>
        <v>#N/A</v>
      </c>
      <c r="C30" s="11" t="s">
        <v>106</v>
      </c>
      <c r="D30" s="11">
        <v>9.0</v>
      </c>
      <c r="E30" s="11">
        <v>7.0</v>
      </c>
      <c r="F30" s="11">
        <f t="shared" si="2"/>
        <v>2</v>
      </c>
      <c r="G30" s="11" t="s">
        <v>106</v>
      </c>
      <c r="H30" s="11" t="s">
        <v>584</v>
      </c>
      <c r="I30" s="11" t="str">
        <f>VLOOKUP($H30, 'ADP Data'!$B$4:$Q$300, 2, FALSE)</f>
        <v>#N/A</v>
      </c>
      <c r="J30" s="11" t="str">
        <f>VLOOKUP($H30, 'ADP Data'!$B$4:$Q$300, 3, FALSE)</f>
        <v>#N/A</v>
      </c>
      <c r="K30" s="11" t="str">
        <f>VLOOKUP($H30, SeanRanks!$A$2:$H$303, 4, FALSE)</f>
        <v/>
      </c>
      <c r="L30" s="11" t="str">
        <f>VLOOKUP($H30, SeanRanks!$A$2:$H$303, 5, FALSE)</f>
        <v/>
      </c>
      <c r="M30" s="11">
        <f t="shared" si="3"/>
        <v>16</v>
      </c>
      <c r="N30" s="11" t="str">
        <f>VLOOKUP($H30, 'ADP Data'!$B$4:$Q$300, 11, FALSE)</f>
        <v>#N/A</v>
      </c>
      <c r="O30" s="11" t="str">
        <f>VLOOKUP($H30, 'ADP Data'!$B$4:$Q$300, 5, FALSE)</f>
        <v>#N/A</v>
      </c>
      <c r="P30" s="11" t="str">
        <f t="shared" si="4"/>
        <v>#N/A</v>
      </c>
      <c r="Q30" s="11" t="str">
        <f>VLOOKUP($H30, 'ADP Data'!$B$4:$Q$300, 6, FALSE)</f>
        <v>#N/A</v>
      </c>
      <c r="R30" s="11" t="str">
        <f>VLOOKUP($H30, 'ADP Data'!$B$4:$Q$300, 7, FALSE)</f>
        <v>#N/A</v>
      </c>
      <c r="S30" s="11" t="str">
        <f>VLOOKUP($H30, 'ADP Data'!$B$4:$Q$300, 8, FALSE)</f>
        <v>#N/A</v>
      </c>
      <c r="T30" s="11" t="str">
        <f>VLOOKUP($H30, 'ADP Data'!$B$4:$Q$300, 9, FALSE)</f>
        <v>#N/A</v>
      </c>
      <c r="U30" s="11" t="str">
        <f>VLOOKUP($H30, 'ADP Data'!$B$4:$Q$300, 10, FALSE)</f>
        <v>#N/A</v>
      </c>
      <c r="V30" s="11" t="str">
        <f t="shared" si="5"/>
        <v>#N/A</v>
      </c>
      <c r="W30" s="11" t="str">
        <f>VLOOKUP($H30, SeanRanks!$A$2:$J$303, 7, FALSE)-V30</f>
        <v>#N/A</v>
      </c>
      <c r="X30" s="11"/>
    </row>
    <row r="31" ht="14.25" customHeight="1">
      <c r="A31" s="11"/>
      <c r="B31" s="11" t="str">
        <f t="shared" si="1"/>
        <v>#N/A</v>
      </c>
      <c r="C31" s="11" t="s">
        <v>106</v>
      </c>
      <c r="D31" s="11">
        <v>3.0</v>
      </c>
      <c r="E31" s="11">
        <v>4.0</v>
      </c>
      <c r="F31" s="11">
        <f t="shared" si="2"/>
        <v>-1</v>
      </c>
      <c r="G31" s="11"/>
      <c r="H31" s="11" t="s">
        <v>550</v>
      </c>
      <c r="I31" s="11" t="str">
        <f>VLOOKUP($H31, 'ADP Data'!$B$4:$Q$300, 2, FALSE)</f>
        <v>#N/A</v>
      </c>
      <c r="J31" s="11" t="str">
        <f>VLOOKUP($H31, 'ADP Data'!$B$4:$Q$300, 3, FALSE)</f>
        <v>#N/A</v>
      </c>
      <c r="K31" s="11" t="s">
        <v>1166</v>
      </c>
      <c r="L31" s="11">
        <v>13.0</v>
      </c>
      <c r="M31" s="11">
        <f t="shared" si="3"/>
        <v>16</v>
      </c>
      <c r="N31" s="11" t="str">
        <f>VLOOKUP($H31, 'ADP Data'!$B$4:$Q$300, 11, FALSE)</f>
        <v>#N/A</v>
      </c>
      <c r="O31" s="11" t="str">
        <f>VLOOKUP($H31, 'ADP Data'!$B$4:$Q$300, 5, FALSE)</f>
        <v>#N/A</v>
      </c>
      <c r="P31" s="11" t="str">
        <f t="shared" si="4"/>
        <v>#N/A</v>
      </c>
      <c r="Q31" s="11" t="str">
        <f>VLOOKUP($H31, 'ADP Data'!$B$4:$Q$300, 6, FALSE)</f>
        <v>#N/A</v>
      </c>
      <c r="R31" s="11" t="str">
        <f>VLOOKUP($H31, 'ADP Data'!$B$4:$Q$300, 7, FALSE)</f>
        <v>#N/A</v>
      </c>
      <c r="S31" s="11" t="str">
        <f>VLOOKUP($H31, 'ADP Data'!$B$4:$Q$300, 8, FALSE)</f>
        <v>#N/A</v>
      </c>
      <c r="T31" s="11" t="str">
        <f>VLOOKUP($H31, 'ADP Data'!$B$4:$Q$300, 9, FALSE)</f>
        <v>#N/A</v>
      </c>
      <c r="U31" s="11" t="str">
        <f>VLOOKUP($H31, 'ADP Data'!$B$4:$Q$300, 10, FALSE)</f>
        <v>#N/A</v>
      </c>
      <c r="V31" s="11" t="str">
        <f t="shared" si="5"/>
        <v>#N/A</v>
      </c>
      <c r="W31" s="11" t="str">
        <f>VLOOKUP($H31, SeanRanks!$A$2:$J$303, 7, FALSE)-V31</f>
        <v>#N/A</v>
      </c>
      <c r="X31" s="11"/>
    </row>
    <row r="32" ht="14.25" customHeight="1">
      <c r="A32" s="11"/>
      <c r="B32" s="11" t="str">
        <f t="shared" si="1"/>
        <v>#N/A</v>
      </c>
      <c r="C32" s="11" t="s">
        <v>106</v>
      </c>
      <c r="D32" s="11">
        <v>1.0</v>
      </c>
      <c r="E32" s="11">
        <v>2.0</v>
      </c>
      <c r="F32" s="11">
        <f t="shared" si="2"/>
        <v>-1</v>
      </c>
      <c r="G32" s="11" t="s">
        <v>106</v>
      </c>
      <c r="H32" s="11" t="s">
        <v>639</v>
      </c>
      <c r="I32" s="11" t="str">
        <f>VLOOKUP($H32, 'ADP Data'!$B$4:$Q$300, 2, FALSE)</f>
        <v>#N/A</v>
      </c>
      <c r="J32" s="11" t="str">
        <f>VLOOKUP($H32, 'ADP Data'!$B$4:$Q$300, 3, FALSE)</f>
        <v>#N/A</v>
      </c>
      <c r="K32" s="11" t="s">
        <v>1167</v>
      </c>
      <c r="L32" s="11">
        <v>16.0</v>
      </c>
      <c r="M32" s="11">
        <f t="shared" si="3"/>
        <v>16</v>
      </c>
      <c r="N32" s="11" t="str">
        <f>VLOOKUP($H32, 'ADP Data'!$B$4:$Q$300, 11, FALSE)</f>
        <v>#N/A</v>
      </c>
      <c r="O32" s="11" t="str">
        <f>VLOOKUP($H32, 'ADP Data'!$B$4:$Q$300, 5, FALSE)</f>
        <v>#N/A</v>
      </c>
      <c r="P32" s="11" t="str">
        <f t="shared" si="4"/>
        <v>#N/A</v>
      </c>
      <c r="Q32" s="11" t="str">
        <f>VLOOKUP($H32, 'ADP Data'!$B$4:$Q$300, 6, FALSE)</f>
        <v>#N/A</v>
      </c>
      <c r="R32" s="11" t="str">
        <f>VLOOKUP($H32, 'ADP Data'!$B$4:$Q$300, 7, FALSE)</f>
        <v>#N/A</v>
      </c>
      <c r="S32" s="11" t="str">
        <f>VLOOKUP($H32, 'ADP Data'!$B$4:$Q$300, 8, FALSE)</f>
        <v>#N/A</v>
      </c>
      <c r="T32" s="11" t="str">
        <f>VLOOKUP($H32, 'ADP Data'!$B$4:$Q$300, 9, FALSE)</f>
        <v>#N/A</v>
      </c>
      <c r="U32" s="11" t="str">
        <f>VLOOKUP($H32, 'ADP Data'!$B$4:$Q$300, 10, FALSE)</f>
        <v>#N/A</v>
      </c>
      <c r="V32" s="11" t="str">
        <f t="shared" si="5"/>
        <v>#N/A</v>
      </c>
      <c r="W32" s="11" t="str">
        <f>VLOOKUP($H32, SeanRanks!$A$2:$J$303, 7, FALSE)-V32</f>
        <v>#N/A</v>
      </c>
      <c r="X32" s="11"/>
    </row>
    <row r="33" ht="14.25" customHeight="1">
      <c r="A33" s="11" t="s">
        <v>1156</v>
      </c>
      <c r="B33" s="11" t="str">
        <f t="shared" si="1"/>
        <v>#N/A</v>
      </c>
      <c r="C33" s="11" t="s">
        <v>106</v>
      </c>
      <c r="D33" s="11">
        <v>4.0</v>
      </c>
      <c r="E33" s="11">
        <v>7.0</v>
      </c>
      <c r="F33" s="11">
        <f t="shared" si="2"/>
        <v>-3</v>
      </c>
      <c r="G33" s="11" t="s">
        <v>106</v>
      </c>
      <c r="H33" s="11" t="s">
        <v>970</v>
      </c>
      <c r="I33" s="11" t="str">
        <f>VLOOKUP($H33, 'ADP Data'!$B$4:$Q$300, 2, FALSE)</f>
        <v>#N/A</v>
      </c>
      <c r="J33" s="11" t="str">
        <f>VLOOKUP($H33, 'ADP Data'!$B$4:$Q$300, 3, FALSE)</f>
        <v>#N/A</v>
      </c>
      <c r="K33" s="11" t="str">
        <f>VLOOKUP($H33, SeanRanks!$A$2:$H$303, 4, FALSE)</f>
        <v/>
      </c>
      <c r="L33" s="11" t="str">
        <f>VLOOKUP($H33, SeanRanks!$A$2:$H$303, 5, FALSE)</f>
        <v/>
      </c>
      <c r="M33" s="11">
        <f t="shared" si="3"/>
        <v>16</v>
      </c>
      <c r="N33" s="11" t="str">
        <f>VLOOKUP($H33, 'ADP Data'!$B$4:$Q$300, 11, FALSE)</f>
        <v>#N/A</v>
      </c>
      <c r="O33" s="11" t="str">
        <f>VLOOKUP($H33, 'ADP Data'!$B$4:$Q$300, 5, FALSE)</f>
        <v>#N/A</v>
      </c>
      <c r="P33" s="11" t="str">
        <f t="shared" si="4"/>
        <v>#N/A</v>
      </c>
      <c r="Q33" s="11" t="str">
        <f>VLOOKUP($H33, 'ADP Data'!$B$4:$Q$300, 6, FALSE)</f>
        <v>#N/A</v>
      </c>
      <c r="R33" s="11" t="str">
        <f>VLOOKUP($H33, 'ADP Data'!$B$4:$Q$300, 7, FALSE)</f>
        <v>#N/A</v>
      </c>
      <c r="S33" s="11" t="str">
        <f>VLOOKUP($H33, 'ADP Data'!$B$4:$Q$300, 8, FALSE)</f>
        <v>#N/A</v>
      </c>
      <c r="T33" s="11" t="str">
        <f>VLOOKUP($H33, 'ADP Data'!$B$4:$Q$300, 9, FALSE)</f>
        <v>#N/A</v>
      </c>
      <c r="U33" s="11" t="str">
        <f>VLOOKUP($H33, 'ADP Data'!$B$4:$Q$300, 10, FALSE)</f>
        <v>#N/A</v>
      </c>
      <c r="V33" s="11" t="str">
        <f t="shared" si="5"/>
        <v>#N/A</v>
      </c>
      <c r="W33" s="11" t="str">
        <f>VLOOKUP($H33, SeanRanks!$A$2:$J$303, 7, FALSE)-V33</f>
        <v>#N/A</v>
      </c>
      <c r="X33" s="11"/>
    </row>
    <row r="34" ht="14.25" customHeight="1">
      <c r="A34" s="11"/>
      <c r="B34" s="11" t="str">
        <f t="shared" si="1"/>
        <v>#N/A</v>
      </c>
      <c r="C34" s="11" t="s">
        <v>106</v>
      </c>
      <c r="D34" s="11">
        <v>3.0</v>
      </c>
      <c r="E34" s="11">
        <v>4.0</v>
      </c>
      <c r="F34" s="11">
        <f t="shared" si="2"/>
        <v>-1</v>
      </c>
      <c r="G34" s="11"/>
      <c r="H34" s="11" t="s">
        <v>1133</v>
      </c>
      <c r="I34" s="11" t="str">
        <f>VLOOKUP($H34, 'ADP Data'!$B$4:$Q$300, 2, FALSE)</f>
        <v>#N/A</v>
      </c>
      <c r="J34" s="11" t="str">
        <f>VLOOKUP($H34, 'ADP Data'!$B$4:$Q$300, 3, FALSE)</f>
        <v>#N/A</v>
      </c>
      <c r="K34" s="11" t="str">
        <f>VLOOKUP($H34, SeanRanks!$A$2:$H$303, 4, FALSE)</f>
        <v>#N/A</v>
      </c>
      <c r="L34" s="11" t="str">
        <f>VLOOKUP($H34, SeanRanks!$A$2:$H$303, 5, FALSE)</f>
        <v>#N/A</v>
      </c>
      <c r="M34" s="11">
        <f t="shared" si="3"/>
        <v>16</v>
      </c>
      <c r="N34" s="11" t="str">
        <f>VLOOKUP($H34, 'ADP Data'!$B$4:$Q$300, 11, FALSE)</f>
        <v>#N/A</v>
      </c>
      <c r="O34" s="11" t="str">
        <f>VLOOKUP($H34, 'ADP Data'!$B$4:$Q$300, 5, FALSE)</f>
        <v>#N/A</v>
      </c>
      <c r="P34" s="11" t="str">
        <f t="shared" si="4"/>
        <v>#N/A</v>
      </c>
      <c r="Q34" s="11" t="str">
        <f>VLOOKUP($H34, 'ADP Data'!$B$4:$Q$300, 6, FALSE)</f>
        <v>#N/A</v>
      </c>
      <c r="R34" s="11" t="str">
        <f>VLOOKUP($H34, 'ADP Data'!$B$4:$Q$300, 7, FALSE)</f>
        <v>#N/A</v>
      </c>
      <c r="S34" s="11" t="str">
        <f>VLOOKUP($H34, 'ADP Data'!$B$4:$Q$300, 8, FALSE)</f>
        <v>#N/A</v>
      </c>
      <c r="T34" s="11" t="str">
        <f>VLOOKUP($H34, 'ADP Data'!$B$4:$Q$300, 9, FALSE)</f>
        <v>#N/A</v>
      </c>
      <c r="U34" s="11" t="str">
        <f>VLOOKUP($H34, 'ADP Data'!$B$4:$Q$300, 10, FALSE)</f>
        <v>#N/A</v>
      </c>
      <c r="V34" s="11" t="str">
        <f t="shared" si="5"/>
        <v>#N/A</v>
      </c>
      <c r="W34" s="11" t="str">
        <f>VLOOKUP($H34, SeanRanks!$A$2:$J$303, 7, FALSE)-V34</f>
        <v>#N/A</v>
      </c>
      <c r="X34" s="11"/>
    </row>
    <row r="35" ht="14.25" customHeight="1">
      <c r="A35" s="11"/>
      <c r="B35" s="11" t="str">
        <f t="shared" si="1"/>
        <v>#N/A</v>
      </c>
      <c r="C35" s="11" t="s">
        <v>106</v>
      </c>
      <c r="D35" s="11">
        <v>2.0</v>
      </c>
      <c r="E35" s="11">
        <v>3.0</v>
      </c>
      <c r="F35" s="11">
        <f t="shared" si="2"/>
        <v>-1</v>
      </c>
      <c r="G35" s="11"/>
      <c r="H35" s="11" t="s">
        <v>869</v>
      </c>
      <c r="I35" s="11" t="str">
        <f>VLOOKUP($H35, 'ADP Data'!$B$4:$Q$300, 2, FALSE)</f>
        <v>#N/A</v>
      </c>
      <c r="J35" s="11" t="str">
        <f>VLOOKUP($H35, 'ADP Data'!$B$4:$Q$300, 3, FALSE)</f>
        <v>#N/A</v>
      </c>
      <c r="K35" s="11" t="str">
        <f>VLOOKUP($H35, SeanRanks!$A$2:$H$303, 4, FALSE)</f>
        <v/>
      </c>
      <c r="L35" s="11" t="str">
        <f>VLOOKUP($H35, SeanRanks!$A$2:$H$303, 5, FALSE)</f>
        <v/>
      </c>
      <c r="M35" s="11">
        <f t="shared" si="3"/>
        <v>16</v>
      </c>
      <c r="N35" s="11" t="str">
        <f>VLOOKUP($H35, 'ADP Data'!$B$4:$Q$300, 11, FALSE)</f>
        <v>#N/A</v>
      </c>
      <c r="O35" s="11" t="str">
        <f>VLOOKUP($H35, 'ADP Data'!$B$4:$Q$300, 5, FALSE)</f>
        <v>#N/A</v>
      </c>
      <c r="P35" s="11" t="str">
        <f t="shared" si="4"/>
        <v>#N/A</v>
      </c>
      <c r="Q35" s="11" t="str">
        <f>VLOOKUP($H35, 'ADP Data'!$B$4:$Q$300, 6, FALSE)</f>
        <v>#N/A</v>
      </c>
      <c r="R35" s="11" t="str">
        <f>VLOOKUP($H35, 'ADP Data'!$B$4:$Q$300, 7, FALSE)</f>
        <v>#N/A</v>
      </c>
      <c r="S35" s="11" t="str">
        <f>VLOOKUP($H35, 'ADP Data'!$B$4:$Q$300, 8, FALSE)</f>
        <v>#N/A</v>
      </c>
      <c r="T35" s="11" t="str">
        <f>VLOOKUP($H35, 'ADP Data'!$B$4:$Q$300, 9, FALSE)</f>
        <v>#N/A</v>
      </c>
      <c r="U35" s="11" t="str">
        <f>VLOOKUP($H35, 'ADP Data'!$B$4:$Q$300, 10, FALSE)</f>
        <v>#N/A</v>
      </c>
      <c r="V35" s="11" t="str">
        <f t="shared" si="5"/>
        <v>#N/A</v>
      </c>
      <c r="W35" s="11" t="str">
        <f>VLOOKUP($H35, SeanRanks!$A$2:$J$303, 7, FALSE)-V35</f>
        <v>#N/A</v>
      </c>
      <c r="X35" s="11"/>
    </row>
    <row r="36" ht="14.25" customHeight="1">
      <c r="A36" s="11"/>
      <c r="B36" s="11" t="str">
        <f t="shared" si="1"/>
        <v>#N/A</v>
      </c>
      <c r="C36" s="11" t="s">
        <v>106</v>
      </c>
      <c r="D36" s="11">
        <v>2.0</v>
      </c>
      <c r="E36" s="11">
        <v>3.0</v>
      </c>
      <c r="F36" s="11">
        <f t="shared" si="2"/>
        <v>-1</v>
      </c>
      <c r="G36" s="11"/>
      <c r="H36" s="11" t="s">
        <v>880</v>
      </c>
      <c r="I36" s="11" t="str">
        <f>VLOOKUP($H36, 'ADP Data'!$B$4:$Q$300, 2, FALSE)</f>
        <v>#N/A</v>
      </c>
      <c r="J36" s="11" t="str">
        <f>VLOOKUP($H36, 'ADP Data'!$B$4:$Q$300, 3, FALSE)</f>
        <v>#N/A</v>
      </c>
      <c r="K36" s="11" t="str">
        <f>VLOOKUP($H36, SeanRanks!$A$2:$H$303, 4, FALSE)</f>
        <v/>
      </c>
      <c r="L36" s="11" t="str">
        <f>VLOOKUP($H36, SeanRanks!$A$2:$H$303, 5, FALSE)</f>
        <v/>
      </c>
      <c r="M36" s="11">
        <f t="shared" si="3"/>
        <v>16</v>
      </c>
      <c r="N36" s="11" t="str">
        <f>VLOOKUP($H36, 'ADP Data'!$B$4:$Q$300, 11, FALSE)</f>
        <v>#N/A</v>
      </c>
      <c r="O36" s="11" t="str">
        <f>VLOOKUP($H36, 'ADP Data'!$B$4:$Q$300, 5, FALSE)</f>
        <v>#N/A</v>
      </c>
      <c r="P36" s="11" t="str">
        <f t="shared" si="4"/>
        <v>#N/A</v>
      </c>
      <c r="Q36" s="11" t="str">
        <f>VLOOKUP($H36, 'ADP Data'!$B$4:$Q$300, 6, FALSE)</f>
        <v>#N/A</v>
      </c>
      <c r="R36" s="11" t="str">
        <f>VLOOKUP($H36, 'ADP Data'!$B$4:$Q$300, 7, FALSE)</f>
        <v>#N/A</v>
      </c>
      <c r="S36" s="11" t="str">
        <f>VLOOKUP($H36, 'ADP Data'!$B$4:$Q$300, 8, FALSE)</f>
        <v>#N/A</v>
      </c>
      <c r="T36" s="11" t="str">
        <f>VLOOKUP($H36, 'ADP Data'!$B$4:$Q$300, 9, FALSE)</f>
        <v>#N/A</v>
      </c>
      <c r="U36" s="11" t="str">
        <f>VLOOKUP($H36, 'ADP Data'!$B$4:$Q$300, 10, FALSE)</f>
        <v>#N/A</v>
      </c>
      <c r="V36" s="11" t="str">
        <f t="shared" si="5"/>
        <v>#N/A</v>
      </c>
      <c r="W36" s="11" t="str">
        <f>VLOOKUP($H36, SeanRanks!$A$2:$J$303, 7, FALSE)-V36</f>
        <v>#N/A</v>
      </c>
      <c r="X36" s="11"/>
    </row>
    <row r="37" ht="14.25" customHeight="1">
      <c r="A37" s="11"/>
      <c r="B37" s="11" t="str">
        <f t="shared" si="1"/>
        <v>#N/A</v>
      </c>
      <c r="C37" s="11" t="s">
        <v>106</v>
      </c>
      <c r="D37" s="11"/>
      <c r="E37" s="11">
        <v>1.0</v>
      </c>
      <c r="F37" s="11">
        <f t="shared" si="2"/>
        <v>-1</v>
      </c>
      <c r="G37" s="11"/>
      <c r="H37" s="11" t="s">
        <v>380</v>
      </c>
      <c r="I37" s="11" t="str">
        <f>VLOOKUP($H37, 'ADP Data'!$B$4:$Q$300, 2, FALSE)</f>
        <v>#N/A</v>
      </c>
      <c r="J37" s="11" t="str">
        <f>VLOOKUP($H37, 'ADP Data'!$B$4:$Q$300, 3, FALSE)</f>
        <v>#N/A</v>
      </c>
      <c r="K37" s="11" t="str">
        <f>VLOOKUP($H37, SeanRanks!$A$2:$H$303, 4, FALSE)</f>
        <v/>
      </c>
      <c r="L37" s="11" t="str">
        <f>VLOOKUP($H37, SeanRanks!$A$2:$H$303, 5, FALSE)</f>
        <v/>
      </c>
      <c r="M37" s="11">
        <f t="shared" si="3"/>
        <v>16</v>
      </c>
      <c r="N37" s="11" t="str">
        <f>VLOOKUP($H37, 'ADP Data'!$B$4:$Q$300, 11, FALSE)</f>
        <v>#N/A</v>
      </c>
      <c r="O37" s="11" t="str">
        <f>VLOOKUP($H37, 'ADP Data'!$B$4:$Q$300, 5, FALSE)</f>
        <v>#N/A</v>
      </c>
      <c r="P37" s="11" t="str">
        <f t="shared" si="4"/>
        <v>#N/A</v>
      </c>
      <c r="Q37" s="11" t="str">
        <f>VLOOKUP($H37, 'ADP Data'!$B$4:$Q$300, 6, FALSE)</f>
        <v>#N/A</v>
      </c>
      <c r="R37" s="11" t="str">
        <f>VLOOKUP($H37, 'ADP Data'!$B$4:$Q$300, 7, FALSE)</f>
        <v>#N/A</v>
      </c>
      <c r="S37" s="11" t="str">
        <f>VLOOKUP($H37, 'ADP Data'!$B$4:$Q$300, 8, FALSE)</f>
        <v>#N/A</v>
      </c>
      <c r="T37" s="11" t="str">
        <f>VLOOKUP($H37, 'ADP Data'!$B$4:$Q$300, 9, FALSE)</f>
        <v>#N/A</v>
      </c>
      <c r="U37" s="11" t="str">
        <f>VLOOKUP($H37, 'ADP Data'!$B$4:$Q$300, 10, FALSE)</f>
        <v>#N/A</v>
      </c>
      <c r="V37" s="11" t="str">
        <f t="shared" si="5"/>
        <v>#N/A</v>
      </c>
      <c r="W37" s="11" t="str">
        <f>VLOOKUP($H37, SeanRanks!$A$2:$J$303, 7, FALSE)-V37</f>
        <v>#N/A</v>
      </c>
      <c r="X37" s="11" t="s">
        <v>1168</v>
      </c>
    </row>
    <row r="38" ht="14.25" customHeight="1">
      <c r="A38" s="11"/>
      <c r="B38" s="11" t="str">
        <f t="shared" si="1"/>
        <v>#N/A</v>
      </c>
      <c r="C38" s="11" t="s">
        <v>106</v>
      </c>
      <c r="D38" s="11">
        <v>1.0</v>
      </c>
      <c r="E38" s="11">
        <v>2.0</v>
      </c>
      <c r="F38" s="11">
        <f t="shared" si="2"/>
        <v>-1</v>
      </c>
      <c r="G38" s="11" t="s">
        <v>106</v>
      </c>
      <c r="H38" s="11" t="s">
        <v>156</v>
      </c>
      <c r="I38" s="11" t="str">
        <f>VLOOKUP($H38, 'ADP Data'!$B$4:$Q$300, 2, FALSE)</f>
        <v>#N/A</v>
      </c>
      <c r="J38" s="11" t="str">
        <f>VLOOKUP($H38, 'ADP Data'!$B$4:$Q$300, 3, FALSE)</f>
        <v>#N/A</v>
      </c>
      <c r="K38" s="11" t="str">
        <f>VLOOKUP($H38, SeanRanks!$A$2:$H$303, 4, FALSE)</f>
        <v/>
      </c>
      <c r="L38" s="11" t="str">
        <f>VLOOKUP($H38, SeanRanks!$A$2:$H$303, 5, FALSE)</f>
        <v/>
      </c>
      <c r="M38" s="11">
        <f t="shared" si="3"/>
        <v>16</v>
      </c>
      <c r="N38" s="11" t="str">
        <f>VLOOKUP($H38, 'ADP Data'!$B$4:$Q$300, 11, FALSE)</f>
        <v>#N/A</v>
      </c>
      <c r="O38" s="11" t="str">
        <f>VLOOKUP($H38, 'ADP Data'!$B$4:$Q$300, 5, FALSE)</f>
        <v>#N/A</v>
      </c>
      <c r="P38" s="11" t="str">
        <f t="shared" si="4"/>
        <v>#N/A</v>
      </c>
      <c r="Q38" s="11" t="str">
        <f>VLOOKUP($H38, 'ADP Data'!$B$4:$Q$300, 6, FALSE)</f>
        <v>#N/A</v>
      </c>
      <c r="R38" s="11" t="str">
        <f>VLOOKUP($H38, 'ADP Data'!$B$4:$Q$300, 7, FALSE)</f>
        <v>#N/A</v>
      </c>
      <c r="S38" s="11" t="str">
        <f>VLOOKUP($H38, 'ADP Data'!$B$4:$Q$300, 8, FALSE)</f>
        <v>#N/A</v>
      </c>
      <c r="T38" s="11" t="str">
        <f>VLOOKUP($H38, 'ADP Data'!$B$4:$Q$300, 9, FALSE)</f>
        <v>#N/A</v>
      </c>
      <c r="U38" s="11" t="str">
        <f>VLOOKUP($H38, 'ADP Data'!$B$4:$Q$300, 10, FALSE)</f>
        <v>#N/A</v>
      </c>
      <c r="V38" s="11" t="str">
        <f t="shared" si="5"/>
        <v>#N/A</v>
      </c>
      <c r="W38" s="11" t="str">
        <f>VLOOKUP($H38, SeanRanks!$A$2:$J$303, 7, FALSE)-V38</f>
        <v>#N/A</v>
      </c>
      <c r="X38" s="11" t="s">
        <v>1169</v>
      </c>
    </row>
    <row r="39" ht="14.25" customHeight="1">
      <c r="A39" s="11"/>
      <c r="B39" s="11" t="str">
        <f t="shared" si="1"/>
        <v>#N/A</v>
      </c>
      <c r="C39" s="11" t="s">
        <v>106</v>
      </c>
      <c r="D39" s="11"/>
      <c r="E39" s="11">
        <v>1.0</v>
      </c>
      <c r="F39" s="11">
        <f t="shared" si="2"/>
        <v>-1</v>
      </c>
      <c r="G39" s="11" t="s">
        <v>106</v>
      </c>
      <c r="H39" s="11" t="s">
        <v>956</v>
      </c>
      <c r="I39" s="11" t="str">
        <f>VLOOKUP($H39, 'ADP Data'!$B$4:$Q$300, 2, FALSE)</f>
        <v>#N/A</v>
      </c>
      <c r="J39" s="11" t="str">
        <f>VLOOKUP($H39, 'ADP Data'!$B$4:$Q$300, 3, FALSE)</f>
        <v>#N/A</v>
      </c>
      <c r="K39" s="11" t="str">
        <f>VLOOKUP($H39, SeanRanks!$A$2:$H$303, 4, FALSE)</f>
        <v>#N/A</v>
      </c>
      <c r="L39" s="11" t="str">
        <f>VLOOKUP($H39, SeanRanks!$A$2:$H$303, 5, FALSE)</f>
        <v>#N/A</v>
      </c>
      <c r="M39" s="11">
        <f t="shared" si="3"/>
        <v>16</v>
      </c>
      <c r="N39" s="11" t="str">
        <f>VLOOKUP($H39, 'ADP Data'!$B$4:$Q$300, 11, FALSE)</f>
        <v>#N/A</v>
      </c>
      <c r="O39" s="11" t="str">
        <f>VLOOKUP($H39, 'ADP Data'!$B$4:$Q$300, 5, FALSE)</f>
        <v>#N/A</v>
      </c>
      <c r="P39" s="11" t="str">
        <f t="shared" si="4"/>
        <v>#N/A</v>
      </c>
      <c r="Q39" s="11" t="str">
        <f>VLOOKUP($H39, 'ADP Data'!$B$4:$Q$300, 6, FALSE)</f>
        <v>#N/A</v>
      </c>
      <c r="R39" s="11" t="str">
        <f>VLOOKUP($H39, 'ADP Data'!$B$4:$Q$300, 7, FALSE)</f>
        <v>#N/A</v>
      </c>
      <c r="S39" s="11" t="str">
        <f>VLOOKUP($H39, 'ADP Data'!$B$4:$Q$300, 8, FALSE)</f>
        <v>#N/A</v>
      </c>
      <c r="T39" s="11" t="str">
        <f>VLOOKUP($H39, 'ADP Data'!$B$4:$Q$300, 9, FALSE)</f>
        <v>#N/A</v>
      </c>
      <c r="U39" s="11" t="str">
        <f>VLOOKUP($H39, 'ADP Data'!$B$4:$Q$300, 10, FALSE)</f>
        <v>#N/A</v>
      </c>
      <c r="V39" s="11" t="str">
        <f t="shared" si="5"/>
        <v>#N/A</v>
      </c>
      <c r="W39" s="11" t="str">
        <f>VLOOKUP($H39, SeanRanks!$A$2:$J$303, 7, FALSE)-V39</f>
        <v>#N/A</v>
      </c>
      <c r="X39" s="11"/>
    </row>
    <row r="40" ht="14.25" customHeight="1">
      <c r="A40" s="11"/>
      <c r="B40" s="11" t="str">
        <f t="shared" si="1"/>
        <v>#N/A</v>
      </c>
      <c r="C40" s="11" t="s">
        <v>106</v>
      </c>
      <c r="D40" s="11"/>
      <c r="E40" s="11">
        <v>1.0</v>
      </c>
      <c r="F40" s="11">
        <f t="shared" si="2"/>
        <v>-1</v>
      </c>
      <c r="G40" s="11"/>
      <c r="H40" s="11" t="s">
        <v>1170</v>
      </c>
      <c r="I40" s="11" t="str">
        <f>VLOOKUP($H40, 'ADP Data'!$B$4:$Q$300, 2, FALSE)</f>
        <v>#N/A</v>
      </c>
      <c r="J40" s="11" t="str">
        <f>VLOOKUP($H40, 'ADP Data'!$B$4:$Q$300, 3, FALSE)</f>
        <v>#N/A</v>
      </c>
      <c r="K40" s="11"/>
      <c r="L40" s="11" t="str">
        <f>VLOOKUP($H40, SeanRanks!$A$2:$H$303, 5, FALSE)</f>
        <v>#N/A</v>
      </c>
      <c r="M40" s="11">
        <f t="shared" si="3"/>
        <v>16</v>
      </c>
      <c r="N40" s="11" t="str">
        <f>VLOOKUP($H40, 'ADP Data'!$B$4:$Q$300, 11, FALSE)</f>
        <v>#N/A</v>
      </c>
      <c r="O40" s="11" t="str">
        <f>VLOOKUP($H40, 'ADP Data'!$B$4:$Q$300, 5, FALSE)</f>
        <v>#N/A</v>
      </c>
      <c r="P40" s="11" t="str">
        <f t="shared" si="4"/>
        <v>#N/A</v>
      </c>
      <c r="Q40" s="11" t="str">
        <f>VLOOKUP($H40, 'ADP Data'!$B$4:$Q$300, 6, FALSE)</f>
        <v>#N/A</v>
      </c>
      <c r="R40" s="11" t="str">
        <f>VLOOKUP($H40, 'ADP Data'!$B$4:$Q$300, 7, FALSE)</f>
        <v>#N/A</v>
      </c>
      <c r="S40" s="11" t="str">
        <f>VLOOKUP($H40, 'ADP Data'!$B$4:$Q$300, 8, FALSE)</f>
        <v>#N/A</v>
      </c>
      <c r="T40" s="11" t="str">
        <f>VLOOKUP($H40, 'ADP Data'!$B$4:$Q$300, 9, FALSE)</f>
        <v>#N/A</v>
      </c>
      <c r="U40" s="11" t="str">
        <f>VLOOKUP($H40, 'ADP Data'!$B$4:$Q$300, 10, FALSE)</f>
        <v>#N/A</v>
      </c>
      <c r="V40" s="11" t="str">
        <f t="shared" si="5"/>
        <v>#N/A</v>
      </c>
      <c r="W40" s="11" t="str">
        <f>VLOOKUP($H40, SeanRanks!$A$2:$J$303, 7, FALSE)-V40</f>
        <v>#N/A</v>
      </c>
      <c r="X40" s="11" t="s">
        <v>1171</v>
      </c>
    </row>
    <row r="41" ht="14.25" customHeight="1">
      <c r="A41" s="11"/>
      <c r="B41" s="11" t="str">
        <f t="shared" si="1"/>
        <v>#N/A</v>
      </c>
      <c r="C41" s="11" t="s">
        <v>106</v>
      </c>
      <c r="D41" s="11"/>
      <c r="E41" s="11">
        <v>1.0</v>
      </c>
      <c r="F41" s="11">
        <f t="shared" si="2"/>
        <v>-1</v>
      </c>
      <c r="G41" s="11" t="s">
        <v>106</v>
      </c>
      <c r="H41" s="11" t="s">
        <v>1172</v>
      </c>
      <c r="I41" s="11" t="str">
        <f>VLOOKUP($H41, 'ADP Data'!$B$4:$Q$300, 2, FALSE)</f>
        <v>#N/A</v>
      </c>
      <c r="J41" s="11" t="str">
        <f>VLOOKUP($H41, 'ADP Data'!$B$4:$Q$300, 3, FALSE)</f>
        <v>#N/A</v>
      </c>
      <c r="K41" s="11"/>
      <c r="L41" s="11"/>
      <c r="M41" s="11">
        <f t="shared" si="3"/>
        <v>16</v>
      </c>
      <c r="N41" s="11" t="str">
        <f>VLOOKUP($H41, 'ADP Data'!$B$4:$Q$300, 11, FALSE)</f>
        <v>#N/A</v>
      </c>
      <c r="O41" s="11" t="str">
        <f>VLOOKUP($H41, 'ADP Data'!$B$4:$Q$300, 5, FALSE)</f>
        <v>#N/A</v>
      </c>
      <c r="P41" s="11" t="str">
        <f t="shared" si="4"/>
        <v>#N/A</v>
      </c>
      <c r="Q41" s="11" t="str">
        <f>VLOOKUP($H41, 'ADP Data'!$B$4:$Q$300, 6, FALSE)</f>
        <v>#N/A</v>
      </c>
      <c r="R41" s="11" t="str">
        <f>VLOOKUP($H41, 'ADP Data'!$B$4:$Q$300, 7, FALSE)</f>
        <v>#N/A</v>
      </c>
      <c r="S41" s="11" t="str">
        <f>VLOOKUP($H41, 'ADP Data'!$B$4:$Q$300, 8, FALSE)</f>
        <v>#N/A</v>
      </c>
      <c r="T41" s="11" t="str">
        <f>VLOOKUP($H41, 'ADP Data'!$B$4:$Q$300, 9, FALSE)</f>
        <v>#N/A</v>
      </c>
      <c r="U41" s="11" t="str">
        <f>VLOOKUP($H41, 'ADP Data'!$B$4:$Q$300, 10, FALSE)</f>
        <v>#N/A</v>
      </c>
      <c r="V41" s="11" t="str">
        <f t="shared" si="5"/>
        <v>#N/A</v>
      </c>
      <c r="W41" s="11" t="str">
        <f>VLOOKUP($H41, SeanRanks!$A$2:$J$303, 7, FALSE)-V41</f>
        <v>#N/A</v>
      </c>
      <c r="X41" s="11"/>
    </row>
    <row r="42" ht="14.25" customHeight="1">
      <c r="A42" s="11"/>
      <c r="B42" s="11" t="str">
        <f t="shared" si="1"/>
        <v>#N/A</v>
      </c>
      <c r="C42" s="11" t="s">
        <v>106</v>
      </c>
      <c r="D42" s="11"/>
      <c r="E42" s="11">
        <v>1.0</v>
      </c>
      <c r="F42" s="11">
        <f t="shared" si="2"/>
        <v>-1</v>
      </c>
      <c r="G42" s="11" t="s">
        <v>106</v>
      </c>
      <c r="H42" s="11" t="s">
        <v>813</v>
      </c>
      <c r="I42" s="11" t="str">
        <f>VLOOKUP($H42, 'ADP Data'!$B$4:$Q$300, 2, FALSE)</f>
        <v>#N/A</v>
      </c>
      <c r="J42" s="11" t="str">
        <f>VLOOKUP($H42, 'ADP Data'!$B$4:$Q$300, 3, FALSE)</f>
        <v>#N/A</v>
      </c>
      <c r="K42" s="11"/>
      <c r="L42" s="11"/>
      <c r="M42" s="11">
        <f t="shared" si="3"/>
        <v>16</v>
      </c>
      <c r="N42" s="11" t="str">
        <f>VLOOKUP($H42, 'ADP Data'!$B$4:$Q$300, 11, FALSE)</f>
        <v>#N/A</v>
      </c>
      <c r="O42" s="11" t="str">
        <f>VLOOKUP($H42, 'ADP Data'!$B$4:$Q$300, 5, FALSE)</f>
        <v>#N/A</v>
      </c>
      <c r="P42" s="11" t="str">
        <f t="shared" si="4"/>
        <v>#N/A</v>
      </c>
      <c r="Q42" s="11" t="str">
        <f>VLOOKUP($H42, 'ADP Data'!$B$4:$Q$300, 6, FALSE)</f>
        <v>#N/A</v>
      </c>
      <c r="R42" s="11" t="str">
        <f>VLOOKUP($H42, 'ADP Data'!$B$4:$Q$300, 7, FALSE)</f>
        <v>#N/A</v>
      </c>
      <c r="S42" s="11" t="str">
        <f>VLOOKUP($H42, 'ADP Data'!$B$4:$Q$300, 8, FALSE)</f>
        <v>#N/A</v>
      </c>
      <c r="T42" s="11" t="str">
        <f>VLOOKUP($H42, 'ADP Data'!$B$4:$Q$300, 9, FALSE)</f>
        <v>#N/A</v>
      </c>
      <c r="U42" s="11" t="str">
        <f>VLOOKUP($H42, 'ADP Data'!$B$4:$Q$300, 10, FALSE)</f>
        <v>#N/A</v>
      </c>
      <c r="V42" s="11" t="str">
        <f t="shared" si="5"/>
        <v>#N/A</v>
      </c>
      <c r="W42" s="11" t="str">
        <f>VLOOKUP($H42, SeanRanks!$A$2:$J$303, 7, FALSE)-V42</f>
        <v>#N/A</v>
      </c>
      <c r="X42" s="11" t="s">
        <v>1173</v>
      </c>
    </row>
    <row r="43" ht="14.25" customHeight="1">
      <c r="A43" s="11"/>
      <c r="B43" s="11" t="str">
        <f t="shared" si="1"/>
        <v>#N/A</v>
      </c>
      <c r="C43" s="11" t="s">
        <v>106</v>
      </c>
      <c r="D43" s="11"/>
      <c r="E43" s="11">
        <v>1.0</v>
      </c>
      <c r="F43" s="11">
        <f t="shared" si="2"/>
        <v>-1</v>
      </c>
      <c r="G43" s="11" t="s">
        <v>106</v>
      </c>
      <c r="H43" s="11" t="s">
        <v>359</v>
      </c>
      <c r="I43" s="11" t="str">
        <f>VLOOKUP($H43, 'ADP Data'!$B$4:$Q$300, 2, FALSE)</f>
        <v>#N/A</v>
      </c>
      <c r="J43" s="11" t="str">
        <f>VLOOKUP($H43, 'ADP Data'!$B$4:$Q$300, 3, FALSE)</f>
        <v>#N/A</v>
      </c>
      <c r="K43" s="11"/>
      <c r="L43" s="11"/>
      <c r="M43" s="11">
        <f t="shared" si="3"/>
        <v>16</v>
      </c>
      <c r="N43" s="11" t="str">
        <f>VLOOKUP($H43, 'ADP Data'!$B$4:$Q$300, 11, FALSE)</f>
        <v>#N/A</v>
      </c>
      <c r="O43" s="11" t="str">
        <f>VLOOKUP($H43, 'ADP Data'!$B$4:$Q$300, 5, FALSE)</f>
        <v>#N/A</v>
      </c>
      <c r="P43" s="11" t="str">
        <f t="shared" si="4"/>
        <v>#N/A</v>
      </c>
      <c r="Q43" s="11" t="str">
        <f>VLOOKUP($H43, 'ADP Data'!$B$4:$Q$300, 6, FALSE)</f>
        <v>#N/A</v>
      </c>
      <c r="R43" s="11" t="str">
        <f>VLOOKUP($H43, 'ADP Data'!$B$4:$Q$300, 7, FALSE)</f>
        <v>#N/A</v>
      </c>
      <c r="S43" s="11" t="str">
        <f>VLOOKUP($H43, 'ADP Data'!$B$4:$Q$300, 8, FALSE)</f>
        <v>#N/A</v>
      </c>
      <c r="T43" s="11" t="str">
        <f>VLOOKUP($H43, 'ADP Data'!$B$4:$Q$300, 9, FALSE)</f>
        <v>#N/A</v>
      </c>
      <c r="U43" s="11" t="str">
        <f>VLOOKUP($H43, 'ADP Data'!$B$4:$Q$300, 10, FALSE)</f>
        <v>#N/A</v>
      </c>
      <c r="V43" s="11" t="str">
        <f t="shared" si="5"/>
        <v>#N/A</v>
      </c>
      <c r="W43" s="11" t="str">
        <f>VLOOKUP($H43, SeanRanks!$A$2:$J$303, 7, FALSE)-V43</f>
        <v>#N/A</v>
      </c>
      <c r="X43" s="11" t="s">
        <v>1174</v>
      </c>
    </row>
    <row r="44" ht="14.25" customHeight="1">
      <c r="A44" s="11"/>
      <c r="B44" s="11" t="str">
        <f t="shared" si="1"/>
        <v>#N/A</v>
      </c>
      <c r="C44" s="11" t="s">
        <v>106</v>
      </c>
      <c r="D44" s="11"/>
      <c r="E44" s="11">
        <v>1.0</v>
      </c>
      <c r="F44" s="11">
        <f t="shared" si="2"/>
        <v>-1</v>
      </c>
      <c r="G44" s="11" t="s">
        <v>106</v>
      </c>
      <c r="H44" s="11" t="s">
        <v>1175</v>
      </c>
      <c r="I44" s="11" t="str">
        <f>VLOOKUP($H44, 'ADP Data'!$B$4:$Q$300, 2, FALSE)</f>
        <v>#N/A</v>
      </c>
      <c r="J44" s="11" t="str">
        <f>VLOOKUP($H44, 'ADP Data'!$B$4:$Q$300, 3, FALSE)</f>
        <v>#N/A</v>
      </c>
      <c r="K44" s="11"/>
      <c r="L44" s="11"/>
      <c r="M44" s="11">
        <f t="shared" si="3"/>
        <v>16</v>
      </c>
      <c r="N44" s="11" t="str">
        <f>VLOOKUP($H44, 'ADP Data'!$B$4:$Q$300, 11, FALSE)</f>
        <v>#N/A</v>
      </c>
      <c r="O44" s="11" t="str">
        <f>VLOOKUP($H44, 'ADP Data'!$B$4:$Q$300, 5, FALSE)</f>
        <v>#N/A</v>
      </c>
      <c r="P44" s="11" t="str">
        <f t="shared" si="4"/>
        <v>#N/A</v>
      </c>
      <c r="Q44" s="11" t="str">
        <f>VLOOKUP($H44, 'ADP Data'!$B$4:$Q$300, 6, FALSE)</f>
        <v>#N/A</v>
      </c>
      <c r="R44" s="11" t="str">
        <f>VLOOKUP($H44, 'ADP Data'!$B$4:$Q$300, 7, FALSE)</f>
        <v>#N/A</v>
      </c>
      <c r="S44" s="11" t="str">
        <f>VLOOKUP($H44, 'ADP Data'!$B$4:$Q$300, 8, FALSE)</f>
        <v>#N/A</v>
      </c>
      <c r="T44" s="11" t="str">
        <f>VLOOKUP($H44, 'ADP Data'!$B$4:$Q$300, 9, FALSE)</f>
        <v>#N/A</v>
      </c>
      <c r="U44" s="11" t="str">
        <f>VLOOKUP($H44, 'ADP Data'!$B$4:$Q$300, 10, FALSE)</f>
        <v>#N/A</v>
      </c>
      <c r="V44" s="11" t="str">
        <f t="shared" si="5"/>
        <v>#N/A</v>
      </c>
      <c r="W44" s="11" t="str">
        <f>VLOOKUP($H44, SeanRanks!$A$2:$J$303, 7, FALSE)-V44</f>
        <v>#N/A</v>
      </c>
      <c r="X44" s="11"/>
    </row>
    <row r="45" ht="14.25" customHeight="1">
      <c r="A45" s="11"/>
      <c r="B45" s="11" t="str">
        <f t="shared" si="1"/>
        <v>#N/A</v>
      </c>
      <c r="C45" s="11" t="s">
        <v>106</v>
      </c>
      <c r="D45" s="11"/>
      <c r="E45" s="11">
        <v>1.0</v>
      </c>
      <c r="F45" s="11">
        <f t="shared" si="2"/>
        <v>-1</v>
      </c>
      <c r="G45" s="11" t="s">
        <v>106</v>
      </c>
      <c r="H45" s="11" t="s">
        <v>308</v>
      </c>
      <c r="I45" s="11" t="str">
        <f>VLOOKUP($H45, 'ADP Data'!$B$4:$Q$300, 2, FALSE)</f>
        <v>#N/A</v>
      </c>
      <c r="J45" s="11" t="str">
        <f>VLOOKUP($H45, 'ADP Data'!$B$4:$Q$300, 3, FALSE)</f>
        <v>#N/A</v>
      </c>
      <c r="K45" s="11"/>
      <c r="L45" s="11"/>
      <c r="M45" s="11">
        <f t="shared" si="3"/>
        <v>16</v>
      </c>
      <c r="N45" s="11" t="str">
        <f>VLOOKUP($H45, 'ADP Data'!$B$4:$Q$300, 11, FALSE)</f>
        <v>#N/A</v>
      </c>
      <c r="O45" s="11" t="str">
        <f>VLOOKUP($H45, 'ADP Data'!$B$4:$Q$300, 5, FALSE)</f>
        <v>#N/A</v>
      </c>
      <c r="P45" s="11" t="str">
        <f t="shared" si="4"/>
        <v>#N/A</v>
      </c>
      <c r="Q45" s="11" t="str">
        <f>VLOOKUP($H45, 'ADP Data'!$B$4:$Q$300, 6, FALSE)</f>
        <v>#N/A</v>
      </c>
      <c r="R45" s="11" t="str">
        <f>VLOOKUP($H45, 'ADP Data'!$B$4:$Q$300, 7, FALSE)</f>
        <v>#N/A</v>
      </c>
      <c r="S45" s="11" t="str">
        <f>VLOOKUP($H45, 'ADP Data'!$B$4:$Q$300, 8, FALSE)</f>
        <v>#N/A</v>
      </c>
      <c r="T45" s="11" t="str">
        <f>VLOOKUP($H45, 'ADP Data'!$B$4:$Q$300, 9, FALSE)</f>
        <v>#N/A</v>
      </c>
      <c r="U45" s="11" t="str">
        <f>VLOOKUP($H45, 'ADP Data'!$B$4:$Q$300, 10, FALSE)</f>
        <v>#N/A</v>
      </c>
      <c r="V45" s="11" t="str">
        <f t="shared" si="5"/>
        <v>#N/A</v>
      </c>
      <c r="W45" s="11" t="str">
        <f>VLOOKUP($H45, SeanRanks!$A$2:$J$303, 7, FALSE)-V45</f>
        <v>#N/A</v>
      </c>
      <c r="X45" s="11" t="s">
        <v>1176</v>
      </c>
    </row>
    <row r="46" ht="14.25" customHeight="1">
      <c r="A46" s="11"/>
      <c r="B46" s="11" t="str">
        <f t="shared" si="1"/>
        <v>#N/A</v>
      </c>
      <c r="C46" s="11" t="s">
        <v>106</v>
      </c>
      <c r="D46" s="11"/>
      <c r="E46" s="11">
        <v>1.0</v>
      </c>
      <c r="F46" s="11">
        <f t="shared" si="2"/>
        <v>-1</v>
      </c>
      <c r="G46" s="11"/>
      <c r="H46" s="11" t="s">
        <v>1177</v>
      </c>
      <c r="I46" s="11" t="str">
        <f>VLOOKUP($H46, 'ADP Data'!$B$4:$Q$300, 2, FALSE)</f>
        <v>#N/A</v>
      </c>
      <c r="J46" s="11" t="str">
        <f>VLOOKUP($H46, 'ADP Data'!$B$4:$Q$300, 3, FALSE)</f>
        <v>#N/A</v>
      </c>
      <c r="K46" s="11"/>
      <c r="L46" s="11"/>
      <c r="M46" s="11">
        <f t="shared" si="3"/>
        <v>16</v>
      </c>
      <c r="N46" s="11" t="str">
        <f>VLOOKUP($H46, 'ADP Data'!$B$4:$Q$300, 11, FALSE)</f>
        <v>#N/A</v>
      </c>
      <c r="O46" s="11" t="str">
        <f>VLOOKUP($H46, 'ADP Data'!$B$4:$Q$300, 5, FALSE)</f>
        <v>#N/A</v>
      </c>
      <c r="P46" s="11" t="str">
        <f t="shared" si="4"/>
        <v>#N/A</v>
      </c>
      <c r="Q46" s="11" t="str">
        <f>VLOOKUP($H46, 'ADP Data'!$B$4:$Q$300, 6, FALSE)</f>
        <v>#N/A</v>
      </c>
      <c r="R46" s="11" t="str">
        <f>VLOOKUP($H46, 'ADP Data'!$B$4:$Q$300, 7, FALSE)</f>
        <v>#N/A</v>
      </c>
      <c r="S46" s="11" t="str">
        <f>VLOOKUP($H46, 'ADP Data'!$B$4:$Q$300, 8, FALSE)</f>
        <v>#N/A</v>
      </c>
      <c r="T46" s="11" t="str">
        <f>VLOOKUP($H46, 'ADP Data'!$B$4:$Q$300, 9, FALSE)</f>
        <v>#N/A</v>
      </c>
      <c r="U46" s="11" t="str">
        <f>VLOOKUP($H46, 'ADP Data'!$B$4:$Q$300, 10, FALSE)</f>
        <v>#N/A</v>
      </c>
      <c r="V46" s="11" t="str">
        <f t="shared" si="5"/>
        <v>#N/A</v>
      </c>
      <c r="W46" s="11" t="str">
        <f>VLOOKUP($H46, SeanRanks!$A$2:$J$303, 7, FALSE)-V46</f>
        <v>#N/A</v>
      </c>
      <c r="X46" s="11"/>
    </row>
    <row r="47" ht="14.25" customHeight="1">
      <c r="A47" s="11"/>
      <c r="B47" s="11" t="str">
        <f t="shared" si="1"/>
        <v>#N/A</v>
      </c>
      <c r="C47" s="11" t="s">
        <v>106</v>
      </c>
      <c r="D47" s="11">
        <v>7.0</v>
      </c>
      <c r="E47" s="11">
        <v>7.0</v>
      </c>
      <c r="F47" s="11">
        <f t="shared" si="2"/>
        <v>0</v>
      </c>
      <c r="G47" s="11"/>
      <c r="H47" s="11" t="s">
        <v>212</v>
      </c>
      <c r="I47" s="11" t="str">
        <f>VLOOKUP($H47, 'ADP Data'!$B$4:$Q$300, 2, FALSE)</f>
        <v>#N/A</v>
      </c>
      <c r="J47" s="11" t="str">
        <f>VLOOKUP($H47, 'ADP Data'!$B$4:$Q$300, 3, FALSE)</f>
        <v>#N/A</v>
      </c>
      <c r="K47" s="11" t="s">
        <v>1158</v>
      </c>
      <c r="L47" s="11">
        <v>7.0</v>
      </c>
      <c r="M47" s="11">
        <f t="shared" si="3"/>
        <v>16</v>
      </c>
      <c r="N47" s="11" t="str">
        <f>VLOOKUP($H47, 'ADP Data'!$B$4:$Q$300, 11, FALSE)</f>
        <v>#N/A</v>
      </c>
      <c r="O47" s="11" t="str">
        <f>VLOOKUP($H47, 'ADP Data'!$B$4:$Q$300, 5, FALSE)</f>
        <v>#N/A</v>
      </c>
      <c r="P47" s="11" t="str">
        <f t="shared" si="4"/>
        <v>#N/A</v>
      </c>
      <c r="Q47" s="11" t="str">
        <f>VLOOKUP($H47, 'ADP Data'!$B$4:$Q$300, 6, FALSE)</f>
        <v>#N/A</v>
      </c>
      <c r="R47" s="11" t="str">
        <f>VLOOKUP($H47, 'ADP Data'!$B$4:$Q$300, 7, FALSE)</f>
        <v>#N/A</v>
      </c>
      <c r="S47" s="11" t="str">
        <f>VLOOKUP($H47, 'ADP Data'!$B$4:$Q$300, 8, FALSE)</f>
        <v>#N/A</v>
      </c>
      <c r="T47" s="11" t="str">
        <f>VLOOKUP($H47, 'ADP Data'!$B$4:$Q$300, 9, FALSE)</f>
        <v>#N/A</v>
      </c>
      <c r="U47" s="11" t="str">
        <f>VLOOKUP($H47, 'ADP Data'!$B$4:$Q$300, 10, FALSE)</f>
        <v>#N/A</v>
      </c>
      <c r="V47" s="11" t="str">
        <f t="shared" si="5"/>
        <v>#N/A</v>
      </c>
      <c r="W47" s="11" t="str">
        <f>VLOOKUP($H47, SeanRanks!$A$2:$J$303, 7, FALSE)-V47</f>
        <v>#N/A</v>
      </c>
      <c r="X47" s="11"/>
    </row>
    <row r="48" ht="14.25" customHeight="1">
      <c r="A48" s="11"/>
      <c r="B48" s="11" t="str">
        <f t="shared" si="1"/>
        <v>#N/A</v>
      </c>
      <c r="C48" s="11" t="s">
        <v>106</v>
      </c>
      <c r="D48" s="11">
        <v>3.0</v>
      </c>
      <c r="E48" s="11">
        <v>3.0</v>
      </c>
      <c r="F48" s="11">
        <f t="shared" si="2"/>
        <v>0</v>
      </c>
      <c r="G48" s="11"/>
      <c r="H48" s="11" t="s">
        <v>328</v>
      </c>
      <c r="I48" s="11" t="str">
        <f>VLOOKUP($H48, 'ADP Data'!$B$4:$Q$300, 2, FALSE)</f>
        <v>#N/A</v>
      </c>
      <c r="J48" s="11" t="str">
        <f>VLOOKUP($H48, 'ADP Data'!$B$4:$Q$300, 3, FALSE)</f>
        <v>#N/A</v>
      </c>
      <c r="K48" s="11" t="s">
        <v>1178</v>
      </c>
      <c r="L48" s="11" t="str">
        <f>VLOOKUP($H48, SeanRanks!$A$2:$H$303, 5, FALSE)</f>
        <v/>
      </c>
      <c r="M48" s="11">
        <f t="shared" si="3"/>
        <v>16</v>
      </c>
      <c r="N48" s="11" t="str">
        <f>VLOOKUP($H48, 'ADP Data'!$B$4:$Q$300, 11, FALSE)</f>
        <v>#N/A</v>
      </c>
      <c r="O48" s="11" t="str">
        <f>VLOOKUP($H48, 'ADP Data'!$B$4:$Q$300, 5, FALSE)</f>
        <v>#N/A</v>
      </c>
      <c r="P48" s="11" t="str">
        <f t="shared" si="4"/>
        <v>#N/A</v>
      </c>
      <c r="Q48" s="11" t="str">
        <f>VLOOKUP($H48, 'ADP Data'!$B$4:$Q$300, 6, FALSE)</f>
        <v>#N/A</v>
      </c>
      <c r="R48" s="11" t="str">
        <f>VLOOKUP($H48, 'ADP Data'!$B$4:$Q$300, 7, FALSE)</f>
        <v>#N/A</v>
      </c>
      <c r="S48" s="11" t="str">
        <f>VLOOKUP($H48, 'ADP Data'!$B$4:$Q$300, 8, FALSE)</f>
        <v>#N/A</v>
      </c>
      <c r="T48" s="11" t="str">
        <f>VLOOKUP($H48, 'ADP Data'!$B$4:$Q$300, 9, FALSE)</f>
        <v>#N/A</v>
      </c>
      <c r="U48" s="11" t="str">
        <f>VLOOKUP($H48, 'ADP Data'!$B$4:$Q$300, 10, FALSE)</f>
        <v>#N/A</v>
      </c>
      <c r="V48" s="11" t="str">
        <f t="shared" si="5"/>
        <v>#N/A</v>
      </c>
      <c r="W48" s="11" t="str">
        <f>VLOOKUP($H48, SeanRanks!$A$2:$J$303, 7, FALSE)-V48</f>
        <v>#N/A</v>
      </c>
      <c r="X48" s="11"/>
    </row>
    <row r="49" ht="14.25" customHeight="1">
      <c r="A49" s="11"/>
      <c r="B49" s="11" t="str">
        <f t="shared" si="1"/>
        <v>#N/A</v>
      </c>
      <c r="C49" s="11" t="s">
        <v>106</v>
      </c>
      <c r="D49" s="11">
        <v>4.0</v>
      </c>
      <c r="E49" s="11">
        <v>4.0</v>
      </c>
      <c r="F49" s="11">
        <f t="shared" si="2"/>
        <v>0</v>
      </c>
      <c r="G49" s="11"/>
      <c r="H49" s="11" t="s">
        <v>426</v>
      </c>
      <c r="I49" s="11" t="str">
        <f>VLOOKUP($H49, 'ADP Data'!$B$4:$Q$300, 2, FALSE)</f>
        <v>#N/A</v>
      </c>
      <c r="J49" s="11" t="str">
        <f>VLOOKUP($H49, 'ADP Data'!$B$4:$Q$300, 3, FALSE)</f>
        <v>#N/A</v>
      </c>
      <c r="K49" s="11" t="s">
        <v>1178</v>
      </c>
      <c r="L49" s="11" t="str">
        <f>VLOOKUP($H49, SeanRanks!$A$2:$H$303, 5, FALSE)</f>
        <v/>
      </c>
      <c r="M49" s="11">
        <f t="shared" si="3"/>
        <v>16</v>
      </c>
      <c r="N49" s="11" t="str">
        <f>VLOOKUP($H49, 'ADP Data'!$B$4:$Q$300, 11, FALSE)</f>
        <v>#N/A</v>
      </c>
      <c r="O49" s="11" t="str">
        <f>VLOOKUP($H49, 'ADP Data'!$B$4:$Q$300, 5, FALSE)</f>
        <v>#N/A</v>
      </c>
      <c r="P49" s="11" t="str">
        <f t="shared" si="4"/>
        <v>#N/A</v>
      </c>
      <c r="Q49" s="11" t="str">
        <f>VLOOKUP($H49, 'ADP Data'!$B$4:$Q$300, 6, FALSE)</f>
        <v>#N/A</v>
      </c>
      <c r="R49" s="11" t="str">
        <f>VLOOKUP($H49, 'ADP Data'!$B$4:$Q$300, 7, FALSE)</f>
        <v>#N/A</v>
      </c>
      <c r="S49" s="11" t="str">
        <f>VLOOKUP($H49, 'ADP Data'!$B$4:$Q$300, 8, FALSE)</f>
        <v>#N/A</v>
      </c>
      <c r="T49" s="11" t="str">
        <f>VLOOKUP($H49, 'ADP Data'!$B$4:$Q$300, 9, FALSE)</f>
        <v>#N/A</v>
      </c>
      <c r="U49" s="11" t="str">
        <f>VLOOKUP($H49, 'ADP Data'!$B$4:$Q$300, 10, FALSE)</f>
        <v>#N/A</v>
      </c>
      <c r="V49" s="11" t="str">
        <f t="shared" si="5"/>
        <v>#N/A</v>
      </c>
      <c r="W49" s="11" t="str">
        <f>VLOOKUP($H49, SeanRanks!$A$2:$J$303, 7, FALSE)-V49</f>
        <v>#N/A</v>
      </c>
      <c r="X49" s="11"/>
    </row>
    <row r="50" ht="14.25" customHeight="1">
      <c r="A50" s="11"/>
      <c r="B50" s="11" t="str">
        <f t="shared" si="1"/>
        <v>#N/A</v>
      </c>
      <c r="C50" s="11" t="s">
        <v>106</v>
      </c>
      <c r="D50" s="11">
        <v>3.0</v>
      </c>
      <c r="E50" s="11">
        <v>3.0</v>
      </c>
      <c r="F50" s="11">
        <f t="shared" si="2"/>
        <v>0</v>
      </c>
      <c r="G50" s="11"/>
      <c r="H50" s="11" t="s">
        <v>718</v>
      </c>
      <c r="I50" s="11" t="str">
        <f>VLOOKUP($H50, 'ADP Data'!$B$4:$Q$300, 2, FALSE)</f>
        <v>#N/A</v>
      </c>
      <c r="J50" s="11" t="str">
        <f>VLOOKUP($H50, 'ADP Data'!$B$4:$Q$300, 3, FALSE)</f>
        <v>#N/A</v>
      </c>
      <c r="K50" s="11" t="s">
        <v>1178</v>
      </c>
      <c r="L50" s="11" t="str">
        <f>VLOOKUP($H50, SeanRanks!$A$2:$H$303, 5, FALSE)</f>
        <v>#N/A</v>
      </c>
      <c r="M50" s="11">
        <f t="shared" si="3"/>
        <v>16</v>
      </c>
      <c r="N50" s="11" t="str">
        <f>VLOOKUP($H50, 'ADP Data'!$B$4:$Q$300, 11, FALSE)</f>
        <v>#N/A</v>
      </c>
      <c r="O50" s="11" t="str">
        <f>VLOOKUP($H50, 'ADP Data'!$B$4:$Q$300, 5, FALSE)</f>
        <v>#N/A</v>
      </c>
      <c r="P50" s="11" t="str">
        <f t="shared" si="4"/>
        <v>#N/A</v>
      </c>
      <c r="Q50" s="11" t="str">
        <f>VLOOKUP($H50, 'ADP Data'!$B$4:$Q$300, 6, FALSE)</f>
        <v>#N/A</v>
      </c>
      <c r="R50" s="11" t="str">
        <f>VLOOKUP($H50, 'ADP Data'!$B$4:$Q$300, 7, FALSE)</f>
        <v>#N/A</v>
      </c>
      <c r="S50" s="11" t="str">
        <f>VLOOKUP($H50, 'ADP Data'!$B$4:$Q$300, 8, FALSE)</f>
        <v>#N/A</v>
      </c>
      <c r="T50" s="11" t="str">
        <f>VLOOKUP($H50, 'ADP Data'!$B$4:$Q$300, 9, FALSE)</f>
        <v>#N/A</v>
      </c>
      <c r="U50" s="11" t="str">
        <f>VLOOKUP($H50, 'ADP Data'!$B$4:$Q$300, 10, FALSE)</f>
        <v>#N/A</v>
      </c>
      <c r="V50" s="11" t="str">
        <f t="shared" si="5"/>
        <v>#N/A</v>
      </c>
      <c r="W50" s="11" t="str">
        <f>VLOOKUP($H50, SeanRanks!$A$2:$J$303, 7, FALSE)-V50</f>
        <v>#N/A</v>
      </c>
      <c r="X50" s="11"/>
    </row>
    <row r="51" ht="14.25" customHeight="1">
      <c r="A51" s="11"/>
      <c r="B51" s="11" t="str">
        <f t="shared" si="1"/>
        <v>#N/A</v>
      </c>
      <c r="C51" s="11" t="s">
        <v>106</v>
      </c>
      <c r="D51" s="11"/>
      <c r="E51" s="11"/>
      <c r="F51" s="11">
        <f t="shared" si="2"/>
        <v>0</v>
      </c>
      <c r="G51" s="11" t="s">
        <v>95</v>
      </c>
      <c r="H51" s="11" t="s">
        <v>1179</v>
      </c>
      <c r="I51" s="11" t="str">
        <f>VLOOKUP($H51, 'ADP Data'!$B$4:$Q$300, 2, FALSE)</f>
        <v>#N/A</v>
      </c>
      <c r="J51" s="11" t="str">
        <f>VLOOKUP($H51, 'ADP Data'!$B$4:$Q$300, 3, FALSE)</f>
        <v>#N/A</v>
      </c>
      <c r="K51" s="11" t="s">
        <v>1180</v>
      </c>
      <c r="L51" s="11" t="str">
        <f>VLOOKUP($H51, SeanRanks!$A$2:$H$303, 5, FALSE)</f>
        <v>#N/A</v>
      </c>
      <c r="M51" s="11">
        <f t="shared" si="3"/>
        <v>16</v>
      </c>
      <c r="N51" s="11" t="str">
        <f>VLOOKUP($H51, 'ADP Data'!$B$4:$Q$300, 11, FALSE)</f>
        <v>#N/A</v>
      </c>
      <c r="O51" s="11" t="str">
        <f>VLOOKUP($H51, 'ADP Data'!$B$4:$Q$300, 5, FALSE)</f>
        <v>#N/A</v>
      </c>
      <c r="P51" s="11" t="str">
        <f t="shared" si="4"/>
        <v>#N/A</v>
      </c>
      <c r="Q51" s="11" t="str">
        <f>VLOOKUP($H51, 'ADP Data'!$B$4:$Q$300, 6, FALSE)</f>
        <v>#N/A</v>
      </c>
      <c r="R51" s="11" t="str">
        <f>VLOOKUP($H51, 'ADP Data'!$B$4:$Q$300, 7, FALSE)</f>
        <v>#N/A</v>
      </c>
      <c r="S51" s="11" t="str">
        <f>VLOOKUP($H51, 'ADP Data'!$B$4:$Q$300, 8, FALSE)</f>
        <v>#N/A</v>
      </c>
      <c r="T51" s="11" t="str">
        <f>VLOOKUP($H51, 'ADP Data'!$B$4:$Q$300, 9, FALSE)</f>
        <v>#N/A</v>
      </c>
      <c r="U51" s="11" t="str">
        <f>VLOOKUP($H51, 'ADP Data'!$B$4:$Q$300, 10, FALSE)</f>
        <v>#N/A</v>
      </c>
      <c r="V51" s="11" t="str">
        <f t="shared" si="5"/>
        <v>#N/A</v>
      </c>
      <c r="W51" s="11" t="str">
        <f>VLOOKUP($H51, SeanRanks!$A$2:$J$303, 7, FALSE)-V51</f>
        <v>#N/A</v>
      </c>
      <c r="X51" s="11"/>
    </row>
    <row r="52" ht="14.25" customHeight="1">
      <c r="A52" s="11"/>
      <c r="B52" s="11" t="str">
        <f t="shared" si="1"/>
        <v>#N/A</v>
      </c>
      <c r="C52" s="11" t="s">
        <v>106</v>
      </c>
      <c r="D52" s="11">
        <v>1.0</v>
      </c>
      <c r="E52" s="11">
        <v>1.0</v>
      </c>
      <c r="F52" s="11">
        <f t="shared" si="2"/>
        <v>0</v>
      </c>
      <c r="G52" s="11" t="s">
        <v>106</v>
      </c>
      <c r="H52" s="11" t="s">
        <v>909</v>
      </c>
      <c r="I52" s="11" t="str">
        <f>VLOOKUP($H52, 'ADP Data'!$B$4:$Q$300, 2, FALSE)</f>
        <v>#N/A</v>
      </c>
      <c r="J52" s="11" t="str">
        <f>VLOOKUP($H52, 'ADP Data'!$B$4:$Q$300, 3, FALSE)</f>
        <v>#N/A</v>
      </c>
      <c r="K52" s="11" t="s">
        <v>1181</v>
      </c>
      <c r="L52" s="11">
        <v>15.0</v>
      </c>
      <c r="M52" s="11">
        <f t="shared" si="3"/>
        <v>16</v>
      </c>
      <c r="N52" s="11" t="str">
        <f>VLOOKUP($H52, 'ADP Data'!$B$4:$Q$300, 11, FALSE)</f>
        <v>#N/A</v>
      </c>
      <c r="O52" s="11" t="str">
        <f>VLOOKUP($H52, 'ADP Data'!$B$4:$Q$300, 5, FALSE)</f>
        <v>#N/A</v>
      </c>
      <c r="P52" s="11" t="str">
        <f t="shared" si="4"/>
        <v>#N/A</v>
      </c>
      <c r="Q52" s="11" t="str">
        <f>VLOOKUP($H52, 'ADP Data'!$B$4:$Q$300, 6, FALSE)</f>
        <v>#N/A</v>
      </c>
      <c r="R52" s="11" t="str">
        <f>VLOOKUP($H52, 'ADP Data'!$B$4:$Q$300, 7, FALSE)</f>
        <v>#N/A</v>
      </c>
      <c r="S52" s="11" t="str">
        <f>VLOOKUP($H52, 'ADP Data'!$B$4:$Q$300, 8, FALSE)</f>
        <v>#N/A</v>
      </c>
      <c r="T52" s="11" t="str">
        <f>VLOOKUP($H52, 'ADP Data'!$B$4:$Q$300, 9, FALSE)</f>
        <v>#N/A</v>
      </c>
      <c r="U52" s="11" t="str">
        <f>VLOOKUP($H52, 'ADP Data'!$B$4:$Q$300, 10, FALSE)</f>
        <v>#N/A</v>
      </c>
      <c r="V52" s="11" t="str">
        <f t="shared" si="5"/>
        <v>#N/A</v>
      </c>
      <c r="W52" s="11" t="str">
        <f>VLOOKUP($H52, SeanRanks!$A$2:$J$303, 7, FALSE)-V52</f>
        <v>#N/A</v>
      </c>
      <c r="X52" s="11"/>
    </row>
    <row r="53" ht="14.25" customHeight="1">
      <c r="A53" s="11"/>
      <c r="B53" s="11" t="str">
        <f t="shared" si="1"/>
        <v>#N/A</v>
      </c>
      <c r="C53" s="11" t="s">
        <v>106</v>
      </c>
      <c r="D53" s="11"/>
      <c r="E53" s="11"/>
      <c r="F53" s="11">
        <f t="shared" si="2"/>
        <v>0</v>
      </c>
      <c r="G53" s="11"/>
      <c r="H53" s="11" t="s">
        <v>1182</v>
      </c>
      <c r="I53" s="11" t="str">
        <f>VLOOKUP($H53, 'ADP Data'!$B$4:$Q$300, 2, FALSE)</f>
        <v>#N/A</v>
      </c>
      <c r="J53" s="11" t="str">
        <f>VLOOKUP($H53, 'ADP Data'!$B$4:$Q$300, 3, FALSE)</f>
        <v>#N/A</v>
      </c>
      <c r="K53" s="11" t="s">
        <v>1180</v>
      </c>
      <c r="L53" s="11" t="str">
        <f>VLOOKUP($H53, SeanRanks!$A$2:$H$303, 5, FALSE)</f>
        <v>#N/A</v>
      </c>
      <c r="M53" s="11">
        <f t="shared" si="3"/>
        <v>16</v>
      </c>
      <c r="N53" s="11" t="str">
        <f>VLOOKUP($H53, 'ADP Data'!$B$4:$Q$300, 11, FALSE)</f>
        <v>#N/A</v>
      </c>
      <c r="O53" s="11" t="str">
        <f>VLOOKUP($H53, 'ADP Data'!$B$4:$Q$300, 5, FALSE)</f>
        <v>#N/A</v>
      </c>
      <c r="P53" s="11" t="str">
        <f t="shared" si="4"/>
        <v>#N/A</v>
      </c>
      <c r="Q53" s="11" t="str">
        <f>VLOOKUP($H53, 'ADP Data'!$B$4:$Q$300, 6, FALSE)</f>
        <v>#N/A</v>
      </c>
      <c r="R53" s="11" t="str">
        <f>VLOOKUP($H53, 'ADP Data'!$B$4:$Q$300, 7, FALSE)</f>
        <v>#N/A</v>
      </c>
      <c r="S53" s="11" t="str">
        <f>VLOOKUP($H53, 'ADP Data'!$B$4:$Q$300, 8, FALSE)</f>
        <v>#N/A</v>
      </c>
      <c r="T53" s="11" t="str">
        <f>VLOOKUP($H53, 'ADP Data'!$B$4:$Q$300, 9, FALSE)</f>
        <v>#N/A</v>
      </c>
      <c r="U53" s="11" t="str">
        <f>VLOOKUP($H53, 'ADP Data'!$B$4:$Q$300, 10, FALSE)</f>
        <v>#N/A</v>
      </c>
      <c r="V53" s="11" t="str">
        <f t="shared" si="5"/>
        <v>#N/A</v>
      </c>
      <c r="W53" s="11" t="str">
        <f>VLOOKUP($H53, SeanRanks!$A$2:$J$303, 7, FALSE)-V53</f>
        <v>#N/A</v>
      </c>
      <c r="X53" s="11"/>
    </row>
    <row r="54" ht="14.25" customHeight="1">
      <c r="A54" s="11"/>
      <c r="B54" s="11" t="str">
        <f t="shared" si="1"/>
        <v>#N/A</v>
      </c>
      <c r="C54" s="11" t="s">
        <v>106</v>
      </c>
      <c r="D54" s="11">
        <v>38.0</v>
      </c>
      <c r="E54" s="60">
        <v>38.0</v>
      </c>
      <c r="F54" s="11">
        <f t="shared" si="2"/>
        <v>0</v>
      </c>
      <c r="G54" s="60"/>
      <c r="H54" s="60" t="s">
        <v>84</v>
      </c>
      <c r="I54" s="60" t="str">
        <f>VLOOKUP($H54, 'ADP Data'!$B$4:$Q$300, 2, FALSE)</f>
        <v>#N/A</v>
      </c>
      <c r="J54" s="60" t="str">
        <f>VLOOKUP($H54, 'ADP Data'!$B$4:$Q$300, 3, FALSE)</f>
        <v>#N/A</v>
      </c>
      <c r="K54" s="60" t="str">
        <f>VLOOKUP($H54, SeanRanks!$A$2:$H$303, 4, FALSE)</f>
        <v/>
      </c>
      <c r="L54" s="11" t="str">
        <f>VLOOKUP($H54, SeanRanks!$A$2:$H$303, 5, FALSE)</f>
        <v/>
      </c>
      <c r="M54" s="11">
        <f t="shared" si="3"/>
        <v>16</v>
      </c>
      <c r="N54" s="11" t="str">
        <f>VLOOKUP($H54, 'ADP Data'!$B$4:$Q$300, 11, FALSE)</f>
        <v>#N/A</v>
      </c>
      <c r="O54" s="11" t="str">
        <f>VLOOKUP($H54, 'ADP Data'!$B$4:$Q$300, 5, FALSE)</f>
        <v>#N/A</v>
      </c>
      <c r="P54" s="11" t="str">
        <f t="shared" si="4"/>
        <v>#N/A</v>
      </c>
      <c r="Q54" s="11" t="str">
        <f>VLOOKUP($H54, 'ADP Data'!$B$4:$Q$300, 6, FALSE)</f>
        <v>#N/A</v>
      </c>
      <c r="R54" s="11" t="str">
        <f>VLOOKUP($H54, 'ADP Data'!$B$4:$Q$300, 7, FALSE)</f>
        <v>#N/A</v>
      </c>
      <c r="S54" s="11" t="str">
        <f>VLOOKUP($H54, 'ADP Data'!$B$4:$Q$300, 8, FALSE)</f>
        <v>#N/A</v>
      </c>
      <c r="T54" s="11" t="str">
        <f>VLOOKUP($H54, 'ADP Data'!$B$4:$Q$300, 9, FALSE)</f>
        <v>#N/A</v>
      </c>
      <c r="U54" s="11" t="str">
        <f>VLOOKUP($H54, 'ADP Data'!$B$4:$Q$300, 10, FALSE)</f>
        <v>#N/A</v>
      </c>
      <c r="V54" s="11" t="str">
        <f t="shared" si="5"/>
        <v>#N/A</v>
      </c>
      <c r="W54" s="11" t="str">
        <f>VLOOKUP($H54, SeanRanks!$A$2:$J$303, 7, FALSE)-V54</f>
        <v>#N/A</v>
      </c>
      <c r="X54" s="60"/>
    </row>
    <row r="55" ht="14.25" customHeight="1">
      <c r="A55" s="11"/>
      <c r="B55" s="11" t="str">
        <f t="shared" si="1"/>
        <v>#N/A</v>
      </c>
      <c r="C55" s="11" t="s">
        <v>106</v>
      </c>
      <c r="D55" s="11">
        <v>15.0</v>
      </c>
      <c r="E55" s="60">
        <v>15.0</v>
      </c>
      <c r="F55" s="11">
        <f t="shared" si="2"/>
        <v>0</v>
      </c>
      <c r="G55" s="60" t="s">
        <v>95</v>
      </c>
      <c r="H55" s="60" t="s">
        <v>250</v>
      </c>
      <c r="I55" s="60" t="str">
        <f>VLOOKUP($H55, 'ADP Data'!$B$4:$Q$300, 2, FALSE)</f>
        <v>#N/A</v>
      </c>
      <c r="J55" s="60" t="str">
        <f>VLOOKUP($H55, 'ADP Data'!$B$4:$Q$300, 3, FALSE)</f>
        <v>#N/A</v>
      </c>
      <c r="K55" s="60" t="str">
        <f>VLOOKUP($H55, SeanRanks!$A$2:$H$303, 4, FALSE)</f>
        <v/>
      </c>
      <c r="L55" s="60" t="str">
        <f>VLOOKUP($H55, SeanRanks!$A$2:$H$303, 5, FALSE)</f>
        <v/>
      </c>
      <c r="M55" s="11">
        <f t="shared" si="3"/>
        <v>16</v>
      </c>
      <c r="N55" s="11" t="str">
        <f>VLOOKUP($H55, 'ADP Data'!$B$4:$Q$300, 11, FALSE)</f>
        <v>#N/A</v>
      </c>
      <c r="O55" s="11" t="str">
        <f>VLOOKUP($H55, 'ADP Data'!$B$4:$Q$300, 5, FALSE)</f>
        <v>#N/A</v>
      </c>
      <c r="P55" s="11" t="str">
        <f t="shared" si="4"/>
        <v>#N/A</v>
      </c>
      <c r="Q55" s="11" t="str">
        <f>VLOOKUP($H55, 'ADP Data'!$B$4:$Q$300, 6, FALSE)</f>
        <v>#N/A</v>
      </c>
      <c r="R55" s="11" t="str">
        <f>VLOOKUP($H55, 'ADP Data'!$B$4:$Q$300, 7, FALSE)</f>
        <v>#N/A</v>
      </c>
      <c r="S55" s="11" t="str">
        <f>VLOOKUP($H55, 'ADP Data'!$B$4:$Q$300, 8, FALSE)</f>
        <v>#N/A</v>
      </c>
      <c r="T55" s="11" t="str">
        <f>VLOOKUP($H55, 'ADP Data'!$B$4:$Q$300, 9, FALSE)</f>
        <v>#N/A</v>
      </c>
      <c r="U55" s="11" t="str">
        <f>VLOOKUP($H55, 'ADP Data'!$B$4:$Q$300, 10, FALSE)</f>
        <v>#N/A</v>
      </c>
      <c r="V55" s="11" t="str">
        <f t="shared" si="5"/>
        <v>#N/A</v>
      </c>
      <c r="W55" s="11" t="str">
        <f>VLOOKUP($H55, SeanRanks!$A$2:$J$303, 7, FALSE)-V55</f>
        <v>#N/A</v>
      </c>
      <c r="X55" s="60" t="s">
        <v>1183</v>
      </c>
    </row>
    <row r="56" ht="14.25" customHeight="1">
      <c r="A56" s="11"/>
      <c r="B56" s="11" t="str">
        <f t="shared" si="1"/>
        <v>#N/A</v>
      </c>
      <c r="C56" s="11" t="s">
        <v>106</v>
      </c>
      <c r="D56" s="11">
        <v>1.0</v>
      </c>
      <c r="E56" s="11">
        <v>1.0</v>
      </c>
      <c r="F56" s="11">
        <f t="shared" si="2"/>
        <v>0</v>
      </c>
      <c r="G56" s="11"/>
      <c r="H56" s="11" t="s">
        <v>268</v>
      </c>
      <c r="I56" s="11" t="str">
        <f>VLOOKUP($H56, 'ADP Data'!$B$4:$Q$300, 2, FALSE)</f>
        <v>#N/A</v>
      </c>
      <c r="J56" s="11" t="str">
        <f>VLOOKUP($H56, 'ADP Data'!$B$4:$Q$300, 3, FALSE)</f>
        <v>#N/A</v>
      </c>
      <c r="K56" s="11" t="s">
        <v>1167</v>
      </c>
      <c r="L56" s="11">
        <v>18.0</v>
      </c>
      <c r="M56" s="11">
        <f t="shared" si="3"/>
        <v>16</v>
      </c>
      <c r="N56" s="11" t="str">
        <f>VLOOKUP($H56, 'ADP Data'!$B$4:$Q$300, 11, FALSE)</f>
        <v>#N/A</v>
      </c>
      <c r="O56" s="11" t="str">
        <f>VLOOKUP($H56, 'ADP Data'!$B$4:$Q$300, 5, FALSE)</f>
        <v>#N/A</v>
      </c>
      <c r="P56" s="11" t="str">
        <f t="shared" si="4"/>
        <v>#N/A</v>
      </c>
      <c r="Q56" s="11" t="str">
        <f>VLOOKUP($H56, 'ADP Data'!$B$4:$Q$300, 6, FALSE)</f>
        <v>#N/A</v>
      </c>
      <c r="R56" s="11" t="str">
        <f>VLOOKUP($H56, 'ADP Data'!$B$4:$Q$300, 7, FALSE)</f>
        <v>#N/A</v>
      </c>
      <c r="S56" s="11" t="str">
        <f>VLOOKUP($H56, 'ADP Data'!$B$4:$Q$300, 8, FALSE)</f>
        <v>#N/A</v>
      </c>
      <c r="T56" s="11" t="str">
        <f>VLOOKUP($H56, 'ADP Data'!$B$4:$Q$300, 9, FALSE)</f>
        <v>#N/A</v>
      </c>
      <c r="U56" s="11" t="str">
        <f>VLOOKUP($H56, 'ADP Data'!$B$4:$Q$300, 10, FALSE)</f>
        <v>#N/A</v>
      </c>
      <c r="V56" s="11" t="str">
        <f t="shared" si="5"/>
        <v>#N/A</v>
      </c>
      <c r="W56" s="11" t="str">
        <f>VLOOKUP($H56, SeanRanks!$A$2:$J$303, 7, FALSE)-V56</f>
        <v>#N/A</v>
      </c>
      <c r="X56" s="11"/>
    </row>
    <row r="57" ht="14.25" customHeight="1">
      <c r="A57" s="11"/>
      <c r="B57" s="11" t="str">
        <f t="shared" si="1"/>
        <v>#N/A</v>
      </c>
      <c r="C57" s="11" t="s">
        <v>106</v>
      </c>
      <c r="D57" s="11"/>
      <c r="E57" s="11"/>
      <c r="F57" s="11">
        <f t="shared" si="2"/>
        <v>0</v>
      </c>
      <c r="G57" s="11" t="s">
        <v>106</v>
      </c>
      <c r="H57" s="11" t="s">
        <v>907</v>
      </c>
      <c r="I57" s="11" t="str">
        <f>VLOOKUP($H57, 'ADP Data'!$B$4:$Q$300, 2, FALSE)</f>
        <v>#N/A</v>
      </c>
      <c r="J57" s="11" t="str">
        <f>VLOOKUP($H57, 'ADP Data'!$B$4:$Q$300, 3, FALSE)</f>
        <v>#N/A</v>
      </c>
      <c r="K57" s="11" t="s">
        <v>1184</v>
      </c>
      <c r="L57" s="11" t="str">
        <f>VLOOKUP($H57, SeanRanks!$A$2:$H$303, 5, FALSE)</f>
        <v>#N/A</v>
      </c>
      <c r="M57" s="11">
        <f t="shared" si="3"/>
        <v>16</v>
      </c>
      <c r="N57" s="11" t="str">
        <f>VLOOKUP($H57, 'ADP Data'!$B$4:$Q$300, 11, FALSE)</f>
        <v>#N/A</v>
      </c>
      <c r="O57" s="11" t="str">
        <f>VLOOKUP($H57, 'ADP Data'!$B$4:$Q$300, 5, FALSE)</f>
        <v>#N/A</v>
      </c>
      <c r="P57" s="11" t="str">
        <f t="shared" si="4"/>
        <v>#N/A</v>
      </c>
      <c r="Q57" s="11" t="str">
        <f>VLOOKUP($H57, 'ADP Data'!$B$4:$Q$300, 6, FALSE)</f>
        <v>#N/A</v>
      </c>
      <c r="R57" s="11" t="str">
        <f>VLOOKUP($H57, 'ADP Data'!$B$4:$Q$300, 7, FALSE)</f>
        <v>#N/A</v>
      </c>
      <c r="S57" s="11" t="str">
        <f>VLOOKUP($H57, 'ADP Data'!$B$4:$Q$300, 8, FALSE)</f>
        <v>#N/A</v>
      </c>
      <c r="T57" s="11" t="str">
        <f>VLOOKUP($H57, 'ADP Data'!$B$4:$Q$300, 9, FALSE)</f>
        <v>#N/A</v>
      </c>
      <c r="U57" s="11" t="str">
        <f>VLOOKUP($H57, 'ADP Data'!$B$4:$Q$300, 10, FALSE)</f>
        <v>#N/A</v>
      </c>
      <c r="V57" s="11" t="str">
        <f t="shared" si="5"/>
        <v>#N/A</v>
      </c>
      <c r="W57" s="11" t="str">
        <f>VLOOKUP($H57, SeanRanks!$A$2:$J$303, 7, FALSE)-V57</f>
        <v>#N/A</v>
      </c>
      <c r="X57" s="11"/>
    </row>
    <row r="58" ht="14.25" customHeight="1">
      <c r="A58" s="11"/>
      <c r="B58" s="11" t="str">
        <f t="shared" si="1"/>
        <v>#N/A</v>
      </c>
      <c r="C58" s="11" t="s">
        <v>106</v>
      </c>
      <c r="D58" s="11"/>
      <c r="E58" s="11"/>
      <c r="F58" s="11">
        <f t="shared" si="2"/>
        <v>0</v>
      </c>
      <c r="G58" s="11"/>
      <c r="H58" s="11" t="s">
        <v>1185</v>
      </c>
      <c r="I58" s="11" t="str">
        <f>VLOOKUP($H58, 'ADP Data'!$B$4:$Q$300, 2, FALSE)</f>
        <v>#N/A</v>
      </c>
      <c r="J58" s="11" t="str">
        <f>VLOOKUP($H58, 'ADP Data'!$B$4:$Q$300, 3, FALSE)</f>
        <v>#N/A</v>
      </c>
      <c r="K58" s="11" t="s">
        <v>1167</v>
      </c>
      <c r="L58" s="11">
        <v>19.0</v>
      </c>
      <c r="M58" s="11">
        <f t="shared" si="3"/>
        <v>16</v>
      </c>
      <c r="N58" s="11" t="str">
        <f>VLOOKUP($H58, 'ADP Data'!$B$4:$Q$300, 11, FALSE)</f>
        <v>#N/A</v>
      </c>
      <c r="O58" s="11" t="str">
        <f>VLOOKUP($H58, 'ADP Data'!$B$4:$Q$300, 5, FALSE)</f>
        <v>#N/A</v>
      </c>
      <c r="P58" s="11" t="str">
        <f t="shared" si="4"/>
        <v>#N/A</v>
      </c>
      <c r="Q58" s="11" t="str">
        <f>VLOOKUP($H58, 'ADP Data'!$B$4:$Q$300, 6, FALSE)</f>
        <v>#N/A</v>
      </c>
      <c r="R58" s="11" t="str">
        <f>VLOOKUP($H58, 'ADP Data'!$B$4:$Q$300, 7, FALSE)</f>
        <v>#N/A</v>
      </c>
      <c r="S58" s="11" t="str">
        <f>VLOOKUP($H58, 'ADP Data'!$B$4:$Q$300, 8, FALSE)</f>
        <v>#N/A</v>
      </c>
      <c r="T58" s="11" t="str">
        <f>VLOOKUP($H58, 'ADP Data'!$B$4:$Q$300, 9, FALSE)</f>
        <v>#N/A</v>
      </c>
      <c r="U58" s="11" t="str">
        <f>VLOOKUP($H58, 'ADP Data'!$B$4:$Q$300, 10, FALSE)</f>
        <v>#N/A</v>
      </c>
      <c r="V58" s="11" t="str">
        <f t="shared" si="5"/>
        <v>#N/A</v>
      </c>
      <c r="W58" s="11" t="str">
        <f>VLOOKUP($H58, SeanRanks!$A$2:$J$303, 7, FALSE)-V58</f>
        <v>#N/A</v>
      </c>
      <c r="X58" s="11"/>
    </row>
    <row r="59" ht="14.25" customHeight="1">
      <c r="A59" s="11"/>
      <c r="B59" s="11" t="str">
        <f t="shared" si="1"/>
        <v>#N/A</v>
      </c>
      <c r="C59" s="11" t="s">
        <v>106</v>
      </c>
      <c r="D59" s="11"/>
      <c r="E59" s="11"/>
      <c r="F59" s="11">
        <f t="shared" si="2"/>
        <v>0</v>
      </c>
      <c r="G59" s="11"/>
      <c r="H59" s="11" t="s">
        <v>993</v>
      </c>
      <c r="I59" s="11" t="str">
        <f>VLOOKUP($H59, 'ADP Data'!$B$4:$Q$300, 2, FALSE)</f>
        <v>#N/A</v>
      </c>
      <c r="J59" s="11" t="str">
        <f>VLOOKUP($H59, 'ADP Data'!$B$4:$Q$300, 3, FALSE)</f>
        <v>#N/A</v>
      </c>
      <c r="K59" s="11" t="s">
        <v>1184</v>
      </c>
      <c r="L59" s="11" t="str">
        <f>VLOOKUP($H59, SeanRanks!$A$2:$H$303, 5, FALSE)</f>
        <v/>
      </c>
      <c r="M59" s="11">
        <f t="shared" si="3"/>
        <v>16</v>
      </c>
      <c r="N59" s="11" t="str">
        <f>VLOOKUP($H59, 'ADP Data'!$B$4:$Q$300, 11, FALSE)</f>
        <v>#N/A</v>
      </c>
      <c r="O59" s="11" t="str">
        <f>VLOOKUP($H59, 'ADP Data'!$B$4:$Q$300, 5, FALSE)</f>
        <v>#N/A</v>
      </c>
      <c r="P59" s="11" t="str">
        <f t="shared" si="4"/>
        <v>#N/A</v>
      </c>
      <c r="Q59" s="11" t="str">
        <f>VLOOKUP($H59, 'ADP Data'!$B$4:$Q$300, 6, FALSE)</f>
        <v>#N/A</v>
      </c>
      <c r="R59" s="11" t="str">
        <f>VLOOKUP($H59, 'ADP Data'!$B$4:$Q$300, 7, FALSE)</f>
        <v>#N/A</v>
      </c>
      <c r="S59" s="11" t="str">
        <f>VLOOKUP($H59, 'ADP Data'!$B$4:$Q$300, 8, FALSE)</f>
        <v>#N/A</v>
      </c>
      <c r="T59" s="11" t="str">
        <f>VLOOKUP($H59, 'ADP Data'!$B$4:$Q$300, 9, FALSE)</f>
        <v>#N/A</v>
      </c>
      <c r="U59" s="11" t="str">
        <f>VLOOKUP($H59, 'ADP Data'!$B$4:$Q$300, 10, FALSE)</f>
        <v>#N/A</v>
      </c>
      <c r="V59" s="11" t="str">
        <f t="shared" si="5"/>
        <v>#N/A</v>
      </c>
      <c r="W59" s="11" t="str">
        <f>VLOOKUP($H59, SeanRanks!$A$2:$J$303, 7, FALSE)-V59</f>
        <v>#N/A</v>
      </c>
      <c r="X59" s="11"/>
    </row>
    <row r="60" ht="14.25" customHeight="1">
      <c r="A60" s="11"/>
      <c r="B60" s="11" t="str">
        <f t="shared" si="1"/>
        <v>#N/A</v>
      </c>
      <c r="C60" s="11" t="s">
        <v>106</v>
      </c>
      <c r="D60" s="11"/>
      <c r="E60" s="11"/>
      <c r="F60" s="11">
        <f t="shared" si="2"/>
        <v>0</v>
      </c>
      <c r="G60" s="11"/>
      <c r="H60" s="11" t="s">
        <v>1186</v>
      </c>
      <c r="I60" s="11" t="str">
        <f>VLOOKUP($H60, 'ADP Data'!$B$4:$Q$300, 2, FALSE)</f>
        <v>#N/A</v>
      </c>
      <c r="J60" s="11" t="str">
        <f>VLOOKUP($H60, 'ADP Data'!$B$4:$Q$300, 3, FALSE)</f>
        <v>#N/A</v>
      </c>
      <c r="K60" s="11" t="s">
        <v>1167</v>
      </c>
      <c r="L60" s="11">
        <v>20.0</v>
      </c>
      <c r="M60" s="11">
        <f t="shared" si="3"/>
        <v>16</v>
      </c>
      <c r="N60" s="11" t="str">
        <f>VLOOKUP($H60, 'ADP Data'!$B$4:$Q$300, 11, FALSE)</f>
        <v>#N/A</v>
      </c>
      <c r="O60" s="11" t="str">
        <f>VLOOKUP($H60, 'ADP Data'!$B$4:$Q$300, 5, FALSE)</f>
        <v>#N/A</v>
      </c>
      <c r="P60" s="11" t="str">
        <f t="shared" si="4"/>
        <v>#N/A</v>
      </c>
      <c r="Q60" s="11" t="str">
        <f>VLOOKUP($H60, 'ADP Data'!$B$4:$Q$300, 6, FALSE)</f>
        <v>#N/A</v>
      </c>
      <c r="R60" s="11" t="str">
        <f>VLOOKUP($H60, 'ADP Data'!$B$4:$Q$300, 7, FALSE)</f>
        <v>#N/A</v>
      </c>
      <c r="S60" s="11" t="str">
        <f>VLOOKUP($H60, 'ADP Data'!$B$4:$Q$300, 8, FALSE)</f>
        <v>#N/A</v>
      </c>
      <c r="T60" s="11" t="str">
        <f>VLOOKUP($H60, 'ADP Data'!$B$4:$Q$300, 9, FALSE)</f>
        <v>#N/A</v>
      </c>
      <c r="U60" s="11" t="str">
        <f>VLOOKUP($H60, 'ADP Data'!$B$4:$Q$300, 10, FALSE)</f>
        <v>#N/A</v>
      </c>
      <c r="V60" s="11" t="str">
        <f t="shared" si="5"/>
        <v>#N/A</v>
      </c>
      <c r="W60" s="11" t="str">
        <f>VLOOKUP($H60, SeanRanks!$A$2:$J$303, 7, FALSE)-V60</f>
        <v>#N/A</v>
      </c>
      <c r="X60" s="11"/>
    </row>
    <row r="61" ht="14.25" customHeight="1">
      <c r="A61" s="11"/>
      <c r="B61" s="11" t="str">
        <f t="shared" si="1"/>
        <v>#N/A</v>
      </c>
      <c r="C61" s="11" t="s">
        <v>106</v>
      </c>
      <c r="D61" s="11"/>
      <c r="E61" s="11"/>
      <c r="F61" s="11">
        <f t="shared" si="2"/>
        <v>0</v>
      </c>
      <c r="G61" s="11"/>
      <c r="H61" s="11" t="s">
        <v>1187</v>
      </c>
      <c r="I61" s="11" t="str">
        <f>VLOOKUP($H61, 'ADP Data'!$B$4:$Q$300, 2, FALSE)</f>
        <v>#N/A</v>
      </c>
      <c r="J61" s="11" t="str">
        <f>VLOOKUP($H61, 'ADP Data'!$B$4:$Q$300, 3, FALSE)</f>
        <v>#N/A</v>
      </c>
      <c r="K61" s="11" t="s">
        <v>1188</v>
      </c>
      <c r="L61" s="11">
        <v>21.0</v>
      </c>
      <c r="M61" s="11">
        <f t="shared" si="3"/>
        <v>16</v>
      </c>
      <c r="N61" s="11" t="str">
        <f>VLOOKUP($H61, 'ADP Data'!$B$4:$Q$300, 11, FALSE)</f>
        <v>#N/A</v>
      </c>
      <c r="O61" s="11" t="str">
        <f>VLOOKUP($H61, 'ADP Data'!$B$4:$Q$300, 5, FALSE)</f>
        <v>#N/A</v>
      </c>
      <c r="P61" s="11" t="str">
        <f t="shared" si="4"/>
        <v>#N/A</v>
      </c>
      <c r="Q61" s="11" t="str">
        <f>VLOOKUP($H61, 'ADP Data'!$B$4:$Q$300, 6, FALSE)</f>
        <v>#N/A</v>
      </c>
      <c r="R61" s="11" t="str">
        <f>VLOOKUP($H61, 'ADP Data'!$B$4:$Q$300, 7, FALSE)</f>
        <v>#N/A</v>
      </c>
      <c r="S61" s="11" t="str">
        <f>VLOOKUP($H61, 'ADP Data'!$B$4:$Q$300, 8, FALSE)</f>
        <v>#N/A</v>
      </c>
      <c r="T61" s="11" t="str">
        <f>VLOOKUP($H61, 'ADP Data'!$B$4:$Q$300, 9, FALSE)</f>
        <v>#N/A</v>
      </c>
      <c r="U61" s="11" t="str">
        <f>VLOOKUP($H61, 'ADP Data'!$B$4:$Q$300, 10, FALSE)</f>
        <v>#N/A</v>
      </c>
      <c r="V61" s="11" t="str">
        <f t="shared" si="5"/>
        <v>#N/A</v>
      </c>
      <c r="W61" s="11" t="str">
        <f>VLOOKUP($H61, SeanRanks!$A$2:$J$303, 7, FALSE)-V61</f>
        <v>#N/A</v>
      </c>
      <c r="X61" s="11"/>
    </row>
    <row r="62" ht="14.25" customHeight="1">
      <c r="A62" s="11"/>
      <c r="B62" s="11" t="str">
        <f t="shared" si="1"/>
        <v>#N/A</v>
      </c>
      <c r="C62" s="11" t="s">
        <v>106</v>
      </c>
      <c r="D62" s="11"/>
      <c r="E62" s="11"/>
      <c r="F62" s="11">
        <f t="shared" si="2"/>
        <v>0</v>
      </c>
      <c r="G62" s="11"/>
      <c r="H62" s="11" t="s">
        <v>839</v>
      </c>
      <c r="I62" s="11" t="str">
        <f>VLOOKUP($H62, 'ADP Data'!$B$4:$Q$300, 2, FALSE)</f>
        <v>#N/A</v>
      </c>
      <c r="J62" s="11" t="str">
        <f>VLOOKUP($H62, 'ADP Data'!$B$4:$Q$300, 3, FALSE)</f>
        <v>#N/A</v>
      </c>
      <c r="K62" s="11" t="s">
        <v>1188</v>
      </c>
      <c r="L62" s="11">
        <v>23.0</v>
      </c>
      <c r="M62" s="11">
        <f t="shared" si="3"/>
        <v>16</v>
      </c>
      <c r="N62" s="11" t="str">
        <f>VLOOKUP($H62, 'ADP Data'!$B$4:$Q$300, 11, FALSE)</f>
        <v>#N/A</v>
      </c>
      <c r="O62" s="11" t="str">
        <f>VLOOKUP($H62, 'ADP Data'!$B$4:$Q$300, 5, FALSE)</f>
        <v>#N/A</v>
      </c>
      <c r="P62" s="11" t="str">
        <f t="shared" si="4"/>
        <v>#N/A</v>
      </c>
      <c r="Q62" s="11" t="str">
        <f>VLOOKUP($H62, 'ADP Data'!$B$4:$Q$300, 6, FALSE)</f>
        <v>#N/A</v>
      </c>
      <c r="R62" s="11" t="str">
        <f>VLOOKUP($H62, 'ADP Data'!$B$4:$Q$300, 7, FALSE)</f>
        <v>#N/A</v>
      </c>
      <c r="S62" s="11" t="str">
        <f>VLOOKUP($H62, 'ADP Data'!$B$4:$Q$300, 8, FALSE)</f>
        <v>#N/A</v>
      </c>
      <c r="T62" s="11" t="str">
        <f>VLOOKUP($H62, 'ADP Data'!$B$4:$Q$300, 9, FALSE)</f>
        <v>#N/A</v>
      </c>
      <c r="U62" s="11" t="str">
        <f>VLOOKUP($H62, 'ADP Data'!$B$4:$Q$300, 10, FALSE)</f>
        <v>#N/A</v>
      </c>
      <c r="V62" s="11" t="str">
        <f t="shared" si="5"/>
        <v>#N/A</v>
      </c>
      <c r="W62" s="11" t="str">
        <f>VLOOKUP($H62, SeanRanks!$A$2:$J$303, 7, FALSE)-V62</f>
        <v>#N/A</v>
      </c>
      <c r="X62" s="11"/>
    </row>
    <row r="63" ht="14.25" customHeight="1">
      <c r="A63" s="11"/>
      <c r="B63" s="11" t="str">
        <f t="shared" si="1"/>
        <v>#N/A</v>
      </c>
      <c r="C63" s="11" t="s">
        <v>106</v>
      </c>
      <c r="D63" s="11"/>
      <c r="E63" s="11"/>
      <c r="F63" s="11">
        <f t="shared" si="2"/>
        <v>0</v>
      </c>
      <c r="G63" s="11"/>
      <c r="H63" s="11" t="s">
        <v>1189</v>
      </c>
      <c r="I63" s="11" t="str">
        <f>VLOOKUP($H63, 'ADP Data'!$B$4:$Q$300, 2, FALSE)</f>
        <v>#N/A</v>
      </c>
      <c r="J63" s="11" t="str">
        <f>VLOOKUP($H63, 'ADP Data'!$B$4:$Q$300, 3, FALSE)</f>
        <v>#N/A</v>
      </c>
      <c r="K63" s="11" t="s">
        <v>1190</v>
      </c>
      <c r="L63" s="11">
        <v>23.0</v>
      </c>
      <c r="M63" s="11">
        <f t="shared" si="3"/>
        <v>16</v>
      </c>
      <c r="N63" s="11" t="str">
        <f>VLOOKUP($H63, 'ADP Data'!$B$4:$Q$300, 11, FALSE)</f>
        <v>#N/A</v>
      </c>
      <c r="O63" s="11" t="str">
        <f>VLOOKUP($H63, 'ADP Data'!$B$4:$Q$300, 5, FALSE)</f>
        <v>#N/A</v>
      </c>
      <c r="P63" s="11" t="str">
        <f t="shared" si="4"/>
        <v>#N/A</v>
      </c>
      <c r="Q63" s="11" t="str">
        <f>VLOOKUP($H63, 'ADP Data'!$B$4:$Q$300, 6, FALSE)</f>
        <v>#N/A</v>
      </c>
      <c r="R63" s="11" t="str">
        <f>VLOOKUP($H63, 'ADP Data'!$B$4:$Q$300, 7, FALSE)</f>
        <v>#N/A</v>
      </c>
      <c r="S63" s="11" t="str">
        <f>VLOOKUP($H63, 'ADP Data'!$B$4:$Q$300, 8, FALSE)</f>
        <v>#N/A</v>
      </c>
      <c r="T63" s="11" t="str">
        <f>VLOOKUP($H63, 'ADP Data'!$B$4:$Q$300, 9, FALSE)</f>
        <v>#N/A</v>
      </c>
      <c r="U63" s="11" t="str">
        <f>VLOOKUP($H63, 'ADP Data'!$B$4:$Q$300, 10, FALSE)</f>
        <v>#N/A</v>
      </c>
      <c r="V63" s="11" t="str">
        <f t="shared" si="5"/>
        <v>#N/A</v>
      </c>
      <c r="W63" s="11" t="str">
        <f>VLOOKUP($H63, SeanRanks!$A$2:$J$303, 7, FALSE)-V63</f>
        <v>#N/A</v>
      </c>
      <c r="X63" s="11"/>
    </row>
    <row r="64" ht="14.25" customHeight="1">
      <c r="A64" s="11"/>
      <c r="B64" s="11" t="str">
        <f t="shared" si="1"/>
        <v>#N/A</v>
      </c>
      <c r="C64" s="11" t="s">
        <v>106</v>
      </c>
      <c r="D64" s="11">
        <v>8.0</v>
      </c>
      <c r="E64" s="11">
        <v>8.0</v>
      </c>
      <c r="F64" s="11">
        <f t="shared" si="2"/>
        <v>0</v>
      </c>
      <c r="G64" s="11"/>
      <c r="H64" s="11" t="s">
        <v>1191</v>
      </c>
      <c r="I64" s="11" t="str">
        <f>VLOOKUP($H64, 'ADP Data'!$B$4:$Q$300, 2, FALSE)</f>
        <v>#N/A</v>
      </c>
      <c r="J64" s="11" t="str">
        <f>VLOOKUP($H64, 'ADP Data'!$B$4:$Q$300, 3, FALSE)</f>
        <v>#N/A</v>
      </c>
      <c r="K64" s="11" t="str">
        <f>VLOOKUP($H64, SeanRanks!$A$2:$H$303, 4, FALSE)</f>
        <v>#N/A</v>
      </c>
      <c r="L64" s="11" t="str">
        <f>VLOOKUP($H64, SeanRanks!$A$2:$H$303, 5, FALSE)</f>
        <v>#N/A</v>
      </c>
      <c r="M64" s="11">
        <f t="shared" si="3"/>
        <v>16</v>
      </c>
      <c r="N64" s="11" t="str">
        <f>VLOOKUP($H64, 'ADP Data'!$B$4:$Q$300, 11, FALSE)</f>
        <v>#N/A</v>
      </c>
      <c r="O64" s="11" t="str">
        <f>VLOOKUP($H64, 'ADP Data'!$B$4:$Q$300, 5, FALSE)</f>
        <v>#N/A</v>
      </c>
      <c r="P64" s="11" t="str">
        <f t="shared" si="4"/>
        <v>#N/A</v>
      </c>
      <c r="Q64" s="11" t="str">
        <f>VLOOKUP($H64, 'ADP Data'!$B$4:$Q$300, 6, FALSE)</f>
        <v>#N/A</v>
      </c>
      <c r="R64" s="11" t="str">
        <f>VLOOKUP($H64, 'ADP Data'!$B$4:$Q$300, 7, FALSE)</f>
        <v>#N/A</v>
      </c>
      <c r="S64" s="11" t="str">
        <f>VLOOKUP($H64, 'ADP Data'!$B$4:$Q$300, 8, FALSE)</f>
        <v>#N/A</v>
      </c>
      <c r="T64" s="11" t="str">
        <f>VLOOKUP($H64, 'ADP Data'!$B$4:$Q$300, 9, FALSE)</f>
        <v>#N/A</v>
      </c>
      <c r="U64" s="11" t="str">
        <f>VLOOKUP($H64, 'ADP Data'!$B$4:$Q$300, 10, FALSE)</f>
        <v>#N/A</v>
      </c>
      <c r="V64" s="11" t="str">
        <f t="shared" si="5"/>
        <v>#N/A</v>
      </c>
      <c r="W64" s="11" t="str">
        <f>VLOOKUP($H64, SeanRanks!$A$2:$J$303, 7, FALSE)-V64</f>
        <v>#N/A</v>
      </c>
      <c r="X64" s="11"/>
    </row>
    <row r="65" ht="14.25" customHeight="1">
      <c r="A65" s="11"/>
      <c r="B65" s="11" t="str">
        <f t="shared" si="1"/>
        <v>#N/A</v>
      </c>
      <c r="C65" s="11" t="s">
        <v>106</v>
      </c>
      <c r="D65" s="11"/>
      <c r="E65" s="11"/>
      <c r="F65" s="11">
        <f t="shared" si="2"/>
        <v>0</v>
      </c>
      <c r="G65" s="11"/>
      <c r="H65" s="11" t="s">
        <v>346</v>
      </c>
      <c r="I65" s="11" t="str">
        <f>VLOOKUP($H65, 'ADP Data'!$B$4:$Q$300, 2, FALSE)</f>
        <v>#N/A</v>
      </c>
      <c r="J65" s="11" t="str">
        <f>VLOOKUP($H65, 'ADP Data'!$B$4:$Q$300, 3, FALSE)</f>
        <v>#N/A</v>
      </c>
      <c r="K65" s="11" t="s">
        <v>1190</v>
      </c>
      <c r="L65" s="11">
        <v>24.0</v>
      </c>
      <c r="M65" s="11">
        <f t="shared" si="3"/>
        <v>16</v>
      </c>
      <c r="N65" s="11" t="str">
        <f>VLOOKUP($H65, 'ADP Data'!$B$4:$Q$300, 11, FALSE)</f>
        <v>#N/A</v>
      </c>
      <c r="O65" s="11" t="str">
        <f>VLOOKUP($H65, 'ADP Data'!$B$4:$Q$300, 5, FALSE)</f>
        <v>#N/A</v>
      </c>
      <c r="P65" s="11" t="str">
        <f t="shared" si="4"/>
        <v>#N/A</v>
      </c>
      <c r="Q65" s="11" t="str">
        <f>VLOOKUP($H65, 'ADP Data'!$B$4:$Q$300, 6, FALSE)</f>
        <v>#N/A</v>
      </c>
      <c r="R65" s="11" t="str">
        <f>VLOOKUP($H65, 'ADP Data'!$B$4:$Q$300, 7, FALSE)</f>
        <v>#N/A</v>
      </c>
      <c r="S65" s="11" t="str">
        <f>VLOOKUP($H65, 'ADP Data'!$B$4:$Q$300, 8, FALSE)</f>
        <v>#N/A</v>
      </c>
      <c r="T65" s="11" t="str">
        <f>VLOOKUP($H65, 'ADP Data'!$B$4:$Q$300, 9, FALSE)</f>
        <v>#N/A</v>
      </c>
      <c r="U65" s="11" t="str">
        <f>VLOOKUP($H65, 'ADP Data'!$B$4:$Q$300, 10, FALSE)</f>
        <v>#N/A</v>
      </c>
      <c r="V65" s="11" t="str">
        <f t="shared" si="5"/>
        <v>#N/A</v>
      </c>
      <c r="W65" s="11" t="str">
        <f>VLOOKUP($H65, SeanRanks!$A$2:$J$303, 7, FALSE)-V65</f>
        <v>#N/A</v>
      </c>
      <c r="X65" s="11"/>
    </row>
    <row r="66" ht="14.25" customHeight="1">
      <c r="A66" s="11"/>
      <c r="B66" s="11" t="str">
        <f t="shared" si="1"/>
        <v>#N/A</v>
      </c>
      <c r="C66" s="11" t="s">
        <v>106</v>
      </c>
      <c r="D66" s="11">
        <v>15.0</v>
      </c>
      <c r="E66" s="60">
        <v>15.0</v>
      </c>
      <c r="F66" s="11">
        <f t="shared" si="2"/>
        <v>0</v>
      </c>
      <c r="G66" s="60" t="s">
        <v>106</v>
      </c>
      <c r="H66" s="60" t="s">
        <v>1192</v>
      </c>
      <c r="I66" s="60" t="str">
        <f>VLOOKUP($H66, 'ADP Data'!$B$4:$Q$300, 2, FALSE)</f>
        <v>#N/A</v>
      </c>
      <c r="J66" s="60" t="str">
        <f>VLOOKUP($H66, 'ADP Data'!$B$4:$Q$300, 3, FALSE)</f>
        <v>#N/A</v>
      </c>
      <c r="K66" s="60" t="str">
        <f>VLOOKUP($H66, SeanRanks!$A$2:$H$303, 4, FALSE)</f>
        <v>#N/A</v>
      </c>
      <c r="L66" s="60" t="str">
        <f>VLOOKUP($H66, SeanRanks!$A$2:$H$303, 5, FALSE)</f>
        <v>#N/A</v>
      </c>
      <c r="M66" s="11">
        <f t="shared" si="3"/>
        <v>16</v>
      </c>
      <c r="N66" s="11" t="str">
        <f>VLOOKUP($H66, 'ADP Data'!$B$4:$Q$300, 11, FALSE)</f>
        <v>#N/A</v>
      </c>
      <c r="O66" s="11" t="str">
        <f>VLOOKUP($H66, 'ADP Data'!$B$4:$Q$300, 5, FALSE)</f>
        <v>#N/A</v>
      </c>
      <c r="P66" s="11" t="str">
        <f t="shared" si="4"/>
        <v>#N/A</v>
      </c>
      <c r="Q66" s="11" t="str">
        <f>VLOOKUP($H66, 'ADP Data'!$B$4:$Q$300, 6, FALSE)</f>
        <v>#N/A</v>
      </c>
      <c r="R66" s="11" t="str">
        <f>VLOOKUP($H66, 'ADP Data'!$B$4:$Q$300, 7, FALSE)</f>
        <v>#N/A</v>
      </c>
      <c r="S66" s="11" t="str">
        <f>VLOOKUP($H66, 'ADP Data'!$B$4:$Q$300, 8, FALSE)</f>
        <v>#N/A</v>
      </c>
      <c r="T66" s="11" t="str">
        <f>VLOOKUP($H66, 'ADP Data'!$B$4:$Q$300, 9, FALSE)</f>
        <v>#N/A</v>
      </c>
      <c r="U66" s="11" t="str">
        <f>VLOOKUP($H66, 'ADP Data'!$B$4:$Q$300, 10, FALSE)</f>
        <v>#N/A</v>
      </c>
      <c r="V66" s="11" t="str">
        <f t="shared" si="5"/>
        <v>#N/A</v>
      </c>
      <c r="W66" s="11" t="str">
        <f>VLOOKUP($H66, SeanRanks!$A$2:$J$303, 7, FALSE)-V66</f>
        <v>#N/A</v>
      </c>
      <c r="X66" s="60"/>
    </row>
    <row r="67" ht="14.25" customHeight="1">
      <c r="A67" s="11"/>
      <c r="B67" s="11" t="str">
        <f t="shared" si="1"/>
        <v>#N/A</v>
      </c>
      <c r="C67" s="11" t="s">
        <v>106</v>
      </c>
      <c r="D67" s="11"/>
      <c r="E67" s="11"/>
      <c r="F67" s="11">
        <f t="shared" si="2"/>
        <v>0</v>
      </c>
      <c r="G67" s="11"/>
      <c r="H67" s="11" t="s">
        <v>1193</v>
      </c>
      <c r="I67" s="11" t="str">
        <f>VLOOKUP($H67, 'ADP Data'!$B$4:$Q$300, 2, FALSE)</f>
        <v>#N/A</v>
      </c>
      <c r="J67" s="11" t="str">
        <f>VLOOKUP($H67, 'ADP Data'!$B$4:$Q$300, 3, FALSE)</f>
        <v>#N/A</v>
      </c>
      <c r="K67" s="11" t="s">
        <v>1190</v>
      </c>
      <c r="L67" s="11">
        <v>25.0</v>
      </c>
      <c r="M67" s="11">
        <f t="shared" si="3"/>
        <v>16</v>
      </c>
      <c r="N67" s="11" t="str">
        <f>VLOOKUP($H67, 'ADP Data'!$B$4:$Q$300, 11, FALSE)</f>
        <v>#N/A</v>
      </c>
      <c r="O67" s="11" t="str">
        <f>VLOOKUP($H67, 'ADP Data'!$B$4:$Q$300, 5, FALSE)</f>
        <v>#N/A</v>
      </c>
      <c r="P67" s="11" t="str">
        <f t="shared" si="4"/>
        <v>#N/A</v>
      </c>
      <c r="Q67" s="11" t="str">
        <f>VLOOKUP($H67, 'ADP Data'!$B$4:$Q$300, 6, FALSE)</f>
        <v>#N/A</v>
      </c>
      <c r="R67" s="11" t="str">
        <f>VLOOKUP($H67, 'ADP Data'!$B$4:$Q$300, 7, FALSE)</f>
        <v>#N/A</v>
      </c>
      <c r="S67" s="11" t="str">
        <f>VLOOKUP($H67, 'ADP Data'!$B$4:$Q$300, 8, FALSE)</f>
        <v>#N/A</v>
      </c>
      <c r="T67" s="11" t="str">
        <f>VLOOKUP($H67, 'ADP Data'!$B$4:$Q$300, 9, FALSE)</f>
        <v>#N/A</v>
      </c>
      <c r="U67" s="11" t="str">
        <f>VLOOKUP($H67, 'ADP Data'!$B$4:$Q$300, 10, FALSE)</f>
        <v>#N/A</v>
      </c>
      <c r="V67" s="11" t="str">
        <f t="shared" si="5"/>
        <v>#N/A</v>
      </c>
      <c r="W67" s="11" t="str">
        <f>VLOOKUP($H67, SeanRanks!$A$2:$J$303, 7, FALSE)-V67</f>
        <v>#N/A</v>
      </c>
      <c r="X67" s="11"/>
    </row>
    <row r="68" ht="14.25" customHeight="1">
      <c r="A68" s="11"/>
      <c r="B68" s="11" t="str">
        <f t="shared" si="1"/>
        <v>#N/A</v>
      </c>
      <c r="C68" s="11" t="s">
        <v>106</v>
      </c>
      <c r="D68" s="11">
        <v>7.0</v>
      </c>
      <c r="E68" s="11">
        <v>7.0</v>
      </c>
      <c r="F68" s="11">
        <f t="shared" si="2"/>
        <v>0</v>
      </c>
      <c r="G68" s="11" t="s">
        <v>106</v>
      </c>
      <c r="H68" s="11" t="s">
        <v>1053</v>
      </c>
      <c r="I68" s="11" t="str">
        <f>VLOOKUP($H68, 'ADP Data'!$B$4:$Q$300, 2, FALSE)</f>
        <v>#N/A</v>
      </c>
      <c r="J68" s="11" t="str">
        <f>VLOOKUP($H68, 'ADP Data'!$B$4:$Q$300, 3, FALSE)</f>
        <v>#N/A</v>
      </c>
      <c r="K68" s="11" t="str">
        <f>VLOOKUP($H68, SeanRanks!$A$2:$H$303, 4, FALSE)</f>
        <v/>
      </c>
      <c r="L68" s="11" t="str">
        <f>VLOOKUP($H68, SeanRanks!$A$2:$H$303, 5, FALSE)</f>
        <v/>
      </c>
      <c r="M68" s="11">
        <f t="shared" si="3"/>
        <v>16</v>
      </c>
      <c r="N68" s="11" t="str">
        <f>VLOOKUP($H68, 'ADP Data'!$B$4:$Q$300, 11, FALSE)</f>
        <v>#N/A</v>
      </c>
      <c r="O68" s="11" t="str">
        <f>VLOOKUP($H68, 'ADP Data'!$B$4:$Q$300, 5, FALSE)</f>
        <v>#N/A</v>
      </c>
      <c r="P68" s="11" t="str">
        <f t="shared" si="4"/>
        <v>#N/A</v>
      </c>
      <c r="Q68" s="11" t="str">
        <f>VLOOKUP($H68, 'ADP Data'!$B$4:$Q$300, 6, FALSE)</f>
        <v>#N/A</v>
      </c>
      <c r="R68" s="11" t="str">
        <f>VLOOKUP($H68, 'ADP Data'!$B$4:$Q$300, 7, FALSE)</f>
        <v>#N/A</v>
      </c>
      <c r="S68" s="11" t="str">
        <f>VLOOKUP($H68, 'ADP Data'!$B$4:$Q$300, 8, FALSE)</f>
        <v>#N/A</v>
      </c>
      <c r="T68" s="11" t="str">
        <f>VLOOKUP($H68, 'ADP Data'!$B$4:$Q$300, 9, FALSE)</f>
        <v>#N/A</v>
      </c>
      <c r="U68" s="11" t="str">
        <f>VLOOKUP($H68, 'ADP Data'!$B$4:$Q$300, 10, FALSE)</f>
        <v>#N/A</v>
      </c>
      <c r="V68" s="11" t="str">
        <f t="shared" si="5"/>
        <v>#N/A</v>
      </c>
      <c r="W68" s="11" t="str">
        <f>VLOOKUP($H68, SeanRanks!$A$2:$J$303, 7, FALSE)-V68</f>
        <v>#N/A</v>
      </c>
      <c r="X68" s="11"/>
    </row>
    <row r="69" ht="14.25" customHeight="1">
      <c r="A69" s="11"/>
      <c r="B69" s="11" t="str">
        <f t="shared" si="1"/>
        <v>#N/A</v>
      </c>
      <c r="C69" s="11" t="s">
        <v>106</v>
      </c>
      <c r="D69" s="11">
        <v>5.0</v>
      </c>
      <c r="E69" s="11">
        <v>5.0</v>
      </c>
      <c r="F69" s="11">
        <f t="shared" si="2"/>
        <v>0</v>
      </c>
      <c r="G69" s="11"/>
      <c r="H69" s="11" t="s">
        <v>1194</v>
      </c>
      <c r="I69" s="11" t="str">
        <f>VLOOKUP($H69, 'ADP Data'!$B$4:$Q$300, 2, FALSE)</f>
        <v>#N/A</v>
      </c>
      <c r="J69" s="11" t="str">
        <f>VLOOKUP($H69, 'ADP Data'!$B$4:$Q$300, 3, FALSE)</f>
        <v>#N/A</v>
      </c>
      <c r="K69" s="11" t="str">
        <f>VLOOKUP($H69, SeanRanks!$A$2:$H$303, 4, FALSE)</f>
        <v>#N/A</v>
      </c>
      <c r="L69" s="11" t="str">
        <f>VLOOKUP($H69, SeanRanks!$A$2:$H$303, 5, FALSE)</f>
        <v>#N/A</v>
      </c>
      <c r="M69" s="11">
        <f t="shared" si="3"/>
        <v>16</v>
      </c>
      <c r="N69" s="11" t="str">
        <f>VLOOKUP($H69, 'ADP Data'!$B$4:$Q$300, 11, FALSE)</f>
        <v>#N/A</v>
      </c>
      <c r="O69" s="11" t="str">
        <f>VLOOKUP($H69, 'ADP Data'!$B$4:$Q$300, 5, FALSE)</f>
        <v>#N/A</v>
      </c>
      <c r="P69" s="11" t="str">
        <f t="shared" si="4"/>
        <v>#N/A</v>
      </c>
      <c r="Q69" s="11" t="str">
        <f>VLOOKUP($H69, 'ADP Data'!$B$4:$Q$300, 6, FALSE)</f>
        <v>#N/A</v>
      </c>
      <c r="R69" s="11" t="str">
        <f>VLOOKUP($H69, 'ADP Data'!$B$4:$Q$300, 7, FALSE)</f>
        <v>#N/A</v>
      </c>
      <c r="S69" s="11" t="str">
        <f>VLOOKUP($H69, 'ADP Data'!$B$4:$Q$300, 8, FALSE)</f>
        <v>#N/A</v>
      </c>
      <c r="T69" s="11" t="str">
        <f>VLOOKUP($H69, 'ADP Data'!$B$4:$Q$300, 9, FALSE)</f>
        <v>#N/A</v>
      </c>
      <c r="U69" s="11" t="str">
        <f>VLOOKUP($H69, 'ADP Data'!$B$4:$Q$300, 10, FALSE)</f>
        <v>#N/A</v>
      </c>
      <c r="V69" s="11" t="str">
        <f t="shared" si="5"/>
        <v>#N/A</v>
      </c>
      <c r="W69" s="11" t="str">
        <f>VLOOKUP($H69, SeanRanks!$A$2:$J$303, 7, FALSE)-V69</f>
        <v>#N/A</v>
      </c>
      <c r="X69" s="11"/>
    </row>
    <row r="70" ht="14.25" customHeight="1">
      <c r="A70" s="11"/>
      <c r="B70" s="11" t="str">
        <f t="shared" si="1"/>
        <v>#N/A</v>
      </c>
      <c r="C70" s="11" t="s">
        <v>106</v>
      </c>
      <c r="D70" s="11">
        <v>3.0</v>
      </c>
      <c r="E70" s="11">
        <v>3.0</v>
      </c>
      <c r="F70" s="11">
        <f t="shared" si="2"/>
        <v>0</v>
      </c>
      <c r="G70" s="11" t="s">
        <v>106</v>
      </c>
      <c r="H70" s="11" t="s">
        <v>66</v>
      </c>
      <c r="I70" s="11" t="str">
        <f>VLOOKUP($H70, 'ADP Data'!$B$4:$Q$300, 2, FALSE)</f>
        <v>#N/A</v>
      </c>
      <c r="J70" s="11" t="str">
        <f>VLOOKUP($H70, 'ADP Data'!$B$4:$Q$300, 3, FALSE)</f>
        <v>#N/A</v>
      </c>
      <c r="K70" s="11" t="str">
        <f>VLOOKUP($H70, SeanRanks!$A$2:$H$303, 4, FALSE)</f>
        <v/>
      </c>
      <c r="L70" s="11" t="str">
        <f>VLOOKUP($H70, SeanRanks!$A$2:$H$303, 5, FALSE)</f>
        <v/>
      </c>
      <c r="M70" s="11">
        <f t="shared" si="3"/>
        <v>16</v>
      </c>
      <c r="N70" s="11" t="str">
        <f>VLOOKUP($H70, 'ADP Data'!$B$4:$Q$300, 11, FALSE)</f>
        <v>#N/A</v>
      </c>
      <c r="O70" s="11" t="str">
        <f>VLOOKUP($H70, 'ADP Data'!$B$4:$Q$300, 5, FALSE)</f>
        <v>#N/A</v>
      </c>
      <c r="P70" s="11" t="str">
        <f t="shared" si="4"/>
        <v>#N/A</v>
      </c>
      <c r="Q70" s="11" t="str">
        <f>VLOOKUP($H70, 'ADP Data'!$B$4:$Q$300, 6, FALSE)</f>
        <v>#N/A</v>
      </c>
      <c r="R70" s="11" t="str">
        <f>VLOOKUP($H70, 'ADP Data'!$B$4:$Q$300, 7, FALSE)</f>
        <v>#N/A</v>
      </c>
      <c r="S70" s="11" t="str">
        <f>VLOOKUP($H70, 'ADP Data'!$B$4:$Q$300, 8, FALSE)</f>
        <v>#N/A</v>
      </c>
      <c r="T70" s="11" t="str">
        <f>VLOOKUP($H70, 'ADP Data'!$B$4:$Q$300, 9, FALSE)</f>
        <v>#N/A</v>
      </c>
      <c r="U70" s="11" t="str">
        <f>VLOOKUP($H70, 'ADP Data'!$B$4:$Q$300, 10, FALSE)</f>
        <v>#N/A</v>
      </c>
      <c r="V70" s="11" t="str">
        <f t="shared" si="5"/>
        <v>#N/A</v>
      </c>
      <c r="W70" s="11" t="str">
        <f>VLOOKUP($H70, SeanRanks!$A$2:$J$303, 7, FALSE)-V70</f>
        <v>#N/A</v>
      </c>
      <c r="X70" s="11" t="s">
        <v>1195</v>
      </c>
    </row>
    <row r="71" ht="14.25" customHeight="1">
      <c r="A71" s="11"/>
      <c r="B71" s="11" t="str">
        <f t="shared" si="1"/>
        <v>#N/A</v>
      </c>
      <c r="C71" s="11" t="s">
        <v>106</v>
      </c>
      <c r="D71" s="11">
        <v>2.0</v>
      </c>
      <c r="E71" s="11">
        <v>2.0</v>
      </c>
      <c r="F71" s="11">
        <f t="shared" si="2"/>
        <v>0</v>
      </c>
      <c r="G71" s="11"/>
      <c r="H71" s="11" t="s">
        <v>988</v>
      </c>
      <c r="I71" s="11" t="str">
        <f>VLOOKUP($H71, 'ADP Data'!$B$4:$Q$300, 2, FALSE)</f>
        <v>#N/A</v>
      </c>
      <c r="J71" s="11" t="str">
        <f>VLOOKUP($H71, 'ADP Data'!$B$4:$Q$300, 3, FALSE)</f>
        <v>#N/A</v>
      </c>
      <c r="K71" s="11" t="str">
        <f>VLOOKUP($H71, SeanRanks!$A$2:$H$303, 4, FALSE)</f>
        <v>#N/A</v>
      </c>
      <c r="L71" s="11" t="str">
        <f>VLOOKUP($H71, SeanRanks!$A$2:$H$303, 5, FALSE)</f>
        <v>#N/A</v>
      </c>
      <c r="M71" s="11">
        <f t="shared" si="3"/>
        <v>16</v>
      </c>
      <c r="N71" s="11" t="str">
        <f>VLOOKUP($H71, 'ADP Data'!$B$4:$Q$300, 11, FALSE)</f>
        <v>#N/A</v>
      </c>
      <c r="O71" s="11" t="str">
        <f>VLOOKUP($H71, 'ADP Data'!$B$4:$Q$300, 5, FALSE)</f>
        <v>#N/A</v>
      </c>
      <c r="P71" s="11" t="str">
        <f t="shared" si="4"/>
        <v>#N/A</v>
      </c>
      <c r="Q71" s="11" t="str">
        <f>VLOOKUP($H71, 'ADP Data'!$B$4:$Q$300, 6, FALSE)</f>
        <v>#N/A</v>
      </c>
      <c r="R71" s="11" t="str">
        <f>VLOOKUP($H71, 'ADP Data'!$B$4:$Q$300, 7, FALSE)</f>
        <v>#N/A</v>
      </c>
      <c r="S71" s="11" t="str">
        <f>VLOOKUP($H71, 'ADP Data'!$B$4:$Q$300, 8, FALSE)</f>
        <v>#N/A</v>
      </c>
      <c r="T71" s="11" t="str">
        <f>VLOOKUP($H71, 'ADP Data'!$B$4:$Q$300, 9, FALSE)</f>
        <v>#N/A</v>
      </c>
      <c r="U71" s="11" t="str">
        <f>VLOOKUP($H71, 'ADP Data'!$B$4:$Q$300, 10, FALSE)</f>
        <v>#N/A</v>
      </c>
      <c r="V71" s="11" t="str">
        <f t="shared" si="5"/>
        <v>#N/A</v>
      </c>
      <c r="W71" s="11" t="str">
        <f>VLOOKUP($H71, SeanRanks!$A$2:$J$303, 7, FALSE)-V71</f>
        <v>#N/A</v>
      </c>
      <c r="X71" s="11"/>
    </row>
    <row r="72" ht="14.25" customHeight="1">
      <c r="A72" s="11" t="s">
        <v>1156</v>
      </c>
      <c r="B72" s="11" t="str">
        <f t="shared" si="1"/>
        <v>#N/A</v>
      </c>
      <c r="C72" s="11" t="s">
        <v>106</v>
      </c>
      <c r="D72" s="11">
        <v>5.0</v>
      </c>
      <c r="E72" s="11">
        <v>7.0</v>
      </c>
      <c r="F72" s="11">
        <f t="shared" si="2"/>
        <v>-2</v>
      </c>
      <c r="G72" s="11" t="s">
        <v>106</v>
      </c>
      <c r="H72" s="11" t="s">
        <v>142</v>
      </c>
      <c r="I72" s="11" t="str">
        <f>VLOOKUP($H72, 'ADP Data'!$B$4:$Q$300, 2, FALSE)</f>
        <v>#N/A</v>
      </c>
      <c r="J72" s="11" t="str">
        <f>VLOOKUP($H72, 'ADP Data'!$B$4:$Q$300, 3, FALSE)</f>
        <v>#N/A</v>
      </c>
      <c r="K72" s="11" t="str">
        <f>VLOOKUP($H72, SeanRanks!$A$2:$H$303, 4, FALSE)</f>
        <v/>
      </c>
      <c r="L72" s="11" t="str">
        <f>VLOOKUP($H72, SeanRanks!$A$2:$H$303, 5, FALSE)</f>
        <v/>
      </c>
      <c r="M72" s="11">
        <f t="shared" si="3"/>
        <v>16</v>
      </c>
      <c r="N72" s="11" t="str">
        <f>VLOOKUP($H72, 'ADP Data'!$B$4:$Q$300, 11, FALSE)</f>
        <v>#N/A</v>
      </c>
      <c r="O72" s="11" t="str">
        <f>VLOOKUP($H72, 'ADP Data'!$B$4:$Q$300, 5, FALSE)</f>
        <v>#N/A</v>
      </c>
      <c r="P72" s="11" t="str">
        <f t="shared" si="4"/>
        <v>#N/A</v>
      </c>
      <c r="Q72" s="11" t="str">
        <f>VLOOKUP($H72, 'ADP Data'!$B$4:$Q$300, 6, FALSE)</f>
        <v>#N/A</v>
      </c>
      <c r="R72" s="11" t="str">
        <f>VLOOKUP($H72, 'ADP Data'!$B$4:$Q$300, 7, FALSE)</f>
        <v>#N/A</v>
      </c>
      <c r="S72" s="11" t="str">
        <f>VLOOKUP($H72, 'ADP Data'!$B$4:$Q$300, 8, FALSE)</f>
        <v>#N/A</v>
      </c>
      <c r="T72" s="11" t="str">
        <f>VLOOKUP($H72, 'ADP Data'!$B$4:$Q$300, 9, FALSE)</f>
        <v>#N/A</v>
      </c>
      <c r="U72" s="11" t="str">
        <f>VLOOKUP($H72, 'ADP Data'!$B$4:$Q$300, 10, FALSE)</f>
        <v>#N/A</v>
      </c>
      <c r="V72" s="11" t="str">
        <f t="shared" si="5"/>
        <v>#N/A</v>
      </c>
      <c r="W72" s="11" t="str">
        <f>VLOOKUP($H72, SeanRanks!$A$2:$J$303, 7, FALSE)-V72</f>
        <v>#N/A</v>
      </c>
      <c r="X72" s="11"/>
    </row>
    <row r="73" ht="14.25" customHeight="1">
      <c r="A73" s="11"/>
      <c r="B73" s="11" t="str">
        <f t="shared" si="1"/>
        <v>#N/A</v>
      </c>
      <c r="C73" s="11" t="s">
        <v>106</v>
      </c>
      <c r="D73" s="11"/>
      <c r="E73" s="11"/>
      <c r="F73" s="11">
        <f t="shared" si="2"/>
        <v>0</v>
      </c>
      <c r="G73" s="11"/>
      <c r="H73" s="11" t="s">
        <v>1196</v>
      </c>
      <c r="I73" s="11" t="str">
        <f>VLOOKUP($H73, 'ADP Data'!$B$4:$Q$300, 2, FALSE)</f>
        <v>#N/A</v>
      </c>
      <c r="J73" s="11" t="str">
        <f>VLOOKUP($H73, 'ADP Data'!$B$4:$Q$300, 3, FALSE)</f>
        <v>#N/A</v>
      </c>
      <c r="K73" s="11" t="str">
        <f>VLOOKUP($H73, SeanRanks!$A$2:$H$303, 4, FALSE)</f>
        <v>#N/A</v>
      </c>
      <c r="L73" s="11" t="str">
        <f>VLOOKUP($H73, SeanRanks!$A$2:$H$303, 5, FALSE)</f>
        <v>#N/A</v>
      </c>
      <c r="M73" s="11">
        <f t="shared" si="3"/>
        <v>16</v>
      </c>
      <c r="N73" s="11" t="str">
        <f>VLOOKUP($H73, 'ADP Data'!$B$4:$Q$300, 11, FALSE)</f>
        <v>#N/A</v>
      </c>
      <c r="O73" s="11" t="str">
        <f>VLOOKUP($H73, 'ADP Data'!$B$4:$Q$300, 5, FALSE)</f>
        <v>#N/A</v>
      </c>
      <c r="P73" s="11" t="str">
        <f t="shared" si="4"/>
        <v>#N/A</v>
      </c>
      <c r="Q73" s="11" t="str">
        <f>VLOOKUP($H73, 'ADP Data'!$B$4:$Q$300, 6, FALSE)</f>
        <v>#N/A</v>
      </c>
      <c r="R73" s="11" t="str">
        <f>VLOOKUP($H73, 'ADP Data'!$B$4:$Q$300, 7, FALSE)</f>
        <v>#N/A</v>
      </c>
      <c r="S73" s="11" t="str">
        <f>VLOOKUP($H73, 'ADP Data'!$B$4:$Q$300, 8, FALSE)</f>
        <v>#N/A</v>
      </c>
      <c r="T73" s="11" t="str">
        <f>VLOOKUP($H73, 'ADP Data'!$B$4:$Q$300, 9, FALSE)</f>
        <v>#N/A</v>
      </c>
      <c r="U73" s="11" t="str">
        <f>VLOOKUP($H73, 'ADP Data'!$B$4:$Q$300, 10, FALSE)</f>
        <v>#N/A</v>
      </c>
      <c r="V73" s="11" t="str">
        <f t="shared" si="5"/>
        <v>#N/A</v>
      </c>
      <c r="W73" s="11" t="str">
        <f>VLOOKUP($H73, SeanRanks!$A$2:$J$303, 7, FALSE)-V73</f>
        <v>#N/A</v>
      </c>
      <c r="X73" s="11" t="s">
        <v>1197</v>
      </c>
    </row>
    <row r="74" ht="14.25" customHeight="1">
      <c r="A74" s="11"/>
      <c r="B74" s="11" t="str">
        <f t="shared" si="1"/>
        <v>#N/A</v>
      </c>
      <c r="C74" s="11" t="s">
        <v>106</v>
      </c>
      <c r="D74" s="11"/>
      <c r="E74" s="11"/>
      <c r="F74" s="11">
        <f t="shared" si="2"/>
        <v>0</v>
      </c>
      <c r="G74" s="11"/>
      <c r="H74" s="11" t="s">
        <v>1198</v>
      </c>
      <c r="I74" s="11" t="str">
        <f>VLOOKUP($H74, 'ADP Data'!$B$4:$Q$300, 2, FALSE)</f>
        <v>#N/A</v>
      </c>
      <c r="J74" s="11" t="str">
        <f>VLOOKUP($H74, 'ADP Data'!$B$4:$Q$300, 3, FALSE)</f>
        <v>#N/A</v>
      </c>
      <c r="K74" s="11" t="str">
        <f>VLOOKUP($H74, SeanRanks!$A$2:$H$303, 4, FALSE)</f>
        <v>#N/A</v>
      </c>
      <c r="L74" s="11" t="str">
        <f>VLOOKUP($H74, SeanRanks!$A$2:$H$303, 5, FALSE)</f>
        <v>#N/A</v>
      </c>
      <c r="M74" s="11">
        <f t="shared" si="3"/>
        <v>16</v>
      </c>
      <c r="N74" s="11" t="str">
        <f>VLOOKUP($H74, 'ADP Data'!$B$4:$Q$300, 11, FALSE)</f>
        <v>#N/A</v>
      </c>
      <c r="O74" s="11" t="str">
        <f>VLOOKUP($H74, 'ADP Data'!$B$4:$Q$300, 5, FALSE)</f>
        <v>#N/A</v>
      </c>
      <c r="P74" s="11" t="str">
        <f t="shared" si="4"/>
        <v>#N/A</v>
      </c>
      <c r="Q74" s="11" t="str">
        <f>VLOOKUP($H74, 'ADP Data'!$B$4:$Q$300, 6, FALSE)</f>
        <v>#N/A</v>
      </c>
      <c r="R74" s="11" t="str">
        <f>VLOOKUP($H74, 'ADP Data'!$B$4:$Q$300, 7, FALSE)</f>
        <v>#N/A</v>
      </c>
      <c r="S74" s="11" t="str">
        <f>VLOOKUP($H74, 'ADP Data'!$B$4:$Q$300, 8, FALSE)</f>
        <v>#N/A</v>
      </c>
      <c r="T74" s="11" t="str">
        <f>VLOOKUP($H74, 'ADP Data'!$B$4:$Q$300, 9, FALSE)</f>
        <v>#N/A</v>
      </c>
      <c r="U74" s="11" t="str">
        <f>VLOOKUP($H74, 'ADP Data'!$B$4:$Q$300, 10, FALSE)</f>
        <v>#N/A</v>
      </c>
      <c r="V74" s="11" t="str">
        <f t="shared" si="5"/>
        <v>#N/A</v>
      </c>
      <c r="W74" s="11" t="str">
        <f>VLOOKUP($H74, SeanRanks!$A$2:$J$303, 7, FALSE)-V74</f>
        <v>#N/A</v>
      </c>
      <c r="X74" s="11"/>
    </row>
    <row r="75" ht="14.25" customHeight="1">
      <c r="A75" s="11"/>
      <c r="B75" s="11" t="str">
        <f t="shared" si="1"/>
        <v>#N/A</v>
      </c>
      <c r="C75" s="11" t="s">
        <v>106</v>
      </c>
      <c r="D75" s="11"/>
      <c r="E75" s="11"/>
      <c r="F75" s="11">
        <f t="shared" si="2"/>
        <v>0</v>
      </c>
      <c r="G75" s="11"/>
      <c r="H75" s="11" t="s">
        <v>928</v>
      </c>
      <c r="I75" s="11" t="str">
        <f>VLOOKUP($H75, 'ADP Data'!$B$4:$Q$300, 2, FALSE)</f>
        <v>#N/A</v>
      </c>
      <c r="J75" s="11" t="str">
        <f>VLOOKUP($H75, 'ADP Data'!$B$4:$Q$300, 3, FALSE)</f>
        <v>#N/A</v>
      </c>
      <c r="K75" s="11" t="str">
        <f>VLOOKUP($H75, SeanRanks!$A$2:$H$303, 4, FALSE)</f>
        <v>#N/A</v>
      </c>
      <c r="L75" s="11" t="str">
        <f>VLOOKUP($H75, SeanRanks!$A$2:$H$303, 5, FALSE)</f>
        <v>#N/A</v>
      </c>
      <c r="M75" s="11">
        <f t="shared" si="3"/>
        <v>16</v>
      </c>
      <c r="N75" s="11" t="str">
        <f>VLOOKUP($H75, 'ADP Data'!$B$4:$Q$300, 11, FALSE)</f>
        <v>#N/A</v>
      </c>
      <c r="O75" s="11" t="str">
        <f>VLOOKUP($H75, 'ADP Data'!$B$4:$Q$300, 5, FALSE)</f>
        <v>#N/A</v>
      </c>
      <c r="P75" s="11" t="str">
        <f t="shared" si="4"/>
        <v>#N/A</v>
      </c>
      <c r="Q75" s="11" t="str">
        <f>VLOOKUP($H75, 'ADP Data'!$B$4:$Q$300, 6, FALSE)</f>
        <v>#N/A</v>
      </c>
      <c r="R75" s="11" t="str">
        <f>VLOOKUP($H75, 'ADP Data'!$B$4:$Q$300, 7, FALSE)</f>
        <v>#N/A</v>
      </c>
      <c r="S75" s="11" t="str">
        <f>VLOOKUP($H75, 'ADP Data'!$B$4:$Q$300, 8, FALSE)</f>
        <v>#N/A</v>
      </c>
      <c r="T75" s="11" t="str">
        <f>VLOOKUP($H75, 'ADP Data'!$B$4:$Q$300, 9, FALSE)</f>
        <v>#N/A</v>
      </c>
      <c r="U75" s="11" t="str">
        <f>VLOOKUP($H75, 'ADP Data'!$B$4:$Q$300, 10, FALSE)</f>
        <v>#N/A</v>
      </c>
      <c r="V75" s="11" t="str">
        <f t="shared" si="5"/>
        <v>#N/A</v>
      </c>
      <c r="W75" s="11" t="str">
        <f>VLOOKUP($H75, SeanRanks!$A$2:$J$303, 7, FALSE)-V75</f>
        <v>#N/A</v>
      </c>
      <c r="X75" s="11"/>
    </row>
    <row r="76" ht="14.25" customHeight="1">
      <c r="A76" s="11" t="s">
        <v>1156</v>
      </c>
      <c r="B76" s="11" t="str">
        <f t="shared" si="1"/>
        <v>#N/A</v>
      </c>
      <c r="C76" s="11" t="s">
        <v>106</v>
      </c>
      <c r="D76" s="11">
        <v>1.0</v>
      </c>
      <c r="E76" s="11">
        <v>5.0</v>
      </c>
      <c r="F76" s="11">
        <f t="shared" si="2"/>
        <v>-4</v>
      </c>
      <c r="G76" s="11" t="s">
        <v>106</v>
      </c>
      <c r="H76" s="11" t="s">
        <v>1199</v>
      </c>
      <c r="I76" s="11" t="str">
        <f>VLOOKUP($H76, 'ADP Data'!$B$4:$Q$300, 2, FALSE)</f>
        <v>#N/A</v>
      </c>
      <c r="J76" s="11" t="str">
        <f>VLOOKUP($H76, 'ADP Data'!$B$4:$Q$300, 3, FALSE)</f>
        <v>#N/A</v>
      </c>
      <c r="K76" s="11" t="str">
        <f>VLOOKUP($H76, SeanRanks!$A$2:$H$303, 4, FALSE)</f>
        <v>#N/A</v>
      </c>
      <c r="L76" s="11" t="str">
        <f>VLOOKUP($H76, SeanRanks!$A$2:$H$303, 5, FALSE)</f>
        <v>#N/A</v>
      </c>
      <c r="M76" s="11">
        <f t="shared" si="3"/>
        <v>16</v>
      </c>
      <c r="N76" s="11" t="str">
        <f>VLOOKUP($H76, 'ADP Data'!$B$4:$Q$300, 11, FALSE)</f>
        <v>#N/A</v>
      </c>
      <c r="O76" s="11" t="str">
        <f>VLOOKUP($H76, 'ADP Data'!$B$4:$Q$300, 5, FALSE)</f>
        <v>#N/A</v>
      </c>
      <c r="P76" s="11" t="str">
        <f t="shared" si="4"/>
        <v>#N/A</v>
      </c>
      <c r="Q76" s="11" t="str">
        <f>VLOOKUP($H76, 'ADP Data'!$B$4:$Q$300, 6, FALSE)</f>
        <v>#N/A</v>
      </c>
      <c r="R76" s="11" t="str">
        <f>VLOOKUP($H76, 'ADP Data'!$B$4:$Q$300, 7, FALSE)</f>
        <v>#N/A</v>
      </c>
      <c r="S76" s="11" t="str">
        <f>VLOOKUP($H76, 'ADP Data'!$B$4:$Q$300, 8, FALSE)</f>
        <v>#N/A</v>
      </c>
      <c r="T76" s="11" t="str">
        <f>VLOOKUP($H76, 'ADP Data'!$B$4:$Q$300, 9, FALSE)</f>
        <v>#N/A</v>
      </c>
      <c r="U76" s="11" t="str">
        <f>VLOOKUP($H76, 'ADP Data'!$B$4:$Q$300, 10, FALSE)</f>
        <v>#N/A</v>
      </c>
      <c r="V76" s="11" t="str">
        <f t="shared" si="5"/>
        <v>#N/A</v>
      </c>
      <c r="W76" s="11" t="str">
        <f>VLOOKUP($H76, SeanRanks!$A$2:$J$303, 7, FALSE)-V76</f>
        <v>#N/A</v>
      </c>
      <c r="X76" s="11" t="s">
        <v>1200</v>
      </c>
    </row>
    <row r="77" ht="14.25" customHeight="1">
      <c r="A77" s="11"/>
      <c r="B77" s="11" t="str">
        <f t="shared" si="1"/>
        <v>#N/A</v>
      </c>
      <c r="C77" s="11" t="s">
        <v>106</v>
      </c>
      <c r="D77" s="11">
        <v>1.0</v>
      </c>
      <c r="E77" s="11">
        <v>1.0</v>
      </c>
      <c r="F77" s="11">
        <f t="shared" si="2"/>
        <v>0</v>
      </c>
      <c r="G77" s="11"/>
      <c r="H77" s="11" t="s">
        <v>1201</v>
      </c>
      <c r="I77" s="11" t="str">
        <f>VLOOKUP($H77, 'ADP Data'!$B$4:$Q$300, 2, FALSE)</f>
        <v>#N/A</v>
      </c>
      <c r="J77" s="11" t="str">
        <f>VLOOKUP($H77, 'ADP Data'!$B$4:$Q$300, 3, FALSE)</f>
        <v>#N/A</v>
      </c>
      <c r="K77" s="11" t="str">
        <f>VLOOKUP($H77, SeanRanks!$A$2:$H$303, 4, FALSE)</f>
        <v>#N/A</v>
      </c>
      <c r="L77" s="11" t="str">
        <f>VLOOKUP($H77, SeanRanks!$A$2:$H$303, 5, FALSE)</f>
        <v>#N/A</v>
      </c>
      <c r="M77" s="11">
        <f t="shared" si="3"/>
        <v>16</v>
      </c>
      <c r="N77" s="11" t="str">
        <f>VLOOKUP($H77, 'ADP Data'!$B$4:$Q$300, 11, FALSE)</f>
        <v>#N/A</v>
      </c>
      <c r="O77" s="11" t="str">
        <f>VLOOKUP($H77, 'ADP Data'!$B$4:$Q$300, 5, FALSE)</f>
        <v>#N/A</v>
      </c>
      <c r="P77" s="11" t="str">
        <f t="shared" si="4"/>
        <v>#N/A</v>
      </c>
      <c r="Q77" s="11" t="str">
        <f>VLOOKUP($H77, 'ADP Data'!$B$4:$Q$300, 6, FALSE)</f>
        <v>#N/A</v>
      </c>
      <c r="R77" s="11" t="str">
        <f>VLOOKUP($H77, 'ADP Data'!$B$4:$Q$300, 7, FALSE)</f>
        <v>#N/A</v>
      </c>
      <c r="S77" s="11" t="str">
        <f>VLOOKUP($H77, 'ADP Data'!$B$4:$Q$300, 8, FALSE)</f>
        <v>#N/A</v>
      </c>
      <c r="T77" s="11" t="str">
        <f>VLOOKUP($H77, 'ADP Data'!$B$4:$Q$300, 9, FALSE)</f>
        <v>#N/A</v>
      </c>
      <c r="U77" s="11" t="str">
        <f>VLOOKUP($H77, 'ADP Data'!$B$4:$Q$300, 10, FALSE)</f>
        <v>#N/A</v>
      </c>
      <c r="V77" s="11" t="str">
        <f t="shared" si="5"/>
        <v>#N/A</v>
      </c>
      <c r="W77" s="11" t="str">
        <f>VLOOKUP($H77, SeanRanks!$A$2:$J$303, 7, FALSE)-V77</f>
        <v>#N/A</v>
      </c>
      <c r="X77" s="11"/>
    </row>
    <row r="78" ht="14.25" customHeight="1">
      <c r="A78" s="11"/>
      <c r="B78" s="11" t="str">
        <f t="shared" si="1"/>
        <v>#N/A</v>
      </c>
      <c r="C78" s="11" t="s">
        <v>106</v>
      </c>
      <c r="D78" s="11"/>
      <c r="E78" s="11"/>
      <c r="F78" s="11">
        <f t="shared" si="2"/>
        <v>0</v>
      </c>
      <c r="G78" s="11"/>
      <c r="H78" s="11" t="s">
        <v>332</v>
      </c>
      <c r="I78" s="11" t="str">
        <f>VLOOKUP($H78, 'ADP Data'!$B$4:$Q$300, 2, FALSE)</f>
        <v>#N/A</v>
      </c>
      <c r="J78" s="11" t="str">
        <f>VLOOKUP($H78, 'ADP Data'!$B$4:$Q$300, 3, FALSE)</f>
        <v>#N/A</v>
      </c>
      <c r="K78" s="11" t="str">
        <f>VLOOKUP($H78, SeanRanks!$A$2:$H$303, 4, FALSE)</f>
        <v/>
      </c>
      <c r="L78" s="11" t="str">
        <f>VLOOKUP($H78, SeanRanks!$A$2:$H$303, 5, FALSE)</f>
        <v/>
      </c>
      <c r="M78" s="11">
        <f t="shared" si="3"/>
        <v>16</v>
      </c>
      <c r="N78" s="11" t="str">
        <f>VLOOKUP($H78, 'ADP Data'!$B$4:$Q$300, 11, FALSE)</f>
        <v>#N/A</v>
      </c>
      <c r="O78" s="11" t="str">
        <f>VLOOKUP($H78, 'ADP Data'!$B$4:$Q$300, 5, FALSE)</f>
        <v>#N/A</v>
      </c>
      <c r="P78" s="11" t="str">
        <f t="shared" si="4"/>
        <v>#N/A</v>
      </c>
      <c r="Q78" s="11" t="str">
        <f>VLOOKUP($H78, 'ADP Data'!$B$4:$Q$300, 6, FALSE)</f>
        <v>#N/A</v>
      </c>
      <c r="R78" s="11" t="str">
        <f>VLOOKUP($H78, 'ADP Data'!$B$4:$Q$300, 7, FALSE)</f>
        <v>#N/A</v>
      </c>
      <c r="S78" s="11" t="str">
        <f>VLOOKUP($H78, 'ADP Data'!$B$4:$Q$300, 8, FALSE)</f>
        <v>#N/A</v>
      </c>
      <c r="T78" s="11" t="str">
        <f>VLOOKUP($H78, 'ADP Data'!$B$4:$Q$300, 9, FALSE)</f>
        <v>#N/A</v>
      </c>
      <c r="U78" s="11" t="str">
        <f>VLOOKUP($H78, 'ADP Data'!$B$4:$Q$300, 10, FALSE)</f>
        <v>#N/A</v>
      </c>
      <c r="V78" s="11" t="str">
        <f t="shared" si="5"/>
        <v>#N/A</v>
      </c>
      <c r="W78" s="11" t="str">
        <f>VLOOKUP($H78, SeanRanks!$A$2:$J$303, 7, FALSE)-V78</f>
        <v>#N/A</v>
      </c>
      <c r="X78" s="11" t="s">
        <v>1202</v>
      </c>
    </row>
    <row r="79" ht="14.25" customHeight="1">
      <c r="A79" s="11"/>
      <c r="B79" s="11" t="str">
        <f t="shared" si="1"/>
        <v>#N/A</v>
      </c>
      <c r="C79" s="11" t="s">
        <v>106</v>
      </c>
      <c r="D79" s="11"/>
      <c r="E79" s="11"/>
      <c r="F79" s="11">
        <f t="shared" si="2"/>
        <v>0</v>
      </c>
      <c r="G79" s="11" t="s">
        <v>95</v>
      </c>
      <c r="H79" s="11" t="s">
        <v>1203</v>
      </c>
      <c r="I79" s="11" t="str">
        <f>VLOOKUP($H79, 'ADP Data'!$B$4:$Q$300, 2, FALSE)</f>
        <v>#N/A</v>
      </c>
      <c r="J79" s="11" t="str">
        <f>VLOOKUP($H79, 'ADP Data'!$B$4:$Q$300, 3, FALSE)</f>
        <v>#N/A</v>
      </c>
      <c r="K79" s="11" t="str">
        <f>VLOOKUP($H79, SeanRanks!$A$2:$H$303, 4, FALSE)</f>
        <v>#N/A</v>
      </c>
      <c r="L79" s="11" t="str">
        <f>VLOOKUP($H79, SeanRanks!$A$2:$H$303, 5, FALSE)</f>
        <v>#N/A</v>
      </c>
      <c r="M79" s="11">
        <f t="shared" si="3"/>
        <v>16</v>
      </c>
      <c r="N79" s="11" t="str">
        <f>VLOOKUP($H79, 'ADP Data'!$B$4:$Q$300, 11, FALSE)</f>
        <v>#N/A</v>
      </c>
      <c r="O79" s="11" t="str">
        <f>VLOOKUP($H79, 'ADP Data'!$B$4:$Q$300, 5, FALSE)</f>
        <v>#N/A</v>
      </c>
      <c r="P79" s="11" t="str">
        <f t="shared" si="4"/>
        <v>#N/A</v>
      </c>
      <c r="Q79" s="11" t="str">
        <f>VLOOKUP($H79, 'ADP Data'!$B$4:$Q$300, 6, FALSE)</f>
        <v>#N/A</v>
      </c>
      <c r="R79" s="11" t="str">
        <f>VLOOKUP($H79, 'ADP Data'!$B$4:$Q$300, 7, FALSE)</f>
        <v>#N/A</v>
      </c>
      <c r="S79" s="11" t="str">
        <f>VLOOKUP($H79, 'ADP Data'!$B$4:$Q$300, 8, FALSE)</f>
        <v>#N/A</v>
      </c>
      <c r="T79" s="11" t="str">
        <f>VLOOKUP($H79, 'ADP Data'!$B$4:$Q$300, 9, FALSE)</f>
        <v>#N/A</v>
      </c>
      <c r="U79" s="11" t="str">
        <f>VLOOKUP($H79, 'ADP Data'!$B$4:$Q$300, 10, FALSE)</f>
        <v>#N/A</v>
      </c>
      <c r="V79" s="11" t="str">
        <f t="shared" si="5"/>
        <v>#N/A</v>
      </c>
      <c r="W79" s="11" t="str">
        <f>VLOOKUP($H79, SeanRanks!$A$2:$J$303, 7, FALSE)-V79</f>
        <v>#N/A</v>
      </c>
      <c r="X79" s="11"/>
    </row>
    <row r="80" ht="14.25" customHeight="1">
      <c r="A80" s="11"/>
      <c r="B80" s="11" t="str">
        <f t="shared" si="1"/>
        <v>#N/A</v>
      </c>
      <c r="C80" s="11" t="s">
        <v>106</v>
      </c>
      <c r="D80" s="11"/>
      <c r="E80" s="11">
        <v>0.0</v>
      </c>
      <c r="F80" s="11">
        <f t="shared" si="2"/>
        <v>0</v>
      </c>
      <c r="G80" s="11" t="s">
        <v>106</v>
      </c>
      <c r="H80" s="11" t="s">
        <v>992</v>
      </c>
      <c r="I80" s="11" t="str">
        <f>VLOOKUP($H80, 'ADP Data'!$B$4:$Q$300, 2, FALSE)</f>
        <v>#N/A</v>
      </c>
      <c r="J80" s="11" t="str">
        <f>VLOOKUP($H80, 'ADP Data'!$B$4:$Q$300, 3, FALSE)</f>
        <v>#N/A</v>
      </c>
      <c r="K80" s="11"/>
      <c r="L80" s="11" t="str">
        <f>VLOOKUP($H80, SeanRanks!$A$2:$H$303, 5, FALSE)</f>
        <v>#N/A</v>
      </c>
      <c r="M80" s="11">
        <f t="shared" si="3"/>
        <v>16</v>
      </c>
      <c r="N80" s="11" t="str">
        <f>VLOOKUP($H80, 'ADP Data'!$B$4:$Q$300, 11, FALSE)</f>
        <v>#N/A</v>
      </c>
      <c r="O80" s="11" t="str">
        <f>VLOOKUP($H80, 'ADP Data'!$B$4:$Q$300, 5, FALSE)</f>
        <v>#N/A</v>
      </c>
      <c r="P80" s="11" t="str">
        <f t="shared" si="4"/>
        <v>#N/A</v>
      </c>
      <c r="Q80" s="11" t="str">
        <f>VLOOKUP($H80, 'ADP Data'!$B$4:$Q$300, 6, FALSE)</f>
        <v>#N/A</v>
      </c>
      <c r="R80" s="11" t="str">
        <f>VLOOKUP($H80, 'ADP Data'!$B$4:$Q$300, 7, FALSE)</f>
        <v>#N/A</v>
      </c>
      <c r="S80" s="11" t="str">
        <f>VLOOKUP($H80, 'ADP Data'!$B$4:$Q$300, 8, FALSE)</f>
        <v>#N/A</v>
      </c>
      <c r="T80" s="11" t="str">
        <f>VLOOKUP($H80, 'ADP Data'!$B$4:$Q$300, 9, FALSE)</f>
        <v>#N/A</v>
      </c>
      <c r="U80" s="11" t="str">
        <f>VLOOKUP($H80, 'ADP Data'!$B$4:$Q$300, 10, FALSE)</f>
        <v>#N/A</v>
      </c>
      <c r="V80" s="11" t="str">
        <f t="shared" si="5"/>
        <v>#N/A</v>
      </c>
      <c r="W80" s="11" t="str">
        <f>VLOOKUP($H80, SeanRanks!$A$2:$J$303, 7, FALSE)-V80</f>
        <v>#N/A</v>
      </c>
      <c r="X80" s="11"/>
    </row>
    <row r="81" ht="14.25" customHeight="1">
      <c r="A81" s="11"/>
      <c r="B81" s="11" t="str">
        <f t="shared" si="1"/>
        <v>#N/A</v>
      </c>
      <c r="C81" s="11" t="s">
        <v>106</v>
      </c>
      <c r="D81" s="11"/>
      <c r="E81" s="11"/>
      <c r="F81" s="11">
        <f t="shared" si="2"/>
        <v>0</v>
      </c>
      <c r="G81" s="11"/>
      <c r="H81" s="11" t="s">
        <v>1204</v>
      </c>
      <c r="I81" s="11" t="str">
        <f>VLOOKUP($H81, 'ADP Data'!$B$4:$Q$300, 2, FALSE)</f>
        <v>#N/A</v>
      </c>
      <c r="J81" s="11" t="str">
        <f>VLOOKUP($H81, 'ADP Data'!$B$4:$Q$300, 3, FALSE)</f>
        <v>#N/A</v>
      </c>
      <c r="K81" s="11" t="str">
        <f>VLOOKUP($H81, SeanRanks!$A$2:$H$303, 4, FALSE)</f>
        <v>#N/A</v>
      </c>
      <c r="L81" s="11" t="str">
        <f>VLOOKUP($H81, SeanRanks!$A$2:$H$303, 5, FALSE)</f>
        <v>#N/A</v>
      </c>
      <c r="M81" s="11">
        <f t="shared" si="3"/>
        <v>16</v>
      </c>
      <c r="N81" s="11" t="str">
        <f>VLOOKUP($H81, 'ADP Data'!$B$4:$Q$300, 11, FALSE)</f>
        <v>#N/A</v>
      </c>
      <c r="O81" s="11" t="str">
        <f>VLOOKUP($H81, 'ADP Data'!$B$4:$Q$300, 5, FALSE)</f>
        <v>#N/A</v>
      </c>
      <c r="P81" s="11" t="str">
        <f t="shared" si="4"/>
        <v>#N/A</v>
      </c>
      <c r="Q81" s="11" t="str">
        <f>VLOOKUP($H81, 'ADP Data'!$B$4:$Q$300, 6, FALSE)</f>
        <v>#N/A</v>
      </c>
      <c r="R81" s="11" t="str">
        <f>VLOOKUP($H81, 'ADP Data'!$B$4:$Q$300, 7, FALSE)</f>
        <v>#N/A</v>
      </c>
      <c r="S81" s="11" t="str">
        <f>VLOOKUP($H81, 'ADP Data'!$B$4:$Q$300, 8, FALSE)</f>
        <v>#N/A</v>
      </c>
      <c r="T81" s="11" t="str">
        <f>VLOOKUP($H81, 'ADP Data'!$B$4:$Q$300, 9, FALSE)</f>
        <v>#N/A</v>
      </c>
      <c r="U81" s="11" t="str">
        <f>VLOOKUP($H81, 'ADP Data'!$B$4:$Q$300, 10, FALSE)</f>
        <v>#N/A</v>
      </c>
      <c r="V81" s="11" t="str">
        <f t="shared" si="5"/>
        <v>#N/A</v>
      </c>
      <c r="W81" s="11" t="str">
        <f>VLOOKUP($H81, SeanRanks!$A$2:$J$303, 7, FALSE)-V81</f>
        <v>#N/A</v>
      </c>
      <c r="X81" s="11" t="s">
        <v>1205</v>
      </c>
    </row>
    <row r="82" ht="14.25" customHeight="1">
      <c r="A82" s="11"/>
      <c r="B82" s="11" t="str">
        <f t="shared" si="1"/>
        <v>#N/A</v>
      </c>
      <c r="C82" s="11" t="s">
        <v>106</v>
      </c>
      <c r="D82" s="11"/>
      <c r="E82" s="11"/>
      <c r="F82" s="11">
        <f t="shared" si="2"/>
        <v>0</v>
      </c>
      <c r="G82" s="11"/>
      <c r="H82" s="11" t="s">
        <v>1206</v>
      </c>
      <c r="I82" s="11" t="str">
        <f>VLOOKUP($H82, 'ADP Data'!$B$4:$Q$300, 2, FALSE)</f>
        <v>#N/A</v>
      </c>
      <c r="J82" s="11" t="str">
        <f>VLOOKUP($H82, 'ADP Data'!$B$4:$Q$300, 3, FALSE)</f>
        <v>#N/A</v>
      </c>
      <c r="K82" s="11" t="str">
        <f>VLOOKUP($H82, SeanRanks!$A$2:$H$303, 4, FALSE)</f>
        <v>#N/A</v>
      </c>
      <c r="L82" s="11" t="str">
        <f>VLOOKUP($H82, SeanRanks!$A$2:$H$303, 5, FALSE)</f>
        <v>#N/A</v>
      </c>
      <c r="M82" s="11">
        <f t="shared" si="3"/>
        <v>16</v>
      </c>
      <c r="N82" s="11" t="str">
        <f>VLOOKUP($H82, 'ADP Data'!$B$4:$Q$300, 11, FALSE)</f>
        <v>#N/A</v>
      </c>
      <c r="O82" s="11" t="str">
        <f>VLOOKUP($H82, 'ADP Data'!$B$4:$Q$300, 5, FALSE)</f>
        <v>#N/A</v>
      </c>
      <c r="P82" s="11" t="str">
        <f t="shared" si="4"/>
        <v>#N/A</v>
      </c>
      <c r="Q82" s="11" t="str">
        <f>VLOOKUP($H82, 'ADP Data'!$B$4:$Q$300, 6, FALSE)</f>
        <v>#N/A</v>
      </c>
      <c r="R82" s="11" t="str">
        <f>VLOOKUP($H82, 'ADP Data'!$B$4:$Q$300, 7, FALSE)</f>
        <v>#N/A</v>
      </c>
      <c r="S82" s="11" t="str">
        <f>VLOOKUP($H82, 'ADP Data'!$B$4:$Q$300, 8, FALSE)</f>
        <v>#N/A</v>
      </c>
      <c r="T82" s="11" t="str">
        <f>VLOOKUP($H82, 'ADP Data'!$B$4:$Q$300, 9, FALSE)</f>
        <v>#N/A</v>
      </c>
      <c r="U82" s="11" t="str">
        <f>VLOOKUP($H82, 'ADP Data'!$B$4:$Q$300, 10, FALSE)</f>
        <v>#N/A</v>
      </c>
      <c r="V82" s="11" t="str">
        <f t="shared" si="5"/>
        <v>#N/A</v>
      </c>
      <c r="W82" s="11" t="str">
        <f>VLOOKUP($H82, SeanRanks!$A$2:$J$303, 7, FALSE)-V82</f>
        <v>#N/A</v>
      </c>
      <c r="X82" s="11"/>
    </row>
    <row r="83" ht="14.25" customHeight="1">
      <c r="A83" s="11"/>
      <c r="B83" s="11" t="str">
        <f t="shared" si="1"/>
        <v>#N/A</v>
      </c>
      <c r="C83" s="11" t="s">
        <v>106</v>
      </c>
      <c r="D83" s="11"/>
      <c r="E83" s="11"/>
      <c r="F83" s="11">
        <f t="shared" si="2"/>
        <v>0</v>
      </c>
      <c r="G83" s="11"/>
      <c r="H83" s="11" t="s">
        <v>898</v>
      </c>
      <c r="I83" s="11" t="str">
        <f>VLOOKUP($H83, 'ADP Data'!$B$4:$Q$300, 2, FALSE)</f>
        <v>#N/A</v>
      </c>
      <c r="J83" s="11" t="str">
        <f>VLOOKUP($H83, 'ADP Data'!$B$4:$Q$300, 3, FALSE)</f>
        <v>#N/A</v>
      </c>
      <c r="K83" s="11" t="str">
        <f>VLOOKUP($H83, SeanRanks!$A$2:$H$303, 4, FALSE)</f>
        <v>#N/A</v>
      </c>
      <c r="L83" s="11" t="str">
        <f>VLOOKUP($H83, SeanRanks!$A$2:$H$303, 5, FALSE)</f>
        <v>#N/A</v>
      </c>
      <c r="M83" s="11">
        <f t="shared" si="3"/>
        <v>16</v>
      </c>
      <c r="N83" s="11" t="str">
        <f>VLOOKUP($H83, 'ADP Data'!$B$4:$Q$300, 11, FALSE)</f>
        <v>#N/A</v>
      </c>
      <c r="O83" s="11" t="str">
        <f>VLOOKUP($H83, 'ADP Data'!$B$4:$Q$300, 5, FALSE)</f>
        <v>#N/A</v>
      </c>
      <c r="P83" s="11" t="str">
        <f t="shared" si="4"/>
        <v>#N/A</v>
      </c>
      <c r="Q83" s="11" t="str">
        <f>VLOOKUP($H83, 'ADP Data'!$B$4:$Q$300, 6, FALSE)</f>
        <v>#N/A</v>
      </c>
      <c r="R83" s="11" t="str">
        <f>VLOOKUP($H83, 'ADP Data'!$B$4:$Q$300, 7, FALSE)</f>
        <v>#N/A</v>
      </c>
      <c r="S83" s="11" t="str">
        <f>VLOOKUP($H83, 'ADP Data'!$B$4:$Q$300, 8, FALSE)</f>
        <v>#N/A</v>
      </c>
      <c r="T83" s="11" t="str">
        <f>VLOOKUP($H83, 'ADP Data'!$B$4:$Q$300, 9, FALSE)</f>
        <v>#N/A</v>
      </c>
      <c r="U83" s="11" t="str">
        <f>VLOOKUP($H83, 'ADP Data'!$B$4:$Q$300, 10, FALSE)</f>
        <v>#N/A</v>
      </c>
      <c r="V83" s="11" t="str">
        <f t="shared" si="5"/>
        <v>#N/A</v>
      </c>
      <c r="W83" s="11" t="str">
        <f>VLOOKUP($H83, SeanRanks!$A$2:$J$303, 7, FALSE)-V83</f>
        <v>#N/A</v>
      </c>
      <c r="X83" s="11" t="s">
        <v>1207</v>
      </c>
    </row>
    <row r="84" ht="14.25" customHeight="1">
      <c r="A84" s="11"/>
      <c r="B84" s="11" t="str">
        <f t="shared" si="1"/>
        <v>#N/A</v>
      </c>
      <c r="C84" s="11" t="s">
        <v>106</v>
      </c>
      <c r="D84" s="11"/>
      <c r="E84" s="11">
        <v>0.0</v>
      </c>
      <c r="F84" s="11">
        <f t="shared" si="2"/>
        <v>0</v>
      </c>
      <c r="G84" s="11" t="s">
        <v>106</v>
      </c>
      <c r="H84" s="11" t="s">
        <v>203</v>
      </c>
      <c r="I84" s="11" t="str">
        <f>VLOOKUP($H84, 'ADP Data'!$B$4:$Q$300, 2, FALSE)</f>
        <v>#N/A</v>
      </c>
      <c r="J84" s="11" t="str">
        <f>VLOOKUP($H84, 'ADP Data'!$B$4:$Q$300, 3, FALSE)</f>
        <v>#N/A</v>
      </c>
      <c r="K84" s="11" t="str">
        <f>VLOOKUP($H84, SeanRanks!$A$2:$H$303, 4, FALSE)</f>
        <v/>
      </c>
      <c r="L84" s="11" t="str">
        <f>VLOOKUP($H84, SeanRanks!$A$2:$H$303, 5, FALSE)</f>
        <v/>
      </c>
      <c r="M84" s="11">
        <f t="shared" si="3"/>
        <v>16</v>
      </c>
      <c r="N84" s="11" t="str">
        <f>VLOOKUP($H84, 'ADP Data'!$B$4:$Q$300, 11, FALSE)</f>
        <v>#N/A</v>
      </c>
      <c r="O84" s="11" t="str">
        <f>VLOOKUP($H84, 'ADP Data'!$B$4:$Q$300, 5, FALSE)</f>
        <v>#N/A</v>
      </c>
      <c r="P84" s="11" t="str">
        <f t="shared" si="4"/>
        <v>#N/A</v>
      </c>
      <c r="Q84" s="11" t="str">
        <f>VLOOKUP($H84, 'ADP Data'!$B$4:$Q$300, 6, FALSE)</f>
        <v>#N/A</v>
      </c>
      <c r="R84" s="11" t="str">
        <f>VLOOKUP($H84, 'ADP Data'!$B$4:$Q$300, 7, FALSE)</f>
        <v>#N/A</v>
      </c>
      <c r="S84" s="11" t="str">
        <f>VLOOKUP($H84, 'ADP Data'!$B$4:$Q$300, 8, FALSE)</f>
        <v>#N/A</v>
      </c>
      <c r="T84" s="11" t="str">
        <f>VLOOKUP($H84, 'ADP Data'!$B$4:$Q$300, 9, FALSE)</f>
        <v>#N/A</v>
      </c>
      <c r="U84" s="11" t="str">
        <f>VLOOKUP($H84, 'ADP Data'!$B$4:$Q$300, 10, FALSE)</f>
        <v>#N/A</v>
      </c>
      <c r="V84" s="11" t="str">
        <f t="shared" si="5"/>
        <v>#N/A</v>
      </c>
      <c r="W84" s="11" t="str">
        <f>VLOOKUP($H84, SeanRanks!$A$2:$J$303, 7, FALSE)-V84</f>
        <v>#N/A</v>
      </c>
      <c r="X84" s="11" t="s">
        <v>1208</v>
      </c>
    </row>
    <row r="85" ht="14.25" customHeight="1">
      <c r="A85" s="11"/>
      <c r="B85" s="11" t="str">
        <f t="shared" si="1"/>
        <v>#N/A</v>
      </c>
      <c r="C85" s="11" t="s">
        <v>106</v>
      </c>
      <c r="D85" s="11"/>
      <c r="E85" s="11"/>
      <c r="F85" s="11">
        <f t="shared" si="2"/>
        <v>0</v>
      </c>
      <c r="G85" s="11"/>
      <c r="H85" s="11" t="s">
        <v>294</v>
      </c>
      <c r="I85" s="11" t="str">
        <f>VLOOKUP($H85, 'ADP Data'!$B$4:$Q$300, 2, FALSE)</f>
        <v>#N/A</v>
      </c>
      <c r="J85" s="11" t="str">
        <f>VLOOKUP($H85, 'ADP Data'!$B$4:$Q$300, 3, FALSE)</f>
        <v>#N/A</v>
      </c>
      <c r="K85" s="11" t="str">
        <f>VLOOKUP($H85, SeanRanks!$A$2:$H$303, 4, FALSE)</f>
        <v>#N/A</v>
      </c>
      <c r="L85" s="11" t="str">
        <f>VLOOKUP($H85, SeanRanks!$A$2:$H$303, 5, FALSE)</f>
        <v>#N/A</v>
      </c>
      <c r="M85" s="11">
        <f t="shared" si="3"/>
        <v>16</v>
      </c>
      <c r="N85" s="11" t="str">
        <f>VLOOKUP($H85, 'ADP Data'!$B$4:$Q$300, 11, FALSE)</f>
        <v>#N/A</v>
      </c>
      <c r="O85" s="11" t="str">
        <f>VLOOKUP($H85, 'ADP Data'!$B$4:$Q$300, 5, FALSE)</f>
        <v>#N/A</v>
      </c>
      <c r="P85" s="11" t="str">
        <f t="shared" si="4"/>
        <v>#N/A</v>
      </c>
      <c r="Q85" s="11" t="str">
        <f>VLOOKUP($H85, 'ADP Data'!$B$4:$Q$300, 6, FALSE)</f>
        <v>#N/A</v>
      </c>
      <c r="R85" s="11" t="str">
        <f>VLOOKUP($H85, 'ADP Data'!$B$4:$Q$300, 7, FALSE)</f>
        <v>#N/A</v>
      </c>
      <c r="S85" s="11" t="str">
        <f>VLOOKUP($H85, 'ADP Data'!$B$4:$Q$300, 8, FALSE)</f>
        <v>#N/A</v>
      </c>
      <c r="T85" s="11" t="str">
        <f>VLOOKUP($H85, 'ADP Data'!$B$4:$Q$300, 9, FALSE)</f>
        <v>#N/A</v>
      </c>
      <c r="U85" s="11" t="str">
        <f>VLOOKUP($H85, 'ADP Data'!$B$4:$Q$300, 10, FALSE)</f>
        <v>#N/A</v>
      </c>
      <c r="V85" s="11" t="str">
        <f t="shared" si="5"/>
        <v>#N/A</v>
      </c>
      <c r="W85" s="11" t="str">
        <f>VLOOKUP($H85, SeanRanks!$A$2:$J$303, 7, FALSE)-V85</f>
        <v>#N/A</v>
      </c>
      <c r="X85" s="11" t="s">
        <v>1209</v>
      </c>
    </row>
    <row r="86" ht="14.25" customHeight="1">
      <c r="A86" s="11"/>
      <c r="B86" s="11" t="str">
        <f t="shared" si="1"/>
        <v>#N/A</v>
      </c>
      <c r="C86" s="11" t="s">
        <v>106</v>
      </c>
      <c r="D86" s="11"/>
      <c r="E86" s="11"/>
      <c r="F86" s="11">
        <f t="shared" si="2"/>
        <v>0</v>
      </c>
      <c r="G86" s="11"/>
      <c r="H86" s="11" t="s">
        <v>1210</v>
      </c>
      <c r="I86" s="11" t="str">
        <f>VLOOKUP($H86, 'ADP Data'!$B$4:$Q$300, 2, FALSE)</f>
        <v>#N/A</v>
      </c>
      <c r="J86" s="11" t="str">
        <f>VLOOKUP($H86, 'ADP Data'!$B$4:$Q$300, 3, FALSE)</f>
        <v>#N/A</v>
      </c>
      <c r="K86" s="11" t="str">
        <f>VLOOKUP($H86, SeanRanks!$A$2:$H$303, 4, FALSE)</f>
        <v>#N/A</v>
      </c>
      <c r="L86" s="11" t="str">
        <f>VLOOKUP($H86, SeanRanks!$A$2:$H$303, 5, FALSE)</f>
        <v>#N/A</v>
      </c>
      <c r="M86" s="11">
        <f t="shared" si="3"/>
        <v>16</v>
      </c>
      <c r="N86" s="11" t="str">
        <f>VLOOKUP($H86, 'ADP Data'!$B$4:$Q$300, 11, FALSE)</f>
        <v>#N/A</v>
      </c>
      <c r="O86" s="11" t="str">
        <f>VLOOKUP($H86, 'ADP Data'!$B$4:$Q$300, 5, FALSE)</f>
        <v>#N/A</v>
      </c>
      <c r="P86" s="11" t="str">
        <f t="shared" si="4"/>
        <v>#N/A</v>
      </c>
      <c r="Q86" s="11" t="str">
        <f>VLOOKUP($H86, 'ADP Data'!$B$4:$Q$300, 6, FALSE)</f>
        <v>#N/A</v>
      </c>
      <c r="R86" s="11" t="str">
        <f>VLOOKUP($H86, 'ADP Data'!$B$4:$Q$300, 7, FALSE)</f>
        <v>#N/A</v>
      </c>
      <c r="S86" s="11" t="str">
        <f>VLOOKUP($H86, 'ADP Data'!$B$4:$Q$300, 8, FALSE)</f>
        <v>#N/A</v>
      </c>
      <c r="T86" s="11" t="str">
        <f>VLOOKUP($H86, 'ADP Data'!$B$4:$Q$300, 9, FALSE)</f>
        <v>#N/A</v>
      </c>
      <c r="U86" s="11" t="str">
        <f>VLOOKUP($H86, 'ADP Data'!$B$4:$Q$300, 10, FALSE)</f>
        <v>#N/A</v>
      </c>
      <c r="V86" s="11" t="str">
        <f t="shared" si="5"/>
        <v>#N/A</v>
      </c>
      <c r="W86" s="11" t="str">
        <f>VLOOKUP($H86, SeanRanks!$A$2:$J$303, 7, FALSE)-V86</f>
        <v>#N/A</v>
      </c>
      <c r="X86" s="11"/>
    </row>
    <row r="87" ht="14.25" customHeight="1">
      <c r="A87" s="11"/>
      <c r="B87" s="11" t="str">
        <f t="shared" si="1"/>
        <v>#N/A</v>
      </c>
      <c r="C87" s="11" t="s">
        <v>106</v>
      </c>
      <c r="D87" s="11"/>
      <c r="E87" s="11"/>
      <c r="F87" s="11">
        <f t="shared" si="2"/>
        <v>0</v>
      </c>
      <c r="G87" s="11"/>
      <c r="H87" s="11" t="s">
        <v>626</v>
      </c>
      <c r="I87" s="11" t="str">
        <f>VLOOKUP($H87, 'ADP Data'!$B$4:$Q$300, 2, FALSE)</f>
        <v>#N/A</v>
      </c>
      <c r="J87" s="11" t="str">
        <f>VLOOKUP($H87, 'ADP Data'!$B$4:$Q$300, 3, FALSE)</f>
        <v>#N/A</v>
      </c>
      <c r="K87" s="11"/>
      <c r="L87" s="11"/>
      <c r="M87" s="11">
        <f t="shared" si="3"/>
        <v>16</v>
      </c>
      <c r="N87" s="11" t="str">
        <f>VLOOKUP($H87, 'ADP Data'!$B$4:$Q$300, 11, FALSE)</f>
        <v>#N/A</v>
      </c>
      <c r="O87" s="11" t="str">
        <f>VLOOKUP($H87, 'ADP Data'!$B$4:$Q$300, 5, FALSE)</f>
        <v>#N/A</v>
      </c>
      <c r="P87" s="11" t="str">
        <f t="shared" si="4"/>
        <v>#N/A</v>
      </c>
      <c r="Q87" s="11" t="str">
        <f>VLOOKUP($H87, 'ADP Data'!$B$4:$Q$300, 6, FALSE)</f>
        <v>#N/A</v>
      </c>
      <c r="R87" s="11" t="str">
        <f>VLOOKUP($H87, 'ADP Data'!$B$4:$Q$300, 7, FALSE)</f>
        <v>#N/A</v>
      </c>
      <c r="S87" s="11" t="str">
        <f>VLOOKUP($H87, 'ADP Data'!$B$4:$Q$300, 8, FALSE)</f>
        <v>#N/A</v>
      </c>
      <c r="T87" s="11" t="str">
        <f>VLOOKUP($H87, 'ADP Data'!$B$4:$Q$300, 9, FALSE)</f>
        <v>#N/A</v>
      </c>
      <c r="U87" s="11" t="str">
        <f>VLOOKUP($H87, 'ADP Data'!$B$4:$Q$300, 10, FALSE)</f>
        <v>#N/A</v>
      </c>
      <c r="V87" s="11" t="str">
        <f t="shared" si="5"/>
        <v>#N/A</v>
      </c>
      <c r="W87" s="11" t="str">
        <f>VLOOKUP($H87, SeanRanks!$A$2:$J$303, 7, FALSE)-V87</f>
        <v>#N/A</v>
      </c>
      <c r="X87" s="11"/>
    </row>
    <row r="88" ht="14.25" customHeight="1">
      <c r="A88" s="11"/>
      <c r="B88" s="11" t="str">
        <f t="shared" si="1"/>
        <v>#N/A</v>
      </c>
      <c r="C88" s="11" t="s">
        <v>106</v>
      </c>
      <c r="D88" s="11"/>
      <c r="E88" s="11"/>
      <c r="F88" s="11">
        <f t="shared" si="2"/>
        <v>0</v>
      </c>
      <c r="G88" s="11"/>
      <c r="H88" s="11" t="s">
        <v>897</v>
      </c>
      <c r="I88" s="11" t="str">
        <f>VLOOKUP($H88, 'ADP Data'!$B$4:$Q$300, 2, FALSE)</f>
        <v>#N/A</v>
      </c>
      <c r="J88" s="11" t="s">
        <v>1085</v>
      </c>
      <c r="K88" s="11"/>
      <c r="L88" s="11"/>
      <c r="M88" s="11">
        <f t="shared" si="3"/>
        <v>16</v>
      </c>
      <c r="N88" s="11" t="str">
        <f>VLOOKUP($H88, 'ADP Data'!$B$4:$Q$300, 11, FALSE)</f>
        <v>#N/A</v>
      </c>
      <c r="O88" s="11" t="str">
        <f>VLOOKUP($H88, 'ADP Data'!$B$4:$Q$300, 5, FALSE)</f>
        <v>#N/A</v>
      </c>
      <c r="P88" s="11" t="str">
        <f t="shared" si="4"/>
        <v>#N/A</v>
      </c>
      <c r="Q88" s="11" t="str">
        <f>VLOOKUP($H88, 'ADP Data'!$B$4:$Q$300, 6, FALSE)</f>
        <v>#N/A</v>
      </c>
      <c r="R88" s="11" t="str">
        <f>VLOOKUP($H88, 'ADP Data'!$B$4:$Q$300, 7, FALSE)</f>
        <v>#N/A</v>
      </c>
      <c r="S88" s="11" t="str">
        <f>VLOOKUP($H88, 'ADP Data'!$B$4:$Q$300, 8, FALSE)</f>
        <v>#N/A</v>
      </c>
      <c r="T88" s="11" t="str">
        <f>VLOOKUP($H88, 'ADP Data'!$B$4:$Q$300, 9, FALSE)</f>
        <v>#N/A</v>
      </c>
      <c r="U88" s="11" t="str">
        <f>VLOOKUP($H88, 'ADP Data'!$B$4:$Q$300, 10, FALSE)</f>
        <v>#N/A</v>
      </c>
      <c r="V88" s="11" t="str">
        <f t="shared" si="5"/>
        <v>#N/A</v>
      </c>
      <c r="W88" s="11" t="str">
        <f>VLOOKUP($H88, SeanRanks!$A$2:$J$303, 7, FALSE)-V88</f>
        <v>#N/A</v>
      </c>
      <c r="X88" s="11"/>
    </row>
    <row r="89" ht="14.25" customHeight="1">
      <c r="A89" s="11"/>
      <c r="B89" s="11" t="str">
        <f t="shared" si="1"/>
        <v>#N/A</v>
      </c>
      <c r="C89" s="11" t="s">
        <v>106</v>
      </c>
      <c r="D89" s="11"/>
      <c r="E89" s="11"/>
      <c r="F89" s="11">
        <f t="shared" si="2"/>
        <v>0</v>
      </c>
      <c r="G89" s="11"/>
      <c r="H89" s="11" t="s">
        <v>915</v>
      </c>
      <c r="I89" s="11" t="str">
        <f>VLOOKUP($H89, 'ADP Data'!$B$4:$Q$300, 2, FALSE)</f>
        <v>#N/A</v>
      </c>
      <c r="J89" s="11" t="str">
        <f>VLOOKUP($H89, 'ADP Data'!$B$4:$Q$300, 3, FALSE)</f>
        <v>#N/A</v>
      </c>
      <c r="K89" s="11"/>
      <c r="L89" s="11"/>
      <c r="M89" s="11">
        <f t="shared" si="3"/>
        <v>16</v>
      </c>
      <c r="N89" s="11" t="str">
        <f>VLOOKUP($H89, 'ADP Data'!$B$4:$Q$300, 11, FALSE)</f>
        <v>#N/A</v>
      </c>
      <c r="O89" s="11" t="str">
        <f>VLOOKUP($H89, 'ADP Data'!$B$4:$Q$300, 5, FALSE)</f>
        <v>#N/A</v>
      </c>
      <c r="P89" s="11" t="str">
        <f t="shared" si="4"/>
        <v>#N/A</v>
      </c>
      <c r="Q89" s="11" t="str">
        <f>VLOOKUP($H89, 'ADP Data'!$B$4:$Q$300, 6, FALSE)</f>
        <v>#N/A</v>
      </c>
      <c r="R89" s="11" t="str">
        <f>VLOOKUP($H89, 'ADP Data'!$B$4:$Q$300, 7, FALSE)</f>
        <v>#N/A</v>
      </c>
      <c r="S89" s="11" t="str">
        <f>VLOOKUP($H89, 'ADP Data'!$B$4:$Q$300, 8, FALSE)</f>
        <v>#N/A</v>
      </c>
      <c r="T89" s="11" t="str">
        <f>VLOOKUP($H89, 'ADP Data'!$B$4:$Q$300, 9, FALSE)</f>
        <v>#N/A</v>
      </c>
      <c r="U89" s="11" t="str">
        <f>VLOOKUP($H89, 'ADP Data'!$B$4:$Q$300, 10, FALSE)</f>
        <v>#N/A</v>
      </c>
      <c r="V89" s="11" t="str">
        <f t="shared" si="5"/>
        <v>#N/A</v>
      </c>
      <c r="W89" s="11" t="str">
        <f>VLOOKUP($H89, SeanRanks!$A$2:$J$303, 7, FALSE)-V89</f>
        <v>#N/A</v>
      </c>
      <c r="X89" s="11"/>
    </row>
    <row r="90" ht="14.25" customHeight="1">
      <c r="A90" s="11"/>
      <c r="B90" s="11" t="str">
        <f t="shared" si="1"/>
        <v>#N/A</v>
      </c>
      <c r="C90" s="11" t="s">
        <v>106</v>
      </c>
      <c r="D90" s="11"/>
      <c r="E90" s="11"/>
      <c r="F90" s="11">
        <f t="shared" si="2"/>
        <v>0</v>
      </c>
      <c r="G90" s="11"/>
      <c r="H90" s="11" t="s">
        <v>620</v>
      </c>
      <c r="I90" s="11" t="str">
        <f>VLOOKUP($H90, 'ADP Data'!$B$4:$Q$300, 2, FALSE)</f>
        <v>#N/A</v>
      </c>
      <c r="J90" s="11" t="str">
        <f>VLOOKUP($H90, 'ADP Data'!$B$4:$Q$300, 3, FALSE)</f>
        <v>#N/A</v>
      </c>
      <c r="K90" s="11"/>
      <c r="L90" s="11"/>
      <c r="M90" s="11">
        <f t="shared" si="3"/>
        <v>16</v>
      </c>
      <c r="N90" s="11" t="str">
        <f>VLOOKUP($H90, 'ADP Data'!$B$4:$Q$300, 11, FALSE)</f>
        <v>#N/A</v>
      </c>
      <c r="O90" s="11" t="str">
        <f>VLOOKUP($H90, 'ADP Data'!$B$4:$Q$300, 5, FALSE)</f>
        <v>#N/A</v>
      </c>
      <c r="P90" s="11" t="str">
        <f t="shared" si="4"/>
        <v>#N/A</v>
      </c>
      <c r="Q90" s="11" t="str">
        <f>VLOOKUP($H90, 'ADP Data'!$B$4:$Q$300, 6, FALSE)</f>
        <v>#N/A</v>
      </c>
      <c r="R90" s="11" t="str">
        <f>VLOOKUP($H90, 'ADP Data'!$B$4:$Q$300, 7, FALSE)</f>
        <v>#N/A</v>
      </c>
      <c r="S90" s="11" t="str">
        <f>VLOOKUP($H90, 'ADP Data'!$B$4:$Q$300, 8, FALSE)</f>
        <v>#N/A</v>
      </c>
      <c r="T90" s="11" t="str">
        <f>VLOOKUP($H90, 'ADP Data'!$B$4:$Q$300, 9, FALSE)</f>
        <v>#N/A</v>
      </c>
      <c r="U90" s="11" t="str">
        <f>VLOOKUP($H90, 'ADP Data'!$B$4:$Q$300, 10, FALSE)</f>
        <v>#N/A</v>
      </c>
      <c r="V90" s="11" t="str">
        <f t="shared" si="5"/>
        <v>#N/A</v>
      </c>
      <c r="W90" s="11" t="str">
        <f>VLOOKUP($H90, SeanRanks!$A$2:$J$303, 7, FALSE)-V90</f>
        <v>#N/A</v>
      </c>
      <c r="X90" s="11"/>
    </row>
    <row r="91" ht="14.25" customHeight="1">
      <c r="A91" s="11"/>
      <c r="B91" s="11" t="str">
        <f t="shared" si="1"/>
        <v>#N/A</v>
      </c>
      <c r="C91" s="11" t="s">
        <v>106</v>
      </c>
      <c r="D91" s="11"/>
      <c r="E91" s="11"/>
      <c r="F91" s="11">
        <f t="shared" si="2"/>
        <v>0</v>
      </c>
      <c r="G91" s="11"/>
      <c r="H91" s="11" t="s">
        <v>952</v>
      </c>
      <c r="I91" s="11" t="str">
        <f>VLOOKUP($H91, 'ADP Data'!$B$4:$Q$300, 2, FALSE)</f>
        <v>#N/A</v>
      </c>
      <c r="J91" s="11" t="str">
        <f>VLOOKUP($H91, 'ADP Data'!$B$4:$Q$300, 3, FALSE)</f>
        <v>#N/A</v>
      </c>
      <c r="K91" s="11"/>
      <c r="L91" s="11"/>
      <c r="M91" s="11">
        <f t="shared" si="3"/>
        <v>16</v>
      </c>
      <c r="N91" s="11" t="str">
        <f>VLOOKUP($H91, 'ADP Data'!$B$4:$Q$300, 11, FALSE)</f>
        <v>#N/A</v>
      </c>
      <c r="O91" s="11" t="str">
        <f>VLOOKUP($H91, 'ADP Data'!$B$4:$Q$300, 5, FALSE)</f>
        <v>#N/A</v>
      </c>
      <c r="P91" s="11" t="str">
        <f t="shared" si="4"/>
        <v>#N/A</v>
      </c>
      <c r="Q91" s="11" t="str">
        <f>VLOOKUP($H91, 'ADP Data'!$B$4:$Q$300, 6, FALSE)</f>
        <v>#N/A</v>
      </c>
      <c r="R91" s="11" t="str">
        <f>VLOOKUP($H91, 'ADP Data'!$B$4:$Q$300, 7, FALSE)</f>
        <v>#N/A</v>
      </c>
      <c r="S91" s="11" t="str">
        <f>VLOOKUP($H91, 'ADP Data'!$B$4:$Q$300, 8, FALSE)</f>
        <v>#N/A</v>
      </c>
      <c r="T91" s="11" t="str">
        <f>VLOOKUP($H91, 'ADP Data'!$B$4:$Q$300, 9, FALSE)</f>
        <v>#N/A</v>
      </c>
      <c r="U91" s="11" t="str">
        <f>VLOOKUP($H91, 'ADP Data'!$B$4:$Q$300, 10, FALSE)</f>
        <v>#N/A</v>
      </c>
      <c r="V91" s="11" t="str">
        <f t="shared" si="5"/>
        <v>#N/A</v>
      </c>
      <c r="W91" s="11" t="str">
        <f>VLOOKUP($H91, SeanRanks!$A$2:$J$303, 7, FALSE)-V91</f>
        <v>#N/A</v>
      </c>
      <c r="X91" s="11"/>
    </row>
    <row r="92" ht="14.25" customHeight="1">
      <c r="A92" s="11"/>
      <c r="B92" s="11" t="str">
        <f t="shared" si="1"/>
        <v>#N/A</v>
      </c>
      <c r="C92" s="11" t="s">
        <v>106</v>
      </c>
      <c r="D92" s="11"/>
      <c r="E92" s="11"/>
      <c r="F92" s="11">
        <f t="shared" si="2"/>
        <v>0</v>
      </c>
      <c r="G92" s="11"/>
      <c r="H92" s="11" t="s">
        <v>659</v>
      </c>
      <c r="I92" s="11" t="str">
        <f>VLOOKUP($H92, 'ADP Data'!$B$4:$Q$300, 2, FALSE)</f>
        <v>#N/A</v>
      </c>
      <c r="J92" s="11" t="str">
        <f>VLOOKUP($H92, 'ADP Data'!$B$4:$Q$300, 3, FALSE)</f>
        <v>#N/A</v>
      </c>
      <c r="K92" s="11"/>
      <c r="L92" s="11"/>
      <c r="M92" s="11">
        <f t="shared" si="3"/>
        <v>16</v>
      </c>
      <c r="N92" s="11" t="str">
        <f>VLOOKUP($H92, 'ADP Data'!$B$4:$Q$300, 11, FALSE)</f>
        <v>#N/A</v>
      </c>
      <c r="O92" s="11" t="str">
        <f>VLOOKUP($H92, 'ADP Data'!$B$4:$Q$300, 5, FALSE)</f>
        <v>#N/A</v>
      </c>
      <c r="P92" s="11" t="str">
        <f t="shared" si="4"/>
        <v>#N/A</v>
      </c>
      <c r="Q92" s="11" t="str">
        <f>VLOOKUP($H92, 'ADP Data'!$B$4:$Q$300, 6, FALSE)</f>
        <v>#N/A</v>
      </c>
      <c r="R92" s="11" t="str">
        <f>VLOOKUP($H92, 'ADP Data'!$B$4:$Q$300, 7, FALSE)</f>
        <v>#N/A</v>
      </c>
      <c r="S92" s="11" t="str">
        <f>VLOOKUP($H92, 'ADP Data'!$B$4:$Q$300, 8, FALSE)</f>
        <v>#N/A</v>
      </c>
      <c r="T92" s="11" t="str">
        <f>VLOOKUP($H92, 'ADP Data'!$B$4:$Q$300, 9, FALSE)</f>
        <v>#N/A</v>
      </c>
      <c r="U92" s="11" t="str">
        <f>VLOOKUP($H92, 'ADP Data'!$B$4:$Q$300, 10, FALSE)</f>
        <v>#N/A</v>
      </c>
      <c r="V92" s="11" t="str">
        <f t="shared" si="5"/>
        <v>#N/A</v>
      </c>
      <c r="W92" s="11" t="str">
        <f>VLOOKUP($H92, SeanRanks!$A$2:$J$303, 7, FALSE)-V92</f>
        <v>#N/A</v>
      </c>
      <c r="X92" s="11"/>
    </row>
    <row r="93" ht="14.25" customHeight="1">
      <c r="A93" s="11"/>
      <c r="B93" s="11" t="str">
        <f t="shared" si="1"/>
        <v>#N/A</v>
      </c>
      <c r="C93" s="11" t="s">
        <v>106</v>
      </c>
      <c r="D93" s="11"/>
      <c r="E93" s="11"/>
      <c r="F93" s="11">
        <f t="shared" si="2"/>
        <v>0</v>
      </c>
      <c r="G93" s="11"/>
      <c r="H93" s="11" t="s">
        <v>676</v>
      </c>
      <c r="I93" s="11" t="str">
        <f>VLOOKUP($H93, 'ADP Data'!$B$4:$Q$300, 2, FALSE)</f>
        <v>#N/A</v>
      </c>
      <c r="J93" s="11" t="str">
        <f>VLOOKUP($H93, 'ADP Data'!$B$4:$Q$300, 3, FALSE)</f>
        <v>#N/A</v>
      </c>
      <c r="K93" s="11"/>
      <c r="L93" s="11"/>
      <c r="M93" s="11">
        <f t="shared" si="3"/>
        <v>16</v>
      </c>
      <c r="N93" s="11" t="str">
        <f>VLOOKUP($H93, 'ADP Data'!$B$4:$Q$300, 11, FALSE)</f>
        <v>#N/A</v>
      </c>
      <c r="O93" s="11" t="str">
        <f>VLOOKUP($H93, 'ADP Data'!$B$4:$Q$300, 5, FALSE)</f>
        <v>#N/A</v>
      </c>
      <c r="P93" s="11" t="str">
        <f t="shared" si="4"/>
        <v>#N/A</v>
      </c>
      <c r="Q93" s="11" t="str">
        <f>VLOOKUP($H93, 'ADP Data'!$B$4:$Q$300, 6, FALSE)</f>
        <v>#N/A</v>
      </c>
      <c r="R93" s="11" t="str">
        <f>VLOOKUP($H93, 'ADP Data'!$B$4:$Q$300, 7, FALSE)</f>
        <v>#N/A</v>
      </c>
      <c r="S93" s="11" t="str">
        <f>VLOOKUP($H93, 'ADP Data'!$B$4:$Q$300, 8, FALSE)</f>
        <v>#N/A</v>
      </c>
      <c r="T93" s="11" t="str">
        <f>VLOOKUP($H93, 'ADP Data'!$B$4:$Q$300, 9, FALSE)</f>
        <v>#N/A</v>
      </c>
      <c r="U93" s="11" t="str">
        <f>VLOOKUP($H93, 'ADP Data'!$B$4:$Q$300, 10, FALSE)</f>
        <v>#N/A</v>
      </c>
      <c r="V93" s="11" t="str">
        <f t="shared" si="5"/>
        <v>#N/A</v>
      </c>
      <c r="W93" s="11" t="str">
        <f>VLOOKUP($H93, SeanRanks!$A$2:$J$303, 7, FALSE)-V93</f>
        <v>#N/A</v>
      </c>
      <c r="X93" s="11"/>
    </row>
    <row r="94" ht="14.25" customHeight="1">
      <c r="A94" s="11"/>
      <c r="B94" s="11" t="str">
        <f t="shared" si="1"/>
        <v>#N/A</v>
      </c>
      <c r="C94" s="11" t="s">
        <v>106</v>
      </c>
      <c r="D94" s="11"/>
      <c r="E94" s="11"/>
      <c r="F94" s="11">
        <f t="shared" si="2"/>
        <v>0</v>
      </c>
      <c r="G94" s="11"/>
      <c r="H94" s="11" t="s">
        <v>487</v>
      </c>
      <c r="I94" s="11" t="str">
        <f>VLOOKUP($H94, 'ADP Data'!$B$4:$Q$300, 2, FALSE)</f>
        <v>#N/A</v>
      </c>
      <c r="J94" s="11" t="str">
        <f>VLOOKUP($H94, 'ADP Data'!$B$4:$Q$300, 3, FALSE)</f>
        <v>#N/A</v>
      </c>
      <c r="K94" s="11"/>
      <c r="L94" s="11"/>
      <c r="M94" s="11">
        <f t="shared" si="3"/>
        <v>16</v>
      </c>
      <c r="N94" s="11" t="str">
        <f>VLOOKUP($H94, 'ADP Data'!$B$4:$Q$300, 11, FALSE)</f>
        <v>#N/A</v>
      </c>
      <c r="O94" s="11" t="str">
        <f>VLOOKUP($H94, 'ADP Data'!$B$4:$Q$300, 5, FALSE)</f>
        <v>#N/A</v>
      </c>
      <c r="P94" s="11" t="str">
        <f t="shared" si="4"/>
        <v>#N/A</v>
      </c>
      <c r="Q94" s="11" t="str">
        <f>VLOOKUP($H94, 'ADP Data'!$B$4:$Q$300, 6, FALSE)</f>
        <v>#N/A</v>
      </c>
      <c r="R94" s="11" t="str">
        <f>VLOOKUP($H94, 'ADP Data'!$B$4:$Q$300, 7, FALSE)</f>
        <v>#N/A</v>
      </c>
      <c r="S94" s="11" t="str">
        <f>VLOOKUP($H94, 'ADP Data'!$B$4:$Q$300, 8, FALSE)</f>
        <v>#N/A</v>
      </c>
      <c r="T94" s="11" t="str">
        <f>VLOOKUP($H94, 'ADP Data'!$B$4:$Q$300, 9, FALSE)</f>
        <v>#N/A</v>
      </c>
      <c r="U94" s="11" t="str">
        <f>VLOOKUP($H94, 'ADP Data'!$B$4:$Q$300, 10, FALSE)</f>
        <v>#N/A</v>
      </c>
      <c r="V94" s="11" t="str">
        <f t="shared" si="5"/>
        <v>#N/A</v>
      </c>
      <c r="W94" s="11" t="str">
        <f>VLOOKUP($H94, SeanRanks!$A$2:$J$303, 7, FALSE)-V94</f>
        <v>#N/A</v>
      </c>
      <c r="X94" s="11"/>
    </row>
    <row r="95" ht="14.25" customHeight="1">
      <c r="A95" s="11"/>
      <c r="B95" s="11" t="str">
        <f t="shared" si="1"/>
        <v>#N/A</v>
      </c>
      <c r="C95" s="11" t="s">
        <v>106</v>
      </c>
      <c r="D95" s="11"/>
      <c r="E95" s="11"/>
      <c r="F95" s="11">
        <f t="shared" si="2"/>
        <v>0</v>
      </c>
      <c r="G95" s="11"/>
      <c r="H95" s="11" t="s">
        <v>984</v>
      </c>
      <c r="I95" s="11" t="str">
        <f>VLOOKUP($H95, 'ADP Data'!$B$4:$Q$300, 2, FALSE)</f>
        <v>#N/A</v>
      </c>
      <c r="J95" s="11" t="str">
        <f>VLOOKUP($H95, 'ADP Data'!$B$4:$Q$300, 3, FALSE)</f>
        <v>#N/A</v>
      </c>
      <c r="K95" s="11"/>
      <c r="L95" s="11"/>
      <c r="M95" s="11">
        <f t="shared" si="3"/>
        <v>16</v>
      </c>
      <c r="N95" s="11" t="str">
        <f>VLOOKUP($H95, 'ADP Data'!$B$4:$Q$300, 11, FALSE)</f>
        <v>#N/A</v>
      </c>
      <c r="O95" s="11" t="str">
        <f>VLOOKUP($H95, 'ADP Data'!$B$4:$Q$300, 5, FALSE)</f>
        <v>#N/A</v>
      </c>
      <c r="P95" s="11" t="str">
        <f t="shared" si="4"/>
        <v>#N/A</v>
      </c>
      <c r="Q95" s="11" t="str">
        <f>VLOOKUP($H95, 'ADP Data'!$B$4:$Q$300, 6, FALSE)</f>
        <v>#N/A</v>
      </c>
      <c r="R95" s="11" t="str">
        <f>VLOOKUP($H95, 'ADP Data'!$B$4:$Q$300, 7, FALSE)</f>
        <v>#N/A</v>
      </c>
      <c r="S95" s="11" t="str">
        <f>VLOOKUP($H95, 'ADP Data'!$B$4:$Q$300, 8, FALSE)</f>
        <v>#N/A</v>
      </c>
      <c r="T95" s="11" t="str">
        <f>VLOOKUP($H95, 'ADP Data'!$B$4:$Q$300, 9, FALSE)</f>
        <v>#N/A</v>
      </c>
      <c r="U95" s="11" t="str">
        <f>VLOOKUP($H95, 'ADP Data'!$B$4:$Q$300, 10, FALSE)</f>
        <v>#N/A</v>
      </c>
      <c r="V95" s="11" t="str">
        <f t="shared" si="5"/>
        <v>#N/A</v>
      </c>
      <c r="W95" s="11" t="str">
        <f>VLOOKUP($H95, SeanRanks!$A$2:$J$303, 7, FALSE)-V95</f>
        <v>#N/A</v>
      </c>
      <c r="X95" s="11"/>
    </row>
    <row r="96" ht="14.25" customHeight="1">
      <c r="A96" s="11"/>
      <c r="B96" s="11" t="str">
        <f t="shared" si="1"/>
        <v>#N/A</v>
      </c>
      <c r="C96" s="11" t="s">
        <v>106</v>
      </c>
      <c r="D96" s="11"/>
      <c r="E96" s="11"/>
      <c r="F96" s="11">
        <f t="shared" si="2"/>
        <v>0</v>
      </c>
      <c r="G96" s="11"/>
      <c r="H96" s="11" t="s">
        <v>1142</v>
      </c>
      <c r="I96" s="11" t="str">
        <f>VLOOKUP($H96, 'ADP Data'!$B$4:$Q$300, 2, FALSE)</f>
        <v>#N/A</v>
      </c>
      <c r="J96" s="11" t="str">
        <f>VLOOKUP($H96, 'ADP Data'!$B$4:$Q$300, 3, FALSE)</f>
        <v>#N/A</v>
      </c>
      <c r="K96" s="11"/>
      <c r="L96" s="11"/>
      <c r="M96" s="11">
        <f t="shared" si="3"/>
        <v>16</v>
      </c>
      <c r="N96" s="11" t="str">
        <f>VLOOKUP($H96, 'ADP Data'!$B$4:$Q$300, 11, FALSE)</f>
        <v>#N/A</v>
      </c>
      <c r="O96" s="11" t="str">
        <f>VLOOKUP($H96, 'ADP Data'!$B$4:$Q$300, 5, FALSE)</f>
        <v>#N/A</v>
      </c>
      <c r="P96" s="11" t="str">
        <f t="shared" si="4"/>
        <v>#N/A</v>
      </c>
      <c r="Q96" s="11" t="str">
        <f>VLOOKUP($H96, 'ADP Data'!$B$4:$Q$300, 6, FALSE)</f>
        <v>#N/A</v>
      </c>
      <c r="R96" s="11" t="str">
        <f>VLOOKUP($H96, 'ADP Data'!$B$4:$Q$300, 7, FALSE)</f>
        <v>#N/A</v>
      </c>
      <c r="S96" s="11" t="str">
        <f>VLOOKUP($H96, 'ADP Data'!$B$4:$Q$300, 8, FALSE)</f>
        <v>#N/A</v>
      </c>
      <c r="T96" s="11" t="str">
        <f>VLOOKUP($H96, 'ADP Data'!$B$4:$Q$300, 9, FALSE)</f>
        <v>#N/A</v>
      </c>
      <c r="U96" s="11" t="str">
        <f>VLOOKUP($H96, 'ADP Data'!$B$4:$Q$300, 10, FALSE)</f>
        <v>#N/A</v>
      </c>
      <c r="V96" s="11" t="str">
        <f t="shared" si="5"/>
        <v>#N/A</v>
      </c>
      <c r="W96" s="11" t="str">
        <f>VLOOKUP($H96, SeanRanks!$A$2:$J$303, 7, FALSE)-V96</f>
        <v>#N/A</v>
      </c>
      <c r="X96" s="11"/>
    </row>
    <row r="97" ht="14.25" customHeight="1">
      <c r="A97" s="11"/>
      <c r="B97" s="11" t="str">
        <f t="shared" si="1"/>
        <v>#N/A</v>
      </c>
      <c r="C97" s="11" t="s">
        <v>106</v>
      </c>
      <c r="D97" s="11"/>
      <c r="E97" s="11"/>
      <c r="F97" s="11">
        <f t="shared" si="2"/>
        <v>0</v>
      </c>
      <c r="G97" s="11"/>
      <c r="H97" s="11" t="s">
        <v>918</v>
      </c>
      <c r="I97" s="11" t="str">
        <f>VLOOKUP($H97, 'ADP Data'!$B$4:$Q$300, 2, FALSE)</f>
        <v>#N/A</v>
      </c>
      <c r="J97" s="11" t="str">
        <f>VLOOKUP($H97, 'ADP Data'!$B$4:$Q$300, 3, FALSE)</f>
        <v>#N/A</v>
      </c>
      <c r="K97" s="11"/>
      <c r="L97" s="11"/>
      <c r="M97" s="11">
        <f t="shared" si="3"/>
        <v>16</v>
      </c>
      <c r="N97" s="11" t="str">
        <f>VLOOKUP($H97, 'ADP Data'!$B$4:$Q$300, 11, FALSE)</f>
        <v>#N/A</v>
      </c>
      <c r="O97" s="11" t="str">
        <f>VLOOKUP($H97, 'ADP Data'!$B$4:$Q$300, 5, FALSE)</f>
        <v>#N/A</v>
      </c>
      <c r="P97" s="11" t="str">
        <f t="shared" si="4"/>
        <v>#N/A</v>
      </c>
      <c r="Q97" s="11" t="str">
        <f>VLOOKUP($H97, 'ADP Data'!$B$4:$Q$300, 6, FALSE)</f>
        <v>#N/A</v>
      </c>
      <c r="R97" s="11" t="str">
        <f>VLOOKUP($H97, 'ADP Data'!$B$4:$Q$300, 7, FALSE)</f>
        <v>#N/A</v>
      </c>
      <c r="S97" s="11" t="str">
        <f>VLOOKUP($H97, 'ADP Data'!$B$4:$Q$300, 8, FALSE)</f>
        <v>#N/A</v>
      </c>
      <c r="T97" s="11" t="str">
        <f>VLOOKUP($H97, 'ADP Data'!$B$4:$Q$300, 9, FALSE)</f>
        <v>#N/A</v>
      </c>
      <c r="U97" s="11" t="str">
        <f>VLOOKUP($H97, 'ADP Data'!$B$4:$Q$300, 10, FALSE)</f>
        <v>#N/A</v>
      </c>
      <c r="V97" s="11" t="str">
        <f t="shared" si="5"/>
        <v>#N/A</v>
      </c>
      <c r="W97" s="11" t="str">
        <f>VLOOKUP($H97, SeanRanks!$A$2:$J$303, 7, FALSE)-V97</f>
        <v>#N/A</v>
      </c>
      <c r="X97" s="11"/>
    </row>
    <row r="98" ht="14.25" customHeight="1">
      <c r="A98" s="11"/>
      <c r="B98" s="11" t="str">
        <f t="shared" si="1"/>
        <v>#N/A</v>
      </c>
      <c r="C98" s="11" t="s">
        <v>106</v>
      </c>
      <c r="D98" s="11"/>
      <c r="E98" s="11"/>
      <c r="F98" s="11">
        <f t="shared" si="2"/>
        <v>0</v>
      </c>
      <c r="G98" s="11"/>
      <c r="H98" s="11" t="s">
        <v>732</v>
      </c>
      <c r="I98" s="11" t="str">
        <f>VLOOKUP($H98, 'ADP Data'!$B$4:$Q$300, 2, FALSE)</f>
        <v>#N/A</v>
      </c>
      <c r="J98" s="11" t="str">
        <f>VLOOKUP($H98, 'ADP Data'!$B$4:$Q$300, 3, FALSE)</f>
        <v>#N/A</v>
      </c>
      <c r="K98" s="11"/>
      <c r="L98" s="11"/>
      <c r="M98" s="11">
        <f t="shared" si="3"/>
        <v>16</v>
      </c>
      <c r="N98" s="11" t="str">
        <f>VLOOKUP($H98, 'ADP Data'!$B$4:$Q$300, 11, FALSE)</f>
        <v>#N/A</v>
      </c>
      <c r="O98" s="11" t="str">
        <f>VLOOKUP($H98, 'ADP Data'!$B$4:$Q$300, 5, FALSE)</f>
        <v>#N/A</v>
      </c>
      <c r="P98" s="11" t="str">
        <f t="shared" si="4"/>
        <v>#N/A</v>
      </c>
      <c r="Q98" s="11" t="str">
        <f>VLOOKUP($H98, 'ADP Data'!$B$4:$Q$300, 6, FALSE)</f>
        <v>#N/A</v>
      </c>
      <c r="R98" s="11" t="str">
        <f>VLOOKUP($H98, 'ADP Data'!$B$4:$Q$300, 7, FALSE)</f>
        <v>#N/A</v>
      </c>
      <c r="S98" s="11" t="str">
        <f>VLOOKUP($H98, 'ADP Data'!$B$4:$Q$300, 8, FALSE)</f>
        <v>#N/A</v>
      </c>
      <c r="T98" s="11" t="str">
        <f>VLOOKUP($H98, 'ADP Data'!$B$4:$Q$300, 9, FALSE)</f>
        <v>#N/A</v>
      </c>
      <c r="U98" s="11" t="str">
        <f>VLOOKUP($H98, 'ADP Data'!$B$4:$Q$300, 10, FALSE)</f>
        <v>#N/A</v>
      </c>
      <c r="V98" s="11" t="str">
        <f t="shared" si="5"/>
        <v>#N/A</v>
      </c>
      <c r="W98" s="11" t="str">
        <f>VLOOKUP($H98, SeanRanks!$A$2:$J$303, 7, FALSE)-V98</f>
        <v>#N/A</v>
      </c>
      <c r="X98" s="11"/>
    </row>
    <row r="99" ht="14.25" customHeight="1">
      <c r="A99" s="11"/>
      <c r="B99" s="11" t="str">
        <f t="shared" si="1"/>
        <v>#N/A</v>
      </c>
      <c r="C99" s="11" t="s">
        <v>106</v>
      </c>
      <c r="D99" s="11"/>
      <c r="E99" s="11"/>
      <c r="F99" s="11">
        <f t="shared" si="2"/>
        <v>0</v>
      </c>
      <c r="G99" s="11"/>
      <c r="H99" s="11" t="s">
        <v>588</v>
      </c>
      <c r="I99" s="11" t="str">
        <f>VLOOKUP($H99, 'ADP Data'!$B$4:$Q$300, 2, FALSE)</f>
        <v>#N/A</v>
      </c>
      <c r="J99" s="11" t="str">
        <f>VLOOKUP($H99, 'ADP Data'!$B$4:$Q$300, 3, FALSE)</f>
        <v>#N/A</v>
      </c>
      <c r="K99" s="11"/>
      <c r="L99" s="11"/>
      <c r="M99" s="11">
        <f t="shared" si="3"/>
        <v>16</v>
      </c>
      <c r="N99" s="11" t="str">
        <f>VLOOKUP($H99, 'ADP Data'!$B$4:$Q$300, 11, FALSE)</f>
        <v>#N/A</v>
      </c>
      <c r="O99" s="11" t="str">
        <f>VLOOKUP($H99, 'ADP Data'!$B$4:$Q$300, 5, FALSE)</f>
        <v>#N/A</v>
      </c>
      <c r="P99" s="11" t="str">
        <f t="shared" si="4"/>
        <v>#N/A</v>
      </c>
      <c r="Q99" s="11" t="str">
        <f>VLOOKUP($H99, 'ADP Data'!$B$4:$Q$300, 6, FALSE)</f>
        <v>#N/A</v>
      </c>
      <c r="R99" s="11" t="str">
        <f>VLOOKUP($H99, 'ADP Data'!$B$4:$Q$300, 7, FALSE)</f>
        <v>#N/A</v>
      </c>
      <c r="S99" s="11" t="str">
        <f>VLOOKUP($H99, 'ADP Data'!$B$4:$Q$300, 8, FALSE)</f>
        <v>#N/A</v>
      </c>
      <c r="T99" s="11" t="str">
        <f>VLOOKUP($H99, 'ADP Data'!$B$4:$Q$300, 9, FALSE)</f>
        <v>#N/A</v>
      </c>
      <c r="U99" s="11" t="str">
        <f>VLOOKUP($H99, 'ADP Data'!$B$4:$Q$300, 10, FALSE)</f>
        <v>#N/A</v>
      </c>
      <c r="V99" s="11" t="str">
        <f t="shared" si="5"/>
        <v>#N/A</v>
      </c>
      <c r="W99" s="11" t="str">
        <f>VLOOKUP($H99, SeanRanks!$A$2:$J$303, 7, FALSE)-V99</f>
        <v>#N/A</v>
      </c>
      <c r="X99" s="11"/>
    </row>
    <row r="100" ht="14.25" customHeight="1">
      <c r="A100" s="11"/>
      <c r="B100" s="11" t="str">
        <f t="shared" si="1"/>
        <v>#N/A</v>
      </c>
      <c r="C100" s="11" t="s">
        <v>106</v>
      </c>
      <c r="D100" s="11"/>
      <c r="E100" s="11"/>
      <c r="F100" s="11">
        <f t="shared" si="2"/>
        <v>0</v>
      </c>
      <c r="G100" s="11"/>
      <c r="H100" s="11" t="s">
        <v>564</v>
      </c>
      <c r="I100" s="11" t="str">
        <f>VLOOKUP($H100, 'ADP Data'!$B$4:$Q$300, 2, FALSE)</f>
        <v>#N/A</v>
      </c>
      <c r="J100" s="11" t="str">
        <f>VLOOKUP($H100, 'ADP Data'!$B$4:$Q$300, 3, FALSE)</f>
        <v>#N/A</v>
      </c>
      <c r="K100" s="11"/>
      <c r="L100" s="11"/>
      <c r="M100" s="11">
        <f t="shared" si="3"/>
        <v>16</v>
      </c>
      <c r="N100" s="11" t="str">
        <f>VLOOKUP($H100, 'ADP Data'!$B$4:$Q$300, 11, FALSE)</f>
        <v>#N/A</v>
      </c>
      <c r="O100" s="11" t="str">
        <f>VLOOKUP($H100, 'ADP Data'!$B$4:$Q$300, 5, FALSE)</f>
        <v>#N/A</v>
      </c>
      <c r="P100" s="11" t="str">
        <f t="shared" si="4"/>
        <v>#N/A</v>
      </c>
      <c r="Q100" s="11" t="str">
        <f>VLOOKUP($H100, 'ADP Data'!$B$4:$Q$300, 6, FALSE)</f>
        <v>#N/A</v>
      </c>
      <c r="R100" s="11" t="str">
        <f>VLOOKUP($H100, 'ADP Data'!$B$4:$Q$300, 7, FALSE)</f>
        <v>#N/A</v>
      </c>
      <c r="S100" s="11" t="str">
        <f>VLOOKUP($H100, 'ADP Data'!$B$4:$Q$300, 8, FALSE)</f>
        <v>#N/A</v>
      </c>
      <c r="T100" s="11" t="str">
        <f>VLOOKUP($H100, 'ADP Data'!$B$4:$Q$300, 9, FALSE)</f>
        <v>#N/A</v>
      </c>
      <c r="U100" s="11" t="str">
        <f>VLOOKUP($H100, 'ADP Data'!$B$4:$Q$300, 10, FALSE)</f>
        <v>#N/A</v>
      </c>
      <c r="V100" s="11" t="str">
        <f t="shared" si="5"/>
        <v>#N/A</v>
      </c>
      <c r="W100" s="11" t="str">
        <f>VLOOKUP($H100, SeanRanks!$A$2:$J$303, 7, FALSE)-V100</f>
        <v>#N/A</v>
      </c>
      <c r="X100" s="11"/>
    </row>
    <row r="101" ht="14.25" customHeight="1">
      <c r="A101" s="11"/>
      <c r="B101" s="11" t="str">
        <f t="shared" si="1"/>
        <v>#N/A</v>
      </c>
      <c r="C101" s="11" t="s">
        <v>106</v>
      </c>
      <c r="D101" s="11"/>
      <c r="E101" s="11"/>
      <c r="F101" s="11">
        <f t="shared" si="2"/>
        <v>0</v>
      </c>
      <c r="G101" s="11"/>
      <c r="H101" s="11" t="s">
        <v>418</v>
      </c>
      <c r="I101" s="11" t="str">
        <f>VLOOKUP($H101, 'ADP Data'!$B$4:$Q$300, 2, FALSE)</f>
        <v>#N/A</v>
      </c>
      <c r="J101" s="11" t="str">
        <f>VLOOKUP($H101, 'ADP Data'!$B$4:$Q$300, 3, FALSE)</f>
        <v>#N/A</v>
      </c>
      <c r="K101" s="11"/>
      <c r="L101" s="11"/>
      <c r="M101" s="11">
        <f t="shared" si="3"/>
        <v>16</v>
      </c>
      <c r="N101" s="11" t="str">
        <f>VLOOKUP($H101, 'ADP Data'!$B$4:$Q$300, 11, FALSE)</f>
        <v>#N/A</v>
      </c>
      <c r="O101" s="11" t="str">
        <f>VLOOKUP($H101, 'ADP Data'!$B$4:$Q$300, 5, FALSE)</f>
        <v>#N/A</v>
      </c>
      <c r="P101" s="11" t="str">
        <f t="shared" si="4"/>
        <v>#N/A</v>
      </c>
      <c r="Q101" s="11" t="str">
        <f>VLOOKUP($H101, 'ADP Data'!$B$4:$Q$300, 6, FALSE)</f>
        <v>#N/A</v>
      </c>
      <c r="R101" s="11" t="str">
        <f>VLOOKUP($H101, 'ADP Data'!$B$4:$Q$300, 7, FALSE)</f>
        <v>#N/A</v>
      </c>
      <c r="S101" s="11" t="str">
        <f>VLOOKUP($H101, 'ADP Data'!$B$4:$Q$300, 8, FALSE)</f>
        <v>#N/A</v>
      </c>
      <c r="T101" s="11" t="str">
        <f>VLOOKUP($H101, 'ADP Data'!$B$4:$Q$300, 9, FALSE)</f>
        <v>#N/A</v>
      </c>
      <c r="U101" s="11" t="str">
        <f>VLOOKUP($H101, 'ADP Data'!$B$4:$Q$300, 10, FALSE)</f>
        <v>#N/A</v>
      </c>
      <c r="V101" s="11" t="str">
        <f t="shared" si="5"/>
        <v>#N/A</v>
      </c>
      <c r="W101" s="11" t="str">
        <f>VLOOKUP($H101, SeanRanks!$A$2:$J$303, 7, FALSE)-V101</f>
        <v>#N/A</v>
      </c>
      <c r="X101" s="11" t="s">
        <v>1212</v>
      </c>
    </row>
    <row r="102" ht="14.25" customHeight="1">
      <c r="A102" s="11"/>
      <c r="B102" s="11" t="str">
        <f t="shared" si="1"/>
        <v>#N/A</v>
      </c>
      <c r="C102" s="11" t="s">
        <v>106</v>
      </c>
      <c r="D102" s="11"/>
      <c r="E102" s="11"/>
      <c r="F102" s="11">
        <f t="shared" si="2"/>
        <v>0</v>
      </c>
      <c r="G102" s="11"/>
      <c r="H102" s="11" t="s">
        <v>532</v>
      </c>
      <c r="I102" s="11" t="str">
        <f>VLOOKUP($H102, 'ADP Data'!$B$4:$Q$300, 2, FALSE)</f>
        <v>#N/A</v>
      </c>
      <c r="J102" s="11" t="str">
        <f>VLOOKUP($H102, 'ADP Data'!$B$4:$Q$300, 3, FALSE)</f>
        <v>#N/A</v>
      </c>
      <c r="K102" s="11"/>
      <c r="L102" s="11"/>
      <c r="M102" s="11">
        <f t="shared" si="3"/>
        <v>16</v>
      </c>
      <c r="N102" s="11" t="str">
        <f>VLOOKUP($H102, 'ADP Data'!$B$4:$Q$300, 11, FALSE)</f>
        <v>#N/A</v>
      </c>
      <c r="O102" s="11" t="str">
        <f>VLOOKUP($H102, 'ADP Data'!$B$4:$Q$300, 5, FALSE)</f>
        <v>#N/A</v>
      </c>
      <c r="P102" s="11" t="str">
        <f t="shared" si="4"/>
        <v>#N/A</v>
      </c>
      <c r="Q102" s="11" t="str">
        <f>VLOOKUP($H102, 'ADP Data'!$B$4:$Q$300, 6, FALSE)</f>
        <v>#N/A</v>
      </c>
      <c r="R102" s="11" t="str">
        <f>VLOOKUP($H102, 'ADP Data'!$B$4:$Q$300, 7, FALSE)</f>
        <v>#N/A</v>
      </c>
      <c r="S102" s="11" t="str">
        <f>VLOOKUP($H102, 'ADP Data'!$B$4:$Q$300, 8, FALSE)</f>
        <v>#N/A</v>
      </c>
      <c r="T102" s="11" t="str">
        <f>VLOOKUP($H102, 'ADP Data'!$B$4:$Q$300, 9, FALSE)</f>
        <v>#N/A</v>
      </c>
      <c r="U102" s="11" t="str">
        <f>VLOOKUP($H102, 'ADP Data'!$B$4:$Q$300, 10, FALSE)</f>
        <v>#N/A</v>
      </c>
      <c r="V102" s="11" t="str">
        <f t="shared" si="5"/>
        <v>#N/A</v>
      </c>
      <c r="W102" s="11" t="str">
        <f>VLOOKUP($H102, SeanRanks!$A$2:$J$303, 7, FALSE)-V102</f>
        <v>#N/A</v>
      </c>
      <c r="X102" s="11"/>
    </row>
    <row r="103" ht="14.25" customHeight="1">
      <c r="A103" s="11"/>
      <c r="B103" s="11" t="str">
        <f t="shared" si="1"/>
        <v>#N/A</v>
      </c>
      <c r="C103" s="11" t="s">
        <v>106</v>
      </c>
      <c r="D103" s="11"/>
      <c r="E103" s="11"/>
      <c r="F103" s="11">
        <f t="shared" si="2"/>
        <v>0</v>
      </c>
      <c r="G103" s="11"/>
      <c r="H103" s="11" t="s">
        <v>954</v>
      </c>
      <c r="I103" s="11" t="str">
        <f>VLOOKUP($H103, 'ADP Data'!$B$4:$Q$300, 2, FALSE)</f>
        <v>#N/A</v>
      </c>
      <c r="J103" s="11" t="str">
        <f>VLOOKUP($H103, 'ADP Data'!$B$4:$Q$300, 3, FALSE)</f>
        <v>#N/A</v>
      </c>
      <c r="K103" s="11"/>
      <c r="L103" s="11"/>
      <c r="M103" s="11">
        <f t="shared" si="3"/>
        <v>16</v>
      </c>
      <c r="N103" s="11" t="str">
        <f>VLOOKUP($H103, 'ADP Data'!$B$4:$Q$300, 11, FALSE)</f>
        <v>#N/A</v>
      </c>
      <c r="O103" s="11" t="str">
        <f>VLOOKUP($H103, 'ADP Data'!$B$4:$Q$300, 5, FALSE)</f>
        <v>#N/A</v>
      </c>
      <c r="P103" s="11" t="str">
        <f t="shared" si="4"/>
        <v>#N/A</v>
      </c>
      <c r="Q103" s="11" t="str">
        <f>VLOOKUP($H103, 'ADP Data'!$B$4:$Q$300, 6, FALSE)</f>
        <v>#N/A</v>
      </c>
      <c r="R103" s="11" t="str">
        <f>VLOOKUP($H103, 'ADP Data'!$B$4:$Q$300, 7, FALSE)</f>
        <v>#N/A</v>
      </c>
      <c r="S103" s="11" t="str">
        <f>VLOOKUP($H103, 'ADP Data'!$B$4:$Q$300, 8, FALSE)</f>
        <v>#N/A</v>
      </c>
      <c r="T103" s="11" t="str">
        <f>VLOOKUP($H103, 'ADP Data'!$B$4:$Q$300, 9, FALSE)</f>
        <v>#N/A</v>
      </c>
      <c r="U103" s="11" t="str">
        <f>VLOOKUP($H103, 'ADP Data'!$B$4:$Q$300, 10, FALSE)</f>
        <v>#N/A</v>
      </c>
      <c r="V103" s="11" t="str">
        <f t="shared" si="5"/>
        <v>#N/A</v>
      </c>
      <c r="W103" s="11" t="str">
        <f>VLOOKUP($H103, SeanRanks!$A$2:$J$303, 7, FALSE)-V103</f>
        <v>#N/A</v>
      </c>
      <c r="X103" s="11"/>
    </row>
    <row r="104" ht="14.25" customHeight="1">
      <c r="A104" s="11"/>
      <c r="B104" s="11" t="str">
        <f t="shared" si="1"/>
        <v>#N/A</v>
      </c>
      <c r="C104" s="11" t="s">
        <v>106</v>
      </c>
      <c r="D104" s="11"/>
      <c r="E104" s="11"/>
      <c r="F104" s="11">
        <f t="shared" si="2"/>
        <v>0</v>
      </c>
      <c r="G104" s="11"/>
      <c r="H104" s="11" t="s">
        <v>513</v>
      </c>
      <c r="I104" s="11" t="str">
        <f>VLOOKUP($H104, 'ADP Data'!$B$4:$Q$300, 2, FALSE)</f>
        <v>#N/A</v>
      </c>
      <c r="J104" s="11" t="str">
        <f>VLOOKUP($H104, 'ADP Data'!$B$4:$Q$300, 3, FALSE)</f>
        <v>#N/A</v>
      </c>
      <c r="K104" s="11"/>
      <c r="L104" s="11"/>
      <c r="M104" s="11">
        <f t="shared" si="3"/>
        <v>16</v>
      </c>
      <c r="N104" s="11" t="str">
        <f>VLOOKUP($H104, 'ADP Data'!$B$4:$Q$300, 11, FALSE)</f>
        <v>#N/A</v>
      </c>
      <c r="O104" s="11" t="str">
        <f>VLOOKUP($H104, 'ADP Data'!$B$4:$Q$300, 5, FALSE)</f>
        <v>#N/A</v>
      </c>
      <c r="P104" s="11" t="str">
        <f t="shared" si="4"/>
        <v>#N/A</v>
      </c>
      <c r="Q104" s="11" t="str">
        <f>VLOOKUP($H104, 'ADP Data'!$B$4:$Q$300, 6, FALSE)</f>
        <v>#N/A</v>
      </c>
      <c r="R104" s="11" t="str">
        <f>VLOOKUP($H104, 'ADP Data'!$B$4:$Q$300, 7, FALSE)</f>
        <v>#N/A</v>
      </c>
      <c r="S104" s="11" t="str">
        <f>VLOOKUP($H104, 'ADP Data'!$B$4:$Q$300, 8, FALSE)</f>
        <v>#N/A</v>
      </c>
      <c r="T104" s="11" t="str">
        <f>VLOOKUP($H104, 'ADP Data'!$B$4:$Q$300, 9, FALSE)</f>
        <v>#N/A</v>
      </c>
      <c r="U104" s="11" t="str">
        <f>VLOOKUP($H104, 'ADP Data'!$B$4:$Q$300, 10, FALSE)</f>
        <v>#N/A</v>
      </c>
      <c r="V104" s="11" t="str">
        <f t="shared" si="5"/>
        <v>#N/A</v>
      </c>
      <c r="W104" s="11" t="str">
        <f>VLOOKUP($H104, SeanRanks!$A$2:$J$303, 7, FALSE)-V104</f>
        <v>#N/A</v>
      </c>
      <c r="X104" s="11"/>
    </row>
    <row r="105" ht="14.25" customHeight="1">
      <c r="A105" s="11"/>
      <c r="B105" s="11" t="str">
        <f t="shared" si="1"/>
        <v>#N/A</v>
      </c>
      <c r="C105" s="11" t="s">
        <v>106</v>
      </c>
      <c r="D105" s="11"/>
      <c r="E105" s="11"/>
      <c r="F105" s="11">
        <f t="shared" si="2"/>
        <v>0</v>
      </c>
      <c r="G105" s="11" t="s">
        <v>95</v>
      </c>
      <c r="H105" s="11" t="s">
        <v>666</v>
      </c>
      <c r="I105" s="11" t="str">
        <f>VLOOKUP($H105, 'ADP Data'!$B$4:$Q$300, 2, FALSE)</f>
        <v>#N/A</v>
      </c>
      <c r="J105" s="11" t="str">
        <f>VLOOKUP($H105, 'ADP Data'!$B$4:$Q$300, 3, FALSE)</f>
        <v>#N/A</v>
      </c>
      <c r="K105" s="11" t="s">
        <v>1213</v>
      </c>
      <c r="L105" s="11"/>
      <c r="M105" s="11">
        <f t="shared" si="3"/>
        <v>16</v>
      </c>
      <c r="N105" s="11" t="str">
        <f>VLOOKUP($H105, 'ADP Data'!$B$4:$Q$300, 11, FALSE)</f>
        <v>#N/A</v>
      </c>
      <c r="O105" s="11" t="str">
        <f>VLOOKUP($H105, 'ADP Data'!$B$4:$Q$300, 5, FALSE)</f>
        <v>#N/A</v>
      </c>
      <c r="P105" s="11" t="str">
        <f t="shared" si="4"/>
        <v>#N/A</v>
      </c>
      <c r="Q105" s="11" t="str">
        <f>VLOOKUP($H105, 'ADP Data'!$B$4:$Q$300, 6, FALSE)</f>
        <v>#N/A</v>
      </c>
      <c r="R105" s="11" t="str">
        <f>VLOOKUP($H105, 'ADP Data'!$B$4:$Q$300, 7, FALSE)</f>
        <v>#N/A</v>
      </c>
      <c r="S105" s="11" t="str">
        <f>VLOOKUP($H105, 'ADP Data'!$B$4:$Q$300, 8, FALSE)</f>
        <v>#N/A</v>
      </c>
      <c r="T105" s="11" t="str">
        <f>VLOOKUP($H105, 'ADP Data'!$B$4:$Q$300, 9, FALSE)</f>
        <v>#N/A</v>
      </c>
      <c r="U105" s="11" t="str">
        <f>VLOOKUP($H105, 'ADP Data'!$B$4:$Q$300, 10, FALSE)</f>
        <v>#N/A</v>
      </c>
      <c r="V105" s="11" t="str">
        <f t="shared" si="5"/>
        <v>#N/A</v>
      </c>
      <c r="W105" s="11" t="str">
        <f>VLOOKUP($H105, SeanRanks!$A$2:$J$303, 7, FALSE)-V105</f>
        <v>#N/A</v>
      </c>
      <c r="X105" s="11"/>
    </row>
    <row r="106" ht="14.25" customHeight="1">
      <c r="A106" s="11"/>
      <c r="B106" s="11" t="str">
        <f t="shared" si="1"/>
        <v>#N/A</v>
      </c>
      <c r="C106" s="11" t="s">
        <v>106</v>
      </c>
      <c r="D106" s="11"/>
      <c r="E106" s="11"/>
      <c r="F106" s="11">
        <f t="shared" si="2"/>
        <v>0</v>
      </c>
      <c r="G106" s="11" t="s">
        <v>106</v>
      </c>
      <c r="H106" s="11" t="s">
        <v>972</v>
      </c>
      <c r="I106" s="11" t="str">
        <f>VLOOKUP($H106, 'ADP Data'!$B$4:$Q$300, 2, FALSE)</f>
        <v>#N/A</v>
      </c>
      <c r="J106" s="11" t="str">
        <f>VLOOKUP($H106, 'ADP Data'!$B$4:$Q$300, 3, FALSE)</f>
        <v>#N/A</v>
      </c>
      <c r="K106" s="11" t="s">
        <v>1184</v>
      </c>
      <c r="L106" s="11"/>
      <c r="M106" s="11">
        <f t="shared" si="3"/>
        <v>16</v>
      </c>
      <c r="N106" s="11" t="str">
        <f>VLOOKUP($H106, 'ADP Data'!$B$4:$Q$300, 11, FALSE)</f>
        <v>#N/A</v>
      </c>
      <c r="O106" s="11" t="str">
        <f>VLOOKUP($H106, 'ADP Data'!$B$4:$Q$300, 5, FALSE)</f>
        <v>#N/A</v>
      </c>
      <c r="P106" s="11" t="str">
        <f t="shared" si="4"/>
        <v>#N/A</v>
      </c>
      <c r="Q106" s="11" t="str">
        <f>VLOOKUP($H106, 'ADP Data'!$B$4:$Q$300, 6, FALSE)</f>
        <v>#N/A</v>
      </c>
      <c r="R106" s="11" t="str">
        <f>VLOOKUP($H106, 'ADP Data'!$B$4:$Q$300, 7, FALSE)</f>
        <v>#N/A</v>
      </c>
      <c r="S106" s="11" t="str">
        <f>VLOOKUP($H106, 'ADP Data'!$B$4:$Q$300, 8, FALSE)</f>
        <v>#N/A</v>
      </c>
      <c r="T106" s="11" t="str">
        <f>VLOOKUP($H106, 'ADP Data'!$B$4:$Q$300, 9, FALSE)</f>
        <v>#N/A</v>
      </c>
      <c r="U106" s="11" t="str">
        <f>VLOOKUP($H106, 'ADP Data'!$B$4:$Q$300, 10, FALSE)</f>
        <v>#N/A</v>
      </c>
      <c r="V106" s="11" t="str">
        <f t="shared" si="5"/>
        <v>#N/A</v>
      </c>
      <c r="W106" s="11" t="str">
        <f>VLOOKUP($H106, SeanRanks!$A$2:$J$303, 7, FALSE)-V106</f>
        <v>#N/A</v>
      </c>
      <c r="X106" s="11"/>
    </row>
    <row r="107" ht="14.25" customHeight="1">
      <c r="A107" s="11"/>
      <c r="B107" s="11" t="str">
        <f t="shared" si="1"/>
        <v>#N/A</v>
      </c>
      <c r="C107" s="11" t="s">
        <v>106</v>
      </c>
      <c r="D107" s="11"/>
      <c r="E107" s="11"/>
      <c r="F107" s="11">
        <f t="shared" si="2"/>
        <v>0</v>
      </c>
      <c r="G107" s="11" t="s">
        <v>95</v>
      </c>
      <c r="H107" s="11" t="s">
        <v>686</v>
      </c>
      <c r="I107" s="11" t="str">
        <f>VLOOKUP($H107, 'ADP Data'!$B$4:$Q$300, 2, FALSE)</f>
        <v>#N/A</v>
      </c>
      <c r="J107" s="11" t="str">
        <f>VLOOKUP($H107, 'ADP Data'!$B$4:$Q$300, 3, FALSE)</f>
        <v>#N/A</v>
      </c>
      <c r="K107" s="11"/>
      <c r="L107" s="11"/>
      <c r="M107" s="11">
        <f t="shared" si="3"/>
        <v>16</v>
      </c>
      <c r="N107" s="11" t="str">
        <f>VLOOKUP($H107, 'ADP Data'!$B$4:$Q$300, 11, FALSE)</f>
        <v>#N/A</v>
      </c>
      <c r="O107" s="11" t="str">
        <f>VLOOKUP($H107, 'ADP Data'!$B$4:$Q$300, 5, FALSE)</f>
        <v>#N/A</v>
      </c>
      <c r="P107" s="11" t="str">
        <f t="shared" si="4"/>
        <v>#N/A</v>
      </c>
      <c r="Q107" s="11" t="str">
        <f>VLOOKUP($H107, 'ADP Data'!$B$4:$Q$300, 6, FALSE)</f>
        <v>#N/A</v>
      </c>
      <c r="R107" s="11" t="str">
        <f>VLOOKUP($H107, 'ADP Data'!$B$4:$Q$300, 7, FALSE)</f>
        <v>#N/A</v>
      </c>
      <c r="S107" s="11" t="str">
        <f>VLOOKUP($H107, 'ADP Data'!$B$4:$Q$300, 8, FALSE)</f>
        <v>#N/A</v>
      </c>
      <c r="T107" s="11" t="str">
        <f>VLOOKUP($H107, 'ADP Data'!$B$4:$Q$300, 9, FALSE)</f>
        <v>#N/A</v>
      </c>
      <c r="U107" s="11" t="str">
        <f>VLOOKUP($H107, 'ADP Data'!$B$4:$Q$300, 10, FALSE)</f>
        <v>#N/A</v>
      </c>
      <c r="V107" s="11" t="str">
        <f t="shared" si="5"/>
        <v>#N/A</v>
      </c>
      <c r="W107" s="11" t="str">
        <f>VLOOKUP($H107, SeanRanks!$A$2:$J$303, 7, FALSE)-V107</f>
        <v>#N/A</v>
      </c>
      <c r="X107" s="11"/>
    </row>
    <row r="108" ht="14.25" customHeight="1">
      <c r="A108" s="11"/>
      <c r="B108" s="11" t="str">
        <f t="shared" si="1"/>
        <v>#N/A</v>
      </c>
      <c r="C108" s="11" t="s">
        <v>106</v>
      </c>
      <c r="D108" s="11"/>
      <c r="E108" s="11"/>
      <c r="F108" s="11">
        <f t="shared" si="2"/>
        <v>0</v>
      </c>
      <c r="G108" s="11"/>
      <c r="H108" s="11" t="s">
        <v>1214</v>
      </c>
      <c r="I108" s="11" t="str">
        <f>VLOOKUP($H108, 'ADP Data'!$B$4:$Q$300, 2, FALSE)</f>
        <v>#N/A</v>
      </c>
      <c r="J108" s="11" t="str">
        <f>VLOOKUP($H108, 'ADP Data'!$B$4:$Q$300, 3, FALSE)</f>
        <v>#N/A</v>
      </c>
      <c r="K108" s="11"/>
      <c r="L108" s="11"/>
      <c r="M108" s="11">
        <f t="shared" si="3"/>
        <v>16</v>
      </c>
      <c r="N108" s="11" t="str">
        <f>VLOOKUP($H108, 'ADP Data'!$B$4:$Q$300, 11, FALSE)</f>
        <v>#N/A</v>
      </c>
      <c r="O108" s="11" t="str">
        <f>VLOOKUP($H108, 'ADP Data'!$B$4:$Q$300, 5, FALSE)</f>
        <v>#N/A</v>
      </c>
      <c r="P108" s="11" t="str">
        <f t="shared" si="4"/>
        <v>#N/A</v>
      </c>
      <c r="Q108" s="11" t="str">
        <f>VLOOKUP($H108, 'ADP Data'!$B$4:$Q$300, 6, FALSE)</f>
        <v>#N/A</v>
      </c>
      <c r="R108" s="11" t="str">
        <f>VLOOKUP($H108, 'ADP Data'!$B$4:$Q$300, 7, FALSE)</f>
        <v>#N/A</v>
      </c>
      <c r="S108" s="11" t="str">
        <f>VLOOKUP($H108, 'ADP Data'!$B$4:$Q$300, 8, FALSE)</f>
        <v>#N/A</v>
      </c>
      <c r="T108" s="11" t="str">
        <f>VLOOKUP($H108, 'ADP Data'!$B$4:$Q$300, 9, FALSE)</f>
        <v>#N/A</v>
      </c>
      <c r="U108" s="11" t="str">
        <f>VLOOKUP($H108, 'ADP Data'!$B$4:$Q$300, 10, FALSE)</f>
        <v>#N/A</v>
      </c>
      <c r="V108" s="11" t="str">
        <f t="shared" si="5"/>
        <v>#N/A</v>
      </c>
      <c r="W108" s="11" t="str">
        <f>VLOOKUP($H108, SeanRanks!$A$2:$J$303, 7, FALSE)-V108</f>
        <v>#N/A</v>
      </c>
      <c r="X108" s="11"/>
    </row>
    <row r="109" ht="14.25" customHeight="1">
      <c r="A109" s="11"/>
      <c r="B109" s="11" t="str">
        <f t="shared" si="1"/>
        <v>#N/A</v>
      </c>
      <c r="C109" s="11" t="s">
        <v>106</v>
      </c>
      <c r="D109" s="11"/>
      <c r="E109" s="11"/>
      <c r="F109" s="11">
        <f t="shared" si="2"/>
        <v>0</v>
      </c>
      <c r="G109" s="11"/>
      <c r="H109" s="11" t="s">
        <v>504</v>
      </c>
      <c r="I109" s="11" t="str">
        <f>VLOOKUP($H109, 'ADP Data'!$B$4:$Q$300, 2, FALSE)</f>
        <v>#N/A</v>
      </c>
      <c r="J109" s="11" t="str">
        <f>VLOOKUP($H109, 'ADP Data'!$B$4:$Q$300, 3, FALSE)</f>
        <v>#N/A</v>
      </c>
      <c r="K109" s="11"/>
      <c r="L109" s="11"/>
      <c r="M109" s="11">
        <f t="shared" si="3"/>
        <v>16</v>
      </c>
      <c r="N109" s="11" t="str">
        <f>VLOOKUP($H109, 'ADP Data'!$B$4:$Q$300, 11, FALSE)</f>
        <v>#N/A</v>
      </c>
      <c r="O109" s="11" t="str">
        <f>VLOOKUP($H109, 'ADP Data'!$B$4:$Q$300, 5, FALSE)</f>
        <v>#N/A</v>
      </c>
      <c r="P109" s="11" t="str">
        <f t="shared" si="4"/>
        <v>#N/A</v>
      </c>
      <c r="Q109" s="11" t="str">
        <f>VLOOKUP($H109, 'ADP Data'!$B$4:$Q$300, 6, FALSE)</f>
        <v>#N/A</v>
      </c>
      <c r="R109" s="11" t="str">
        <f>VLOOKUP($H109, 'ADP Data'!$B$4:$Q$300, 7, FALSE)</f>
        <v>#N/A</v>
      </c>
      <c r="S109" s="11" t="str">
        <f>VLOOKUP($H109, 'ADP Data'!$B$4:$Q$300, 8, FALSE)</f>
        <v>#N/A</v>
      </c>
      <c r="T109" s="11" t="str">
        <f>VLOOKUP($H109, 'ADP Data'!$B$4:$Q$300, 9, FALSE)</f>
        <v>#N/A</v>
      </c>
      <c r="U109" s="11" t="str">
        <f>VLOOKUP($H109, 'ADP Data'!$B$4:$Q$300, 10, FALSE)</f>
        <v>#N/A</v>
      </c>
      <c r="V109" s="11" t="str">
        <f t="shared" si="5"/>
        <v>#N/A</v>
      </c>
      <c r="W109" s="11" t="str">
        <f>VLOOKUP($H109, SeanRanks!$A$2:$J$303, 7, FALSE)-V109</f>
        <v>#N/A</v>
      </c>
      <c r="X109" s="11"/>
    </row>
    <row r="110" ht="14.25" customHeight="1">
      <c r="A110" s="11"/>
      <c r="B110" s="11" t="str">
        <f t="shared" si="1"/>
        <v>#N/A</v>
      </c>
      <c r="C110" s="11" t="s">
        <v>106</v>
      </c>
      <c r="D110" s="11"/>
      <c r="E110" s="11"/>
      <c r="F110" s="11">
        <f t="shared" si="2"/>
        <v>0</v>
      </c>
      <c r="G110" s="11"/>
      <c r="H110" s="11" t="s">
        <v>502</v>
      </c>
      <c r="I110" s="11" t="str">
        <f>VLOOKUP($H110, 'ADP Data'!$B$4:$Q$300, 2, FALSE)</f>
        <v>#N/A</v>
      </c>
      <c r="J110" s="11" t="str">
        <f>VLOOKUP($H110, 'ADP Data'!$B$4:$Q$300, 3, FALSE)</f>
        <v>#N/A</v>
      </c>
      <c r="K110" s="11"/>
      <c r="L110" s="11"/>
      <c r="M110" s="11">
        <f t="shared" si="3"/>
        <v>16</v>
      </c>
      <c r="N110" s="11" t="str">
        <f>VLOOKUP($H110, 'ADP Data'!$B$4:$Q$300, 11, FALSE)</f>
        <v>#N/A</v>
      </c>
      <c r="O110" s="11" t="str">
        <f>VLOOKUP($H110, 'ADP Data'!$B$4:$Q$300, 5, FALSE)</f>
        <v>#N/A</v>
      </c>
      <c r="P110" s="11" t="str">
        <f t="shared" si="4"/>
        <v>#N/A</v>
      </c>
      <c r="Q110" s="11" t="str">
        <f>VLOOKUP($H110, 'ADP Data'!$B$4:$Q$300, 6, FALSE)</f>
        <v>#N/A</v>
      </c>
      <c r="R110" s="11" t="str">
        <f>VLOOKUP($H110, 'ADP Data'!$B$4:$Q$300, 7, FALSE)</f>
        <v>#N/A</v>
      </c>
      <c r="S110" s="11" t="str">
        <f>VLOOKUP($H110, 'ADP Data'!$B$4:$Q$300, 8, FALSE)</f>
        <v>#N/A</v>
      </c>
      <c r="T110" s="11" t="str">
        <f>VLOOKUP($H110, 'ADP Data'!$B$4:$Q$300, 9, FALSE)</f>
        <v>#N/A</v>
      </c>
      <c r="U110" s="11" t="str">
        <f>VLOOKUP($H110, 'ADP Data'!$B$4:$Q$300, 10, FALSE)</f>
        <v>#N/A</v>
      </c>
      <c r="V110" s="11" t="str">
        <f t="shared" si="5"/>
        <v>#N/A</v>
      </c>
      <c r="W110" s="11" t="str">
        <f>VLOOKUP($H110, SeanRanks!$A$2:$J$303, 7, FALSE)-V110</f>
        <v>#N/A</v>
      </c>
      <c r="X110" s="11"/>
    </row>
    <row r="111" ht="14.25" customHeight="1">
      <c r="A111" s="11"/>
      <c r="B111" s="11" t="str">
        <f t="shared" si="1"/>
        <v>#N/A</v>
      </c>
      <c r="C111" s="11" t="s">
        <v>106</v>
      </c>
      <c r="D111" s="11"/>
      <c r="E111" s="11"/>
      <c r="F111" s="11">
        <f t="shared" si="2"/>
        <v>0</v>
      </c>
      <c r="G111" s="11"/>
      <c r="H111" s="11" t="s">
        <v>1215</v>
      </c>
      <c r="I111" s="11" t="str">
        <f>VLOOKUP($H111, 'ADP Data'!$B$4:$Q$300, 2, FALSE)</f>
        <v>#N/A</v>
      </c>
      <c r="J111" s="11" t="str">
        <f>VLOOKUP($H111, 'ADP Data'!$B$4:$Q$300, 3, FALSE)</f>
        <v>#N/A</v>
      </c>
      <c r="K111" s="11"/>
      <c r="L111" s="11"/>
      <c r="M111" s="11">
        <f t="shared" si="3"/>
        <v>16</v>
      </c>
      <c r="N111" s="11" t="str">
        <f>VLOOKUP($H111, 'ADP Data'!$B$4:$Q$300, 11, FALSE)</f>
        <v>#N/A</v>
      </c>
      <c r="O111" s="11" t="str">
        <f>VLOOKUP($H111, 'ADP Data'!$B$4:$Q$300, 5, FALSE)</f>
        <v>#N/A</v>
      </c>
      <c r="P111" s="11" t="str">
        <f t="shared" si="4"/>
        <v>#N/A</v>
      </c>
      <c r="Q111" s="11" t="str">
        <f>VLOOKUP($H111, 'ADP Data'!$B$4:$Q$300, 6, FALSE)</f>
        <v>#N/A</v>
      </c>
      <c r="R111" s="11" t="str">
        <f>VLOOKUP($H111, 'ADP Data'!$B$4:$Q$300, 7, FALSE)</f>
        <v>#N/A</v>
      </c>
      <c r="S111" s="11" t="str">
        <f>VLOOKUP($H111, 'ADP Data'!$B$4:$Q$300, 8, FALSE)</f>
        <v>#N/A</v>
      </c>
      <c r="T111" s="11" t="str">
        <f>VLOOKUP($H111, 'ADP Data'!$B$4:$Q$300, 9, FALSE)</f>
        <v>#N/A</v>
      </c>
      <c r="U111" s="11" t="str">
        <f>VLOOKUP($H111, 'ADP Data'!$B$4:$Q$300, 10, FALSE)</f>
        <v>#N/A</v>
      </c>
      <c r="V111" s="11" t="str">
        <f t="shared" si="5"/>
        <v>#N/A</v>
      </c>
      <c r="W111" s="11" t="str">
        <f>VLOOKUP($H111, SeanRanks!$A$2:$J$303, 7, FALSE)-V111</f>
        <v>#N/A</v>
      </c>
      <c r="X111" s="11"/>
    </row>
    <row r="112" ht="14.25" customHeight="1">
      <c r="A112" s="11"/>
      <c r="B112" s="11" t="str">
        <f t="shared" si="1"/>
        <v>#N/A</v>
      </c>
      <c r="C112" s="11" t="s">
        <v>106</v>
      </c>
      <c r="D112" s="11"/>
      <c r="E112" s="11"/>
      <c r="F112" s="11">
        <f t="shared" si="2"/>
        <v>0</v>
      </c>
      <c r="G112" s="11"/>
      <c r="H112" s="11" t="s">
        <v>1216</v>
      </c>
      <c r="I112" s="11" t="str">
        <f>VLOOKUP($H112, 'ADP Data'!$B$4:$Q$300, 2, FALSE)</f>
        <v>#N/A</v>
      </c>
      <c r="J112" s="11" t="str">
        <f>VLOOKUP($H112, 'ADP Data'!$B$4:$Q$300, 3, FALSE)</f>
        <v>#N/A</v>
      </c>
      <c r="K112" s="11"/>
      <c r="L112" s="11"/>
      <c r="M112" s="11">
        <f t="shared" si="3"/>
        <v>16</v>
      </c>
      <c r="N112" s="11" t="str">
        <f>VLOOKUP($H112, 'ADP Data'!$B$4:$Q$300, 11, FALSE)</f>
        <v>#N/A</v>
      </c>
      <c r="O112" s="11" t="str">
        <f>VLOOKUP($H112, 'ADP Data'!$B$4:$Q$300, 5, FALSE)</f>
        <v>#N/A</v>
      </c>
      <c r="P112" s="11" t="str">
        <f t="shared" si="4"/>
        <v>#N/A</v>
      </c>
      <c r="Q112" s="11" t="str">
        <f>VLOOKUP($H112, 'ADP Data'!$B$4:$Q$300, 6, FALSE)</f>
        <v>#N/A</v>
      </c>
      <c r="R112" s="11" t="str">
        <f>VLOOKUP($H112, 'ADP Data'!$B$4:$Q$300, 7, FALSE)</f>
        <v>#N/A</v>
      </c>
      <c r="S112" s="11" t="str">
        <f>VLOOKUP($H112, 'ADP Data'!$B$4:$Q$300, 8, FALSE)</f>
        <v>#N/A</v>
      </c>
      <c r="T112" s="11" t="str">
        <f>VLOOKUP($H112, 'ADP Data'!$B$4:$Q$300, 9, FALSE)</f>
        <v>#N/A</v>
      </c>
      <c r="U112" s="11" t="str">
        <f>VLOOKUP($H112, 'ADP Data'!$B$4:$Q$300, 10, FALSE)</f>
        <v>#N/A</v>
      </c>
      <c r="V112" s="11" t="str">
        <f t="shared" si="5"/>
        <v>#N/A</v>
      </c>
      <c r="W112" s="11" t="str">
        <f>VLOOKUP($H112, SeanRanks!$A$2:$J$303, 7, FALSE)-V112</f>
        <v>#N/A</v>
      </c>
      <c r="X112" s="11"/>
    </row>
    <row r="113" ht="14.25" customHeight="1">
      <c r="A113" s="11"/>
      <c r="B113" s="11" t="str">
        <f t="shared" si="1"/>
        <v>#N/A</v>
      </c>
      <c r="C113" s="11" t="s">
        <v>106</v>
      </c>
      <c r="D113" s="11"/>
      <c r="E113" s="11"/>
      <c r="F113" s="11">
        <f t="shared" si="2"/>
        <v>0</v>
      </c>
      <c r="G113" s="11"/>
      <c r="H113" s="11" t="s">
        <v>369</v>
      </c>
      <c r="I113" s="11" t="str">
        <f>VLOOKUP($H113, 'ADP Data'!$B$4:$Q$300, 2, FALSE)</f>
        <v>#N/A</v>
      </c>
      <c r="J113" s="11" t="str">
        <f>VLOOKUP($H113, 'ADP Data'!$B$4:$Q$300, 3, FALSE)</f>
        <v>#N/A</v>
      </c>
      <c r="K113" s="11"/>
      <c r="L113" s="11"/>
      <c r="M113" s="11">
        <f t="shared" si="3"/>
        <v>16</v>
      </c>
      <c r="N113" s="11" t="str">
        <f>VLOOKUP($H113, 'ADP Data'!$B$4:$Q$300, 11, FALSE)</f>
        <v>#N/A</v>
      </c>
      <c r="O113" s="11" t="str">
        <f>VLOOKUP($H113, 'ADP Data'!$B$4:$Q$300, 5, FALSE)</f>
        <v>#N/A</v>
      </c>
      <c r="P113" s="11" t="str">
        <f t="shared" si="4"/>
        <v>#N/A</v>
      </c>
      <c r="Q113" s="11" t="str">
        <f>VLOOKUP($H113, 'ADP Data'!$B$4:$Q$300, 6, FALSE)</f>
        <v>#N/A</v>
      </c>
      <c r="R113" s="11" t="str">
        <f>VLOOKUP($H113, 'ADP Data'!$B$4:$Q$300, 7, FALSE)</f>
        <v>#N/A</v>
      </c>
      <c r="S113" s="11" t="str">
        <f>VLOOKUP($H113, 'ADP Data'!$B$4:$Q$300, 8, FALSE)</f>
        <v>#N/A</v>
      </c>
      <c r="T113" s="11" t="str">
        <f>VLOOKUP($H113, 'ADP Data'!$B$4:$Q$300, 9, FALSE)</f>
        <v>#N/A</v>
      </c>
      <c r="U113" s="11" t="str">
        <f>VLOOKUP($H113, 'ADP Data'!$B$4:$Q$300, 10, FALSE)</f>
        <v>#N/A</v>
      </c>
      <c r="V113" s="11" t="str">
        <f t="shared" si="5"/>
        <v>#N/A</v>
      </c>
      <c r="W113" s="11" t="str">
        <f>VLOOKUP($H113, SeanRanks!$A$2:$J$303, 7, FALSE)-V113</f>
        <v>#N/A</v>
      </c>
      <c r="X113" s="11"/>
    </row>
    <row r="114" ht="14.25" customHeight="1">
      <c r="A114" s="11"/>
      <c r="B114" s="11" t="str">
        <f t="shared" si="1"/>
        <v>#N/A</v>
      </c>
      <c r="C114" s="11" t="s">
        <v>106</v>
      </c>
      <c r="D114" s="11"/>
      <c r="E114" s="11"/>
      <c r="F114" s="11">
        <f t="shared" si="2"/>
        <v>0</v>
      </c>
      <c r="G114" s="11"/>
      <c r="H114" s="11" t="s">
        <v>1217</v>
      </c>
      <c r="I114" s="11" t="str">
        <f>VLOOKUP($H114, 'ADP Data'!$B$4:$Q$300, 2, FALSE)</f>
        <v>#N/A</v>
      </c>
      <c r="J114" s="11" t="str">
        <f>VLOOKUP($H114, 'ADP Data'!$B$4:$Q$300, 3, FALSE)</f>
        <v>#N/A</v>
      </c>
      <c r="K114" s="11" t="s">
        <v>1213</v>
      </c>
      <c r="L114" s="11"/>
      <c r="M114" s="11">
        <f t="shared" si="3"/>
        <v>16</v>
      </c>
      <c r="N114" s="11" t="str">
        <f>VLOOKUP($H114, 'ADP Data'!$B$4:$Q$300, 11, FALSE)</f>
        <v>#N/A</v>
      </c>
      <c r="O114" s="11" t="str">
        <f>VLOOKUP($H114, 'ADP Data'!$B$4:$Q$300, 5, FALSE)</f>
        <v>#N/A</v>
      </c>
      <c r="P114" s="11" t="str">
        <f t="shared" si="4"/>
        <v>#N/A</v>
      </c>
      <c r="Q114" s="11" t="str">
        <f>VLOOKUP($H114, 'ADP Data'!$B$4:$Q$300, 6, FALSE)</f>
        <v>#N/A</v>
      </c>
      <c r="R114" s="11" t="str">
        <f>VLOOKUP($H114, 'ADP Data'!$B$4:$Q$300, 7, FALSE)</f>
        <v>#N/A</v>
      </c>
      <c r="S114" s="11" t="str">
        <f>VLOOKUP($H114, 'ADP Data'!$B$4:$Q$300, 8, FALSE)</f>
        <v>#N/A</v>
      </c>
      <c r="T114" s="11" t="str">
        <f>VLOOKUP($H114, 'ADP Data'!$B$4:$Q$300, 9, FALSE)</f>
        <v>#N/A</v>
      </c>
      <c r="U114" s="11" t="str">
        <f>VLOOKUP($H114, 'ADP Data'!$B$4:$Q$300, 10, FALSE)</f>
        <v>#N/A</v>
      </c>
      <c r="V114" s="11" t="str">
        <f t="shared" si="5"/>
        <v>#N/A</v>
      </c>
      <c r="W114" s="11" t="str">
        <f>VLOOKUP($H114, SeanRanks!$A$2:$J$303, 7, FALSE)-V114</f>
        <v>#N/A</v>
      </c>
      <c r="X114" s="11"/>
    </row>
    <row r="115" ht="14.25" customHeight="1">
      <c r="A115" s="11"/>
      <c r="B115" s="11" t="str">
        <f t="shared" si="1"/>
        <v>#N/A</v>
      </c>
      <c r="C115" s="11" t="s">
        <v>106</v>
      </c>
      <c r="D115" s="11"/>
      <c r="E115" s="11"/>
      <c r="F115" s="11">
        <f t="shared" si="2"/>
        <v>0</v>
      </c>
      <c r="G115" s="11"/>
      <c r="H115" s="11" t="s">
        <v>1218</v>
      </c>
      <c r="I115" s="11" t="str">
        <f>VLOOKUP($H115, 'ADP Data'!$B$4:$Q$300, 2, FALSE)</f>
        <v>#N/A</v>
      </c>
      <c r="J115" s="11" t="str">
        <f>VLOOKUP($H115, 'ADP Data'!$B$4:$Q$300, 3, FALSE)</f>
        <v>#N/A</v>
      </c>
      <c r="K115" s="11" t="s">
        <v>1184</v>
      </c>
      <c r="L115" s="11"/>
      <c r="M115" s="11">
        <f t="shared" si="3"/>
        <v>16</v>
      </c>
      <c r="N115" s="11" t="str">
        <f>VLOOKUP($H115, 'ADP Data'!$B$4:$Q$300, 11, FALSE)</f>
        <v>#N/A</v>
      </c>
      <c r="O115" s="11" t="str">
        <f>VLOOKUP($H115, 'ADP Data'!$B$4:$Q$300, 5, FALSE)</f>
        <v>#N/A</v>
      </c>
      <c r="P115" s="11" t="str">
        <f t="shared" si="4"/>
        <v>#N/A</v>
      </c>
      <c r="Q115" s="11" t="str">
        <f>VLOOKUP($H115, 'ADP Data'!$B$4:$Q$300, 6, FALSE)</f>
        <v>#N/A</v>
      </c>
      <c r="R115" s="11" t="str">
        <f>VLOOKUP($H115, 'ADP Data'!$B$4:$Q$300, 7, FALSE)</f>
        <v>#N/A</v>
      </c>
      <c r="S115" s="11" t="str">
        <f>VLOOKUP($H115, 'ADP Data'!$B$4:$Q$300, 8, FALSE)</f>
        <v>#N/A</v>
      </c>
      <c r="T115" s="11" t="str">
        <f>VLOOKUP($H115, 'ADP Data'!$B$4:$Q$300, 9, FALSE)</f>
        <v>#N/A</v>
      </c>
      <c r="U115" s="11" t="str">
        <f>VLOOKUP($H115, 'ADP Data'!$B$4:$Q$300, 10, FALSE)</f>
        <v>#N/A</v>
      </c>
      <c r="V115" s="11" t="str">
        <f t="shared" si="5"/>
        <v>#N/A</v>
      </c>
      <c r="W115" s="11" t="str">
        <f>VLOOKUP($H115, SeanRanks!$A$2:$J$303, 7, FALSE)-V115</f>
        <v>#N/A</v>
      </c>
      <c r="X115" s="11"/>
    </row>
    <row r="116" ht="14.25" customHeight="1">
      <c r="A116" s="11"/>
      <c r="B116" s="11" t="str">
        <f t="shared" si="1"/>
        <v>#N/A</v>
      </c>
      <c r="C116" s="11" t="s">
        <v>106</v>
      </c>
      <c r="D116" s="11"/>
      <c r="E116" s="11"/>
      <c r="F116" s="11">
        <f t="shared" si="2"/>
        <v>0</v>
      </c>
      <c r="G116" s="11"/>
      <c r="H116" s="11" t="s">
        <v>1219</v>
      </c>
      <c r="I116" s="11" t="str">
        <f>VLOOKUP($H116, 'ADP Data'!$B$4:$Q$300, 2, FALSE)</f>
        <v>#N/A</v>
      </c>
      <c r="J116" s="11" t="str">
        <f>VLOOKUP($H116, 'ADP Data'!$B$4:$Q$300, 3, FALSE)</f>
        <v>#N/A</v>
      </c>
      <c r="K116" s="11" t="s">
        <v>1213</v>
      </c>
      <c r="L116" s="11"/>
      <c r="M116" s="11">
        <f t="shared" si="3"/>
        <v>16</v>
      </c>
      <c r="N116" s="11" t="str">
        <f>VLOOKUP($H116, 'ADP Data'!$B$4:$Q$300, 11, FALSE)</f>
        <v>#N/A</v>
      </c>
      <c r="O116" s="11" t="str">
        <f>VLOOKUP($H116, 'ADP Data'!$B$4:$Q$300, 5, FALSE)</f>
        <v>#N/A</v>
      </c>
      <c r="P116" s="11" t="str">
        <f t="shared" si="4"/>
        <v>#N/A</v>
      </c>
      <c r="Q116" s="11" t="str">
        <f>VLOOKUP($H116, 'ADP Data'!$B$4:$Q$300, 6, FALSE)</f>
        <v>#N/A</v>
      </c>
      <c r="R116" s="11" t="str">
        <f>VLOOKUP($H116, 'ADP Data'!$B$4:$Q$300, 7, FALSE)</f>
        <v>#N/A</v>
      </c>
      <c r="S116" s="11" t="str">
        <f>VLOOKUP($H116, 'ADP Data'!$B$4:$Q$300, 8, FALSE)</f>
        <v>#N/A</v>
      </c>
      <c r="T116" s="11" t="str">
        <f>VLOOKUP($H116, 'ADP Data'!$B$4:$Q$300, 9, FALSE)</f>
        <v>#N/A</v>
      </c>
      <c r="U116" s="11" t="str">
        <f>VLOOKUP($H116, 'ADP Data'!$B$4:$Q$300, 10, FALSE)</f>
        <v>#N/A</v>
      </c>
      <c r="V116" s="11" t="str">
        <f t="shared" si="5"/>
        <v>#N/A</v>
      </c>
      <c r="W116" s="11" t="str">
        <f>VLOOKUP($H116, SeanRanks!$A$2:$J$303, 7, FALSE)-V116</f>
        <v>#N/A</v>
      </c>
      <c r="X116" s="11"/>
    </row>
    <row r="117" ht="14.25" customHeight="1">
      <c r="A117" s="11"/>
      <c r="B117" s="11" t="str">
        <f t="shared" si="1"/>
        <v>#N/A</v>
      </c>
      <c r="C117" s="11" t="s">
        <v>106</v>
      </c>
      <c r="D117" s="11"/>
      <c r="E117" s="11"/>
      <c r="F117" s="11">
        <f t="shared" si="2"/>
        <v>0</v>
      </c>
      <c r="G117" s="11"/>
      <c r="H117" s="11" t="s">
        <v>1220</v>
      </c>
      <c r="I117" s="11" t="str">
        <f>VLOOKUP($H117, 'ADP Data'!$B$4:$Q$300, 2, FALSE)</f>
        <v>#N/A</v>
      </c>
      <c r="J117" s="11" t="str">
        <f>VLOOKUP($H117, 'ADP Data'!$B$4:$Q$300, 3, FALSE)</f>
        <v>#N/A</v>
      </c>
      <c r="K117" s="11"/>
      <c r="L117" s="11"/>
      <c r="M117" s="11">
        <f t="shared" si="3"/>
        <v>16</v>
      </c>
      <c r="N117" s="11" t="str">
        <f>VLOOKUP($H117, 'ADP Data'!$B$4:$Q$300, 11, FALSE)</f>
        <v>#N/A</v>
      </c>
      <c r="O117" s="11" t="str">
        <f>VLOOKUP($H117, 'ADP Data'!$B$4:$Q$300, 5, FALSE)</f>
        <v>#N/A</v>
      </c>
      <c r="P117" s="11" t="str">
        <f t="shared" si="4"/>
        <v>#N/A</v>
      </c>
      <c r="Q117" s="11" t="str">
        <f>VLOOKUP($H117, 'ADP Data'!$B$4:$Q$300, 6, FALSE)</f>
        <v>#N/A</v>
      </c>
      <c r="R117" s="11" t="str">
        <f>VLOOKUP($H117, 'ADP Data'!$B$4:$Q$300, 7, FALSE)</f>
        <v>#N/A</v>
      </c>
      <c r="S117" s="11" t="str">
        <f>VLOOKUP($H117, 'ADP Data'!$B$4:$Q$300, 8, FALSE)</f>
        <v>#N/A</v>
      </c>
      <c r="T117" s="11" t="str">
        <f>VLOOKUP($H117, 'ADP Data'!$B$4:$Q$300, 9, FALSE)</f>
        <v>#N/A</v>
      </c>
      <c r="U117" s="11" t="str">
        <f>VLOOKUP($H117, 'ADP Data'!$B$4:$Q$300, 10, FALSE)</f>
        <v>#N/A</v>
      </c>
      <c r="V117" s="11" t="str">
        <f t="shared" si="5"/>
        <v>#N/A</v>
      </c>
      <c r="W117" s="11" t="str">
        <f>VLOOKUP($H117, SeanRanks!$A$2:$J$303, 7, FALSE)-V117</f>
        <v>#N/A</v>
      </c>
      <c r="X117" s="11"/>
    </row>
    <row r="118" ht="14.25" customHeight="1">
      <c r="A118" s="11"/>
      <c r="B118" s="11" t="str">
        <f t="shared" si="1"/>
        <v>#N/A</v>
      </c>
      <c r="C118" s="11" t="s">
        <v>106</v>
      </c>
      <c r="D118" s="11"/>
      <c r="E118" s="11"/>
      <c r="F118" s="11">
        <f t="shared" si="2"/>
        <v>0</v>
      </c>
      <c r="G118" s="11"/>
      <c r="H118" s="11" t="s">
        <v>902</v>
      </c>
      <c r="I118" s="11" t="str">
        <f>VLOOKUP($H118, 'ADP Data'!$B$4:$Q$300, 2, FALSE)</f>
        <v>#N/A</v>
      </c>
      <c r="J118" s="11" t="str">
        <f>VLOOKUP($H118, 'ADP Data'!$B$4:$Q$300, 3, FALSE)</f>
        <v>#N/A</v>
      </c>
      <c r="K118" s="11"/>
      <c r="L118" s="11"/>
      <c r="M118" s="11">
        <f t="shared" si="3"/>
        <v>16</v>
      </c>
      <c r="N118" s="11" t="str">
        <f>VLOOKUP($H118, 'ADP Data'!$B$4:$Q$300, 11, FALSE)</f>
        <v>#N/A</v>
      </c>
      <c r="O118" s="11" t="str">
        <f>VLOOKUP($H118, 'ADP Data'!$B$4:$Q$300, 5, FALSE)</f>
        <v>#N/A</v>
      </c>
      <c r="P118" s="11" t="str">
        <f t="shared" si="4"/>
        <v>#N/A</v>
      </c>
      <c r="Q118" s="11" t="str">
        <f>VLOOKUP($H118, 'ADP Data'!$B$4:$Q$300, 6, FALSE)</f>
        <v>#N/A</v>
      </c>
      <c r="R118" s="11" t="str">
        <f>VLOOKUP($H118, 'ADP Data'!$B$4:$Q$300, 7, FALSE)</f>
        <v>#N/A</v>
      </c>
      <c r="S118" s="11" t="str">
        <f>VLOOKUP($H118, 'ADP Data'!$B$4:$Q$300, 8, FALSE)</f>
        <v>#N/A</v>
      </c>
      <c r="T118" s="11" t="str">
        <f>VLOOKUP($H118, 'ADP Data'!$B$4:$Q$300, 9, FALSE)</f>
        <v>#N/A</v>
      </c>
      <c r="U118" s="11" t="str">
        <f>VLOOKUP($H118, 'ADP Data'!$B$4:$Q$300, 10, FALSE)</f>
        <v>#N/A</v>
      </c>
      <c r="V118" s="11" t="str">
        <f t="shared" si="5"/>
        <v>#N/A</v>
      </c>
      <c r="W118" s="11" t="str">
        <f>VLOOKUP($H118, SeanRanks!$A$2:$J$303, 7, FALSE)-V118</f>
        <v>#N/A</v>
      </c>
      <c r="X118" s="11"/>
    </row>
    <row r="119" ht="14.25" customHeight="1">
      <c r="A119" s="11"/>
      <c r="B119" s="11" t="str">
        <f t="shared" si="1"/>
        <v>#N/A</v>
      </c>
      <c r="C119" s="11" t="s">
        <v>106</v>
      </c>
      <c r="D119" s="11"/>
      <c r="E119" s="11"/>
      <c r="F119" s="11">
        <f t="shared" si="2"/>
        <v>0</v>
      </c>
      <c r="G119" s="11"/>
      <c r="H119" s="11" t="s">
        <v>485</v>
      </c>
      <c r="I119" s="11" t="str">
        <f>VLOOKUP($H119, 'ADP Data'!$B$4:$Q$300, 2, FALSE)</f>
        <v>#N/A</v>
      </c>
      <c r="J119" s="11" t="str">
        <f>VLOOKUP($H119, 'ADP Data'!$B$4:$Q$300, 3, FALSE)</f>
        <v>#N/A</v>
      </c>
      <c r="K119" s="11"/>
      <c r="L119" s="11"/>
      <c r="M119" s="11">
        <f t="shared" si="3"/>
        <v>16</v>
      </c>
      <c r="N119" s="11" t="str">
        <f>VLOOKUP($H119, 'ADP Data'!$B$4:$Q$300, 11, FALSE)</f>
        <v>#N/A</v>
      </c>
      <c r="O119" s="11" t="str">
        <f>VLOOKUP($H119, 'ADP Data'!$B$4:$Q$300, 5, FALSE)</f>
        <v>#N/A</v>
      </c>
      <c r="P119" s="11" t="str">
        <f t="shared" si="4"/>
        <v>#N/A</v>
      </c>
      <c r="Q119" s="11" t="str">
        <f>VLOOKUP($H119, 'ADP Data'!$B$4:$Q$300, 6, FALSE)</f>
        <v>#N/A</v>
      </c>
      <c r="R119" s="11" t="str">
        <f>VLOOKUP($H119, 'ADP Data'!$B$4:$Q$300, 7, FALSE)</f>
        <v>#N/A</v>
      </c>
      <c r="S119" s="11" t="str">
        <f>VLOOKUP($H119, 'ADP Data'!$B$4:$Q$300, 8, FALSE)</f>
        <v>#N/A</v>
      </c>
      <c r="T119" s="11" t="str">
        <f>VLOOKUP($H119, 'ADP Data'!$B$4:$Q$300, 9, FALSE)</f>
        <v>#N/A</v>
      </c>
      <c r="U119" s="11" t="str">
        <f>VLOOKUP($H119, 'ADP Data'!$B$4:$Q$300, 10, FALSE)</f>
        <v>#N/A</v>
      </c>
      <c r="V119" s="11" t="str">
        <f t="shared" si="5"/>
        <v>#N/A</v>
      </c>
      <c r="W119" s="11" t="str">
        <f>VLOOKUP($H119, SeanRanks!$A$2:$J$303, 7, FALSE)-V119</f>
        <v>#N/A</v>
      </c>
      <c r="X119" s="11"/>
    </row>
    <row r="120" ht="14.25" customHeight="1">
      <c r="A120" s="11"/>
      <c r="B120" s="11" t="str">
        <f t="shared" si="1"/>
        <v>#N/A</v>
      </c>
      <c r="C120" s="11" t="s">
        <v>106</v>
      </c>
      <c r="D120" s="11"/>
      <c r="E120" s="11"/>
      <c r="F120" s="11">
        <f t="shared" si="2"/>
        <v>0</v>
      </c>
      <c r="G120" s="11" t="s">
        <v>106</v>
      </c>
      <c r="H120" s="11" t="s">
        <v>816</v>
      </c>
      <c r="I120" s="11" t="str">
        <f>VLOOKUP($H120, 'ADP Data'!$B$4:$Q$300, 2, FALSE)</f>
        <v>#N/A</v>
      </c>
      <c r="J120" s="11" t="str">
        <f>VLOOKUP($H120, 'ADP Data'!$B$4:$Q$300, 3, FALSE)</f>
        <v>#N/A</v>
      </c>
      <c r="K120" s="11"/>
      <c r="L120" s="11"/>
      <c r="M120" s="11">
        <f t="shared" si="3"/>
        <v>16</v>
      </c>
      <c r="N120" s="11" t="str">
        <f>VLOOKUP($H120, 'ADP Data'!$B$4:$Q$300, 11, FALSE)</f>
        <v>#N/A</v>
      </c>
      <c r="O120" s="11" t="str">
        <f>VLOOKUP($H120, 'ADP Data'!$B$4:$Q$300, 5, FALSE)</f>
        <v>#N/A</v>
      </c>
      <c r="P120" s="11" t="str">
        <f t="shared" si="4"/>
        <v>#N/A</v>
      </c>
      <c r="Q120" s="11" t="str">
        <f>VLOOKUP($H120, 'ADP Data'!$B$4:$Q$300, 6, FALSE)</f>
        <v>#N/A</v>
      </c>
      <c r="R120" s="11" t="str">
        <f>VLOOKUP($H120, 'ADP Data'!$B$4:$Q$300, 7, FALSE)</f>
        <v>#N/A</v>
      </c>
      <c r="S120" s="11" t="str">
        <f>VLOOKUP($H120, 'ADP Data'!$B$4:$Q$300, 8, FALSE)</f>
        <v>#N/A</v>
      </c>
      <c r="T120" s="11" t="str">
        <f>VLOOKUP($H120, 'ADP Data'!$B$4:$Q$300, 9, FALSE)</f>
        <v>#N/A</v>
      </c>
      <c r="U120" s="11" t="str">
        <f>VLOOKUP($H120, 'ADP Data'!$B$4:$Q$300, 10, FALSE)</f>
        <v>#N/A</v>
      </c>
      <c r="V120" s="11" t="str">
        <f t="shared" si="5"/>
        <v>#N/A</v>
      </c>
      <c r="W120" s="11" t="str">
        <f>VLOOKUP($H120, SeanRanks!$A$2:$J$303, 7, FALSE)-V120</f>
        <v>#N/A</v>
      </c>
      <c r="X120" s="11" t="s">
        <v>1221</v>
      </c>
    </row>
    <row r="121" ht="14.25" customHeight="1">
      <c r="A121" s="11"/>
      <c r="B121" s="11" t="str">
        <f t="shared" si="1"/>
        <v>#N/A</v>
      </c>
      <c r="C121" s="11" t="s">
        <v>106</v>
      </c>
      <c r="D121" s="11"/>
      <c r="E121" s="11"/>
      <c r="F121" s="11">
        <f t="shared" si="2"/>
        <v>0</v>
      </c>
      <c r="G121" s="11"/>
      <c r="H121" s="11" t="s">
        <v>961</v>
      </c>
      <c r="I121" s="11" t="str">
        <f>VLOOKUP($H121, 'ADP Data'!$B$4:$Q$300, 2, FALSE)</f>
        <v>#N/A</v>
      </c>
      <c r="J121" s="11" t="str">
        <f>VLOOKUP($H121, 'ADP Data'!$B$4:$Q$300, 3, FALSE)</f>
        <v>#N/A</v>
      </c>
      <c r="K121" s="11"/>
      <c r="L121" s="11"/>
      <c r="M121" s="11">
        <f t="shared" si="3"/>
        <v>16</v>
      </c>
      <c r="N121" s="11" t="str">
        <f>VLOOKUP($H121, 'ADP Data'!$B$4:$Q$300, 11, FALSE)</f>
        <v>#N/A</v>
      </c>
      <c r="O121" s="11" t="str">
        <f>VLOOKUP($H121, 'ADP Data'!$B$4:$Q$300, 5, FALSE)</f>
        <v>#N/A</v>
      </c>
      <c r="P121" s="11" t="str">
        <f t="shared" si="4"/>
        <v>#N/A</v>
      </c>
      <c r="Q121" s="11" t="str">
        <f>VLOOKUP($H121, 'ADP Data'!$B$4:$Q$300, 6, FALSE)</f>
        <v>#N/A</v>
      </c>
      <c r="R121" s="11" t="str">
        <f>VLOOKUP($H121, 'ADP Data'!$B$4:$Q$300, 7, FALSE)</f>
        <v>#N/A</v>
      </c>
      <c r="S121" s="11" t="str">
        <f>VLOOKUP($H121, 'ADP Data'!$B$4:$Q$300, 8, FALSE)</f>
        <v>#N/A</v>
      </c>
      <c r="T121" s="11" t="str">
        <f>VLOOKUP($H121, 'ADP Data'!$B$4:$Q$300, 9, FALSE)</f>
        <v>#N/A</v>
      </c>
      <c r="U121" s="11" t="str">
        <f>VLOOKUP($H121, 'ADP Data'!$B$4:$Q$300, 10, FALSE)</f>
        <v>#N/A</v>
      </c>
      <c r="V121" s="11" t="str">
        <f t="shared" si="5"/>
        <v>#N/A</v>
      </c>
      <c r="W121" s="11" t="str">
        <f>VLOOKUP($H121, SeanRanks!$A$2:$J$303, 7, FALSE)-V121</f>
        <v>#N/A</v>
      </c>
      <c r="X121" s="11"/>
    </row>
    <row r="122" ht="14.25" customHeight="1">
      <c r="A122" s="11"/>
      <c r="B122" s="11" t="str">
        <f t="shared" si="1"/>
        <v>#N/A</v>
      </c>
      <c r="C122" s="11" t="s">
        <v>106</v>
      </c>
      <c r="D122" s="11"/>
      <c r="E122" s="11"/>
      <c r="F122" s="11">
        <f t="shared" si="2"/>
        <v>0</v>
      </c>
      <c r="G122" s="11"/>
      <c r="H122" s="11" t="s">
        <v>1222</v>
      </c>
      <c r="I122" s="11" t="str">
        <f>VLOOKUP($H122, 'ADP Data'!$B$4:$Q$300, 2, FALSE)</f>
        <v>#N/A</v>
      </c>
      <c r="J122" s="11" t="str">
        <f>VLOOKUP($H122, 'ADP Data'!$B$4:$Q$300, 3, FALSE)</f>
        <v>#N/A</v>
      </c>
      <c r="K122" s="11"/>
      <c r="L122" s="11"/>
      <c r="M122" s="11">
        <f t="shared" si="3"/>
        <v>16</v>
      </c>
      <c r="N122" s="11" t="str">
        <f>VLOOKUP($H122, 'ADP Data'!$B$4:$Q$300, 11, FALSE)</f>
        <v>#N/A</v>
      </c>
      <c r="O122" s="11" t="str">
        <f>VLOOKUP($H122, 'ADP Data'!$B$4:$Q$300, 5, FALSE)</f>
        <v>#N/A</v>
      </c>
      <c r="P122" s="11" t="str">
        <f t="shared" si="4"/>
        <v>#N/A</v>
      </c>
      <c r="Q122" s="11" t="str">
        <f>VLOOKUP($H122, 'ADP Data'!$B$4:$Q$300, 6, FALSE)</f>
        <v>#N/A</v>
      </c>
      <c r="R122" s="11" t="str">
        <f>VLOOKUP($H122, 'ADP Data'!$B$4:$Q$300, 7, FALSE)</f>
        <v>#N/A</v>
      </c>
      <c r="S122" s="11" t="str">
        <f>VLOOKUP($H122, 'ADP Data'!$B$4:$Q$300, 8, FALSE)</f>
        <v>#N/A</v>
      </c>
      <c r="T122" s="11" t="str">
        <f>VLOOKUP($H122, 'ADP Data'!$B$4:$Q$300, 9, FALSE)</f>
        <v>#N/A</v>
      </c>
      <c r="U122" s="11" t="str">
        <f>VLOOKUP($H122, 'ADP Data'!$B$4:$Q$300, 10, FALSE)</f>
        <v>#N/A</v>
      </c>
      <c r="V122" s="11" t="str">
        <f t="shared" si="5"/>
        <v>#N/A</v>
      </c>
      <c r="W122" s="11" t="str">
        <f>VLOOKUP($H122, SeanRanks!$A$2:$J$303, 7, FALSE)-V122</f>
        <v>#N/A</v>
      </c>
      <c r="X122" s="11"/>
    </row>
    <row r="123" ht="14.25" customHeight="1">
      <c r="A123" s="11"/>
      <c r="B123" s="11" t="str">
        <f t="shared" si="1"/>
        <v>#N/A</v>
      </c>
      <c r="C123" s="11" t="s">
        <v>106</v>
      </c>
      <c r="D123" s="11"/>
      <c r="E123" s="11"/>
      <c r="F123" s="11">
        <f t="shared" si="2"/>
        <v>0</v>
      </c>
      <c r="G123" s="11"/>
      <c r="H123" s="11" t="s">
        <v>664</v>
      </c>
      <c r="I123" s="11" t="str">
        <f>VLOOKUP($H123, 'ADP Data'!$B$4:$Q$300, 2, FALSE)</f>
        <v>#N/A</v>
      </c>
      <c r="J123" s="11" t="str">
        <f>VLOOKUP($H123, 'ADP Data'!$B$4:$Q$300, 3, FALSE)</f>
        <v>#N/A</v>
      </c>
      <c r="K123" s="11"/>
      <c r="L123" s="11"/>
      <c r="M123" s="11">
        <f t="shared" si="3"/>
        <v>16</v>
      </c>
      <c r="N123" s="11" t="str">
        <f>VLOOKUP($H123, 'ADP Data'!$B$4:$Q$300, 11, FALSE)</f>
        <v>#N/A</v>
      </c>
      <c r="O123" s="11" t="str">
        <f>VLOOKUP($H123, 'ADP Data'!$B$4:$Q$300, 5, FALSE)</f>
        <v>#N/A</v>
      </c>
      <c r="P123" s="11" t="str">
        <f t="shared" si="4"/>
        <v>#N/A</v>
      </c>
      <c r="Q123" s="11" t="str">
        <f>VLOOKUP($H123, 'ADP Data'!$B$4:$Q$300, 6, FALSE)</f>
        <v>#N/A</v>
      </c>
      <c r="R123" s="11" t="str">
        <f>VLOOKUP($H123, 'ADP Data'!$B$4:$Q$300, 7, FALSE)</f>
        <v>#N/A</v>
      </c>
      <c r="S123" s="11" t="str">
        <f>VLOOKUP($H123, 'ADP Data'!$B$4:$Q$300, 8, FALSE)</f>
        <v>#N/A</v>
      </c>
      <c r="T123" s="11" t="str">
        <f>VLOOKUP($H123, 'ADP Data'!$B$4:$Q$300, 9, FALSE)</f>
        <v>#N/A</v>
      </c>
      <c r="U123" s="11" t="str">
        <f>VLOOKUP($H123, 'ADP Data'!$B$4:$Q$300, 10, FALSE)</f>
        <v>#N/A</v>
      </c>
      <c r="V123" s="11" t="str">
        <f t="shared" si="5"/>
        <v>#N/A</v>
      </c>
      <c r="W123" s="11" t="str">
        <f>VLOOKUP($H123, SeanRanks!$A$2:$J$303, 7, FALSE)-V123</f>
        <v>#N/A</v>
      </c>
      <c r="X123" s="11"/>
    </row>
    <row r="124" ht="14.25" customHeight="1">
      <c r="A124" s="11"/>
      <c r="B124" s="11" t="str">
        <f t="shared" si="1"/>
        <v>#N/A</v>
      </c>
      <c r="C124" s="11" t="s">
        <v>106</v>
      </c>
      <c r="D124" s="11"/>
      <c r="E124" s="11"/>
      <c r="F124" s="11">
        <f t="shared" si="2"/>
        <v>0</v>
      </c>
      <c r="G124" s="11"/>
      <c r="H124" s="11" t="s">
        <v>1223</v>
      </c>
      <c r="I124" s="11" t="str">
        <f>VLOOKUP($H124, 'ADP Data'!$B$4:$Q$300, 2, FALSE)</f>
        <v>#N/A</v>
      </c>
      <c r="J124" s="11" t="str">
        <f>VLOOKUP($H124, 'ADP Data'!$B$4:$Q$300, 3, FALSE)</f>
        <v>#N/A</v>
      </c>
      <c r="K124" s="11"/>
      <c r="L124" s="11"/>
      <c r="M124" s="11">
        <f t="shared" si="3"/>
        <v>16</v>
      </c>
      <c r="N124" s="11" t="str">
        <f>VLOOKUP($H124, 'ADP Data'!$B$4:$Q$300, 11, FALSE)</f>
        <v>#N/A</v>
      </c>
      <c r="O124" s="11" t="str">
        <f>VLOOKUP($H124, 'ADP Data'!$B$4:$Q$300, 5, FALSE)</f>
        <v>#N/A</v>
      </c>
      <c r="P124" s="11" t="str">
        <f t="shared" si="4"/>
        <v>#N/A</v>
      </c>
      <c r="Q124" s="11" t="str">
        <f>VLOOKUP($H124, 'ADP Data'!$B$4:$Q$300, 6, FALSE)</f>
        <v>#N/A</v>
      </c>
      <c r="R124" s="11" t="str">
        <f>VLOOKUP($H124, 'ADP Data'!$B$4:$Q$300, 7, FALSE)</f>
        <v>#N/A</v>
      </c>
      <c r="S124" s="11" t="str">
        <f>VLOOKUP($H124, 'ADP Data'!$B$4:$Q$300, 8, FALSE)</f>
        <v>#N/A</v>
      </c>
      <c r="T124" s="11" t="str">
        <f>VLOOKUP($H124, 'ADP Data'!$B$4:$Q$300, 9, FALSE)</f>
        <v>#N/A</v>
      </c>
      <c r="U124" s="11" t="str">
        <f>VLOOKUP($H124, 'ADP Data'!$B$4:$Q$300, 10, FALSE)</f>
        <v>#N/A</v>
      </c>
      <c r="V124" s="11" t="str">
        <f t="shared" si="5"/>
        <v>#N/A</v>
      </c>
      <c r="W124" s="11" t="str">
        <f>VLOOKUP($H124, SeanRanks!$A$2:$J$303, 7, FALSE)-V124</f>
        <v>#N/A</v>
      </c>
      <c r="X124" s="11"/>
    </row>
    <row r="125" ht="14.25" customHeight="1">
      <c r="A125" s="11"/>
      <c r="B125" s="11" t="str">
        <f t="shared" si="1"/>
        <v>#N/A</v>
      </c>
      <c r="C125" s="11" t="s">
        <v>106</v>
      </c>
      <c r="D125" s="11"/>
      <c r="E125" s="11"/>
      <c r="F125" s="11">
        <f t="shared" si="2"/>
        <v>0</v>
      </c>
      <c r="G125" s="11"/>
      <c r="H125" s="11" t="s">
        <v>1224</v>
      </c>
      <c r="I125" s="11" t="str">
        <f>VLOOKUP($H125, 'ADP Data'!$B$4:$Q$300, 2, FALSE)</f>
        <v>#N/A</v>
      </c>
      <c r="J125" s="11" t="str">
        <f>VLOOKUP($H125, 'ADP Data'!$B$4:$Q$300, 3, FALSE)</f>
        <v>#N/A</v>
      </c>
      <c r="K125" s="11"/>
      <c r="L125" s="11"/>
      <c r="M125" s="11">
        <f t="shared" si="3"/>
        <v>16</v>
      </c>
      <c r="N125" s="11" t="str">
        <f>VLOOKUP($H125, 'ADP Data'!$B$4:$Q$300, 11, FALSE)</f>
        <v>#N/A</v>
      </c>
      <c r="O125" s="11" t="str">
        <f>VLOOKUP($H125, 'ADP Data'!$B$4:$Q$300, 5, FALSE)</f>
        <v>#N/A</v>
      </c>
      <c r="P125" s="11" t="str">
        <f t="shared" si="4"/>
        <v>#N/A</v>
      </c>
      <c r="Q125" s="11" t="str">
        <f>VLOOKUP($H125, 'ADP Data'!$B$4:$Q$300, 6, FALSE)</f>
        <v>#N/A</v>
      </c>
      <c r="R125" s="11" t="str">
        <f>VLOOKUP($H125, 'ADP Data'!$B$4:$Q$300, 7, FALSE)</f>
        <v>#N/A</v>
      </c>
      <c r="S125" s="11" t="str">
        <f>VLOOKUP($H125, 'ADP Data'!$B$4:$Q$300, 8, FALSE)</f>
        <v>#N/A</v>
      </c>
      <c r="T125" s="11" t="str">
        <f>VLOOKUP($H125, 'ADP Data'!$B$4:$Q$300, 9, FALSE)</f>
        <v>#N/A</v>
      </c>
      <c r="U125" s="11" t="str">
        <f>VLOOKUP($H125, 'ADP Data'!$B$4:$Q$300, 10, FALSE)</f>
        <v>#N/A</v>
      </c>
      <c r="V125" s="11" t="str">
        <f t="shared" si="5"/>
        <v>#N/A</v>
      </c>
      <c r="W125" s="11" t="str">
        <f>VLOOKUP($H125, SeanRanks!$A$2:$J$303, 7, FALSE)-V125</f>
        <v>#N/A</v>
      </c>
      <c r="X125" s="11"/>
    </row>
    <row r="126" ht="14.25" customHeight="1">
      <c r="A126" s="11"/>
      <c r="B126" s="11" t="str">
        <f t="shared" si="1"/>
        <v>#N/A</v>
      </c>
      <c r="C126" s="11" t="s">
        <v>106</v>
      </c>
      <c r="D126" s="11"/>
      <c r="E126" s="11"/>
      <c r="F126" s="11">
        <f t="shared" si="2"/>
        <v>0</v>
      </c>
      <c r="G126" s="11"/>
      <c r="H126" s="11" t="s">
        <v>1225</v>
      </c>
      <c r="I126" s="11" t="str">
        <f>VLOOKUP($H126, 'ADP Data'!$B$4:$Q$300, 2, FALSE)</f>
        <v>#N/A</v>
      </c>
      <c r="J126" s="11" t="str">
        <f>VLOOKUP($H126, 'ADP Data'!$B$4:$Q$300, 3, FALSE)</f>
        <v>#N/A</v>
      </c>
      <c r="K126" s="11"/>
      <c r="L126" s="11"/>
      <c r="M126" s="11">
        <f t="shared" si="3"/>
        <v>16</v>
      </c>
      <c r="N126" s="11" t="str">
        <f>VLOOKUP($H126, 'ADP Data'!$B$4:$Q$300, 11, FALSE)</f>
        <v>#N/A</v>
      </c>
      <c r="O126" s="11" t="str">
        <f>VLOOKUP($H126, 'ADP Data'!$B$4:$Q$300, 5, FALSE)</f>
        <v>#N/A</v>
      </c>
      <c r="P126" s="11" t="str">
        <f t="shared" si="4"/>
        <v>#N/A</v>
      </c>
      <c r="Q126" s="11" t="str">
        <f>VLOOKUP($H126, 'ADP Data'!$B$4:$Q$300, 6, FALSE)</f>
        <v>#N/A</v>
      </c>
      <c r="R126" s="11" t="str">
        <f>VLOOKUP($H126, 'ADP Data'!$B$4:$Q$300, 7, FALSE)</f>
        <v>#N/A</v>
      </c>
      <c r="S126" s="11" t="str">
        <f>VLOOKUP($H126, 'ADP Data'!$B$4:$Q$300, 8, FALSE)</f>
        <v>#N/A</v>
      </c>
      <c r="T126" s="11" t="str">
        <f>VLOOKUP($H126, 'ADP Data'!$B$4:$Q$300, 9, FALSE)</f>
        <v>#N/A</v>
      </c>
      <c r="U126" s="11" t="str">
        <f>VLOOKUP($H126, 'ADP Data'!$B$4:$Q$300, 10, FALSE)</f>
        <v>#N/A</v>
      </c>
      <c r="V126" s="11" t="str">
        <f t="shared" si="5"/>
        <v>#N/A</v>
      </c>
      <c r="W126" s="11" t="str">
        <f>VLOOKUP($H126, SeanRanks!$A$2:$J$303, 7, FALSE)-V126</f>
        <v>#N/A</v>
      </c>
      <c r="X126" s="11"/>
    </row>
    <row r="127" ht="14.25" customHeight="1">
      <c r="A127" s="11"/>
      <c r="B127" s="11" t="str">
        <f t="shared" si="1"/>
        <v>#N/A</v>
      </c>
      <c r="C127" s="11" t="s">
        <v>106</v>
      </c>
      <c r="D127" s="11"/>
      <c r="E127" s="11"/>
      <c r="F127" s="11">
        <f t="shared" si="2"/>
        <v>0</v>
      </c>
      <c r="G127" s="11"/>
      <c r="H127" s="11" t="s">
        <v>1226</v>
      </c>
      <c r="I127" s="11" t="str">
        <f>VLOOKUP($H127, 'ADP Data'!$B$4:$Q$300, 2, FALSE)</f>
        <v>#N/A</v>
      </c>
      <c r="J127" s="11" t="str">
        <f>VLOOKUP($H127, 'ADP Data'!$B$4:$Q$300, 3, FALSE)</f>
        <v>#N/A</v>
      </c>
      <c r="K127" s="11"/>
      <c r="L127" s="11"/>
      <c r="M127" s="11">
        <f t="shared" si="3"/>
        <v>16</v>
      </c>
      <c r="N127" s="11" t="str">
        <f>VLOOKUP($H127, 'ADP Data'!$B$4:$Q$300, 11, FALSE)</f>
        <v>#N/A</v>
      </c>
      <c r="O127" s="11" t="str">
        <f>VLOOKUP($H127, 'ADP Data'!$B$4:$Q$300, 5, FALSE)</f>
        <v>#N/A</v>
      </c>
      <c r="P127" s="11" t="str">
        <f t="shared" si="4"/>
        <v>#N/A</v>
      </c>
      <c r="Q127" s="11" t="str">
        <f>VLOOKUP($H127, 'ADP Data'!$B$4:$Q$300, 6, FALSE)</f>
        <v>#N/A</v>
      </c>
      <c r="R127" s="11" t="str">
        <f>VLOOKUP($H127, 'ADP Data'!$B$4:$Q$300, 7, FALSE)</f>
        <v>#N/A</v>
      </c>
      <c r="S127" s="11" t="str">
        <f>VLOOKUP($H127, 'ADP Data'!$B$4:$Q$300, 8, FALSE)</f>
        <v>#N/A</v>
      </c>
      <c r="T127" s="11" t="str">
        <f>VLOOKUP($H127, 'ADP Data'!$B$4:$Q$300, 9, FALSE)</f>
        <v>#N/A</v>
      </c>
      <c r="U127" s="11" t="str">
        <f>VLOOKUP($H127, 'ADP Data'!$B$4:$Q$300, 10, FALSE)</f>
        <v>#N/A</v>
      </c>
      <c r="V127" s="11" t="str">
        <f t="shared" si="5"/>
        <v>#N/A</v>
      </c>
      <c r="W127" s="11" t="str">
        <f>VLOOKUP($H127, SeanRanks!$A$2:$J$303, 7, FALSE)-V127</f>
        <v>#N/A</v>
      </c>
      <c r="X127" s="11"/>
    </row>
    <row r="128" ht="14.25" customHeight="1">
      <c r="A128" s="11"/>
      <c r="B128" s="11" t="str">
        <f t="shared" si="1"/>
        <v>#N/A</v>
      </c>
      <c r="C128" s="11" t="s">
        <v>106</v>
      </c>
      <c r="D128" s="11"/>
      <c r="E128" s="11"/>
      <c r="F128" s="11">
        <f t="shared" si="2"/>
        <v>0</v>
      </c>
      <c r="G128" s="11"/>
      <c r="H128" s="11" t="s">
        <v>1227</v>
      </c>
      <c r="I128" s="11" t="str">
        <f>VLOOKUP($H128, 'ADP Data'!$B$4:$Q$300, 2, FALSE)</f>
        <v>#N/A</v>
      </c>
      <c r="J128" s="11" t="str">
        <f>VLOOKUP($H128, 'ADP Data'!$B$4:$Q$300, 3, FALSE)</f>
        <v>#N/A</v>
      </c>
      <c r="K128" s="11"/>
      <c r="L128" s="11"/>
      <c r="M128" s="11">
        <f t="shared" si="3"/>
        <v>16</v>
      </c>
      <c r="N128" s="11" t="str">
        <f>VLOOKUP($H128, 'ADP Data'!$B$4:$Q$300, 11, FALSE)</f>
        <v>#N/A</v>
      </c>
      <c r="O128" s="11" t="str">
        <f>VLOOKUP($H128, 'ADP Data'!$B$4:$Q$300, 5, FALSE)</f>
        <v>#N/A</v>
      </c>
      <c r="P128" s="11" t="str">
        <f t="shared" si="4"/>
        <v>#N/A</v>
      </c>
      <c r="Q128" s="11" t="str">
        <f>VLOOKUP($H128, 'ADP Data'!$B$4:$Q$300, 6, FALSE)</f>
        <v>#N/A</v>
      </c>
      <c r="R128" s="11" t="str">
        <f>VLOOKUP($H128, 'ADP Data'!$B$4:$Q$300, 7, FALSE)</f>
        <v>#N/A</v>
      </c>
      <c r="S128" s="11" t="str">
        <f>VLOOKUP($H128, 'ADP Data'!$B$4:$Q$300, 8, FALSE)</f>
        <v>#N/A</v>
      </c>
      <c r="T128" s="11" t="str">
        <f>VLOOKUP($H128, 'ADP Data'!$B$4:$Q$300, 9, FALSE)</f>
        <v>#N/A</v>
      </c>
      <c r="U128" s="11" t="str">
        <f>VLOOKUP($H128, 'ADP Data'!$B$4:$Q$300, 10, FALSE)</f>
        <v>#N/A</v>
      </c>
      <c r="V128" s="11" t="str">
        <f t="shared" si="5"/>
        <v>#N/A</v>
      </c>
      <c r="W128" s="11" t="str">
        <f>VLOOKUP($H128, SeanRanks!$A$2:$J$303, 7, FALSE)-V128</f>
        <v>#N/A</v>
      </c>
      <c r="X128" s="11"/>
    </row>
    <row r="129" ht="14.25" customHeight="1">
      <c r="A129" s="11"/>
      <c r="B129" s="11" t="str">
        <f t="shared" si="1"/>
        <v>#N/A</v>
      </c>
      <c r="C129" s="11" t="s">
        <v>106</v>
      </c>
      <c r="D129" s="11"/>
      <c r="E129" s="11"/>
      <c r="F129" s="11">
        <f t="shared" si="2"/>
        <v>0</v>
      </c>
      <c r="G129" s="11"/>
      <c r="H129" s="11" t="s">
        <v>967</v>
      </c>
      <c r="I129" s="11" t="str">
        <f>VLOOKUP($H129, 'ADP Data'!$B$4:$Q$300, 2, FALSE)</f>
        <v>#N/A</v>
      </c>
      <c r="J129" s="11" t="str">
        <f>VLOOKUP($H129, 'ADP Data'!$B$4:$Q$300, 3, FALSE)</f>
        <v>#N/A</v>
      </c>
      <c r="K129" s="11"/>
      <c r="L129" s="11"/>
      <c r="M129" s="11">
        <f t="shared" si="3"/>
        <v>16</v>
      </c>
      <c r="N129" s="11" t="str">
        <f>VLOOKUP($H129, 'ADP Data'!$B$4:$Q$300, 11, FALSE)</f>
        <v>#N/A</v>
      </c>
      <c r="O129" s="11" t="str">
        <f>VLOOKUP($H129, 'ADP Data'!$B$4:$Q$300, 5, FALSE)</f>
        <v>#N/A</v>
      </c>
      <c r="P129" s="11" t="str">
        <f t="shared" si="4"/>
        <v>#N/A</v>
      </c>
      <c r="Q129" s="11" t="str">
        <f>VLOOKUP($H129, 'ADP Data'!$B$4:$Q$300, 6, FALSE)</f>
        <v>#N/A</v>
      </c>
      <c r="R129" s="11" t="str">
        <f>VLOOKUP($H129, 'ADP Data'!$B$4:$Q$300, 7, FALSE)</f>
        <v>#N/A</v>
      </c>
      <c r="S129" s="11" t="str">
        <f>VLOOKUP($H129, 'ADP Data'!$B$4:$Q$300, 8, FALSE)</f>
        <v>#N/A</v>
      </c>
      <c r="T129" s="11" t="str">
        <f>VLOOKUP($H129, 'ADP Data'!$B$4:$Q$300, 9, FALSE)</f>
        <v>#N/A</v>
      </c>
      <c r="U129" s="11" t="str">
        <f>VLOOKUP($H129, 'ADP Data'!$B$4:$Q$300, 10, FALSE)</f>
        <v>#N/A</v>
      </c>
      <c r="V129" s="11" t="str">
        <f t="shared" si="5"/>
        <v>#N/A</v>
      </c>
      <c r="W129" s="11" t="str">
        <f>VLOOKUP($H129, SeanRanks!$A$2:$J$303, 7, FALSE)-V129</f>
        <v>#N/A</v>
      </c>
      <c r="X129" s="11"/>
    </row>
    <row r="130" ht="14.25" customHeight="1">
      <c r="A130" s="11"/>
      <c r="B130" s="11" t="str">
        <f t="shared" si="1"/>
        <v>#N/A</v>
      </c>
      <c r="C130" s="11" t="s">
        <v>106</v>
      </c>
      <c r="D130" s="11"/>
      <c r="E130" s="11"/>
      <c r="F130" s="11">
        <f t="shared" si="2"/>
        <v>0</v>
      </c>
      <c r="G130" s="11"/>
      <c r="H130" s="11" t="s">
        <v>1228</v>
      </c>
      <c r="I130" s="11" t="str">
        <f>VLOOKUP($H130, 'ADP Data'!$B$4:$Q$300, 2, FALSE)</f>
        <v>#N/A</v>
      </c>
      <c r="J130" s="11" t="str">
        <f>VLOOKUP($H130, 'ADP Data'!$B$4:$Q$300, 3, FALSE)</f>
        <v>#N/A</v>
      </c>
      <c r="K130" s="11"/>
      <c r="L130" s="11"/>
      <c r="M130" s="11">
        <f t="shared" si="3"/>
        <v>16</v>
      </c>
      <c r="N130" s="11" t="str">
        <f>VLOOKUP($H130, 'ADP Data'!$B$4:$Q$300, 11, FALSE)</f>
        <v>#N/A</v>
      </c>
      <c r="O130" s="11" t="str">
        <f>VLOOKUP($H130, 'ADP Data'!$B$4:$Q$300, 5, FALSE)</f>
        <v>#N/A</v>
      </c>
      <c r="P130" s="11" t="str">
        <f t="shared" si="4"/>
        <v>#N/A</v>
      </c>
      <c r="Q130" s="11" t="str">
        <f>VLOOKUP($H130, 'ADP Data'!$B$4:$Q$300, 6, FALSE)</f>
        <v>#N/A</v>
      </c>
      <c r="R130" s="11" t="str">
        <f>VLOOKUP($H130, 'ADP Data'!$B$4:$Q$300, 7, FALSE)</f>
        <v>#N/A</v>
      </c>
      <c r="S130" s="11" t="str">
        <f>VLOOKUP($H130, 'ADP Data'!$B$4:$Q$300, 8, FALSE)</f>
        <v>#N/A</v>
      </c>
      <c r="T130" s="11" t="str">
        <f>VLOOKUP($H130, 'ADP Data'!$B$4:$Q$300, 9, FALSE)</f>
        <v>#N/A</v>
      </c>
      <c r="U130" s="11" t="str">
        <f>VLOOKUP($H130, 'ADP Data'!$B$4:$Q$300, 10, FALSE)</f>
        <v>#N/A</v>
      </c>
      <c r="V130" s="11" t="str">
        <f t="shared" si="5"/>
        <v>#N/A</v>
      </c>
      <c r="W130" s="11" t="str">
        <f>VLOOKUP($H130, SeanRanks!$A$2:$J$303, 7, FALSE)-V130</f>
        <v>#N/A</v>
      </c>
      <c r="X130" s="11"/>
    </row>
    <row r="131" ht="14.25" customHeight="1">
      <c r="A131" s="11"/>
      <c r="B131" s="11" t="str">
        <f t="shared" si="1"/>
        <v>#N/A</v>
      </c>
      <c r="C131" s="11" t="s">
        <v>106</v>
      </c>
      <c r="D131" s="11"/>
      <c r="E131" s="11"/>
      <c r="F131" s="11">
        <f t="shared" si="2"/>
        <v>0</v>
      </c>
      <c r="G131" s="11"/>
      <c r="H131" s="11" t="s">
        <v>572</v>
      </c>
      <c r="I131" s="11" t="str">
        <f>VLOOKUP($H131, 'ADP Data'!$B$4:$Q$300, 2, FALSE)</f>
        <v>#N/A</v>
      </c>
      <c r="J131" s="11" t="str">
        <f>VLOOKUP($H131, 'ADP Data'!$B$4:$Q$300, 3, FALSE)</f>
        <v>#N/A</v>
      </c>
      <c r="K131" s="11"/>
      <c r="L131" s="11"/>
      <c r="M131" s="11">
        <f t="shared" si="3"/>
        <v>16</v>
      </c>
      <c r="N131" s="11" t="str">
        <f>VLOOKUP($H131, 'ADP Data'!$B$4:$Q$300, 11, FALSE)</f>
        <v>#N/A</v>
      </c>
      <c r="O131" s="11" t="str">
        <f>VLOOKUP($H131, 'ADP Data'!$B$4:$Q$300, 5, FALSE)</f>
        <v>#N/A</v>
      </c>
      <c r="P131" s="11" t="str">
        <f t="shared" si="4"/>
        <v>#N/A</v>
      </c>
      <c r="Q131" s="11" t="str">
        <f>VLOOKUP($H131, 'ADP Data'!$B$4:$Q$300, 6, FALSE)</f>
        <v>#N/A</v>
      </c>
      <c r="R131" s="11" t="str">
        <f>VLOOKUP($H131, 'ADP Data'!$B$4:$Q$300, 7, FALSE)</f>
        <v>#N/A</v>
      </c>
      <c r="S131" s="11" t="str">
        <f>VLOOKUP($H131, 'ADP Data'!$B$4:$Q$300, 8, FALSE)</f>
        <v>#N/A</v>
      </c>
      <c r="T131" s="11" t="str">
        <f>VLOOKUP($H131, 'ADP Data'!$B$4:$Q$300, 9, FALSE)</f>
        <v>#N/A</v>
      </c>
      <c r="U131" s="11" t="str">
        <f>VLOOKUP($H131, 'ADP Data'!$B$4:$Q$300, 10, FALSE)</f>
        <v>#N/A</v>
      </c>
      <c r="V131" s="11" t="str">
        <f t="shared" si="5"/>
        <v>#N/A</v>
      </c>
      <c r="W131" s="11" t="str">
        <f>VLOOKUP($H131, SeanRanks!$A$2:$J$303, 7, FALSE)-V131</f>
        <v>#N/A</v>
      </c>
      <c r="X131" s="11"/>
    </row>
    <row r="132" ht="14.25" customHeight="1">
      <c r="A132" s="11"/>
      <c r="B132" s="11" t="str">
        <f t="shared" si="1"/>
        <v>#N/A</v>
      </c>
      <c r="C132" s="11" t="s">
        <v>106</v>
      </c>
      <c r="D132" s="11"/>
      <c r="E132" s="11"/>
      <c r="F132" s="11">
        <f t="shared" si="2"/>
        <v>0</v>
      </c>
      <c r="G132" s="11"/>
      <c r="H132" s="11" t="s">
        <v>495</v>
      </c>
      <c r="I132" s="11" t="str">
        <f>VLOOKUP($H132, 'ADP Data'!$B$4:$Q$300, 2, FALSE)</f>
        <v>#N/A</v>
      </c>
      <c r="J132" s="11" t="str">
        <f>VLOOKUP($H132, 'ADP Data'!$B$4:$Q$300, 3, FALSE)</f>
        <v>#N/A</v>
      </c>
      <c r="K132" s="11"/>
      <c r="L132" s="11"/>
      <c r="M132" s="11">
        <f t="shared" si="3"/>
        <v>16</v>
      </c>
      <c r="N132" s="11" t="str">
        <f>VLOOKUP($H132, 'ADP Data'!$B$4:$Q$300, 11, FALSE)</f>
        <v>#N/A</v>
      </c>
      <c r="O132" s="11" t="str">
        <f>VLOOKUP($H132, 'ADP Data'!$B$4:$Q$300, 5, FALSE)</f>
        <v>#N/A</v>
      </c>
      <c r="P132" s="11" t="str">
        <f t="shared" si="4"/>
        <v>#N/A</v>
      </c>
      <c r="Q132" s="11" t="str">
        <f>VLOOKUP($H132, 'ADP Data'!$B$4:$Q$300, 6, FALSE)</f>
        <v>#N/A</v>
      </c>
      <c r="R132" s="11" t="str">
        <f>VLOOKUP($H132, 'ADP Data'!$B$4:$Q$300, 7, FALSE)</f>
        <v>#N/A</v>
      </c>
      <c r="S132" s="11" t="str">
        <f>VLOOKUP($H132, 'ADP Data'!$B$4:$Q$300, 8, FALSE)</f>
        <v>#N/A</v>
      </c>
      <c r="T132" s="11" t="str">
        <f>VLOOKUP($H132, 'ADP Data'!$B$4:$Q$300, 9, FALSE)</f>
        <v>#N/A</v>
      </c>
      <c r="U132" s="11" t="str">
        <f>VLOOKUP($H132, 'ADP Data'!$B$4:$Q$300, 10, FALSE)</f>
        <v>#N/A</v>
      </c>
      <c r="V132" s="11" t="str">
        <f t="shared" si="5"/>
        <v>#N/A</v>
      </c>
      <c r="W132" s="11" t="str">
        <f>VLOOKUP($H132, SeanRanks!$A$2:$J$303, 7, FALSE)-V132</f>
        <v>#N/A</v>
      </c>
      <c r="X132" s="11"/>
    </row>
    <row r="133" ht="14.25" customHeight="1">
      <c r="A133" s="11"/>
      <c r="B133" s="11" t="str">
        <f t="shared" si="1"/>
        <v>#N/A</v>
      </c>
      <c r="C133" s="11" t="s">
        <v>106</v>
      </c>
      <c r="D133" s="11"/>
      <c r="E133" s="11"/>
      <c r="F133" s="11">
        <f t="shared" si="2"/>
        <v>0</v>
      </c>
      <c r="G133" s="11"/>
      <c r="H133" s="11" t="s">
        <v>288</v>
      </c>
      <c r="I133" s="11" t="str">
        <f>VLOOKUP($H133, 'ADP Data'!$B$4:$Q$300, 2, FALSE)</f>
        <v>#N/A</v>
      </c>
      <c r="J133" s="11" t="str">
        <f>VLOOKUP($H133, 'ADP Data'!$B$4:$Q$300, 3, FALSE)</f>
        <v>#N/A</v>
      </c>
      <c r="K133" s="11"/>
      <c r="L133" s="11"/>
      <c r="M133" s="11">
        <f t="shared" si="3"/>
        <v>16</v>
      </c>
      <c r="N133" s="11" t="str">
        <f>VLOOKUP($H133, 'ADP Data'!$B$4:$Q$300, 11, FALSE)</f>
        <v>#N/A</v>
      </c>
      <c r="O133" s="11" t="str">
        <f>VLOOKUP($H133, 'ADP Data'!$B$4:$Q$300, 5, FALSE)</f>
        <v>#N/A</v>
      </c>
      <c r="P133" s="11" t="str">
        <f t="shared" si="4"/>
        <v>#N/A</v>
      </c>
      <c r="Q133" s="11" t="str">
        <f>VLOOKUP($H133, 'ADP Data'!$B$4:$Q$300, 6, FALSE)</f>
        <v>#N/A</v>
      </c>
      <c r="R133" s="11" t="str">
        <f>VLOOKUP($H133, 'ADP Data'!$B$4:$Q$300, 7, FALSE)</f>
        <v>#N/A</v>
      </c>
      <c r="S133" s="11" t="str">
        <f>VLOOKUP($H133, 'ADP Data'!$B$4:$Q$300, 8, FALSE)</f>
        <v>#N/A</v>
      </c>
      <c r="T133" s="11" t="str">
        <f>VLOOKUP($H133, 'ADP Data'!$B$4:$Q$300, 9, FALSE)</f>
        <v>#N/A</v>
      </c>
      <c r="U133" s="11" t="str">
        <f>VLOOKUP($H133, 'ADP Data'!$B$4:$Q$300, 10, FALSE)</f>
        <v>#N/A</v>
      </c>
      <c r="V133" s="11" t="str">
        <f t="shared" si="5"/>
        <v>#N/A</v>
      </c>
      <c r="W133" s="11" t="str">
        <f>VLOOKUP($H133, SeanRanks!$A$2:$J$303, 7, FALSE)-V133</f>
        <v>#N/A</v>
      </c>
      <c r="X133" s="11"/>
    </row>
    <row r="134" ht="14.25" customHeight="1">
      <c r="A134" s="11"/>
      <c r="B134" s="11" t="str">
        <f t="shared" si="1"/>
        <v>#N/A</v>
      </c>
      <c r="C134" s="11" t="s">
        <v>106</v>
      </c>
      <c r="D134" s="11"/>
      <c r="E134" s="11"/>
      <c r="F134" s="11">
        <f t="shared" si="2"/>
        <v>0</v>
      </c>
      <c r="G134" s="11"/>
      <c r="H134" s="11" t="s">
        <v>668</v>
      </c>
      <c r="I134" s="11" t="str">
        <f>VLOOKUP($H134, 'ADP Data'!$B$4:$Q$300, 2, FALSE)</f>
        <v>#N/A</v>
      </c>
      <c r="J134" s="11" t="str">
        <f>VLOOKUP($H134, 'ADP Data'!$B$4:$Q$300, 3, FALSE)</f>
        <v>#N/A</v>
      </c>
      <c r="K134" s="11"/>
      <c r="L134" s="11"/>
      <c r="M134" s="11">
        <f t="shared" si="3"/>
        <v>16</v>
      </c>
      <c r="N134" s="11" t="str">
        <f>VLOOKUP($H134, 'ADP Data'!$B$4:$Q$300, 11, FALSE)</f>
        <v>#N/A</v>
      </c>
      <c r="O134" s="11" t="str">
        <f>VLOOKUP($H134, 'ADP Data'!$B$4:$Q$300, 5, FALSE)</f>
        <v>#N/A</v>
      </c>
      <c r="P134" s="11" t="str">
        <f t="shared" si="4"/>
        <v>#N/A</v>
      </c>
      <c r="Q134" s="11" t="str">
        <f>VLOOKUP($H134, 'ADP Data'!$B$4:$Q$300, 6, FALSE)</f>
        <v>#N/A</v>
      </c>
      <c r="R134" s="11" t="str">
        <f>VLOOKUP($H134, 'ADP Data'!$B$4:$Q$300, 7, FALSE)</f>
        <v>#N/A</v>
      </c>
      <c r="S134" s="11" t="str">
        <f>VLOOKUP($H134, 'ADP Data'!$B$4:$Q$300, 8, FALSE)</f>
        <v>#N/A</v>
      </c>
      <c r="T134" s="11" t="str">
        <f>VLOOKUP($H134, 'ADP Data'!$B$4:$Q$300, 9, FALSE)</f>
        <v>#N/A</v>
      </c>
      <c r="U134" s="11" t="str">
        <f>VLOOKUP($H134, 'ADP Data'!$B$4:$Q$300, 10, FALSE)</f>
        <v>#N/A</v>
      </c>
      <c r="V134" s="11" t="str">
        <f t="shared" si="5"/>
        <v>#N/A</v>
      </c>
      <c r="W134" s="11" t="str">
        <f>VLOOKUP($H134, SeanRanks!$A$2:$J$303, 7, FALSE)-V134</f>
        <v>#N/A</v>
      </c>
      <c r="X134" s="11"/>
    </row>
    <row r="135" ht="14.25" customHeight="1">
      <c r="A135" s="11"/>
      <c r="B135" s="11" t="str">
        <f t="shared" si="1"/>
        <v>#N/A</v>
      </c>
      <c r="C135" s="11" t="s">
        <v>106</v>
      </c>
      <c r="D135" s="11"/>
      <c r="E135" s="11"/>
      <c r="F135" s="11">
        <f t="shared" si="2"/>
        <v>0</v>
      </c>
      <c r="G135" s="11"/>
      <c r="H135" s="11" t="s">
        <v>922</v>
      </c>
      <c r="I135" s="11" t="str">
        <f>VLOOKUP($H135, 'ADP Data'!$B$4:$Q$300, 2, FALSE)</f>
        <v>#N/A</v>
      </c>
      <c r="J135" s="11" t="str">
        <f>VLOOKUP($H135, 'ADP Data'!$B$4:$Q$300, 3, FALSE)</f>
        <v>#N/A</v>
      </c>
      <c r="K135" s="11"/>
      <c r="L135" s="11"/>
      <c r="M135" s="11">
        <f t="shared" si="3"/>
        <v>16</v>
      </c>
      <c r="N135" s="11" t="str">
        <f>VLOOKUP($H135, 'ADP Data'!$B$4:$Q$300, 11, FALSE)</f>
        <v>#N/A</v>
      </c>
      <c r="O135" s="11" t="str">
        <f>VLOOKUP($H135, 'ADP Data'!$B$4:$Q$300, 5, FALSE)</f>
        <v>#N/A</v>
      </c>
      <c r="P135" s="11" t="str">
        <f t="shared" si="4"/>
        <v>#N/A</v>
      </c>
      <c r="Q135" s="11" t="str">
        <f>VLOOKUP($H135, 'ADP Data'!$B$4:$Q$300, 6, FALSE)</f>
        <v>#N/A</v>
      </c>
      <c r="R135" s="11" t="str">
        <f>VLOOKUP($H135, 'ADP Data'!$B$4:$Q$300, 7, FALSE)</f>
        <v>#N/A</v>
      </c>
      <c r="S135" s="11" t="str">
        <f>VLOOKUP($H135, 'ADP Data'!$B$4:$Q$300, 8, FALSE)</f>
        <v>#N/A</v>
      </c>
      <c r="T135" s="11" t="str">
        <f>VLOOKUP($H135, 'ADP Data'!$B$4:$Q$300, 9, FALSE)</f>
        <v>#N/A</v>
      </c>
      <c r="U135" s="11" t="str">
        <f>VLOOKUP($H135, 'ADP Data'!$B$4:$Q$300, 10, FALSE)</f>
        <v>#N/A</v>
      </c>
      <c r="V135" s="11" t="str">
        <f t="shared" si="5"/>
        <v>#N/A</v>
      </c>
      <c r="W135" s="11" t="str">
        <f>VLOOKUP($H135, SeanRanks!$A$2:$J$303, 7, FALSE)-V135</f>
        <v>#N/A</v>
      </c>
      <c r="X135" s="11"/>
    </row>
    <row r="136" ht="14.25" customHeight="1">
      <c r="A136" s="11"/>
      <c r="B136" s="11" t="str">
        <f t="shared" si="1"/>
        <v>#N/A</v>
      </c>
      <c r="C136" s="11" t="s">
        <v>106</v>
      </c>
      <c r="D136" s="11"/>
      <c r="E136" s="11"/>
      <c r="F136" s="11">
        <f t="shared" si="2"/>
        <v>0</v>
      </c>
      <c r="G136" s="11"/>
      <c r="H136" s="11" t="s">
        <v>904</v>
      </c>
      <c r="I136" s="11" t="str">
        <f>VLOOKUP($H136, 'ADP Data'!$B$4:$Q$300, 2, FALSE)</f>
        <v>#N/A</v>
      </c>
      <c r="J136" s="11" t="str">
        <f>VLOOKUP($H136, 'ADP Data'!$B$4:$Q$300, 3, FALSE)</f>
        <v>#N/A</v>
      </c>
      <c r="K136" s="11"/>
      <c r="L136" s="11"/>
      <c r="M136" s="11">
        <f t="shared" si="3"/>
        <v>16</v>
      </c>
      <c r="N136" s="11" t="str">
        <f>VLOOKUP($H136, 'ADP Data'!$B$4:$Q$300, 11, FALSE)</f>
        <v>#N/A</v>
      </c>
      <c r="O136" s="11" t="str">
        <f>VLOOKUP($H136, 'ADP Data'!$B$4:$Q$300, 5, FALSE)</f>
        <v>#N/A</v>
      </c>
      <c r="P136" s="11" t="str">
        <f t="shared" si="4"/>
        <v>#N/A</v>
      </c>
      <c r="Q136" s="11" t="str">
        <f>VLOOKUP($H136, 'ADP Data'!$B$4:$Q$300, 6, FALSE)</f>
        <v>#N/A</v>
      </c>
      <c r="R136" s="11" t="str">
        <f>VLOOKUP($H136, 'ADP Data'!$B$4:$Q$300, 7, FALSE)</f>
        <v>#N/A</v>
      </c>
      <c r="S136" s="11" t="str">
        <f>VLOOKUP($H136, 'ADP Data'!$B$4:$Q$300, 8, FALSE)</f>
        <v>#N/A</v>
      </c>
      <c r="T136" s="11" t="str">
        <f>VLOOKUP($H136, 'ADP Data'!$B$4:$Q$300, 9, FALSE)</f>
        <v>#N/A</v>
      </c>
      <c r="U136" s="11" t="str">
        <f>VLOOKUP($H136, 'ADP Data'!$B$4:$Q$300, 10, FALSE)</f>
        <v>#N/A</v>
      </c>
      <c r="V136" s="11" t="str">
        <f t="shared" si="5"/>
        <v>#N/A</v>
      </c>
      <c r="W136" s="11" t="str">
        <f>VLOOKUP($H136, SeanRanks!$A$2:$J$303, 7, FALSE)-V136</f>
        <v>#N/A</v>
      </c>
      <c r="X136" s="11"/>
    </row>
    <row r="137" ht="14.25" customHeight="1">
      <c r="A137" s="11"/>
      <c r="B137" s="11" t="str">
        <f t="shared" si="1"/>
        <v>#N/A</v>
      </c>
      <c r="C137" s="11" t="s">
        <v>106</v>
      </c>
      <c r="D137" s="11"/>
      <c r="E137" s="11"/>
      <c r="F137" s="11">
        <f t="shared" si="2"/>
        <v>0</v>
      </c>
      <c r="G137" s="11"/>
      <c r="H137" s="11" t="s">
        <v>515</v>
      </c>
      <c r="I137" s="11" t="str">
        <f>VLOOKUP($H137, 'ADP Data'!$B$4:$Q$300, 2, FALSE)</f>
        <v>#N/A</v>
      </c>
      <c r="J137" s="11" t="str">
        <f>VLOOKUP($H137, 'ADP Data'!$B$4:$Q$300, 3, FALSE)</f>
        <v>#N/A</v>
      </c>
      <c r="K137" s="11"/>
      <c r="L137" s="11"/>
      <c r="M137" s="11">
        <f t="shared" si="3"/>
        <v>16</v>
      </c>
      <c r="N137" s="11" t="str">
        <f>VLOOKUP($H137, 'ADP Data'!$B$4:$Q$300, 11, FALSE)</f>
        <v>#N/A</v>
      </c>
      <c r="O137" s="11" t="str">
        <f>VLOOKUP($H137, 'ADP Data'!$B$4:$Q$300, 5, FALSE)</f>
        <v>#N/A</v>
      </c>
      <c r="P137" s="11" t="str">
        <f t="shared" si="4"/>
        <v>#N/A</v>
      </c>
      <c r="Q137" s="11" t="str">
        <f>VLOOKUP($H137, 'ADP Data'!$B$4:$Q$300, 6, FALSE)</f>
        <v>#N/A</v>
      </c>
      <c r="R137" s="11" t="str">
        <f>VLOOKUP($H137, 'ADP Data'!$B$4:$Q$300, 7, FALSE)</f>
        <v>#N/A</v>
      </c>
      <c r="S137" s="11" t="str">
        <f>VLOOKUP($H137, 'ADP Data'!$B$4:$Q$300, 8, FALSE)</f>
        <v>#N/A</v>
      </c>
      <c r="T137" s="11" t="str">
        <f>VLOOKUP($H137, 'ADP Data'!$B$4:$Q$300, 9, FALSE)</f>
        <v>#N/A</v>
      </c>
      <c r="U137" s="11" t="str">
        <f>VLOOKUP($H137, 'ADP Data'!$B$4:$Q$300, 10, FALSE)</f>
        <v>#N/A</v>
      </c>
      <c r="V137" s="11" t="str">
        <f t="shared" si="5"/>
        <v>#N/A</v>
      </c>
      <c r="W137" s="11" t="str">
        <f>VLOOKUP($H137, SeanRanks!$A$2:$J$303, 7, FALSE)-V137</f>
        <v>#N/A</v>
      </c>
      <c r="X137" s="11"/>
    </row>
    <row r="138" ht="14.25" customHeight="1">
      <c r="A138" s="11"/>
      <c r="B138" s="11" t="str">
        <f t="shared" si="1"/>
        <v>#N/A</v>
      </c>
      <c r="C138" s="11" t="s">
        <v>106</v>
      </c>
      <c r="D138" s="11"/>
      <c r="E138" s="11"/>
      <c r="F138" s="11">
        <f t="shared" si="2"/>
        <v>0</v>
      </c>
      <c r="G138" s="11"/>
      <c r="H138" s="11" t="s">
        <v>905</v>
      </c>
      <c r="I138" s="11" t="str">
        <f>VLOOKUP($H138, 'ADP Data'!$B$4:$Q$300, 2, FALSE)</f>
        <v>#N/A</v>
      </c>
      <c r="J138" s="11" t="str">
        <f>VLOOKUP($H138, 'ADP Data'!$B$4:$Q$300, 3, FALSE)</f>
        <v>#N/A</v>
      </c>
      <c r="K138" s="11"/>
      <c r="L138" s="11"/>
      <c r="M138" s="11">
        <f t="shared" si="3"/>
        <v>16</v>
      </c>
      <c r="N138" s="11" t="str">
        <f>VLOOKUP($H138, 'ADP Data'!$B$4:$Q$300, 11, FALSE)</f>
        <v>#N/A</v>
      </c>
      <c r="O138" s="11" t="str">
        <f>VLOOKUP($H138, 'ADP Data'!$B$4:$Q$300, 5, FALSE)</f>
        <v>#N/A</v>
      </c>
      <c r="P138" s="11" t="str">
        <f t="shared" si="4"/>
        <v>#N/A</v>
      </c>
      <c r="Q138" s="11" t="str">
        <f>VLOOKUP($H138, 'ADP Data'!$B$4:$Q$300, 6, FALSE)</f>
        <v>#N/A</v>
      </c>
      <c r="R138" s="11" t="str">
        <f>VLOOKUP($H138, 'ADP Data'!$B$4:$Q$300, 7, FALSE)</f>
        <v>#N/A</v>
      </c>
      <c r="S138" s="11" t="str">
        <f>VLOOKUP($H138, 'ADP Data'!$B$4:$Q$300, 8, FALSE)</f>
        <v>#N/A</v>
      </c>
      <c r="T138" s="11" t="str">
        <f>VLOOKUP($H138, 'ADP Data'!$B$4:$Q$300, 9, FALSE)</f>
        <v>#N/A</v>
      </c>
      <c r="U138" s="11" t="str">
        <f>VLOOKUP($H138, 'ADP Data'!$B$4:$Q$300, 10, FALSE)</f>
        <v>#N/A</v>
      </c>
      <c r="V138" s="11" t="str">
        <f t="shared" si="5"/>
        <v>#N/A</v>
      </c>
      <c r="W138" s="11" t="str">
        <f>VLOOKUP($H138, SeanRanks!$A$2:$J$303, 7, FALSE)-V138</f>
        <v>#N/A</v>
      </c>
      <c r="X138" s="11"/>
    </row>
    <row r="139" ht="14.25" customHeight="1">
      <c r="A139" s="11"/>
      <c r="B139" s="11" t="str">
        <f t="shared" si="1"/>
        <v>#N/A</v>
      </c>
      <c r="C139" s="11" t="s">
        <v>106</v>
      </c>
      <c r="D139" s="11"/>
      <c r="E139" s="11"/>
      <c r="F139" s="11">
        <f t="shared" si="2"/>
        <v>0</v>
      </c>
      <c r="G139" s="11"/>
      <c r="H139" s="11" t="s">
        <v>1230</v>
      </c>
      <c r="I139" s="11" t="str">
        <f>VLOOKUP($H139, 'ADP Data'!$B$4:$Q$300, 2, FALSE)</f>
        <v>#N/A</v>
      </c>
      <c r="J139" s="11" t="str">
        <f>VLOOKUP($H139, 'ADP Data'!$B$4:$Q$300, 3, FALSE)</f>
        <v>#N/A</v>
      </c>
      <c r="K139" s="11"/>
      <c r="L139" s="11"/>
      <c r="M139" s="11">
        <f t="shared" si="3"/>
        <v>16</v>
      </c>
      <c r="N139" s="11" t="str">
        <f>VLOOKUP($H139, 'ADP Data'!$B$4:$Q$300, 11, FALSE)</f>
        <v>#N/A</v>
      </c>
      <c r="O139" s="11" t="str">
        <f>VLOOKUP($H139, 'ADP Data'!$B$4:$Q$300, 5, FALSE)</f>
        <v>#N/A</v>
      </c>
      <c r="P139" s="11" t="str">
        <f t="shared" si="4"/>
        <v>#N/A</v>
      </c>
      <c r="Q139" s="11" t="str">
        <f>VLOOKUP($H139, 'ADP Data'!$B$4:$Q$300, 6, FALSE)</f>
        <v>#N/A</v>
      </c>
      <c r="R139" s="11" t="str">
        <f>VLOOKUP($H139, 'ADP Data'!$B$4:$Q$300, 7, FALSE)</f>
        <v>#N/A</v>
      </c>
      <c r="S139" s="11" t="str">
        <f>VLOOKUP($H139, 'ADP Data'!$B$4:$Q$300, 8, FALSE)</f>
        <v>#N/A</v>
      </c>
      <c r="T139" s="11" t="str">
        <f>VLOOKUP($H139, 'ADP Data'!$B$4:$Q$300, 9, FALSE)</f>
        <v>#N/A</v>
      </c>
      <c r="U139" s="11" t="str">
        <f>VLOOKUP($H139, 'ADP Data'!$B$4:$Q$300, 10, FALSE)</f>
        <v>#N/A</v>
      </c>
      <c r="V139" s="11" t="str">
        <f t="shared" si="5"/>
        <v>#N/A</v>
      </c>
      <c r="W139" s="11" t="str">
        <f>VLOOKUP($H139, SeanRanks!$A$2:$J$303, 7, FALSE)-V139</f>
        <v>#N/A</v>
      </c>
      <c r="X139" s="11"/>
    </row>
    <row r="140" ht="14.25" customHeight="1">
      <c r="A140" s="11"/>
      <c r="B140" s="11" t="str">
        <f t="shared" si="1"/>
        <v>#N/A</v>
      </c>
      <c r="C140" s="11" t="s">
        <v>106</v>
      </c>
      <c r="D140" s="11"/>
      <c r="E140" s="11"/>
      <c r="F140" s="11">
        <f t="shared" si="2"/>
        <v>0</v>
      </c>
      <c r="G140" s="11" t="s">
        <v>95</v>
      </c>
      <c r="H140" s="11" t="s">
        <v>1231</v>
      </c>
      <c r="I140" s="11" t="str">
        <f>VLOOKUP($H140, 'ADP Data'!$B$4:$Q$300, 2, FALSE)</f>
        <v>#N/A</v>
      </c>
      <c r="J140" s="11" t="str">
        <f>VLOOKUP($H140, 'ADP Data'!$B$4:$Q$300, 3, FALSE)</f>
        <v>#N/A</v>
      </c>
      <c r="K140" s="11"/>
      <c r="L140" s="11"/>
      <c r="M140" s="11">
        <f t="shared" si="3"/>
        <v>16</v>
      </c>
      <c r="N140" s="11" t="str">
        <f>VLOOKUP($H140, 'ADP Data'!$B$4:$Q$300, 11, FALSE)</f>
        <v>#N/A</v>
      </c>
      <c r="O140" s="11" t="str">
        <f>VLOOKUP($H140, 'ADP Data'!$B$4:$Q$300, 5, FALSE)</f>
        <v>#N/A</v>
      </c>
      <c r="P140" s="11" t="str">
        <f t="shared" si="4"/>
        <v>#N/A</v>
      </c>
      <c r="Q140" s="11" t="str">
        <f>VLOOKUP($H140, 'ADP Data'!$B$4:$Q$300, 6, FALSE)</f>
        <v>#N/A</v>
      </c>
      <c r="R140" s="11" t="str">
        <f>VLOOKUP($H140, 'ADP Data'!$B$4:$Q$300, 7, FALSE)</f>
        <v>#N/A</v>
      </c>
      <c r="S140" s="11" t="str">
        <f>VLOOKUP($H140, 'ADP Data'!$B$4:$Q$300, 8, FALSE)</f>
        <v>#N/A</v>
      </c>
      <c r="T140" s="11" t="str">
        <f>VLOOKUP($H140, 'ADP Data'!$B$4:$Q$300, 9, FALSE)</f>
        <v>#N/A</v>
      </c>
      <c r="U140" s="11" t="str">
        <f>VLOOKUP($H140, 'ADP Data'!$B$4:$Q$300, 10, FALSE)</f>
        <v>#N/A</v>
      </c>
      <c r="V140" s="11" t="str">
        <f t="shared" si="5"/>
        <v>#N/A</v>
      </c>
      <c r="W140" s="11" t="str">
        <f>VLOOKUP($H140, SeanRanks!$A$2:$J$303, 7, FALSE)-V140</f>
        <v>#N/A</v>
      </c>
      <c r="X140" s="11"/>
    </row>
    <row r="141" ht="14.25" customHeight="1">
      <c r="A141" s="11"/>
      <c r="B141" s="11" t="str">
        <f t="shared" si="1"/>
        <v>#N/A</v>
      </c>
      <c r="C141" s="11" t="s">
        <v>106</v>
      </c>
      <c r="D141" s="11"/>
      <c r="E141" s="11"/>
      <c r="F141" s="11">
        <f t="shared" si="2"/>
        <v>0</v>
      </c>
      <c r="G141" s="11"/>
      <c r="H141" s="11" t="s">
        <v>1232</v>
      </c>
      <c r="I141" s="11" t="str">
        <f>VLOOKUP($H141, 'ADP Data'!$B$4:$Q$300, 2, FALSE)</f>
        <v>#N/A</v>
      </c>
      <c r="J141" s="11" t="str">
        <f>VLOOKUP($H141, 'ADP Data'!$B$4:$Q$300, 3, FALSE)</f>
        <v>#N/A</v>
      </c>
      <c r="K141" s="11"/>
      <c r="L141" s="11"/>
      <c r="M141" s="11">
        <f t="shared" si="3"/>
        <v>16</v>
      </c>
      <c r="N141" s="11" t="str">
        <f>VLOOKUP($H141, 'ADP Data'!$B$4:$Q$300, 11, FALSE)</f>
        <v>#N/A</v>
      </c>
      <c r="O141" s="11" t="str">
        <f>VLOOKUP($H141, 'ADP Data'!$B$4:$Q$300, 5, FALSE)</f>
        <v>#N/A</v>
      </c>
      <c r="P141" s="11" t="str">
        <f t="shared" si="4"/>
        <v>#N/A</v>
      </c>
      <c r="Q141" s="11" t="str">
        <f>VLOOKUP($H141, 'ADP Data'!$B$4:$Q$300, 6, FALSE)</f>
        <v>#N/A</v>
      </c>
      <c r="R141" s="11" t="str">
        <f>VLOOKUP($H141, 'ADP Data'!$B$4:$Q$300, 7, FALSE)</f>
        <v>#N/A</v>
      </c>
      <c r="S141" s="11" t="str">
        <f>VLOOKUP($H141, 'ADP Data'!$B$4:$Q$300, 8, FALSE)</f>
        <v>#N/A</v>
      </c>
      <c r="T141" s="11" t="str">
        <f>VLOOKUP($H141, 'ADP Data'!$B$4:$Q$300, 9, FALSE)</f>
        <v>#N/A</v>
      </c>
      <c r="U141" s="11" t="str">
        <f>VLOOKUP($H141, 'ADP Data'!$B$4:$Q$300, 10, FALSE)</f>
        <v>#N/A</v>
      </c>
      <c r="V141" s="11" t="str">
        <f t="shared" si="5"/>
        <v>#N/A</v>
      </c>
      <c r="W141" s="11" t="str">
        <f>VLOOKUP($H141, SeanRanks!$A$2:$J$303, 7, FALSE)-V141</f>
        <v>#N/A</v>
      </c>
      <c r="X141" s="11"/>
    </row>
    <row r="142" ht="14.25" customHeight="1">
      <c r="A142" s="11"/>
      <c r="B142" s="11" t="str">
        <f t="shared" si="1"/>
        <v>#N/A</v>
      </c>
      <c r="C142" s="11" t="s">
        <v>106</v>
      </c>
      <c r="D142" s="11"/>
      <c r="E142" s="11"/>
      <c r="F142" s="11">
        <f t="shared" si="2"/>
        <v>0</v>
      </c>
      <c r="G142" s="11"/>
      <c r="H142" s="11" t="s">
        <v>1233</v>
      </c>
      <c r="I142" s="11" t="str">
        <f>VLOOKUP($H142, 'ADP Data'!$B$4:$Q$300, 2, FALSE)</f>
        <v>#N/A</v>
      </c>
      <c r="J142" s="11" t="str">
        <f>VLOOKUP($H142, 'ADP Data'!$B$4:$Q$300, 3, FALSE)</f>
        <v>#N/A</v>
      </c>
      <c r="K142" s="11"/>
      <c r="L142" s="11"/>
      <c r="M142" s="11">
        <f t="shared" si="3"/>
        <v>16</v>
      </c>
      <c r="N142" s="11" t="str">
        <f>VLOOKUP($H142, 'ADP Data'!$B$4:$Q$300, 11, FALSE)</f>
        <v>#N/A</v>
      </c>
      <c r="O142" s="11" t="str">
        <f>VLOOKUP($H142, 'ADP Data'!$B$4:$Q$300, 5, FALSE)</f>
        <v>#N/A</v>
      </c>
      <c r="P142" s="11" t="str">
        <f t="shared" si="4"/>
        <v>#N/A</v>
      </c>
      <c r="Q142" s="11" t="str">
        <f>VLOOKUP($H142, 'ADP Data'!$B$4:$Q$300, 6, FALSE)</f>
        <v>#N/A</v>
      </c>
      <c r="R142" s="11" t="str">
        <f>VLOOKUP($H142, 'ADP Data'!$B$4:$Q$300, 7, FALSE)</f>
        <v>#N/A</v>
      </c>
      <c r="S142" s="11" t="str">
        <f>VLOOKUP($H142, 'ADP Data'!$B$4:$Q$300, 8, FALSE)</f>
        <v>#N/A</v>
      </c>
      <c r="T142" s="11" t="str">
        <f>VLOOKUP($H142, 'ADP Data'!$B$4:$Q$300, 9, FALSE)</f>
        <v>#N/A</v>
      </c>
      <c r="U142" s="11" t="str">
        <f>VLOOKUP($H142, 'ADP Data'!$B$4:$Q$300, 10, FALSE)</f>
        <v>#N/A</v>
      </c>
      <c r="V142" s="11" t="str">
        <f t="shared" si="5"/>
        <v>#N/A</v>
      </c>
      <c r="W142" s="11" t="str">
        <f>VLOOKUP($H142, SeanRanks!$A$2:$J$303, 7, FALSE)-V142</f>
        <v>#N/A</v>
      </c>
      <c r="X142" s="11"/>
    </row>
    <row r="143" ht="14.25" customHeight="1">
      <c r="A143" s="11"/>
      <c r="B143" s="11" t="str">
        <f t="shared" si="1"/>
        <v>#N/A</v>
      </c>
      <c r="C143" s="11" t="s">
        <v>106</v>
      </c>
      <c r="D143" s="11"/>
      <c r="E143" s="11"/>
      <c r="F143" s="11">
        <f t="shared" si="2"/>
        <v>0</v>
      </c>
      <c r="G143" s="11"/>
      <c r="H143" s="11" t="s">
        <v>1234</v>
      </c>
      <c r="I143" s="11" t="str">
        <f>VLOOKUP($H143, 'ADP Data'!$B$4:$Q$300, 2, FALSE)</f>
        <v>#N/A</v>
      </c>
      <c r="J143" s="11" t="str">
        <f>VLOOKUP($H143, 'ADP Data'!$B$4:$Q$300, 3, FALSE)</f>
        <v>#N/A</v>
      </c>
      <c r="K143" s="11"/>
      <c r="L143" s="11"/>
      <c r="M143" s="11">
        <f t="shared" si="3"/>
        <v>16</v>
      </c>
      <c r="N143" s="11" t="str">
        <f>VLOOKUP($H143, 'ADP Data'!$B$4:$Q$300, 11, FALSE)</f>
        <v>#N/A</v>
      </c>
      <c r="O143" s="11" t="str">
        <f>VLOOKUP($H143, 'ADP Data'!$B$4:$Q$300, 5, FALSE)</f>
        <v>#N/A</v>
      </c>
      <c r="P143" s="11" t="str">
        <f t="shared" si="4"/>
        <v>#N/A</v>
      </c>
      <c r="Q143" s="11" t="str">
        <f>VLOOKUP($H143, 'ADP Data'!$B$4:$Q$300, 6, FALSE)</f>
        <v>#N/A</v>
      </c>
      <c r="R143" s="11" t="str">
        <f>VLOOKUP($H143, 'ADP Data'!$B$4:$Q$300, 7, FALSE)</f>
        <v>#N/A</v>
      </c>
      <c r="S143" s="11" t="str">
        <f>VLOOKUP($H143, 'ADP Data'!$B$4:$Q$300, 8, FALSE)</f>
        <v>#N/A</v>
      </c>
      <c r="T143" s="11" t="str">
        <f>VLOOKUP($H143, 'ADP Data'!$B$4:$Q$300, 9, FALSE)</f>
        <v>#N/A</v>
      </c>
      <c r="U143" s="11" t="str">
        <f>VLOOKUP($H143, 'ADP Data'!$B$4:$Q$300, 10, FALSE)</f>
        <v>#N/A</v>
      </c>
      <c r="V143" s="11" t="str">
        <f t="shared" si="5"/>
        <v>#N/A</v>
      </c>
      <c r="W143" s="11" t="str">
        <f>VLOOKUP($H143, SeanRanks!$A$2:$J$303, 7, FALSE)-V143</f>
        <v>#N/A</v>
      </c>
      <c r="X143" s="11"/>
    </row>
    <row r="144" ht="14.25" customHeight="1">
      <c r="A144" s="11"/>
      <c r="B144" s="11" t="str">
        <f t="shared" si="1"/>
        <v>#N/A</v>
      </c>
      <c r="C144" s="11" t="s">
        <v>106</v>
      </c>
      <c r="D144" s="11"/>
      <c r="E144" s="11"/>
      <c r="F144" s="11">
        <f t="shared" si="2"/>
        <v>0</v>
      </c>
      <c r="G144" s="11"/>
      <c r="H144" s="11" t="s">
        <v>1235</v>
      </c>
      <c r="I144" s="11" t="str">
        <f>VLOOKUP($H144, 'ADP Data'!$B$4:$Q$300, 2, FALSE)</f>
        <v>#N/A</v>
      </c>
      <c r="J144" s="11" t="str">
        <f>VLOOKUP($H144, 'ADP Data'!$B$4:$Q$300, 3, FALSE)</f>
        <v>#N/A</v>
      </c>
      <c r="K144" s="11" t="str">
        <f>VLOOKUP($H144, SeanRanks!$A$2:$H$303, 4, FALSE)</f>
        <v>#N/A</v>
      </c>
      <c r="L144" s="11"/>
      <c r="M144" s="11">
        <f t="shared" si="3"/>
        <v>16</v>
      </c>
      <c r="N144" s="11" t="str">
        <f>VLOOKUP($H144, 'ADP Data'!$B$4:$Q$300, 11, FALSE)</f>
        <v>#N/A</v>
      </c>
      <c r="O144" s="11" t="str">
        <f>VLOOKUP($H144, 'ADP Data'!$B$4:$Q$300, 5, FALSE)</f>
        <v>#N/A</v>
      </c>
      <c r="P144" s="11" t="str">
        <f t="shared" si="4"/>
        <v>#N/A</v>
      </c>
      <c r="Q144" s="11" t="str">
        <f>VLOOKUP($H144, 'ADP Data'!$B$4:$Q$300, 6, FALSE)</f>
        <v>#N/A</v>
      </c>
      <c r="R144" s="11" t="str">
        <f>VLOOKUP($H144, 'ADP Data'!$B$4:$Q$300, 7, FALSE)</f>
        <v>#N/A</v>
      </c>
      <c r="S144" s="11" t="str">
        <f>VLOOKUP($H144, 'ADP Data'!$B$4:$Q$300, 8, FALSE)</f>
        <v>#N/A</v>
      </c>
      <c r="T144" s="11" t="str">
        <f>VLOOKUP($H144, 'ADP Data'!$B$4:$Q$300, 9, FALSE)</f>
        <v>#N/A</v>
      </c>
      <c r="U144" s="11" t="str">
        <f>VLOOKUP($H144, 'ADP Data'!$B$4:$Q$300, 10, FALSE)</f>
        <v>#N/A</v>
      </c>
      <c r="V144" s="11" t="str">
        <f t="shared" si="5"/>
        <v>#N/A</v>
      </c>
      <c r="W144" s="11" t="str">
        <f>VLOOKUP($H144, SeanRanks!$A$2:$J$303, 7, FALSE)-V144</f>
        <v>#N/A</v>
      </c>
      <c r="X144" s="11"/>
    </row>
    <row r="145" ht="14.25" customHeight="1">
      <c r="A145" s="11"/>
      <c r="B145" s="11" t="str">
        <f t="shared" si="1"/>
        <v>#N/A</v>
      </c>
      <c r="C145" s="11" t="s">
        <v>106</v>
      </c>
      <c r="D145" s="11"/>
      <c r="E145" s="11"/>
      <c r="F145" s="11">
        <f t="shared" si="2"/>
        <v>0</v>
      </c>
      <c r="G145" s="11"/>
      <c r="H145" s="11" t="s">
        <v>875</v>
      </c>
      <c r="I145" s="11" t="str">
        <f>VLOOKUP($H145, 'ADP Data'!$B$4:$Q$300, 2, FALSE)</f>
        <v>#N/A</v>
      </c>
      <c r="J145" s="11" t="str">
        <f>VLOOKUP($H145, 'ADP Data'!$B$4:$Q$300, 3, FALSE)</f>
        <v>#N/A</v>
      </c>
      <c r="K145" s="11"/>
      <c r="L145" s="11"/>
      <c r="M145" s="11">
        <f t="shared" si="3"/>
        <v>16</v>
      </c>
      <c r="N145" s="11" t="str">
        <f>VLOOKUP($H145, 'ADP Data'!$B$4:$Q$300, 11, FALSE)</f>
        <v>#N/A</v>
      </c>
      <c r="O145" s="11" t="str">
        <f>VLOOKUP($H145, 'ADP Data'!$B$4:$Q$300, 5, FALSE)</f>
        <v>#N/A</v>
      </c>
      <c r="P145" s="11" t="str">
        <f t="shared" si="4"/>
        <v>#N/A</v>
      </c>
      <c r="Q145" s="11" t="str">
        <f>VLOOKUP($H145, 'ADP Data'!$B$4:$Q$300, 6, FALSE)</f>
        <v>#N/A</v>
      </c>
      <c r="R145" s="11" t="str">
        <f>VLOOKUP($H145, 'ADP Data'!$B$4:$Q$300, 7, FALSE)</f>
        <v>#N/A</v>
      </c>
      <c r="S145" s="11" t="str">
        <f>VLOOKUP($H145, 'ADP Data'!$B$4:$Q$300, 8, FALSE)</f>
        <v>#N/A</v>
      </c>
      <c r="T145" s="11" t="str">
        <f>VLOOKUP($H145, 'ADP Data'!$B$4:$Q$300, 9, FALSE)</f>
        <v>#N/A</v>
      </c>
      <c r="U145" s="11" t="str">
        <f>VLOOKUP($H145, 'ADP Data'!$B$4:$Q$300, 10, FALSE)</f>
        <v>#N/A</v>
      </c>
      <c r="V145" s="11" t="str">
        <f t="shared" si="5"/>
        <v>#N/A</v>
      </c>
      <c r="W145" s="11" t="str">
        <f>VLOOKUP($H145, SeanRanks!$A$2:$J$303, 7, FALSE)-V145</f>
        <v>#N/A</v>
      </c>
      <c r="X145" s="11"/>
    </row>
    <row r="146" ht="14.25" customHeight="1">
      <c r="A146" s="11"/>
      <c r="B146" s="11" t="str">
        <f t="shared" si="1"/>
        <v>#N/A</v>
      </c>
      <c r="C146" s="11" t="s">
        <v>106</v>
      </c>
      <c r="D146" s="11"/>
      <c r="E146" s="11"/>
      <c r="F146" s="11">
        <f t="shared" si="2"/>
        <v>0</v>
      </c>
      <c r="G146" s="11"/>
      <c r="H146" s="11" t="s">
        <v>705</v>
      </c>
      <c r="I146" s="11" t="str">
        <f>VLOOKUP($H146, 'ADP Data'!$B$4:$Q$300, 2, FALSE)</f>
        <v>#N/A</v>
      </c>
      <c r="J146" s="11" t="str">
        <f>VLOOKUP($H146, 'ADP Data'!$B$4:$Q$300, 3, FALSE)</f>
        <v>#N/A</v>
      </c>
      <c r="K146" s="11"/>
      <c r="L146" s="11"/>
      <c r="M146" s="11">
        <f t="shared" si="3"/>
        <v>16</v>
      </c>
      <c r="N146" s="11" t="str">
        <f>VLOOKUP($H146, 'ADP Data'!$B$4:$Q$300, 11, FALSE)</f>
        <v>#N/A</v>
      </c>
      <c r="O146" s="11" t="str">
        <f>VLOOKUP($H146, 'ADP Data'!$B$4:$Q$300, 5, FALSE)</f>
        <v>#N/A</v>
      </c>
      <c r="P146" s="11" t="str">
        <f t="shared" si="4"/>
        <v>#N/A</v>
      </c>
      <c r="Q146" s="11" t="str">
        <f>VLOOKUP($H146, 'ADP Data'!$B$4:$Q$300, 6, FALSE)</f>
        <v>#N/A</v>
      </c>
      <c r="R146" s="11" t="str">
        <f>VLOOKUP($H146, 'ADP Data'!$B$4:$Q$300, 7, FALSE)</f>
        <v>#N/A</v>
      </c>
      <c r="S146" s="11" t="str">
        <f>VLOOKUP($H146, 'ADP Data'!$B$4:$Q$300, 8, FALSE)</f>
        <v>#N/A</v>
      </c>
      <c r="T146" s="11" t="str">
        <f>VLOOKUP($H146, 'ADP Data'!$B$4:$Q$300, 9, FALSE)</f>
        <v>#N/A</v>
      </c>
      <c r="U146" s="11" t="str">
        <f>VLOOKUP($H146, 'ADP Data'!$B$4:$Q$300, 10, FALSE)</f>
        <v>#N/A</v>
      </c>
      <c r="V146" s="11" t="str">
        <f t="shared" si="5"/>
        <v>#N/A</v>
      </c>
      <c r="W146" s="11" t="str">
        <f>VLOOKUP($H146, SeanRanks!$A$2:$J$303, 7, FALSE)-V146</f>
        <v>#N/A</v>
      </c>
      <c r="X146" s="11"/>
    </row>
    <row r="147" ht="14.25" customHeight="1">
      <c r="A147" s="11"/>
      <c r="B147" s="11" t="str">
        <f t="shared" si="1"/>
        <v>#N/A</v>
      </c>
      <c r="C147" s="11" t="s">
        <v>106</v>
      </c>
      <c r="D147" s="11"/>
      <c r="E147" s="11"/>
      <c r="F147" s="11">
        <f t="shared" si="2"/>
        <v>0</v>
      </c>
      <c r="G147" s="11"/>
      <c r="H147" s="11" t="s">
        <v>1104</v>
      </c>
      <c r="I147" s="11" t="str">
        <f>VLOOKUP($H147, 'ADP Data'!$B$4:$Q$300, 2, FALSE)</f>
        <v>#N/A</v>
      </c>
      <c r="J147" s="11" t="str">
        <f>VLOOKUP($H147, 'ADP Data'!$B$4:$Q$300, 3, FALSE)</f>
        <v>#N/A</v>
      </c>
      <c r="K147" s="11"/>
      <c r="L147" s="11"/>
      <c r="M147" s="11">
        <f t="shared" si="3"/>
        <v>16</v>
      </c>
      <c r="N147" s="11" t="str">
        <f>VLOOKUP($H147, 'ADP Data'!$B$4:$Q$300, 11, FALSE)</f>
        <v>#N/A</v>
      </c>
      <c r="O147" s="11" t="str">
        <f>VLOOKUP($H147, 'ADP Data'!$B$4:$Q$300, 5, FALSE)</f>
        <v>#N/A</v>
      </c>
      <c r="P147" s="11" t="str">
        <f t="shared" si="4"/>
        <v>#N/A</v>
      </c>
      <c r="Q147" s="11" t="str">
        <f>VLOOKUP($H147, 'ADP Data'!$B$4:$Q$300, 6, FALSE)</f>
        <v>#N/A</v>
      </c>
      <c r="R147" s="11" t="str">
        <f>VLOOKUP($H147, 'ADP Data'!$B$4:$Q$300, 7, FALSE)</f>
        <v>#N/A</v>
      </c>
      <c r="S147" s="11" t="str">
        <f>VLOOKUP($H147, 'ADP Data'!$B$4:$Q$300, 8, FALSE)</f>
        <v>#N/A</v>
      </c>
      <c r="T147" s="11" t="str">
        <f>VLOOKUP($H147, 'ADP Data'!$B$4:$Q$300, 9, FALSE)</f>
        <v>#N/A</v>
      </c>
      <c r="U147" s="11" t="str">
        <f>VLOOKUP($H147, 'ADP Data'!$B$4:$Q$300, 10, FALSE)</f>
        <v>#N/A</v>
      </c>
      <c r="V147" s="11" t="str">
        <f t="shared" si="5"/>
        <v>#N/A</v>
      </c>
      <c r="W147" s="11" t="str">
        <f>VLOOKUP($H147, SeanRanks!$A$2:$J$303, 7, FALSE)-V147</f>
        <v>#N/A</v>
      </c>
      <c r="X147" s="11"/>
    </row>
    <row r="148" ht="14.25" customHeight="1">
      <c r="A148" s="11"/>
      <c r="B148" s="11" t="str">
        <f t="shared" si="1"/>
        <v>#N/A</v>
      </c>
      <c r="C148" s="11" t="s">
        <v>106</v>
      </c>
      <c r="D148" s="11"/>
      <c r="E148" s="11"/>
      <c r="F148" s="11">
        <f t="shared" si="2"/>
        <v>0</v>
      </c>
      <c r="G148" s="11"/>
      <c r="H148" s="11" t="s">
        <v>923</v>
      </c>
      <c r="I148" s="11" t="str">
        <f>VLOOKUP($H148, 'ADP Data'!$B$4:$Q$300, 2, FALSE)</f>
        <v>#N/A</v>
      </c>
      <c r="J148" s="11" t="str">
        <f>VLOOKUP($H148, 'ADP Data'!$B$4:$Q$300, 3, FALSE)</f>
        <v>#N/A</v>
      </c>
      <c r="K148" s="11"/>
      <c r="L148" s="11"/>
      <c r="M148" s="11">
        <f t="shared" si="3"/>
        <v>16</v>
      </c>
      <c r="N148" s="11" t="str">
        <f>VLOOKUP($H148, 'ADP Data'!$B$4:$Q$300, 11, FALSE)</f>
        <v>#N/A</v>
      </c>
      <c r="O148" s="11" t="str">
        <f>VLOOKUP($H148, 'ADP Data'!$B$4:$Q$300, 5, FALSE)</f>
        <v>#N/A</v>
      </c>
      <c r="P148" s="11" t="str">
        <f t="shared" si="4"/>
        <v>#N/A</v>
      </c>
      <c r="Q148" s="11" t="str">
        <f>VLOOKUP($H148, 'ADP Data'!$B$4:$Q$300, 6, FALSE)</f>
        <v>#N/A</v>
      </c>
      <c r="R148" s="11" t="str">
        <f>VLOOKUP($H148, 'ADP Data'!$B$4:$Q$300, 7, FALSE)</f>
        <v>#N/A</v>
      </c>
      <c r="S148" s="11" t="str">
        <f>VLOOKUP($H148, 'ADP Data'!$B$4:$Q$300, 8, FALSE)</f>
        <v>#N/A</v>
      </c>
      <c r="T148" s="11" t="str">
        <f>VLOOKUP($H148, 'ADP Data'!$B$4:$Q$300, 9, FALSE)</f>
        <v>#N/A</v>
      </c>
      <c r="U148" s="11" t="str">
        <f>VLOOKUP($H148, 'ADP Data'!$B$4:$Q$300, 10, FALSE)</f>
        <v>#N/A</v>
      </c>
      <c r="V148" s="11" t="str">
        <f t="shared" si="5"/>
        <v>#N/A</v>
      </c>
      <c r="W148" s="11" t="str">
        <f>VLOOKUP($H148, SeanRanks!$A$2:$J$303, 7, FALSE)-V148</f>
        <v>#N/A</v>
      </c>
      <c r="X148" s="11"/>
    </row>
    <row r="149" ht="14.25" customHeight="1">
      <c r="A149" s="11"/>
      <c r="B149" s="11" t="str">
        <f t="shared" si="1"/>
        <v>#N/A</v>
      </c>
      <c r="C149" s="11" t="s">
        <v>106</v>
      </c>
      <c r="D149" s="11"/>
      <c r="E149" s="11"/>
      <c r="F149" s="11">
        <f t="shared" si="2"/>
        <v>0</v>
      </c>
      <c r="G149" s="11"/>
      <c r="H149" s="11" t="s">
        <v>1236</v>
      </c>
      <c r="I149" s="11" t="str">
        <f>VLOOKUP($H149, 'ADP Data'!$B$4:$Q$300, 2, FALSE)</f>
        <v>#N/A</v>
      </c>
      <c r="J149" s="11" t="str">
        <f>VLOOKUP($H149, 'ADP Data'!$B$4:$Q$300, 3, FALSE)</f>
        <v>#N/A</v>
      </c>
      <c r="K149" s="11"/>
      <c r="L149" s="11"/>
      <c r="M149" s="11">
        <f t="shared" si="3"/>
        <v>16</v>
      </c>
      <c r="N149" s="11" t="str">
        <f>VLOOKUP($H149, 'ADP Data'!$B$4:$Q$300, 11, FALSE)</f>
        <v>#N/A</v>
      </c>
      <c r="O149" s="11" t="str">
        <f>VLOOKUP($H149, 'ADP Data'!$B$4:$Q$300, 5, FALSE)</f>
        <v>#N/A</v>
      </c>
      <c r="P149" s="11" t="str">
        <f t="shared" si="4"/>
        <v>#N/A</v>
      </c>
      <c r="Q149" s="11" t="str">
        <f>VLOOKUP($H149, 'ADP Data'!$B$4:$Q$300, 6, FALSE)</f>
        <v>#N/A</v>
      </c>
      <c r="R149" s="11" t="str">
        <f>VLOOKUP($H149, 'ADP Data'!$B$4:$Q$300, 7, FALSE)</f>
        <v>#N/A</v>
      </c>
      <c r="S149" s="11" t="str">
        <f>VLOOKUP($H149, 'ADP Data'!$B$4:$Q$300, 8, FALSE)</f>
        <v>#N/A</v>
      </c>
      <c r="T149" s="11" t="str">
        <f>VLOOKUP($H149, 'ADP Data'!$B$4:$Q$300, 9, FALSE)</f>
        <v>#N/A</v>
      </c>
      <c r="U149" s="11" t="str">
        <f>VLOOKUP($H149, 'ADP Data'!$B$4:$Q$300, 10, FALSE)</f>
        <v>#N/A</v>
      </c>
      <c r="V149" s="11" t="str">
        <f t="shared" si="5"/>
        <v>#N/A</v>
      </c>
      <c r="W149" s="11" t="str">
        <f>VLOOKUP($H149, SeanRanks!$A$2:$J$303, 7, FALSE)-V149</f>
        <v>#N/A</v>
      </c>
      <c r="X149" s="11"/>
    </row>
    <row r="150" ht="14.25" customHeight="1">
      <c r="A150" s="11"/>
      <c r="B150" s="11" t="str">
        <f t="shared" si="1"/>
        <v>#N/A</v>
      </c>
      <c r="C150" s="11" t="s">
        <v>106</v>
      </c>
      <c r="D150" s="11"/>
      <c r="E150" s="11"/>
      <c r="F150" s="11">
        <f t="shared" si="2"/>
        <v>0</v>
      </c>
      <c r="G150" s="11"/>
      <c r="H150" s="11" t="s">
        <v>979</v>
      </c>
      <c r="I150" s="11" t="str">
        <f>VLOOKUP($H150, 'ADP Data'!$B$4:$Q$300, 2, FALSE)</f>
        <v>#N/A</v>
      </c>
      <c r="J150" s="11" t="str">
        <f>VLOOKUP($H150, 'ADP Data'!$B$4:$Q$300, 3, FALSE)</f>
        <v>#N/A</v>
      </c>
      <c r="K150" s="11"/>
      <c r="L150" s="11"/>
      <c r="M150" s="11">
        <f t="shared" si="3"/>
        <v>16</v>
      </c>
      <c r="N150" s="11" t="str">
        <f>VLOOKUP($H150, 'ADP Data'!$B$4:$Q$300, 11, FALSE)</f>
        <v>#N/A</v>
      </c>
      <c r="O150" s="11" t="str">
        <f>VLOOKUP($H150, 'ADP Data'!$B$4:$Q$300, 5, FALSE)</f>
        <v>#N/A</v>
      </c>
      <c r="P150" s="11" t="str">
        <f t="shared" si="4"/>
        <v>#N/A</v>
      </c>
      <c r="Q150" s="11" t="str">
        <f>VLOOKUP($H150, 'ADP Data'!$B$4:$Q$300, 6, FALSE)</f>
        <v>#N/A</v>
      </c>
      <c r="R150" s="11" t="str">
        <f>VLOOKUP($H150, 'ADP Data'!$B$4:$Q$300, 7, FALSE)</f>
        <v>#N/A</v>
      </c>
      <c r="S150" s="11" t="str">
        <f>VLOOKUP($H150, 'ADP Data'!$B$4:$Q$300, 8, FALSE)</f>
        <v>#N/A</v>
      </c>
      <c r="T150" s="11" t="str">
        <f>VLOOKUP($H150, 'ADP Data'!$B$4:$Q$300, 9, FALSE)</f>
        <v>#N/A</v>
      </c>
      <c r="U150" s="11" t="str">
        <f>VLOOKUP($H150, 'ADP Data'!$B$4:$Q$300, 10, FALSE)</f>
        <v>#N/A</v>
      </c>
      <c r="V150" s="11" t="str">
        <f t="shared" si="5"/>
        <v>#N/A</v>
      </c>
      <c r="W150" s="11" t="str">
        <f>VLOOKUP($H150, SeanRanks!$A$2:$J$303, 7, FALSE)-V150</f>
        <v>#N/A</v>
      </c>
      <c r="X150" s="11"/>
    </row>
    <row r="151" ht="14.25" customHeight="1">
      <c r="A151" s="11"/>
      <c r="B151" s="11" t="str">
        <f t="shared" si="1"/>
        <v>#N/A</v>
      </c>
      <c r="C151" s="11" t="s">
        <v>106</v>
      </c>
      <c r="D151" s="11"/>
      <c r="E151" s="11"/>
      <c r="F151" s="11">
        <f t="shared" si="2"/>
        <v>0</v>
      </c>
      <c r="G151" s="11"/>
      <c r="H151" s="11" t="s">
        <v>1237</v>
      </c>
      <c r="I151" s="11" t="str">
        <f>VLOOKUP($H151, 'ADP Data'!$B$4:$Q$300, 2, FALSE)</f>
        <v>#N/A</v>
      </c>
      <c r="J151" s="11" t="str">
        <f>VLOOKUP($H151, 'ADP Data'!$B$4:$Q$300, 3, FALSE)</f>
        <v>#N/A</v>
      </c>
      <c r="K151" s="11"/>
      <c r="L151" s="11"/>
      <c r="M151" s="11">
        <f t="shared" si="3"/>
        <v>16</v>
      </c>
      <c r="N151" s="11" t="str">
        <f>VLOOKUP($H151, 'ADP Data'!$B$4:$Q$300, 11, FALSE)</f>
        <v>#N/A</v>
      </c>
      <c r="O151" s="11" t="str">
        <f>VLOOKUP($H151, 'ADP Data'!$B$4:$Q$300, 5, FALSE)</f>
        <v>#N/A</v>
      </c>
      <c r="P151" s="11" t="str">
        <f t="shared" si="4"/>
        <v>#N/A</v>
      </c>
      <c r="Q151" s="11" t="str">
        <f>VLOOKUP($H151, 'ADP Data'!$B$4:$Q$300, 6, FALSE)</f>
        <v>#N/A</v>
      </c>
      <c r="R151" s="11" t="str">
        <f>VLOOKUP($H151, 'ADP Data'!$B$4:$Q$300, 7, FALSE)</f>
        <v>#N/A</v>
      </c>
      <c r="S151" s="11" t="str">
        <f>VLOOKUP($H151, 'ADP Data'!$B$4:$Q$300, 8, FALSE)</f>
        <v>#N/A</v>
      </c>
      <c r="T151" s="11" t="str">
        <f>VLOOKUP($H151, 'ADP Data'!$B$4:$Q$300, 9, FALSE)</f>
        <v>#N/A</v>
      </c>
      <c r="U151" s="11" t="str">
        <f>VLOOKUP($H151, 'ADP Data'!$B$4:$Q$300, 10, FALSE)</f>
        <v>#N/A</v>
      </c>
      <c r="V151" s="11" t="str">
        <f t="shared" si="5"/>
        <v>#N/A</v>
      </c>
      <c r="W151" s="11" t="str">
        <f>VLOOKUP($H151, SeanRanks!$A$2:$J$303, 7, FALSE)-V151</f>
        <v>#N/A</v>
      </c>
      <c r="X151" s="11"/>
    </row>
    <row r="152" ht="14.25" customHeight="1">
      <c r="A152" s="11"/>
      <c r="B152" s="11" t="str">
        <f t="shared" si="1"/>
        <v>#N/A</v>
      </c>
      <c r="C152" s="11" t="s">
        <v>106</v>
      </c>
      <c r="D152" s="11"/>
      <c r="E152" s="11"/>
      <c r="F152" s="11">
        <f t="shared" si="2"/>
        <v>0</v>
      </c>
      <c r="G152" s="11" t="s">
        <v>95</v>
      </c>
      <c r="H152" s="11" t="s">
        <v>1238</v>
      </c>
      <c r="I152" s="11" t="str">
        <f>VLOOKUP($H152, 'ADP Data'!$B$4:$Q$300, 2, FALSE)</f>
        <v>#N/A</v>
      </c>
      <c r="J152" s="11" t="str">
        <f>VLOOKUP($H152, 'ADP Data'!$B$4:$Q$300, 3, FALSE)</f>
        <v>#N/A</v>
      </c>
      <c r="K152" s="11" t="str">
        <f>VLOOKUP($H152, SeanRanks!$A$2:$H$303, 4, FALSE)</f>
        <v>#N/A</v>
      </c>
      <c r="L152" s="11"/>
      <c r="M152" s="11">
        <f t="shared" si="3"/>
        <v>16</v>
      </c>
      <c r="N152" s="11" t="str">
        <f>VLOOKUP($H152, 'ADP Data'!$B$4:$Q$300, 11, FALSE)</f>
        <v>#N/A</v>
      </c>
      <c r="O152" s="11" t="str">
        <f>VLOOKUP($H152, 'ADP Data'!$B$4:$Q$300, 5, FALSE)</f>
        <v>#N/A</v>
      </c>
      <c r="P152" s="11" t="str">
        <f t="shared" si="4"/>
        <v>#N/A</v>
      </c>
      <c r="Q152" s="11" t="str">
        <f>VLOOKUP($H152, 'ADP Data'!$B$4:$Q$300, 6, FALSE)</f>
        <v>#N/A</v>
      </c>
      <c r="R152" s="11" t="str">
        <f>VLOOKUP($H152, 'ADP Data'!$B$4:$Q$300, 7, FALSE)</f>
        <v>#N/A</v>
      </c>
      <c r="S152" s="11" t="str">
        <f>VLOOKUP($H152, 'ADP Data'!$B$4:$Q$300, 8, FALSE)</f>
        <v>#N/A</v>
      </c>
      <c r="T152" s="11" t="str">
        <f>VLOOKUP($H152, 'ADP Data'!$B$4:$Q$300, 9, FALSE)</f>
        <v>#N/A</v>
      </c>
      <c r="U152" s="11" t="str">
        <f>VLOOKUP($H152, 'ADP Data'!$B$4:$Q$300, 10, FALSE)</f>
        <v>#N/A</v>
      </c>
      <c r="V152" s="11" t="str">
        <f t="shared" si="5"/>
        <v>#N/A</v>
      </c>
      <c r="W152" s="11" t="str">
        <f>VLOOKUP($H152, SeanRanks!$A$2:$J$303, 7, FALSE)-V152</f>
        <v>#N/A</v>
      </c>
      <c r="X152" s="11"/>
    </row>
    <row r="153" ht="14.25" customHeight="1">
      <c r="A153" s="11"/>
      <c r="B153" s="11" t="str">
        <f t="shared" si="1"/>
        <v>#N/A</v>
      </c>
      <c r="C153" s="11" t="s">
        <v>106</v>
      </c>
      <c r="D153" s="11"/>
      <c r="E153" s="11"/>
      <c r="F153" s="11">
        <f t="shared" si="2"/>
        <v>0</v>
      </c>
      <c r="G153" s="11"/>
      <c r="H153" s="11" t="s">
        <v>1240</v>
      </c>
      <c r="I153" s="11" t="str">
        <f>VLOOKUP($H153, 'ADP Data'!$B$4:$Q$300, 2, FALSE)</f>
        <v>#N/A</v>
      </c>
      <c r="J153" s="11" t="str">
        <f>VLOOKUP($H153, 'ADP Data'!$B$4:$Q$300, 3, FALSE)</f>
        <v>#N/A</v>
      </c>
      <c r="K153" s="11"/>
      <c r="L153" s="11"/>
      <c r="M153" s="11">
        <f t="shared" si="3"/>
        <v>16</v>
      </c>
      <c r="N153" s="11" t="str">
        <f>VLOOKUP($H153, 'ADP Data'!$B$4:$Q$300, 11, FALSE)</f>
        <v>#N/A</v>
      </c>
      <c r="O153" s="11" t="str">
        <f>VLOOKUP($H153, 'ADP Data'!$B$4:$Q$300, 5, FALSE)</f>
        <v>#N/A</v>
      </c>
      <c r="P153" s="11" t="str">
        <f t="shared" si="4"/>
        <v>#N/A</v>
      </c>
      <c r="Q153" s="11" t="str">
        <f>VLOOKUP($H153, 'ADP Data'!$B$4:$Q$300, 6, FALSE)</f>
        <v>#N/A</v>
      </c>
      <c r="R153" s="11" t="str">
        <f>VLOOKUP($H153, 'ADP Data'!$B$4:$Q$300, 7, FALSE)</f>
        <v>#N/A</v>
      </c>
      <c r="S153" s="11" t="str">
        <f>VLOOKUP($H153, 'ADP Data'!$B$4:$Q$300, 8, FALSE)</f>
        <v>#N/A</v>
      </c>
      <c r="T153" s="11" t="str">
        <f>VLOOKUP($H153, 'ADP Data'!$B$4:$Q$300, 9, FALSE)</f>
        <v>#N/A</v>
      </c>
      <c r="U153" s="11" t="str">
        <f>VLOOKUP($H153, 'ADP Data'!$B$4:$Q$300, 10, FALSE)</f>
        <v>#N/A</v>
      </c>
      <c r="V153" s="11" t="str">
        <f t="shared" si="5"/>
        <v>#N/A</v>
      </c>
      <c r="W153" s="11" t="str">
        <f>VLOOKUP($H153, SeanRanks!$A$2:$J$303, 7, FALSE)-V153</f>
        <v>#N/A</v>
      </c>
      <c r="X153" s="11"/>
    </row>
    <row r="154" ht="14.25" customHeight="1">
      <c r="A154" s="11"/>
      <c r="B154" s="11" t="str">
        <f t="shared" si="1"/>
        <v>#N/A</v>
      </c>
      <c r="C154" s="11" t="s">
        <v>106</v>
      </c>
      <c r="D154" s="11"/>
      <c r="E154" s="11"/>
      <c r="F154" s="11">
        <f t="shared" si="2"/>
        <v>0</v>
      </c>
      <c r="G154" s="11"/>
      <c r="H154" s="11" t="s">
        <v>1105</v>
      </c>
      <c r="I154" s="11" t="str">
        <f>VLOOKUP($H154, 'ADP Data'!$B$4:$Q$300, 2, FALSE)</f>
        <v>#N/A</v>
      </c>
      <c r="J154" s="11" t="str">
        <f>VLOOKUP($H154, 'ADP Data'!$B$4:$Q$300, 3, FALSE)</f>
        <v>#N/A</v>
      </c>
      <c r="K154" s="11"/>
      <c r="L154" s="11"/>
      <c r="M154" s="11">
        <f t="shared" si="3"/>
        <v>16</v>
      </c>
      <c r="N154" s="11" t="str">
        <f>VLOOKUP($H154, 'ADP Data'!$B$4:$Q$300, 11, FALSE)</f>
        <v>#N/A</v>
      </c>
      <c r="O154" s="11" t="str">
        <f>VLOOKUP($H154, 'ADP Data'!$B$4:$Q$300, 5, FALSE)</f>
        <v>#N/A</v>
      </c>
      <c r="P154" s="11" t="str">
        <f t="shared" si="4"/>
        <v>#N/A</v>
      </c>
      <c r="Q154" s="11" t="str">
        <f>VLOOKUP($H154, 'ADP Data'!$B$4:$Q$300, 6, FALSE)</f>
        <v>#N/A</v>
      </c>
      <c r="R154" s="11" t="str">
        <f>VLOOKUP($H154, 'ADP Data'!$B$4:$Q$300, 7, FALSE)</f>
        <v>#N/A</v>
      </c>
      <c r="S154" s="11" t="str">
        <f>VLOOKUP($H154, 'ADP Data'!$B$4:$Q$300, 8, FALSE)</f>
        <v>#N/A</v>
      </c>
      <c r="T154" s="11" t="str">
        <f>VLOOKUP($H154, 'ADP Data'!$B$4:$Q$300, 9, FALSE)</f>
        <v>#N/A</v>
      </c>
      <c r="U154" s="11" t="str">
        <f>VLOOKUP($H154, 'ADP Data'!$B$4:$Q$300, 10, FALSE)</f>
        <v>#N/A</v>
      </c>
      <c r="V154" s="11" t="str">
        <f t="shared" si="5"/>
        <v>#N/A</v>
      </c>
      <c r="W154" s="11" t="str">
        <f>VLOOKUP($H154, SeanRanks!$A$2:$J$303, 7, FALSE)-V154</f>
        <v>#N/A</v>
      </c>
      <c r="X154" s="11"/>
    </row>
    <row r="155" ht="14.25" customHeight="1">
      <c r="A155" s="11"/>
      <c r="B155" s="11" t="str">
        <f t="shared" si="1"/>
        <v>#N/A</v>
      </c>
      <c r="C155" s="11" t="s">
        <v>106</v>
      </c>
      <c r="D155" s="11"/>
      <c r="E155" s="11"/>
      <c r="F155" s="11">
        <f t="shared" si="2"/>
        <v>0</v>
      </c>
      <c r="G155" s="11"/>
      <c r="H155" s="11" t="s">
        <v>630</v>
      </c>
      <c r="I155" s="11" t="str">
        <f>VLOOKUP($H155, 'ADP Data'!$B$4:$Q$300, 2, FALSE)</f>
        <v>#N/A</v>
      </c>
      <c r="J155" s="11" t="str">
        <f>VLOOKUP($H155, 'ADP Data'!$B$4:$Q$300, 3, FALSE)</f>
        <v>#N/A</v>
      </c>
      <c r="K155" s="11"/>
      <c r="L155" s="11"/>
      <c r="M155" s="11">
        <f t="shared" si="3"/>
        <v>16</v>
      </c>
      <c r="N155" s="11" t="str">
        <f>VLOOKUP($H155, 'ADP Data'!$B$4:$Q$300, 11, FALSE)</f>
        <v>#N/A</v>
      </c>
      <c r="O155" s="11" t="str">
        <f>VLOOKUP($H155, 'ADP Data'!$B$4:$Q$300, 5, FALSE)</f>
        <v>#N/A</v>
      </c>
      <c r="P155" s="11" t="str">
        <f t="shared" si="4"/>
        <v>#N/A</v>
      </c>
      <c r="Q155" s="11" t="str">
        <f>VLOOKUP($H155, 'ADP Data'!$B$4:$Q$300, 6, FALSE)</f>
        <v>#N/A</v>
      </c>
      <c r="R155" s="11" t="str">
        <f>VLOOKUP($H155, 'ADP Data'!$B$4:$Q$300, 7, FALSE)</f>
        <v>#N/A</v>
      </c>
      <c r="S155" s="11" t="str">
        <f>VLOOKUP($H155, 'ADP Data'!$B$4:$Q$300, 8, FALSE)</f>
        <v>#N/A</v>
      </c>
      <c r="T155" s="11" t="str">
        <f>VLOOKUP($H155, 'ADP Data'!$B$4:$Q$300, 9, FALSE)</f>
        <v>#N/A</v>
      </c>
      <c r="U155" s="11" t="str">
        <f>VLOOKUP($H155, 'ADP Data'!$B$4:$Q$300, 10, FALSE)</f>
        <v>#N/A</v>
      </c>
      <c r="V155" s="11" t="str">
        <f t="shared" si="5"/>
        <v>#N/A</v>
      </c>
      <c r="W155" s="11" t="str">
        <f>VLOOKUP($H155, SeanRanks!$A$2:$J$303, 7, FALSE)-V155</f>
        <v>#N/A</v>
      </c>
      <c r="X155" s="11"/>
    </row>
    <row r="156" ht="14.25" customHeight="1">
      <c r="A156" s="11"/>
      <c r="B156" s="11" t="str">
        <f t="shared" si="1"/>
        <v>#N/A</v>
      </c>
      <c r="C156" s="11" t="s">
        <v>106</v>
      </c>
      <c r="D156" s="11"/>
      <c r="E156" s="11"/>
      <c r="F156" s="11">
        <f t="shared" si="2"/>
        <v>0</v>
      </c>
      <c r="G156" s="11"/>
      <c r="H156" s="11" t="s">
        <v>1242</v>
      </c>
      <c r="I156" s="11" t="str">
        <f>VLOOKUP($H156, 'ADP Data'!$B$4:$Q$300, 2, FALSE)</f>
        <v>#N/A</v>
      </c>
      <c r="J156" s="11" t="str">
        <f>VLOOKUP($H156, 'ADP Data'!$B$4:$Q$300, 3, FALSE)</f>
        <v>#N/A</v>
      </c>
      <c r="K156" s="11"/>
      <c r="L156" s="11"/>
      <c r="M156" s="11">
        <f t="shared" si="3"/>
        <v>16</v>
      </c>
      <c r="N156" s="11" t="str">
        <f>VLOOKUP($H156, 'ADP Data'!$B$4:$Q$300, 11, FALSE)</f>
        <v>#N/A</v>
      </c>
      <c r="O156" s="11" t="str">
        <f>VLOOKUP($H156, 'ADP Data'!$B$4:$Q$300, 5, FALSE)</f>
        <v>#N/A</v>
      </c>
      <c r="P156" s="11" t="str">
        <f t="shared" si="4"/>
        <v>#N/A</v>
      </c>
      <c r="Q156" s="11" t="str">
        <f>VLOOKUP($H156, 'ADP Data'!$B$4:$Q$300, 6, FALSE)</f>
        <v>#N/A</v>
      </c>
      <c r="R156" s="11" t="str">
        <f>VLOOKUP($H156, 'ADP Data'!$B$4:$Q$300, 7, FALSE)</f>
        <v>#N/A</v>
      </c>
      <c r="S156" s="11" t="str">
        <f>VLOOKUP($H156, 'ADP Data'!$B$4:$Q$300, 8, FALSE)</f>
        <v>#N/A</v>
      </c>
      <c r="T156" s="11" t="str">
        <f>VLOOKUP($H156, 'ADP Data'!$B$4:$Q$300, 9, FALSE)</f>
        <v>#N/A</v>
      </c>
      <c r="U156" s="11" t="str">
        <f>VLOOKUP($H156, 'ADP Data'!$B$4:$Q$300, 10, FALSE)</f>
        <v>#N/A</v>
      </c>
      <c r="V156" s="11" t="str">
        <f t="shared" si="5"/>
        <v>#N/A</v>
      </c>
      <c r="W156" s="11" t="str">
        <f>VLOOKUP($H156, SeanRanks!$A$2:$J$303, 7, FALSE)-V156</f>
        <v>#N/A</v>
      </c>
      <c r="X156" s="11"/>
    </row>
    <row r="157" ht="14.25" customHeight="1">
      <c r="A157" s="11"/>
      <c r="B157" s="11" t="str">
        <f t="shared" si="1"/>
        <v>#N/A</v>
      </c>
      <c r="C157" s="11" t="s">
        <v>106</v>
      </c>
      <c r="D157" s="11"/>
      <c r="E157" s="11"/>
      <c r="F157" s="11">
        <f t="shared" si="2"/>
        <v>0</v>
      </c>
      <c r="G157" s="11" t="s">
        <v>95</v>
      </c>
      <c r="H157" s="11" t="s">
        <v>1243</v>
      </c>
      <c r="I157" s="11" t="str">
        <f>VLOOKUP($H157, 'ADP Data'!$B$4:$Q$300, 2, FALSE)</f>
        <v>#N/A</v>
      </c>
      <c r="J157" s="11" t="str">
        <f>VLOOKUP($H157, 'ADP Data'!$B$4:$Q$300, 3, FALSE)</f>
        <v>#N/A</v>
      </c>
      <c r="K157" s="11"/>
      <c r="L157" s="11"/>
      <c r="M157" s="11">
        <f t="shared" si="3"/>
        <v>16</v>
      </c>
      <c r="N157" s="11" t="str">
        <f>VLOOKUP($H157, 'ADP Data'!$B$4:$Q$300, 11, FALSE)</f>
        <v>#N/A</v>
      </c>
      <c r="O157" s="11" t="str">
        <f>VLOOKUP($H157, 'ADP Data'!$B$4:$Q$300, 5, FALSE)</f>
        <v>#N/A</v>
      </c>
      <c r="P157" s="11" t="str">
        <f t="shared" si="4"/>
        <v>#N/A</v>
      </c>
      <c r="Q157" s="11" t="str">
        <f>VLOOKUP($H157, 'ADP Data'!$B$4:$Q$300, 6, FALSE)</f>
        <v>#N/A</v>
      </c>
      <c r="R157" s="11" t="str">
        <f>VLOOKUP($H157, 'ADP Data'!$B$4:$Q$300, 7, FALSE)</f>
        <v>#N/A</v>
      </c>
      <c r="S157" s="11" t="str">
        <f>VLOOKUP($H157, 'ADP Data'!$B$4:$Q$300, 8, FALSE)</f>
        <v>#N/A</v>
      </c>
      <c r="T157" s="11" t="str">
        <f>VLOOKUP($H157, 'ADP Data'!$B$4:$Q$300, 9, FALSE)</f>
        <v>#N/A</v>
      </c>
      <c r="U157" s="11" t="str">
        <f>VLOOKUP($H157, 'ADP Data'!$B$4:$Q$300, 10, FALSE)</f>
        <v>#N/A</v>
      </c>
      <c r="V157" s="11" t="str">
        <f t="shared" si="5"/>
        <v>#N/A</v>
      </c>
      <c r="W157" s="11" t="str">
        <f>VLOOKUP($H157, SeanRanks!$A$2:$J$303, 7, FALSE)-V157</f>
        <v>#N/A</v>
      </c>
      <c r="X157" s="11"/>
    </row>
    <row r="158" ht="14.25" customHeight="1">
      <c r="A158" s="11"/>
      <c r="B158" s="11" t="str">
        <f t="shared" si="1"/>
        <v>#N/A</v>
      </c>
      <c r="C158" s="11" t="s">
        <v>106</v>
      </c>
      <c r="D158" s="11"/>
      <c r="E158" s="11"/>
      <c r="F158" s="11">
        <f t="shared" si="2"/>
        <v>0</v>
      </c>
      <c r="G158" s="11" t="s">
        <v>95</v>
      </c>
      <c r="H158" s="11" t="s">
        <v>1244</v>
      </c>
      <c r="I158" s="11" t="str">
        <f>VLOOKUP($H158, 'ADP Data'!$B$4:$Q$300, 2, FALSE)</f>
        <v>#N/A</v>
      </c>
      <c r="J158" s="11" t="str">
        <f>VLOOKUP($H158, 'ADP Data'!$B$4:$Q$300, 3, FALSE)</f>
        <v>#N/A</v>
      </c>
      <c r="K158" s="11" t="str">
        <f>VLOOKUP($H158, SeanRanks!$A$2:$H$303, 4, FALSE)</f>
        <v>#N/A</v>
      </c>
      <c r="L158" s="11"/>
      <c r="M158" s="11">
        <f t="shared" si="3"/>
        <v>16</v>
      </c>
      <c r="N158" s="11" t="str">
        <f>VLOOKUP($H158, 'ADP Data'!$B$4:$Q$300, 11, FALSE)</f>
        <v>#N/A</v>
      </c>
      <c r="O158" s="11" t="str">
        <f>VLOOKUP($H158, 'ADP Data'!$B$4:$Q$300, 5, FALSE)</f>
        <v>#N/A</v>
      </c>
      <c r="P158" s="11" t="str">
        <f t="shared" si="4"/>
        <v>#N/A</v>
      </c>
      <c r="Q158" s="11" t="str">
        <f>VLOOKUP($H158, 'ADP Data'!$B$4:$Q$300, 6, FALSE)</f>
        <v>#N/A</v>
      </c>
      <c r="R158" s="11" t="str">
        <f>VLOOKUP($H158, 'ADP Data'!$B$4:$Q$300, 7, FALSE)</f>
        <v>#N/A</v>
      </c>
      <c r="S158" s="11" t="str">
        <f>VLOOKUP($H158, 'ADP Data'!$B$4:$Q$300, 8, FALSE)</f>
        <v>#N/A</v>
      </c>
      <c r="T158" s="11" t="str">
        <f>VLOOKUP($H158, 'ADP Data'!$B$4:$Q$300, 9, FALSE)</f>
        <v>#N/A</v>
      </c>
      <c r="U158" s="11" t="str">
        <f>VLOOKUP($H158, 'ADP Data'!$B$4:$Q$300, 10, FALSE)</f>
        <v>#N/A</v>
      </c>
      <c r="V158" s="11" t="str">
        <f t="shared" si="5"/>
        <v>#N/A</v>
      </c>
      <c r="W158" s="11" t="str">
        <f>VLOOKUP($H158, SeanRanks!$A$2:$J$303, 7, FALSE)-V158</f>
        <v>#N/A</v>
      </c>
      <c r="X158" s="11"/>
    </row>
    <row r="159" ht="14.25" customHeight="1">
      <c r="A159" s="11"/>
      <c r="B159" s="11" t="str">
        <f t="shared" si="1"/>
        <v>#N/A</v>
      </c>
      <c r="C159" s="11" t="s">
        <v>106</v>
      </c>
      <c r="D159" s="11"/>
      <c r="E159" s="11"/>
      <c r="F159" s="11">
        <f t="shared" si="2"/>
        <v>0</v>
      </c>
      <c r="G159" s="11"/>
      <c r="H159" s="11" t="s">
        <v>859</v>
      </c>
      <c r="I159" s="11" t="str">
        <f>VLOOKUP($H159, 'ADP Data'!$B$4:$Q$300, 2, FALSE)</f>
        <v>#N/A</v>
      </c>
      <c r="J159" s="11" t="str">
        <f>VLOOKUP($H159, 'ADP Data'!$B$4:$Q$300, 3, FALSE)</f>
        <v>#N/A</v>
      </c>
      <c r="K159" s="11"/>
      <c r="L159" s="11"/>
      <c r="M159" s="11">
        <f t="shared" si="3"/>
        <v>16</v>
      </c>
      <c r="N159" s="11" t="str">
        <f>VLOOKUP($H159, 'ADP Data'!$B$4:$Q$300, 11, FALSE)</f>
        <v>#N/A</v>
      </c>
      <c r="O159" s="11" t="str">
        <f>VLOOKUP($H159, 'ADP Data'!$B$4:$Q$300, 5, FALSE)</f>
        <v>#N/A</v>
      </c>
      <c r="P159" s="11" t="str">
        <f t="shared" si="4"/>
        <v>#N/A</v>
      </c>
      <c r="Q159" s="11" t="str">
        <f>VLOOKUP($H159, 'ADP Data'!$B$4:$Q$300, 6, FALSE)</f>
        <v>#N/A</v>
      </c>
      <c r="R159" s="11" t="str">
        <f>VLOOKUP($H159, 'ADP Data'!$B$4:$Q$300, 7, FALSE)</f>
        <v>#N/A</v>
      </c>
      <c r="S159" s="11" t="str">
        <f>VLOOKUP($H159, 'ADP Data'!$B$4:$Q$300, 8, FALSE)</f>
        <v>#N/A</v>
      </c>
      <c r="T159" s="11" t="str">
        <f>VLOOKUP($H159, 'ADP Data'!$B$4:$Q$300, 9, FALSE)</f>
        <v>#N/A</v>
      </c>
      <c r="U159" s="11" t="str">
        <f>VLOOKUP($H159, 'ADP Data'!$B$4:$Q$300, 10, FALSE)</f>
        <v>#N/A</v>
      </c>
      <c r="V159" s="11" t="str">
        <f t="shared" si="5"/>
        <v>#N/A</v>
      </c>
      <c r="W159" s="11" t="str">
        <f>VLOOKUP($H159, SeanRanks!$A$2:$J$303, 7, FALSE)-V159</f>
        <v>#N/A</v>
      </c>
      <c r="X159" s="11"/>
    </row>
    <row r="160" ht="14.25" customHeight="1">
      <c r="A160" s="11"/>
      <c r="B160" s="11" t="str">
        <f t="shared" si="1"/>
        <v>#N/A</v>
      </c>
      <c r="C160" s="11" t="s">
        <v>106</v>
      </c>
      <c r="D160" s="11"/>
      <c r="E160" s="11"/>
      <c r="F160" s="11">
        <f t="shared" si="2"/>
        <v>0</v>
      </c>
      <c r="G160" s="11"/>
      <c r="H160" s="11" t="s">
        <v>1135</v>
      </c>
      <c r="I160" s="11" t="str">
        <f>VLOOKUP($H160, 'ADP Data'!$B$4:$Q$300, 2, FALSE)</f>
        <v>#N/A</v>
      </c>
      <c r="J160" s="11" t="str">
        <f>VLOOKUP($H160, 'ADP Data'!$B$4:$Q$300, 3, FALSE)</f>
        <v>#N/A</v>
      </c>
      <c r="K160" s="11"/>
      <c r="L160" s="11"/>
      <c r="M160" s="11">
        <f t="shared" si="3"/>
        <v>16</v>
      </c>
      <c r="N160" s="11" t="str">
        <f>VLOOKUP($H160, 'ADP Data'!$B$4:$Q$300, 11, FALSE)</f>
        <v>#N/A</v>
      </c>
      <c r="O160" s="11" t="str">
        <f>VLOOKUP($H160, 'ADP Data'!$B$4:$Q$300, 5, FALSE)</f>
        <v>#N/A</v>
      </c>
      <c r="P160" s="11" t="str">
        <f t="shared" si="4"/>
        <v>#N/A</v>
      </c>
      <c r="Q160" s="11" t="str">
        <f>VLOOKUP($H160, 'ADP Data'!$B$4:$Q$300, 6, FALSE)</f>
        <v>#N/A</v>
      </c>
      <c r="R160" s="11" t="str">
        <f>VLOOKUP($H160, 'ADP Data'!$B$4:$Q$300, 7, FALSE)</f>
        <v>#N/A</v>
      </c>
      <c r="S160" s="11" t="str">
        <f>VLOOKUP($H160, 'ADP Data'!$B$4:$Q$300, 8, FALSE)</f>
        <v>#N/A</v>
      </c>
      <c r="T160" s="11" t="str">
        <f>VLOOKUP($H160, 'ADP Data'!$B$4:$Q$300, 9, FALSE)</f>
        <v>#N/A</v>
      </c>
      <c r="U160" s="11" t="str">
        <f>VLOOKUP($H160, 'ADP Data'!$B$4:$Q$300, 10, FALSE)</f>
        <v>#N/A</v>
      </c>
      <c r="V160" s="11" t="str">
        <f t="shared" si="5"/>
        <v>#N/A</v>
      </c>
      <c r="W160" s="11" t="str">
        <f>VLOOKUP($H160, SeanRanks!$A$2:$J$303, 7, FALSE)-V160</f>
        <v>#N/A</v>
      </c>
      <c r="X160" s="11"/>
    </row>
    <row r="161" ht="14.25" customHeight="1">
      <c r="A161" s="11"/>
      <c r="B161" s="11" t="str">
        <f t="shared" si="1"/>
        <v>#N/A</v>
      </c>
      <c r="C161" s="11" t="s">
        <v>106</v>
      </c>
      <c r="D161" s="11"/>
      <c r="E161" s="11"/>
      <c r="F161" s="11">
        <f t="shared" si="2"/>
        <v>0</v>
      </c>
      <c r="G161" s="11"/>
      <c r="H161" s="11" t="s">
        <v>910</v>
      </c>
      <c r="I161" s="11" t="str">
        <f>VLOOKUP($H161, 'ADP Data'!$B$4:$Q$300, 2, FALSE)</f>
        <v>#N/A</v>
      </c>
      <c r="J161" s="11" t="str">
        <f>VLOOKUP($H161, 'ADP Data'!$B$4:$Q$300, 3, FALSE)</f>
        <v>#N/A</v>
      </c>
      <c r="K161" s="11"/>
      <c r="L161" s="11"/>
      <c r="M161" s="11">
        <f t="shared" si="3"/>
        <v>16</v>
      </c>
      <c r="N161" s="11" t="str">
        <f>VLOOKUP($H161, 'ADP Data'!$B$4:$Q$300, 11, FALSE)</f>
        <v>#N/A</v>
      </c>
      <c r="O161" s="11" t="str">
        <f>VLOOKUP($H161, 'ADP Data'!$B$4:$Q$300, 5, FALSE)</f>
        <v>#N/A</v>
      </c>
      <c r="P161" s="11" t="str">
        <f t="shared" si="4"/>
        <v>#N/A</v>
      </c>
      <c r="Q161" s="11" t="str">
        <f>VLOOKUP($H161, 'ADP Data'!$B$4:$Q$300, 6, FALSE)</f>
        <v>#N/A</v>
      </c>
      <c r="R161" s="11" t="str">
        <f>VLOOKUP($H161, 'ADP Data'!$B$4:$Q$300, 7, FALSE)</f>
        <v>#N/A</v>
      </c>
      <c r="S161" s="11" t="str">
        <f>VLOOKUP($H161, 'ADP Data'!$B$4:$Q$300, 8, FALSE)</f>
        <v>#N/A</v>
      </c>
      <c r="T161" s="11" t="str">
        <f>VLOOKUP($H161, 'ADP Data'!$B$4:$Q$300, 9, FALSE)</f>
        <v>#N/A</v>
      </c>
      <c r="U161" s="11" t="str">
        <f>VLOOKUP($H161, 'ADP Data'!$B$4:$Q$300, 10, FALSE)</f>
        <v>#N/A</v>
      </c>
      <c r="V161" s="11" t="str">
        <f t="shared" si="5"/>
        <v>#N/A</v>
      </c>
      <c r="W161" s="11" t="str">
        <f>VLOOKUP($H161, SeanRanks!$A$2:$J$303, 7, FALSE)-V161</f>
        <v>#N/A</v>
      </c>
      <c r="X161" s="11"/>
    </row>
    <row r="162" ht="14.25" customHeight="1">
      <c r="A162" s="11"/>
      <c r="B162" s="11" t="str">
        <f t="shared" si="1"/>
        <v>#N/A</v>
      </c>
      <c r="C162" s="11" t="s">
        <v>106</v>
      </c>
      <c r="D162" s="11"/>
      <c r="E162" s="11"/>
      <c r="F162" s="11">
        <f t="shared" si="2"/>
        <v>0</v>
      </c>
      <c r="G162" s="11"/>
      <c r="H162" s="11" t="s">
        <v>895</v>
      </c>
      <c r="I162" s="11" t="str">
        <f>VLOOKUP($H162, 'ADP Data'!$B$4:$Q$300, 2, FALSE)</f>
        <v>#N/A</v>
      </c>
      <c r="J162" s="11" t="str">
        <f>VLOOKUP($H162, 'ADP Data'!$B$4:$Q$300, 3, FALSE)</f>
        <v>#N/A</v>
      </c>
      <c r="K162" s="11"/>
      <c r="L162" s="11"/>
      <c r="M162" s="11">
        <f t="shared" si="3"/>
        <v>16</v>
      </c>
      <c r="N162" s="11" t="str">
        <f>VLOOKUP($H162, 'ADP Data'!$B$4:$Q$300, 11, FALSE)</f>
        <v>#N/A</v>
      </c>
      <c r="O162" s="11" t="str">
        <f>VLOOKUP($H162, 'ADP Data'!$B$4:$Q$300, 5, FALSE)</f>
        <v>#N/A</v>
      </c>
      <c r="P162" s="11" t="str">
        <f t="shared" si="4"/>
        <v>#N/A</v>
      </c>
      <c r="Q162" s="11" t="str">
        <f>VLOOKUP($H162, 'ADP Data'!$B$4:$Q$300, 6, FALSE)</f>
        <v>#N/A</v>
      </c>
      <c r="R162" s="11" t="str">
        <f>VLOOKUP($H162, 'ADP Data'!$B$4:$Q$300, 7, FALSE)</f>
        <v>#N/A</v>
      </c>
      <c r="S162" s="11" t="str">
        <f>VLOOKUP($H162, 'ADP Data'!$B$4:$Q$300, 8, FALSE)</f>
        <v>#N/A</v>
      </c>
      <c r="T162" s="11" t="str">
        <f>VLOOKUP($H162, 'ADP Data'!$B$4:$Q$300, 9, FALSE)</f>
        <v>#N/A</v>
      </c>
      <c r="U162" s="11" t="str">
        <f>VLOOKUP($H162, 'ADP Data'!$B$4:$Q$300, 10, FALSE)</f>
        <v>#N/A</v>
      </c>
      <c r="V162" s="11" t="str">
        <f t="shared" si="5"/>
        <v>#N/A</v>
      </c>
      <c r="W162" s="11" t="str">
        <f>VLOOKUP($H162, SeanRanks!$A$2:$J$303, 7, FALSE)-V162</f>
        <v>#N/A</v>
      </c>
      <c r="X162" s="11"/>
    </row>
    <row r="163" ht="14.25" customHeight="1">
      <c r="A163" s="11"/>
      <c r="B163" s="11" t="str">
        <f t="shared" si="1"/>
        <v>#N/A</v>
      </c>
      <c r="C163" s="11" t="s">
        <v>106</v>
      </c>
      <c r="D163" s="11"/>
      <c r="E163" s="11"/>
      <c r="F163" s="11">
        <f t="shared" si="2"/>
        <v>0</v>
      </c>
      <c r="G163" s="11"/>
      <c r="H163" s="11" t="s">
        <v>1246</v>
      </c>
      <c r="I163" s="11" t="str">
        <f>VLOOKUP($H163, 'ADP Data'!$B$4:$Q$300, 2, FALSE)</f>
        <v>#N/A</v>
      </c>
      <c r="J163" s="11" t="str">
        <f>VLOOKUP($H163, 'ADP Data'!$B$4:$Q$300, 3, FALSE)</f>
        <v>#N/A</v>
      </c>
      <c r="K163" s="11"/>
      <c r="L163" s="11"/>
      <c r="M163" s="11">
        <f t="shared" si="3"/>
        <v>16</v>
      </c>
      <c r="N163" s="11" t="str">
        <f>VLOOKUP($H163, 'ADP Data'!$B$4:$Q$300, 11, FALSE)</f>
        <v>#N/A</v>
      </c>
      <c r="O163" s="11" t="str">
        <f>VLOOKUP($H163, 'ADP Data'!$B$4:$Q$300, 5, FALSE)</f>
        <v>#N/A</v>
      </c>
      <c r="P163" s="11" t="str">
        <f t="shared" si="4"/>
        <v>#N/A</v>
      </c>
      <c r="Q163" s="11" t="str">
        <f>VLOOKUP($H163, 'ADP Data'!$B$4:$Q$300, 6, FALSE)</f>
        <v>#N/A</v>
      </c>
      <c r="R163" s="11" t="str">
        <f>VLOOKUP($H163, 'ADP Data'!$B$4:$Q$300, 7, FALSE)</f>
        <v>#N/A</v>
      </c>
      <c r="S163" s="11" t="str">
        <f>VLOOKUP($H163, 'ADP Data'!$B$4:$Q$300, 8, FALSE)</f>
        <v>#N/A</v>
      </c>
      <c r="T163" s="11" t="str">
        <f>VLOOKUP($H163, 'ADP Data'!$B$4:$Q$300, 9, FALSE)</f>
        <v>#N/A</v>
      </c>
      <c r="U163" s="11" t="str">
        <f>VLOOKUP($H163, 'ADP Data'!$B$4:$Q$300, 10, FALSE)</f>
        <v>#N/A</v>
      </c>
      <c r="V163" s="11" t="str">
        <f t="shared" si="5"/>
        <v>#N/A</v>
      </c>
      <c r="W163" s="11" t="str">
        <f>VLOOKUP($H163, SeanRanks!$A$2:$J$303, 7, FALSE)-V163</f>
        <v>#N/A</v>
      </c>
      <c r="X163" s="11"/>
    </row>
    <row r="164" ht="14.25" customHeight="1">
      <c r="A164" s="11"/>
      <c r="B164" s="11" t="str">
        <f t="shared" si="1"/>
        <v>#N/A</v>
      </c>
      <c r="C164" s="11" t="s">
        <v>106</v>
      </c>
      <c r="D164" s="11"/>
      <c r="E164" s="11"/>
      <c r="F164" s="11">
        <f t="shared" si="2"/>
        <v>0</v>
      </c>
      <c r="G164" s="11"/>
      <c r="H164" s="11" t="s">
        <v>1247</v>
      </c>
      <c r="I164" s="11" t="str">
        <f>VLOOKUP($H164, 'ADP Data'!$B$4:$Q$300, 2, FALSE)</f>
        <v>#N/A</v>
      </c>
      <c r="J164" s="11" t="str">
        <f>VLOOKUP($H164, 'ADP Data'!$B$4:$Q$300, 3, FALSE)</f>
        <v>#N/A</v>
      </c>
      <c r="K164" s="11"/>
      <c r="L164" s="11"/>
      <c r="M164" s="11">
        <f t="shared" si="3"/>
        <v>16</v>
      </c>
      <c r="N164" s="11" t="str">
        <f>VLOOKUP($H164, 'ADP Data'!$B$4:$Q$300, 11, FALSE)</f>
        <v>#N/A</v>
      </c>
      <c r="O164" s="11" t="str">
        <f>VLOOKUP($H164, 'ADP Data'!$B$4:$Q$300, 5, FALSE)</f>
        <v>#N/A</v>
      </c>
      <c r="P164" s="11" t="str">
        <f t="shared" si="4"/>
        <v>#N/A</v>
      </c>
      <c r="Q164" s="11" t="str">
        <f>VLOOKUP($H164, 'ADP Data'!$B$4:$Q$300, 6, FALSE)</f>
        <v>#N/A</v>
      </c>
      <c r="R164" s="11" t="str">
        <f>VLOOKUP($H164, 'ADP Data'!$B$4:$Q$300, 7, FALSE)</f>
        <v>#N/A</v>
      </c>
      <c r="S164" s="11" t="str">
        <f>VLOOKUP($H164, 'ADP Data'!$B$4:$Q$300, 8, FALSE)</f>
        <v>#N/A</v>
      </c>
      <c r="T164" s="11" t="str">
        <f>VLOOKUP($H164, 'ADP Data'!$B$4:$Q$300, 9, FALSE)</f>
        <v>#N/A</v>
      </c>
      <c r="U164" s="11" t="str">
        <f>VLOOKUP($H164, 'ADP Data'!$B$4:$Q$300, 10, FALSE)</f>
        <v>#N/A</v>
      </c>
      <c r="V164" s="11" t="str">
        <f t="shared" si="5"/>
        <v>#N/A</v>
      </c>
      <c r="W164" s="11" t="str">
        <f>VLOOKUP($H164, SeanRanks!$A$2:$J$303, 7, FALSE)-V164</f>
        <v>#N/A</v>
      </c>
      <c r="X164" s="11"/>
    </row>
    <row r="165" ht="14.25" customHeight="1">
      <c r="A165" s="11"/>
      <c r="B165" s="11" t="str">
        <f t="shared" si="1"/>
        <v>#N/A</v>
      </c>
      <c r="C165" s="11" t="s">
        <v>106</v>
      </c>
      <c r="D165" s="11"/>
      <c r="E165" s="11"/>
      <c r="F165" s="11">
        <f t="shared" si="2"/>
        <v>0</v>
      </c>
      <c r="G165" s="11"/>
      <c r="H165" s="11" t="s">
        <v>1248</v>
      </c>
      <c r="I165" s="11" t="str">
        <f>VLOOKUP($H165, 'ADP Data'!$B$4:$Q$300, 2, FALSE)</f>
        <v>#N/A</v>
      </c>
      <c r="J165" s="11" t="str">
        <f>VLOOKUP($H165, 'ADP Data'!$B$4:$Q$300, 3, FALSE)</f>
        <v>#N/A</v>
      </c>
      <c r="K165" s="11"/>
      <c r="L165" s="11"/>
      <c r="M165" s="11">
        <f t="shared" si="3"/>
        <v>16</v>
      </c>
      <c r="N165" s="11" t="str">
        <f>VLOOKUP($H165, 'ADP Data'!$B$4:$Q$300, 11, FALSE)</f>
        <v>#N/A</v>
      </c>
      <c r="O165" s="11" t="str">
        <f>VLOOKUP($H165, 'ADP Data'!$B$4:$Q$300, 5, FALSE)</f>
        <v>#N/A</v>
      </c>
      <c r="P165" s="11" t="str">
        <f t="shared" si="4"/>
        <v>#N/A</v>
      </c>
      <c r="Q165" s="11" t="str">
        <f>VLOOKUP($H165, 'ADP Data'!$B$4:$Q$300, 6, FALSE)</f>
        <v>#N/A</v>
      </c>
      <c r="R165" s="11" t="str">
        <f>VLOOKUP($H165, 'ADP Data'!$B$4:$Q$300, 7, FALSE)</f>
        <v>#N/A</v>
      </c>
      <c r="S165" s="11" t="str">
        <f>VLOOKUP($H165, 'ADP Data'!$B$4:$Q$300, 8, FALSE)</f>
        <v>#N/A</v>
      </c>
      <c r="T165" s="11" t="str">
        <f>VLOOKUP($H165, 'ADP Data'!$B$4:$Q$300, 9, FALSE)</f>
        <v>#N/A</v>
      </c>
      <c r="U165" s="11" t="str">
        <f>VLOOKUP($H165, 'ADP Data'!$B$4:$Q$300, 10, FALSE)</f>
        <v>#N/A</v>
      </c>
      <c r="V165" s="11" t="str">
        <f t="shared" si="5"/>
        <v>#N/A</v>
      </c>
      <c r="W165" s="11" t="str">
        <f>VLOOKUP($H165, SeanRanks!$A$2:$J$303, 7, FALSE)-V165</f>
        <v>#N/A</v>
      </c>
      <c r="X165" s="11"/>
    </row>
    <row r="166" ht="14.25" customHeight="1">
      <c r="A166" s="11"/>
      <c r="B166" s="11" t="str">
        <f t="shared" si="1"/>
        <v>#N/A</v>
      </c>
      <c r="C166" s="11" t="s">
        <v>106</v>
      </c>
      <c r="D166" s="11"/>
      <c r="E166" s="11"/>
      <c r="F166" s="11">
        <f t="shared" si="2"/>
        <v>0</v>
      </c>
      <c r="G166" s="11"/>
      <c r="H166" s="11" t="s">
        <v>1249</v>
      </c>
      <c r="I166" s="11" t="str">
        <f>VLOOKUP($H166, 'ADP Data'!$B$4:$Q$300, 2, FALSE)</f>
        <v>#N/A</v>
      </c>
      <c r="J166" s="11" t="str">
        <f>VLOOKUP($H166, 'ADP Data'!$B$4:$Q$300, 3, FALSE)</f>
        <v>#N/A</v>
      </c>
      <c r="K166" s="11"/>
      <c r="L166" s="11"/>
      <c r="M166" s="11">
        <f t="shared" si="3"/>
        <v>16</v>
      </c>
      <c r="N166" s="11" t="str">
        <f>VLOOKUP($H166, 'ADP Data'!$B$4:$Q$300, 11, FALSE)</f>
        <v>#N/A</v>
      </c>
      <c r="O166" s="11" t="str">
        <f>VLOOKUP($H166, 'ADP Data'!$B$4:$Q$300, 5, FALSE)</f>
        <v>#N/A</v>
      </c>
      <c r="P166" s="11" t="str">
        <f t="shared" si="4"/>
        <v>#N/A</v>
      </c>
      <c r="Q166" s="11" t="str">
        <f>VLOOKUP($H166, 'ADP Data'!$B$4:$Q$300, 6, FALSE)</f>
        <v>#N/A</v>
      </c>
      <c r="R166" s="11" t="str">
        <f>VLOOKUP($H166, 'ADP Data'!$B$4:$Q$300, 7, FALSE)</f>
        <v>#N/A</v>
      </c>
      <c r="S166" s="11" t="str">
        <f>VLOOKUP($H166, 'ADP Data'!$B$4:$Q$300, 8, FALSE)</f>
        <v>#N/A</v>
      </c>
      <c r="T166" s="11" t="str">
        <f>VLOOKUP($H166, 'ADP Data'!$B$4:$Q$300, 9, FALSE)</f>
        <v>#N/A</v>
      </c>
      <c r="U166" s="11" t="str">
        <f>VLOOKUP($H166, 'ADP Data'!$B$4:$Q$300, 10, FALSE)</f>
        <v>#N/A</v>
      </c>
      <c r="V166" s="11" t="str">
        <f t="shared" si="5"/>
        <v>#N/A</v>
      </c>
      <c r="W166" s="11" t="str">
        <f>VLOOKUP($H166, SeanRanks!$A$2:$J$303, 7, FALSE)-V166</f>
        <v>#N/A</v>
      </c>
      <c r="X166" s="11"/>
    </row>
    <row r="167" ht="14.25" customHeight="1">
      <c r="A167" s="11"/>
      <c r="B167" s="11" t="str">
        <f t="shared" si="1"/>
        <v>#N/A</v>
      </c>
      <c r="C167" s="11" t="s">
        <v>106</v>
      </c>
      <c r="D167" s="11"/>
      <c r="E167" s="11"/>
      <c r="F167" s="11">
        <f t="shared" si="2"/>
        <v>0</v>
      </c>
      <c r="G167" s="11"/>
      <c r="H167" s="11" t="s">
        <v>1250</v>
      </c>
      <c r="I167" s="11" t="str">
        <f>VLOOKUP($H167, 'ADP Data'!$B$4:$Q$300, 2, FALSE)</f>
        <v>#N/A</v>
      </c>
      <c r="J167" s="11" t="str">
        <f>VLOOKUP($H167, 'ADP Data'!$B$4:$Q$300, 3, FALSE)</f>
        <v>#N/A</v>
      </c>
      <c r="K167" s="11"/>
      <c r="L167" s="11"/>
      <c r="M167" s="11">
        <f t="shared" si="3"/>
        <v>16</v>
      </c>
      <c r="N167" s="11" t="str">
        <f>VLOOKUP($H167, 'ADP Data'!$B$4:$Q$300, 11, FALSE)</f>
        <v>#N/A</v>
      </c>
      <c r="O167" s="11" t="str">
        <f>VLOOKUP($H167, 'ADP Data'!$B$4:$Q$300, 5, FALSE)</f>
        <v>#N/A</v>
      </c>
      <c r="P167" s="11" t="str">
        <f t="shared" si="4"/>
        <v>#N/A</v>
      </c>
      <c r="Q167" s="11" t="str">
        <f>VLOOKUP($H167, 'ADP Data'!$B$4:$Q$300, 6, FALSE)</f>
        <v>#N/A</v>
      </c>
      <c r="R167" s="11" t="str">
        <f>VLOOKUP($H167, 'ADP Data'!$B$4:$Q$300, 7, FALSE)</f>
        <v>#N/A</v>
      </c>
      <c r="S167" s="11" t="str">
        <f>VLOOKUP($H167, 'ADP Data'!$B$4:$Q$300, 8, FALSE)</f>
        <v>#N/A</v>
      </c>
      <c r="T167" s="11" t="str">
        <f>VLOOKUP($H167, 'ADP Data'!$B$4:$Q$300, 9, FALSE)</f>
        <v>#N/A</v>
      </c>
      <c r="U167" s="11" t="str">
        <f>VLOOKUP($H167, 'ADP Data'!$B$4:$Q$300, 10, FALSE)</f>
        <v>#N/A</v>
      </c>
      <c r="V167" s="11" t="str">
        <f t="shared" si="5"/>
        <v>#N/A</v>
      </c>
      <c r="W167" s="11" t="str">
        <f>VLOOKUP($H167, SeanRanks!$A$2:$J$303, 7, FALSE)-V167</f>
        <v>#N/A</v>
      </c>
      <c r="X167" s="11"/>
    </row>
    <row r="168" ht="14.25" customHeight="1">
      <c r="A168" s="11"/>
      <c r="B168" s="11" t="str">
        <f t="shared" si="1"/>
        <v>#N/A</v>
      </c>
      <c r="C168" s="11" t="s">
        <v>106</v>
      </c>
      <c r="D168" s="11"/>
      <c r="E168" s="11"/>
      <c r="F168" s="11">
        <f t="shared" si="2"/>
        <v>0</v>
      </c>
      <c r="G168" s="11"/>
      <c r="H168" s="11" t="s">
        <v>990</v>
      </c>
      <c r="I168" s="11" t="str">
        <f>VLOOKUP($H168, 'ADP Data'!$B$4:$Q$300, 2, FALSE)</f>
        <v>#N/A</v>
      </c>
      <c r="J168" s="11" t="str">
        <f>VLOOKUP($H168, 'ADP Data'!$B$4:$Q$300, 3, FALSE)</f>
        <v>#N/A</v>
      </c>
      <c r="K168" s="11"/>
      <c r="L168" s="11"/>
      <c r="M168" s="11">
        <f t="shared" si="3"/>
        <v>16</v>
      </c>
      <c r="N168" s="11" t="str">
        <f>VLOOKUP($H168, 'ADP Data'!$B$4:$Q$300, 11, FALSE)</f>
        <v>#N/A</v>
      </c>
      <c r="O168" s="11" t="str">
        <f>VLOOKUP($H168, 'ADP Data'!$B$4:$Q$300, 5, FALSE)</f>
        <v>#N/A</v>
      </c>
      <c r="P168" s="11" t="str">
        <f t="shared" si="4"/>
        <v>#N/A</v>
      </c>
      <c r="Q168" s="11" t="str">
        <f>VLOOKUP($H168, 'ADP Data'!$B$4:$Q$300, 6, FALSE)</f>
        <v>#N/A</v>
      </c>
      <c r="R168" s="11" t="str">
        <f>VLOOKUP($H168, 'ADP Data'!$B$4:$Q$300, 7, FALSE)</f>
        <v>#N/A</v>
      </c>
      <c r="S168" s="11" t="str">
        <f>VLOOKUP($H168, 'ADP Data'!$B$4:$Q$300, 8, FALSE)</f>
        <v>#N/A</v>
      </c>
      <c r="T168" s="11" t="str">
        <f>VLOOKUP($H168, 'ADP Data'!$B$4:$Q$300, 9, FALSE)</f>
        <v>#N/A</v>
      </c>
      <c r="U168" s="11" t="str">
        <f>VLOOKUP($H168, 'ADP Data'!$B$4:$Q$300, 10, FALSE)</f>
        <v>#N/A</v>
      </c>
      <c r="V168" s="11" t="str">
        <f t="shared" si="5"/>
        <v>#N/A</v>
      </c>
      <c r="W168" s="11" t="str">
        <f>VLOOKUP($H168, SeanRanks!$A$2:$J$303, 7, FALSE)-V168</f>
        <v>#N/A</v>
      </c>
      <c r="X168" s="11"/>
    </row>
    <row r="169" ht="14.25" customHeight="1">
      <c r="A169" s="11"/>
      <c r="B169" s="11" t="str">
        <f t="shared" si="1"/>
        <v>#N/A</v>
      </c>
      <c r="C169" s="11" t="s">
        <v>106</v>
      </c>
      <c r="D169" s="11"/>
      <c r="E169" s="11"/>
      <c r="F169" s="11">
        <f t="shared" si="2"/>
        <v>0</v>
      </c>
      <c r="G169" s="11"/>
      <c r="H169" s="11" t="s">
        <v>1251</v>
      </c>
      <c r="I169" s="11" t="str">
        <f>VLOOKUP($H169, 'ADP Data'!$B$4:$Q$300, 2, FALSE)</f>
        <v>#N/A</v>
      </c>
      <c r="J169" s="11" t="str">
        <f>VLOOKUP($H169, 'ADP Data'!$B$4:$Q$300, 3, FALSE)</f>
        <v>#N/A</v>
      </c>
      <c r="K169" s="11"/>
      <c r="L169" s="11"/>
      <c r="M169" s="11">
        <f t="shared" si="3"/>
        <v>16</v>
      </c>
      <c r="N169" s="11" t="str">
        <f>VLOOKUP($H169, 'ADP Data'!$B$4:$Q$300, 11, FALSE)</f>
        <v>#N/A</v>
      </c>
      <c r="O169" s="11" t="str">
        <f>VLOOKUP($H169, 'ADP Data'!$B$4:$Q$300, 5, FALSE)</f>
        <v>#N/A</v>
      </c>
      <c r="P169" s="11" t="str">
        <f t="shared" si="4"/>
        <v>#N/A</v>
      </c>
      <c r="Q169" s="11" t="str">
        <f>VLOOKUP($H169, 'ADP Data'!$B$4:$Q$300, 6, FALSE)</f>
        <v>#N/A</v>
      </c>
      <c r="R169" s="11" t="str">
        <f>VLOOKUP($H169, 'ADP Data'!$B$4:$Q$300, 7, FALSE)</f>
        <v>#N/A</v>
      </c>
      <c r="S169" s="11" t="str">
        <f>VLOOKUP($H169, 'ADP Data'!$B$4:$Q$300, 8, FALSE)</f>
        <v>#N/A</v>
      </c>
      <c r="T169" s="11" t="str">
        <f>VLOOKUP($H169, 'ADP Data'!$B$4:$Q$300, 9, FALSE)</f>
        <v>#N/A</v>
      </c>
      <c r="U169" s="11" t="str">
        <f>VLOOKUP($H169, 'ADP Data'!$B$4:$Q$300, 10, FALSE)</f>
        <v>#N/A</v>
      </c>
      <c r="V169" s="11" t="str">
        <f t="shared" si="5"/>
        <v>#N/A</v>
      </c>
      <c r="W169" s="11" t="str">
        <f>VLOOKUP($H169, SeanRanks!$A$2:$J$303, 7, FALSE)-V169</f>
        <v>#N/A</v>
      </c>
      <c r="X169" s="11"/>
    </row>
    <row r="170" ht="14.25" customHeight="1">
      <c r="A170" s="11"/>
      <c r="B170" s="11" t="str">
        <f t="shared" si="1"/>
        <v>#N/A</v>
      </c>
      <c r="C170" s="11" t="s">
        <v>106</v>
      </c>
      <c r="D170" s="11"/>
      <c r="E170" s="11"/>
      <c r="F170" s="11">
        <f t="shared" si="2"/>
        <v>0</v>
      </c>
      <c r="G170" s="11"/>
      <c r="H170" s="11" t="s">
        <v>218</v>
      </c>
      <c r="I170" s="11" t="str">
        <f>VLOOKUP($H170, 'ADP Data'!$B$4:$Q$300, 2, FALSE)</f>
        <v>#N/A</v>
      </c>
      <c r="J170" s="11" t="str">
        <f>VLOOKUP($H170, 'ADP Data'!$B$4:$Q$300, 3, FALSE)</f>
        <v>#N/A</v>
      </c>
      <c r="K170" s="11"/>
      <c r="L170" s="11"/>
      <c r="M170" s="11">
        <f t="shared" si="3"/>
        <v>16</v>
      </c>
      <c r="N170" s="11" t="str">
        <f>VLOOKUP($H170, 'ADP Data'!$B$4:$Q$300, 11, FALSE)</f>
        <v>#N/A</v>
      </c>
      <c r="O170" s="11" t="str">
        <f>VLOOKUP($H170, 'ADP Data'!$B$4:$Q$300, 5, FALSE)</f>
        <v>#N/A</v>
      </c>
      <c r="P170" s="11" t="str">
        <f t="shared" si="4"/>
        <v>#N/A</v>
      </c>
      <c r="Q170" s="11" t="str">
        <f>VLOOKUP($H170, 'ADP Data'!$B$4:$Q$300, 6, FALSE)</f>
        <v>#N/A</v>
      </c>
      <c r="R170" s="11" t="str">
        <f>VLOOKUP($H170, 'ADP Data'!$B$4:$Q$300, 7, FALSE)</f>
        <v>#N/A</v>
      </c>
      <c r="S170" s="11" t="str">
        <f>VLOOKUP($H170, 'ADP Data'!$B$4:$Q$300, 8, FALSE)</f>
        <v>#N/A</v>
      </c>
      <c r="T170" s="11" t="str">
        <f>VLOOKUP($H170, 'ADP Data'!$B$4:$Q$300, 9, FALSE)</f>
        <v>#N/A</v>
      </c>
      <c r="U170" s="11" t="str">
        <f>VLOOKUP($H170, 'ADP Data'!$B$4:$Q$300, 10, FALSE)</f>
        <v>#N/A</v>
      </c>
      <c r="V170" s="11" t="str">
        <f t="shared" si="5"/>
        <v>#N/A</v>
      </c>
      <c r="W170" s="11" t="str">
        <f>VLOOKUP($H170, SeanRanks!$A$2:$J$303, 7, FALSE)-V170</f>
        <v>#N/A</v>
      </c>
      <c r="X170" s="11" t="s">
        <v>1252</v>
      </c>
    </row>
    <row r="171" ht="14.25" customHeight="1">
      <c r="A171" s="11"/>
      <c r="B171" s="11" t="str">
        <f t="shared" si="1"/>
        <v>#N/A</v>
      </c>
      <c r="C171" s="11" t="s">
        <v>106</v>
      </c>
      <c r="D171" s="11"/>
      <c r="E171" s="11"/>
      <c r="F171" s="11">
        <f t="shared" si="2"/>
        <v>0</v>
      </c>
      <c r="G171" s="11"/>
      <c r="H171" s="11" t="s">
        <v>1253</v>
      </c>
      <c r="I171" s="11" t="str">
        <f>VLOOKUP($H171, 'ADP Data'!$B$4:$Q$300, 2, FALSE)</f>
        <v>#N/A</v>
      </c>
      <c r="J171" s="11" t="str">
        <f>VLOOKUP($H171, 'ADP Data'!$B$4:$Q$300, 3, FALSE)</f>
        <v>#N/A</v>
      </c>
      <c r="K171" s="11"/>
      <c r="L171" s="11"/>
      <c r="M171" s="11">
        <f t="shared" si="3"/>
        <v>16</v>
      </c>
      <c r="N171" s="11" t="str">
        <f>VLOOKUP($H171, 'ADP Data'!$B$4:$Q$300, 11, FALSE)</f>
        <v>#N/A</v>
      </c>
      <c r="O171" s="11" t="str">
        <f>VLOOKUP($H171, 'ADP Data'!$B$4:$Q$300, 5, FALSE)</f>
        <v>#N/A</v>
      </c>
      <c r="P171" s="11" t="str">
        <f t="shared" si="4"/>
        <v>#N/A</v>
      </c>
      <c r="Q171" s="11" t="str">
        <f>VLOOKUP($H171, 'ADP Data'!$B$4:$Q$300, 6, FALSE)</f>
        <v>#N/A</v>
      </c>
      <c r="R171" s="11" t="str">
        <f>VLOOKUP($H171, 'ADP Data'!$B$4:$Q$300, 7, FALSE)</f>
        <v>#N/A</v>
      </c>
      <c r="S171" s="11" t="str">
        <f>VLOOKUP($H171, 'ADP Data'!$B$4:$Q$300, 8, FALSE)</f>
        <v>#N/A</v>
      </c>
      <c r="T171" s="11" t="str">
        <f>VLOOKUP($H171, 'ADP Data'!$B$4:$Q$300, 9, FALSE)</f>
        <v>#N/A</v>
      </c>
      <c r="U171" s="11" t="str">
        <f>VLOOKUP($H171, 'ADP Data'!$B$4:$Q$300, 10, FALSE)</f>
        <v>#N/A</v>
      </c>
      <c r="V171" s="11" t="str">
        <f t="shared" si="5"/>
        <v>#N/A</v>
      </c>
      <c r="W171" s="11" t="str">
        <f>VLOOKUP($H171, SeanRanks!$A$2:$J$303, 7, FALSE)-V171</f>
        <v>#N/A</v>
      </c>
      <c r="X171" s="11"/>
    </row>
    <row r="172" ht="14.25" customHeight="1">
      <c r="A172" s="11"/>
      <c r="B172" s="11" t="str">
        <f t="shared" si="1"/>
        <v>#N/A</v>
      </c>
      <c r="C172" s="11" t="s">
        <v>106</v>
      </c>
      <c r="D172" s="11"/>
      <c r="E172" s="11"/>
      <c r="F172" s="11">
        <f t="shared" si="2"/>
        <v>0</v>
      </c>
      <c r="G172" s="11"/>
      <c r="H172" s="11" t="s">
        <v>1254</v>
      </c>
      <c r="I172" s="11" t="str">
        <f>VLOOKUP($H172, 'ADP Data'!$B$4:$Q$300, 2, FALSE)</f>
        <v>#N/A</v>
      </c>
      <c r="J172" s="11" t="str">
        <f>VLOOKUP($H172, 'ADP Data'!$B$4:$Q$300, 3, FALSE)</f>
        <v>#N/A</v>
      </c>
      <c r="K172" s="11"/>
      <c r="L172" s="11"/>
      <c r="M172" s="11">
        <f t="shared" si="3"/>
        <v>16</v>
      </c>
      <c r="N172" s="11" t="str">
        <f>VLOOKUP($H172, 'ADP Data'!$B$4:$Q$300, 11, FALSE)</f>
        <v>#N/A</v>
      </c>
      <c r="O172" s="11" t="str">
        <f>VLOOKUP($H172, 'ADP Data'!$B$4:$Q$300, 5, FALSE)</f>
        <v>#N/A</v>
      </c>
      <c r="P172" s="11" t="str">
        <f t="shared" si="4"/>
        <v>#N/A</v>
      </c>
      <c r="Q172" s="11" t="str">
        <f>VLOOKUP($H172, 'ADP Data'!$B$4:$Q$300, 6, FALSE)</f>
        <v>#N/A</v>
      </c>
      <c r="R172" s="11" t="str">
        <f>VLOOKUP($H172, 'ADP Data'!$B$4:$Q$300, 7, FALSE)</f>
        <v>#N/A</v>
      </c>
      <c r="S172" s="11" t="str">
        <f>VLOOKUP($H172, 'ADP Data'!$B$4:$Q$300, 8, FALSE)</f>
        <v>#N/A</v>
      </c>
      <c r="T172" s="11" t="str">
        <f>VLOOKUP($H172, 'ADP Data'!$B$4:$Q$300, 9, FALSE)</f>
        <v>#N/A</v>
      </c>
      <c r="U172" s="11" t="str">
        <f>VLOOKUP($H172, 'ADP Data'!$B$4:$Q$300, 10, FALSE)</f>
        <v>#N/A</v>
      </c>
      <c r="V172" s="11" t="str">
        <f t="shared" si="5"/>
        <v>#N/A</v>
      </c>
      <c r="W172" s="11" t="str">
        <f>VLOOKUP($H172, SeanRanks!$A$2:$J$303, 7, FALSE)-V172</f>
        <v>#N/A</v>
      </c>
      <c r="X172" s="11"/>
    </row>
    <row r="173" ht="14.25" customHeight="1">
      <c r="A173" s="11"/>
      <c r="B173" s="11" t="str">
        <f t="shared" si="1"/>
        <v>#N/A</v>
      </c>
      <c r="C173" s="11" t="s">
        <v>106</v>
      </c>
      <c r="D173" s="11"/>
      <c r="E173" s="11"/>
      <c r="F173" s="11">
        <f t="shared" si="2"/>
        <v>0</v>
      </c>
      <c r="G173" s="11"/>
      <c r="H173" s="11" t="s">
        <v>1255</v>
      </c>
      <c r="I173" s="11" t="str">
        <f>VLOOKUP($H173, 'ADP Data'!$B$4:$Q$300, 2, FALSE)</f>
        <v>#N/A</v>
      </c>
      <c r="J173" s="11" t="str">
        <f>VLOOKUP($H173, 'ADP Data'!$B$4:$Q$300, 3, FALSE)</f>
        <v>#N/A</v>
      </c>
      <c r="K173" s="11"/>
      <c r="L173" s="11"/>
      <c r="M173" s="11">
        <f t="shared" si="3"/>
        <v>16</v>
      </c>
      <c r="N173" s="11" t="str">
        <f>VLOOKUP($H173, 'ADP Data'!$B$4:$Q$300, 11, FALSE)</f>
        <v>#N/A</v>
      </c>
      <c r="O173" s="11" t="str">
        <f>VLOOKUP($H173, 'ADP Data'!$B$4:$Q$300, 5, FALSE)</f>
        <v>#N/A</v>
      </c>
      <c r="P173" s="11" t="str">
        <f t="shared" si="4"/>
        <v>#N/A</v>
      </c>
      <c r="Q173" s="11" t="str">
        <f>VLOOKUP($H173, 'ADP Data'!$B$4:$Q$300, 6, FALSE)</f>
        <v>#N/A</v>
      </c>
      <c r="R173" s="11" t="str">
        <f>VLOOKUP($H173, 'ADP Data'!$B$4:$Q$300, 7, FALSE)</f>
        <v>#N/A</v>
      </c>
      <c r="S173" s="11" t="str">
        <f>VLOOKUP($H173, 'ADP Data'!$B$4:$Q$300, 8, FALSE)</f>
        <v>#N/A</v>
      </c>
      <c r="T173" s="11" t="str">
        <f>VLOOKUP($H173, 'ADP Data'!$B$4:$Q$300, 9, FALSE)</f>
        <v>#N/A</v>
      </c>
      <c r="U173" s="11" t="str">
        <f>VLOOKUP($H173, 'ADP Data'!$B$4:$Q$300, 10, FALSE)</f>
        <v>#N/A</v>
      </c>
      <c r="V173" s="11" t="str">
        <f t="shared" si="5"/>
        <v>#N/A</v>
      </c>
      <c r="W173" s="11" t="str">
        <f>VLOOKUP($H173, SeanRanks!$A$2:$J$303, 7, FALSE)-V173</f>
        <v>#N/A</v>
      </c>
      <c r="X173" s="11"/>
    </row>
    <row r="174" ht="14.25" customHeight="1">
      <c r="A174" s="11"/>
      <c r="B174" s="11" t="str">
        <f t="shared" si="1"/>
        <v>#N/A</v>
      </c>
      <c r="C174" s="11" t="s">
        <v>106</v>
      </c>
      <c r="D174" s="11"/>
      <c r="E174" s="11"/>
      <c r="F174" s="11">
        <f t="shared" si="2"/>
        <v>0</v>
      </c>
      <c r="G174" s="11"/>
      <c r="H174" s="11" t="s">
        <v>1256</v>
      </c>
      <c r="I174" s="11" t="str">
        <f>VLOOKUP($H174, 'ADP Data'!$B$4:$Q$300, 2, FALSE)</f>
        <v>#N/A</v>
      </c>
      <c r="J174" s="11" t="str">
        <f>VLOOKUP($H174, 'ADP Data'!$B$4:$Q$300, 3, FALSE)</f>
        <v>#N/A</v>
      </c>
      <c r="K174" s="11"/>
      <c r="L174" s="11"/>
      <c r="M174" s="11">
        <f t="shared" si="3"/>
        <v>16</v>
      </c>
      <c r="N174" s="11" t="str">
        <f>VLOOKUP($H174, 'ADP Data'!$B$4:$Q$300, 11, FALSE)</f>
        <v>#N/A</v>
      </c>
      <c r="O174" s="11" t="str">
        <f>VLOOKUP($H174, 'ADP Data'!$B$4:$Q$300, 5, FALSE)</f>
        <v>#N/A</v>
      </c>
      <c r="P174" s="11" t="str">
        <f t="shared" si="4"/>
        <v>#N/A</v>
      </c>
      <c r="Q174" s="11" t="str">
        <f>VLOOKUP($H174, 'ADP Data'!$B$4:$Q$300, 6, FALSE)</f>
        <v>#N/A</v>
      </c>
      <c r="R174" s="11" t="str">
        <f>VLOOKUP($H174, 'ADP Data'!$B$4:$Q$300, 7, FALSE)</f>
        <v>#N/A</v>
      </c>
      <c r="S174" s="11" t="str">
        <f>VLOOKUP($H174, 'ADP Data'!$B$4:$Q$300, 8, FALSE)</f>
        <v>#N/A</v>
      </c>
      <c r="T174" s="11" t="str">
        <f>VLOOKUP($H174, 'ADP Data'!$B$4:$Q$300, 9, FALSE)</f>
        <v>#N/A</v>
      </c>
      <c r="U174" s="11" t="str">
        <f>VLOOKUP($H174, 'ADP Data'!$B$4:$Q$300, 10, FALSE)</f>
        <v>#N/A</v>
      </c>
      <c r="V174" s="11" t="str">
        <f t="shared" si="5"/>
        <v>#N/A</v>
      </c>
      <c r="W174" s="11" t="str">
        <f>VLOOKUP($H174, SeanRanks!$A$2:$J$303, 7, FALSE)-V174</f>
        <v>#N/A</v>
      </c>
      <c r="X174" s="11"/>
    </row>
    <row r="175" ht="14.25" customHeight="1">
      <c r="A175" s="11"/>
      <c r="B175" s="11" t="str">
        <f t="shared" si="1"/>
        <v>#N/A</v>
      </c>
      <c r="C175" s="11" t="s">
        <v>106</v>
      </c>
      <c r="D175" s="11"/>
      <c r="E175" s="11"/>
      <c r="F175" s="11">
        <f t="shared" si="2"/>
        <v>0</v>
      </c>
      <c r="G175" s="11"/>
      <c r="H175" s="11" t="s">
        <v>1257</v>
      </c>
      <c r="I175" s="11" t="str">
        <f>VLOOKUP($H175, 'ADP Data'!$B$4:$Q$300, 2, FALSE)</f>
        <v>#N/A</v>
      </c>
      <c r="J175" s="11" t="str">
        <f>VLOOKUP($H175, 'ADP Data'!$B$4:$Q$300, 3, FALSE)</f>
        <v>#N/A</v>
      </c>
      <c r="K175" s="11"/>
      <c r="L175" s="11"/>
      <c r="M175" s="11">
        <f t="shared" si="3"/>
        <v>16</v>
      </c>
      <c r="N175" s="11" t="str">
        <f>VLOOKUP($H175, 'ADP Data'!$B$4:$Q$300, 11, FALSE)</f>
        <v>#N/A</v>
      </c>
      <c r="O175" s="11" t="str">
        <f>VLOOKUP($H175, 'ADP Data'!$B$4:$Q$300, 5, FALSE)</f>
        <v>#N/A</v>
      </c>
      <c r="P175" s="11" t="str">
        <f t="shared" si="4"/>
        <v>#N/A</v>
      </c>
      <c r="Q175" s="11" t="str">
        <f>VLOOKUP($H175, 'ADP Data'!$B$4:$Q$300, 6, FALSE)</f>
        <v>#N/A</v>
      </c>
      <c r="R175" s="11" t="str">
        <f>VLOOKUP($H175, 'ADP Data'!$B$4:$Q$300, 7, FALSE)</f>
        <v>#N/A</v>
      </c>
      <c r="S175" s="11" t="str">
        <f>VLOOKUP($H175, 'ADP Data'!$B$4:$Q$300, 8, FALSE)</f>
        <v>#N/A</v>
      </c>
      <c r="T175" s="11" t="str">
        <f>VLOOKUP($H175, 'ADP Data'!$B$4:$Q$300, 9, FALSE)</f>
        <v>#N/A</v>
      </c>
      <c r="U175" s="11" t="str">
        <f>VLOOKUP($H175, 'ADP Data'!$B$4:$Q$300, 10, FALSE)</f>
        <v>#N/A</v>
      </c>
      <c r="V175" s="11" t="str">
        <f t="shared" si="5"/>
        <v>#N/A</v>
      </c>
      <c r="W175" s="11" t="str">
        <f>VLOOKUP($H175, SeanRanks!$A$2:$J$303, 7, FALSE)-V175</f>
        <v>#N/A</v>
      </c>
      <c r="X175" s="11"/>
    </row>
    <row r="176" ht="14.25" customHeight="1">
      <c r="A176" s="11"/>
      <c r="B176" s="11" t="str">
        <f t="shared" si="1"/>
        <v>#N/A</v>
      </c>
      <c r="C176" s="11" t="s">
        <v>106</v>
      </c>
      <c r="D176" s="11"/>
      <c r="E176" s="11"/>
      <c r="F176" s="11">
        <f t="shared" si="2"/>
        <v>0</v>
      </c>
      <c r="G176" s="11"/>
      <c r="H176" s="11" t="s">
        <v>913</v>
      </c>
      <c r="I176" s="11" t="str">
        <f>VLOOKUP($H176, 'ADP Data'!$B$4:$Q$300, 2, FALSE)</f>
        <v>#N/A</v>
      </c>
      <c r="J176" s="11" t="str">
        <f>VLOOKUP($H176, 'ADP Data'!$B$4:$Q$300, 3, FALSE)</f>
        <v>#N/A</v>
      </c>
      <c r="K176" s="11"/>
      <c r="L176" s="11"/>
      <c r="M176" s="11">
        <f t="shared" si="3"/>
        <v>16</v>
      </c>
      <c r="N176" s="11" t="str">
        <f>VLOOKUP($H176, 'ADP Data'!$B$4:$Q$300, 11, FALSE)</f>
        <v>#N/A</v>
      </c>
      <c r="O176" s="11" t="str">
        <f>VLOOKUP($H176, 'ADP Data'!$B$4:$Q$300, 5, FALSE)</f>
        <v>#N/A</v>
      </c>
      <c r="P176" s="11" t="str">
        <f t="shared" si="4"/>
        <v>#N/A</v>
      </c>
      <c r="Q176" s="11" t="str">
        <f>VLOOKUP($H176, 'ADP Data'!$B$4:$Q$300, 6, FALSE)</f>
        <v>#N/A</v>
      </c>
      <c r="R176" s="11" t="str">
        <f>VLOOKUP($H176, 'ADP Data'!$B$4:$Q$300, 7, FALSE)</f>
        <v>#N/A</v>
      </c>
      <c r="S176" s="11" t="str">
        <f>VLOOKUP($H176, 'ADP Data'!$B$4:$Q$300, 8, FALSE)</f>
        <v>#N/A</v>
      </c>
      <c r="T176" s="11" t="str">
        <f>VLOOKUP($H176, 'ADP Data'!$B$4:$Q$300, 9, FALSE)</f>
        <v>#N/A</v>
      </c>
      <c r="U176" s="11" t="str">
        <f>VLOOKUP($H176, 'ADP Data'!$B$4:$Q$300, 10, FALSE)</f>
        <v>#N/A</v>
      </c>
      <c r="V176" s="11" t="str">
        <f t="shared" si="5"/>
        <v>#N/A</v>
      </c>
      <c r="W176" s="11" t="str">
        <f>VLOOKUP($H176, SeanRanks!$A$2:$J$303, 7, FALSE)-V176</f>
        <v>#N/A</v>
      </c>
      <c r="X176" s="11" t="s">
        <v>1258</v>
      </c>
    </row>
    <row r="177" ht="14.25" customHeight="1">
      <c r="A177" s="11"/>
      <c r="B177" s="11" t="str">
        <f t="shared" si="1"/>
        <v>#N/A</v>
      </c>
      <c r="C177" s="11" t="s">
        <v>106</v>
      </c>
      <c r="D177" s="11"/>
      <c r="E177" s="11"/>
      <c r="F177" s="11">
        <f t="shared" si="2"/>
        <v>0</v>
      </c>
      <c r="G177" s="11"/>
      <c r="H177" s="11" t="s">
        <v>1259</v>
      </c>
      <c r="I177" s="11" t="str">
        <f>VLOOKUP($H177, 'ADP Data'!$B$4:$Q$300, 2, FALSE)</f>
        <v>#N/A</v>
      </c>
      <c r="J177" s="11" t="str">
        <f>VLOOKUP($H177, 'ADP Data'!$B$4:$Q$300, 3, FALSE)</f>
        <v>#N/A</v>
      </c>
      <c r="K177" s="11"/>
      <c r="L177" s="11"/>
      <c r="M177" s="11">
        <f t="shared" si="3"/>
        <v>16</v>
      </c>
      <c r="N177" s="11" t="str">
        <f>VLOOKUP($H177, 'ADP Data'!$B$4:$Q$300, 11, FALSE)</f>
        <v>#N/A</v>
      </c>
      <c r="O177" s="11" t="str">
        <f>VLOOKUP($H177, 'ADP Data'!$B$4:$Q$300, 5, FALSE)</f>
        <v>#N/A</v>
      </c>
      <c r="P177" s="11" t="str">
        <f t="shared" si="4"/>
        <v>#N/A</v>
      </c>
      <c r="Q177" s="11" t="str">
        <f>VLOOKUP($H177, 'ADP Data'!$B$4:$Q$300, 6, FALSE)</f>
        <v>#N/A</v>
      </c>
      <c r="R177" s="11" t="str">
        <f>VLOOKUP($H177, 'ADP Data'!$B$4:$Q$300, 7, FALSE)</f>
        <v>#N/A</v>
      </c>
      <c r="S177" s="11" t="str">
        <f>VLOOKUP($H177, 'ADP Data'!$B$4:$Q$300, 8, FALSE)</f>
        <v>#N/A</v>
      </c>
      <c r="T177" s="11" t="str">
        <f>VLOOKUP($H177, 'ADP Data'!$B$4:$Q$300, 9, FALSE)</f>
        <v>#N/A</v>
      </c>
      <c r="U177" s="11" t="str">
        <f>VLOOKUP($H177, 'ADP Data'!$B$4:$Q$300, 10, FALSE)</f>
        <v>#N/A</v>
      </c>
      <c r="V177" s="11" t="str">
        <f t="shared" si="5"/>
        <v>#N/A</v>
      </c>
      <c r="W177" s="11" t="str">
        <f>VLOOKUP($H177, SeanRanks!$A$2:$J$303, 7, FALSE)-V177</f>
        <v>#N/A</v>
      </c>
      <c r="X177" s="11"/>
    </row>
    <row r="178" ht="14.25" customHeight="1">
      <c r="A178" s="11"/>
      <c r="B178" s="11" t="str">
        <f t="shared" si="1"/>
        <v>#N/A</v>
      </c>
      <c r="C178" s="11" t="s">
        <v>106</v>
      </c>
      <c r="D178" s="11"/>
      <c r="E178" s="11"/>
      <c r="F178" s="11">
        <f t="shared" si="2"/>
        <v>0</v>
      </c>
      <c r="G178" s="11"/>
      <c r="H178" s="11" t="s">
        <v>1260</v>
      </c>
      <c r="I178" s="11" t="str">
        <f>VLOOKUP($H178, 'ADP Data'!$B$4:$Q$300, 2, FALSE)</f>
        <v>#N/A</v>
      </c>
      <c r="J178" s="11" t="str">
        <f>VLOOKUP($H178, 'ADP Data'!$B$4:$Q$300, 3, FALSE)</f>
        <v>#N/A</v>
      </c>
      <c r="K178" s="11"/>
      <c r="L178" s="11"/>
      <c r="M178" s="11">
        <f t="shared" si="3"/>
        <v>16</v>
      </c>
      <c r="N178" s="11" t="str">
        <f>VLOOKUP($H178, 'ADP Data'!$B$4:$Q$300, 11, FALSE)</f>
        <v>#N/A</v>
      </c>
      <c r="O178" s="11" t="str">
        <f>VLOOKUP($H178, 'ADP Data'!$B$4:$Q$300, 5, FALSE)</f>
        <v>#N/A</v>
      </c>
      <c r="P178" s="11" t="str">
        <f t="shared" si="4"/>
        <v>#N/A</v>
      </c>
      <c r="Q178" s="11" t="str">
        <f>VLOOKUP($H178, 'ADP Data'!$B$4:$Q$300, 6, FALSE)</f>
        <v>#N/A</v>
      </c>
      <c r="R178" s="11" t="str">
        <f>VLOOKUP($H178, 'ADP Data'!$B$4:$Q$300, 7, FALSE)</f>
        <v>#N/A</v>
      </c>
      <c r="S178" s="11" t="str">
        <f>VLOOKUP($H178, 'ADP Data'!$B$4:$Q$300, 8, FALSE)</f>
        <v>#N/A</v>
      </c>
      <c r="T178" s="11" t="str">
        <f>VLOOKUP($H178, 'ADP Data'!$B$4:$Q$300, 9, FALSE)</f>
        <v>#N/A</v>
      </c>
      <c r="U178" s="11" t="str">
        <f>VLOOKUP($H178, 'ADP Data'!$B$4:$Q$300, 10, FALSE)</f>
        <v>#N/A</v>
      </c>
      <c r="V178" s="11" t="str">
        <f t="shared" si="5"/>
        <v>#N/A</v>
      </c>
      <c r="W178" s="11" t="str">
        <f>VLOOKUP($H178, SeanRanks!$A$2:$J$303, 7, FALSE)-V178</f>
        <v>#N/A</v>
      </c>
      <c r="X178" s="11"/>
    </row>
    <row r="179" ht="14.25" customHeight="1">
      <c r="A179" s="11"/>
      <c r="B179" s="11" t="str">
        <f t="shared" si="1"/>
        <v>#N/A</v>
      </c>
      <c r="C179" s="11" t="s">
        <v>106</v>
      </c>
      <c r="D179" s="11"/>
      <c r="E179" s="11"/>
      <c r="F179" s="11">
        <f t="shared" si="2"/>
        <v>0</v>
      </c>
      <c r="G179" s="11"/>
      <c r="H179" s="11" t="s">
        <v>538</v>
      </c>
      <c r="I179" s="11" t="str">
        <f>VLOOKUP($H179, 'ADP Data'!$B$4:$Q$300, 2, FALSE)</f>
        <v>#N/A</v>
      </c>
      <c r="J179" s="11" t="str">
        <f>VLOOKUP($H179, 'ADP Data'!$B$4:$Q$300, 3, FALSE)</f>
        <v>#N/A</v>
      </c>
      <c r="K179" s="11"/>
      <c r="L179" s="11"/>
      <c r="M179" s="11">
        <f t="shared" si="3"/>
        <v>16</v>
      </c>
      <c r="N179" s="11" t="str">
        <f>VLOOKUP($H179, 'ADP Data'!$B$4:$Q$300, 11, FALSE)</f>
        <v>#N/A</v>
      </c>
      <c r="O179" s="11" t="str">
        <f>VLOOKUP($H179, 'ADP Data'!$B$4:$Q$300, 5, FALSE)</f>
        <v>#N/A</v>
      </c>
      <c r="P179" s="11" t="str">
        <f t="shared" si="4"/>
        <v>#N/A</v>
      </c>
      <c r="Q179" s="11" t="str">
        <f>VLOOKUP($H179, 'ADP Data'!$B$4:$Q$300, 6, FALSE)</f>
        <v>#N/A</v>
      </c>
      <c r="R179" s="11" t="str">
        <f>VLOOKUP($H179, 'ADP Data'!$B$4:$Q$300, 7, FALSE)</f>
        <v>#N/A</v>
      </c>
      <c r="S179" s="11" t="str">
        <f>VLOOKUP($H179, 'ADP Data'!$B$4:$Q$300, 8, FALSE)</f>
        <v>#N/A</v>
      </c>
      <c r="T179" s="11" t="str">
        <f>VLOOKUP($H179, 'ADP Data'!$B$4:$Q$300, 9, FALSE)</f>
        <v>#N/A</v>
      </c>
      <c r="U179" s="11" t="str">
        <f>VLOOKUP($H179, 'ADP Data'!$B$4:$Q$300, 10, FALSE)</f>
        <v>#N/A</v>
      </c>
      <c r="V179" s="11" t="str">
        <f t="shared" si="5"/>
        <v>#N/A</v>
      </c>
      <c r="W179" s="11" t="str">
        <f>VLOOKUP($H179, SeanRanks!$A$2:$J$303, 7, FALSE)-V179</f>
        <v>#N/A</v>
      </c>
      <c r="X179" s="11"/>
    </row>
    <row r="180" ht="14.25" customHeight="1">
      <c r="A180" s="11"/>
      <c r="B180" s="11" t="str">
        <f t="shared" si="1"/>
        <v>#N/A</v>
      </c>
      <c r="C180" s="11" t="s">
        <v>106</v>
      </c>
      <c r="D180" s="11"/>
      <c r="E180" s="11"/>
      <c r="F180" s="11">
        <f t="shared" si="2"/>
        <v>0</v>
      </c>
      <c r="G180" s="11"/>
      <c r="H180" s="11" t="s">
        <v>1261</v>
      </c>
      <c r="I180" s="11" t="str">
        <f>VLOOKUP($H180, 'ADP Data'!$B$4:$Q$300, 2, FALSE)</f>
        <v>#N/A</v>
      </c>
      <c r="J180" s="11" t="str">
        <f>VLOOKUP($H180, 'ADP Data'!$B$4:$Q$300, 3, FALSE)</f>
        <v>#N/A</v>
      </c>
      <c r="K180" s="11"/>
      <c r="L180" s="11"/>
      <c r="M180" s="11">
        <f t="shared" si="3"/>
        <v>16</v>
      </c>
      <c r="N180" s="11" t="str">
        <f>VLOOKUP($H180, 'ADP Data'!$B$4:$Q$300, 11, FALSE)</f>
        <v>#N/A</v>
      </c>
      <c r="O180" s="11" t="str">
        <f>VLOOKUP($H180, 'ADP Data'!$B$4:$Q$300, 5, FALSE)</f>
        <v>#N/A</v>
      </c>
      <c r="P180" s="11" t="str">
        <f t="shared" si="4"/>
        <v>#N/A</v>
      </c>
      <c r="Q180" s="11" t="str">
        <f>VLOOKUP($H180, 'ADP Data'!$B$4:$Q$300, 6, FALSE)</f>
        <v>#N/A</v>
      </c>
      <c r="R180" s="11" t="str">
        <f>VLOOKUP($H180, 'ADP Data'!$B$4:$Q$300, 7, FALSE)</f>
        <v>#N/A</v>
      </c>
      <c r="S180" s="11" t="str">
        <f>VLOOKUP($H180, 'ADP Data'!$B$4:$Q$300, 8, FALSE)</f>
        <v>#N/A</v>
      </c>
      <c r="T180" s="11" t="str">
        <f>VLOOKUP($H180, 'ADP Data'!$B$4:$Q$300, 9, FALSE)</f>
        <v>#N/A</v>
      </c>
      <c r="U180" s="11" t="str">
        <f>VLOOKUP($H180, 'ADP Data'!$B$4:$Q$300, 10, FALSE)</f>
        <v>#N/A</v>
      </c>
      <c r="V180" s="11" t="str">
        <f t="shared" si="5"/>
        <v>#N/A</v>
      </c>
      <c r="W180" s="11" t="str">
        <f>VLOOKUP($H180, SeanRanks!$A$2:$J$303, 7, FALSE)-V180</f>
        <v>#N/A</v>
      </c>
      <c r="X180" s="11" t="s">
        <v>1262</v>
      </c>
    </row>
    <row r="181" ht="14.25" customHeight="1">
      <c r="A181" s="11"/>
      <c r="B181" s="11" t="str">
        <f t="shared" si="1"/>
        <v>#N/A</v>
      </c>
      <c r="C181" s="11" t="s">
        <v>106</v>
      </c>
      <c r="D181" s="11"/>
      <c r="E181" s="11"/>
      <c r="F181" s="11">
        <f t="shared" si="2"/>
        <v>0</v>
      </c>
      <c r="G181" s="11"/>
      <c r="H181" s="11" t="s">
        <v>670</v>
      </c>
      <c r="I181" s="11" t="str">
        <f>VLOOKUP($H181, 'ADP Data'!$B$4:$Q$300, 2, FALSE)</f>
        <v>#N/A</v>
      </c>
      <c r="J181" s="11" t="str">
        <f>VLOOKUP($H181, 'ADP Data'!$B$4:$Q$300, 3, FALSE)</f>
        <v>#N/A</v>
      </c>
      <c r="K181" s="11"/>
      <c r="L181" s="11"/>
      <c r="M181" s="11">
        <f t="shared" si="3"/>
        <v>16</v>
      </c>
      <c r="N181" s="11" t="str">
        <f>VLOOKUP($H181, 'ADP Data'!$B$4:$Q$300, 11, FALSE)</f>
        <v>#N/A</v>
      </c>
      <c r="O181" s="11" t="str">
        <f>VLOOKUP($H181, 'ADP Data'!$B$4:$Q$300, 5, FALSE)</f>
        <v>#N/A</v>
      </c>
      <c r="P181" s="11" t="str">
        <f t="shared" si="4"/>
        <v>#N/A</v>
      </c>
      <c r="Q181" s="11" t="str">
        <f>VLOOKUP($H181, 'ADP Data'!$B$4:$Q$300, 6, FALSE)</f>
        <v>#N/A</v>
      </c>
      <c r="R181" s="11" t="str">
        <f>VLOOKUP($H181, 'ADP Data'!$B$4:$Q$300, 7, FALSE)</f>
        <v>#N/A</v>
      </c>
      <c r="S181" s="11" t="str">
        <f>VLOOKUP($H181, 'ADP Data'!$B$4:$Q$300, 8, FALSE)</f>
        <v>#N/A</v>
      </c>
      <c r="T181" s="11" t="str">
        <f>VLOOKUP($H181, 'ADP Data'!$B$4:$Q$300, 9, FALSE)</f>
        <v>#N/A</v>
      </c>
      <c r="U181" s="11" t="str">
        <f>VLOOKUP($H181, 'ADP Data'!$B$4:$Q$300, 10, FALSE)</f>
        <v>#N/A</v>
      </c>
      <c r="V181" s="11" t="str">
        <f t="shared" si="5"/>
        <v>#N/A</v>
      </c>
      <c r="W181" s="11" t="str">
        <f>VLOOKUP($H181, SeanRanks!$A$2:$J$303, 7, FALSE)-V181</f>
        <v>#N/A</v>
      </c>
      <c r="X181" s="11"/>
    </row>
    <row r="182" ht="14.25" customHeight="1">
      <c r="A182" s="11"/>
      <c r="B182" s="11" t="str">
        <f t="shared" si="1"/>
        <v>#N/A</v>
      </c>
      <c r="C182" s="11" t="s">
        <v>106</v>
      </c>
      <c r="D182" s="11"/>
      <c r="E182" s="11"/>
      <c r="F182" s="11">
        <f t="shared" si="2"/>
        <v>0</v>
      </c>
      <c r="G182" s="11"/>
      <c r="H182" s="11" t="s">
        <v>1263</v>
      </c>
      <c r="I182" s="11" t="str">
        <f>VLOOKUP($H182, 'ADP Data'!$B$4:$Q$300, 2, FALSE)</f>
        <v>#N/A</v>
      </c>
      <c r="J182" s="11" t="str">
        <f>VLOOKUP($H182, 'ADP Data'!$B$4:$Q$300, 3, FALSE)</f>
        <v>#N/A</v>
      </c>
      <c r="K182" s="11"/>
      <c r="L182" s="11"/>
      <c r="M182" s="11">
        <f t="shared" si="3"/>
        <v>16</v>
      </c>
      <c r="N182" s="11" t="str">
        <f>VLOOKUP($H182, 'ADP Data'!$B$4:$Q$300, 11, FALSE)</f>
        <v>#N/A</v>
      </c>
      <c r="O182" s="11" t="str">
        <f>VLOOKUP($H182, 'ADP Data'!$B$4:$Q$300, 5, FALSE)</f>
        <v>#N/A</v>
      </c>
      <c r="P182" s="11" t="str">
        <f t="shared" si="4"/>
        <v>#N/A</v>
      </c>
      <c r="Q182" s="11" t="str">
        <f>VLOOKUP($H182, 'ADP Data'!$B$4:$Q$300, 6, FALSE)</f>
        <v>#N/A</v>
      </c>
      <c r="R182" s="11" t="str">
        <f>VLOOKUP($H182, 'ADP Data'!$B$4:$Q$300, 7, FALSE)</f>
        <v>#N/A</v>
      </c>
      <c r="S182" s="11" t="str">
        <f>VLOOKUP($H182, 'ADP Data'!$B$4:$Q$300, 8, FALSE)</f>
        <v>#N/A</v>
      </c>
      <c r="T182" s="11" t="str">
        <f>VLOOKUP($H182, 'ADP Data'!$B$4:$Q$300, 9, FALSE)</f>
        <v>#N/A</v>
      </c>
      <c r="U182" s="11" t="str">
        <f>VLOOKUP($H182, 'ADP Data'!$B$4:$Q$300, 10, FALSE)</f>
        <v>#N/A</v>
      </c>
      <c r="V182" s="11" t="str">
        <f t="shared" si="5"/>
        <v>#N/A</v>
      </c>
      <c r="W182" s="11" t="str">
        <f>VLOOKUP($H182, SeanRanks!$A$2:$J$303, 7, FALSE)-V182</f>
        <v>#N/A</v>
      </c>
      <c r="X182" s="11"/>
    </row>
    <row r="183" ht="14.25" customHeight="1">
      <c r="A183" s="11"/>
      <c r="B183" s="11" t="str">
        <f t="shared" si="1"/>
        <v>#N/A</v>
      </c>
      <c r="C183" s="11" t="s">
        <v>106</v>
      </c>
      <c r="D183" s="11"/>
      <c r="E183" s="11"/>
      <c r="F183" s="11">
        <f t="shared" si="2"/>
        <v>0</v>
      </c>
      <c r="G183" s="11"/>
      <c r="H183" s="11" t="s">
        <v>1264</v>
      </c>
      <c r="I183" s="11" t="str">
        <f>VLOOKUP($H183, 'ADP Data'!$B$4:$Q$300, 2, FALSE)</f>
        <v>#N/A</v>
      </c>
      <c r="J183" s="11" t="str">
        <f>VLOOKUP($H183, 'ADP Data'!$B$4:$Q$300, 3, FALSE)</f>
        <v>#N/A</v>
      </c>
      <c r="K183" s="11"/>
      <c r="L183" s="11"/>
      <c r="M183" s="11">
        <f t="shared" si="3"/>
        <v>16</v>
      </c>
      <c r="N183" s="11" t="str">
        <f>VLOOKUP($H183, 'ADP Data'!$B$4:$Q$300, 11, FALSE)</f>
        <v>#N/A</v>
      </c>
      <c r="O183" s="11" t="str">
        <f>VLOOKUP($H183, 'ADP Data'!$B$4:$Q$300, 5, FALSE)</f>
        <v>#N/A</v>
      </c>
      <c r="P183" s="11" t="str">
        <f t="shared" si="4"/>
        <v>#N/A</v>
      </c>
      <c r="Q183" s="11" t="str">
        <f>VLOOKUP($H183, 'ADP Data'!$B$4:$Q$300, 6, FALSE)</f>
        <v>#N/A</v>
      </c>
      <c r="R183" s="11" t="str">
        <f>VLOOKUP($H183, 'ADP Data'!$B$4:$Q$300, 7, FALSE)</f>
        <v>#N/A</v>
      </c>
      <c r="S183" s="11" t="str">
        <f>VLOOKUP($H183, 'ADP Data'!$B$4:$Q$300, 8, FALSE)</f>
        <v>#N/A</v>
      </c>
      <c r="T183" s="11" t="str">
        <f>VLOOKUP($H183, 'ADP Data'!$B$4:$Q$300, 9, FALSE)</f>
        <v>#N/A</v>
      </c>
      <c r="U183" s="11" t="str">
        <f>VLOOKUP($H183, 'ADP Data'!$B$4:$Q$300, 10, FALSE)</f>
        <v>#N/A</v>
      </c>
      <c r="V183" s="11" t="str">
        <f t="shared" si="5"/>
        <v>#N/A</v>
      </c>
      <c r="W183" s="11" t="str">
        <f>VLOOKUP($H183, SeanRanks!$A$2:$J$303, 7, FALSE)-V183</f>
        <v>#N/A</v>
      </c>
      <c r="X183" s="11"/>
    </row>
    <row r="184" ht="14.25" customHeight="1">
      <c r="A184" s="11"/>
      <c r="B184" s="11" t="str">
        <f t="shared" si="1"/>
        <v>#N/A</v>
      </c>
      <c r="C184" s="11" t="s">
        <v>106</v>
      </c>
      <c r="D184" s="11"/>
      <c r="E184" s="11"/>
      <c r="F184" s="11">
        <f t="shared" si="2"/>
        <v>0</v>
      </c>
      <c r="G184" s="11"/>
      <c r="H184" s="11" t="s">
        <v>1265</v>
      </c>
      <c r="I184" s="11" t="str">
        <f>VLOOKUP($H184, 'ADP Data'!$B$4:$Q$300, 2, FALSE)</f>
        <v>#N/A</v>
      </c>
      <c r="J184" s="11" t="str">
        <f>VLOOKUP($H184, 'ADP Data'!$B$4:$Q$300, 3, FALSE)</f>
        <v>#N/A</v>
      </c>
      <c r="K184" s="11"/>
      <c r="L184" s="11"/>
      <c r="M184" s="11">
        <f t="shared" si="3"/>
        <v>16</v>
      </c>
      <c r="N184" s="11" t="str">
        <f>VLOOKUP($H184, 'ADP Data'!$B$4:$Q$300, 11, FALSE)</f>
        <v>#N/A</v>
      </c>
      <c r="O184" s="11" t="str">
        <f>VLOOKUP($H184, 'ADP Data'!$B$4:$Q$300, 5, FALSE)</f>
        <v>#N/A</v>
      </c>
      <c r="P184" s="11" t="str">
        <f t="shared" si="4"/>
        <v>#N/A</v>
      </c>
      <c r="Q184" s="11" t="str">
        <f>VLOOKUP($H184, 'ADP Data'!$B$4:$Q$300, 6, FALSE)</f>
        <v>#N/A</v>
      </c>
      <c r="R184" s="11" t="str">
        <f>VLOOKUP($H184, 'ADP Data'!$B$4:$Q$300, 7, FALSE)</f>
        <v>#N/A</v>
      </c>
      <c r="S184" s="11" t="str">
        <f>VLOOKUP($H184, 'ADP Data'!$B$4:$Q$300, 8, FALSE)</f>
        <v>#N/A</v>
      </c>
      <c r="T184" s="11" t="str">
        <f>VLOOKUP($H184, 'ADP Data'!$B$4:$Q$300, 9, FALSE)</f>
        <v>#N/A</v>
      </c>
      <c r="U184" s="11" t="str">
        <f>VLOOKUP($H184, 'ADP Data'!$B$4:$Q$300, 10, FALSE)</f>
        <v>#N/A</v>
      </c>
      <c r="V184" s="11" t="str">
        <f t="shared" si="5"/>
        <v>#N/A</v>
      </c>
      <c r="W184" s="11" t="str">
        <f>VLOOKUP($H184, SeanRanks!$A$2:$J$303, 7, FALSE)-V184</f>
        <v>#N/A</v>
      </c>
      <c r="X184" s="11"/>
    </row>
    <row r="185" ht="14.25" customHeight="1">
      <c r="A185" s="11"/>
      <c r="B185" s="11" t="str">
        <f t="shared" si="1"/>
        <v>#N/A</v>
      </c>
      <c r="C185" s="11" t="s">
        <v>106</v>
      </c>
      <c r="D185" s="11"/>
      <c r="E185" s="11"/>
      <c r="F185" s="11">
        <f t="shared" si="2"/>
        <v>0</v>
      </c>
      <c r="G185" s="11"/>
      <c r="H185" s="11" t="s">
        <v>1266</v>
      </c>
      <c r="I185" s="11" t="str">
        <f>VLOOKUP($H185, 'ADP Data'!$B$4:$Q$300, 2, FALSE)</f>
        <v>#N/A</v>
      </c>
      <c r="J185" s="11" t="str">
        <f>VLOOKUP($H185, 'ADP Data'!$B$4:$Q$300, 3, FALSE)</f>
        <v>#N/A</v>
      </c>
      <c r="K185" s="11"/>
      <c r="L185" s="11"/>
      <c r="M185" s="11">
        <f t="shared" si="3"/>
        <v>16</v>
      </c>
      <c r="N185" s="11" t="str">
        <f>VLOOKUP($H185, 'ADP Data'!$B$4:$Q$300, 11, FALSE)</f>
        <v>#N/A</v>
      </c>
      <c r="O185" s="11" t="str">
        <f>VLOOKUP($H185, 'ADP Data'!$B$4:$Q$300, 5, FALSE)</f>
        <v>#N/A</v>
      </c>
      <c r="P185" s="11" t="str">
        <f t="shared" si="4"/>
        <v>#N/A</v>
      </c>
      <c r="Q185" s="11" t="str">
        <f>VLOOKUP($H185, 'ADP Data'!$B$4:$Q$300, 6, FALSE)</f>
        <v>#N/A</v>
      </c>
      <c r="R185" s="11" t="str">
        <f>VLOOKUP($H185, 'ADP Data'!$B$4:$Q$300, 7, FALSE)</f>
        <v>#N/A</v>
      </c>
      <c r="S185" s="11" t="str">
        <f>VLOOKUP($H185, 'ADP Data'!$B$4:$Q$300, 8, FALSE)</f>
        <v>#N/A</v>
      </c>
      <c r="T185" s="11" t="str">
        <f>VLOOKUP($H185, 'ADP Data'!$B$4:$Q$300, 9, FALSE)</f>
        <v>#N/A</v>
      </c>
      <c r="U185" s="11" t="str">
        <f>VLOOKUP($H185, 'ADP Data'!$B$4:$Q$300, 10, FALSE)</f>
        <v>#N/A</v>
      </c>
      <c r="V185" s="11" t="str">
        <f t="shared" si="5"/>
        <v>#N/A</v>
      </c>
      <c r="W185" s="11" t="str">
        <f>VLOOKUP($H185, SeanRanks!$A$2:$J$303, 7, FALSE)-V185</f>
        <v>#N/A</v>
      </c>
      <c r="X185" s="11"/>
    </row>
    <row r="186" ht="14.25" customHeight="1">
      <c r="A186" s="11"/>
      <c r="B186" s="11" t="str">
        <f t="shared" si="1"/>
        <v>#N/A</v>
      </c>
      <c r="C186" s="11" t="s">
        <v>106</v>
      </c>
      <c r="D186" s="11"/>
      <c r="E186" s="11"/>
      <c r="F186" s="11">
        <f t="shared" si="2"/>
        <v>0</v>
      </c>
      <c r="G186" s="11"/>
      <c r="H186" s="11" t="s">
        <v>1267</v>
      </c>
      <c r="I186" s="11" t="str">
        <f>VLOOKUP($H186, 'ADP Data'!$B$4:$Q$300, 2, FALSE)</f>
        <v>#N/A</v>
      </c>
      <c r="J186" s="11" t="str">
        <f>VLOOKUP($H186, 'ADP Data'!$B$4:$Q$300, 3, FALSE)</f>
        <v>#N/A</v>
      </c>
      <c r="K186" s="11"/>
      <c r="L186" s="11"/>
      <c r="M186" s="11">
        <f t="shared" si="3"/>
        <v>16</v>
      </c>
      <c r="N186" s="11" t="str">
        <f>VLOOKUP($H186, 'ADP Data'!$B$4:$Q$300, 11, FALSE)</f>
        <v>#N/A</v>
      </c>
      <c r="O186" s="11" t="str">
        <f>VLOOKUP($H186, 'ADP Data'!$B$4:$Q$300, 5, FALSE)</f>
        <v>#N/A</v>
      </c>
      <c r="P186" s="11" t="str">
        <f t="shared" si="4"/>
        <v>#N/A</v>
      </c>
      <c r="Q186" s="11" t="str">
        <f>VLOOKUP($H186, 'ADP Data'!$B$4:$Q$300, 6, FALSE)</f>
        <v>#N/A</v>
      </c>
      <c r="R186" s="11" t="str">
        <f>VLOOKUP($H186, 'ADP Data'!$B$4:$Q$300, 7, FALSE)</f>
        <v>#N/A</v>
      </c>
      <c r="S186" s="11" t="str">
        <f>VLOOKUP($H186, 'ADP Data'!$B$4:$Q$300, 8, FALSE)</f>
        <v>#N/A</v>
      </c>
      <c r="T186" s="11" t="str">
        <f>VLOOKUP($H186, 'ADP Data'!$B$4:$Q$300, 9, FALSE)</f>
        <v>#N/A</v>
      </c>
      <c r="U186" s="11" t="str">
        <f>VLOOKUP($H186, 'ADP Data'!$B$4:$Q$300, 10, FALSE)</f>
        <v>#N/A</v>
      </c>
      <c r="V186" s="11" t="str">
        <f t="shared" si="5"/>
        <v>#N/A</v>
      </c>
      <c r="W186" s="11" t="str">
        <f>VLOOKUP($H186, SeanRanks!$A$2:$J$303, 7, FALSE)-V186</f>
        <v>#N/A</v>
      </c>
      <c r="X186" s="11"/>
    </row>
    <row r="187" ht="14.25" customHeight="1">
      <c r="A187" s="11"/>
      <c r="B187" s="11" t="str">
        <f t="shared" si="1"/>
        <v>#N/A</v>
      </c>
      <c r="C187" s="11" t="s">
        <v>106</v>
      </c>
      <c r="D187" s="11"/>
      <c r="E187" s="11"/>
      <c r="F187" s="11">
        <f t="shared" si="2"/>
        <v>0</v>
      </c>
      <c r="G187" s="11"/>
      <c r="H187" s="11" t="s">
        <v>124</v>
      </c>
      <c r="I187" s="11" t="str">
        <f>VLOOKUP($H187, 'ADP Data'!$B$4:$Q$300, 2, FALSE)</f>
        <v>#N/A</v>
      </c>
      <c r="J187" s="11" t="str">
        <f>VLOOKUP($H187, 'ADP Data'!$B$4:$Q$300, 3, FALSE)</f>
        <v>#N/A</v>
      </c>
      <c r="K187" s="11"/>
      <c r="L187" s="11"/>
      <c r="M187" s="11">
        <f t="shared" si="3"/>
        <v>16</v>
      </c>
      <c r="N187" s="11" t="str">
        <f>VLOOKUP($H187, 'ADP Data'!$B$4:$Q$300, 11, FALSE)</f>
        <v>#N/A</v>
      </c>
      <c r="O187" s="11" t="str">
        <f>VLOOKUP($H187, 'ADP Data'!$B$4:$Q$300, 5, FALSE)</f>
        <v>#N/A</v>
      </c>
      <c r="P187" s="11" t="str">
        <f t="shared" si="4"/>
        <v>#N/A</v>
      </c>
      <c r="Q187" s="11" t="str">
        <f>VLOOKUP($H187, 'ADP Data'!$B$4:$Q$300, 6, FALSE)</f>
        <v>#N/A</v>
      </c>
      <c r="R187" s="11" t="str">
        <f>VLOOKUP($H187, 'ADP Data'!$B$4:$Q$300, 7, FALSE)</f>
        <v>#N/A</v>
      </c>
      <c r="S187" s="11" t="str">
        <f>VLOOKUP($H187, 'ADP Data'!$B$4:$Q$300, 8, FALSE)</f>
        <v>#N/A</v>
      </c>
      <c r="T187" s="11" t="str">
        <f>VLOOKUP($H187, 'ADP Data'!$B$4:$Q$300, 9, FALSE)</f>
        <v>#N/A</v>
      </c>
      <c r="U187" s="11" t="str">
        <f>VLOOKUP($H187, 'ADP Data'!$B$4:$Q$300, 10, FALSE)</f>
        <v>#N/A</v>
      </c>
      <c r="V187" s="11" t="str">
        <f t="shared" si="5"/>
        <v>#N/A</v>
      </c>
      <c r="W187" s="11" t="str">
        <f>VLOOKUP($H187, SeanRanks!$A$2:$J$303, 7, FALSE)-V187</f>
        <v>#N/A</v>
      </c>
      <c r="X187" s="11"/>
    </row>
    <row r="188" ht="14.25" customHeight="1">
      <c r="A188" s="11"/>
      <c r="B188" s="11" t="str">
        <f t="shared" si="1"/>
        <v>#N/A</v>
      </c>
      <c r="C188" s="11" t="s">
        <v>106</v>
      </c>
      <c r="D188" s="11"/>
      <c r="E188" s="11"/>
      <c r="F188" s="11">
        <f t="shared" si="2"/>
        <v>0</v>
      </c>
      <c r="G188" s="11"/>
      <c r="H188" s="11" t="s">
        <v>397</v>
      </c>
      <c r="I188" s="11" t="str">
        <f>VLOOKUP($H188, 'ADP Data'!$B$4:$Q$300, 2, FALSE)</f>
        <v>#N/A</v>
      </c>
      <c r="J188" s="11" t="str">
        <f>VLOOKUP($H188, 'ADP Data'!$B$4:$Q$300, 3, FALSE)</f>
        <v>#N/A</v>
      </c>
      <c r="K188" s="11"/>
      <c r="L188" s="11"/>
      <c r="M188" s="11">
        <f t="shared" si="3"/>
        <v>16</v>
      </c>
      <c r="N188" s="11" t="str">
        <f>VLOOKUP($H188, 'ADP Data'!$B$4:$Q$300, 11, FALSE)</f>
        <v>#N/A</v>
      </c>
      <c r="O188" s="11" t="str">
        <f>VLOOKUP($H188, 'ADP Data'!$B$4:$Q$300, 5, FALSE)</f>
        <v>#N/A</v>
      </c>
      <c r="P188" s="11" t="str">
        <f t="shared" si="4"/>
        <v>#N/A</v>
      </c>
      <c r="Q188" s="11" t="str">
        <f>VLOOKUP($H188, 'ADP Data'!$B$4:$Q$300, 6, FALSE)</f>
        <v>#N/A</v>
      </c>
      <c r="R188" s="11" t="str">
        <f>VLOOKUP($H188, 'ADP Data'!$B$4:$Q$300, 7, FALSE)</f>
        <v>#N/A</v>
      </c>
      <c r="S188" s="11" t="str">
        <f>VLOOKUP($H188, 'ADP Data'!$B$4:$Q$300, 8, FALSE)</f>
        <v>#N/A</v>
      </c>
      <c r="T188" s="11" t="str">
        <f>VLOOKUP($H188, 'ADP Data'!$B$4:$Q$300, 9, FALSE)</f>
        <v>#N/A</v>
      </c>
      <c r="U188" s="11" t="str">
        <f>VLOOKUP($H188, 'ADP Data'!$B$4:$Q$300, 10, FALSE)</f>
        <v>#N/A</v>
      </c>
      <c r="V188" s="11" t="str">
        <f t="shared" si="5"/>
        <v>#N/A</v>
      </c>
      <c r="W188" s="11" t="str">
        <f>VLOOKUP($H188, SeanRanks!$A$2:$J$303, 7, FALSE)-V188</f>
        <v>#N/A</v>
      </c>
      <c r="X188" s="11"/>
    </row>
    <row r="189" ht="14.25" customHeight="1">
      <c r="A189" s="11"/>
      <c r="B189" s="11" t="str">
        <f t="shared" si="1"/>
        <v>#N/A</v>
      </c>
      <c r="C189" s="11" t="s">
        <v>106</v>
      </c>
      <c r="D189" s="11"/>
      <c r="E189" s="11"/>
      <c r="F189" s="11">
        <f t="shared" si="2"/>
        <v>0</v>
      </c>
      <c r="G189" s="11"/>
      <c r="H189" s="11" t="s">
        <v>1268</v>
      </c>
      <c r="I189" s="11" t="str">
        <f>VLOOKUP($H189, 'ADP Data'!$B$4:$Q$300, 2, FALSE)</f>
        <v>#N/A</v>
      </c>
      <c r="J189" s="11" t="str">
        <f>VLOOKUP($H189, 'ADP Data'!$B$4:$Q$300, 3, FALSE)</f>
        <v>#N/A</v>
      </c>
      <c r="K189" s="11"/>
      <c r="L189" s="11"/>
      <c r="M189" s="11">
        <f t="shared" si="3"/>
        <v>16</v>
      </c>
      <c r="N189" s="11" t="str">
        <f>VLOOKUP($H189, 'ADP Data'!$B$4:$Q$300, 11, FALSE)</f>
        <v>#N/A</v>
      </c>
      <c r="O189" s="11" t="str">
        <f>VLOOKUP($H189, 'ADP Data'!$B$4:$Q$300, 5, FALSE)</f>
        <v>#N/A</v>
      </c>
      <c r="P189" s="11" t="str">
        <f t="shared" si="4"/>
        <v>#N/A</v>
      </c>
      <c r="Q189" s="11" t="str">
        <f>VLOOKUP($H189, 'ADP Data'!$B$4:$Q$300, 6, FALSE)</f>
        <v>#N/A</v>
      </c>
      <c r="R189" s="11" t="str">
        <f>VLOOKUP($H189, 'ADP Data'!$B$4:$Q$300, 7, FALSE)</f>
        <v>#N/A</v>
      </c>
      <c r="S189" s="11" t="str">
        <f>VLOOKUP($H189, 'ADP Data'!$B$4:$Q$300, 8, FALSE)</f>
        <v>#N/A</v>
      </c>
      <c r="T189" s="11" t="str">
        <f>VLOOKUP($H189, 'ADP Data'!$B$4:$Q$300, 9, FALSE)</f>
        <v>#N/A</v>
      </c>
      <c r="U189" s="11" t="str">
        <f>VLOOKUP($H189, 'ADP Data'!$B$4:$Q$300, 10, FALSE)</f>
        <v>#N/A</v>
      </c>
      <c r="V189" s="11" t="str">
        <f t="shared" si="5"/>
        <v>#N/A</v>
      </c>
      <c r="W189" s="11" t="str">
        <f>VLOOKUP($H189, SeanRanks!$A$2:$J$303, 7, FALSE)-V189</f>
        <v>#N/A</v>
      </c>
      <c r="X189" s="11"/>
    </row>
    <row r="190" ht="14.25" customHeight="1">
      <c r="A190" s="11"/>
      <c r="B190" s="11" t="str">
        <f t="shared" si="1"/>
        <v>#N/A</v>
      </c>
      <c r="C190" s="11" t="s">
        <v>106</v>
      </c>
      <c r="D190" s="11"/>
      <c r="E190" s="11"/>
      <c r="F190" s="11">
        <f t="shared" si="2"/>
        <v>0</v>
      </c>
      <c r="G190" s="11"/>
      <c r="H190" s="11" t="s">
        <v>886</v>
      </c>
      <c r="I190" s="11" t="str">
        <f>VLOOKUP($H190, 'ADP Data'!$B$4:$Q$300, 2, FALSE)</f>
        <v>#N/A</v>
      </c>
      <c r="J190" s="11" t="str">
        <f>VLOOKUP($H190, 'ADP Data'!$B$4:$Q$300, 3, FALSE)</f>
        <v>#N/A</v>
      </c>
      <c r="K190" s="11"/>
      <c r="L190" s="11"/>
      <c r="M190" s="11">
        <f t="shared" si="3"/>
        <v>16</v>
      </c>
      <c r="N190" s="11" t="str">
        <f>VLOOKUP($H190, 'ADP Data'!$B$4:$Q$300, 11, FALSE)</f>
        <v>#N/A</v>
      </c>
      <c r="O190" s="11" t="str">
        <f>VLOOKUP($H190, 'ADP Data'!$B$4:$Q$300, 5, FALSE)</f>
        <v>#N/A</v>
      </c>
      <c r="P190" s="11" t="str">
        <f t="shared" si="4"/>
        <v>#N/A</v>
      </c>
      <c r="Q190" s="11" t="str">
        <f>VLOOKUP($H190, 'ADP Data'!$B$4:$Q$300, 6, FALSE)</f>
        <v>#N/A</v>
      </c>
      <c r="R190" s="11" t="str">
        <f>VLOOKUP($H190, 'ADP Data'!$B$4:$Q$300, 7, FALSE)</f>
        <v>#N/A</v>
      </c>
      <c r="S190" s="11" t="str">
        <f>VLOOKUP($H190, 'ADP Data'!$B$4:$Q$300, 8, FALSE)</f>
        <v>#N/A</v>
      </c>
      <c r="T190" s="11" t="str">
        <f>VLOOKUP($H190, 'ADP Data'!$B$4:$Q$300, 9, FALSE)</f>
        <v>#N/A</v>
      </c>
      <c r="U190" s="11" t="str">
        <f>VLOOKUP($H190, 'ADP Data'!$B$4:$Q$300, 10, FALSE)</f>
        <v>#N/A</v>
      </c>
      <c r="V190" s="11" t="str">
        <f t="shared" si="5"/>
        <v>#N/A</v>
      </c>
      <c r="W190" s="11" t="str">
        <f>VLOOKUP($H190, SeanRanks!$A$2:$J$303, 7, FALSE)-V190</f>
        <v>#N/A</v>
      </c>
      <c r="X190" s="11"/>
    </row>
    <row r="191" ht="14.25" customHeight="1">
      <c r="A191" s="11"/>
      <c r="B191" s="11" t="str">
        <f t="shared" si="1"/>
        <v>#N/A</v>
      </c>
      <c r="C191" s="11" t="s">
        <v>106</v>
      </c>
      <c r="D191" s="11"/>
      <c r="E191" s="11"/>
      <c r="F191" s="11">
        <f t="shared" si="2"/>
        <v>0</v>
      </c>
      <c r="G191" s="11"/>
      <c r="H191" s="11" t="s">
        <v>983</v>
      </c>
      <c r="I191" s="11" t="str">
        <f>VLOOKUP($H191, 'ADP Data'!$B$4:$Q$300, 2, FALSE)</f>
        <v>#N/A</v>
      </c>
      <c r="J191" s="11" t="str">
        <f>VLOOKUP($H191, 'ADP Data'!$B$4:$Q$300, 3, FALSE)</f>
        <v>#N/A</v>
      </c>
      <c r="K191" s="11"/>
      <c r="L191" s="11"/>
      <c r="M191" s="11">
        <f t="shared" si="3"/>
        <v>16</v>
      </c>
      <c r="N191" s="11" t="str">
        <f>VLOOKUP($H191, 'ADP Data'!$B$4:$Q$300, 11, FALSE)</f>
        <v>#N/A</v>
      </c>
      <c r="O191" s="11" t="str">
        <f>VLOOKUP($H191, 'ADP Data'!$B$4:$Q$300, 5, FALSE)</f>
        <v>#N/A</v>
      </c>
      <c r="P191" s="11" t="str">
        <f t="shared" si="4"/>
        <v>#N/A</v>
      </c>
      <c r="Q191" s="11" t="str">
        <f>VLOOKUP($H191, 'ADP Data'!$B$4:$Q$300, 6, FALSE)</f>
        <v>#N/A</v>
      </c>
      <c r="R191" s="11" t="str">
        <f>VLOOKUP($H191, 'ADP Data'!$B$4:$Q$300, 7, FALSE)</f>
        <v>#N/A</v>
      </c>
      <c r="S191" s="11" t="str">
        <f>VLOOKUP($H191, 'ADP Data'!$B$4:$Q$300, 8, FALSE)</f>
        <v>#N/A</v>
      </c>
      <c r="T191" s="11" t="str">
        <f>VLOOKUP($H191, 'ADP Data'!$B$4:$Q$300, 9, FALSE)</f>
        <v>#N/A</v>
      </c>
      <c r="U191" s="11" t="str">
        <f>VLOOKUP($H191, 'ADP Data'!$B$4:$Q$300, 10, FALSE)</f>
        <v>#N/A</v>
      </c>
      <c r="V191" s="11" t="str">
        <f t="shared" si="5"/>
        <v>#N/A</v>
      </c>
      <c r="W191" s="11" t="str">
        <f>VLOOKUP($H191, SeanRanks!$A$2:$J$303, 7, FALSE)-V191</f>
        <v>#N/A</v>
      </c>
      <c r="X191" s="11"/>
    </row>
    <row r="192" ht="14.25" customHeight="1">
      <c r="A192" s="11"/>
      <c r="B192" s="11" t="str">
        <f t="shared" si="1"/>
        <v>#N/A</v>
      </c>
      <c r="C192" s="11" t="s">
        <v>106</v>
      </c>
      <c r="D192" s="11"/>
      <c r="E192" s="11"/>
      <c r="F192" s="11">
        <f t="shared" si="2"/>
        <v>0</v>
      </c>
      <c r="G192" s="11" t="s">
        <v>106</v>
      </c>
      <c r="H192" s="11" t="s">
        <v>290</v>
      </c>
      <c r="I192" s="11" t="str">
        <f>VLOOKUP($H192, 'ADP Data'!$B$4:$Q$300, 2, FALSE)</f>
        <v>#N/A</v>
      </c>
      <c r="J192" s="11" t="str">
        <f>VLOOKUP($H192, 'ADP Data'!$B$4:$Q$300, 3, FALSE)</f>
        <v>#N/A</v>
      </c>
      <c r="K192" s="11"/>
      <c r="L192" s="11"/>
      <c r="M192" s="11">
        <f t="shared" si="3"/>
        <v>16</v>
      </c>
      <c r="N192" s="11" t="str">
        <f>VLOOKUP($H192, 'ADP Data'!$B$4:$Q$300, 11, FALSE)</f>
        <v>#N/A</v>
      </c>
      <c r="O192" s="11" t="str">
        <f>VLOOKUP($H192, 'ADP Data'!$B$4:$Q$300, 5, FALSE)</f>
        <v>#N/A</v>
      </c>
      <c r="P192" s="11" t="str">
        <f t="shared" si="4"/>
        <v>#N/A</v>
      </c>
      <c r="Q192" s="11" t="str">
        <f>VLOOKUP($H192, 'ADP Data'!$B$4:$Q$300, 6, FALSE)</f>
        <v>#N/A</v>
      </c>
      <c r="R192" s="11" t="str">
        <f>VLOOKUP($H192, 'ADP Data'!$B$4:$Q$300, 7, FALSE)</f>
        <v>#N/A</v>
      </c>
      <c r="S192" s="11" t="str">
        <f>VLOOKUP($H192, 'ADP Data'!$B$4:$Q$300, 8, FALSE)</f>
        <v>#N/A</v>
      </c>
      <c r="T192" s="11" t="str">
        <f>VLOOKUP($H192, 'ADP Data'!$B$4:$Q$300, 9, FALSE)</f>
        <v>#N/A</v>
      </c>
      <c r="U192" s="11" t="str">
        <f>VLOOKUP($H192, 'ADP Data'!$B$4:$Q$300, 10, FALSE)</f>
        <v>#N/A</v>
      </c>
      <c r="V192" s="11" t="str">
        <f t="shared" si="5"/>
        <v>#N/A</v>
      </c>
      <c r="W192" s="11" t="str">
        <f>VLOOKUP($H192, SeanRanks!$A$2:$J$303, 7, FALSE)-V192</f>
        <v>#N/A</v>
      </c>
      <c r="X192" s="11" t="s">
        <v>1269</v>
      </c>
    </row>
    <row r="193" ht="14.25" customHeight="1">
      <c r="A193" s="11"/>
      <c r="B193" s="11" t="str">
        <f t="shared" si="1"/>
        <v>#N/A</v>
      </c>
      <c r="C193" s="11" t="s">
        <v>106</v>
      </c>
      <c r="D193" s="11"/>
      <c r="E193" s="11"/>
      <c r="F193" s="11">
        <f t="shared" si="2"/>
        <v>0</v>
      </c>
      <c r="G193" s="11"/>
      <c r="H193" s="11" t="s">
        <v>118</v>
      </c>
      <c r="I193" s="11" t="str">
        <f>VLOOKUP($H193, 'ADP Data'!$B$4:$Q$300, 2, FALSE)</f>
        <v>#N/A</v>
      </c>
      <c r="J193" s="11" t="str">
        <f>VLOOKUP($H193, 'ADP Data'!$B$4:$Q$300, 3, FALSE)</f>
        <v>#N/A</v>
      </c>
      <c r="K193" s="11"/>
      <c r="L193" s="11"/>
      <c r="M193" s="11">
        <f t="shared" si="3"/>
        <v>16</v>
      </c>
      <c r="N193" s="11" t="str">
        <f>VLOOKUP($H193, 'ADP Data'!$B$4:$Q$300, 11, FALSE)</f>
        <v>#N/A</v>
      </c>
      <c r="O193" s="11" t="str">
        <f>VLOOKUP($H193, 'ADP Data'!$B$4:$Q$300, 5, FALSE)</f>
        <v>#N/A</v>
      </c>
      <c r="P193" s="11" t="str">
        <f t="shared" si="4"/>
        <v>#N/A</v>
      </c>
      <c r="Q193" s="11" t="str">
        <f>VLOOKUP($H193, 'ADP Data'!$B$4:$Q$300, 6, FALSE)</f>
        <v>#N/A</v>
      </c>
      <c r="R193" s="11" t="str">
        <f>VLOOKUP($H193, 'ADP Data'!$B$4:$Q$300, 7, FALSE)</f>
        <v>#N/A</v>
      </c>
      <c r="S193" s="11" t="str">
        <f>VLOOKUP($H193, 'ADP Data'!$B$4:$Q$300, 8, FALSE)</f>
        <v>#N/A</v>
      </c>
      <c r="T193" s="11" t="str">
        <f>VLOOKUP($H193, 'ADP Data'!$B$4:$Q$300, 9, FALSE)</f>
        <v>#N/A</v>
      </c>
      <c r="U193" s="11" t="str">
        <f>VLOOKUP($H193, 'ADP Data'!$B$4:$Q$300, 10, FALSE)</f>
        <v>#N/A</v>
      </c>
      <c r="V193" s="11" t="str">
        <f t="shared" si="5"/>
        <v>#N/A</v>
      </c>
      <c r="W193" s="11" t="str">
        <f>VLOOKUP($H193, SeanRanks!$A$2:$J$303, 7, FALSE)-V193</f>
        <v>#N/A</v>
      </c>
      <c r="X193" s="11"/>
    </row>
    <row r="194" ht="14.25" customHeight="1">
      <c r="A194" s="11"/>
      <c r="B194" s="11" t="str">
        <f t="shared" si="1"/>
        <v>#N/A</v>
      </c>
      <c r="C194" s="11" t="s">
        <v>106</v>
      </c>
      <c r="D194" s="11"/>
      <c r="E194" s="11"/>
      <c r="F194" s="11">
        <f t="shared" si="2"/>
        <v>0</v>
      </c>
      <c r="G194" s="11"/>
      <c r="H194" s="11" t="s">
        <v>840</v>
      </c>
      <c r="I194" s="11" t="str">
        <f>VLOOKUP($H194, 'ADP Data'!$B$4:$Q$300, 2, FALSE)</f>
        <v>#N/A</v>
      </c>
      <c r="J194" s="11" t="str">
        <f>VLOOKUP($H194, 'ADP Data'!$B$4:$Q$300, 3, FALSE)</f>
        <v>#N/A</v>
      </c>
      <c r="K194" s="11"/>
      <c r="L194" s="11"/>
      <c r="M194" s="11">
        <f t="shared" si="3"/>
        <v>16</v>
      </c>
      <c r="N194" s="11" t="str">
        <f>VLOOKUP($H194, 'ADP Data'!$B$4:$Q$300, 11, FALSE)</f>
        <v>#N/A</v>
      </c>
      <c r="O194" s="11" t="str">
        <f>VLOOKUP($H194, 'ADP Data'!$B$4:$Q$300, 5, FALSE)</f>
        <v>#N/A</v>
      </c>
      <c r="P194" s="11" t="str">
        <f t="shared" si="4"/>
        <v>#N/A</v>
      </c>
      <c r="Q194" s="11" t="str">
        <f>VLOOKUP($H194, 'ADP Data'!$B$4:$Q$300, 6, FALSE)</f>
        <v>#N/A</v>
      </c>
      <c r="R194" s="11" t="str">
        <f>VLOOKUP($H194, 'ADP Data'!$B$4:$Q$300, 7, FALSE)</f>
        <v>#N/A</v>
      </c>
      <c r="S194" s="11" t="str">
        <f>VLOOKUP($H194, 'ADP Data'!$B$4:$Q$300, 8, FALSE)</f>
        <v>#N/A</v>
      </c>
      <c r="T194" s="11" t="str">
        <f>VLOOKUP($H194, 'ADP Data'!$B$4:$Q$300, 9, FALSE)</f>
        <v>#N/A</v>
      </c>
      <c r="U194" s="11" t="str">
        <f>VLOOKUP($H194, 'ADP Data'!$B$4:$Q$300, 10, FALSE)</f>
        <v>#N/A</v>
      </c>
      <c r="V194" s="11" t="str">
        <f t="shared" si="5"/>
        <v>#N/A</v>
      </c>
      <c r="W194" s="11" t="str">
        <f>VLOOKUP($H194, SeanRanks!$A$2:$J$303, 7, FALSE)-V194</f>
        <v>#N/A</v>
      </c>
      <c r="X194" s="11"/>
    </row>
    <row r="195" ht="14.25" customHeight="1">
      <c r="A195" s="11"/>
      <c r="B195" s="11" t="str">
        <f t="shared" si="1"/>
        <v>#N/A</v>
      </c>
      <c r="C195" s="11" t="s">
        <v>106</v>
      </c>
      <c r="D195" s="11"/>
      <c r="E195" s="11"/>
      <c r="F195" s="11">
        <f t="shared" si="2"/>
        <v>0</v>
      </c>
      <c r="G195" s="11"/>
      <c r="H195" s="11" t="s">
        <v>714</v>
      </c>
      <c r="I195" s="11" t="str">
        <f>VLOOKUP($H195, 'ADP Data'!$B$4:$Q$300, 2, FALSE)</f>
        <v>#N/A</v>
      </c>
      <c r="J195" s="11" t="str">
        <f>VLOOKUP($H195, 'ADP Data'!$B$4:$Q$300, 3, FALSE)</f>
        <v>#N/A</v>
      </c>
      <c r="K195" s="11"/>
      <c r="L195" s="11"/>
      <c r="M195" s="11">
        <f t="shared" si="3"/>
        <v>16</v>
      </c>
      <c r="N195" s="11" t="str">
        <f>VLOOKUP($H195, 'ADP Data'!$B$4:$Q$300, 11, FALSE)</f>
        <v>#N/A</v>
      </c>
      <c r="O195" s="11" t="str">
        <f>VLOOKUP($H195, 'ADP Data'!$B$4:$Q$300, 5, FALSE)</f>
        <v>#N/A</v>
      </c>
      <c r="P195" s="11" t="str">
        <f t="shared" si="4"/>
        <v>#N/A</v>
      </c>
      <c r="Q195" s="11" t="str">
        <f>VLOOKUP($H195, 'ADP Data'!$B$4:$Q$300, 6, FALSE)</f>
        <v>#N/A</v>
      </c>
      <c r="R195" s="11" t="str">
        <f>VLOOKUP($H195, 'ADP Data'!$B$4:$Q$300, 7, FALSE)</f>
        <v>#N/A</v>
      </c>
      <c r="S195" s="11" t="str">
        <f>VLOOKUP($H195, 'ADP Data'!$B$4:$Q$300, 8, FALSE)</f>
        <v>#N/A</v>
      </c>
      <c r="T195" s="11" t="str">
        <f>VLOOKUP($H195, 'ADP Data'!$B$4:$Q$300, 9, FALSE)</f>
        <v>#N/A</v>
      </c>
      <c r="U195" s="11" t="str">
        <f>VLOOKUP($H195, 'ADP Data'!$B$4:$Q$300, 10, FALSE)</f>
        <v>#N/A</v>
      </c>
      <c r="V195" s="11" t="str">
        <f t="shared" si="5"/>
        <v>#N/A</v>
      </c>
      <c r="W195" s="11" t="str">
        <f>VLOOKUP($H195, SeanRanks!$A$2:$J$303, 7, FALSE)-V195</f>
        <v>#N/A</v>
      </c>
      <c r="X195" s="11"/>
    </row>
    <row r="196" ht="14.25" customHeight="1">
      <c r="A196" s="11"/>
      <c r="B196" s="11" t="str">
        <f t="shared" si="1"/>
        <v>#N/A</v>
      </c>
      <c r="C196" s="11" t="s">
        <v>106</v>
      </c>
      <c r="D196" s="11"/>
      <c r="E196" s="11"/>
      <c r="F196" s="11">
        <f t="shared" si="2"/>
        <v>0</v>
      </c>
      <c r="G196" s="11"/>
      <c r="H196" s="11" t="s">
        <v>1271</v>
      </c>
      <c r="I196" s="11" t="str">
        <f>VLOOKUP($H196, 'ADP Data'!$B$4:$Q$300, 2, FALSE)</f>
        <v>#N/A</v>
      </c>
      <c r="J196" s="11" t="str">
        <f>VLOOKUP($H196, 'ADP Data'!$B$4:$Q$300, 3, FALSE)</f>
        <v>#N/A</v>
      </c>
      <c r="K196" s="11"/>
      <c r="L196" s="11"/>
      <c r="M196" s="11">
        <f t="shared" si="3"/>
        <v>16</v>
      </c>
      <c r="N196" s="11" t="str">
        <f>VLOOKUP($H196, 'ADP Data'!$B$4:$Q$300, 11, FALSE)</f>
        <v>#N/A</v>
      </c>
      <c r="O196" s="11" t="str">
        <f>VLOOKUP($H196, 'ADP Data'!$B$4:$Q$300, 5, FALSE)</f>
        <v>#N/A</v>
      </c>
      <c r="P196" s="11" t="str">
        <f t="shared" si="4"/>
        <v>#N/A</v>
      </c>
      <c r="Q196" s="11" t="str">
        <f>VLOOKUP($H196, 'ADP Data'!$B$4:$Q$300, 6, FALSE)</f>
        <v>#N/A</v>
      </c>
      <c r="R196" s="11" t="str">
        <f>VLOOKUP($H196, 'ADP Data'!$B$4:$Q$300, 7, FALSE)</f>
        <v>#N/A</v>
      </c>
      <c r="S196" s="11" t="str">
        <f>VLOOKUP($H196, 'ADP Data'!$B$4:$Q$300, 8, FALSE)</f>
        <v>#N/A</v>
      </c>
      <c r="T196" s="11" t="str">
        <f>VLOOKUP($H196, 'ADP Data'!$B$4:$Q$300, 9, FALSE)</f>
        <v>#N/A</v>
      </c>
      <c r="U196" s="11" t="str">
        <f>VLOOKUP($H196, 'ADP Data'!$B$4:$Q$300, 10, FALSE)</f>
        <v>#N/A</v>
      </c>
      <c r="V196" s="11" t="str">
        <f t="shared" si="5"/>
        <v>#N/A</v>
      </c>
      <c r="W196" s="11" t="str">
        <f>VLOOKUP($H196, SeanRanks!$A$2:$J$303, 7, FALSE)-V196</f>
        <v>#N/A</v>
      </c>
      <c r="X196" s="11"/>
    </row>
    <row r="197" ht="14.25" customHeight="1">
      <c r="A197" s="11"/>
      <c r="B197" s="11" t="str">
        <f t="shared" si="1"/>
        <v>#N/A</v>
      </c>
      <c r="C197" s="11" t="s">
        <v>106</v>
      </c>
      <c r="D197" s="11"/>
      <c r="E197" s="11"/>
      <c r="F197" s="11">
        <f t="shared" si="2"/>
        <v>0</v>
      </c>
      <c r="G197" s="11"/>
      <c r="H197" s="11" t="s">
        <v>1273</v>
      </c>
      <c r="I197" s="11" t="str">
        <f>VLOOKUP($H197, 'ADP Data'!$B$4:$Q$300, 2, FALSE)</f>
        <v>#N/A</v>
      </c>
      <c r="J197" s="11" t="str">
        <f>VLOOKUP($H197, 'ADP Data'!$B$4:$Q$300, 3, FALSE)</f>
        <v>#N/A</v>
      </c>
      <c r="K197" s="11"/>
      <c r="L197" s="11"/>
      <c r="M197" s="11">
        <f t="shared" si="3"/>
        <v>16</v>
      </c>
      <c r="N197" s="11" t="str">
        <f>VLOOKUP($H197, 'ADP Data'!$B$4:$Q$300, 11, FALSE)</f>
        <v>#N/A</v>
      </c>
      <c r="O197" s="11" t="str">
        <f>VLOOKUP($H197, 'ADP Data'!$B$4:$Q$300, 5, FALSE)</f>
        <v>#N/A</v>
      </c>
      <c r="P197" s="11" t="str">
        <f t="shared" si="4"/>
        <v>#N/A</v>
      </c>
      <c r="Q197" s="11" t="str">
        <f>VLOOKUP($H197, 'ADP Data'!$B$4:$Q$300, 6, FALSE)</f>
        <v>#N/A</v>
      </c>
      <c r="R197" s="11" t="str">
        <f>VLOOKUP($H197, 'ADP Data'!$B$4:$Q$300, 7, FALSE)</f>
        <v>#N/A</v>
      </c>
      <c r="S197" s="11" t="str">
        <f>VLOOKUP($H197, 'ADP Data'!$B$4:$Q$300, 8, FALSE)</f>
        <v>#N/A</v>
      </c>
      <c r="T197" s="11" t="str">
        <f>VLOOKUP($H197, 'ADP Data'!$B$4:$Q$300, 9, FALSE)</f>
        <v>#N/A</v>
      </c>
      <c r="U197" s="11" t="str">
        <f>VLOOKUP($H197, 'ADP Data'!$B$4:$Q$300, 10, FALSE)</f>
        <v>#N/A</v>
      </c>
      <c r="V197" s="11" t="str">
        <f t="shared" si="5"/>
        <v>#N/A</v>
      </c>
      <c r="W197" s="11" t="str">
        <f>VLOOKUP($H197, SeanRanks!$A$2:$J$303, 7, FALSE)-V197</f>
        <v>#N/A</v>
      </c>
      <c r="X197" s="11"/>
    </row>
    <row r="198" ht="14.25" customHeight="1">
      <c r="A198" s="11"/>
      <c r="B198" s="11" t="str">
        <f t="shared" si="1"/>
        <v>#N/A</v>
      </c>
      <c r="C198" s="11" t="s">
        <v>106</v>
      </c>
      <c r="D198" s="11"/>
      <c r="E198" s="11"/>
      <c r="F198" s="11">
        <f t="shared" si="2"/>
        <v>0</v>
      </c>
      <c r="G198" s="11"/>
      <c r="H198" s="11" t="s">
        <v>1274</v>
      </c>
      <c r="I198" s="11" t="str">
        <f>VLOOKUP($H198, 'ADP Data'!$B$4:$Q$300, 2, FALSE)</f>
        <v>#N/A</v>
      </c>
      <c r="J198" s="11" t="str">
        <f>VLOOKUP($H198, 'ADP Data'!$B$4:$Q$300, 3, FALSE)</f>
        <v>#N/A</v>
      </c>
      <c r="K198" s="11"/>
      <c r="L198" s="11"/>
      <c r="M198" s="11">
        <f t="shared" si="3"/>
        <v>16</v>
      </c>
      <c r="N198" s="11" t="str">
        <f>VLOOKUP($H198, 'ADP Data'!$B$4:$Q$300, 11, FALSE)</f>
        <v>#N/A</v>
      </c>
      <c r="O198" s="11" t="str">
        <f>VLOOKUP($H198, 'ADP Data'!$B$4:$Q$300, 5, FALSE)</f>
        <v>#N/A</v>
      </c>
      <c r="P198" s="11" t="str">
        <f t="shared" si="4"/>
        <v>#N/A</v>
      </c>
      <c r="Q198" s="11" t="str">
        <f>VLOOKUP($H198, 'ADP Data'!$B$4:$Q$300, 6, FALSE)</f>
        <v>#N/A</v>
      </c>
      <c r="R198" s="11" t="str">
        <f>VLOOKUP($H198, 'ADP Data'!$B$4:$Q$300, 7, FALSE)</f>
        <v>#N/A</v>
      </c>
      <c r="S198" s="11" t="str">
        <f>VLOOKUP($H198, 'ADP Data'!$B$4:$Q$300, 8, FALSE)</f>
        <v>#N/A</v>
      </c>
      <c r="T198" s="11" t="str">
        <f>VLOOKUP($H198, 'ADP Data'!$B$4:$Q$300, 9, FALSE)</f>
        <v>#N/A</v>
      </c>
      <c r="U198" s="11" t="str">
        <f>VLOOKUP($H198, 'ADP Data'!$B$4:$Q$300, 10, FALSE)</f>
        <v>#N/A</v>
      </c>
      <c r="V198" s="11" t="str">
        <f t="shared" si="5"/>
        <v>#N/A</v>
      </c>
      <c r="W198" s="11" t="str">
        <f>VLOOKUP($H198, SeanRanks!$A$2:$J$303, 7, FALSE)-V198</f>
        <v>#N/A</v>
      </c>
      <c r="X198" s="11"/>
    </row>
    <row r="199" ht="14.25" customHeight="1">
      <c r="A199" s="11"/>
      <c r="B199" s="11" t="str">
        <f t="shared" si="1"/>
        <v>#N/A</v>
      </c>
      <c r="C199" s="11" t="s">
        <v>106</v>
      </c>
      <c r="D199" s="11"/>
      <c r="E199" s="11"/>
      <c r="F199" s="11">
        <f t="shared" si="2"/>
        <v>0</v>
      </c>
      <c r="G199" s="11"/>
      <c r="H199" s="11" t="s">
        <v>1275</v>
      </c>
      <c r="I199" s="11" t="str">
        <f>VLOOKUP($H199, 'ADP Data'!$B$4:$Q$300, 2, FALSE)</f>
        <v>#N/A</v>
      </c>
      <c r="J199" s="11" t="str">
        <f>VLOOKUP($H199, 'ADP Data'!$B$4:$Q$300, 3, FALSE)</f>
        <v>#N/A</v>
      </c>
      <c r="K199" s="11"/>
      <c r="L199" s="11"/>
      <c r="M199" s="11">
        <f t="shared" si="3"/>
        <v>16</v>
      </c>
      <c r="N199" s="11" t="str">
        <f>VLOOKUP($H199, 'ADP Data'!$B$4:$Q$300, 11, FALSE)</f>
        <v>#N/A</v>
      </c>
      <c r="O199" s="11" t="str">
        <f>VLOOKUP($H199, 'ADP Data'!$B$4:$Q$300, 5, FALSE)</f>
        <v>#N/A</v>
      </c>
      <c r="P199" s="11" t="str">
        <f t="shared" si="4"/>
        <v>#N/A</v>
      </c>
      <c r="Q199" s="11" t="str">
        <f>VLOOKUP($H199, 'ADP Data'!$B$4:$Q$300, 6, FALSE)</f>
        <v>#N/A</v>
      </c>
      <c r="R199" s="11" t="str">
        <f>VLOOKUP($H199, 'ADP Data'!$B$4:$Q$300, 7, FALSE)</f>
        <v>#N/A</v>
      </c>
      <c r="S199" s="11" t="str">
        <f>VLOOKUP($H199, 'ADP Data'!$B$4:$Q$300, 8, FALSE)</f>
        <v>#N/A</v>
      </c>
      <c r="T199" s="11" t="str">
        <f>VLOOKUP($H199, 'ADP Data'!$B$4:$Q$300, 9, FALSE)</f>
        <v>#N/A</v>
      </c>
      <c r="U199" s="11" t="str">
        <f>VLOOKUP($H199, 'ADP Data'!$B$4:$Q$300, 10, FALSE)</f>
        <v>#N/A</v>
      </c>
      <c r="V199" s="11" t="str">
        <f t="shared" si="5"/>
        <v>#N/A</v>
      </c>
      <c r="W199" s="11" t="str">
        <f>VLOOKUP($H199, SeanRanks!$A$2:$J$303, 7, FALSE)-V199</f>
        <v>#N/A</v>
      </c>
      <c r="X199" s="11"/>
    </row>
    <row r="200" ht="14.25" customHeight="1">
      <c r="A200" s="11"/>
      <c r="B200" s="11" t="str">
        <f t="shared" si="1"/>
        <v>#N/A</v>
      </c>
      <c r="C200" s="11" t="s">
        <v>106</v>
      </c>
      <c r="D200" s="11"/>
      <c r="E200" s="11"/>
      <c r="F200" s="11">
        <f t="shared" si="2"/>
        <v>0</v>
      </c>
      <c r="G200" s="11"/>
      <c r="H200" s="11" t="s">
        <v>1276</v>
      </c>
      <c r="I200" s="11" t="str">
        <f>VLOOKUP($H200, 'ADP Data'!$B$4:$Q$300, 2, FALSE)</f>
        <v>#N/A</v>
      </c>
      <c r="J200" s="11" t="str">
        <f>VLOOKUP($H200, 'ADP Data'!$B$4:$Q$300, 3, FALSE)</f>
        <v>#N/A</v>
      </c>
      <c r="K200" s="11"/>
      <c r="L200" s="11"/>
      <c r="M200" s="11">
        <f t="shared" si="3"/>
        <v>16</v>
      </c>
      <c r="N200" s="11" t="str">
        <f>VLOOKUP($H200, 'ADP Data'!$B$4:$Q$300, 11, FALSE)</f>
        <v>#N/A</v>
      </c>
      <c r="O200" s="11" t="str">
        <f>VLOOKUP($H200, 'ADP Data'!$B$4:$Q$300, 5, FALSE)</f>
        <v>#N/A</v>
      </c>
      <c r="P200" s="11" t="str">
        <f t="shared" si="4"/>
        <v>#N/A</v>
      </c>
      <c r="Q200" s="11" t="str">
        <f>VLOOKUP($H200, 'ADP Data'!$B$4:$Q$300, 6, FALSE)</f>
        <v>#N/A</v>
      </c>
      <c r="R200" s="11" t="str">
        <f>VLOOKUP($H200, 'ADP Data'!$B$4:$Q$300, 7, FALSE)</f>
        <v>#N/A</v>
      </c>
      <c r="S200" s="11" t="str">
        <f>VLOOKUP($H200, 'ADP Data'!$B$4:$Q$300, 8, FALSE)</f>
        <v>#N/A</v>
      </c>
      <c r="T200" s="11" t="str">
        <f>VLOOKUP($H200, 'ADP Data'!$B$4:$Q$300, 9, FALSE)</f>
        <v>#N/A</v>
      </c>
      <c r="U200" s="11" t="str">
        <f>VLOOKUP($H200, 'ADP Data'!$B$4:$Q$300, 10, FALSE)</f>
        <v>#N/A</v>
      </c>
      <c r="V200" s="11" t="str">
        <f t="shared" si="5"/>
        <v>#N/A</v>
      </c>
      <c r="W200" s="11" t="str">
        <f>VLOOKUP($H200, SeanRanks!$A$2:$J$303, 7, FALSE)-V200</f>
        <v>#N/A</v>
      </c>
      <c r="X200" s="11"/>
    </row>
    <row r="201" ht="14.25" customHeight="1">
      <c r="A201" s="11"/>
      <c r="B201" s="11" t="str">
        <f t="shared" si="1"/>
        <v>#N/A</v>
      </c>
      <c r="C201" s="11" t="s">
        <v>106</v>
      </c>
      <c r="D201" s="11"/>
      <c r="E201" s="11"/>
      <c r="F201" s="11">
        <f t="shared" si="2"/>
        <v>0</v>
      </c>
      <c r="G201" s="11"/>
      <c r="H201" s="11" t="s">
        <v>491</v>
      </c>
      <c r="I201" s="11" t="str">
        <f>VLOOKUP($H201, 'ADP Data'!$B$4:$Q$300, 2, FALSE)</f>
        <v>#N/A</v>
      </c>
      <c r="J201" s="11" t="str">
        <f>VLOOKUP($H201, 'ADP Data'!$B$4:$Q$300, 3, FALSE)</f>
        <v>#N/A</v>
      </c>
      <c r="K201" s="11"/>
      <c r="L201" s="11"/>
      <c r="M201" s="11">
        <f t="shared" si="3"/>
        <v>16</v>
      </c>
      <c r="N201" s="11" t="str">
        <f>VLOOKUP($H201, 'ADP Data'!$B$4:$Q$300, 11, FALSE)</f>
        <v>#N/A</v>
      </c>
      <c r="O201" s="11" t="str">
        <f>VLOOKUP($H201, 'ADP Data'!$B$4:$Q$300, 5, FALSE)</f>
        <v>#N/A</v>
      </c>
      <c r="P201" s="11" t="str">
        <f t="shared" si="4"/>
        <v>#N/A</v>
      </c>
      <c r="Q201" s="11" t="str">
        <f>VLOOKUP($H201, 'ADP Data'!$B$4:$Q$300, 6, FALSE)</f>
        <v>#N/A</v>
      </c>
      <c r="R201" s="11" t="str">
        <f>VLOOKUP($H201, 'ADP Data'!$B$4:$Q$300, 7, FALSE)</f>
        <v>#N/A</v>
      </c>
      <c r="S201" s="11" t="str">
        <f>VLOOKUP($H201, 'ADP Data'!$B$4:$Q$300, 8, FALSE)</f>
        <v>#N/A</v>
      </c>
      <c r="T201" s="11" t="str">
        <f>VLOOKUP($H201, 'ADP Data'!$B$4:$Q$300, 9, FALSE)</f>
        <v>#N/A</v>
      </c>
      <c r="U201" s="11" t="str">
        <f>VLOOKUP($H201, 'ADP Data'!$B$4:$Q$300, 10, FALSE)</f>
        <v>#N/A</v>
      </c>
      <c r="V201" s="11" t="str">
        <f t="shared" si="5"/>
        <v>#N/A</v>
      </c>
      <c r="W201" s="11" t="str">
        <f>VLOOKUP($H201, SeanRanks!$A$2:$J$303, 7, FALSE)-V201</f>
        <v>#N/A</v>
      </c>
      <c r="X201" s="11"/>
    </row>
    <row r="202" ht="14.25" customHeight="1">
      <c r="A202" s="11"/>
      <c r="B202" s="11" t="str">
        <f t="shared" si="1"/>
        <v>#N/A</v>
      </c>
      <c r="C202" s="11" t="s">
        <v>106</v>
      </c>
      <c r="D202" s="11"/>
      <c r="E202" s="11"/>
      <c r="F202" s="11">
        <f t="shared" si="2"/>
        <v>0</v>
      </c>
      <c r="G202" s="11"/>
      <c r="H202" s="11" t="s">
        <v>1277</v>
      </c>
      <c r="I202" s="11" t="str">
        <f>VLOOKUP($H202, 'ADP Data'!$B$4:$Q$300, 2, FALSE)</f>
        <v>#N/A</v>
      </c>
      <c r="J202" s="11" t="str">
        <f>VLOOKUP($H202, 'ADP Data'!$B$4:$Q$300, 3, FALSE)</f>
        <v>#N/A</v>
      </c>
      <c r="K202" s="11"/>
      <c r="L202" s="11"/>
      <c r="M202" s="11">
        <f t="shared" si="3"/>
        <v>16</v>
      </c>
      <c r="N202" s="11" t="str">
        <f>VLOOKUP($H202, 'ADP Data'!$B$4:$Q$300, 11, FALSE)</f>
        <v>#N/A</v>
      </c>
      <c r="O202" s="11" t="str">
        <f>VLOOKUP($H202, 'ADP Data'!$B$4:$Q$300, 5, FALSE)</f>
        <v>#N/A</v>
      </c>
      <c r="P202" s="11" t="str">
        <f t="shared" si="4"/>
        <v>#N/A</v>
      </c>
      <c r="Q202" s="11" t="str">
        <f>VLOOKUP($H202, 'ADP Data'!$B$4:$Q$300, 6, FALSE)</f>
        <v>#N/A</v>
      </c>
      <c r="R202" s="11" t="str">
        <f>VLOOKUP($H202, 'ADP Data'!$B$4:$Q$300, 7, FALSE)</f>
        <v>#N/A</v>
      </c>
      <c r="S202" s="11" t="str">
        <f>VLOOKUP($H202, 'ADP Data'!$B$4:$Q$300, 8, FALSE)</f>
        <v>#N/A</v>
      </c>
      <c r="T202" s="11" t="str">
        <f>VLOOKUP($H202, 'ADP Data'!$B$4:$Q$300, 9, FALSE)</f>
        <v>#N/A</v>
      </c>
      <c r="U202" s="11" t="str">
        <f>VLOOKUP($H202, 'ADP Data'!$B$4:$Q$300, 10, FALSE)</f>
        <v>#N/A</v>
      </c>
      <c r="V202" s="11" t="str">
        <f t="shared" si="5"/>
        <v>#N/A</v>
      </c>
      <c r="W202" s="11" t="str">
        <f>VLOOKUP($H202, SeanRanks!$A$2:$J$303, 7, FALSE)-V202</f>
        <v>#N/A</v>
      </c>
      <c r="X202" s="11"/>
    </row>
    <row r="203" ht="14.25" customHeight="1">
      <c r="A203" s="11"/>
      <c r="B203" s="11" t="str">
        <f t="shared" si="1"/>
        <v>#N/A</v>
      </c>
      <c r="C203" s="11" t="s">
        <v>106</v>
      </c>
      <c r="D203" s="11"/>
      <c r="E203" s="11"/>
      <c r="F203" s="11">
        <f t="shared" si="2"/>
        <v>0</v>
      </c>
      <c r="G203" s="11"/>
      <c r="H203" s="11" t="s">
        <v>1278</v>
      </c>
      <c r="I203" s="11" t="str">
        <f>VLOOKUP($H203, 'ADP Data'!$B$4:$Q$300, 2, FALSE)</f>
        <v>#N/A</v>
      </c>
      <c r="J203" s="11" t="str">
        <f>VLOOKUP($H203, 'ADP Data'!$B$4:$Q$300, 3, FALSE)</f>
        <v>#N/A</v>
      </c>
      <c r="K203" s="11"/>
      <c r="L203" s="11"/>
      <c r="M203" s="11">
        <f t="shared" si="3"/>
        <v>16</v>
      </c>
      <c r="N203" s="11" t="str">
        <f>VLOOKUP($H203, 'ADP Data'!$B$4:$Q$300, 11, FALSE)</f>
        <v>#N/A</v>
      </c>
      <c r="O203" s="11" t="str">
        <f>VLOOKUP($H203, 'ADP Data'!$B$4:$Q$300, 5, FALSE)</f>
        <v>#N/A</v>
      </c>
      <c r="P203" s="11" t="str">
        <f t="shared" si="4"/>
        <v>#N/A</v>
      </c>
      <c r="Q203" s="11" t="str">
        <f>VLOOKUP($H203, 'ADP Data'!$B$4:$Q$300, 6, FALSE)</f>
        <v>#N/A</v>
      </c>
      <c r="R203" s="11" t="str">
        <f>VLOOKUP($H203, 'ADP Data'!$B$4:$Q$300, 7, FALSE)</f>
        <v>#N/A</v>
      </c>
      <c r="S203" s="11" t="str">
        <f>VLOOKUP($H203, 'ADP Data'!$B$4:$Q$300, 8, FALSE)</f>
        <v>#N/A</v>
      </c>
      <c r="T203" s="11" t="str">
        <f>VLOOKUP($H203, 'ADP Data'!$B$4:$Q$300, 9, FALSE)</f>
        <v>#N/A</v>
      </c>
      <c r="U203" s="11" t="str">
        <f>VLOOKUP($H203, 'ADP Data'!$B$4:$Q$300, 10, FALSE)</f>
        <v>#N/A</v>
      </c>
      <c r="V203" s="11" t="str">
        <f t="shared" si="5"/>
        <v>#N/A</v>
      </c>
      <c r="W203" s="11" t="str">
        <f>VLOOKUP($H203, SeanRanks!$A$2:$J$303, 7, FALSE)-V203</f>
        <v>#N/A</v>
      </c>
      <c r="X203" s="11"/>
    </row>
    <row r="204" ht="14.25" customHeight="1">
      <c r="A204" s="11"/>
      <c r="B204" s="11" t="str">
        <f t="shared" si="1"/>
        <v>#N/A</v>
      </c>
      <c r="C204" s="11" t="s">
        <v>106</v>
      </c>
      <c r="D204" s="11"/>
      <c r="E204" s="11"/>
      <c r="F204" s="11">
        <f t="shared" si="2"/>
        <v>0</v>
      </c>
      <c r="G204" s="11"/>
      <c r="H204" s="11" t="s">
        <v>1279</v>
      </c>
      <c r="I204" s="11" t="str">
        <f>VLOOKUP($H204, 'ADP Data'!$B$4:$Q$300, 2, FALSE)</f>
        <v>#N/A</v>
      </c>
      <c r="J204" s="11" t="str">
        <f>VLOOKUP($H204, 'ADP Data'!$B$4:$Q$300, 3, FALSE)</f>
        <v>#N/A</v>
      </c>
      <c r="K204" s="11"/>
      <c r="L204" s="11"/>
      <c r="M204" s="11">
        <f t="shared" si="3"/>
        <v>16</v>
      </c>
      <c r="N204" s="11" t="str">
        <f>VLOOKUP($H204, 'ADP Data'!$B$4:$Q$300, 11, FALSE)</f>
        <v>#N/A</v>
      </c>
      <c r="O204" s="11" t="str">
        <f>VLOOKUP($H204, 'ADP Data'!$B$4:$Q$300, 5, FALSE)</f>
        <v>#N/A</v>
      </c>
      <c r="P204" s="11" t="str">
        <f t="shared" si="4"/>
        <v>#N/A</v>
      </c>
      <c r="Q204" s="11" t="str">
        <f>VLOOKUP($H204, 'ADP Data'!$B$4:$Q$300, 6, FALSE)</f>
        <v>#N/A</v>
      </c>
      <c r="R204" s="11" t="str">
        <f>VLOOKUP($H204, 'ADP Data'!$B$4:$Q$300, 7, FALSE)</f>
        <v>#N/A</v>
      </c>
      <c r="S204" s="11" t="str">
        <f>VLOOKUP($H204, 'ADP Data'!$B$4:$Q$300, 8, FALSE)</f>
        <v>#N/A</v>
      </c>
      <c r="T204" s="11" t="str">
        <f>VLOOKUP($H204, 'ADP Data'!$B$4:$Q$300, 9, FALSE)</f>
        <v>#N/A</v>
      </c>
      <c r="U204" s="11" t="str">
        <f>VLOOKUP($H204, 'ADP Data'!$B$4:$Q$300, 10, FALSE)</f>
        <v>#N/A</v>
      </c>
      <c r="V204" s="11" t="str">
        <f t="shared" si="5"/>
        <v>#N/A</v>
      </c>
      <c r="W204" s="11" t="str">
        <f>VLOOKUP($H204, SeanRanks!$A$2:$J$303, 7, FALSE)-V204</f>
        <v>#N/A</v>
      </c>
      <c r="X204" s="11"/>
    </row>
    <row r="205" ht="14.25" customHeight="1">
      <c r="A205" s="11"/>
      <c r="B205" s="11" t="str">
        <f t="shared" si="1"/>
        <v>#N/A</v>
      </c>
      <c r="C205" s="11" t="s">
        <v>106</v>
      </c>
      <c r="D205" s="11"/>
      <c r="E205" s="11"/>
      <c r="F205" s="11">
        <f t="shared" si="2"/>
        <v>0</v>
      </c>
      <c r="G205" s="11"/>
      <c r="H205" s="11" t="s">
        <v>1280</v>
      </c>
      <c r="I205" s="11" t="str">
        <f>VLOOKUP($H205, 'ADP Data'!$B$4:$Q$300, 2, FALSE)</f>
        <v>#N/A</v>
      </c>
      <c r="J205" s="11" t="str">
        <f>VLOOKUP($H205, 'ADP Data'!$B$4:$Q$300, 3, FALSE)</f>
        <v>#N/A</v>
      </c>
      <c r="K205" s="11"/>
      <c r="L205" s="11"/>
      <c r="M205" s="11">
        <f t="shared" si="3"/>
        <v>16</v>
      </c>
      <c r="N205" s="11" t="str">
        <f>VLOOKUP($H205, 'ADP Data'!$B$4:$Q$300, 11, FALSE)</f>
        <v>#N/A</v>
      </c>
      <c r="O205" s="11" t="str">
        <f>VLOOKUP($H205, 'ADP Data'!$B$4:$Q$300, 5, FALSE)</f>
        <v>#N/A</v>
      </c>
      <c r="P205" s="11" t="str">
        <f t="shared" si="4"/>
        <v>#N/A</v>
      </c>
      <c r="Q205" s="11" t="str">
        <f>VLOOKUP($H205, 'ADP Data'!$B$4:$Q$300, 6, FALSE)</f>
        <v>#N/A</v>
      </c>
      <c r="R205" s="11" t="str">
        <f>VLOOKUP($H205, 'ADP Data'!$B$4:$Q$300, 7, FALSE)</f>
        <v>#N/A</v>
      </c>
      <c r="S205" s="11" t="str">
        <f>VLOOKUP($H205, 'ADP Data'!$B$4:$Q$300, 8, FALSE)</f>
        <v>#N/A</v>
      </c>
      <c r="T205" s="11" t="str">
        <f>VLOOKUP($H205, 'ADP Data'!$B$4:$Q$300, 9, FALSE)</f>
        <v>#N/A</v>
      </c>
      <c r="U205" s="11" t="str">
        <f>VLOOKUP($H205, 'ADP Data'!$B$4:$Q$300, 10, FALSE)</f>
        <v>#N/A</v>
      </c>
      <c r="V205" s="11" t="str">
        <f t="shared" si="5"/>
        <v>#N/A</v>
      </c>
      <c r="W205" s="11" t="str">
        <f>VLOOKUP($H205, SeanRanks!$A$2:$J$303, 7, FALSE)-V205</f>
        <v>#N/A</v>
      </c>
      <c r="X205" s="11"/>
    </row>
    <row r="206" ht="14.25" customHeight="1">
      <c r="A206" s="11"/>
      <c r="B206" s="11" t="str">
        <f t="shared" si="1"/>
        <v>#N/A</v>
      </c>
      <c r="C206" s="11" t="s">
        <v>106</v>
      </c>
      <c r="D206" s="11"/>
      <c r="E206" s="11"/>
      <c r="F206" s="11">
        <f t="shared" si="2"/>
        <v>0</v>
      </c>
      <c r="G206" s="11"/>
      <c r="H206" s="11" t="s">
        <v>1281</v>
      </c>
      <c r="I206" s="11" t="str">
        <f>VLOOKUP($H206, 'ADP Data'!$B$4:$Q$300, 2, FALSE)</f>
        <v>#N/A</v>
      </c>
      <c r="J206" s="11" t="str">
        <f>VLOOKUP($H206, 'ADP Data'!$B$4:$Q$300, 3, FALSE)</f>
        <v>#N/A</v>
      </c>
      <c r="K206" s="11"/>
      <c r="L206" s="11"/>
      <c r="M206" s="11">
        <f t="shared" si="3"/>
        <v>16</v>
      </c>
      <c r="N206" s="11" t="str">
        <f>VLOOKUP($H206, 'ADP Data'!$B$4:$Q$300, 11, FALSE)</f>
        <v>#N/A</v>
      </c>
      <c r="O206" s="11" t="str">
        <f>VLOOKUP($H206, 'ADP Data'!$B$4:$Q$300, 5, FALSE)</f>
        <v>#N/A</v>
      </c>
      <c r="P206" s="11" t="str">
        <f t="shared" si="4"/>
        <v>#N/A</v>
      </c>
      <c r="Q206" s="11" t="str">
        <f>VLOOKUP($H206, 'ADP Data'!$B$4:$Q$300, 6, FALSE)</f>
        <v>#N/A</v>
      </c>
      <c r="R206" s="11" t="str">
        <f>VLOOKUP($H206, 'ADP Data'!$B$4:$Q$300, 7, FALSE)</f>
        <v>#N/A</v>
      </c>
      <c r="S206" s="11" t="str">
        <f>VLOOKUP($H206, 'ADP Data'!$B$4:$Q$300, 8, FALSE)</f>
        <v>#N/A</v>
      </c>
      <c r="T206" s="11" t="str">
        <f>VLOOKUP($H206, 'ADP Data'!$B$4:$Q$300, 9, FALSE)</f>
        <v>#N/A</v>
      </c>
      <c r="U206" s="11" t="str">
        <f>VLOOKUP($H206, 'ADP Data'!$B$4:$Q$300, 10, FALSE)</f>
        <v>#N/A</v>
      </c>
      <c r="V206" s="11" t="str">
        <f t="shared" si="5"/>
        <v>#N/A</v>
      </c>
      <c r="W206" s="11" t="str">
        <f>VLOOKUP($H206, SeanRanks!$A$2:$J$303, 7, FALSE)-V206</f>
        <v>#N/A</v>
      </c>
      <c r="X206" s="11"/>
    </row>
    <row r="207" ht="14.25" customHeight="1">
      <c r="A207" s="11"/>
      <c r="B207" s="11" t="str">
        <f t="shared" si="1"/>
        <v>#N/A</v>
      </c>
      <c r="C207" s="11" t="s">
        <v>106</v>
      </c>
      <c r="D207" s="11"/>
      <c r="E207" s="11"/>
      <c r="F207" s="11">
        <f t="shared" si="2"/>
        <v>0</v>
      </c>
      <c r="G207" s="11"/>
      <c r="H207" s="11" t="s">
        <v>881</v>
      </c>
      <c r="I207" s="11" t="str">
        <f>VLOOKUP($H207, 'ADP Data'!$B$4:$Q$300, 2, FALSE)</f>
        <v>#N/A</v>
      </c>
      <c r="J207" s="11" t="str">
        <f>VLOOKUP($H207, 'ADP Data'!$B$4:$Q$300, 3, FALSE)</f>
        <v>#N/A</v>
      </c>
      <c r="K207" s="11"/>
      <c r="L207" s="11"/>
      <c r="M207" s="11">
        <f t="shared" si="3"/>
        <v>16</v>
      </c>
      <c r="N207" s="11" t="str">
        <f>VLOOKUP($H207, 'ADP Data'!$B$4:$Q$300, 11, FALSE)</f>
        <v>#N/A</v>
      </c>
      <c r="O207" s="11" t="str">
        <f>VLOOKUP($H207, 'ADP Data'!$B$4:$Q$300, 5, FALSE)</f>
        <v>#N/A</v>
      </c>
      <c r="P207" s="11" t="str">
        <f t="shared" si="4"/>
        <v>#N/A</v>
      </c>
      <c r="Q207" s="11" t="str">
        <f>VLOOKUP($H207, 'ADP Data'!$B$4:$Q$300, 6, FALSE)</f>
        <v>#N/A</v>
      </c>
      <c r="R207" s="11" t="str">
        <f>VLOOKUP($H207, 'ADP Data'!$B$4:$Q$300, 7, FALSE)</f>
        <v>#N/A</v>
      </c>
      <c r="S207" s="11" t="str">
        <f>VLOOKUP($H207, 'ADP Data'!$B$4:$Q$300, 8, FALSE)</f>
        <v>#N/A</v>
      </c>
      <c r="T207" s="11" t="str">
        <f>VLOOKUP($H207, 'ADP Data'!$B$4:$Q$300, 9, FALSE)</f>
        <v>#N/A</v>
      </c>
      <c r="U207" s="11" t="str">
        <f>VLOOKUP($H207, 'ADP Data'!$B$4:$Q$300, 10, FALSE)</f>
        <v>#N/A</v>
      </c>
      <c r="V207" s="11" t="str">
        <f t="shared" si="5"/>
        <v>#N/A</v>
      </c>
      <c r="W207" s="11" t="str">
        <f>VLOOKUP($H207, SeanRanks!$A$2:$J$303, 7, FALSE)-V207</f>
        <v>#N/A</v>
      </c>
      <c r="X207" s="11"/>
    </row>
    <row r="208" ht="14.25" customHeight="1">
      <c r="A208" s="11"/>
      <c r="B208" s="11" t="str">
        <f t="shared" si="1"/>
        <v>#N/A</v>
      </c>
      <c r="C208" s="11" t="s">
        <v>106</v>
      </c>
      <c r="D208" s="11"/>
      <c r="E208" s="11"/>
      <c r="F208" s="11">
        <f t="shared" si="2"/>
        <v>0</v>
      </c>
      <c r="G208" s="11"/>
      <c r="H208" s="11" t="s">
        <v>982</v>
      </c>
      <c r="I208" s="11" t="str">
        <f>VLOOKUP($H208, 'ADP Data'!$B$4:$Q$300, 2, FALSE)</f>
        <v>#N/A</v>
      </c>
      <c r="J208" s="11" t="str">
        <f>VLOOKUP($H208, 'ADP Data'!$B$4:$Q$300, 3, FALSE)</f>
        <v>#N/A</v>
      </c>
      <c r="K208" s="11"/>
      <c r="L208" s="11"/>
      <c r="M208" s="11">
        <f t="shared" si="3"/>
        <v>16</v>
      </c>
      <c r="N208" s="11" t="str">
        <f>VLOOKUP($H208, 'ADP Data'!$B$4:$Q$300, 11, FALSE)</f>
        <v>#N/A</v>
      </c>
      <c r="O208" s="11" t="str">
        <f>VLOOKUP($H208, 'ADP Data'!$B$4:$Q$300, 5, FALSE)</f>
        <v>#N/A</v>
      </c>
      <c r="P208" s="11" t="str">
        <f t="shared" si="4"/>
        <v>#N/A</v>
      </c>
      <c r="Q208" s="11" t="str">
        <f>VLOOKUP($H208, 'ADP Data'!$B$4:$Q$300, 6, FALSE)</f>
        <v>#N/A</v>
      </c>
      <c r="R208" s="11" t="str">
        <f>VLOOKUP($H208, 'ADP Data'!$B$4:$Q$300, 7, FALSE)</f>
        <v>#N/A</v>
      </c>
      <c r="S208" s="11" t="str">
        <f>VLOOKUP($H208, 'ADP Data'!$B$4:$Q$300, 8, FALSE)</f>
        <v>#N/A</v>
      </c>
      <c r="T208" s="11" t="str">
        <f>VLOOKUP($H208, 'ADP Data'!$B$4:$Q$300, 9, FALSE)</f>
        <v>#N/A</v>
      </c>
      <c r="U208" s="11" t="str">
        <f>VLOOKUP($H208, 'ADP Data'!$B$4:$Q$300, 10, FALSE)</f>
        <v>#N/A</v>
      </c>
      <c r="V208" s="11" t="str">
        <f t="shared" si="5"/>
        <v>#N/A</v>
      </c>
      <c r="W208" s="11" t="str">
        <f>VLOOKUP($H208, SeanRanks!$A$2:$J$303, 7, FALSE)-V208</f>
        <v>#N/A</v>
      </c>
      <c r="X208" s="11"/>
    </row>
    <row r="209" ht="14.25" customHeight="1">
      <c r="A209" s="11"/>
      <c r="B209" s="11" t="str">
        <f t="shared" si="1"/>
        <v>#N/A</v>
      </c>
      <c r="C209" s="11" t="s">
        <v>106</v>
      </c>
      <c r="D209" s="11"/>
      <c r="E209" s="11"/>
      <c r="F209" s="11">
        <f t="shared" si="2"/>
        <v>0</v>
      </c>
      <c r="G209" s="11"/>
      <c r="H209" s="11" t="s">
        <v>1282</v>
      </c>
      <c r="I209" s="11" t="str">
        <f>VLOOKUP($H209, 'ADP Data'!$B$4:$Q$300, 2, FALSE)</f>
        <v>#N/A</v>
      </c>
      <c r="J209" s="11" t="str">
        <f>VLOOKUP($H209, 'ADP Data'!$B$4:$Q$300, 3, FALSE)</f>
        <v>#N/A</v>
      </c>
      <c r="K209" s="11"/>
      <c r="L209" s="11"/>
      <c r="M209" s="11">
        <f t="shared" si="3"/>
        <v>16</v>
      </c>
      <c r="N209" s="11" t="str">
        <f>VLOOKUP($H209, 'ADP Data'!$B$4:$Q$300, 11, FALSE)</f>
        <v>#N/A</v>
      </c>
      <c r="O209" s="11" t="str">
        <f>VLOOKUP($H209, 'ADP Data'!$B$4:$Q$300, 5, FALSE)</f>
        <v>#N/A</v>
      </c>
      <c r="P209" s="11" t="str">
        <f t="shared" si="4"/>
        <v>#N/A</v>
      </c>
      <c r="Q209" s="11" t="str">
        <f>VLOOKUP($H209, 'ADP Data'!$B$4:$Q$300, 6, FALSE)</f>
        <v>#N/A</v>
      </c>
      <c r="R209" s="11" t="str">
        <f>VLOOKUP($H209, 'ADP Data'!$B$4:$Q$300, 7, FALSE)</f>
        <v>#N/A</v>
      </c>
      <c r="S209" s="11" t="str">
        <f>VLOOKUP($H209, 'ADP Data'!$B$4:$Q$300, 8, FALSE)</f>
        <v>#N/A</v>
      </c>
      <c r="T209" s="11" t="str">
        <f>VLOOKUP($H209, 'ADP Data'!$B$4:$Q$300, 9, FALSE)</f>
        <v>#N/A</v>
      </c>
      <c r="U209" s="11" t="str">
        <f>VLOOKUP($H209, 'ADP Data'!$B$4:$Q$300, 10, FALSE)</f>
        <v>#N/A</v>
      </c>
      <c r="V209" s="11" t="str">
        <f t="shared" si="5"/>
        <v>#N/A</v>
      </c>
      <c r="W209" s="11" t="str">
        <f>VLOOKUP($H209, SeanRanks!$A$2:$J$303, 7, FALSE)-V209</f>
        <v>#N/A</v>
      </c>
      <c r="X209" s="11"/>
    </row>
    <row r="210" ht="14.25" customHeight="1">
      <c r="A210" s="11"/>
      <c r="B210" s="11" t="str">
        <f t="shared" si="1"/>
        <v>#N/A</v>
      </c>
      <c r="C210" s="11" t="s">
        <v>106</v>
      </c>
      <c r="D210" s="11"/>
      <c r="E210" s="11"/>
      <c r="F210" s="11">
        <f t="shared" si="2"/>
        <v>0</v>
      </c>
      <c r="G210" s="11"/>
      <c r="H210" s="11" t="s">
        <v>1283</v>
      </c>
      <c r="I210" s="11" t="str">
        <f>VLOOKUP($H210, 'ADP Data'!$B$4:$Q$300, 2, FALSE)</f>
        <v>#N/A</v>
      </c>
      <c r="J210" s="11" t="str">
        <f>VLOOKUP($H210, 'ADP Data'!$B$4:$Q$300, 3, FALSE)</f>
        <v>#N/A</v>
      </c>
      <c r="K210" s="11"/>
      <c r="L210" s="11"/>
      <c r="M210" s="11">
        <f t="shared" si="3"/>
        <v>16</v>
      </c>
      <c r="N210" s="11" t="str">
        <f>VLOOKUP($H210, 'ADP Data'!$B$4:$Q$300, 11, FALSE)</f>
        <v>#N/A</v>
      </c>
      <c r="O210" s="11" t="str">
        <f>VLOOKUP($H210, 'ADP Data'!$B$4:$Q$300, 5, FALSE)</f>
        <v>#N/A</v>
      </c>
      <c r="P210" s="11" t="str">
        <f t="shared" si="4"/>
        <v>#N/A</v>
      </c>
      <c r="Q210" s="11" t="str">
        <f>VLOOKUP($H210, 'ADP Data'!$B$4:$Q$300, 6, FALSE)</f>
        <v>#N/A</v>
      </c>
      <c r="R210" s="11" t="str">
        <f>VLOOKUP($H210, 'ADP Data'!$B$4:$Q$300, 7, FALSE)</f>
        <v>#N/A</v>
      </c>
      <c r="S210" s="11" t="str">
        <f>VLOOKUP($H210, 'ADP Data'!$B$4:$Q$300, 8, FALSE)</f>
        <v>#N/A</v>
      </c>
      <c r="T210" s="11" t="str">
        <f>VLOOKUP($H210, 'ADP Data'!$B$4:$Q$300, 9, FALSE)</f>
        <v>#N/A</v>
      </c>
      <c r="U210" s="11" t="str">
        <f>VLOOKUP($H210, 'ADP Data'!$B$4:$Q$300, 10, FALSE)</f>
        <v>#N/A</v>
      </c>
      <c r="V210" s="11" t="str">
        <f t="shared" si="5"/>
        <v>#N/A</v>
      </c>
      <c r="W210" s="11" t="str">
        <f>VLOOKUP($H210, SeanRanks!$A$2:$J$303, 7, FALSE)-V210</f>
        <v>#N/A</v>
      </c>
      <c r="X210" s="11"/>
    </row>
    <row r="211" ht="14.25" customHeight="1">
      <c r="A211" s="11"/>
      <c r="B211" s="11" t="str">
        <f t="shared" si="1"/>
        <v>#N/A</v>
      </c>
      <c r="C211" s="11" t="s">
        <v>106</v>
      </c>
      <c r="D211" s="11"/>
      <c r="E211" s="11"/>
      <c r="F211" s="11">
        <f t="shared" si="2"/>
        <v>0</v>
      </c>
      <c r="G211" s="11"/>
      <c r="H211" s="11" t="s">
        <v>1284</v>
      </c>
      <c r="I211" s="11" t="str">
        <f>VLOOKUP($H211, 'ADP Data'!$B$4:$Q$300, 2, FALSE)</f>
        <v>#N/A</v>
      </c>
      <c r="J211" s="11" t="str">
        <f>VLOOKUP($H211, 'ADP Data'!$B$4:$Q$300, 3, FALSE)</f>
        <v>#N/A</v>
      </c>
      <c r="K211" s="11"/>
      <c r="L211" s="11"/>
      <c r="M211" s="11">
        <f t="shared" si="3"/>
        <v>16</v>
      </c>
      <c r="N211" s="11" t="str">
        <f>VLOOKUP($H211, 'ADP Data'!$B$4:$Q$300, 11, FALSE)</f>
        <v>#N/A</v>
      </c>
      <c r="O211" s="11" t="str">
        <f>VLOOKUP($H211, 'ADP Data'!$B$4:$Q$300, 5, FALSE)</f>
        <v>#N/A</v>
      </c>
      <c r="P211" s="11" t="str">
        <f t="shared" si="4"/>
        <v>#N/A</v>
      </c>
      <c r="Q211" s="11" t="str">
        <f>VLOOKUP($H211, 'ADP Data'!$B$4:$Q$300, 6, FALSE)</f>
        <v>#N/A</v>
      </c>
      <c r="R211" s="11" t="str">
        <f>VLOOKUP($H211, 'ADP Data'!$B$4:$Q$300, 7, FALSE)</f>
        <v>#N/A</v>
      </c>
      <c r="S211" s="11" t="str">
        <f>VLOOKUP($H211, 'ADP Data'!$B$4:$Q$300, 8, FALSE)</f>
        <v>#N/A</v>
      </c>
      <c r="T211" s="11" t="str">
        <f>VLOOKUP($H211, 'ADP Data'!$B$4:$Q$300, 9, FALSE)</f>
        <v>#N/A</v>
      </c>
      <c r="U211" s="11" t="str">
        <f>VLOOKUP($H211, 'ADP Data'!$B$4:$Q$300, 10, FALSE)</f>
        <v>#N/A</v>
      </c>
      <c r="V211" s="11" t="str">
        <f t="shared" si="5"/>
        <v>#N/A</v>
      </c>
      <c r="W211" s="11" t="str">
        <f>VLOOKUP($H211, SeanRanks!$A$2:$J$303, 7, FALSE)-V211</f>
        <v>#N/A</v>
      </c>
      <c r="X211" s="11"/>
    </row>
    <row r="212" ht="14.25" customHeight="1">
      <c r="A212" s="11"/>
      <c r="B212" s="11" t="str">
        <f t="shared" si="1"/>
        <v>#N/A</v>
      </c>
      <c r="C212" s="11" t="s">
        <v>106</v>
      </c>
      <c r="D212" s="11"/>
      <c r="E212" s="11"/>
      <c r="F212" s="11">
        <f t="shared" si="2"/>
        <v>0</v>
      </c>
      <c r="G212" s="11"/>
      <c r="H212" s="11" t="s">
        <v>1285</v>
      </c>
      <c r="I212" s="11" t="str">
        <f>VLOOKUP($H212, 'ADP Data'!$B$4:$Q$300, 2, FALSE)</f>
        <v>#N/A</v>
      </c>
      <c r="J212" s="11" t="str">
        <f>VLOOKUP($H212, 'ADP Data'!$B$4:$Q$300, 3, FALSE)</f>
        <v>#N/A</v>
      </c>
      <c r="K212" s="11"/>
      <c r="L212" s="11"/>
      <c r="M212" s="11">
        <f t="shared" si="3"/>
        <v>16</v>
      </c>
      <c r="N212" s="11" t="str">
        <f>VLOOKUP($H212, 'ADP Data'!$B$4:$Q$300, 11, FALSE)</f>
        <v>#N/A</v>
      </c>
      <c r="O212" s="11" t="str">
        <f>VLOOKUP($H212, 'ADP Data'!$B$4:$Q$300, 5, FALSE)</f>
        <v>#N/A</v>
      </c>
      <c r="P212" s="11" t="str">
        <f t="shared" si="4"/>
        <v>#N/A</v>
      </c>
      <c r="Q212" s="11" t="str">
        <f>VLOOKUP($H212, 'ADP Data'!$B$4:$Q$300, 6, FALSE)</f>
        <v>#N/A</v>
      </c>
      <c r="R212" s="11" t="str">
        <f>VLOOKUP($H212, 'ADP Data'!$B$4:$Q$300, 7, FALSE)</f>
        <v>#N/A</v>
      </c>
      <c r="S212" s="11" t="str">
        <f>VLOOKUP($H212, 'ADP Data'!$B$4:$Q$300, 8, FALSE)</f>
        <v>#N/A</v>
      </c>
      <c r="T212" s="11" t="str">
        <f>VLOOKUP($H212, 'ADP Data'!$B$4:$Q$300, 9, FALSE)</f>
        <v>#N/A</v>
      </c>
      <c r="U212" s="11" t="str">
        <f>VLOOKUP($H212, 'ADP Data'!$B$4:$Q$300, 10, FALSE)</f>
        <v>#N/A</v>
      </c>
      <c r="V212" s="11" t="str">
        <f t="shared" si="5"/>
        <v>#N/A</v>
      </c>
      <c r="W212" s="11" t="str">
        <f>VLOOKUP($H212, SeanRanks!$A$2:$J$303, 7, FALSE)-V212</f>
        <v>#N/A</v>
      </c>
      <c r="X212" s="11"/>
    </row>
    <row r="213" ht="14.25" customHeight="1">
      <c r="A213" s="11"/>
      <c r="B213" s="11" t="str">
        <f t="shared" si="1"/>
        <v>#N/A</v>
      </c>
      <c r="C213" s="11" t="s">
        <v>106</v>
      </c>
      <c r="D213" s="11"/>
      <c r="E213" s="11"/>
      <c r="F213" s="11">
        <f t="shared" si="2"/>
        <v>0</v>
      </c>
      <c r="G213" s="11"/>
      <c r="H213" s="11" t="s">
        <v>1286</v>
      </c>
      <c r="I213" s="11" t="str">
        <f>VLOOKUP($H213, 'ADP Data'!$B$4:$Q$300, 2, FALSE)</f>
        <v>#N/A</v>
      </c>
      <c r="J213" s="11" t="str">
        <f>VLOOKUP($H213, 'ADP Data'!$B$4:$Q$300, 3, FALSE)</f>
        <v>#N/A</v>
      </c>
      <c r="K213" s="11"/>
      <c r="L213" s="11"/>
      <c r="M213" s="11">
        <f t="shared" si="3"/>
        <v>16</v>
      </c>
      <c r="N213" s="11" t="str">
        <f>VLOOKUP($H213, 'ADP Data'!$B$4:$Q$300, 11, FALSE)</f>
        <v>#N/A</v>
      </c>
      <c r="O213" s="11" t="str">
        <f>VLOOKUP($H213, 'ADP Data'!$B$4:$Q$300, 5, FALSE)</f>
        <v>#N/A</v>
      </c>
      <c r="P213" s="11" t="str">
        <f t="shared" si="4"/>
        <v>#N/A</v>
      </c>
      <c r="Q213" s="11" t="str">
        <f>VLOOKUP($H213, 'ADP Data'!$B$4:$Q$300, 6, FALSE)</f>
        <v>#N/A</v>
      </c>
      <c r="R213" s="11" t="str">
        <f>VLOOKUP($H213, 'ADP Data'!$B$4:$Q$300, 7, FALSE)</f>
        <v>#N/A</v>
      </c>
      <c r="S213" s="11" t="str">
        <f>VLOOKUP($H213, 'ADP Data'!$B$4:$Q$300, 8, FALSE)</f>
        <v>#N/A</v>
      </c>
      <c r="T213" s="11" t="str">
        <f>VLOOKUP($H213, 'ADP Data'!$B$4:$Q$300, 9, FALSE)</f>
        <v>#N/A</v>
      </c>
      <c r="U213" s="11" t="str">
        <f>VLOOKUP($H213, 'ADP Data'!$B$4:$Q$300, 10, FALSE)</f>
        <v>#N/A</v>
      </c>
      <c r="V213" s="11" t="str">
        <f t="shared" si="5"/>
        <v>#N/A</v>
      </c>
      <c r="W213" s="11" t="str">
        <f>VLOOKUP($H213, SeanRanks!$A$2:$J$303, 7, FALSE)-V213</f>
        <v>#N/A</v>
      </c>
      <c r="X213" s="11"/>
    </row>
    <row r="214" ht="14.25" customHeight="1">
      <c r="A214" s="11"/>
      <c r="B214" s="11" t="str">
        <f t="shared" si="1"/>
        <v>#N/A</v>
      </c>
      <c r="C214" s="11" t="s">
        <v>106</v>
      </c>
      <c r="D214" s="11"/>
      <c r="E214" s="11"/>
      <c r="F214" s="11">
        <f t="shared" si="2"/>
        <v>0</v>
      </c>
      <c r="G214" s="11"/>
      <c r="H214" s="11" t="s">
        <v>1287</v>
      </c>
      <c r="I214" s="11" t="str">
        <f>VLOOKUP($H214, 'ADP Data'!$B$4:$Q$300, 2, FALSE)</f>
        <v>#N/A</v>
      </c>
      <c r="J214" s="11" t="str">
        <f>VLOOKUP($H214, 'ADP Data'!$B$4:$Q$300, 3, FALSE)</f>
        <v>#N/A</v>
      </c>
      <c r="K214" s="11"/>
      <c r="L214" s="11"/>
      <c r="M214" s="11">
        <f t="shared" si="3"/>
        <v>16</v>
      </c>
      <c r="N214" s="11" t="str">
        <f>VLOOKUP($H214, 'ADP Data'!$B$4:$Q$300, 11, FALSE)</f>
        <v>#N/A</v>
      </c>
      <c r="O214" s="11" t="str">
        <f>VLOOKUP($H214, 'ADP Data'!$B$4:$Q$300, 5, FALSE)</f>
        <v>#N/A</v>
      </c>
      <c r="P214" s="11" t="str">
        <f t="shared" si="4"/>
        <v>#N/A</v>
      </c>
      <c r="Q214" s="11" t="str">
        <f>VLOOKUP($H214, 'ADP Data'!$B$4:$Q$300, 6, FALSE)</f>
        <v>#N/A</v>
      </c>
      <c r="R214" s="11" t="str">
        <f>VLOOKUP($H214, 'ADP Data'!$B$4:$Q$300, 7, FALSE)</f>
        <v>#N/A</v>
      </c>
      <c r="S214" s="11" t="str">
        <f>VLOOKUP($H214, 'ADP Data'!$B$4:$Q$300, 8, FALSE)</f>
        <v>#N/A</v>
      </c>
      <c r="T214" s="11" t="str">
        <f>VLOOKUP($H214, 'ADP Data'!$B$4:$Q$300, 9, FALSE)</f>
        <v>#N/A</v>
      </c>
      <c r="U214" s="11" t="str">
        <f>VLOOKUP($H214, 'ADP Data'!$B$4:$Q$300, 10, FALSE)</f>
        <v>#N/A</v>
      </c>
      <c r="V214" s="11" t="str">
        <f t="shared" si="5"/>
        <v>#N/A</v>
      </c>
      <c r="W214" s="11" t="str">
        <f>VLOOKUP($H214, SeanRanks!$A$2:$J$303, 7, FALSE)-V214</f>
        <v>#N/A</v>
      </c>
      <c r="X214" s="11"/>
    </row>
    <row r="215" ht="14.25" customHeight="1">
      <c r="A215" s="11"/>
      <c r="B215" s="11" t="str">
        <f t="shared" si="1"/>
        <v>#N/A</v>
      </c>
      <c r="C215" s="11" t="s">
        <v>106</v>
      </c>
      <c r="D215" s="11"/>
      <c r="E215" s="11"/>
      <c r="F215" s="11">
        <f t="shared" si="2"/>
        <v>0</v>
      </c>
      <c r="G215" s="11"/>
      <c r="H215" s="11" t="s">
        <v>674</v>
      </c>
      <c r="I215" s="11" t="str">
        <f>VLOOKUP($H215, 'ADP Data'!$B$4:$Q$300, 2, FALSE)</f>
        <v>#N/A</v>
      </c>
      <c r="J215" s="11" t="str">
        <f>VLOOKUP($H215, 'ADP Data'!$B$4:$Q$300, 3, FALSE)</f>
        <v>#N/A</v>
      </c>
      <c r="K215" s="11"/>
      <c r="L215" s="11"/>
      <c r="M215" s="11">
        <f t="shared" si="3"/>
        <v>16</v>
      </c>
      <c r="N215" s="11" t="str">
        <f>VLOOKUP($H215, 'ADP Data'!$B$4:$Q$300, 11, FALSE)</f>
        <v>#N/A</v>
      </c>
      <c r="O215" s="11" t="str">
        <f>VLOOKUP($H215, 'ADP Data'!$B$4:$Q$300, 5, FALSE)</f>
        <v>#N/A</v>
      </c>
      <c r="P215" s="11" t="str">
        <f t="shared" si="4"/>
        <v>#N/A</v>
      </c>
      <c r="Q215" s="11" t="str">
        <f>VLOOKUP($H215, 'ADP Data'!$B$4:$Q$300, 6, FALSE)</f>
        <v>#N/A</v>
      </c>
      <c r="R215" s="11" t="str">
        <f>VLOOKUP($H215, 'ADP Data'!$B$4:$Q$300, 7, FALSE)</f>
        <v>#N/A</v>
      </c>
      <c r="S215" s="11" t="str">
        <f>VLOOKUP($H215, 'ADP Data'!$B$4:$Q$300, 8, FALSE)</f>
        <v>#N/A</v>
      </c>
      <c r="T215" s="11" t="str">
        <f>VLOOKUP($H215, 'ADP Data'!$B$4:$Q$300, 9, FALSE)</f>
        <v>#N/A</v>
      </c>
      <c r="U215" s="11" t="str">
        <f>VLOOKUP($H215, 'ADP Data'!$B$4:$Q$300, 10, FALSE)</f>
        <v>#N/A</v>
      </c>
      <c r="V215" s="11" t="str">
        <f t="shared" si="5"/>
        <v>#N/A</v>
      </c>
      <c r="W215" s="11" t="str">
        <f>VLOOKUP($H215, SeanRanks!$A$2:$J$303, 7, FALSE)-V215</f>
        <v>#N/A</v>
      </c>
      <c r="X215" s="11"/>
    </row>
    <row r="216" ht="14.25" customHeight="1">
      <c r="A216" s="11"/>
      <c r="B216" s="11" t="str">
        <f t="shared" si="1"/>
        <v>#N/A</v>
      </c>
      <c r="C216" s="11" t="s">
        <v>106</v>
      </c>
      <c r="D216" s="11"/>
      <c r="E216" s="11"/>
      <c r="F216" s="11">
        <f t="shared" si="2"/>
        <v>0</v>
      </c>
      <c r="G216" s="11"/>
      <c r="H216" s="11" t="s">
        <v>1288</v>
      </c>
      <c r="I216" s="11" t="s">
        <v>176</v>
      </c>
      <c r="J216" s="11" t="s">
        <v>775</v>
      </c>
      <c r="K216" s="11"/>
      <c r="L216" s="11"/>
      <c r="M216" s="11">
        <f t="shared" si="3"/>
        <v>16</v>
      </c>
      <c r="N216" s="11" t="str">
        <f>VLOOKUP($H216, 'ADP Data'!$B$4:$Q$300, 11, FALSE)</f>
        <v>#N/A</v>
      </c>
      <c r="O216" s="11" t="str">
        <f>VLOOKUP($H216, 'ADP Data'!$B$4:$Q$300, 5, FALSE)</f>
        <v>#N/A</v>
      </c>
      <c r="P216" s="11" t="str">
        <f t="shared" si="4"/>
        <v>#N/A</v>
      </c>
      <c r="Q216" s="11" t="str">
        <f>VLOOKUP($H216, 'ADP Data'!$B$4:$Q$300, 6, FALSE)</f>
        <v>#N/A</v>
      </c>
      <c r="R216" s="11" t="str">
        <f>VLOOKUP($H216, 'ADP Data'!$B$4:$Q$300, 7, FALSE)</f>
        <v>#N/A</v>
      </c>
      <c r="S216" s="11" t="str">
        <f>VLOOKUP($H216, 'ADP Data'!$B$4:$Q$300, 8, FALSE)</f>
        <v>#N/A</v>
      </c>
      <c r="T216" s="11" t="str">
        <f>VLOOKUP($H216, 'ADP Data'!$B$4:$Q$300, 9, FALSE)</f>
        <v>#N/A</v>
      </c>
      <c r="U216" s="11" t="str">
        <f>VLOOKUP($H216, 'ADP Data'!$B$4:$Q$300, 10, FALSE)</f>
        <v>#N/A</v>
      </c>
      <c r="V216" s="11" t="str">
        <f t="shared" si="5"/>
        <v>#N/A</v>
      </c>
      <c r="W216" s="11" t="str">
        <f>VLOOKUP($H216, SeanRanks!$A$2:$J$303, 7, FALSE)-V216</f>
        <v>#N/A</v>
      </c>
      <c r="X216" s="11"/>
    </row>
    <row r="217" ht="14.25" customHeight="1">
      <c r="A217" s="11"/>
      <c r="B217" s="11" t="str">
        <f t="shared" si="1"/>
        <v>#N/A</v>
      </c>
      <c r="C217" s="11" t="s">
        <v>106</v>
      </c>
      <c r="D217" s="11"/>
      <c r="E217" s="11"/>
      <c r="F217" s="11">
        <f t="shared" si="2"/>
        <v>0</v>
      </c>
      <c r="G217" s="11"/>
      <c r="H217" s="11" t="s">
        <v>1289</v>
      </c>
      <c r="I217" s="11" t="s">
        <v>105</v>
      </c>
      <c r="J217" s="11" t="s">
        <v>775</v>
      </c>
      <c r="K217" s="11"/>
      <c r="L217" s="11"/>
      <c r="M217" s="11">
        <f t="shared" si="3"/>
        <v>16</v>
      </c>
      <c r="N217" s="11" t="str">
        <f>VLOOKUP($H217, 'ADP Data'!$B$4:$Q$300, 11, FALSE)</f>
        <v>#N/A</v>
      </c>
      <c r="O217" s="11" t="str">
        <f>VLOOKUP($H217, 'ADP Data'!$B$4:$Q$300, 5, FALSE)</f>
        <v>#N/A</v>
      </c>
      <c r="P217" s="11" t="str">
        <f t="shared" si="4"/>
        <v>#N/A</v>
      </c>
      <c r="Q217" s="11" t="str">
        <f>VLOOKUP($H217, 'ADP Data'!$B$4:$Q$300, 6, FALSE)</f>
        <v>#N/A</v>
      </c>
      <c r="R217" s="11" t="str">
        <f>VLOOKUP($H217, 'ADP Data'!$B$4:$Q$300, 7, FALSE)</f>
        <v>#N/A</v>
      </c>
      <c r="S217" s="11" t="str">
        <f>VLOOKUP($H217, 'ADP Data'!$B$4:$Q$300, 8, FALSE)</f>
        <v>#N/A</v>
      </c>
      <c r="T217" s="11" t="str">
        <f>VLOOKUP($H217, 'ADP Data'!$B$4:$Q$300, 9, FALSE)</f>
        <v>#N/A</v>
      </c>
      <c r="U217" s="11" t="str">
        <f>VLOOKUP($H217, 'ADP Data'!$B$4:$Q$300, 10, FALSE)</f>
        <v>#N/A</v>
      </c>
      <c r="V217" s="11" t="str">
        <f t="shared" si="5"/>
        <v>#N/A</v>
      </c>
      <c r="W217" s="11" t="str">
        <f>VLOOKUP($H217, SeanRanks!$A$2:$J$303, 7, FALSE)-V217</f>
        <v>#N/A</v>
      </c>
      <c r="X217" s="11"/>
    </row>
    <row r="218" ht="14.25" customHeight="1">
      <c r="A218" s="11"/>
      <c r="B218" s="11" t="str">
        <f t="shared" si="1"/>
        <v>#N/A</v>
      </c>
      <c r="C218" s="11" t="s">
        <v>106</v>
      </c>
      <c r="D218" s="11">
        <v>46.0</v>
      </c>
      <c r="E218" s="11">
        <v>45.0</v>
      </c>
      <c r="F218" s="11">
        <f t="shared" si="2"/>
        <v>1</v>
      </c>
      <c r="G218" s="11"/>
      <c r="H218" s="11" t="s">
        <v>299</v>
      </c>
      <c r="I218" s="11" t="str">
        <f>VLOOKUP($H218, 'ADP Data'!$B$4:$Q$300, 2, FALSE)</f>
        <v>#N/A</v>
      </c>
      <c r="J218" s="11" t="str">
        <f>VLOOKUP($H218, 'ADP Data'!$B$4:$Q$300, 3, FALSE)</f>
        <v>#N/A</v>
      </c>
      <c r="K218" s="11" t="str">
        <f>VLOOKUP($H218, SeanRanks!$A$2:$H$303, 4, FALSE)</f>
        <v/>
      </c>
      <c r="L218" s="11" t="str">
        <f>VLOOKUP($H218, SeanRanks!$A$2:$H$303, 5, FALSE)</f>
        <v/>
      </c>
      <c r="M218" s="11">
        <f t="shared" si="3"/>
        <v>16</v>
      </c>
      <c r="N218" s="11" t="str">
        <f>VLOOKUP($H218, 'ADP Data'!$B$4:$Q$300, 11, FALSE)</f>
        <v>#N/A</v>
      </c>
      <c r="O218" s="11" t="str">
        <f>VLOOKUP($H218, 'ADP Data'!$B$4:$Q$300, 5, FALSE)</f>
        <v>#N/A</v>
      </c>
      <c r="P218" s="11" t="str">
        <f t="shared" si="4"/>
        <v>#N/A</v>
      </c>
      <c r="Q218" s="11" t="str">
        <f>VLOOKUP($H218, 'ADP Data'!$B$4:$Q$300, 6, FALSE)</f>
        <v>#N/A</v>
      </c>
      <c r="R218" s="11" t="str">
        <f>VLOOKUP($H218, 'ADP Data'!$B$4:$Q$300, 7, FALSE)</f>
        <v>#N/A</v>
      </c>
      <c r="S218" s="11" t="str">
        <f>VLOOKUP($H218, 'ADP Data'!$B$4:$Q$300, 8, FALSE)</f>
        <v>#N/A</v>
      </c>
      <c r="T218" s="11" t="str">
        <f>VLOOKUP($H218, 'ADP Data'!$B$4:$Q$300, 9, FALSE)</f>
        <v>#N/A</v>
      </c>
      <c r="U218" s="11" t="str">
        <f>VLOOKUP($H218, 'ADP Data'!$B$4:$Q$300, 10, FALSE)</f>
        <v>#N/A</v>
      </c>
      <c r="V218" s="11" t="str">
        <f t="shared" si="5"/>
        <v>#N/A</v>
      </c>
      <c r="W218" s="11" t="str">
        <f>VLOOKUP($H218, SeanRanks!$A$2:$J$303, 7, FALSE)-V218</f>
        <v>#N/A</v>
      </c>
      <c r="X218" s="11"/>
    </row>
    <row r="219" ht="14.25" customHeight="1">
      <c r="A219" s="11"/>
      <c r="B219" s="11" t="str">
        <f t="shared" si="1"/>
        <v>#N/A</v>
      </c>
      <c r="C219" s="11" t="s">
        <v>106</v>
      </c>
      <c r="D219" s="11">
        <v>9.0</v>
      </c>
      <c r="E219" s="11">
        <v>8.0</v>
      </c>
      <c r="F219" s="11">
        <f t="shared" si="2"/>
        <v>1</v>
      </c>
      <c r="G219" s="11"/>
      <c r="H219" s="11" t="s">
        <v>361</v>
      </c>
      <c r="I219" s="11" t="str">
        <f>VLOOKUP($H219, 'ADP Data'!$B$4:$Q$300, 2, FALSE)</f>
        <v>#N/A</v>
      </c>
      <c r="J219" s="11" t="str">
        <f>VLOOKUP($H219, 'ADP Data'!$B$4:$Q$300, 3, FALSE)</f>
        <v>#N/A</v>
      </c>
      <c r="K219" s="11" t="s">
        <v>1290</v>
      </c>
      <c r="L219" s="11">
        <v>5.0</v>
      </c>
      <c r="M219" s="11">
        <f t="shared" si="3"/>
        <v>16</v>
      </c>
      <c r="N219" s="11" t="str">
        <f>VLOOKUP($H219, 'ADP Data'!$B$4:$Q$300, 11, FALSE)</f>
        <v>#N/A</v>
      </c>
      <c r="O219" s="11" t="str">
        <f>VLOOKUP($H219, 'ADP Data'!$B$4:$Q$300, 5, FALSE)</f>
        <v>#N/A</v>
      </c>
      <c r="P219" s="11" t="str">
        <f t="shared" si="4"/>
        <v>#N/A</v>
      </c>
      <c r="Q219" s="11" t="str">
        <f>VLOOKUP($H219, 'ADP Data'!$B$4:$Q$300, 6, FALSE)</f>
        <v>#N/A</v>
      </c>
      <c r="R219" s="11" t="str">
        <f>VLOOKUP($H219, 'ADP Data'!$B$4:$Q$300, 7, FALSE)</f>
        <v>#N/A</v>
      </c>
      <c r="S219" s="11" t="str">
        <f>VLOOKUP($H219, 'ADP Data'!$B$4:$Q$300, 8, FALSE)</f>
        <v>#N/A</v>
      </c>
      <c r="T219" s="11" t="str">
        <f>VLOOKUP($H219, 'ADP Data'!$B$4:$Q$300, 9, FALSE)</f>
        <v>#N/A</v>
      </c>
      <c r="U219" s="11" t="str">
        <f>VLOOKUP($H219, 'ADP Data'!$B$4:$Q$300, 10, FALSE)</f>
        <v>#N/A</v>
      </c>
      <c r="V219" s="11" t="str">
        <f t="shared" si="5"/>
        <v>#N/A</v>
      </c>
      <c r="W219" s="11" t="str">
        <f>VLOOKUP($H219, SeanRanks!$A$2:$J$303, 7, FALSE)-V219</f>
        <v>#N/A</v>
      </c>
      <c r="X219" s="11"/>
    </row>
    <row r="220" ht="14.25" customHeight="1">
      <c r="A220" s="11"/>
      <c r="B220" s="11" t="str">
        <f t="shared" si="1"/>
        <v>#N/A</v>
      </c>
      <c r="C220" s="11" t="s">
        <v>106</v>
      </c>
      <c r="D220" s="11">
        <v>4.0</v>
      </c>
      <c r="E220" s="11">
        <v>3.0</v>
      </c>
      <c r="F220" s="11">
        <f t="shared" si="2"/>
        <v>1</v>
      </c>
      <c r="G220" s="11"/>
      <c r="H220" s="11" t="s">
        <v>919</v>
      </c>
      <c r="I220" s="11" t="str">
        <f>VLOOKUP($H220, 'ADP Data'!$B$4:$Q$300, 2, FALSE)</f>
        <v>#N/A</v>
      </c>
      <c r="J220" s="11" t="str">
        <f>VLOOKUP($H220, 'ADP Data'!$B$4:$Q$300, 3, FALSE)</f>
        <v>#N/A</v>
      </c>
      <c r="K220" s="11" t="s">
        <v>1178</v>
      </c>
      <c r="L220" s="11" t="str">
        <f>VLOOKUP($H220, SeanRanks!$A$2:$H$303, 5, FALSE)</f>
        <v/>
      </c>
      <c r="M220" s="11">
        <f t="shared" si="3"/>
        <v>16</v>
      </c>
      <c r="N220" s="11" t="str">
        <f>VLOOKUP($H220, 'ADP Data'!$B$4:$Q$300, 11, FALSE)</f>
        <v>#N/A</v>
      </c>
      <c r="O220" s="11" t="str">
        <f>VLOOKUP($H220, 'ADP Data'!$B$4:$Q$300, 5, FALSE)</f>
        <v>#N/A</v>
      </c>
      <c r="P220" s="11" t="str">
        <f t="shared" si="4"/>
        <v>#N/A</v>
      </c>
      <c r="Q220" s="11" t="str">
        <f>VLOOKUP($H220, 'ADP Data'!$B$4:$Q$300, 6, FALSE)</f>
        <v>#N/A</v>
      </c>
      <c r="R220" s="11" t="str">
        <f>VLOOKUP($H220, 'ADP Data'!$B$4:$Q$300, 7, FALSE)</f>
        <v>#N/A</v>
      </c>
      <c r="S220" s="11" t="str">
        <f>VLOOKUP($H220, 'ADP Data'!$B$4:$Q$300, 8, FALSE)</f>
        <v>#N/A</v>
      </c>
      <c r="T220" s="11" t="str">
        <f>VLOOKUP($H220, 'ADP Data'!$B$4:$Q$300, 9, FALSE)</f>
        <v>#N/A</v>
      </c>
      <c r="U220" s="11" t="str">
        <f>VLOOKUP($H220, 'ADP Data'!$B$4:$Q$300, 10, FALSE)</f>
        <v>#N/A</v>
      </c>
      <c r="V220" s="11" t="str">
        <f t="shared" si="5"/>
        <v>#N/A</v>
      </c>
      <c r="W220" s="11" t="str">
        <f>VLOOKUP($H220, SeanRanks!$A$2:$J$303, 7, FALSE)-V220</f>
        <v>#N/A</v>
      </c>
      <c r="X220" s="11"/>
    </row>
    <row r="221" ht="14.25" customHeight="1">
      <c r="A221" s="11"/>
      <c r="B221" s="11" t="str">
        <f t="shared" si="1"/>
        <v>#N/A</v>
      </c>
      <c r="C221" s="11" t="s">
        <v>106</v>
      </c>
      <c r="D221" s="11">
        <v>3.0</v>
      </c>
      <c r="E221" s="11">
        <v>2.0</v>
      </c>
      <c r="F221" s="11">
        <f t="shared" si="2"/>
        <v>1</v>
      </c>
      <c r="G221" s="11"/>
      <c r="H221" s="11" t="s">
        <v>552</v>
      </c>
      <c r="I221" s="11" t="str">
        <f>VLOOKUP($H221, 'ADP Data'!$B$4:$Q$300, 2, FALSE)</f>
        <v>#N/A</v>
      </c>
      <c r="J221" s="11" t="str">
        <f>VLOOKUP($H221, 'ADP Data'!$B$4:$Q$300, 3, FALSE)</f>
        <v>#N/A</v>
      </c>
      <c r="K221" s="11" t="s">
        <v>1162</v>
      </c>
      <c r="L221" s="11" t="str">
        <f>VLOOKUP($H221, SeanRanks!$A$2:$H$303, 5, FALSE)</f>
        <v/>
      </c>
      <c r="M221" s="11">
        <f t="shared" si="3"/>
        <v>16</v>
      </c>
      <c r="N221" s="11" t="str">
        <f>VLOOKUP($H221, 'ADP Data'!$B$4:$Q$300, 11, FALSE)</f>
        <v>#N/A</v>
      </c>
      <c r="O221" s="11" t="str">
        <f>VLOOKUP($H221, 'ADP Data'!$B$4:$Q$300, 5, FALSE)</f>
        <v>#N/A</v>
      </c>
      <c r="P221" s="11" t="str">
        <f t="shared" si="4"/>
        <v>#N/A</v>
      </c>
      <c r="Q221" s="11" t="str">
        <f>VLOOKUP($H221, 'ADP Data'!$B$4:$Q$300, 6, FALSE)</f>
        <v>#N/A</v>
      </c>
      <c r="R221" s="11" t="str">
        <f>VLOOKUP($H221, 'ADP Data'!$B$4:$Q$300, 7, FALSE)</f>
        <v>#N/A</v>
      </c>
      <c r="S221" s="11" t="str">
        <f>VLOOKUP($H221, 'ADP Data'!$B$4:$Q$300, 8, FALSE)</f>
        <v>#N/A</v>
      </c>
      <c r="T221" s="11" t="str">
        <f>VLOOKUP($H221, 'ADP Data'!$B$4:$Q$300, 9, FALSE)</f>
        <v>#N/A</v>
      </c>
      <c r="U221" s="11" t="str">
        <f>VLOOKUP($H221, 'ADP Data'!$B$4:$Q$300, 10, FALSE)</f>
        <v>#N/A</v>
      </c>
      <c r="V221" s="11" t="str">
        <f t="shared" si="5"/>
        <v>#N/A</v>
      </c>
      <c r="W221" s="11" t="str">
        <f>VLOOKUP($H221, SeanRanks!$A$2:$J$303, 7, FALSE)-V221</f>
        <v>#N/A</v>
      </c>
      <c r="X221" s="11"/>
    </row>
    <row r="222" ht="14.25" customHeight="1">
      <c r="A222" s="11"/>
      <c r="B222" s="11" t="str">
        <f t="shared" si="1"/>
        <v>#N/A</v>
      </c>
      <c r="C222" s="11" t="s">
        <v>106</v>
      </c>
      <c r="D222" s="11">
        <v>4.0</v>
      </c>
      <c r="E222" s="11">
        <v>3.0</v>
      </c>
      <c r="F222" s="11">
        <f t="shared" si="2"/>
        <v>1</v>
      </c>
      <c r="G222" s="11" t="s">
        <v>106</v>
      </c>
      <c r="H222" s="11" t="s">
        <v>651</v>
      </c>
      <c r="I222" s="11" t="str">
        <f>VLOOKUP($H222, 'ADP Data'!$B$4:$Q$300, 2, FALSE)</f>
        <v>#N/A</v>
      </c>
      <c r="J222" s="11" t="str">
        <f>VLOOKUP($H222, 'ADP Data'!$B$4:$Q$300, 3, FALSE)</f>
        <v>#N/A</v>
      </c>
      <c r="K222" s="11" t="s">
        <v>1181</v>
      </c>
      <c r="L222" s="11">
        <v>14.0</v>
      </c>
      <c r="M222" s="11">
        <f t="shared" si="3"/>
        <v>16</v>
      </c>
      <c r="N222" s="11" t="str">
        <f>VLOOKUP($H222, 'ADP Data'!$B$4:$Q$300, 11, FALSE)</f>
        <v>#N/A</v>
      </c>
      <c r="O222" s="11" t="str">
        <f>VLOOKUP($H222, 'ADP Data'!$B$4:$Q$300, 5, FALSE)</f>
        <v>#N/A</v>
      </c>
      <c r="P222" s="11" t="str">
        <f t="shared" si="4"/>
        <v>#N/A</v>
      </c>
      <c r="Q222" s="11" t="str">
        <f>VLOOKUP($H222, 'ADP Data'!$B$4:$Q$300, 6, FALSE)</f>
        <v>#N/A</v>
      </c>
      <c r="R222" s="11" t="str">
        <f>VLOOKUP($H222, 'ADP Data'!$B$4:$Q$300, 7, FALSE)</f>
        <v>#N/A</v>
      </c>
      <c r="S222" s="11" t="str">
        <f>VLOOKUP($H222, 'ADP Data'!$B$4:$Q$300, 8, FALSE)</f>
        <v>#N/A</v>
      </c>
      <c r="T222" s="11" t="str">
        <f>VLOOKUP($H222, 'ADP Data'!$B$4:$Q$300, 9, FALSE)</f>
        <v>#N/A</v>
      </c>
      <c r="U222" s="11" t="str">
        <f>VLOOKUP($H222, 'ADP Data'!$B$4:$Q$300, 10, FALSE)</f>
        <v>#N/A</v>
      </c>
      <c r="V222" s="11" t="str">
        <f t="shared" si="5"/>
        <v>#N/A</v>
      </c>
      <c r="W222" s="11" t="str">
        <f>VLOOKUP($H222, SeanRanks!$A$2:$J$303, 7, FALSE)-V222</f>
        <v>#N/A</v>
      </c>
      <c r="X222" s="11"/>
    </row>
    <row r="223" ht="14.25" customHeight="1">
      <c r="A223" s="11"/>
      <c r="B223" s="11" t="str">
        <f t="shared" si="1"/>
        <v>#N/A</v>
      </c>
      <c r="C223" s="11" t="s">
        <v>106</v>
      </c>
      <c r="D223" s="11">
        <v>26.0</v>
      </c>
      <c r="E223" s="11">
        <v>25.0</v>
      </c>
      <c r="F223" s="11">
        <f t="shared" si="2"/>
        <v>1</v>
      </c>
      <c r="G223" s="11" t="s">
        <v>106</v>
      </c>
      <c r="H223" s="11" t="s">
        <v>887</v>
      </c>
      <c r="I223" s="11" t="str">
        <f>VLOOKUP($H223, 'ADP Data'!$B$4:$Q$300, 2, FALSE)</f>
        <v>#N/A</v>
      </c>
      <c r="J223" s="11" t="str">
        <f>VLOOKUP($H223, 'ADP Data'!$B$4:$Q$300, 3, FALSE)</f>
        <v>#N/A</v>
      </c>
      <c r="K223" s="11" t="str">
        <f>VLOOKUP($H223, SeanRanks!$A$2:$H$303, 4, FALSE)</f>
        <v>#N/A</v>
      </c>
      <c r="L223" s="11" t="str">
        <f>VLOOKUP($H223, SeanRanks!$A$2:$H$303, 5, FALSE)</f>
        <v>#N/A</v>
      </c>
      <c r="M223" s="11">
        <f t="shared" si="3"/>
        <v>16</v>
      </c>
      <c r="N223" s="11" t="str">
        <f>VLOOKUP($H223, 'ADP Data'!$B$4:$Q$300, 11, FALSE)</f>
        <v>#N/A</v>
      </c>
      <c r="O223" s="11" t="str">
        <f>VLOOKUP($H223, 'ADP Data'!$B$4:$Q$300, 5, FALSE)</f>
        <v>#N/A</v>
      </c>
      <c r="P223" s="11" t="str">
        <f t="shared" si="4"/>
        <v>#N/A</v>
      </c>
      <c r="Q223" s="11" t="str">
        <f>VLOOKUP($H223, 'ADP Data'!$B$4:$Q$300, 6, FALSE)</f>
        <v>#N/A</v>
      </c>
      <c r="R223" s="11" t="str">
        <f>VLOOKUP($H223, 'ADP Data'!$B$4:$Q$300, 7, FALSE)</f>
        <v>#N/A</v>
      </c>
      <c r="S223" s="11" t="str">
        <f>VLOOKUP($H223, 'ADP Data'!$B$4:$Q$300, 8, FALSE)</f>
        <v>#N/A</v>
      </c>
      <c r="T223" s="11" t="str">
        <f>VLOOKUP($H223, 'ADP Data'!$B$4:$Q$300, 9, FALSE)</f>
        <v>#N/A</v>
      </c>
      <c r="U223" s="11" t="str">
        <f>VLOOKUP($H223, 'ADP Data'!$B$4:$Q$300, 10, FALSE)</f>
        <v>#N/A</v>
      </c>
      <c r="V223" s="11" t="str">
        <f t="shared" si="5"/>
        <v>#N/A</v>
      </c>
      <c r="W223" s="11" t="str">
        <f>VLOOKUP($H223, SeanRanks!$A$2:$J$303, 7, FALSE)-V223</f>
        <v>#N/A</v>
      </c>
      <c r="X223" s="11"/>
    </row>
    <row r="224" ht="14.25" customHeight="1">
      <c r="A224" s="11"/>
      <c r="B224" s="11" t="str">
        <f t="shared" si="1"/>
        <v>#N/A</v>
      </c>
      <c r="C224" s="11" t="s">
        <v>106</v>
      </c>
      <c r="D224" s="11">
        <v>16.0</v>
      </c>
      <c r="E224" s="11">
        <v>15.0</v>
      </c>
      <c r="F224" s="11">
        <f t="shared" si="2"/>
        <v>1</v>
      </c>
      <c r="G224" s="11"/>
      <c r="H224" s="11" t="s">
        <v>175</v>
      </c>
      <c r="I224" s="11" t="str">
        <f>VLOOKUP($H224, 'ADP Data'!$B$4:$Q$300, 2, FALSE)</f>
        <v>#N/A</v>
      </c>
      <c r="J224" s="11" t="str">
        <f>VLOOKUP($H224, 'ADP Data'!$B$4:$Q$300, 3, FALSE)</f>
        <v>#N/A</v>
      </c>
      <c r="K224" s="11" t="str">
        <f>VLOOKUP($H224, SeanRanks!$A$2:$H$303, 4, FALSE)</f>
        <v/>
      </c>
      <c r="L224" s="11" t="str">
        <f>VLOOKUP($H224, SeanRanks!$A$2:$H$303, 5, FALSE)</f>
        <v>No</v>
      </c>
      <c r="M224" s="11">
        <f t="shared" si="3"/>
        <v>16</v>
      </c>
      <c r="N224" s="11" t="str">
        <f>VLOOKUP($H224, 'ADP Data'!$B$4:$Q$300, 11, FALSE)</f>
        <v>#N/A</v>
      </c>
      <c r="O224" s="11" t="str">
        <f>VLOOKUP($H224, 'ADP Data'!$B$4:$Q$300, 5, FALSE)</f>
        <v>#N/A</v>
      </c>
      <c r="P224" s="11" t="str">
        <f t="shared" si="4"/>
        <v>#N/A</v>
      </c>
      <c r="Q224" s="11" t="str">
        <f>VLOOKUP($H224, 'ADP Data'!$B$4:$Q$300, 6, FALSE)</f>
        <v>#N/A</v>
      </c>
      <c r="R224" s="11" t="str">
        <f>VLOOKUP($H224, 'ADP Data'!$B$4:$Q$300, 7, FALSE)</f>
        <v>#N/A</v>
      </c>
      <c r="S224" s="11" t="str">
        <f>VLOOKUP($H224, 'ADP Data'!$B$4:$Q$300, 8, FALSE)</f>
        <v>#N/A</v>
      </c>
      <c r="T224" s="11" t="str">
        <f>VLOOKUP($H224, 'ADP Data'!$B$4:$Q$300, 9, FALSE)</f>
        <v>#N/A</v>
      </c>
      <c r="U224" s="11" t="str">
        <f>VLOOKUP($H224, 'ADP Data'!$B$4:$Q$300, 10, FALSE)</f>
        <v>#N/A</v>
      </c>
      <c r="V224" s="11" t="str">
        <f t="shared" si="5"/>
        <v>#N/A</v>
      </c>
      <c r="W224" s="11" t="str">
        <f>VLOOKUP($H224, SeanRanks!$A$2:$J$303, 7, FALSE)-V224</f>
        <v>#N/A</v>
      </c>
      <c r="X224" s="11"/>
    </row>
    <row r="225" ht="14.25" customHeight="1">
      <c r="A225" s="11"/>
      <c r="B225" s="11" t="str">
        <f t="shared" si="1"/>
        <v>#N/A</v>
      </c>
      <c r="C225" s="11" t="s">
        <v>106</v>
      </c>
      <c r="D225" s="11">
        <v>1.0</v>
      </c>
      <c r="E225" s="11"/>
      <c r="F225" s="11">
        <f t="shared" si="2"/>
        <v>1</v>
      </c>
      <c r="G225" s="11"/>
      <c r="H225" s="11" t="s">
        <v>578</v>
      </c>
      <c r="I225" s="11" t="str">
        <f>VLOOKUP($H225, 'ADP Data'!$B$4:$Q$300, 2, FALSE)</f>
        <v>#N/A</v>
      </c>
      <c r="J225" s="11" t="str">
        <f>VLOOKUP($H225, 'ADP Data'!$B$4:$Q$300, 3, FALSE)</f>
        <v>#N/A</v>
      </c>
      <c r="K225" s="11" t="s">
        <v>1180</v>
      </c>
      <c r="L225" s="11" t="str">
        <f>VLOOKUP($H225, SeanRanks!$A$2:$H$303, 5, FALSE)</f>
        <v/>
      </c>
      <c r="M225" s="11">
        <f t="shared" si="3"/>
        <v>16</v>
      </c>
      <c r="N225" s="11" t="str">
        <f>VLOOKUP($H225, 'ADP Data'!$B$4:$Q$300, 11, FALSE)</f>
        <v>#N/A</v>
      </c>
      <c r="O225" s="11" t="str">
        <f>VLOOKUP($H225, 'ADP Data'!$B$4:$Q$300, 5, FALSE)</f>
        <v>#N/A</v>
      </c>
      <c r="P225" s="11" t="str">
        <f t="shared" si="4"/>
        <v>#N/A</v>
      </c>
      <c r="Q225" s="11" t="str">
        <f>VLOOKUP($H225, 'ADP Data'!$B$4:$Q$300, 6, FALSE)</f>
        <v>#N/A</v>
      </c>
      <c r="R225" s="11" t="str">
        <f>VLOOKUP($H225, 'ADP Data'!$B$4:$Q$300, 7, FALSE)</f>
        <v>#N/A</v>
      </c>
      <c r="S225" s="11" t="str">
        <f>VLOOKUP($H225, 'ADP Data'!$B$4:$Q$300, 8, FALSE)</f>
        <v>#N/A</v>
      </c>
      <c r="T225" s="11" t="str">
        <f>VLOOKUP($H225, 'ADP Data'!$B$4:$Q$300, 9, FALSE)</f>
        <v>#N/A</v>
      </c>
      <c r="U225" s="11" t="str">
        <f>VLOOKUP($H225, 'ADP Data'!$B$4:$Q$300, 10, FALSE)</f>
        <v>#N/A</v>
      </c>
      <c r="V225" s="11" t="str">
        <f t="shared" si="5"/>
        <v>#N/A</v>
      </c>
      <c r="W225" s="11" t="str">
        <f>VLOOKUP($H225, SeanRanks!$A$2:$J$303, 7, FALSE)-V225</f>
        <v>#N/A</v>
      </c>
      <c r="X225" s="11"/>
    </row>
    <row r="226" ht="14.25" customHeight="1">
      <c r="A226" s="11"/>
      <c r="B226" s="11" t="str">
        <f t="shared" si="1"/>
        <v>#N/A</v>
      </c>
      <c r="C226" s="11" t="s">
        <v>106</v>
      </c>
      <c r="D226" s="11">
        <v>16.0</v>
      </c>
      <c r="E226" s="60">
        <v>15.0</v>
      </c>
      <c r="F226" s="11">
        <f t="shared" si="2"/>
        <v>1</v>
      </c>
      <c r="G226" s="60"/>
      <c r="H226" s="60" t="s">
        <v>191</v>
      </c>
      <c r="I226" s="60" t="str">
        <f>VLOOKUP($H226, 'ADP Data'!$B$4:$Q$300, 2, FALSE)</f>
        <v>#N/A</v>
      </c>
      <c r="J226" s="60" t="str">
        <f>VLOOKUP($H226, 'ADP Data'!$B$4:$Q$300, 3, FALSE)</f>
        <v>#N/A</v>
      </c>
      <c r="K226" s="60" t="str">
        <f>VLOOKUP($H226, SeanRanks!$A$2:$H$303, 4, FALSE)</f>
        <v/>
      </c>
      <c r="L226" s="60" t="str">
        <f>VLOOKUP($H226, SeanRanks!$A$2:$H$303, 5, FALSE)</f>
        <v/>
      </c>
      <c r="M226" s="11">
        <f t="shared" si="3"/>
        <v>16</v>
      </c>
      <c r="N226" s="11" t="str">
        <f>VLOOKUP($H226, 'ADP Data'!$B$4:$Q$300, 11, FALSE)</f>
        <v>#N/A</v>
      </c>
      <c r="O226" s="11" t="str">
        <f>VLOOKUP($H226, 'ADP Data'!$B$4:$Q$300, 5, FALSE)</f>
        <v>#N/A</v>
      </c>
      <c r="P226" s="11" t="str">
        <f t="shared" si="4"/>
        <v>#N/A</v>
      </c>
      <c r="Q226" s="11" t="str">
        <f>VLOOKUP($H226, 'ADP Data'!$B$4:$Q$300, 6, FALSE)</f>
        <v>#N/A</v>
      </c>
      <c r="R226" s="11" t="str">
        <f>VLOOKUP($H226, 'ADP Data'!$B$4:$Q$300, 7, FALSE)</f>
        <v>#N/A</v>
      </c>
      <c r="S226" s="11" t="str">
        <f>VLOOKUP($H226, 'ADP Data'!$B$4:$Q$300, 8, FALSE)</f>
        <v>#N/A</v>
      </c>
      <c r="T226" s="11" t="str">
        <f>VLOOKUP($H226, 'ADP Data'!$B$4:$Q$300, 9, FALSE)</f>
        <v>#N/A</v>
      </c>
      <c r="U226" s="11" t="str">
        <f>VLOOKUP($H226, 'ADP Data'!$B$4:$Q$300, 10, FALSE)</f>
        <v>#N/A</v>
      </c>
      <c r="V226" s="11" t="str">
        <f t="shared" si="5"/>
        <v>#N/A</v>
      </c>
      <c r="W226" s="11" t="str">
        <f>VLOOKUP($H226, SeanRanks!$A$2:$J$303, 7, FALSE)-V226</f>
        <v>#N/A</v>
      </c>
      <c r="X226" s="60"/>
    </row>
    <row r="227" ht="14.25" customHeight="1">
      <c r="A227" s="11"/>
      <c r="B227" s="11" t="str">
        <f t="shared" si="1"/>
        <v>#N/A</v>
      </c>
      <c r="C227" s="11" t="s">
        <v>106</v>
      </c>
      <c r="D227" s="11">
        <v>1.0</v>
      </c>
      <c r="E227" s="11"/>
      <c r="F227" s="11">
        <f t="shared" si="2"/>
        <v>1</v>
      </c>
      <c r="G227" s="11"/>
      <c r="H227" s="11" t="s">
        <v>411</v>
      </c>
      <c r="I227" s="11" t="str">
        <f>VLOOKUP($H227, 'ADP Data'!$B$4:$Q$300, 2, FALSE)</f>
        <v>#N/A</v>
      </c>
      <c r="J227" s="11" t="str">
        <f>VLOOKUP($H227, 'ADP Data'!$B$4:$Q$300, 3, FALSE)</f>
        <v>#N/A</v>
      </c>
      <c r="K227" s="11" t="s">
        <v>1188</v>
      </c>
      <c r="L227" s="11">
        <v>22.0</v>
      </c>
      <c r="M227" s="11">
        <f t="shared" si="3"/>
        <v>16</v>
      </c>
      <c r="N227" s="11" t="str">
        <f>VLOOKUP($H227, 'ADP Data'!$B$4:$Q$300, 11, FALSE)</f>
        <v>#N/A</v>
      </c>
      <c r="O227" s="11" t="str">
        <f>VLOOKUP($H227, 'ADP Data'!$B$4:$Q$300, 5, FALSE)</f>
        <v>#N/A</v>
      </c>
      <c r="P227" s="11" t="str">
        <f t="shared" si="4"/>
        <v>#N/A</v>
      </c>
      <c r="Q227" s="11" t="str">
        <f>VLOOKUP($H227, 'ADP Data'!$B$4:$Q$300, 6, FALSE)</f>
        <v>#N/A</v>
      </c>
      <c r="R227" s="11" t="str">
        <f>VLOOKUP($H227, 'ADP Data'!$B$4:$Q$300, 7, FALSE)</f>
        <v>#N/A</v>
      </c>
      <c r="S227" s="11" t="str">
        <f>VLOOKUP($H227, 'ADP Data'!$B$4:$Q$300, 8, FALSE)</f>
        <v>#N/A</v>
      </c>
      <c r="T227" s="11" t="str">
        <f>VLOOKUP($H227, 'ADP Data'!$B$4:$Q$300, 9, FALSE)</f>
        <v>#N/A</v>
      </c>
      <c r="U227" s="11" t="str">
        <f>VLOOKUP($H227, 'ADP Data'!$B$4:$Q$300, 10, FALSE)</f>
        <v>#N/A</v>
      </c>
      <c r="V227" s="11" t="str">
        <f t="shared" si="5"/>
        <v>#N/A</v>
      </c>
      <c r="W227" s="11" t="str">
        <f>VLOOKUP($H227, SeanRanks!$A$2:$J$303, 7, FALSE)-V227</f>
        <v>#N/A</v>
      </c>
      <c r="X227" s="11"/>
    </row>
    <row r="228" ht="14.25" customHeight="1">
      <c r="A228" s="11"/>
      <c r="B228" s="11" t="str">
        <f t="shared" si="1"/>
        <v>#N/A</v>
      </c>
      <c r="C228" s="11" t="s">
        <v>106</v>
      </c>
      <c r="D228" s="11">
        <v>6.0</v>
      </c>
      <c r="E228" s="11">
        <v>5.0</v>
      </c>
      <c r="F228" s="11">
        <f t="shared" si="2"/>
        <v>1</v>
      </c>
      <c r="G228" s="11"/>
      <c r="H228" s="11" t="s">
        <v>590</v>
      </c>
      <c r="I228" s="11" t="str">
        <f>VLOOKUP($H228, 'ADP Data'!$B$4:$Q$300, 2, FALSE)</f>
        <v>#N/A</v>
      </c>
      <c r="J228" s="11" t="str">
        <f>VLOOKUP($H228, 'ADP Data'!$B$4:$Q$300, 3, FALSE)</f>
        <v>#N/A</v>
      </c>
      <c r="K228" s="11" t="str">
        <f>VLOOKUP($H228, SeanRanks!$A$2:$H$303, 4, FALSE)</f>
        <v/>
      </c>
      <c r="L228" s="11" t="str">
        <f>VLOOKUP($H228, SeanRanks!$A$2:$H$303, 5, FALSE)</f>
        <v/>
      </c>
      <c r="M228" s="11">
        <f t="shared" si="3"/>
        <v>16</v>
      </c>
      <c r="N228" s="11" t="str">
        <f>VLOOKUP($H228, 'ADP Data'!$B$4:$Q$300, 11, FALSE)</f>
        <v>#N/A</v>
      </c>
      <c r="O228" s="11" t="str">
        <f>VLOOKUP($H228, 'ADP Data'!$B$4:$Q$300, 5, FALSE)</f>
        <v>#N/A</v>
      </c>
      <c r="P228" s="11" t="str">
        <f t="shared" si="4"/>
        <v>#N/A</v>
      </c>
      <c r="Q228" s="11" t="str">
        <f>VLOOKUP($H228, 'ADP Data'!$B$4:$Q$300, 6, FALSE)</f>
        <v>#N/A</v>
      </c>
      <c r="R228" s="11" t="str">
        <f>VLOOKUP($H228, 'ADP Data'!$B$4:$Q$300, 7, FALSE)</f>
        <v>#N/A</v>
      </c>
      <c r="S228" s="11" t="str">
        <f>VLOOKUP($H228, 'ADP Data'!$B$4:$Q$300, 8, FALSE)</f>
        <v>#N/A</v>
      </c>
      <c r="T228" s="11" t="str">
        <f>VLOOKUP($H228, 'ADP Data'!$B$4:$Q$300, 9, FALSE)</f>
        <v>#N/A</v>
      </c>
      <c r="U228" s="11" t="str">
        <f>VLOOKUP($H228, 'ADP Data'!$B$4:$Q$300, 10, FALSE)</f>
        <v>#N/A</v>
      </c>
      <c r="V228" s="11" t="str">
        <f t="shared" si="5"/>
        <v>#N/A</v>
      </c>
      <c r="W228" s="11" t="str">
        <f>VLOOKUP($H228, SeanRanks!$A$2:$J$303, 7, FALSE)-V228</f>
        <v>#N/A</v>
      </c>
      <c r="X228" s="11"/>
    </row>
    <row r="229" ht="14.25" customHeight="1">
      <c r="A229" s="11"/>
      <c r="B229" s="11" t="str">
        <f t="shared" si="1"/>
        <v>#N/A</v>
      </c>
      <c r="C229" s="11" t="s">
        <v>106</v>
      </c>
      <c r="D229" s="11">
        <v>4.0</v>
      </c>
      <c r="E229" s="11">
        <v>3.0</v>
      </c>
      <c r="F229" s="11">
        <f t="shared" si="2"/>
        <v>1</v>
      </c>
      <c r="G229" s="11" t="s">
        <v>106</v>
      </c>
      <c r="H229" s="11" t="s">
        <v>130</v>
      </c>
      <c r="I229" s="11" t="str">
        <f>VLOOKUP($H229, 'ADP Data'!$B$4:$Q$300, 2, FALSE)</f>
        <v>#N/A</v>
      </c>
      <c r="J229" s="11" t="str">
        <f>VLOOKUP($H229, 'ADP Data'!$B$4:$Q$300, 3, FALSE)</f>
        <v>#N/A</v>
      </c>
      <c r="K229" s="11" t="str">
        <f>VLOOKUP($H229, SeanRanks!$A$2:$H$303, 4, FALSE)</f>
        <v/>
      </c>
      <c r="L229" s="11" t="str">
        <f>VLOOKUP($H229, SeanRanks!$A$2:$H$303, 5, FALSE)</f>
        <v/>
      </c>
      <c r="M229" s="11">
        <f t="shared" si="3"/>
        <v>16</v>
      </c>
      <c r="N229" s="11" t="str">
        <f>VLOOKUP($H229, 'ADP Data'!$B$4:$Q$300, 11, FALSE)</f>
        <v>#N/A</v>
      </c>
      <c r="O229" s="11" t="str">
        <f>VLOOKUP($H229, 'ADP Data'!$B$4:$Q$300, 5, FALSE)</f>
        <v>#N/A</v>
      </c>
      <c r="P229" s="11" t="str">
        <f t="shared" si="4"/>
        <v>#N/A</v>
      </c>
      <c r="Q229" s="11" t="str">
        <f>VLOOKUP($H229, 'ADP Data'!$B$4:$Q$300, 6, FALSE)</f>
        <v>#N/A</v>
      </c>
      <c r="R229" s="11" t="str">
        <f>VLOOKUP($H229, 'ADP Data'!$B$4:$Q$300, 7, FALSE)</f>
        <v>#N/A</v>
      </c>
      <c r="S229" s="11" t="str">
        <f>VLOOKUP($H229, 'ADP Data'!$B$4:$Q$300, 8, FALSE)</f>
        <v>#N/A</v>
      </c>
      <c r="T229" s="11" t="str">
        <f>VLOOKUP($H229, 'ADP Data'!$B$4:$Q$300, 9, FALSE)</f>
        <v>#N/A</v>
      </c>
      <c r="U229" s="11" t="str">
        <f>VLOOKUP($H229, 'ADP Data'!$B$4:$Q$300, 10, FALSE)</f>
        <v>#N/A</v>
      </c>
      <c r="V229" s="11" t="str">
        <f t="shared" si="5"/>
        <v>#N/A</v>
      </c>
      <c r="W229" s="11" t="str">
        <f>VLOOKUP($H229, SeanRanks!$A$2:$J$303, 7, FALSE)-V229</f>
        <v>#N/A</v>
      </c>
      <c r="X229" s="11" t="s">
        <v>1169</v>
      </c>
    </row>
    <row r="230" ht="14.25" customHeight="1">
      <c r="A230" s="11"/>
      <c r="B230" s="11" t="str">
        <f t="shared" si="1"/>
        <v>#N/A</v>
      </c>
      <c r="C230" s="11" t="s">
        <v>106</v>
      </c>
      <c r="D230" s="11">
        <v>1.0</v>
      </c>
      <c r="E230" s="11"/>
      <c r="F230" s="11">
        <f t="shared" si="2"/>
        <v>1</v>
      </c>
      <c r="G230" s="11" t="s">
        <v>95</v>
      </c>
      <c r="H230" s="11" t="s">
        <v>1291</v>
      </c>
      <c r="I230" s="11" t="str">
        <f>VLOOKUP($H230, 'ADP Data'!$B$4:$Q$300, 2, FALSE)</f>
        <v>#N/A</v>
      </c>
      <c r="J230" s="11" t="str">
        <f>VLOOKUP($H230, 'ADP Data'!$B$4:$Q$300, 3, FALSE)</f>
        <v>#N/A</v>
      </c>
      <c r="K230" s="11" t="str">
        <f>VLOOKUP($H230, SeanRanks!$A$2:$H$303, 4, FALSE)</f>
        <v>#N/A</v>
      </c>
      <c r="L230" s="11" t="str">
        <f>VLOOKUP($H230, SeanRanks!$A$2:$H$303, 5, FALSE)</f>
        <v>#N/A</v>
      </c>
      <c r="M230" s="11">
        <f t="shared" si="3"/>
        <v>16</v>
      </c>
      <c r="N230" s="11" t="str">
        <f>VLOOKUP($H230, 'ADP Data'!$B$4:$Q$300, 11, FALSE)</f>
        <v>#N/A</v>
      </c>
      <c r="O230" s="11" t="str">
        <f>VLOOKUP($H230, 'ADP Data'!$B$4:$Q$300, 5, FALSE)</f>
        <v>#N/A</v>
      </c>
      <c r="P230" s="11" t="str">
        <f t="shared" si="4"/>
        <v>#N/A</v>
      </c>
      <c r="Q230" s="11" t="str">
        <f>VLOOKUP($H230, 'ADP Data'!$B$4:$Q$300, 6, FALSE)</f>
        <v>#N/A</v>
      </c>
      <c r="R230" s="11" t="str">
        <f>VLOOKUP($H230, 'ADP Data'!$B$4:$Q$300, 7, FALSE)</f>
        <v>#N/A</v>
      </c>
      <c r="S230" s="11" t="str">
        <f>VLOOKUP($H230, 'ADP Data'!$B$4:$Q$300, 8, FALSE)</f>
        <v>#N/A</v>
      </c>
      <c r="T230" s="11" t="str">
        <f>VLOOKUP($H230, 'ADP Data'!$B$4:$Q$300, 9, FALSE)</f>
        <v>#N/A</v>
      </c>
      <c r="U230" s="11" t="str">
        <f>VLOOKUP($H230, 'ADP Data'!$B$4:$Q$300, 10, FALSE)</f>
        <v>#N/A</v>
      </c>
      <c r="V230" s="11" t="str">
        <f t="shared" si="5"/>
        <v>#N/A</v>
      </c>
      <c r="W230" s="11" t="str">
        <f>VLOOKUP($H230, SeanRanks!$A$2:$J$303, 7, FALSE)-V230</f>
        <v>#N/A</v>
      </c>
      <c r="X230" s="11"/>
    </row>
    <row r="231" ht="14.25" customHeight="1">
      <c r="A231" s="11"/>
      <c r="B231" s="11" t="str">
        <f t="shared" si="1"/>
        <v>#N/A</v>
      </c>
      <c r="C231" s="11" t="s">
        <v>106</v>
      </c>
      <c r="D231" s="11">
        <v>1.0</v>
      </c>
      <c r="E231" s="11"/>
      <c r="F231" s="11">
        <f t="shared" si="2"/>
        <v>1</v>
      </c>
      <c r="G231" s="11"/>
      <c r="H231" s="11" t="s">
        <v>1241</v>
      </c>
      <c r="I231" s="11" t="str">
        <f>VLOOKUP($H231, 'ADP Data'!$B$4:$Q$300, 2, FALSE)</f>
        <v>#N/A</v>
      </c>
      <c r="J231" s="11" t="str">
        <f>VLOOKUP($H231, 'ADP Data'!$B$4:$Q$300, 3, FALSE)</f>
        <v>#N/A</v>
      </c>
      <c r="K231" s="11" t="str">
        <f>VLOOKUP($H231, SeanRanks!$A$2:$H$303, 4, FALSE)</f>
        <v>#N/A</v>
      </c>
      <c r="L231" s="11" t="str">
        <f>VLOOKUP($H231, SeanRanks!$A$2:$H$303, 5, FALSE)</f>
        <v>#N/A</v>
      </c>
      <c r="M231" s="11">
        <f t="shared" si="3"/>
        <v>16</v>
      </c>
      <c r="N231" s="11" t="str">
        <f>VLOOKUP($H231, 'ADP Data'!$B$4:$Q$300, 11, FALSE)</f>
        <v>#N/A</v>
      </c>
      <c r="O231" s="11" t="str">
        <f>VLOOKUP($H231, 'ADP Data'!$B$4:$Q$300, 5, FALSE)</f>
        <v>#N/A</v>
      </c>
      <c r="P231" s="11" t="str">
        <f t="shared" si="4"/>
        <v>#N/A</v>
      </c>
      <c r="Q231" s="11" t="str">
        <f>VLOOKUP($H231, 'ADP Data'!$B$4:$Q$300, 6, FALSE)</f>
        <v>#N/A</v>
      </c>
      <c r="R231" s="11" t="str">
        <f>VLOOKUP($H231, 'ADP Data'!$B$4:$Q$300, 7, FALSE)</f>
        <v>#N/A</v>
      </c>
      <c r="S231" s="11" t="str">
        <f>VLOOKUP($H231, 'ADP Data'!$B$4:$Q$300, 8, FALSE)</f>
        <v>#N/A</v>
      </c>
      <c r="T231" s="11" t="str">
        <f>VLOOKUP($H231, 'ADP Data'!$B$4:$Q$300, 9, FALSE)</f>
        <v>#N/A</v>
      </c>
      <c r="U231" s="11" t="str">
        <f>VLOOKUP($H231, 'ADP Data'!$B$4:$Q$300, 10, FALSE)</f>
        <v>#N/A</v>
      </c>
      <c r="V231" s="11" t="str">
        <f t="shared" si="5"/>
        <v>#N/A</v>
      </c>
      <c r="W231" s="11" t="str">
        <f>VLOOKUP($H231, SeanRanks!$A$2:$J$303, 7, FALSE)-V231</f>
        <v>#N/A</v>
      </c>
      <c r="X231" s="11" t="s">
        <v>1292</v>
      </c>
    </row>
    <row r="232" ht="14.25" customHeight="1">
      <c r="A232" s="11"/>
      <c r="B232" s="11" t="str">
        <f t="shared" si="1"/>
        <v>#N/A</v>
      </c>
      <c r="C232" s="11" t="s">
        <v>106</v>
      </c>
      <c r="D232" s="11">
        <v>1.0</v>
      </c>
      <c r="E232" s="11">
        <v>0.0</v>
      </c>
      <c r="F232" s="11">
        <f t="shared" si="2"/>
        <v>1</v>
      </c>
      <c r="G232" s="11"/>
      <c r="H232" s="11" t="s">
        <v>1293</v>
      </c>
      <c r="I232" s="11" t="str">
        <f>VLOOKUP($H232, 'ADP Data'!$B$4:$Q$300, 2, FALSE)</f>
        <v>#N/A</v>
      </c>
      <c r="J232" s="11" t="str">
        <f>VLOOKUP($H232, 'ADP Data'!$B$4:$Q$300, 3, FALSE)</f>
        <v>#N/A</v>
      </c>
      <c r="K232" s="11" t="str">
        <f>VLOOKUP($H232, SeanRanks!$A$2:$H$303, 4, FALSE)</f>
        <v>#N/A</v>
      </c>
      <c r="L232" s="11" t="str">
        <f>VLOOKUP($H232, SeanRanks!$A$2:$H$303, 5, FALSE)</f>
        <v>#N/A</v>
      </c>
      <c r="M232" s="11">
        <f t="shared" si="3"/>
        <v>16</v>
      </c>
      <c r="N232" s="11" t="str">
        <f>VLOOKUP($H232, 'ADP Data'!$B$4:$Q$300, 11, FALSE)</f>
        <v>#N/A</v>
      </c>
      <c r="O232" s="11" t="str">
        <f>VLOOKUP($H232, 'ADP Data'!$B$4:$Q$300, 5, FALSE)</f>
        <v>#N/A</v>
      </c>
      <c r="P232" s="11" t="str">
        <f t="shared" si="4"/>
        <v>#N/A</v>
      </c>
      <c r="Q232" s="11" t="str">
        <f>VLOOKUP($H232, 'ADP Data'!$B$4:$Q$300, 6, FALSE)</f>
        <v>#N/A</v>
      </c>
      <c r="R232" s="11" t="str">
        <f>VLOOKUP($H232, 'ADP Data'!$B$4:$Q$300, 7, FALSE)</f>
        <v>#N/A</v>
      </c>
      <c r="S232" s="11" t="str">
        <f>VLOOKUP($H232, 'ADP Data'!$B$4:$Q$300, 8, FALSE)</f>
        <v>#N/A</v>
      </c>
      <c r="T232" s="11" t="str">
        <f>VLOOKUP($H232, 'ADP Data'!$B$4:$Q$300, 9, FALSE)</f>
        <v>#N/A</v>
      </c>
      <c r="U232" s="11" t="str">
        <f>VLOOKUP($H232, 'ADP Data'!$B$4:$Q$300, 10, FALSE)</f>
        <v>#N/A</v>
      </c>
      <c r="V232" s="11" t="str">
        <f t="shared" si="5"/>
        <v>#N/A</v>
      </c>
      <c r="W232" s="11" t="str">
        <f>VLOOKUP($H232, SeanRanks!$A$2:$J$303, 7, FALSE)-V232</f>
        <v>#N/A</v>
      </c>
      <c r="X232" s="11"/>
    </row>
    <row r="233" ht="14.25" customHeight="1">
      <c r="A233" s="11"/>
      <c r="B233" s="11" t="str">
        <f t="shared" si="1"/>
        <v>#N/A</v>
      </c>
      <c r="C233" s="11" t="s">
        <v>106</v>
      </c>
      <c r="D233" s="11">
        <v>1.0</v>
      </c>
      <c r="E233" s="11"/>
      <c r="F233" s="11">
        <f t="shared" si="2"/>
        <v>1</v>
      </c>
      <c r="G233" s="11"/>
      <c r="H233" s="11" t="s">
        <v>121</v>
      </c>
      <c r="I233" s="11" t="str">
        <f>VLOOKUP($H233, 'ADP Data'!$B$4:$Q$300, 2, FALSE)</f>
        <v>#N/A</v>
      </c>
      <c r="J233" s="11" t="str">
        <f>VLOOKUP($H233, 'ADP Data'!$B$4:$Q$300, 3, FALSE)</f>
        <v>#N/A</v>
      </c>
      <c r="K233" s="11"/>
      <c r="L233" s="11"/>
      <c r="M233" s="11">
        <f t="shared" si="3"/>
        <v>16</v>
      </c>
      <c r="N233" s="11" t="str">
        <f>VLOOKUP($H233, 'ADP Data'!$B$4:$Q$300, 11, FALSE)</f>
        <v>#N/A</v>
      </c>
      <c r="O233" s="11" t="str">
        <f>VLOOKUP($H233, 'ADP Data'!$B$4:$Q$300, 5, FALSE)</f>
        <v>#N/A</v>
      </c>
      <c r="P233" s="11" t="str">
        <f t="shared" si="4"/>
        <v>#N/A</v>
      </c>
      <c r="Q233" s="11" t="str">
        <f>VLOOKUP($H233, 'ADP Data'!$B$4:$Q$300, 6, FALSE)</f>
        <v>#N/A</v>
      </c>
      <c r="R233" s="11" t="str">
        <f>VLOOKUP($H233, 'ADP Data'!$B$4:$Q$300, 7, FALSE)</f>
        <v>#N/A</v>
      </c>
      <c r="S233" s="11" t="str">
        <f>VLOOKUP($H233, 'ADP Data'!$B$4:$Q$300, 8, FALSE)</f>
        <v>#N/A</v>
      </c>
      <c r="T233" s="11" t="str">
        <f>VLOOKUP($H233, 'ADP Data'!$B$4:$Q$300, 9, FALSE)</f>
        <v>#N/A</v>
      </c>
      <c r="U233" s="11" t="str">
        <f>VLOOKUP($H233, 'ADP Data'!$B$4:$Q$300, 10, FALSE)</f>
        <v>#N/A</v>
      </c>
      <c r="V233" s="11" t="str">
        <f t="shared" si="5"/>
        <v>#N/A</v>
      </c>
      <c r="W233" s="11" t="str">
        <f>VLOOKUP($H233, SeanRanks!$A$2:$J$303, 7, FALSE)-V233</f>
        <v>#N/A</v>
      </c>
      <c r="X233" s="11" t="s">
        <v>1295</v>
      </c>
    </row>
    <row r="234" ht="14.25" customHeight="1">
      <c r="A234" s="11"/>
      <c r="B234" s="11" t="str">
        <f t="shared" si="1"/>
        <v>#N/A</v>
      </c>
      <c r="C234" s="11" t="s">
        <v>106</v>
      </c>
      <c r="D234" s="11">
        <v>70.0</v>
      </c>
      <c r="E234" s="11">
        <v>68.0</v>
      </c>
      <c r="F234" s="11">
        <f t="shared" si="2"/>
        <v>2</v>
      </c>
      <c r="G234" s="11"/>
      <c r="H234" s="11" t="s">
        <v>61</v>
      </c>
      <c r="I234" s="11" t="str">
        <f>VLOOKUP($H234, 'ADP Data'!$B$4:$Q$300, 2, FALSE)</f>
        <v>#N/A</v>
      </c>
      <c r="J234" s="11" t="str">
        <f>VLOOKUP($H234, 'ADP Data'!$B$4:$Q$300, 3, FALSE)</f>
        <v>#N/A</v>
      </c>
      <c r="K234" s="11" t="str">
        <f>VLOOKUP($H234, SeanRanks!$A$2:$H$303, 4, FALSE)</f>
        <v/>
      </c>
      <c r="L234" s="11" t="str">
        <f>VLOOKUP($H234, SeanRanks!$A$2:$H$303, 5, FALSE)</f>
        <v>No</v>
      </c>
      <c r="M234" s="11">
        <f t="shared" si="3"/>
        <v>16</v>
      </c>
      <c r="N234" s="11" t="str">
        <f>VLOOKUP($H234, 'ADP Data'!$B$4:$Q$300, 11, FALSE)</f>
        <v>#N/A</v>
      </c>
      <c r="O234" s="11" t="str">
        <f>VLOOKUP($H234, 'ADP Data'!$B$4:$Q$300, 5, FALSE)</f>
        <v>#N/A</v>
      </c>
      <c r="P234" s="11" t="str">
        <f t="shared" si="4"/>
        <v>#N/A</v>
      </c>
      <c r="Q234" s="11" t="str">
        <f>VLOOKUP($H234, 'ADP Data'!$B$4:$Q$300, 6, FALSE)</f>
        <v>#N/A</v>
      </c>
      <c r="R234" s="11" t="str">
        <f>VLOOKUP($H234, 'ADP Data'!$B$4:$Q$300, 7, FALSE)</f>
        <v>#N/A</v>
      </c>
      <c r="S234" s="11" t="str">
        <f>VLOOKUP($H234, 'ADP Data'!$B$4:$Q$300, 8, FALSE)</f>
        <v>#N/A</v>
      </c>
      <c r="T234" s="11" t="str">
        <f>VLOOKUP($H234, 'ADP Data'!$B$4:$Q$300, 9, FALSE)</f>
        <v>#N/A</v>
      </c>
      <c r="U234" s="11" t="str">
        <f>VLOOKUP($H234, 'ADP Data'!$B$4:$Q$300, 10, FALSE)</f>
        <v>#N/A</v>
      </c>
      <c r="V234" s="11" t="str">
        <f t="shared" si="5"/>
        <v>#N/A</v>
      </c>
      <c r="W234" s="11" t="str">
        <f>VLOOKUP($H234, SeanRanks!$A$2:$J$303, 7, FALSE)-V234</f>
        <v>#N/A</v>
      </c>
      <c r="X234" s="11"/>
    </row>
    <row r="235" ht="14.25" customHeight="1">
      <c r="A235" s="11"/>
      <c r="B235" s="11" t="str">
        <f t="shared" si="1"/>
        <v>#N/A</v>
      </c>
      <c r="C235" s="11" t="s">
        <v>106</v>
      </c>
      <c r="D235" s="11">
        <v>37.0</v>
      </c>
      <c r="E235" s="11">
        <v>35.0</v>
      </c>
      <c r="F235" s="11">
        <f t="shared" si="2"/>
        <v>2</v>
      </c>
      <c r="G235" s="11"/>
      <c r="H235" s="11" t="s">
        <v>357</v>
      </c>
      <c r="I235" s="11" t="str">
        <f>VLOOKUP($H235, 'ADP Data'!$B$4:$Q$300, 2, FALSE)</f>
        <v>#N/A</v>
      </c>
      <c r="J235" s="11" t="str">
        <f>VLOOKUP($H235, 'ADP Data'!$B$4:$Q$300, 3, FALSE)</f>
        <v>#N/A</v>
      </c>
      <c r="K235" s="11" t="s">
        <v>1296</v>
      </c>
      <c r="L235" s="11" t="str">
        <f>VLOOKUP($H235, SeanRanks!$A$2:$H$303, 5, FALSE)</f>
        <v>No</v>
      </c>
      <c r="M235" s="11">
        <f t="shared" si="3"/>
        <v>16</v>
      </c>
      <c r="N235" s="11" t="str">
        <f>VLOOKUP($H235, 'ADP Data'!$B$4:$Q$300, 11, FALSE)</f>
        <v>#N/A</v>
      </c>
      <c r="O235" s="11" t="str">
        <f>VLOOKUP($H235, 'ADP Data'!$B$4:$Q$300, 5, FALSE)</f>
        <v>#N/A</v>
      </c>
      <c r="P235" s="11" t="str">
        <f t="shared" si="4"/>
        <v>#N/A</v>
      </c>
      <c r="Q235" s="11" t="str">
        <f>VLOOKUP($H235, 'ADP Data'!$B$4:$Q$300, 6, FALSE)</f>
        <v>#N/A</v>
      </c>
      <c r="R235" s="11" t="str">
        <f>VLOOKUP($H235, 'ADP Data'!$B$4:$Q$300, 7, FALSE)</f>
        <v>#N/A</v>
      </c>
      <c r="S235" s="11" t="str">
        <f>VLOOKUP($H235, 'ADP Data'!$B$4:$Q$300, 8, FALSE)</f>
        <v>#N/A</v>
      </c>
      <c r="T235" s="11" t="str">
        <f>VLOOKUP($H235, 'ADP Data'!$B$4:$Q$300, 9, FALSE)</f>
        <v>#N/A</v>
      </c>
      <c r="U235" s="11" t="str">
        <f>VLOOKUP($H235, 'ADP Data'!$B$4:$Q$300, 10, FALSE)</f>
        <v>#N/A</v>
      </c>
      <c r="V235" s="11" t="str">
        <f t="shared" si="5"/>
        <v>#N/A</v>
      </c>
      <c r="W235" s="11" t="str">
        <f>VLOOKUP($H235, SeanRanks!$A$2:$J$303, 7, FALSE)-V235</f>
        <v>#N/A</v>
      </c>
      <c r="X235" s="11"/>
    </row>
    <row r="236" ht="14.25" customHeight="1">
      <c r="A236" s="11"/>
      <c r="B236" s="11" t="str">
        <f t="shared" si="1"/>
        <v>#N/A</v>
      </c>
      <c r="C236" s="11" t="s">
        <v>106</v>
      </c>
      <c r="D236" s="11">
        <v>23.0</v>
      </c>
      <c r="E236" s="11">
        <v>21.0</v>
      </c>
      <c r="F236" s="11">
        <f t="shared" si="2"/>
        <v>2</v>
      </c>
      <c r="G236" s="11" t="s">
        <v>106</v>
      </c>
      <c r="H236" s="11" t="s">
        <v>248</v>
      </c>
      <c r="I236" s="11" t="str">
        <f>VLOOKUP($H236, 'ADP Data'!$B$4:$Q$300, 2, FALSE)</f>
        <v>#N/A</v>
      </c>
      <c r="J236" s="11" t="str">
        <f>VLOOKUP($H236, 'ADP Data'!$B$4:$Q$300, 3, FALSE)</f>
        <v>#N/A</v>
      </c>
      <c r="K236" s="11" t="s">
        <v>1296</v>
      </c>
      <c r="L236" s="11" t="str">
        <f>VLOOKUP($H236, SeanRanks!$A$2:$H$303, 5, FALSE)</f>
        <v>Yes</v>
      </c>
      <c r="M236" s="11">
        <f t="shared" si="3"/>
        <v>16</v>
      </c>
      <c r="N236" s="11" t="str">
        <f>VLOOKUP($H236, 'ADP Data'!$B$4:$Q$300, 11, FALSE)</f>
        <v>#N/A</v>
      </c>
      <c r="O236" s="11" t="str">
        <f>VLOOKUP($H236, 'ADP Data'!$B$4:$Q$300, 5, FALSE)</f>
        <v>#N/A</v>
      </c>
      <c r="P236" s="11" t="str">
        <f t="shared" si="4"/>
        <v>#N/A</v>
      </c>
      <c r="Q236" s="11" t="str">
        <f>VLOOKUP($H236, 'ADP Data'!$B$4:$Q$300, 6, FALSE)</f>
        <v>#N/A</v>
      </c>
      <c r="R236" s="11" t="str">
        <f>VLOOKUP($H236, 'ADP Data'!$B$4:$Q$300, 7, FALSE)</f>
        <v>#N/A</v>
      </c>
      <c r="S236" s="11" t="str">
        <f>VLOOKUP($H236, 'ADP Data'!$B$4:$Q$300, 8, FALSE)</f>
        <v>#N/A</v>
      </c>
      <c r="T236" s="11" t="str">
        <f>VLOOKUP($H236, 'ADP Data'!$B$4:$Q$300, 9, FALSE)</f>
        <v>#N/A</v>
      </c>
      <c r="U236" s="11" t="str">
        <f>VLOOKUP($H236, 'ADP Data'!$B$4:$Q$300, 10, FALSE)</f>
        <v>#N/A</v>
      </c>
      <c r="V236" s="11" t="str">
        <f t="shared" si="5"/>
        <v>#N/A</v>
      </c>
      <c r="W236" s="11" t="str">
        <f>VLOOKUP($H236, SeanRanks!$A$2:$J$303, 7, FALSE)-V236</f>
        <v>#N/A</v>
      </c>
      <c r="X236" s="11"/>
    </row>
    <row r="237" ht="14.25" customHeight="1">
      <c r="A237" s="11"/>
      <c r="B237" s="11" t="str">
        <f t="shared" si="1"/>
        <v>#N/A</v>
      </c>
      <c r="C237" s="11" t="s">
        <v>106</v>
      </c>
      <c r="D237" s="11">
        <v>15.0</v>
      </c>
      <c r="E237" s="11">
        <v>13.0</v>
      </c>
      <c r="F237" s="11">
        <f t="shared" si="2"/>
        <v>2</v>
      </c>
      <c r="G237" s="11"/>
      <c r="H237" s="11" t="s">
        <v>183</v>
      </c>
      <c r="I237" s="11" t="str">
        <f>VLOOKUP($H237, 'ADP Data'!$B$4:$Q$300, 2, FALSE)</f>
        <v>#N/A</v>
      </c>
      <c r="J237" s="11" t="str">
        <f>VLOOKUP($H237, 'ADP Data'!$B$4:$Q$300, 3, FALSE)</f>
        <v>#N/A</v>
      </c>
      <c r="K237" s="11" t="s">
        <v>1155</v>
      </c>
      <c r="L237" s="11">
        <v>4.0</v>
      </c>
      <c r="M237" s="11">
        <f t="shared" si="3"/>
        <v>16</v>
      </c>
      <c r="N237" s="11" t="str">
        <f>VLOOKUP($H237, 'ADP Data'!$B$4:$Q$300, 11, FALSE)</f>
        <v>#N/A</v>
      </c>
      <c r="O237" s="11" t="str">
        <f>VLOOKUP($H237, 'ADP Data'!$B$4:$Q$300, 5, FALSE)</f>
        <v>#N/A</v>
      </c>
      <c r="P237" s="11" t="str">
        <f t="shared" si="4"/>
        <v>#N/A</v>
      </c>
      <c r="Q237" s="11" t="str">
        <f>VLOOKUP($H237, 'ADP Data'!$B$4:$Q$300, 6, FALSE)</f>
        <v>#N/A</v>
      </c>
      <c r="R237" s="11" t="str">
        <f>VLOOKUP($H237, 'ADP Data'!$B$4:$Q$300, 7, FALSE)</f>
        <v>#N/A</v>
      </c>
      <c r="S237" s="11" t="str">
        <f>VLOOKUP($H237, 'ADP Data'!$B$4:$Q$300, 8, FALSE)</f>
        <v>#N/A</v>
      </c>
      <c r="T237" s="11" t="str">
        <f>VLOOKUP($H237, 'ADP Data'!$B$4:$Q$300, 9, FALSE)</f>
        <v>#N/A</v>
      </c>
      <c r="U237" s="11" t="str">
        <f>VLOOKUP($H237, 'ADP Data'!$B$4:$Q$300, 10, FALSE)</f>
        <v>#N/A</v>
      </c>
      <c r="V237" s="11" t="str">
        <f t="shared" si="5"/>
        <v>#N/A</v>
      </c>
      <c r="W237" s="11" t="str">
        <f>VLOOKUP($H237, SeanRanks!$A$2:$J$303, 7, FALSE)-V237</f>
        <v>#N/A</v>
      </c>
      <c r="X237" s="11"/>
    </row>
    <row r="238" ht="14.25" customHeight="1">
      <c r="A238" s="11"/>
      <c r="B238" s="11" t="str">
        <f t="shared" si="1"/>
        <v>#N/A</v>
      </c>
      <c r="C238" s="11" t="s">
        <v>106</v>
      </c>
      <c r="D238" s="11">
        <v>10.0</v>
      </c>
      <c r="E238" s="11">
        <v>8.0</v>
      </c>
      <c r="F238" s="11">
        <f t="shared" si="2"/>
        <v>2</v>
      </c>
      <c r="G238" s="11"/>
      <c r="H238" s="11" t="s">
        <v>284</v>
      </c>
      <c r="I238" s="11" t="str">
        <f>VLOOKUP($H238, 'ADP Data'!$B$4:$Q$300, 2, FALSE)</f>
        <v>#N/A</v>
      </c>
      <c r="J238" s="11" t="str">
        <f>VLOOKUP($H238, 'ADP Data'!$B$4:$Q$300, 3, FALSE)</f>
        <v>#N/A</v>
      </c>
      <c r="K238" s="11" t="s">
        <v>710</v>
      </c>
      <c r="L238" s="11" t="str">
        <f>VLOOKUP($H238, SeanRanks!$A$2:$H$303, 5, FALSE)</f>
        <v/>
      </c>
      <c r="M238" s="11">
        <f t="shared" si="3"/>
        <v>16</v>
      </c>
      <c r="N238" s="11" t="str">
        <f>VLOOKUP($H238, 'ADP Data'!$B$4:$Q$300, 11, FALSE)</f>
        <v>#N/A</v>
      </c>
      <c r="O238" s="11" t="str">
        <f>VLOOKUP($H238, 'ADP Data'!$B$4:$Q$300, 5, FALSE)</f>
        <v>#N/A</v>
      </c>
      <c r="P238" s="11" t="str">
        <f t="shared" si="4"/>
        <v>#N/A</v>
      </c>
      <c r="Q238" s="11" t="str">
        <f>VLOOKUP($H238, 'ADP Data'!$B$4:$Q$300, 6, FALSE)</f>
        <v>#N/A</v>
      </c>
      <c r="R238" s="11" t="str">
        <f>VLOOKUP($H238, 'ADP Data'!$B$4:$Q$300, 7, FALSE)</f>
        <v>#N/A</v>
      </c>
      <c r="S238" s="11" t="str">
        <f>VLOOKUP($H238, 'ADP Data'!$B$4:$Q$300, 8, FALSE)</f>
        <v>#N/A</v>
      </c>
      <c r="T238" s="11" t="str">
        <f>VLOOKUP($H238, 'ADP Data'!$B$4:$Q$300, 9, FALSE)</f>
        <v>#N/A</v>
      </c>
      <c r="U238" s="11" t="str">
        <f>VLOOKUP($H238, 'ADP Data'!$B$4:$Q$300, 10, FALSE)</f>
        <v>#N/A</v>
      </c>
      <c r="V238" s="11" t="str">
        <f t="shared" si="5"/>
        <v>#N/A</v>
      </c>
      <c r="W238" s="11" t="str">
        <f>VLOOKUP($H238, SeanRanks!$A$2:$J$303, 7, FALSE)-V238</f>
        <v>#N/A</v>
      </c>
      <c r="X238" s="11"/>
    </row>
    <row r="239" ht="14.25" customHeight="1">
      <c r="A239" s="11"/>
      <c r="B239" s="11" t="str">
        <f t="shared" si="1"/>
        <v>#N/A</v>
      </c>
      <c r="C239" s="11" t="s">
        <v>106</v>
      </c>
      <c r="D239" s="11">
        <v>46.0</v>
      </c>
      <c r="E239" s="11">
        <v>44.0</v>
      </c>
      <c r="F239" s="11">
        <f t="shared" si="2"/>
        <v>2</v>
      </c>
      <c r="G239" s="11"/>
      <c r="H239" s="11" t="s">
        <v>197</v>
      </c>
      <c r="I239" s="11" t="str">
        <f>VLOOKUP($H239, 'ADP Data'!$B$4:$Q$300, 2, FALSE)</f>
        <v>#N/A</v>
      </c>
      <c r="J239" s="11" t="str">
        <f>VLOOKUP($H239, 'ADP Data'!$B$4:$Q$300, 3, FALSE)</f>
        <v>#N/A</v>
      </c>
      <c r="K239" s="11" t="str">
        <f>VLOOKUP($H239, SeanRanks!$A$2:$H$303, 4, FALSE)</f>
        <v/>
      </c>
      <c r="L239" s="11" t="str">
        <f>VLOOKUP($H239, SeanRanks!$A$2:$H$303, 5, FALSE)</f>
        <v/>
      </c>
      <c r="M239" s="11">
        <f t="shared" si="3"/>
        <v>16</v>
      </c>
      <c r="N239" s="11" t="str">
        <f>VLOOKUP($H239, 'ADP Data'!$B$4:$Q$300, 11, FALSE)</f>
        <v>#N/A</v>
      </c>
      <c r="O239" s="11" t="str">
        <f>VLOOKUP($H239, 'ADP Data'!$B$4:$Q$300, 5, FALSE)</f>
        <v>#N/A</v>
      </c>
      <c r="P239" s="11" t="str">
        <f t="shared" si="4"/>
        <v>#N/A</v>
      </c>
      <c r="Q239" s="11" t="str">
        <f>VLOOKUP($H239, 'ADP Data'!$B$4:$Q$300, 6, FALSE)</f>
        <v>#N/A</v>
      </c>
      <c r="R239" s="11" t="str">
        <f>VLOOKUP($H239, 'ADP Data'!$B$4:$Q$300, 7, FALSE)</f>
        <v>#N/A</v>
      </c>
      <c r="S239" s="11" t="str">
        <f>VLOOKUP($H239, 'ADP Data'!$B$4:$Q$300, 8, FALSE)</f>
        <v>#N/A</v>
      </c>
      <c r="T239" s="11" t="str">
        <f>VLOOKUP($H239, 'ADP Data'!$B$4:$Q$300, 9, FALSE)</f>
        <v>#N/A</v>
      </c>
      <c r="U239" s="11" t="str">
        <f>VLOOKUP($H239, 'ADP Data'!$B$4:$Q$300, 10, FALSE)</f>
        <v>#N/A</v>
      </c>
      <c r="V239" s="11" t="str">
        <f t="shared" si="5"/>
        <v>#N/A</v>
      </c>
      <c r="W239" s="11" t="str">
        <f>VLOOKUP($H239, SeanRanks!$A$2:$J$303, 7, FALSE)-V239</f>
        <v>#N/A</v>
      </c>
      <c r="X239" s="11"/>
    </row>
    <row r="240" ht="14.25" customHeight="1">
      <c r="A240" s="11"/>
      <c r="B240" s="11" t="str">
        <f t="shared" si="1"/>
        <v>#N/A</v>
      </c>
      <c r="C240" s="11" t="s">
        <v>106</v>
      </c>
      <c r="D240" s="11">
        <v>27.0</v>
      </c>
      <c r="E240" s="11">
        <v>25.0</v>
      </c>
      <c r="F240" s="11">
        <f t="shared" si="2"/>
        <v>2</v>
      </c>
      <c r="G240" s="11"/>
      <c r="H240" s="11" t="s">
        <v>428</v>
      </c>
      <c r="I240" s="11" t="str">
        <f>VLOOKUP($H240, 'ADP Data'!$B$4:$Q$300, 2, FALSE)</f>
        <v>#N/A</v>
      </c>
      <c r="J240" s="11" t="str">
        <f>VLOOKUP($H240, 'ADP Data'!$B$4:$Q$300, 3, FALSE)</f>
        <v>#N/A</v>
      </c>
      <c r="K240" s="11" t="str">
        <f>VLOOKUP($H240, SeanRanks!$A$2:$H$303, 4, FALSE)</f>
        <v/>
      </c>
      <c r="L240" s="11" t="str">
        <f>VLOOKUP($H240, SeanRanks!$A$2:$H$303, 5, FALSE)</f>
        <v/>
      </c>
      <c r="M240" s="11">
        <f t="shared" si="3"/>
        <v>16</v>
      </c>
      <c r="N240" s="11" t="str">
        <f>VLOOKUP($H240, 'ADP Data'!$B$4:$Q$300, 11, FALSE)</f>
        <v>#N/A</v>
      </c>
      <c r="O240" s="11" t="str">
        <f>VLOOKUP($H240, 'ADP Data'!$B$4:$Q$300, 5, FALSE)</f>
        <v>#N/A</v>
      </c>
      <c r="P240" s="11" t="str">
        <f t="shared" si="4"/>
        <v>#N/A</v>
      </c>
      <c r="Q240" s="11" t="str">
        <f>VLOOKUP($H240, 'ADP Data'!$B$4:$Q$300, 6, FALSE)</f>
        <v>#N/A</v>
      </c>
      <c r="R240" s="11" t="str">
        <f>VLOOKUP($H240, 'ADP Data'!$B$4:$Q$300, 7, FALSE)</f>
        <v>#N/A</v>
      </c>
      <c r="S240" s="11" t="str">
        <f>VLOOKUP($H240, 'ADP Data'!$B$4:$Q$300, 8, FALSE)</f>
        <v>#N/A</v>
      </c>
      <c r="T240" s="11" t="str">
        <f>VLOOKUP($H240, 'ADP Data'!$B$4:$Q$300, 9, FALSE)</f>
        <v>#N/A</v>
      </c>
      <c r="U240" s="11" t="str">
        <f>VLOOKUP($H240, 'ADP Data'!$B$4:$Q$300, 10, FALSE)</f>
        <v>#N/A</v>
      </c>
      <c r="V240" s="11" t="str">
        <f t="shared" si="5"/>
        <v>#N/A</v>
      </c>
      <c r="W240" s="11" t="str">
        <f>VLOOKUP($H240, SeanRanks!$A$2:$J$303, 7, FALSE)-V240</f>
        <v>#N/A</v>
      </c>
      <c r="X240" s="11"/>
    </row>
    <row r="241" ht="14.25" customHeight="1">
      <c r="A241" s="11"/>
      <c r="B241" s="11" t="str">
        <f t="shared" si="1"/>
        <v>#N/A</v>
      </c>
      <c r="C241" s="11" t="s">
        <v>106</v>
      </c>
      <c r="D241" s="11">
        <v>42.0</v>
      </c>
      <c r="E241" s="60">
        <v>40.0</v>
      </c>
      <c r="F241" s="11">
        <f t="shared" si="2"/>
        <v>2</v>
      </c>
      <c r="G241" s="60"/>
      <c r="H241" s="60" t="s">
        <v>498</v>
      </c>
      <c r="I241" s="60" t="str">
        <f>VLOOKUP($H241, 'ADP Data'!$B$4:$Q$300, 2, FALSE)</f>
        <v>#N/A</v>
      </c>
      <c r="J241" s="60" t="str">
        <f>VLOOKUP($H241, 'ADP Data'!$B$4:$Q$300, 3, FALSE)</f>
        <v>#N/A</v>
      </c>
      <c r="K241" s="60" t="str">
        <f>VLOOKUP($H241, SeanRanks!$A$2:$H$303, 4, FALSE)</f>
        <v/>
      </c>
      <c r="L241" s="11" t="str">
        <f>VLOOKUP($H241, SeanRanks!$A$2:$H$303, 5, FALSE)</f>
        <v/>
      </c>
      <c r="M241" s="11">
        <f t="shared" si="3"/>
        <v>16</v>
      </c>
      <c r="N241" s="11" t="str">
        <f>VLOOKUP($H241, 'ADP Data'!$B$4:$Q$300, 11, FALSE)</f>
        <v>#N/A</v>
      </c>
      <c r="O241" s="11" t="str">
        <f>VLOOKUP($H241, 'ADP Data'!$B$4:$Q$300, 5, FALSE)</f>
        <v>#N/A</v>
      </c>
      <c r="P241" s="11" t="str">
        <f t="shared" si="4"/>
        <v>#N/A</v>
      </c>
      <c r="Q241" s="11" t="str">
        <f>VLOOKUP($H241, 'ADP Data'!$B$4:$Q$300, 6, FALSE)</f>
        <v>#N/A</v>
      </c>
      <c r="R241" s="11" t="str">
        <f>VLOOKUP($H241, 'ADP Data'!$B$4:$Q$300, 7, FALSE)</f>
        <v>#N/A</v>
      </c>
      <c r="S241" s="11" t="str">
        <f>VLOOKUP($H241, 'ADP Data'!$B$4:$Q$300, 8, FALSE)</f>
        <v>#N/A</v>
      </c>
      <c r="T241" s="11" t="str">
        <f>VLOOKUP($H241, 'ADP Data'!$B$4:$Q$300, 9, FALSE)</f>
        <v>#N/A</v>
      </c>
      <c r="U241" s="11" t="str">
        <f>VLOOKUP($H241, 'ADP Data'!$B$4:$Q$300, 10, FALSE)</f>
        <v>#N/A</v>
      </c>
      <c r="V241" s="11" t="str">
        <f t="shared" si="5"/>
        <v>#N/A</v>
      </c>
      <c r="W241" s="11" t="str">
        <f>VLOOKUP($H241, SeanRanks!$A$2:$J$303, 7, FALSE)-V241</f>
        <v>#N/A</v>
      </c>
      <c r="X241" s="60"/>
    </row>
    <row r="242" ht="14.25" customHeight="1">
      <c r="A242" s="11"/>
      <c r="B242" s="11" t="str">
        <f t="shared" si="1"/>
        <v>#N/A</v>
      </c>
      <c r="C242" s="11" t="s">
        <v>106</v>
      </c>
      <c r="D242" s="11">
        <v>2.0</v>
      </c>
      <c r="E242" s="11"/>
      <c r="F242" s="11">
        <f t="shared" si="2"/>
        <v>2</v>
      </c>
      <c r="G242" s="11" t="s">
        <v>95</v>
      </c>
      <c r="H242" s="11" t="s">
        <v>645</v>
      </c>
      <c r="I242" s="11" t="str">
        <f>VLOOKUP($H242, 'ADP Data'!$B$4:$Q$300, 2, FALSE)</f>
        <v>#N/A</v>
      </c>
      <c r="J242" s="11" t="str">
        <f>VLOOKUP($H242, 'ADP Data'!$B$4:$Q$300, 3, FALSE)</f>
        <v>#N/A</v>
      </c>
      <c r="K242" s="11" t="s">
        <v>1180</v>
      </c>
      <c r="L242" s="11" t="str">
        <f>VLOOKUP($H242, SeanRanks!$A$2:$H$303, 5, FALSE)</f>
        <v/>
      </c>
      <c r="M242" s="11">
        <f t="shared" si="3"/>
        <v>16</v>
      </c>
      <c r="N242" s="11" t="str">
        <f>VLOOKUP($H242, 'ADP Data'!$B$4:$Q$300, 11, FALSE)</f>
        <v>#N/A</v>
      </c>
      <c r="O242" s="11" t="str">
        <f>VLOOKUP($H242, 'ADP Data'!$B$4:$Q$300, 5, FALSE)</f>
        <v>#N/A</v>
      </c>
      <c r="P242" s="11" t="str">
        <f t="shared" si="4"/>
        <v>#N/A</v>
      </c>
      <c r="Q242" s="11" t="str">
        <f>VLOOKUP($H242, 'ADP Data'!$B$4:$Q$300, 6, FALSE)</f>
        <v>#N/A</v>
      </c>
      <c r="R242" s="11" t="str">
        <f>VLOOKUP($H242, 'ADP Data'!$B$4:$Q$300, 7, FALSE)</f>
        <v>#N/A</v>
      </c>
      <c r="S242" s="11" t="str">
        <f>VLOOKUP($H242, 'ADP Data'!$B$4:$Q$300, 8, FALSE)</f>
        <v>#N/A</v>
      </c>
      <c r="T242" s="11" t="str">
        <f>VLOOKUP($H242, 'ADP Data'!$B$4:$Q$300, 9, FALSE)</f>
        <v>#N/A</v>
      </c>
      <c r="U242" s="11" t="str">
        <f>VLOOKUP($H242, 'ADP Data'!$B$4:$Q$300, 10, FALSE)</f>
        <v>#N/A</v>
      </c>
      <c r="V242" s="11" t="str">
        <f t="shared" si="5"/>
        <v>#N/A</v>
      </c>
      <c r="W242" s="11" t="str">
        <f>VLOOKUP($H242, SeanRanks!$A$2:$J$303, 7, FALSE)-V242</f>
        <v>#N/A</v>
      </c>
      <c r="X242" s="11"/>
    </row>
    <row r="243" ht="14.25" customHeight="1">
      <c r="A243" s="11" t="s">
        <v>1156</v>
      </c>
      <c r="B243" s="11" t="str">
        <f t="shared" si="1"/>
        <v>#N/A</v>
      </c>
      <c r="C243" s="11" t="s">
        <v>106</v>
      </c>
      <c r="D243" s="11">
        <v>3.0</v>
      </c>
      <c r="E243" s="11">
        <v>3.0</v>
      </c>
      <c r="F243" s="11">
        <f t="shared" si="2"/>
        <v>0</v>
      </c>
      <c r="G243" s="11" t="s">
        <v>106</v>
      </c>
      <c r="H243" s="11" t="s">
        <v>114</v>
      </c>
      <c r="I243" s="11" t="str">
        <f>VLOOKUP($H243, 'ADP Data'!$B$4:$Q$300, 2, FALSE)</f>
        <v>#N/A</v>
      </c>
      <c r="J243" s="11" t="str">
        <f>VLOOKUP($H243, 'ADP Data'!$B$4:$Q$300, 3, FALSE)</f>
        <v>#N/A</v>
      </c>
      <c r="K243" s="11" t="str">
        <f>VLOOKUP($H243, SeanRanks!$A$2:$H$303, 4, FALSE)</f>
        <v/>
      </c>
      <c r="L243" s="11" t="str">
        <f>VLOOKUP($H243, SeanRanks!$A$2:$H$303, 5, FALSE)</f>
        <v/>
      </c>
      <c r="M243" s="11">
        <f t="shared" si="3"/>
        <v>16</v>
      </c>
      <c r="N243" s="11" t="str">
        <f>VLOOKUP($H243, 'ADP Data'!$B$4:$Q$300, 11, FALSE)</f>
        <v>#N/A</v>
      </c>
      <c r="O243" s="11" t="str">
        <f>VLOOKUP($H243, 'ADP Data'!$B$4:$Q$300, 5, FALSE)</f>
        <v>#N/A</v>
      </c>
      <c r="P243" s="11" t="str">
        <f t="shared" si="4"/>
        <v>#N/A</v>
      </c>
      <c r="Q243" s="11" t="str">
        <f>VLOOKUP($H243, 'ADP Data'!$B$4:$Q$300, 6, FALSE)</f>
        <v>#N/A</v>
      </c>
      <c r="R243" s="11" t="str">
        <f>VLOOKUP($H243, 'ADP Data'!$B$4:$Q$300, 7, FALSE)</f>
        <v>#N/A</v>
      </c>
      <c r="S243" s="11" t="str">
        <f>VLOOKUP($H243, 'ADP Data'!$B$4:$Q$300, 8, FALSE)</f>
        <v>#N/A</v>
      </c>
      <c r="T243" s="11" t="str">
        <f>VLOOKUP($H243, 'ADP Data'!$B$4:$Q$300, 9, FALSE)</f>
        <v>#N/A</v>
      </c>
      <c r="U243" s="11" t="str">
        <f>VLOOKUP($H243, 'ADP Data'!$B$4:$Q$300, 10, FALSE)</f>
        <v>#N/A</v>
      </c>
      <c r="V243" s="11" t="str">
        <f t="shared" si="5"/>
        <v>#N/A</v>
      </c>
      <c r="W243" s="11" t="str">
        <f>VLOOKUP($H243, SeanRanks!$A$2:$J$303, 7, FALSE)-V243</f>
        <v>#N/A</v>
      </c>
      <c r="X243" s="11" t="s">
        <v>1298</v>
      </c>
    </row>
    <row r="244" ht="14.25" customHeight="1">
      <c r="A244" s="11"/>
      <c r="B244" s="11" t="str">
        <f t="shared" si="1"/>
        <v>#N/A</v>
      </c>
      <c r="C244" s="11" t="s">
        <v>106</v>
      </c>
      <c r="D244" s="11">
        <v>2.0</v>
      </c>
      <c r="E244" s="11"/>
      <c r="F244" s="11">
        <f t="shared" si="2"/>
        <v>2</v>
      </c>
      <c r="G244" s="11" t="s">
        <v>106</v>
      </c>
      <c r="H244" s="11" t="s">
        <v>405</v>
      </c>
      <c r="I244" s="11" t="str">
        <f>VLOOKUP($H244, 'ADP Data'!$B$4:$Q$300, 2, FALSE)</f>
        <v>#N/A</v>
      </c>
      <c r="J244" s="11" t="str">
        <f>VLOOKUP($H244, 'ADP Data'!$B$4:$Q$300, 3, FALSE)</f>
        <v>#N/A</v>
      </c>
      <c r="K244" s="11" t="s">
        <v>1162</v>
      </c>
      <c r="L244" s="11" t="str">
        <f>VLOOKUP($H244, SeanRanks!$A$2:$H$303, 5, FALSE)</f>
        <v/>
      </c>
      <c r="M244" s="11">
        <f t="shared" si="3"/>
        <v>16</v>
      </c>
      <c r="N244" s="11" t="str">
        <f>VLOOKUP($H244, 'ADP Data'!$B$4:$Q$300, 11, FALSE)</f>
        <v>#N/A</v>
      </c>
      <c r="O244" s="11" t="str">
        <f>VLOOKUP($H244, 'ADP Data'!$B$4:$Q$300, 5, FALSE)</f>
        <v>#N/A</v>
      </c>
      <c r="P244" s="11" t="str">
        <f t="shared" si="4"/>
        <v>#N/A</v>
      </c>
      <c r="Q244" s="11" t="str">
        <f>VLOOKUP($H244, 'ADP Data'!$B$4:$Q$300, 6, FALSE)</f>
        <v>#N/A</v>
      </c>
      <c r="R244" s="11" t="str">
        <f>VLOOKUP($H244, 'ADP Data'!$B$4:$Q$300, 7, FALSE)</f>
        <v>#N/A</v>
      </c>
      <c r="S244" s="11" t="str">
        <f>VLOOKUP($H244, 'ADP Data'!$B$4:$Q$300, 8, FALSE)</f>
        <v>#N/A</v>
      </c>
      <c r="T244" s="11" t="str">
        <f>VLOOKUP($H244, 'ADP Data'!$B$4:$Q$300, 9, FALSE)</f>
        <v>#N/A</v>
      </c>
      <c r="U244" s="11" t="str">
        <f>VLOOKUP($H244, 'ADP Data'!$B$4:$Q$300, 10, FALSE)</f>
        <v>#N/A</v>
      </c>
      <c r="V244" s="11" t="str">
        <f t="shared" si="5"/>
        <v>#N/A</v>
      </c>
      <c r="W244" s="11" t="str">
        <f>VLOOKUP($H244, SeanRanks!$A$2:$J$303, 7, FALSE)-V244</f>
        <v>#N/A</v>
      </c>
      <c r="X244" s="11"/>
    </row>
    <row r="245" ht="14.25" customHeight="1">
      <c r="A245" s="11"/>
      <c r="B245" s="11" t="str">
        <f t="shared" si="1"/>
        <v>#N/A</v>
      </c>
      <c r="C245" s="11" t="s">
        <v>106</v>
      </c>
      <c r="D245" s="11">
        <v>17.0</v>
      </c>
      <c r="E245" s="11">
        <v>15.0</v>
      </c>
      <c r="F245" s="11">
        <f t="shared" si="2"/>
        <v>2</v>
      </c>
      <c r="G245" s="11" t="s">
        <v>95</v>
      </c>
      <c r="H245" s="11" t="s">
        <v>831</v>
      </c>
      <c r="I245" s="11" t="str">
        <f>VLOOKUP($H245, 'ADP Data'!$B$4:$Q$300, 2, FALSE)</f>
        <v>#N/A</v>
      </c>
      <c r="J245" s="11" t="str">
        <f>VLOOKUP($H245, 'ADP Data'!$B$4:$Q$300, 3, FALSE)</f>
        <v>#N/A</v>
      </c>
      <c r="K245" s="11" t="str">
        <f>VLOOKUP($H245, SeanRanks!$A$2:$H$303, 4, FALSE)</f>
        <v/>
      </c>
      <c r="L245" s="11" t="str">
        <f>VLOOKUP($H245, SeanRanks!$A$2:$H$303, 5, FALSE)</f>
        <v/>
      </c>
      <c r="M245" s="11">
        <f t="shared" si="3"/>
        <v>16</v>
      </c>
      <c r="N245" s="11" t="str">
        <f>VLOOKUP($H245, 'ADP Data'!$B$4:$Q$300, 11, FALSE)</f>
        <v>#N/A</v>
      </c>
      <c r="O245" s="11" t="str">
        <f>VLOOKUP($H245, 'ADP Data'!$B$4:$Q$300, 5, FALSE)</f>
        <v>#N/A</v>
      </c>
      <c r="P245" s="11" t="str">
        <f t="shared" si="4"/>
        <v>#N/A</v>
      </c>
      <c r="Q245" s="11" t="str">
        <f>VLOOKUP($H245, 'ADP Data'!$B$4:$Q$300, 6, FALSE)</f>
        <v>#N/A</v>
      </c>
      <c r="R245" s="11" t="str">
        <f>VLOOKUP($H245, 'ADP Data'!$B$4:$Q$300, 7, FALSE)</f>
        <v>#N/A</v>
      </c>
      <c r="S245" s="11" t="str">
        <f>VLOOKUP($H245, 'ADP Data'!$B$4:$Q$300, 8, FALSE)</f>
        <v>#N/A</v>
      </c>
      <c r="T245" s="11" t="str">
        <f>VLOOKUP($H245, 'ADP Data'!$B$4:$Q$300, 9, FALSE)</f>
        <v>#N/A</v>
      </c>
      <c r="U245" s="11" t="str">
        <f>VLOOKUP($H245, 'ADP Data'!$B$4:$Q$300, 10, FALSE)</f>
        <v>#N/A</v>
      </c>
      <c r="V245" s="11" t="str">
        <f t="shared" si="5"/>
        <v>#N/A</v>
      </c>
      <c r="W245" s="11" t="str">
        <f>VLOOKUP($H245, SeanRanks!$A$2:$J$303, 7, FALSE)-V245</f>
        <v>#N/A</v>
      </c>
      <c r="X245" s="11" t="s">
        <v>1183</v>
      </c>
    </row>
    <row r="246" ht="14.25" customHeight="1">
      <c r="A246" s="11"/>
      <c r="B246" s="11" t="str">
        <f t="shared" si="1"/>
        <v>#N/A</v>
      </c>
      <c r="C246" s="11" t="s">
        <v>106</v>
      </c>
      <c r="D246" s="11">
        <v>14.0</v>
      </c>
      <c r="E246" s="60">
        <v>12.0</v>
      </c>
      <c r="F246" s="11">
        <f t="shared" si="2"/>
        <v>2</v>
      </c>
      <c r="G246" s="60" t="s">
        <v>95</v>
      </c>
      <c r="H246" s="60" t="s">
        <v>888</v>
      </c>
      <c r="I246" s="60" t="str">
        <f>VLOOKUP($H246, 'ADP Data'!$B$4:$Q$300, 2, FALSE)</f>
        <v>#N/A</v>
      </c>
      <c r="J246" s="60" t="str">
        <f>VLOOKUP($H246, 'ADP Data'!$B$4:$Q$300, 3, FALSE)</f>
        <v>#N/A</v>
      </c>
      <c r="K246" s="60" t="str">
        <f>VLOOKUP($H246, SeanRanks!$A$2:$H$303, 4, FALSE)</f>
        <v>#N/A</v>
      </c>
      <c r="L246" s="60" t="str">
        <f>VLOOKUP($H246, SeanRanks!$A$2:$H$303, 5, FALSE)</f>
        <v>#N/A</v>
      </c>
      <c r="M246" s="11">
        <f t="shared" si="3"/>
        <v>16</v>
      </c>
      <c r="N246" s="11" t="str">
        <f>VLOOKUP($H246, 'ADP Data'!$B$4:$Q$300, 11, FALSE)</f>
        <v>#N/A</v>
      </c>
      <c r="O246" s="11" t="str">
        <f>VLOOKUP($H246, 'ADP Data'!$B$4:$Q$300, 5, FALSE)</f>
        <v>#N/A</v>
      </c>
      <c r="P246" s="11" t="str">
        <f t="shared" si="4"/>
        <v>#N/A</v>
      </c>
      <c r="Q246" s="11" t="str">
        <f>VLOOKUP($H246, 'ADP Data'!$B$4:$Q$300, 6, FALSE)</f>
        <v>#N/A</v>
      </c>
      <c r="R246" s="11" t="str">
        <f>VLOOKUP($H246, 'ADP Data'!$B$4:$Q$300, 7, FALSE)</f>
        <v>#N/A</v>
      </c>
      <c r="S246" s="11" t="str">
        <f>VLOOKUP($H246, 'ADP Data'!$B$4:$Q$300, 8, FALSE)</f>
        <v>#N/A</v>
      </c>
      <c r="T246" s="11" t="str">
        <f>VLOOKUP($H246, 'ADP Data'!$B$4:$Q$300, 9, FALSE)</f>
        <v>#N/A</v>
      </c>
      <c r="U246" s="11" t="str">
        <f>VLOOKUP($H246, 'ADP Data'!$B$4:$Q$300, 10, FALSE)</f>
        <v>#N/A</v>
      </c>
      <c r="V246" s="11" t="str">
        <f t="shared" si="5"/>
        <v>#N/A</v>
      </c>
      <c r="W246" s="11" t="str">
        <f>VLOOKUP($H246, SeanRanks!$A$2:$J$303, 7, FALSE)-V246</f>
        <v>#N/A</v>
      </c>
      <c r="X246" s="60"/>
    </row>
    <row r="247" ht="14.25" customHeight="1">
      <c r="A247" s="11"/>
      <c r="B247" s="11" t="str">
        <f t="shared" si="1"/>
        <v>#N/A</v>
      </c>
      <c r="C247" s="11" t="s">
        <v>106</v>
      </c>
      <c r="D247" s="11">
        <v>7.0</v>
      </c>
      <c r="E247" s="11">
        <v>5.0</v>
      </c>
      <c r="F247" s="11">
        <f t="shared" si="2"/>
        <v>2</v>
      </c>
      <c r="G247" s="11"/>
      <c r="H247" s="11" t="s">
        <v>796</v>
      </c>
      <c r="I247" s="11" t="str">
        <f>VLOOKUP($H247, 'ADP Data'!$B$4:$Q$300, 2, FALSE)</f>
        <v>#N/A</v>
      </c>
      <c r="J247" s="11" t="str">
        <f>VLOOKUP($H247, 'ADP Data'!$B$4:$Q$300, 3, FALSE)</f>
        <v>#N/A</v>
      </c>
      <c r="K247" s="11" t="str">
        <f>VLOOKUP($H247, SeanRanks!$A$2:$H$303, 4, FALSE)</f>
        <v/>
      </c>
      <c r="L247" s="11" t="str">
        <f>VLOOKUP($H247, SeanRanks!$A$2:$H$303, 5, FALSE)</f>
        <v/>
      </c>
      <c r="M247" s="11">
        <f t="shared" si="3"/>
        <v>16</v>
      </c>
      <c r="N247" s="11" t="str">
        <f>VLOOKUP($H247, 'ADP Data'!$B$4:$Q$300, 11, FALSE)</f>
        <v>#N/A</v>
      </c>
      <c r="O247" s="11" t="str">
        <f>VLOOKUP($H247, 'ADP Data'!$B$4:$Q$300, 5, FALSE)</f>
        <v>#N/A</v>
      </c>
      <c r="P247" s="11" t="str">
        <f t="shared" si="4"/>
        <v>#N/A</v>
      </c>
      <c r="Q247" s="11" t="str">
        <f>VLOOKUP($H247, 'ADP Data'!$B$4:$Q$300, 6, FALSE)</f>
        <v>#N/A</v>
      </c>
      <c r="R247" s="11" t="str">
        <f>VLOOKUP($H247, 'ADP Data'!$B$4:$Q$300, 7, FALSE)</f>
        <v>#N/A</v>
      </c>
      <c r="S247" s="11" t="str">
        <f>VLOOKUP($H247, 'ADP Data'!$B$4:$Q$300, 8, FALSE)</f>
        <v>#N/A</v>
      </c>
      <c r="T247" s="11" t="str">
        <f>VLOOKUP($H247, 'ADP Data'!$B$4:$Q$300, 9, FALSE)</f>
        <v>#N/A</v>
      </c>
      <c r="U247" s="11" t="str">
        <f>VLOOKUP($H247, 'ADP Data'!$B$4:$Q$300, 10, FALSE)</f>
        <v>#N/A</v>
      </c>
      <c r="V247" s="11" t="str">
        <f t="shared" si="5"/>
        <v>#N/A</v>
      </c>
      <c r="W247" s="11" t="str">
        <f>VLOOKUP($H247, SeanRanks!$A$2:$J$303, 7, FALSE)-V247</f>
        <v>#N/A</v>
      </c>
      <c r="X247" s="11"/>
    </row>
    <row r="248" ht="14.25" customHeight="1">
      <c r="A248" s="11" t="s">
        <v>1156</v>
      </c>
      <c r="B248" s="11" t="str">
        <f t="shared" si="1"/>
        <v>#N/A</v>
      </c>
      <c r="C248" s="11" t="s">
        <v>106</v>
      </c>
      <c r="D248" s="11">
        <v>1.0</v>
      </c>
      <c r="E248" s="11">
        <v>1.0</v>
      </c>
      <c r="F248" s="11">
        <f t="shared" si="2"/>
        <v>0</v>
      </c>
      <c r="G248" s="11"/>
      <c r="H248" s="11" t="s">
        <v>986</v>
      </c>
      <c r="I248" s="11" t="str">
        <f>VLOOKUP($H248, 'ADP Data'!$B$4:$Q$300, 2, FALSE)</f>
        <v>#N/A</v>
      </c>
      <c r="J248" s="11" t="str">
        <f>VLOOKUP($H248, 'ADP Data'!$B$4:$Q$300, 3, FALSE)</f>
        <v>#N/A</v>
      </c>
      <c r="K248" s="11" t="str">
        <f>VLOOKUP($H248, SeanRanks!$A$2:$H$303, 4, FALSE)</f>
        <v>#N/A</v>
      </c>
      <c r="L248" s="11" t="str">
        <f>VLOOKUP($H248, SeanRanks!$A$2:$H$303, 5, FALSE)</f>
        <v>#N/A</v>
      </c>
      <c r="M248" s="11">
        <f t="shared" si="3"/>
        <v>16</v>
      </c>
      <c r="N248" s="11" t="str">
        <f>VLOOKUP($H248, 'ADP Data'!$B$4:$Q$300, 11, FALSE)</f>
        <v>#N/A</v>
      </c>
      <c r="O248" s="11" t="str">
        <f>VLOOKUP($H248, 'ADP Data'!$B$4:$Q$300, 5, FALSE)</f>
        <v>#N/A</v>
      </c>
      <c r="P248" s="11" t="str">
        <f t="shared" si="4"/>
        <v>#N/A</v>
      </c>
      <c r="Q248" s="11" t="str">
        <f>VLOOKUP($H248, 'ADP Data'!$B$4:$Q$300, 6, FALSE)</f>
        <v>#N/A</v>
      </c>
      <c r="R248" s="11" t="str">
        <f>VLOOKUP($H248, 'ADP Data'!$B$4:$Q$300, 7, FALSE)</f>
        <v>#N/A</v>
      </c>
      <c r="S248" s="11" t="str">
        <f>VLOOKUP($H248, 'ADP Data'!$B$4:$Q$300, 8, FALSE)</f>
        <v>#N/A</v>
      </c>
      <c r="T248" s="11" t="str">
        <f>VLOOKUP($H248, 'ADP Data'!$B$4:$Q$300, 9, FALSE)</f>
        <v>#N/A</v>
      </c>
      <c r="U248" s="11" t="str">
        <f>VLOOKUP($H248, 'ADP Data'!$B$4:$Q$300, 10, FALSE)</f>
        <v>#N/A</v>
      </c>
      <c r="V248" s="11" t="str">
        <f t="shared" si="5"/>
        <v>#N/A</v>
      </c>
      <c r="W248" s="11" t="str">
        <f>VLOOKUP($H248, SeanRanks!$A$2:$J$303, 7, FALSE)-V248</f>
        <v>#N/A</v>
      </c>
      <c r="X248" s="11" t="s">
        <v>1300</v>
      </c>
    </row>
    <row r="249" ht="14.25" customHeight="1">
      <c r="A249" s="11"/>
      <c r="B249" s="11" t="str">
        <f t="shared" si="1"/>
        <v>#N/A</v>
      </c>
      <c r="C249" s="11" t="s">
        <v>106</v>
      </c>
      <c r="D249" s="11">
        <v>7.0</v>
      </c>
      <c r="E249" s="11">
        <v>5.0</v>
      </c>
      <c r="F249" s="11">
        <f t="shared" si="2"/>
        <v>2</v>
      </c>
      <c r="G249" s="11"/>
      <c r="H249" s="11" t="s">
        <v>892</v>
      </c>
      <c r="I249" s="11" t="str">
        <f>VLOOKUP($H249, 'ADP Data'!$B$4:$Q$300, 2, FALSE)</f>
        <v>#N/A</v>
      </c>
      <c r="J249" s="11" t="str">
        <f>VLOOKUP($H249, 'ADP Data'!$B$4:$Q$300, 3, FALSE)</f>
        <v>#N/A</v>
      </c>
      <c r="K249" s="11" t="str">
        <f>VLOOKUP($H249, SeanRanks!$A$2:$H$303, 4, FALSE)</f>
        <v/>
      </c>
      <c r="L249" s="11" t="str">
        <f>VLOOKUP($H249, SeanRanks!$A$2:$H$303, 5, FALSE)</f>
        <v/>
      </c>
      <c r="M249" s="11">
        <f t="shared" si="3"/>
        <v>16</v>
      </c>
      <c r="N249" s="11" t="str">
        <f>VLOOKUP($H249, 'ADP Data'!$B$4:$Q$300, 11, FALSE)</f>
        <v>#N/A</v>
      </c>
      <c r="O249" s="11" t="str">
        <f>VLOOKUP($H249, 'ADP Data'!$B$4:$Q$300, 5, FALSE)</f>
        <v>#N/A</v>
      </c>
      <c r="P249" s="11" t="str">
        <f t="shared" si="4"/>
        <v>#N/A</v>
      </c>
      <c r="Q249" s="11" t="str">
        <f>VLOOKUP($H249, 'ADP Data'!$B$4:$Q$300, 6, FALSE)</f>
        <v>#N/A</v>
      </c>
      <c r="R249" s="11" t="str">
        <f>VLOOKUP($H249, 'ADP Data'!$B$4:$Q$300, 7, FALSE)</f>
        <v>#N/A</v>
      </c>
      <c r="S249" s="11" t="str">
        <f>VLOOKUP($H249, 'ADP Data'!$B$4:$Q$300, 8, FALSE)</f>
        <v>#N/A</v>
      </c>
      <c r="T249" s="11" t="str">
        <f>VLOOKUP($H249, 'ADP Data'!$B$4:$Q$300, 9, FALSE)</f>
        <v>#N/A</v>
      </c>
      <c r="U249" s="11" t="str">
        <f>VLOOKUP($H249, 'ADP Data'!$B$4:$Q$300, 10, FALSE)</f>
        <v>#N/A</v>
      </c>
      <c r="V249" s="11" t="str">
        <f t="shared" si="5"/>
        <v>#N/A</v>
      </c>
      <c r="W249" s="11" t="str">
        <f>VLOOKUP($H249, SeanRanks!$A$2:$J$303, 7, FALSE)-V249</f>
        <v>#N/A</v>
      </c>
      <c r="X249" s="11"/>
    </row>
    <row r="250" ht="14.25" customHeight="1">
      <c r="A250" s="11"/>
      <c r="B250" s="11" t="str">
        <f t="shared" si="1"/>
        <v>#N/A</v>
      </c>
      <c r="C250" s="11" t="s">
        <v>106</v>
      </c>
      <c r="D250" s="11">
        <v>6.0</v>
      </c>
      <c r="E250" s="11">
        <v>4.0</v>
      </c>
      <c r="F250" s="11">
        <f t="shared" si="2"/>
        <v>2</v>
      </c>
      <c r="G250" s="11"/>
      <c r="H250" s="11" t="s">
        <v>1245</v>
      </c>
      <c r="I250" s="11" t="str">
        <f>VLOOKUP($H250, 'ADP Data'!$B$4:$Q$300, 2, FALSE)</f>
        <v>#N/A</v>
      </c>
      <c r="J250" s="11" t="str">
        <f>VLOOKUP($H250, 'ADP Data'!$B$4:$Q$300, 3, FALSE)</f>
        <v>#N/A</v>
      </c>
      <c r="K250" s="11" t="str">
        <f>VLOOKUP($H250, SeanRanks!$A$2:$H$303, 4, FALSE)</f>
        <v>#N/A</v>
      </c>
      <c r="L250" s="11" t="str">
        <f>VLOOKUP($H250, SeanRanks!$A$2:$H$303, 5, FALSE)</f>
        <v>#N/A</v>
      </c>
      <c r="M250" s="11">
        <f t="shared" si="3"/>
        <v>16</v>
      </c>
      <c r="N250" s="11" t="str">
        <f>VLOOKUP($H250, 'ADP Data'!$B$4:$Q$300, 11, FALSE)</f>
        <v>#N/A</v>
      </c>
      <c r="O250" s="11" t="str">
        <f>VLOOKUP($H250, 'ADP Data'!$B$4:$Q$300, 5, FALSE)</f>
        <v>#N/A</v>
      </c>
      <c r="P250" s="11" t="str">
        <f t="shared" si="4"/>
        <v>#N/A</v>
      </c>
      <c r="Q250" s="11" t="str">
        <f>VLOOKUP($H250, 'ADP Data'!$B$4:$Q$300, 6, FALSE)</f>
        <v>#N/A</v>
      </c>
      <c r="R250" s="11" t="str">
        <f>VLOOKUP($H250, 'ADP Data'!$B$4:$Q$300, 7, FALSE)</f>
        <v>#N/A</v>
      </c>
      <c r="S250" s="11" t="str">
        <f>VLOOKUP($H250, 'ADP Data'!$B$4:$Q$300, 8, FALSE)</f>
        <v>#N/A</v>
      </c>
      <c r="T250" s="11" t="str">
        <f>VLOOKUP($H250, 'ADP Data'!$B$4:$Q$300, 9, FALSE)</f>
        <v>#N/A</v>
      </c>
      <c r="U250" s="11" t="str">
        <f>VLOOKUP($H250, 'ADP Data'!$B$4:$Q$300, 10, FALSE)</f>
        <v>#N/A</v>
      </c>
      <c r="V250" s="11" t="str">
        <f t="shared" si="5"/>
        <v>#N/A</v>
      </c>
      <c r="W250" s="11" t="str">
        <f>VLOOKUP($H250, SeanRanks!$A$2:$J$303, 7, FALSE)-V250</f>
        <v>#N/A</v>
      </c>
      <c r="X250" s="11"/>
    </row>
    <row r="251" ht="14.25" customHeight="1">
      <c r="A251" s="11"/>
      <c r="B251" s="11" t="str">
        <f t="shared" si="1"/>
        <v>#N/A</v>
      </c>
      <c r="C251" s="11" t="s">
        <v>106</v>
      </c>
      <c r="D251" s="11">
        <v>3.0</v>
      </c>
      <c r="E251" s="11">
        <v>1.0</v>
      </c>
      <c r="F251" s="11">
        <f t="shared" si="2"/>
        <v>2</v>
      </c>
      <c r="G251" s="11"/>
      <c r="H251" s="11" t="s">
        <v>1301</v>
      </c>
      <c r="I251" s="11" t="str">
        <f>VLOOKUP($H251, 'ADP Data'!$B$4:$Q$300, 2, FALSE)</f>
        <v>#N/A</v>
      </c>
      <c r="J251" s="11" t="str">
        <f>VLOOKUP($H251, 'ADP Data'!$B$4:$Q$300, 3, FALSE)</f>
        <v>#N/A</v>
      </c>
      <c r="K251" s="11" t="str">
        <f>VLOOKUP($H251, SeanRanks!$A$2:$H$303, 4, FALSE)</f>
        <v>#N/A</v>
      </c>
      <c r="L251" s="11" t="str">
        <f>VLOOKUP($H251, SeanRanks!$A$2:$H$303, 5, FALSE)</f>
        <v>#N/A</v>
      </c>
      <c r="M251" s="11">
        <f t="shared" si="3"/>
        <v>16</v>
      </c>
      <c r="N251" s="11" t="str">
        <f>VLOOKUP($H251, 'ADP Data'!$B$4:$Q$300, 11, FALSE)</f>
        <v>#N/A</v>
      </c>
      <c r="O251" s="11" t="str">
        <f>VLOOKUP($H251, 'ADP Data'!$B$4:$Q$300, 5, FALSE)</f>
        <v>#N/A</v>
      </c>
      <c r="P251" s="11" t="str">
        <f t="shared" si="4"/>
        <v>#N/A</v>
      </c>
      <c r="Q251" s="11" t="str">
        <f>VLOOKUP($H251, 'ADP Data'!$B$4:$Q$300, 6, FALSE)</f>
        <v>#N/A</v>
      </c>
      <c r="R251" s="11" t="str">
        <f>VLOOKUP($H251, 'ADP Data'!$B$4:$Q$300, 7, FALSE)</f>
        <v>#N/A</v>
      </c>
      <c r="S251" s="11" t="str">
        <f>VLOOKUP($H251, 'ADP Data'!$B$4:$Q$300, 8, FALSE)</f>
        <v>#N/A</v>
      </c>
      <c r="T251" s="11" t="str">
        <f>VLOOKUP($H251, 'ADP Data'!$B$4:$Q$300, 9, FALSE)</f>
        <v>#N/A</v>
      </c>
      <c r="U251" s="11" t="str">
        <f>VLOOKUP($H251, 'ADP Data'!$B$4:$Q$300, 10, FALSE)</f>
        <v>#N/A</v>
      </c>
      <c r="V251" s="11" t="str">
        <f t="shared" si="5"/>
        <v>#N/A</v>
      </c>
      <c r="W251" s="11" t="str">
        <f>VLOOKUP($H251, SeanRanks!$A$2:$J$303, 7, FALSE)-V251</f>
        <v>#N/A</v>
      </c>
      <c r="X251" s="11"/>
    </row>
    <row r="252" ht="14.25" customHeight="1">
      <c r="A252" s="11"/>
      <c r="B252" s="11" t="str">
        <f t="shared" si="1"/>
        <v>#N/A</v>
      </c>
      <c r="C252" s="11" t="s">
        <v>106</v>
      </c>
      <c r="D252" s="11">
        <v>5.0</v>
      </c>
      <c r="E252" s="11">
        <v>3.0</v>
      </c>
      <c r="F252" s="11">
        <f t="shared" si="2"/>
        <v>2</v>
      </c>
      <c r="G252" s="11"/>
      <c r="H252" s="11" t="s">
        <v>653</v>
      </c>
      <c r="I252" s="11" t="str">
        <f>VLOOKUP($H252, 'ADP Data'!$B$4:$Q$300, 2, FALSE)</f>
        <v>#N/A</v>
      </c>
      <c r="J252" s="11" t="str">
        <f>VLOOKUP($H252, 'ADP Data'!$B$4:$Q$300, 3, FALSE)</f>
        <v>#N/A</v>
      </c>
      <c r="K252" s="11" t="str">
        <f>VLOOKUP($H252, SeanRanks!$A$2:$H$303, 4, FALSE)</f>
        <v/>
      </c>
      <c r="L252" s="11" t="str">
        <f>VLOOKUP($H252, SeanRanks!$A$2:$H$303, 5, FALSE)</f>
        <v/>
      </c>
      <c r="M252" s="11">
        <f t="shared" si="3"/>
        <v>16</v>
      </c>
      <c r="N252" s="11" t="str">
        <f>VLOOKUP($H252, 'ADP Data'!$B$4:$Q$300, 11, FALSE)</f>
        <v>#N/A</v>
      </c>
      <c r="O252" s="11" t="str">
        <f>VLOOKUP($H252, 'ADP Data'!$B$4:$Q$300, 5, FALSE)</f>
        <v>#N/A</v>
      </c>
      <c r="P252" s="11" t="str">
        <f t="shared" si="4"/>
        <v>#N/A</v>
      </c>
      <c r="Q252" s="11" t="str">
        <f>VLOOKUP($H252, 'ADP Data'!$B$4:$Q$300, 6, FALSE)</f>
        <v>#N/A</v>
      </c>
      <c r="R252" s="11" t="str">
        <f>VLOOKUP($H252, 'ADP Data'!$B$4:$Q$300, 7, FALSE)</f>
        <v>#N/A</v>
      </c>
      <c r="S252" s="11" t="str">
        <f>VLOOKUP($H252, 'ADP Data'!$B$4:$Q$300, 8, FALSE)</f>
        <v>#N/A</v>
      </c>
      <c r="T252" s="11" t="str">
        <f>VLOOKUP($H252, 'ADP Data'!$B$4:$Q$300, 9, FALSE)</f>
        <v>#N/A</v>
      </c>
      <c r="U252" s="11" t="str">
        <f>VLOOKUP($H252, 'ADP Data'!$B$4:$Q$300, 10, FALSE)</f>
        <v>#N/A</v>
      </c>
      <c r="V252" s="11" t="str">
        <f t="shared" si="5"/>
        <v>#N/A</v>
      </c>
      <c r="W252" s="11" t="str">
        <f>VLOOKUP($H252, SeanRanks!$A$2:$J$303, 7, FALSE)-V252</f>
        <v>#N/A</v>
      </c>
      <c r="X252" s="11"/>
    </row>
    <row r="253" ht="14.25" customHeight="1">
      <c r="A253" s="11"/>
      <c r="B253" s="11" t="str">
        <f t="shared" si="1"/>
        <v>#N/A</v>
      </c>
      <c r="C253" s="11" t="s">
        <v>106</v>
      </c>
      <c r="D253" s="11">
        <v>2.0</v>
      </c>
      <c r="E253" s="11"/>
      <c r="F253" s="11">
        <f t="shared" si="2"/>
        <v>2</v>
      </c>
      <c r="G253" s="11" t="s">
        <v>95</v>
      </c>
      <c r="H253" s="11" t="s">
        <v>1302</v>
      </c>
      <c r="I253" s="11" t="str">
        <f>VLOOKUP($H253, 'ADP Data'!$B$4:$Q$300, 2, FALSE)</f>
        <v>#N/A</v>
      </c>
      <c r="J253" s="11" t="str">
        <f>VLOOKUP($H253, 'ADP Data'!$B$4:$Q$300, 3, FALSE)</f>
        <v>#N/A</v>
      </c>
      <c r="K253" s="11" t="str">
        <f>VLOOKUP($H253, SeanRanks!$A$2:$H$303, 4, FALSE)</f>
        <v>#N/A</v>
      </c>
      <c r="L253" s="11" t="str">
        <f>VLOOKUP($H253, SeanRanks!$A$2:$H$303, 5, FALSE)</f>
        <v>#N/A</v>
      </c>
      <c r="M253" s="11">
        <f t="shared" si="3"/>
        <v>16</v>
      </c>
      <c r="N253" s="11" t="str">
        <f>VLOOKUP($H253, 'ADP Data'!$B$4:$Q$300, 11, FALSE)</f>
        <v>#N/A</v>
      </c>
      <c r="O253" s="11" t="str">
        <f>VLOOKUP($H253, 'ADP Data'!$B$4:$Q$300, 5, FALSE)</f>
        <v>#N/A</v>
      </c>
      <c r="P253" s="11" t="str">
        <f t="shared" si="4"/>
        <v>#N/A</v>
      </c>
      <c r="Q253" s="11" t="str">
        <f>VLOOKUP($H253, 'ADP Data'!$B$4:$Q$300, 6, FALSE)</f>
        <v>#N/A</v>
      </c>
      <c r="R253" s="11" t="str">
        <f>VLOOKUP($H253, 'ADP Data'!$B$4:$Q$300, 7, FALSE)</f>
        <v>#N/A</v>
      </c>
      <c r="S253" s="11" t="str">
        <f>VLOOKUP($H253, 'ADP Data'!$B$4:$Q$300, 8, FALSE)</f>
        <v>#N/A</v>
      </c>
      <c r="T253" s="11" t="str">
        <f>VLOOKUP($H253, 'ADP Data'!$B$4:$Q$300, 9, FALSE)</f>
        <v>#N/A</v>
      </c>
      <c r="U253" s="11" t="str">
        <f>VLOOKUP($H253, 'ADP Data'!$B$4:$Q$300, 10, FALSE)</f>
        <v>#N/A</v>
      </c>
      <c r="V253" s="11" t="str">
        <f t="shared" si="5"/>
        <v>#N/A</v>
      </c>
      <c r="W253" s="11" t="str">
        <f>VLOOKUP($H253, SeanRanks!$A$2:$J$303, 7, FALSE)-V253</f>
        <v>#N/A</v>
      </c>
      <c r="X253" s="11"/>
    </row>
    <row r="254" ht="14.25" customHeight="1">
      <c r="A254" s="11"/>
      <c r="B254" s="11" t="str">
        <f t="shared" si="1"/>
        <v>#N/A</v>
      </c>
      <c r="C254" s="11" t="s">
        <v>106</v>
      </c>
      <c r="D254" s="11">
        <v>3.0</v>
      </c>
      <c r="E254" s="11">
        <v>1.0</v>
      </c>
      <c r="F254" s="11">
        <f t="shared" si="2"/>
        <v>2</v>
      </c>
      <c r="G254" s="11" t="s">
        <v>95</v>
      </c>
      <c r="H254" s="11" t="s">
        <v>1120</v>
      </c>
      <c r="I254" s="11" t="str">
        <f>VLOOKUP($H254, 'ADP Data'!$B$4:$Q$300, 2, FALSE)</f>
        <v>#N/A</v>
      </c>
      <c r="J254" s="11" t="str">
        <f>VLOOKUP($H254, 'ADP Data'!$B$4:$Q$300, 3, FALSE)</f>
        <v>#N/A</v>
      </c>
      <c r="K254" s="11" t="str">
        <f>VLOOKUP($H254, SeanRanks!$A$2:$H$303, 4, FALSE)</f>
        <v>#N/A</v>
      </c>
      <c r="L254" s="11" t="str">
        <f>VLOOKUP($H254, SeanRanks!$A$2:$H$303, 5, FALSE)</f>
        <v>#N/A</v>
      </c>
      <c r="M254" s="11">
        <f t="shared" si="3"/>
        <v>16</v>
      </c>
      <c r="N254" s="11" t="str">
        <f>VLOOKUP($H254, 'ADP Data'!$B$4:$Q$300, 11, FALSE)</f>
        <v>#N/A</v>
      </c>
      <c r="O254" s="11" t="str">
        <f>VLOOKUP($H254, 'ADP Data'!$B$4:$Q$300, 5, FALSE)</f>
        <v>#N/A</v>
      </c>
      <c r="P254" s="11" t="str">
        <f t="shared" si="4"/>
        <v>#N/A</v>
      </c>
      <c r="Q254" s="11" t="str">
        <f>VLOOKUP($H254, 'ADP Data'!$B$4:$Q$300, 6, FALSE)</f>
        <v>#N/A</v>
      </c>
      <c r="R254" s="11" t="str">
        <f>VLOOKUP($H254, 'ADP Data'!$B$4:$Q$300, 7, FALSE)</f>
        <v>#N/A</v>
      </c>
      <c r="S254" s="11" t="str">
        <f>VLOOKUP($H254, 'ADP Data'!$B$4:$Q$300, 8, FALSE)</f>
        <v>#N/A</v>
      </c>
      <c r="T254" s="11" t="str">
        <f>VLOOKUP($H254, 'ADP Data'!$B$4:$Q$300, 9, FALSE)</f>
        <v>#N/A</v>
      </c>
      <c r="U254" s="11" t="str">
        <f>VLOOKUP($H254, 'ADP Data'!$B$4:$Q$300, 10, FALSE)</f>
        <v>#N/A</v>
      </c>
      <c r="V254" s="11" t="str">
        <f t="shared" si="5"/>
        <v>#N/A</v>
      </c>
      <c r="W254" s="11" t="str">
        <f>VLOOKUP($H254, SeanRanks!$A$2:$J$303, 7, FALSE)-V254</f>
        <v>#N/A</v>
      </c>
      <c r="X254" s="11"/>
    </row>
    <row r="255" ht="14.25" customHeight="1">
      <c r="A255" s="11"/>
      <c r="B255" s="11" t="str">
        <f t="shared" si="1"/>
        <v>#N/A</v>
      </c>
      <c r="C255" s="11" t="s">
        <v>106</v>
      </c>
      <c r="D255" s="11">
        <v>2.0</v>
      </c>
      <c r="E255" s="11"/>
      <c r="F255" s="11">
        <f t="shared" si="2"/>
        <v>2</v>
      </c>
      <c r="G255" s="11"/>
      <c r="H255" s="11" t="s">
        <v>931</v>
      </c>
      <c r="I255" s="11" t="str">
        <f>VLOOKUP($H255, 'ADP Data'!$B$4:$Q$300, 2, FALSE)</f>
        <v>#N/A</v>
      </c>
      <c r="J255" s="11" t="str">
        <f>VLOOKUP($H255, 'ADP Data'!$B$4:$Q$300, 3, FALSE)</f>
        <v>#N/A</v>
      </c>
      <c r="K255" s="11" t="str">
        <f>VLOOKUP($H255, SeanRanks!$A$2:$H$303, 4, FALSE)</f>
        <v>#N/A</v>
      </c>
      <c r="L255" s="11" t="str">
        <f>VLOOKUP($H255, SeanRanks!$A$2:$H$303, 5, FALSE)</f>
        <v>#N/A</v>
      </c>
      <c r="M255" s="11">
        <f t="shared" si="3"/>
        <v>16</v>
      </c>
      <c r="N255" s="11" t="str">
        <f>VLOOKUP($H255, 'ADP Data'!$B$4:$Q$300, 11, FALSE)</f>
        <v>#N/A</v>
      </c>
      <c r="O255" s="11" t="str">
        <f>VLOOKUP($H255, 'ADP Data'!$B$4:$Q$300, 5, FALSE)</f>
        <v>#N/A</v>
      </c>
      <c r="P255" s="11" t="str">
        <f t="shared" si="4"/>
        <v>#N/A</v>
      </c>
      <c r="Q255" s="11" t="str">
        <f>VLOOKUP($H255, 'ADP Data'!$B$4:$Q$300, 6, FALSE)</f>
        <v>#N/A</v>
      </c>
      <c r="R255" s="11" t="str">
        <f>VLOOKUP($H255, 'ADP Data'!$B$4:$Q$300, 7, FALSE)</f>
        <v>#N/A</v>
      </c>
      <c r="S255" s="11" t="str">
        <f>VLOOKUP($H255, 'ADP Data'!$B$4:$Q$300, 8, FALSE)</f>
        <v>#N/A</v>
      </c>
      <c r="T255" s="11" t="str">
        <f>VLOOKUP($H255, 'ADP Data'!$B$4:$Q$300, 9, FALSE)</f>
        <v>#N/A</v>
      </c>
      <c r="U255" s="11" t="str">
        <f>VLOOKUP($H255, 'ADP Data'!$B$4:$Q$300, 10, FALSE)</f>
        <v>#N/A</v>
      </c>
      <c r="V255" s="11" t="str">
        <f t="shared" si="5"/>
        <v>#N/A</v>
      </c>
      <c r="W255" s="11" t="str">
        <f>VLOOKUP($H255, SeanRanks!$A$2:$J$303, 7, FALSE)-V255</f>
        <v>#N/A</v>
      </c>
      <c r="X255" s="11"/>
    </row>
    <row r="256" ht="14.25" customHeight="1">
      <c r="A256" s="11"/>
      <c r="B256" s="11" t="str">
        <f t="shared" si="1"/>
        <v>#N/A</v>
      </c>
      <c r="C256" s="11" t="s">
        <v>106</v>
      </c>
      <c r="D256" s="11">
        <v>2.0</v>
      </c>
      <c r="E256" s="11"/>
      <c r="F256" s="11">
        <f t="shared" si="2"/>
        <v>2</v>
      </c>
      <c r="G256" s="11"/>
      <c r="H256" s="11" t="s">
        <v>1272</v>
      </c>
      <c r="I256" s="11" t="str">
        <f>VLOOKUP($H256, 'ADP Data'!$B$4:$Q$300, 2, FALSE)</f>
        <v>#N/A</v>
      </c>
      <c r="J256" s="11" t="str">
        <f>VLOOKUP($H256, 'ADP Data'!$B$4:$Q$300, 3, FALSE)</f>
        <v>#N/A</v>
      </c>
      <c r="K256" s="11"/>
      <c r="L256" s="11"/>
      <c r="M256" s="11">
        <f t="shared" si="3"/>
        <v>16</v>
      </c>
      <c r="N256" s="11" t="str">
        <f>VLOOKUP($H256, 'ADP Data'!$B$4:$Q$300, 11, FALSE)</f>
        <v>#N/A</v>
      </c>
      <c r="O256" s="11" t="str">
        <f>VLOOKUP($H256, 'ADP Data'!$B$4:$Q$300, 5, FALSE)</f>
        <v>#N/A</v>
      </c>
      <c r="P256" s="11" t="str">
        <f t="shared" si="4"/>
        <v>#N/A</v>
      </c>
      <c r="Q256" s="11" t="str">
        <f>VLOOKUP($H256, 'ADP Data'!$B$4:$Q$300, 6, FALSE)</f>
        <v>#N/A</v>
      </c>
      <c r="R256" s="11" t="str">
        <f>VLOOKUP($H256, 'ADP Data'!$B$4:$Q$300, 7, FALSE)</f>
        <v>#N/A</v>
      </c>
      <c r="S256" s="11" t="str">
        <f>VLOOKUP($H256, 'ADP Data'!$B$4:$Q$300, 8, FALSE)</f>
        <v>#N/A</v>
      </c>
      <c r="T256" s="11" t="str">
        <f>VLOOKUP($H256, 'ADP Data'!$B$4:$Q$300, 9, FALSE)</f>
        <v>#N/A</v>
      </c>
      <c r="U256" s="11" t="str">
        <f>VLOOKUP($H256, 'ADP Data'!$B$4:$Q$300, 10, FALSE)</f>
        <v>#N/A</v>
      </c>
      <c r="V256" s="11" t="str">
        <f t="shared" si="5"/>
        <v>#N/A</v>
      </c>
      <c r="W256" s="11" t="str">
        <f>VLOOKUP($H256, SeanRanks!$A$2:$J$303, 7, FALSE)-V256</f>
        <v>#N/A</v>
      </c>
      <c r="X256" s="11"/>
    </row>
    <row r="257" ht="14.25" customHeight="1">
      <c r="A257" s="11"/>
      <c r="B257" s="11" t="str">
        <f t="shared" si="1"/>
        <v>#N/A</v>
      </c>
      <c r="C257" s="11" t="s">
        <v>106</v>
      </c>
      <c r="D257" s="11">
        <v>16.0</v>
      </c>
      <c r="E257" s="11">
        <v>13.0</v>
      </c>
      <c r="F257" s="11">
        <f t="shared" si="2"/>
        <v>3</v>
      </c>
      <c r="G257" s="11"/>
      <c r="H257" s="11" t="s">
        <v>319</v>
      </c>
      <c r="I257" s="11" t="str">
        <f>VLOOKUP($H257, 'ADP Data'!$B$4:$Q$300, 2, FALSE)</f>
        <v>#N/A</v>
      </c>
      <c r="J257" s="11" t="str">
        <f>VLOOKUP($H257, 'ADP Data'!$B$4:$Q$300, 3, FALSE)</f>
        <v>#N/A</v>
      </c>
      <c r="K257" s="11" t="s">
        <v>1155</v>
      </c>
      <c r="L257" s="11">
        <v>3.0</v>
      </c>
      <c r="M257" s="11">
        <f t="shared" si="3"/>
        <v>16</v>
      </c>
      <c r="N257" s="11" t="str">
        <f>VLOOKUP($H257, 'ADP Data'!$B$4:$Q$300, 11, FALSE)</f>
        <v>#N/A</v>
      </c>
      <c r="O257" s="11" t="str">
        <f>VLOOKUP($H257, 'ADP Data'!$B$4:$Q$300, 5, FALSE)</f>
        <v>#N/A</v>
      </c>
      <c r="P257" s="11" t="str">
        <f t="shared" si="4"/>
        <v>#N/A</v>
      </c>
      <c r="Q257" s="11" t="str">
        <f>VLOOKUP($H257, 'ADP Data'!$B$4:$Q$300, 6, FALSE)</f>
        <v>#N/A</v>
      </c>
      <c r="R257" s="11" t="str">
        <f>VLOOKUP($H257, 'ADP Data'!$B$4:$Q$300, 7, FALSE)</f>
        <v>#N/A</v>
      </c>
      <c r="S257" s="11" t="str">
        <f>VLOOKUP($H257, 'ADP Data'!$B$4:$Q$300, 8, FALSE)</f>
        <v>#N/A</v>
      </c>
      <c r="T257" s="11" t="str">
        <f>VLOOKUP($H257, 'ADP Data'!$B$4:$Q$300, 9, FALSE)</f>
        <v>#N/A</v>
      </c>
      <c r="U257" s="11" t="str">
        <f>VLOOKUP($H257, 'ADP Data'!$B$4:$Q$300, 10, FALSE)</f>
        <v>#N/A</v>
      </c>
      <c r="V257" s="11" t="str">
        <f t="shared" si="5"/>
        <v>#N/A</v>
      </c>
      <c r="W257" s="11" t="str">
        <f>VLOOKUP($H257, SeanRanks!$A$2:$J$303, 7, FALSE)-V257</f>
        <v>#N/A</v>
      </c>
      <c r="X257" s="11"/>
    </row>
    <row r="258" ht="14.25" customHeight="1">
      <c r="A258" s="11" t="s">
        <v>1156</v>
      </c>
      <c r="B258" s="11">
        <v>12.0</v>
      </c>
      <c r="C258" s="11" t="s">
        <v>106</v>
      </c>
      <c r="D258" s="11">
        <v>1.0</v>
      </c>
      <c r="E258" s="11">
        <v>3.0</v>
      </c>
      <c r="F258" s="11">
        <f t="shared" si="2"/>
        <v>-2</v>
      </c>
      <c r="G258" s="11" t="s">
        <v>106</v>
      </c>
      <c r="H258" s="11" t="s">
        <v>1303</v>
      </c>
      <c r="I258" s="11" t="s">
        <v>192</v>
      </c>
      <c r="J258" s="11" t="s">
        <v>772</v>
      </c>
      <c r="K258" s="11" t="str">
        <f>VLOOKUP($H258, SeanRanks!$A$2:$H$303, 4, FALSE)</f>
        <v>#N/A</v>
      </c>
      <c r="L258" s="11"/>
      <c r="M258" s="11">
        <f t="shared" si="3"/>
        <v>16</v>
      </c>
      <c r="N258" s="11" t="str">
        <f>VLOOKUP($H258, 'ADP Data'!$B$4:$Q$300, 11, FALSE)</f>
        <v>#N/A</v>
      </c>
      <c r="O258" s="11" t="str">
        <f>VLOOKUP($H258, 'ADP Data'!$B$4:$Q$300, 5, FALSE)</f>
        <v>#N/A</v>
      </c>
      <c r="P258" s="11" t="str">
        <f t="shared" si="4"/>
        <v>#N/A</v>
      </c>
      <c r="Q258" s="11" t="str">
        <f>VLOOKUP($H258, 'ADP Data'!$B$4:$Q$300, 6, FALSE)</f>
        <v>#N/A</v>
      </c>
      <c r="R258" s="11" t="str">
        <f>VLOOKUP($H258, 'ADP Data'!$B$4:$Q$300, 7, FALSE)</f>
        <v>#N/A</v>
      </c>
      <c r="S258" s="11" t="str">
        <f>VLOOKUP($H258, 'ADP Data'!$B$4:$Q$300, 8, FALSE)</f>
        <v>#N/A</v>
      </c>
      <c r="T258" s="11" t="str">
        <f>VLOOKUP($H258, 'ADP Data'!$B$4:$Q$300, 9, FALSE)</f>
        <v>#N/A</v>
      </c>
      <c r="U258" s="11" t="str">
        <f>VLOOKUP($H258, 'ADP Data'!$B$4:$Q$300, 10, FALSE)</f>
        <v>#N/A</v>
      </c>
      <c r="V258" s="11" t="str">
        <f t="shared" si="5"/>
        <v>#N/A</v>
      </c>
      <c r="W258" s="11" t="str">
        <f>VLOOKUP($H258, SeanRanks!$A$2:$J$303, 7, FALSE)-V258</f>
        <v>#N/A</v>
      </c>
      <c r="X258" s="11" t="s">
        <v>1304</v>
      </c>
    </row>
    <row r="259" ht="14.25" customHeight="1">
      <c r="A259" s="11"/>
      <c r="B259" s="11" t="str">
        <f t="shared" ref="B259:B302" si="6">IFERROR(INT(AVERAGE(Q259:U259)/12)+1, INT(AVERAGE(N259)/12)+1)</f>
        <v>#N/A</v>
      </c>
      <c r="C259" s="11" t="s">
        <v>106</v>
      </c>
      <c r="D259" s="11">
        <v>56.0</v>
      </c>
      <c r="E259" s="11">
        <v>53.0</v>
      </c>
      <c r="F259" s="11">
        <f t="shared" si="2"/>
        <v>3</v>
      </c>
      <c r="G259" s="11"/>
      <c r="H259" s="11" t="s">
        <v>661</v>
      </c>
      <c r="I259" s="11" t="str">
        <f>VLOOKUP($H259, 'ADP Data'!$B$4:$Q$300, 2, FALSE)</f>
        <v>#N/A</v>
      </c>
      <c r="J259" s="11" t="str">
        <f>VLOOKUP($H259, 'ADP Data'!$B$4:$Q$300, 3, FALSE)</f>
        <v>#N/A</v>
      </c>
      <c r="K259" s="11" t="str">
        <f>VLOOKUP($H259, SeanRanks!$A$2:$H$303, 4, FALSE)</f>
        <v/>
      </c>
      <c r="L259" s="11" t="str">
        <f>VLOOKUP($H259, SeanRanks!$A$2:$H$303, 5, FALSE)</f>
        <v/>
      </c>
      <c r="M259" s="11">
        <f t="shared" si="3"/>
        <v>16</v>
      </c>
      <c r="N259" s="11" t="str">
        <f>VLOOKUP($H259, 'ADP Data'!$B$4:$Q$300, 11, FALSE)</f>
        <v>#N/A</v>
      </c>
      <c r="O259" s="11" t="str">
        <f>VLOOKUP($H259, 'ADP Data'!$B$4:$Q$300, 5, FALSE)</f>
        <v>#N/A</v>
      </c>
      <c r="P259" s="11" t="str">
        <f t="shared" si="4"/>
        <v>#N/A</v>
      </c>
      <c r="Q259" s="11" t="str">
        <f>VLOOKUP($H259, 'ADP Data'!$B$4:$Q$300, 6, FALSE)</f>
        <v>#N/A</v>
      </c>
      <c r="R259" s="11" t="str">
        <f>VLOOKUP($H259, 'ADP Data'!$B$4:$Q$300, 7, FALSE)</f>
        <v>#N/A</v>
      </c>
      <c r="S259" s="11" t="str">
        <f>VLOOKUP($H259, 'ADP Data'!$B$4:$Q$300, 8, FALSE)</f>
        <v>#N/A</v>
      </c>
      <c r="T259" s="11" t="str">
        <f>VLOOKUP($H259, 'ADP Data'!$B$4:$Q$300, 9, FALSE)</f>
        <v>#N/A</v>
      </c>
      <c r="U259" s="11" t="str">
        <f>VLOOKUP($H259, 'ADP Data'!$B$4:$Q$300, 10, FALSE)</f>
        <v>#N/A</v>
      </c>
      <c r="V259" s="11" t="str">
        <f t="shared" si="5"/>
        <v>#N/A</v>
      </c>
      <c r="W259" s="11" t="str">
        <f>VLOOKUP($H259, SeanRanks!$A$2:$J$303, 7, FALSE)-V259</f>
        <v>#N/A</v>
      </c>
      <c r="X259" s="11"/>
    </row>
    <row r="260" ht="14.25" customHeight="1">
      <c r="A260" s="11"/>
      <c r="B260" s="11" t="str">
        <f t="shared" si="6"/>
        <v>#N/A</v>
      </c>
      <c r="C260" s="11" t="s">
        <v>106</v>
      </c>
      <c r="D260" s="11">
        <v>11.0</v>
      </c>
      <c r="E260" s="11">
        <v>8.0</v>
      </c>
      <c r="F260" s="11">
        <f t="shared" si="2"/>
        <v>3</v>
      </c>
      <c r="G260" s="11"/>
      <c r="H260" s="11" t="s">
        <v>234</v>
      </c>
      <c r="I260" s="11" t="str">
        <f>VLOOKUP($H260, 'ADP Data'!$B$4:$Q$300, 2, FALSE)</f>
        <v>#N/A</v>
      </c>
      <c r="J260" s="11" t="str">
        <f>VLOOKUP($H260, 'ADP Data'!$B$4:$Q$300, 3, FALSE)</f>
        <v>#N/A</v>
      </c>
      <c r="K260" s="11" t="s">
        <v>1290</v>
      </c>
      <c r="L260" s="11">
        <v>6.0</v>
      </c>
      <c r="M260" s="11">
        <f t="shared" si="3"/>
        <v>16</v>
      </c>
      <c r="N260" s="11" t="str">
        <f>VLOOKUP($H260, 'ADP Data'!$B$4:$Q$300, 11, FALSE)</f>
        <v>#N/A</v>
      </c>
      <c r="O260" s="11" t="str">
        <f>VLOOKUP($H260, 'ADP Data'!$B$4:$Q$300, 5, FALSE)</f>
        <v>#N/A</v>
      </c>
      <c r="P260" s="11" t="str">
        <f t="shared" si="4"/>
        <v>#N/A</v>
      </c>
      <c r="Q260" s="11" t="str">
        <f>VLOOKUP($H260, 'ADP Data'!$B$4:$Q$300, 6, FALSE)</f>
        <v>#N/A</v>
      </c>
      <c r="R260" s="11" t="str">
        <f>VLOOKUP($H260, 'ADP Data'!$B$4:$Q$300, 7, FALSE)</f>
        <v>#N/A</v>
      </c>
      <c r="S260" s="11" t="str">
        <f>VLOOKUP($H260, 'ADP Data'!$B$4:$Q$300, 8, FALSE)</f>
        <v>#N/A</v>
      </c>
      <c r="T260" s="11" t="str">
        <f>VLOOKUP($H260, 'ADP Data'!$B$4:$Q$300, 9, FALSE)</f>
        <v>#N/A</v>
      </c>
      <c r="U260" s="11" t="str">
        <f>VLOOKUP($H260, 'ADP Data'!$B$4:$Q$300, 10, FALSE)</f>
        <v>#N/A</v>
      </c>
      <c r="V260" s="11" t="str">
        <f t="shared" si="5"/>
        <v>#N/A</v>
      </c>
      <c r="W260" s="11" t="str">
        <f>VLOOKUP($H260, SeanRanks!$A$2:$J$303, 7, FALSE)-V260</f>
        <v>#N/A</v>
      </c>
      <c r="X260" s="11"/>
    </row>
    <row r="261" ht="14.25" customHeight="1">
      <c r="A261" s="11"/>
      <c r="B261" s="11" t="str">
        <f t="shared" si="6"/>
        <v>#N/A</v>
      </c>
      <c r="C261" s="11" t="s">
        <v>106</v>
      </c>
      <c r="D261" s="11">
        <v>33.0</v>
      </c>
      <c r="E261" s="11">
        <v>30.0</v>
      </c>
      <c r="F261" s="11">
        <f t="shared" si="2"/>
        <v>3</v>
      </c>
      <c r="G261" s="11"/>
      <c r="H261" s="11" t="s">
        <v>220</v>
      </c>
      <c r="I261" s="11" t="str">
        <f>VLOOKUP($H261, 'ADP Data'!$B$4:$Q$300, 2, FALSE)</f>
        <v>#N/A</v>
      </c>
      <c r="J261" s="11" t="str">
        <f>VLOOKUP($H261, 'ADP Data'!$B$4:$Q$300, 3, FALSE)</f>
        <v>#N/A</v>
      </c>
      <c r="K261" s="11" t="str">
        <f>VLOOKUP($H261, SeanRanks!$A$2:$H$303, 4, FALSE)</f>
        <v/>
      </c>
      <c r="L261" s="11" t="str">
        <f>VLOOKUP($H261, SeanRanks!$A$2:$H$303, 5, FALSE)</f>
        <v/>
      </c>
      <c r="M261" s="11">
        <f t="shared" si="3"/>
        <v>16</v>
      </c>
      <c r="N261" s="11" t="str">
        <f>VLOOKUP($H261, 'ADP Data'!$B$4:$Q$300, 11, FALSE)</f>
        <v>#N/A</v>
      </c>
      <c r="O261" s="11" t="str">
        <f>VLOOKUP($H261, 'ADP Data'!$B$4:$Q$300, 5, FALSE)</f>
        <v>#N/A</v>
      </c>
      <c r="P261" s="11" t="str">
        <f t="shared" si="4"/>
        <v>#N/A</v>
      </c>
      <c r="Q261" s="11" t="str">
        <f>VLOOKUP($H261, 'ADP Data'!$B$4:$Q$300, 6, FALSE)</f>
        <v>#N/A</v>
      </c>
      <c r="R261" s="11" t="str">
        <f>VLOOKUP($H261, 'ADP Data'!$B$4:$Q$300, 7, FALSE)</f>
        <v>#N/A</v>
      </c>
      <c r="S261" s="11" t="str">
        <f>VLOOKUP($H261, 'ADP Data'!$B$4:$Q$300, 8, FALSE)</f>
        <v>#N/A</v>
      </c>
      <c r="T261" s="11" t="str">
        <f>VLOOKUP($H261, 'ADP Data'!$B$4:$Q$300, 9, FALSE)</f>
        <v>#N/A</v>
      </c>
      <c r="U261" s="11" t="str">
        <f>VLOOKUP($H261, 'ADP Data'!$B$4:$Q$300, 10, FALSE)</f>
        <v>#N/A</v>
      </c>
      <c r="V261" s="11" t="str">
        <f t="shared" si="5"/>
        <v>#N/A</v>
      </c>
      <c r="W261" s="11" t="str">
        <f>VLOOKUP($H261, SeanRanks!$A$2:$J$303, 7, FALSE)-V261</f>
        <v>#N/A</v>
      </c>
      <c r="X261" s="11"/>
    </row>
    <row r="262" ht="14.25" customHeight="1">
      <c r="A262" s="11"/>
      <c r="B262" s="11" t="str">
        <f t="shared" si="6"/>
        <v>#N/A</v>
      </c>
      <c r="C262" s="11" t="s">
        <v>106</v>
      </c>
      <c r="D262" s="11">
        <v>43.0</v>
      </c>
      <c r="E262" s="11">
        <v>40.0</v>
      </c>
      <c r="F262" s="11">
        <f t="shared" si="2"/>
        <v>3</v>
      </c>
      <c r="G262" s="11"/>
      <c r="H262" s="11" t="s">
        <v>874</v>
      </c>
      <c r="I262" s="11" t="str">
        <f>VLOOKUP($H262, 'ADP Data'!$B$4:$Q$300, 2, FALSE)</f>
        <v>#N/A</v>
      </c>
      <c r="J262" s="11" t="str">
        <f>VLOOKUP($H262, 'ADP Data'!$B$4:$Q$300, 3, FALSE)</f>
        <v>#N/A</v>
      </c>
      <c r="K262" s="11" t="str">
        <f>VLOOKUP($H262, SeanRanks!$A$2:$H$303, 4, FALSE)</f>
        <v/>
      </c>
      <c r="L262" s="11" t="str">
        <f>VLOOKUP($H262, SeanRanks!$A$2:$H$303, 5, FALSE)</f>
        <v/>
      </c>
      <c r="M262" s="11">
        <f t="shared" si="3"/>
        <v>16</v>
      </c>
      <c r="N262" s="11" t="str">
        <f>VLOOKUP($H262, 'ADP Data'!$B$4:$Q$300, 11, FALSE)</f>
        <v>#N/A</v>
      </c>
      <c r="O262" s="11" t="str">
        <f>VLOOKUP($H262, 'ADP Data'!$B$4:$Q$300, 5, FALSE)</f>
        <v>#N/A</v>
      </c>
      <c r="P262" s="11" t="str">
        <f t="shared" si="4"/>
        <v>#N/A</v>
      </c>
      <c r="Q262" s="11" t="str">
        <f>VLOOKUP($H262, 'ADP Data'!$B$4:$Q$300, 6, FALSE)</f>
        <v>#N/A</v>
      </c>
      <c r="R262" s="11" t="str">
        <f>VLOOKUP($H262, 'ADP Data'!$B$4:$Q$300, 7, FALSE)</f>
        <v>#N/A</v>
      </c>
      <c r="S262" s="11" t="str">
        <f>VLOOKUP($H262, 'ADP Data'!$B$4:$Q$300, 8, FALSE)</f>
        <v>#N/A</v>
      </c>
      <c r="T262" s="11" t="str">
        <f>VLOOKUP($H262, 'ADP Data'!$B$4:$Q$300, 9, FALSE)</f>
        <v>#N/A</v>
      </c>
      <c r="U262" s="11" t="str">
        <f>VLOOKUP($H262, 'ADP Data'!$B$4:$Q$300, 10, FALSE)</f>
        <v>#N/A</v>
      </c>
      <c r="V262" s="11" t="str">
        <f t="shared" si="5"/>
        <v>#N/A</v>
      </c>
      <c r="W262" s="11" t="str">
        <f>VLOOKUP($H262, SeanRanks!$A$2:$J$303, 7, FALSE)-V262</f>
        <v>#N/A</v>
      </c>
      <c r="X262" s="11"/>
    </row>
    <row r="263" ht="14.25" customHeight="1">
      <c r="A263" s="11"/>
      <c r="B263" s="11" t="str">
        <f t="shared" si="6"/>
        <v>#N/A</v>
      </c>
      <c r="C263" s="11" t="s">
        <v>106</v>
      </c>
      <c r="D263" s="11">
        <v>26.0</v>
      </c>
      <c r="E263" s="11">
        <v>23.0</v>
      </c>
      <c r="F263" s="11">
        <f t="shared" si="2"/>
        <v>3</v>
      </c>
      <c r="G263" s="11" t="s">
        <v>106</v>
      </c>
      <c r="H263" s="11" t="s">
        <v>187</v>
      </c>
      <c r="I263" s="11" t="str">
        <f>VLOOKUP($H263, 'ADP Data'!$B$4:$Q$300, 2, FALSE)</f>
        <v>#N/A</v>
      </c>
      <c r="J263" s="11" t="str">
        <f>VLOOKUP($H263, 'ADP Data'!$B$4:$Q$300, 3, FALSE)</f>
        <v>#N/A</v>
      </c>
      <c r="K263" s="11" t="str">
        <f>VLOOKUP($H263, SeanRanks!$A$2:$H$303, 4, FALSE)</f>
        <v/>
      </c>
      <c r="L263" s="11" t="str">
        <f>VLOOKUP($H263, SeanRanks!$A$2:$H$303, 5, FALSE)</f>
        <v/>
      </c>
      <c r="M263" s="11">
        <f t="shared" si="3"/>
        <v>16</v>
      </c>
      <c r="N263" s="11" t="str">
        <f>VLOOKUP($H263, 'ADP Data'!$B$4:$Q$300, 11, FALSE)</f>
        <v>#N/A</v>
      </c>
      <c r="O263" s="11" t="str">
        <f>VLOOKUP($H263, 'ADP Data'!$B$4:$Q$300, 5, FALSE)</f>
        <v>#N/A</v>
      </c>
      <c r="P263" s="11" t="str">
        <f t="shared" si="4"/>
        <v>#N/A</v>
      </c>
      <c r="Q263" s="11" t="str">
        <f>VLOOKUP($H263, 'ADP Data'!$B$4:$Q$300, 6, FALSE)</f>
        <v>#N/A</v>
      </c>
      <c r="R263" s="11" t="str">
        <f>VLOOKUP($H263, 'ADP Data'!$B$4:$Q$300, 7, FALSE)</f>
        <v>#N/A</v>
      </c>
      <c r="S263" s="11" t="str">
        <f>VLOOKUP($H263, 'ADP Data'!$B$4:$Q$300, 8, FALSE)</f>
        <v>#N/A</v>
      </c>
      <c r="T263" s="11" t="str">
        <f>VLOOKUP($H263, 'ADP Data'!$B$4:$Q$300, 9, FALSE)</f>
        <v>#N/A</v>
      </c>
      <c r="U263" s="11" t="str">
        <f>VLOOKUP($H263, 'ADP Data'!$B$4:$Q$300, 10, FALSE)</f>
        <v>#N/A</v>
      </c>
      <c r="V263" s="11" t="str">
        <f t="shared" si="5"/>
        <v>#N/A</v>
      </c>
      <c r="W263" s="11" t="str">
        <f>VLOOKUP($H263, SeanRanks!$A$2:$J$303, 7, FALSE)-V263</f>
        <v>#N/A</v>
      </c>
      <c r="X263" s="11"/>
    </row>
    <row r="264" ht="14.25" customHeight="1">
      <c r="A264" s="11"/>
      <c r="B264" s="11" t="str">
        <f t="shared" si="6"/>
        <v>#N/A</v>
      </c>
      <c r="C264" s="11" t="s">
        <v>106</v>
      </c>
      <c r="D264" s="11">
        <v>13.0</v>
      </c>
      <c r="E264" s="60">
        <v>10.0</v>
      </c>
      <c r="F264" s="11">
        <f t="shared" si="2"/>
        <v>3</v>
      </c>
      <c r="G264" s="60"/>
      <c r="H264" s="60" t="s">
        <v>1305</v>
      </c>
      <c r="I264" s="60" t="str">
        <f>VLOOKUP($H264, 'ADP Data'!$B$4:$Q$300, 2, FALSE)</f>
        <v>#N/A</v>
      </c>
      <c r="J264" s="60" t="str">
        <f>VLOOKUP($H264, 'ADP Data'!$B$4:$Q$300, 3, FALSE)</f>
        <v>#N/A</v>
      </c>
      <c r="K264" s="60" t="str">
        <f>VLOOKUP($H264, SeanRanks!$A$2:$H$303, 4, FALSE)</f>
        <v>#N/A</v>
      </c>
      <c r="L264" s="60" t="str">
        <f>VLOOKUP($H264, SeanRanks!$A$2:$H$303, 5, FALSE)</f>
        <v>#N/A</v>
      </c>
      <c r="M264" s="11">
        <f t="shared" si="3"/>
        <v>16</v>
      </c>
      <c r="N264" s="11" t="str">
        <f>VLOOKUP($H264, 'ADP Data'!$B$4:$Q$300, 11, FALSE)</f>
        <v>#N/A</v>
      </c>
      <c r="O264" s="11" t="str">
        <f>VLOOKUP($H264, 'ADP Data'!$B$4:$Q$300, 5, FALSE)</f>
        <v>#N/A</v>
      </c>
      <c r="P264" s="11" t="str">
        <f t="shared" si="4"/>
        <v>#N/A</v>
      </c>
      <c r="Q264" s="11" t="str">
        <f>VLOOKUP($H264, 'ADP Data'!$B$4:$Q$300, 6, FALSE)</f>
        <v>#N/A</v>
      </c>
      <c r="R264" s="11" t="str">
        <f>VLOOKUP($H264, 'ADP Data'!$B$4:$Q$300, 7, FALSE)</f>
        <v>#N/A</v>
      </c>
      <c r="S264" s="11" t="str">
        <f>VLOOKUP($H264, 'ADP Data'!$B$4:$Q$300, 8, FALSE)</f>
        <v>#N/A</v>
      </c>
      <c r="T264" s="11" t="str">
        <f>VLOOKUP($H264, 'ADP Data'!$B$4:$Q$300, 9, FALSE)</f>
        <v>#N/A</v>
      </c>
      <c r="U264" s="11" t="str">
        <f>VLOOKUP($H264, 'ADP Data'!$B$4:$Q$300, 10, FALSE)</f>
        <v>#N/A</v>
      </c>
      <c r="V264" s="11" t="str">
        <f t="shared" si="5"/>
        <v>#N/A</v>
      </c>
      <c r="W264" s="11" t="str">
        <f>VLOOKUP($H264, SeanRanks!$A$2:$J$303, 7, FALSE)-V264</f>
        <v>#N/A</v>
      </c>
      <c r="X264" s="60" t="s">
        <v>1183</v>
      </c>
    </row>
    <row r="265" ht="14.25" customHeight="1">
      <c r="A265" s="11"/>
      <c r="B265" s="11" t="str">
        <f t="shared" si="6"/>
        <v>#N/A</v>
      </c>
      <c r="C265" s="11" t="s">
        <v>106</v>
      </c>
      <c r="D265" s="11">
        <v>5.0</v>
      </c>
      <c r="E265" s="11">
        <v>2.0</v>
      </c>
      <c r="F265" s="11">
        <f t="shared" si="2"/>
        <v>3</v>
      </c>
      <c r="G265" s="11"/>
      <c r="H265" s="11" t="s">
        <v>255</v>
      </c>
      <c r="I265" s="11" t="str">
        <f>VLOOKUP($H265, 'ADP Data'!$B$4:$Q$300, 2, FALSE)</f>
        <v>#N/A</v>
      </c>
      <c r="J265" s="11" t="str">
        <f>VLOOKUP($H265, 'ADP Data'!$B$4:$Q$300, 3, FALSE)</f>
        <v>#N/A</v>
      </c>
      <c r="K265" s="11" t="str">
        <f>VLOOKUP($H265, SeanRanks!$A$2:$H$303, 4, FALSE)</f>
        <v/>
      </c>
      <c r="L265" s="11" t="str">
        <f>VLOOKUP($H265, SeanRanks!$A$2:$H$303, 5, FALSE)</f>
        <v/>
      </c>
      <c r="M265" s="11">
        <f t="shared" si="3"/>
        <v>16</v>
      </c>
      <c r="N265" s="11" t="str">
        <f>VLOOKUP($H265, 'ADP Data'!$B$4:$Q$300, 11, FALSE)</f>
        <v>#N/A</v>
      </c>
      <c r="O265" s="11" t="str">
        <f>VLOOKUP($H265, 'ADP Data'!$B$4:$Q$300, 5, FALSE)</f>
        <v>#N/A</v>
      </c>
      <c r="P265" s="11" t="str">
        <f t="shared" si="4"/>
        <v>#N/A</v>
      </c>
      <c r="Q265" s="11" t="str">
        <f>VLOOKUP($H265, 'ADP Data'!$B$4:$Q$300, 6, FALSE)</f>
        <v>#N/A</v>
      </c>
      <c r="R265" s="11" t="str">
        <f>VLOOKUP($H265, 'ADP Data'!$B$4:$Q$300, 7, FALSE)</f>
        <v>#N/A</v>
      </c>
      <c r="S265" s="11" t="str">
        <f>VLOOKUP($H265, 'ADP Data'!$B$4:$Q$300, 8, FALSE)</f>
        <v>#N/A</v>
      </c>
      <c r="T265" s="11" t="str">
        <f>VLOOKUP($H265, 'ADP Data'!$B$4:$Q$300, 9, FALSE)</f>
        <v>#N/A</v>
      </c>
      <c r="U265" s="11" t="str">
        <f>VLOOKUP($H265, 'ADP Data'!$B$4:$Q$300, 10, FALSE)</f>
        <v>#N/A</v>
      </c>
      <c r="V265" s="11" t="str">
        <f t="shared" si="5"/>
        <v>#N/A</v>
      </c>
      <c r="W265" s="11" t="str">
        <f>VLOOKUP($H265, SeanRanks!$A$2:$J$303, 7, FALSE)-V265</f>
        <v>#N/A</v>
      </c>
      <c r="X265" s="11"/>
    </row>
    <row r="266" ht="14.25" customHeight="1">
      <c r="A266" s="11"/>
      <c r="B266" s="11" t="str">
        <f t="shared" si="6"/>
        <v>#N/A</v>
      </c>
      <c r="C266" s="11" t="s">
        <v>106</v>
      </c>
      <c r="D266" s="11">
        <v>4.0</v>
      </c>
      <c r="E266" s="11">
        <v>1.0</v>
      </c>
      <c r="F266" s="11">
        <f t="shared" si="2"/>
        <v>3</v>
      </c>
      <c r="G266" s="11"/>
      <c r="H266" s="11" t="s">
        <v>1306</v>
      </c>
      <c r="I266" s="11" t="str">
        <f>VLOOKUP($H266, 'ADP Data'!$B$4:$Q$300, 2, FALSE)</f>
        <v>#N/A</v>
      </c>
      <c r="J266" s="11" t="str">
        <f>VLOOKUP($H266, 'ADP Data'!$B$4:$Q$300, 3, FALSE)</f>
        <v>#N/A</v>
      </c>
      <c r="K266" s="11" t="str">
        <f>VLOOKUP($H266, SeanRanks!$A$2:$H$303, 4, FALSE)</f>
        <v>#N/A</v>
      </c>
      <c r="L266" s="11" t="str">
        <f>VLOOKUP($H266, SeanRanks!$A$2:$H$303, 5, FALSE)</f>
        <v>#N/A</v>
      </c>
      <c r="M266" s="11">
        <f t="shared" si="3"/>
        <v>16</v>
      </c>
      <c r="N266" s="11" t="str">
        <f>VLOOKUP($H266, 'ADP Data'!$B$4:$Q$300, 11, FALSE)</f>
        <v>#N/A</v>
      </c>
      <c r="O266" s="11" t="str">
        <f>VLOOKUP($H266, 'ADP Data'!$B$4:$Q$300, 5, FALSE)</f>
        <v>#N/A</v>
      </c>
      <c r="P266" s="11" t="str">
        <f t="shared" si="4"/>
        <v>#N/A</v>
      </c>
      <c r="Q266" s="11" t="str">
        <f>VLOOKUP($H266, 'ADP Data'!$B$4:$Q$300, 6, FALSE)</f>
        <v>#N/A</v>
      </c>
      <c r="R266" s="11" t="str">
        <f>VLOOKUP($H266, 'ADP Data'!$B$4:$Q$300, 7, FALSE)</f>
        <v>#N/A</v>
      </c>
      <c r="S266" s="11" t="str">
        <f>VLOOKUP($H266, 'ADP Data'!$B$4:$Q$300, 8, FALSE)</f>
        <v>#N/A</v>
      </c>
      <c r="T266" s="11" t="str">
        <f>VLOOKUP($H266, 'ADP Data'!$B$4:$Q$300, 9, FALSE)</f>
        <v>#N/A</v>
      </c>
      <c r="U266" s="11" t="str">
        <f>VLOOKUP($H266, 'ADP Data'!$B$4:$Q$300, 10, FALSE)</f>
        <v>#N/A</v>
      </c>
      <c r="V266" s="11" t="str">
        <f t="shared" si="5"/>
        <v>#N/A</v>
      </c>
      <c r="W266" s="11" t="str">
        <f>VLOOKUP($H266, SeanRanks!$A$2:$J$303, 7, FALSE)-V266</f>
        <v>#N/A</v>
      </c>
      <c r="X266" s="11"/>
    </row>
    <row r="267" ht="14.25" customHeight="1">
      <c r="A267" s="11"/>
      <c r="B267" s="11" t="str">
        <f t="shared" si="6"/>
        <v>#N/A</v>
      </c>
      <c r="C267" s="11" t="s">
        <v>106</v>
      </c>
      <c r="D267" s="11">
        <v>54.0</v>
      </c>
      <c r="E267" s="11">
        <v>50.0</v>
      </c>
      <c r="F267" s="11">
        <f t="shared" si="2"/>
        <v>4</v>
      </c>
      <c r="G267" s="11"/>
      <c r="H267" s="11" t="s">
        <v>789</v>
      </c>
      <c r="I267" s="11" t="str">
        <f>VLOOKUP($H267, 'ADP Data'!$B$4:$Q$300, 2, FALSE)</f>
        <v>#N/A</v>
      </c>
      <c r="J267" s="11" t="str">
        <f>VLOOKUP($H267, 'ADP Data'!$B$4:$Q$300, 3, FALSE)</f>
        <v>#N/A</v>
      </c>
      <c r="K267" s="11" t="str">
        <f>VLOOKUP($H267, SeanRanks!$A$2:$H$303, 4, FALSE)</f>
        <v/>
      </c>
      <c r="L267" s="11" t="str">
        <f>VLOOKUP($H267, SeanRanks!$A$2:$H$303, 5, FALSE)</f>
        <v/>
      </c>
      <c r="M267" s="11">
        <f t="shared" si="3"/>
        <v>16</v>
      </c>
      <c r="N267" s="11" t="str">
        <f>VLOOKUP($H267, 'ADP Data'!$B$4:$Q$300, 11, FALSE)</f>
        <v>#N/A</v>
      </c>
      <c r="O267" s="11" t="str">
        <f>VLOOKUP($H267, 'ADP Data'!$B$4:$Q$300, 5, FALSE)</f>
        <v>#N/A</v>
      </c>
      <c r="P267" s="11" t="str">
        <f t="shared" si="4"/>
        <v>#N/A</v>
      </c>
      <c r="Q267" s="11" t="str">
        <f>VLOOKUP($H267, 'ADP Data'!$B$4:$Q$300, 6, FALSE)</f>
        <v>#N/A</v>
      </c>
      <c r="R267" s="11" t="str">
        <f>VLOOKUP($H267, 'ADP Data'!$B$4:$Q$300, 7, FALSE)</f>
        <v>#N/A</v>
      </c>
      <c r="S267" s="11" t="str">
        <f>VLOOKUP($H267, 'ADP Data'!$B$4:$Q$300, 8, FALSE)</f>
        <v>#N/A</v>
      </c>
      <c r="T267" s="11" t="str">
        <f>VLOOKUP($H267, 'ADP Data'!$B$4:$Q$300, 9, FALSE)</f>
        <v>#N/A</v>
      </c>
      <c r="U267" s="11" t="str">
        <f>VLOOKUP($H267, 'ADP Data'!$B$4:$Q$300, 10, FALSE)</f>
        <v>#N/A</v>
      </c>
      <c r="V267" s="11" t="str">
        <f t="shared" si="5"/>
        <v>#N/A</v>
      </c>
      <c r="W267" s="11" t="str">
        <f>VLOOKUP($H267, SeanRanks!$A$2:$J$303, 7, FALSE)-V267</f>
        <v>#N/A</v>
      </c>
      <c r="X267" s="11"/>
    </row>
    <row r="268" ht="14.25" customHeight="1">
      <c r="A268" s="11"/>
      <c r="B268" s="11" t="str">
        <f t="shared" si="6"/>
        <v>#N/A</v>
      </c>
      <c r="C268" s="11" t="s">
        <v>106</v>
      </c>
      <c r="D268" s="11">
        <v>24.0</v>
      </c>
      <c r="E268" s="11">
        <v>20.0</v>
      </c>
      <c r="F268" s="11">
        <f t="shared" si="2"/>
        <v>4</v>
      </c>
      <c r="G268" s="11"/>
      <c r="H268" s="11" t="s">
        <v>185</v>
      </c>
      <c r="I268" s="11" t="str">
        <f>VLOOKUP($H268, 'ADP Data'!$B$4:$Q$300, 2, FALSE)</f>
        <v>#N/A</v>
      </c>
      <c r="J268" s="11" t="str">
        <f>VLOOKUP($H268, 'ADP Data'!$B$4:$Q$300, 3, FALSE)</f>
        <v>#N/A</v>
      </c>
      <c r="K268" s="11" t="str">
        <f>VLOOKUP($H268, SeanRanks!$A$2:$H$303, 4, FALSE)</f>
        <v/>
      </c>
      <c r="L268" s="11" t="str">
        <f>VLOOKUP($H268, SeanRanks!$A$2:$H$303, 5, FALSE)</f>
        <v/>
      </c>
      <c r="M268" s="11">
        <f t="shared" si="3"/>
        <v>16</v>
      </c>
      <c r="N268" s="11" t="str">
        <f>VLOOKUP($H268, 'ADP Data'!$B$4:$Q$300, 11, FALSE)</f>
        <v>#N/A</v>
      </c>
      <c r="O268" s="11" t="str">
        <f>VLOOKUP($H268, 'ADP Data'!$B$4:$Q$300, 5, FALSE)</f>
        <v>#N/A</v>
      </c>
      <c r="P268" s="11" t="str">
        <f t="shared" si="4"/>
        <v>#N/A</v>
      </c>
      <c r="Q268" s="11" t="str">
        <f>VLOOKUP($H268, 'ADP Data'!$B$4:$Q$300, 6, FALSE)</f>
        <v>#N/A</v>
      </c>
      <c r="R268" s="11" t="str">
        <f>VLOOKUP($H268, 'ADP Data'!$B$4:$Q$300, 7, FALSE)</f>
        <v>#N/A</v>
      </c>
      <c r="S268" s="11" t="str">
        <f>VLOOKUP($H268, 'ADP Data'!$B$4:$Q$300, 8, FALSE)</f>
        <v>#N/A</v>
      </c>
      <c r="T268" s="11" t="str">
        <f>VLOOKUP($H268, 'ADP Data'!$B$4:$Q$300, 9, FALSE)</f>
        <v>#N/A</v>
      </c>
      <c r="U268" s="11" t="str">
        <f>VLOOKUP($H268, 'ADP Data'!$B$4:$Q$300, 10, FALSE)</f>
        <v>#N/A</v>
      </c>
      <c r="V268" s="11" t="str">
        <f t="shared" si="5"/>
        <v>#N/A</v>
      </c>
      <c r="W268" s="11" t="str">
        <f>VLOOKUP($H268, SeanRanks!$A$2:$J$303, 7, FALSE)-V268</f>
        <v>#N/A</v>
      </c>
      <c r="X268" s="11"/>
    </row>
    <row r="269" ht="14.25" customHeight="1">
      <c r="A269" s="11"/>
      <c r="B269" s="11" t="str">
        <f t="shared" si="6"/>
        <v>#N/A</v>
      </c>
      <c r="C269" s="11" t="s">
        <v>106</v>
      </c>
      <c r="D269" s="11">
        <v>9.0</v>
      </c>
      <c r="E269" s="11">
        <v>5.0</v>
      </c>
      <c r="F269" s="11">
        <f t="shared" si="2"/>
        <v>4</v>
      </c>
      <c r="G269" s="11" t="s">
        <v>106</v>
      </c>
      <c r="H269" s="11" t="s">
        <v>226</v>
      </c>
      <c r="I269" s="11" t="str">
        <f>VLOOKUP($H269, 'ADP Data'!$B$4:$Q$300, 2, FALSE)</f>
        <v>#N/A</v>
      </c>
      <c r="J269" s="11" t="str">
        <f>VLOOKUP($H269, 'ADP Data'!$B$4:$Q$300, 3, FALSE)</f>
        <v>#N/A</v>
      </c>
      <c r="K269" s="11" t="str">
        <f>VLOOKUP($H269, SeanRanks!$A$2:$H$303, 4, FALSE)</f>
        <v/>
      </c>
      <c r="L269" s="11" t="str">
        <f>VLOOKUP($H269, SeanRanks!$A$2:$H$303, 5, FALSE)</f>
        <v/>
      </c>
      <c r="M269" s="11">
        <f t="shared" si="3"/>
        <v>16</v>
      </c>
      <c r="N269" s="11" t="str">
        <f>VLOOKUP($H269, 'ADP Data'!$B$4:$Q$300, 11, FALSE)</f>
        <v>#N/A</v>
      </c>
      <c r="O269" s="11" t="str">
        <f>VLOOKUP($H269, 'ADP Data'!$B$4:$Q$300, 5, FALSE)</f>
        <v>#N/A</v>
      </c>
      <c r="P269" s="11" t="str">
        <f t="shared" si="4"/>
        <v>#N/A</v>
      </c>
      <c r="Q269" s="11" t="str">
        <f>VLOOKUP($H269, 'ADP Data'!$B$4:$Q$300, 6, FALSE)</f>
        <v>#N/A</v>
      </c>
      <c r="R269" s="11" t="str">
        <f>VLOOKUP($H269, 'ADP Data'!$B$4:$Q$300, 7, FALSE)</f>
        <v>#N/A</v>
      </c>
      <c r="S269" s="11" t="str">
        <f>VLOOKUP($H269, 'ADP Data'!$B$4:$Q$300, 8, FALSE)</f>
        <v>#N/A</v>
      </c>
      <c r="T269" s="11" t="str">
        <f>VLOOKUP($H269, 'ADP Data'!$B$4:$Q$300, 9, FALSE)</f>
        <v>#N/A</v>
      </c>
      <c r="U269" s="11" t="str">
        <f>VLOOKUP($H269, 'ADP Data'!$B$4:$Q$300, 10, FALSE)</f>
        <v>#N/A</v>
      </c>
      <c r="V269" s="11" t="str">
        <f t="shared" si="5"/>
        <v>#N/A</v>
      </c>
      <c r="W269" s="11" t="str">
        <f>VLOOKUP($H269, SeanRanks!$A$2:$J$303, 7, FALSE)-V269</f>
        <v>#N/A</v>
      </c>
      <c r="X269" s="11"/>
    </row>
    <row r="270" ht="14.25" customHeight="1">
      <c r="A270" s="11"/>
      <c r="B270" s="11" t="str">
        <f t="shared" si="6"/>
        <v>#N/A</v>
      </c>
      <c r="C270" s="11" t="s">
        <v>106</v>
      </c>
      <c r="D270" s="11">
        <v>4.0</v>
      </c>
      <c r="E270" s="11"/>
      <c r="F270" s="11">
        <f t="shared" si="2"/>
        <v>4</v>
      </c>
      <c r="G270" s="11"/>
      <c r="H270" s="11" t="s">
        <v>819</v>
      </c>
      <c r="I270" s="11" t="str">
        <f>VLOOKUP($H270, 'ADP Data'!$B$4:$Q$300, 2, FALSE)</f>
        <v>#N/A</v>
      </c>
      <c r="J270" s="11" t="str">
        <f>VLOOKUP($H270, 'ADP Data'!$B$4:$Q$300, 3, FALSE)</f>
        <v>#N/A</v>
      </c>
      <c r="K270" s="11" t="str">
        <f>VLOOKUP($H270, SeanRanks!$A$2:$H$303, 4, FALSE)</f>
        <v/>
      </c>
      <c r="L270" s="11" t="str">
        <f>VLOOKUP($H270, SeanRanks!$A$2:$H$303, 5, FALSE)</f>
        <v/>
      </c>
      <c r="M270" s="11">
        <f t="shared" si="3"/>
        <v>16</v>
      </c>
      <c r="N270" s="11" t="str">
        <f>VLOOKUP($H270, 'ADP Data'!$B$4:$Q$300, 11, FALSE)</f>
        <v>#N/A</v>
      </c>
      <c r="O270" s="11" t="str">
        <f>VLOOKUP($H270, 'ADP Data'!$B$4:$Q$300, 5, FALSE)</f>
        <v>#N/A</v>
      </c>
      <c r="P270" s="11" t="str">
        <f t="shared" si="4"/>
        <v>#N/A</v>
      </c>
      <c r="Q270" s="11" t="str">
        <f>VLOOKUP($H270, 'ADP Data'!$B$4:$Q$300, 6, FALSE)</f>
        <v>#N/A</v>
      </c>
      <c r="R270" s="11" t="str">
        <f>VLOOKUP($H270, 'ADP Data'!$B$4:$Q$300, 7, FALSE)</f>
        <v>#N/A</v>
      </c>
      <c r="S270" s="11" t="str">
        <f>VLOOKUP($H270, 'ADP Data'!$B$4:$Q$300, 8, FALSE)</f>
        <v>#N/A</v>
      </c>
      <c r="T270" s="11" t="str">
        <f>VLOOKUP($H270, 'ADP Data'!$B$4:$Q$300, 9, FALSE)</f>
        <v>#N/A</v>
      </c>
      <c r="U270" s="11" t="str">
        <f>VLOOKUP($H270, 'ADP Data'!$B$4:$Q$300, 10, FALSE)</f>
        <v>#N/A</v>
      </c>
      <c r="V270" s="11" t="str">
        <f t="shared" si="5"/>
        <v>#N/A</v>
      </c>
      <c r="W270" s="11" t="str">
        <f>VLOOKUP($H270, SeanRanks!$A$2:$J$303, 7, FALSE)-V270</f>
        <v>#N/A</v>
      </c>
      <c r="X270" s="11"/>
    </row>
    <row r="271" ht="14.25" customHeight="1">
      <c r="A271" s="11"/>
      <c r="B271" s="11" t="str">
        <f t="shared" si="6"/>
        <v>#N/A</v>
      </c>
      <c r="C271" s="11" t="s">
        <v>106</v>
      </c>
      <c r="D271" s="11">
        <v>40.0</v>
      </c>
      <c r="E271" s="11">
        <v>35.0</v>
      </c>
      <c r="F271" s="11">
        <f t="shared" si="2"/>
        <v>5</v>
      </c>
      <c r="G271" s="11"/>
      <c r="H271" s="11" t="s">
        <v>70</v>
      </c>
      <c r="I271" s="11" t="str">
        <f>VLOOKUP($H271, 'ADP Data'!$B$4:$Q$300, 2, FALSE)</f>
        <v>#N/A</v>
      </c>
      <c r="J271" s="11" t="str">
        <f>VLOOKUP($H271, 'ADP Data'!$B$4:$Q$300, 3, FALSE)</f>
        <v>#N/A</v>
      </c>
      <c r="K271" s="11" t="str">
        <f>VLOOKUP($H271, SeanRanks!$A$2:$H$303, 4, FALSE)</f>
        <v/>
      </c>
      <c r="L271" s="11" t="str">
        <f>VLOOKUP($H271, SeanRanks!$A$2:$H$303, 5, FALSE)</f>
        <v/>
      </c>
      <c r="M271" s="11">
        <f t="shared" si="3"/>
        <v>16</v>
      </c>
      <c r="N271" s="11" t="str">
        <f>VLOOKUP($H271, 'ADP Data'!$B$4:$Q$300, 11, FALSE)</f>
        <v>#N/A</v>
      </c>
      <c r="O271" s="11" t="str">
        <f>VLOOKUP($H271, 'ADP Data'!$B$4:$Q$300, 5, FALSE)</f>
        <v>#N/A</v>
      </c>
      <c r="P271" s="11" t="str">
        <f t="shared" si="4"/>
        <v>#N/A</v>
      </c>
      <c r="Q271" s="11" t="str">
        <f>VLOOKUP($H271, 'ADP Data'!$B$4:$Q$300, 6, FALSE)</f>
        <v>#N/A</v>
      </c>
      <c r="R271" s="11" t="str">
        <f>VLOOKUP($H271, 'ADP Data'!$B$4:$Q$300, 7, FALSE)</f>
        <v>#N/A</v>
      </c>
      <c r="S271" s="11" t="str">
        <f>VLOOKUP($H271, 'ADP Data'!$B$4:$Q$300, 8, FALSE)</f>
        <v>#N/A</v>
      </c>
      <c r="T271" s="11" t="str">
        <f>VLOOKUP($H271, 'ADP Data'!$B$4:$Q$300, 9, FALSE)</f>
        <v>#N/A</v>
      </c>
      <c r="U271" s="11" t="str">
        <f>VLOOKUP($H271, 'ADP Data'!$B$4:$Q$300, 10, FALSE)</f>
        <v>#N/A</v>
      </c>
      <c r="V271" s="11" t="str">
        <f t="shared" si="5"/>
        <v>#N/A</v>
      </c>
      <c r="W271" s="11" t="str">
        <f>VLOOKUP($H271, SeanRanks!$A$2:$J$303, 7, FALSE)-V271</f>
        <v>#N/A</v>
      </c>
      <c r="X271" s="11"/>
    </row>
    <row r="272" ht="14.25" customHeight="1">
      <c r="A272" s="11"/>
      <c r="B272" s="11" t="str">
        <f t="shared" si="6"/>
        <v>#N/A</v>
      </c>
      <c r="C272" s="11" t="s">
        <v>106</v>
      </c>
      <c r="D272" s="11">
        <v>50.0</v>
      </c>
      <c r="E272" s="60">
        <v>45.0</v>
      </c>
      <c r="F272" s="11">
        <f t="shared" si="2"/>
        <v>5</v>
      </c>
      <c r="G272" s="60"/>
      <c r="H272" s="60" t="s">
        <v>416</v>
      </c>
      <c r="I272" s="60" t="str">
        <f>VLOOKUP($H272, 'ADP Data'!$B$4:$Q$300, 2, FALSE)</f>
        <v>#N/A</v>
      </c>
      <c r="J272" s="60" t="str">
        <f>VLOOKUP($H272, 'ADP Data'!$B$4:$Q$300, 3, FALSE)</f>
        <v>#N/A</v>
      </c>
      <c r="K272" s="60" t="str">
        <f>VLOOKUP($H272, SeanRanks!$A$2:$H$303, 4, FALSE)</f>
        <v/>
      </c>
      <c r="L272" s="11" t="str">
        <f>VLOOKUP($H272, SeanRanks!$A$2:$H$303, 5, FALSE)</f>
        <v/>
      </c>
      <c r="M272" s="11">
        <f t="shared" si="3"/>
        <v>16</v>
      </c>
      <c r="N272" s="11" t="str">
        <f>VLOOKUP($H272, 'ADP Data'!$B$4:$Q$300, 11, FALSE)</f>
        <v>#N/A</v>
      </c>
      <c r="O272" s="11" t="str">
        <f>VLOOKUP($H272, 'ADP Data'!$B$4:$Q$300, 5, FALSE)</f>
        <v>#N/A</v>
      </c>
      <c r="P272" s="11" t="str">
        <f t="shared" si="4"/>
        <v>#N/A</v>
      </c>
      <c r="Q272" s="11" t="str">
        <f>VLOOKUP($H272, 'ADP Data'!$B$4:$Q$300, 6, FALSE)</f>
        <v>#N/A</v>
      </c>
      <c r="R272" s="11" t="str">
        <f>VLOOKUP($H272, 'ADP Data'!$B$4:$Q$300, 7, FALSE)</f>
        <v>#N/A</v>
      </c>
      <c r="S272" s="11" t="str">
        <f>VLOOKUP($H272, 'ADP Data'!$B$4:$Q$300, 8, FALSE)</f>
        <v>#N/A</v>
      </c>
      <c r="T272" s="11" t="str">
        <f>VLOOKUP($H272, 'ADP Data'!$B$4:$Q$300, 9, FALSE)</f>
        <v>#N/A</v>
      </c>
      <c r="U272" s="11" t="str">
        <f>VLOOKUP($H272, 'ADP Data'!$B$4:$Q$300, 10, FALSE)</f>
        <v>#N/A</v>
      </c>
      <c r="V272" s="11" t="str">
        <f t="shared" si="5"/>
        <v>#N/A</v>
      </c>
      <c r="W272" s="11" t="str">
        <f>VLOOKUP($H272, SeanRanks!$A$2:$J$303, 7, FALSE)-V272</f>
        <v>#N/A</v>
      </c>
      <c r="X272" s="60"/>
    </row>
    <row r="273" ht="14.25" customHeight="1">
      <c r="A273" s="11"/>
      <c r="B273" s="11" t="str">
        <f t="shared" si="6"/>
        <v>#N/A</v>
      </c>
      <c r="C273" s="11" t="s">
        <v>106</v>
      </c>
      <c r="D273" s="11">
        <v>20.0</v>
      </c>
      <c r="E273" s="11">
        <v>15.0</v>
      </c>
      <c r="F273" s="11">
        <f t="shared" si="2"/>
        <v>5</v>
      </c>
      <c r="G273" s="11" t="s">
        <v>106</v>
      </c>
      <c r="H273" s="11" t="s">
        <v>920</v>
      </c>
      <c r="I273" s="11" t="str">
        <f>VLOOKUP($H273, 'ADP Data'!$B$4:$Q$300, 2, FALSE)</f>
        <v>#N/A</v>
      </c>
      <c r="J273" s="11" t="str">
        <f>VLOOKUP($H273, 'ADP Data'!$B$4:$Q$300, 3, FALSE)</f>
        <v>#N/A</v>
      </c>
      <c r="K273" s="11" t="str">
        <f>VLOOKUP($H273, SeanRanks!$A$2:$H$303, 4, FALSE)</f>
        <v/>
      </c>
      <c r="L273" s="11" t="str">
        <f>VLOOKUP($H273, SeanRanks!$A$2:$H$303, 5, FALSE)</f>
        <v/>
      </c>
      <c r="M273" s="11">
        <f t="shared" si="3"/>
        <v>16</v>
      </c>
      <c r="N273" s="11" t="str">
        <f>VLOOKUP($H273, 'ADP Data'!$B$4:$Q$300, 11, FALSE)</f>
        <v>#N/A</v>
      </c>
      <c r="O273" s="11" t="str">
        <f>VLOOKUP($H273, 'ADP Data'!$B$4:$Q$300, 5, FALSE)</f>
        <v>#N/A</v>
      </c>
      <c r="P273" s="11" t="str">
        <f t="shared" si="4"/>
        <v>#N/A</v>
      </c>
      <c r="Q273" s="11" t="str">
        <f>VLOOKUP($H273, 'ADP Data'!$B$4:$Q$300, 6, FALSE)</f>
        <v>#N/A</v>
      </c>
      <c r="R273" s="11" t="str">
        <f>VLOOKUP($H273, 'ADP Data'!$B$4:$Q$300, 7, FALSE)</f>
        <v>#N/A</v>
      </c>
      <c r="S273" s="11" t="str">
        <f>VLOOKUP($H273, 'ADP Data'!$B$4:$Q$300, 8, FALSE)</f>
        <v>#N/A</v>
      </c>
      <c r="T273" s="11" t="str">
        <f>VLOOKUP($H273, 'ADP Data'!$B$4:$Q$300, 9, FALSE)</f>
        <v>#N/A</v>
      </c>
      <c r="U273" s="11" t="str">
        <f>VLOOKUP($H273, 'ADP Data'!$B$4:$Q$300, 10, FALSE)</f>
        <v>#N/A</v>
      </c>
      <c r="V273" s="11" t="str">
        <f t="shared" si="5"/>
        <v>#N/A</v>
      </c>
      <c r="W273" s="11" t="str">
        <f>VLOOKUP($H273, SeanRanks!$A$2:$J$303, 7, FALSE)-V273</f>
        <v>#N/A</v>
      </c>
      <c r="X273" s="11"/>
    </row>
    <row r="274" ht="14.25" customHeight="1">
      <c r="A274" s="11"/>
      <c r="B274" s="11" t="str">
        <f t="shared" si="6"/>
        <v>#N/A</v>
      </c>
      <c r="C274" s="11" t="s">
        <v>106</v>
      </c>
      <c r="D274" s="11">
        <v>17.0</v>
      </c>
      <c r="E274" s="60">
        <v>12.0</v>
      </c>
      <c r="F274" s="11">
        <f t="shared" si="2"/>
        <v>5</v>
      </c>
      <c r="G274" s="60" t="s">
        <v>106</v>
      </c>
      <c r="H274" s="60" t="s">
        <v>437</v>
      </c>
      <c r="I274" s="60" t="str">
        <f>VLOOKUP($H274, 'ADP Data'!$B$4:$Q$300, 2, FALSE)</f>
        <v>#N/A</v>
      </c>
      <c r="J274" s="60" t="str">
        <f>VLOOKUP($H274, 'ADP Data'!$B$4:$Q$300, 3, FALSE)</f>
        <v>#N/A</v>
      </c>
      <c r="K274" s="60" t="str">
        <f>VLOOKUP($H274, SeanRanks!$A$2:$H$303, 4, FALSE)</f>
        <v/>
      </c>
      <c r="L274" s="60" t="str">
        <f>VLOOKUP($H274, SeanRanks!$A$2:$H$303, 5, FALSE)</f>
        <v/>
      </c>
      <c r="M274" s="11">
        <f t="shared" si="3"/>
        <v>16</v>
      </c>
      <c r="N274" s="11" t="str">
        <f>VLOOKUP($H274, 'ADP Data'!$B$4:$Q$300, 11, FALSE)</f>
        <v>#N/A</v>
      </c>
      <c r="O274" s="11" t="str">
        <f>VLOOKUP($H274, 'ADP Data'!$B$4:$Q$300, 5, FALSE)</f>
        <v>#N/A</v>
      </c>
      <c r="P274" s="11" t="str">
        <f t="shared" si="4"/>
        <v>#N/A</v>
      </c>
      <c r="Q274" s="11" t="str">
        <f>VLOOKUP($H274, 'ADP Data'!$B$4:$Q$300, 6, FALSE)</f>
        <v>#N/A</v>
      </c>
      <c r="R274" s="11" t="str">
        <f>VLOOKUP($H274, 'ADP Data'!$B$4:$Q$300, 7, FALSE)</f>
        <v>#N/A</v>
      </c>
      <c r="S274" s="11" t="str">
        <f>VLOOKUP($H274, 'ADP Data'!$B$4:$Q$300, 8, FALSE)</f>
        <v>#N/A</v>
      </c>
      <c r="T274" s="11" t="str">
        <f>VLOOKUP($H274, 'ADP Data'!$B$4:$Q$300, 9, FALSE)</f>
        <v>#N/A</v>
      </c>
      <c r="U274" s="11" t="str">
        <f>VLOOKUP($H274, 'ADP Data'!$B$4:$Q$300, 10, FALSE)</f>
        <v>#N/A</v>
      </c>
      <c r="V274" s="11" t="str">
        <f t="shared" si="5"/>
        <v>#N/A</v>
      </c>
      <c r="W274" s="11" t="str">
        <f>VLOOKUP($H274, SeanRanks!$A$2:$J$303, 7, FALSE)-V274</f>
        <v>#N/A</v>
      </c>
      <c r="X274" s="60"/>
    </row>
    <row r="275" ht="14.25" customHeight="1">
      <c r="A275" s="11"/>
      <c r="B275" s="11" t="str">
        <f t="shared" si="6"/>
        <v>#N/A</v>
      </c>
      <c r="C275" s="11" t="s">
        <v>106</v>
      </c>
      <c r="D275" s="11">
        <v>20.0</v>
      </c>
      <c r="E275" s="60">
        <v>15.0</v>
      </c>
      <c r="F275" s="11">
        <f t="shared" si="2"/>
        <v>5</v>
      </c>
      <c r="G275" s="60" t="s">
        <v>106</v>
      </c>
      <c r="H275" s="60" t="s">
        <v>1211</v>
      </c>
      <c r="I275" s="60" t="str">
        <f>VLOOKUP($H275, 'ADP Data'!$B$4:$Q$300, 2, FALSE)</f>
        <v>#N/A</v>
      </c>
      <c r="J275" s="60" t="str">
        <f>VLOOKUP($H275, 'ADP Data'!$B$4:$Q$300, 3, FALSE)</f>
        <v>#N/A</v>
      </c>
      <c r="K275" s="60" t="str">
        <f>VLOOKUP($H275, SeanRanks!$A$2:$H$303, 4, FALSE)</f>
        <v>#N/A</v>
      </c>
      <c r="L275" s="60" t="str">
        <f>VLOOKUP($H275, SeanRanks!$A$2:$H$303, 5, FALSE)</f>
        <v>#N/A</v>
      </c>
      <c r="M275" s="11">
        <f t="shared" si="3"/>
        <v>16</v>
      </c>
      <c r="N275" s="11" t="str">
        <f>VLOOKUP($H275, 'ADP Data'!$B$4:$Q$300, 11, FALSE)</f>
        <v>#N/A</v>
      </c>
      <c r="O275" s="11" t="str">
        <f>VLOOKUP($H275, 'ADP Data'!$B$4:$Q$300, 5, FALSE)</f>
        <v>#N/A</v>
      </c>
      <c r="P275" s="11" t="str">
        <f t="shared" si="4"/>
        <v>#N/A</v>
      </c>
      <c r="Q275" s="11" t="str">
        <f>VLOOKUP($H275, 'ADP Data'!$B$4:$Q$300, 6, FALSE)</f>
        <v>#N/A</v>
      </c>
      <c r="R275" s="11" t="str">
        <f>VLOOKUP($H275, 'ADP Data'!$B$4:$Q$300, 7, FALSE)</f>
        <v>#N/A</v>
      </c>
      <c r="S275" s="11" t="str">
        <f>VLOOKUP($H275, 'ADP Data'!$B$4:$Q$300, 8, FALSE)</f>
        <v>#N/A</v>
      </c>
      <c r="T275" s="11" t="str">
        <f>VLOOKUP($H275, 'ADP Data'!$B$4:$Q$300, 9, FALSE)</f>
        <v>#N/A</v>
      </c>
      <c r="U275" s="11" t="str">
        <f>VLOOKUP($H275, 'ADP Data'!$B$4:$Q$300, 10, FALSE)</f>
        <v>#N/A</v>
      </c>
      <c r="V275" s="11" t="str">
        <f t="shared" si="5"/>
        <v>#N/A</v>
      </c>
      <c r="W275" s="11" t="str">
        <f>VLOOKUP($H275, SeanRanks!$A$2:$J$303, 7, FALSE)-V275</f>
        <v>#N/A</v>
      </c>
      <c r="X275" s="60"/>
    </row>
    <row r="276" ht="14.25" customHeight="1">
      <c r="A276" s="11"/>
      <c r="B276" s="11" t="str">
        <f t="shared" si="6"/>
        <v>#N/A</v>
      </c>
      <c r="C276" s="11" t="s">
        <v>106</v>
      </c>
      <c r="D276" s="11">
        <v>15.0</v>
      </c>
      <c r="E276" s="11">
        <v>10.0</v>
      </c>
      <c r="F276" s="11">
        <f t="shared" si="2"/>
        <v>5</v>
      </c>
      <c r="G276" s="11"/>
      <c r="H276" s="11" t="s">
        <v>958</v>
      </c>
      <c r="I276" s="11" t="str">
        <f>VLOOKUP($H276, 'ADP Data'!$B$4:$Q$300, 2, FALSE)</f>
        <v>#N/A</v>
      </c>
      <c r="J276" s="11" t="str">
        <f>VLOOKUP($H276, 'ADP Data'!$B$4:$Q$300, 3, FALSE)</f>
        <v>#N/A</v>
      </c>
      <c r="K276" s="11" t="str">
        <f>VLOOKUP($H276, SeanRanks!$A$2:$H$303, 4, FALSE)</f>
        <v>#N/A</v>
      </c>
      <c r="L276" s="11" t="str">
        <f>VLOOKUP($H276, SeanRanks!$A$2:$H$303, 5, FALSE)</f>
        <v>#N/A</v>
      </c>
      <c r="M276" s="11">
        <f t="shared" si="3"/>
        <v>16</v>
      </c>
      <c r="N276" s="11" t="str">
        <f>VLOOKUP($H276, 'ADP Data'!$B$4:$Q$300, 11, FALSE)</f>
        <v>#N/A</v>
      </c>
      <c r="O276" s="11" t="str">
        <f>VLOOKUP($H276, 'ADP Data'!$B$4:$Q$300, 5, FALSE)</f>
        <v>#N/A</v>
      </c>
      <c r="P276" s="11" t="str">
        <f t="shared" si="4"/>
        <v>#N/A</v>
      </c>
      <c r="Q276" s="11" t="str">
        <f>VLOOKUP($H276, 'ADP Data'!$B$4:$Q$300, 6, FALSE)</f>
        <v>#N/A</v>
      </c>
      <c r="R276" s="11" t="str">
        <f>VLOOKUP($H276, 'ADP Data'!$B$4:$Q$300, 7, FALSE)</f>
        <v>#N/A</v>
      </c>
      <c r="S276" s="11" t="str">
        <f>VLOOKUP($H276, 'ADP Data'!$B$4:$Q$300, 8, FALSE)</f>
        <v>#N/A</v>
      </c>
      <c r="T276" s="11" t="str">
        <f>VLOOKUP($H276, 'ADP Data'!$B$4:$Q$300, 9, FALSE)</f>
        <v>#N/A</v>
      </c>
      <c r="U276" s="11" t="str">
        <f>VLOOKUP($H276, 'ADP Data'!$B$4:$Q$300, 10, FALSE)</f>
        <v>#N/A</v>
      </c>
      <c r="V276" s="11" t="str">
        <f t="shared" si="5"/>
        <v>#N/A</v>
      </c>
      <c r="W276" s="11" t="str">
        <f>VLOOKUP($H276, SeanRanks!$A$2:$J$303, 7, FALSE)-V276</f>
        <v>#N/A</v>
      </c>
      <c r="X276" s="11"/>
    </row>
    <row r="277" ht="14.25" customHeight="1">
      <c r="A277" s="11"/>
      <c r="B277" s="11" t="str">
        <f t="shared" si="6"/>
        <v>#N/A</v>
      </c>
      <c r="C277" s="11" t="s">
        <v>106</v>
      </c>
      <c r="D277" s="11">
        <v>9.0</v>
      </c>
      <c r="E277" s="11">
        <v>4.0</v>
      </c>
      <c r="F277" s="11">
        <f t="shared" si="2"/>
        <v>5</v>
      </c>
      <c r="G277" s="11"/>
      <c r="H277" s="11" t="s">
        <v>894</v>
      </c>
      <c r="I277" s="11" t="str">
        <f>VLOOKUP($H277, 'ADP Data'!$B$4:$Q$300, 2, FALSE)</f>
        <v>#N/A</v>
      </c>
      <c r="J277" s="11" t="str">
        <f>VLOOKUP($H277, 'ADP Data'!$B$4:$Q$300, 3, FALSE)</f>
        <v>#N/A</v>
      </c>
      <c r="K277" s="11" t="str">
        <f>VLOOKUP($H277, SeanRanks!$A$2:$H$303, 4, FALSE)</f>
        <v>#N/A</v>
      </c>
      <c r="L277" s="11" t="str">
        <f>VLOOKUP($H277, SeanRanks!$A$2:$H$303, 5, FALSE)</f>
        <v>#N/A</v>
      </c>
      <c r="M277" s="11">
        <f t="shared" si="3"/>
        <v>16</v>
      </c>
      <c r="N277" s="11" t="str">
        <f>VLOOKUP($H277, 'ADP Data'!$B$4:$Q$300, 11, FALSE)</f>
        <v>#N/A</v>
      </c>
      <c r="O277" s="11" t="str">
        <f>VLOOKUP($H277, 'ADP Data'!$B$4:$Q$300, 5, FALSE)</f>
        <v>#N/A</v>
      </c>
      <c r="P277" s="11" t="str">
        <f t="shared" si="4"/>
        <v>#N/A</v>
      </c>
      <c r="Q277" s="11" t="str">
        <f>VLOOKUP($H277, 'ADP Data'!$B$4:$Q$300, 6, FALSE)</f>
        <v>#N/A</v>
      </c>
      <c r="R277" s="11" t="str">
        <f>VLOOKUP($H277, 'ADP Data'!$B$4:$Q$300, 7, FALSE)</f>
        <v>#N/A</v>
      </c>
      <c r="S277" s="11" t="str">
        <f>VLOOKUP($H277, 'ADP Data'!$B$4:$Q$300, 8, FALSE)</f>
        <v>#N/A</v>
      </c>
      <c r="T277" s="11" t="str">
        <f>VLOOKUP($H277, 'ADP Data'!$B$4:$Q$300, 9, FALSE)</f>
        <v>#N/A</v>
      </c>
      <c r="U277" s="11" t="str">
        <f>VLOOKUP($H277, 'ADP Data'!$B$4:$Q$300, 10, FALSE)</f>
        <v>#N/A</v>
      </c>
      <c r="V277" s="11" t="str">
        <f t="shared" si="5"/>
        <v>#N/A</v>
      </c>
      <c r="W277" s="11" t="str">
        <f>VLOOKUP($H277, SeanRanks!$A$2:$J$303, 7, FALSE)-V277</f>
        <v>#N/A</v>
      </c>
      <c r="X277" s="11"/>
    </row>
    <row r="278" ht="14.25" customHeight="1">
      <c r="A278" s="11"/>
      <c r="B278" s="11" t="str">
        <f t="shared" si="6"/>
        <v>#N/A</v>
      </c>
      <c r="C278" s="11" t="s">
        <v>106</v>
      </c>
      <c r="D278" s="11">
        <v>5.0</v>
      </c>
      <c r="E278" s="11">
        <v>0.0</v>
      </c>
      <c r="F278" s="11">
        <f t="shared" si="2"/>
        <v>5</v>
      </c>
      <c r="G278" s="11"/>
      <c r="H278" s="11" t="s">
        <v>624</v>
      </c>
      <c r="I278" s="11" t="str">
        <f>VLOOKUP($H278, 'ADP Data'!$B$4:$Q$300, 2, FALSE)</f>
        <v>#N/A</v>
      </c>
      <c r="J278" s="11" t="str">
        <f>VLOOKUP($H278, 'ADP Data'!$B$4:$Q$300, 3, FALSE)</f>
        <v>#N/A</v>
      </c>
      <c r="K278" s="11" t="str">
        <f>VLOOKUP($H278, SeanRanks!$A$2:$H$303, 4, FALSE)</f>
        <v/>
      </c>
      <c r="L278" s="11" t="str">
        <f>VLOOKUP($H278, SeanRanks!$A$2:$H$303, 5, FALSE)</f>
        <v>Yes</v>
      </c>
      <c r="M278" s="11">
        <f t="shared" si="3"/>
        <v>16</v>
      </c>
      <c r="N278" s="11" t="str">
        <f>VLOOKUP($H278, 'ADP Data'!$B$4:$Q$300, 11, FALSE)</f>
        <v>#N/A</v>
      </c>
      <c r="O278" s="11" t="str">
        <f>VLOOKUP($H278, 'ADP Data'!$B$4:$Q$300, 5, FALSE)</f>
        <v>#N/A</v>
      </c>
      <c r="P278" s="11" t="str">
        <f t="shared" si="4"/>
        <v>#N/A</v>
      </c>
      <c r="Q278" s="11" t="str">
        <f>VLOOKUP($H278, 'ADP Data'!$B$4:$Q$300, 6, FALSE)</f>
        <v>#N/A</v>
      </c>
      <c r="R278" s="11" t="str">
        <f>VLOOKUP($H278, 'ADP Data'!$B$4:$Q$300, 7, FALSE)</f>
        <v>#N/A</v>
      </c>
      <c r="S278" s="11" t="str">
        <f>VLOOKUP($H278, 'ADP Data'!$B$4:$Q$300, 8, FALSE)</f>
        <v>#N/A</v>
      </c>
      <c r="T278" s="11" t="str">
        <f>VLOOKUP($H278, 'ADP Data'!$B$4:$Q$300, 9, FALSE)</f>
        <v>#N/A</v>
      </c>
      <c r="U278" s="11" t="str">
        <f>VLOOKUP($H278, 'ADP Data'!$B$4:$Q$300, 10, FALSE)</f>
        <v>#N/A</v>
      </c>
      <c r="V278" s="11" t="str">
        <f t="shared" si="5"/>
        <v>#N/A</v>
      </c>
      <c r="W278" s="11" t="str">
        <f>VLOOKUP($H278, SeanRanks!$A$2:$J$303, 7, FALSE)-V278</f>
        <v>#N/A</v>
      </c>
      <c r="X278" s="11"/>
    </row>
    <row r="279" ht="14.25" customHeight="1">
      <c r="A279" s="11"/>
      <c r="B279" s="11" t="str">
        <f t="shared" si="6"/>
        <v>#N/A</v>
      </c>
      <c r="C279" s="11" t="s">
        <v>106</v>
      </c>
      <c r="D279" s="11">
        <v>61.0</v>
      </c>
      <c r="E279" s="11">
        <v>55.0</v>
      </c>
      <c r="F279" s="11">
        <f t="shared" si="2"/>
        <v>6</v>
      </c>
      <c r="G279" s="11"/>
      <c r="H279" s="11" t="s">
        <v>848</v>
      </c>
      <c r="I279" s="11" t="str">
        <f>VLOOKUP($H279, 'ADP Data'!$B$4:$Q$300, 2, FALSE)</f>
        <v>#N/A</v>
      </c>
      <c r="J279" s="11" t="str">
        <f>VLOOKUP($H279, 'ADP Data'!$B$4:$Q$300, 3, FALSE)</f>
        <v>#N/A</v>
      </c>
      <c r="K279" s="11" t="str">
        <f>VLOOKUP($H279, SeanRanks!$A$2:$H$303, 4, FALSE)</f>
        <v/>
      </c>
      <c r="L279" s="11" t="str">
        <f>VLOOKUP($H279, SeanRanks!$A$2:$H$303, 5, FALSE)</f>
        <v/>
      </c>
      <c r="M279" s="11">
        <f t="shared" si="3"/>
        <v>16</v>
      </c>
      <c r="N279" s="11" t="str">
        <f>VLOOKUP($H279, 'ADP Data'!$B$4:$Q$300, 11, FALSE)</f>
        <v>#N/A</v>
      </c>
      <c r="O279" s="11" t="str">
        <f>VLOOKUP($H279, 'ADP Data'!$B$4:$Q$300, 5, FALSE)</f>
        <v>#N/A</v>
      </c>
      <c r="P279" s="11" t="str">
        <f t="shared" si="4"/>
        <v>#N/A</v>
      </c>
      <c r="Q279" s="11" t="str">
        <f>VLOOKUP($H279, 'ADP Data'!$B$4:$Q$300, 6, FALSE)</f>
        <v>#N/A</v>
      </c>
      <c r="R279" s="11" t="str">
        <f>VLOOKUP($H279, 'ADP Data'!$B$4:$Q$300, 7, FALSE)</f>
        <v>#N/A</v>
      </c>
      <c r="S279" s="11" t="str">
        <f>VLOOKUP($H279, 'ADP Data'!$B$4:$Q$300, 8, FALSE)</f>
        <v>#N/A</v>
      </c>
      <c r="T279" s="11" t="str">
        <f>VLOOKUP($H279, 'ADP Data'!$B$4:$Q$300, 9, FALSE)</f>
        <v>#N/A</v>
      </c>
      <c r="U279" s="11" t="str">
        <f>VLOOKUP($H279, 'ADP Data'!$B$4:$Q$300, 10, FALSE)</f>
        <v>#N/A</v>
      </c>
      <c r="V279" s="11" t="str">
        <f t="shared" si="5"/>
        <v>#N/A</v>
      </c>
      <c r="W279" s="11" t="str">
        <f>VLOOKUP($H279, SeanRanks!$A$2:$J$303, 7, FALSE)-V279</f>
        <v>#N/A</v>
      </c>
      <c r="X279" s="11"/>
    </row>
    <row r="280" ht="14.25" customHeight="1">
      <c r="A280" s="11"/>
      <c r="B280" s="11" t="str">
        <f t="shared" si="6"/>
        <v>#N/A</v>
      </c>
      <c r="C280" s="11" t="s">
        <v>106</v>
      </c>
      <c r="D280" s="11">
        <v>25.0</v>
      </c>
      <c r="E280" s="11">
        <v>19.0</v>
      </c>
      <c r="F280" s="11">
        <f t="shared" si="2"/>
        <v>6</v>
      </c>
      <c r="G280" s="11" t="s">
        <v>106</v>
      </c>
      <c r="H280" s="11" t="s">
        <v>147</v>
      </c>
      <c r="I280" s="11" t="str">
        <f>VLOOKUP($H280, 'ADP Data'!$B$4:$Q$300, 2, FALSE)</f>
        <v>#N/A</v>
      </c>
      <c r="J280" s="11" t="str">
        <f>VLOOKUP($H280, 'ADP Data'!$B$4:$Q$300, 3, FALSE)</f>
        <v>#N/A</v>
      </c>
      <c r="K280" s="11" t="str">
        <f>VLOOKUP($H280, SeanRanks!$A$2:$H$303, 4, FALSE)</f>
        <v/>
      </c>
      <c r="L280" s="11" t="str">
        <f>VLOOKUP($H280, SeanRanks!$A$2:$H$303, 5, FALSE)</f>
        <v/>
      </c>
      <c r="M280" s="11">
        <f t="shared" si="3"/>
        <v>16</v>
      </c>
      <c r="N280" s="11" t="str">
        <f>VLOOKUP($H280, 'ADP Data'!$B$4:$Q$300, 11, FALSE)</f>
        <v>#N/A</v>
      </c>
      <c r="O280" s="11" t="str">
        <f>VLOOKUP($H280, 'ADP Data'!$B$4:$Q$300, 5, FALSE)</f>
        <v>#N/A</v>
      </c>
      <c r="P280" s="11" t="str">
        <f t="shared" si="4"/>
        <v>#N/A</v>
      </c>
      <c r="Q280" s="11" t="str">
        <f>VLOOKUP($H280, 'ADP Data'!$B$4:$Q$300, 6, FALSE)</f>
        <v>#N/A</v>
      </c>
      <c r="R280" s="11" t="str">
        <f>VLOOKUP($H280, 'ADP Data'!$B$4:$Q$300, 7, FALSE)</f>
        <v>#N/A</v>
      </c>
      <c r="S280" s="11" t="str">
        <f>VLOOKUP($H280, 'ADP Data'!$B$4:$Q$300, 8, FALSE)</f>
        <v>#N/A</v>
      </c>
      <c r="T280" s="11" t="str">
        <f>VLOOKUP($H280, 'ADP Data'!$B$4:$Q$300, 9, FALSE)</f>
        <v>#N/A</v>
      </c>
      <c r="U280" s="11" t="str">
        <f>VLOOKUP($H280, 'ADP Data'!$B$4:$Q$300, 10, FALSE)</f>
        <v>#N/A</v>
      </c>
      <c r="V280" s="11" t="str">
        <f t="shared" si="5"/>
        <v>#N/A</v>
      </c>
      <c r="W280" s="11" t="str">
        <f>VLOOKUP($H280, SeanRanks!$A$2:$J$303, 7, FALSE)-V280</f>
        <v>#N/A</v>
      </c>
      <c r="X280" s="11" t="s">
        <v>1308</v>
      </c>
    </row>
    <row r="281" ht="14.25" customHeight="1">
      <c r="A281" s="11"/>
      <c r="B281" s="11" t="str">
        <f t="shared" si="6"/>
        <v>#N/A</v>
      </c>
      <c r="C281" s="11" t="s">
        <v>106</v>
      </c>
      <c r="D281" s="11">
        <v>13.0</v>
      </c>
      <c r="E281" s="11">
        <v>7.0</v>
      </c>
      <c r="F281" s="11">
        <f t="shared" si="2"/>
        <v>6</v>
      </c>
      <c r="G281" s="11" t="s">
        <v>106</v>
      </c>
      <c r="H281" s="11" t="s">
        <v>270</v>
      </c>
      <c r="I281" s="11" t="str">
        <f>VLOOKUP($H281, 'ADP Data'!$B$4:$Q$300, 2, FALSE)</f>
        <v>#N/A</v>
      </c>
      <c r="J281" s="11" t="str">
        <f>VLOOKUP($H281, 'ADP Data'!$B$4:$Q$300, 3, FALSE)</f>
        <v>#N/A</v>
      </c>
      <c r="K281" s="11" t="str">
        <f>VLOOKUP($H281, SeanRanks!$A$2:$H$303, 4, FALSE)</f>
        <v/>
      </c>
      <c r="L281" s="11" t="str">
        <f>VLOOKUP($H281, SeanRanks!$A$2:$H$303, 5, FALSE)</f>
        <v/>
      </c>
      <c r="M281" s="11">
        <f t="shared" si="3"/>
        <v>16</v>
      </c>
      <c r="N281" s="11" t="str">
        <f>VLOOKUP($H281, 'ADP Data'!$B$4:$Q$300, 11, FALSE)</f>
        <v>#N/A</v>
      </c>
      <c r="O281" s="11" t="str">
        <f>VLOOKUP($H281, 'ADP Data'!$B$4:$Q$300, 5, FALSE)</f>
        <v>#N/A</v>
      </c>
      <c r="P281" s="11" t="str">
        <f t="shared" si="4"/>
        <v>#N/A</v>
      </c>
      <c r="Q281" s="11" t="str">
        <f>VLOOKUP($H281, 'ADP Data'!$B$4:$Q$300, 6, FALSE)</f>
        <v>#N/A</v>
      </c>
      <c r="R281" s="11" t="str">
        <f>VLOOKUP($H281, 'ADP Data'!$B$4:$Q$300, 7, FALSE)</f>
        <v>#N/A</v>
      </c>
      <c r="S281" s="11" t="str">
        <f>VLOOKUP($H281, 'ADP Data'!$B$4:$Q$300, 8, FALSE)</f>
        <v>#N/A</v>
      </c>
      <c r="T281" s="11" t="str">
        <f>VLOOKUP($H281, 'ADP Data'!$B$4:$Q$300, 9, FALSE)</f>
        <v>#N/A</v>
      </c>
      <c r="U281" s="11" t="str">
        <f>VLOOKUP($H281, 'ADP Data'!$B$4:$Q$300, 10, FALSE)</f>
        <v>#N/A</v>
      </c>
      <c r="V281" s="11" t="str">
        <f t="shared" si="5"/>
        <v>#N/A</v>
      </c>
      <c r="W281" s="11" t="str">
        <f>VLOOKUP($H281, SeanRanks!$A$2:$J$303, 7, FALSE)-V281</f>
        <v>#N/A</v>
      </c>
      <c r="X281" s="11"/>
    </row>
    <row r="282" ht="14.25" customHeight="1">
      <c r="A282" s="11"/>
      <c r="B282" s="11" t="str">
        <f t="shared" si="6"/>
        <v>#N/A</v>
      </c>
      <c r="C282" s="11" t="s">
        <v>106</v>
      </c>
      <c r="D282" s="11">
        <v>11.0</v>
      </c>
      <c r="E282" s="11">
        <v>5.0</v>
      </c>
      <c r="F282" s="11">
        <f t="shared" si="2"/>
        <v>6</v>
      </c>
      <c r="G282" s="11"/>
      <c r="H282" s="11" t="s">
        <v>64</v>
      </c>
      <c r="I282" s="11" t="str">
        <f>VLOOKUP($H282, 'ADP Data'!$B$4:$Q$300, 2, FALSE)</f>
        <v>#N/A</v>
      </c>
      <c r="J282" s="11" t="str">
        <f>VLOOKUP($H282, 'ADP Data'!$B$4:$Q$300, 3, FALSE)</f>
        <v>#N/A</v>
      </c>
      <c r="K282" s="11" t="str">
        <f>VLOOKUP($H282, SeanRanks!$A$2:$H$303, 4, FALSE)</f>
        <v/>
      </c>
      <c r="L282" s="11" t="str">
        <f>VLOOKUP($H282, SeanRanks!$A$2:$H$303, 5, FALSE)</f>
        <v/>
      </c>
      <c r="M282" s="11">
        <f t="shared" si="3"/>
        <v>16</v>
      </c>
      <c r="N282" s="11" t="str">
        <f>VLOOKUP($H282, 'ADP Data'!$B$4:$Q$300, 11, FALSE)</f>
        <v>#N/A</v>
      </c>
      <c r="O282" s="11" t="str">
        <f>VLOOKUP($H282, 'ADP Data'!$B$4:$Q$300, 5, FALSE)</f>
        <v>#N/A</v>
      </c>
      <c r="P282" s="11" t="str">
        <f t="shared" si="4"/>
        <v>#N/A</v>
      </c>
      <c r="Q282" s="11" t="str">
        <f>VLOOKUP($H282, 'ADP Data'!$B$4:$Q$300, 6, FALSE)</f>
        <v>#N/A</v>
      </c>
      <c r="R282" s="11" t="str">
        <f>VLOOKUP($H282, 'ADP Data'!$B$4:$Q$300, 7, FALSE)</f>
        <v>#N/A</v>
      </c>
      <c r="S282" s="11" t="str">
        <f>VLOOKUP($H282, 'ADP Data'!$B$4:$Q$300, 8, FALSE)</f>
        <v>#N/A</v>
      </c>
      <c r="T282" s="11" t="str">
        <f>VLOOKUP($H282, 'ADP Data'!$B$4:$Q$300, 9, FALSE)</f>
        <v>#N/A</v>
      </c>
      <c r="U282" s="11" t="str">
        <f>VLOOKUP($H282, 'ADP Data'!$B$4:$Q$300, 10, FALSE)</f>
        <v>#N/A</v>
      </c>
      <c r="V282" s="11" t="str">
        <f t="shared" si="5"/>
        <v>#N/A</v>
      </c>
      <c r="W282" s="11" t="str">
        <f>VLOOKUP($H282, SeanRanks!$A$2:$J$303, 7, FALSE)-V282</f>
        <v>#N/A</v>
      </c>
      <c r="X282" s="11"/>
    </row>
    <row r="283" ht="14.25" customHeight="1">
      <c r="A283" s="11"/>
      <c r="B283" s="11" t="str">
        <f t="shared" si="6"/>
        <v>#N/A</v>
      </c>
      <c r="C283" s="11" t="s">
        <v>106</v>
      </c>
      <c r="D283" s="11">
        <v>39.0</v>
      </c>
      <c r="E283" s="11">
        <v>32.0</v>
      </c>
      <c r="F283" s="11">
        <f t="shared" si="2"/>
        <v>7</v>
      </c>
      <c r="G283" s="11"/>
      <c r="H283" s="11" t="s">
        <v>321</v>
      </c>
      <c r="I283" s="11" t="str">
        <f>VLOOKUP($H283, 'ADP Data'!$B$4:$Q$300, 2, FALSE)</f>
        <v>#N/A</v>
      </c>
      <c r="J283" s="11" t="str">
        <f>VLOOKUP($H283, 'ADP Data'!$B$4:$Q$300, 3, FALSE)</f>
        <v>#N/A</v>
      </c>
      <c r="K283" s="11" t="s">
        <v>1296</v>
      </c>
      <c r="L283" s="11" t="str">
        <f>VLOOKUP($H283, SeanRanks!$A$2:$H$303, 5, FALSE)</f>
        <v>No</v>
      </c>
      <c r="M283" s="11">
        <f t="shared" si="3"/>
        <v>16</v>
      </c>
      <c r="N283" s="11" t="str">
        <f>VLOOKUP($H283, 'ADP Data'!$B$4:$Q$300, 11, FALSE)</f>
        <v>#N/A</v>
      </c>
      <c r="O283" s="11" t="str">
        <f>VLOOKUP($H283, 'ADP Data'!$B$4:$Q$300, 5, FALSE)</f>
        <v>#N/A</v>
      </c>
      <c r="P283" s="11" t="str">
        <f t="shared" si="4"/>
        <v>#N/A</v>
      </c>
      <c r="Q283" s="11" t="str">
        <f>VLOOKUP($H283, 'ADP Data'!$B$4:$Q$300, 6, FALSE)</f>
        <v>#N/A</v>
      </c>
      <c r="R283" s="11" t="str">
        <f>VLOOKUP($H283, 'ADP Data'!$B$4:$Q$300, 7, FALSE)</f>
        <v>#N/A</v>
      </c>
      <c r="S283" s="11" t="str">
        <f>VLOOKUP($H283, 'ADP Data'!$B$4:$Q$300, 8, FALSE)</f>
        <v>#N/A</v>
      </c>
      <c r="T283" s="11" t="str">
        <f>VLOOKUP($H283, 'ADP Data'!$B$4:$Q$300, 9, FALSE)</f>
        <v>#N/A</v>
      </c>
      <c r="U283" s="11" t="str">
        <f>VLOOKUP($H283, 'ADP Data'!$B$4:$Q$300, 10, FALSE)</f>
        <v>#N/A</v>
      </c>
      <c r="V283" s="11" t="str">
        <f t="shared" si="5"/>
        <v>#N/A</v>
      </c>
      <c r="W283" s="11" t="str">
        <f>VLOOKUP($H283, SeanRanks!$A$2:$J$303, 7, FALSE)-V283</f>
        <v>#N/A</v>
      </c>
      <c r="X283" s="11"/>
    </row>
    <row r="284" ht="14.25" customHeight="1">
      <c r="A284" s="11"/>
      <c r="B284" s="11" t="str">
        <f t="shared" si="6"/>
        <v>#N/A</v>
      </c>
      <c r="C284" s="11" t="s">
        <v>106</v>
      </c>
      <c r="D284" s="11">
        <v>16.0</v>
      </c>
      <c r="E284" s="11">
        <v>9.0</v>
      </c>
      <c r="F284" s="11">
        <f t="shared" si="2"/>
        <v>7</v>
      </c>
      <c r="G284" s="11" t="s">
        <v>106</v>
      </c>
      <c r="H284" s="11" t="s">
        <v>701</v>
      </c>
      <c r="I284" s="11" t="str">
        <f>VLOOKUP($H284, 'ADP Data'!$B$4:$Q$300, 2, FALSE)</f>
        <v>#N/A</v>
      </c>
      <c r="J284" s="11" t="str">
        <f>VLOOKUP($H284, 'ADP Data'!$B$4:$Q$300, 3, FALSE)</f>
        <v>#N/A</v>
      </c>
      <c r="K284" s="11" t="s">
        <v>710</v>
      </c>
      <c r="L284" s="11" t="str">
        <f>VLOOKUP($H284, SeanRanks!$A$2:$H$303, 5, FALSE)</f>
        <v/>
      </c>
      <c r="M284" s="11">
        <f t="shared" si="3"/>
        <v>16</v>
      </c>
      <c r="N284" s="11" t="str">
        <f>VLOOKUP($H284, 'ADP Data'!$B$4:$Q$300, 11, FALSE)</f>
        <v>#N/A</v>
      </c>
      <c r="O284" s="11" t="str">
        <f>VLOOKUP($H284, 'ADP Data'!$B$4:$Q$300, 5, FALSE)</f>
        <v>#N/A</v>
      </c>
      <c r="P284" s="11" t="str">
        <f t="shared" si="4"/>
        <v>#N/A</v>
      </c>
      <c r="Q284" s="11" t="str">
        <f>VLOOKUP($H284, 'ADP Data'!$B$4:$Q$300, 6, FALSE)</f>
        <v>#N/A</v>
      </c>
      <c r="R284" s="11" t="str">
        <f>VLOOKUP($H284, 'ADP Data'!$B$4:$Q$300, 7, FALSE)</f>
        <v>#N/A</v>
      </c>
      <c r="S284" s="11" t="str">
        <f>VLOOKUP($H284, 'ADP Data'!$B$4:$Q$300, 8, FALSE)</f>
        <v>#N/A</v>
      </c>
      <c r="T284" s="11" t="str">
        <f>VLOOKUP($H284, 'ADP Data'!$B$4:$Q$300, 9, FALSE)</f>
        <v>#N/A</v>
      </c>
      <c r="U284" s="11" t="str">
        <f>VLOOKUP($H284, 'ADP Data'!$B$4:$Q$300, 10, FALSE)</f>
        <v>#N/A</v>
      </c>
      <c r="V284" s="11" t="str">
        <f t="shared" si="5"/>
        <v>#N/A</v>
      </c>
      <c r="W284" s="11" t="str">
        <f>VLOOKUP($H284, SeanRanks!$A$2:$J$303, 7, FALSE)-V284</f>
        <v>#N/A</v>
      </c>
      <c r="X284" s="11"/>
    </row>
    <row r="285" ht="14.25" customHeight="1">
      <c r="A285" s="11"/>
      <c r="B285" s="11" t="str">
        <f t="shared" si="6"/>
        <v>#N/A</v>
      </c>
      <c r="C285" s="11" t="s">
        <v>106</v>
      </c>
      <c r="D285" s="11">
        <v>37.0</v>
      </c>
      <c r="E285" s="11">
        <v>30.0</v>
      </c>
      <c r="F285" s="11">
        <f t="shared" si="2"/>
        <v>7</v>
      </c>
      <c r="G285" s="11" t="s">
        <v>106</v>
      </c>
      <c r="H285" s="11" t="s">
        <v>132</v>
      </c>
      <c r="I285" s="11" t="str">
        <f>VLOOKUP($H285, 'ADP Data'!$B$4:$Q$300, 2, FALSE)</f>
        <v>#N/A</v>
      </c>
      <c r="J285" s="11" t="str">
        <f>VLOOKUP($H285, 'ADP Data'!$B$4:$Q$300, 3, FALSE)</f>
        <v>#N/A</v>
      </c>
      <c r="K285" s="11" t="str">
        <f>VLOOKUP($H285, SeanRanks!$A$2:$H$303, 4, FALSE)</f>
        <v/>
      </c>
      <c r="L285" s="11" t="str">
        <f>VLOOKUP($H285, SeanRanks!$A$2:$H$303, 5, FALSE)</f>
        <v>Yes</v>
      </c>
      <c r="M285" s="11">
        <f t="shared" si="3"/>
        <v>16</v>
      </c>
      <c r="N285" s="11" t="str">
        <f>VLOOKUP($H285, 'ADP Data'!$B$4:$Q$300, 11, FALSE)</f>
        <v>#N/A</v>
      </c>
      <c r="O285" s="11" t="str">
        <f>VLOOKUP($H285, 'ADP Data'!$B$4:$Q$300, 5, FALSE)</f>
        <v>#N/A</v>
      </c>
      <c r="P285" s="11" t="str">
        <f t="shared" si="4"/>
        <v>#N/A</v>
      </c>
      <c r="Q285" s="11" t="str">
        <f>VLOOKUP($H285, 'ADP Data'!$B$4:$Q$300, 6, FALSE)</f>
        <v>#N/A</v>
      </c>
      <c r="R285" s="11" t="str">
        <f>VLOOKUP($H285, 'ADP Data'!$B$4:$Q$300, 7, FALSE)</f>
        <v>#N/A</v>
      </c>
      <c r="S285" s="11" t="str">
        <f>VLOOKUP($H285, 'ADP Data'!$B$4:$Q$300, 8, FALSE)</f>
        <v>#N/A</v>
      </c>
      <c r="T285" s="11" t="str">
        <f>VLOOKUP($H285, 'ADP Data'!$B$4:$Q$300, 9, FALSE)</f>
        <v>#N/A</v>
      </c>
      <c r="U285" s="11" t="str">
        <f>VLOOKUP($H285, 'ADP Data'!$B$4:$Q$300, 10, FALSE)</f>
        <v>#N/A</v>
      </c>
      <c r="V285" s="11" t="str">
        <f t="shared" si="5"/>
        <v>#N/A</v>
      </c>
      <c r="W285" s="11" t="str">
        <f>VLOOKUP($H285, SeanRanks!$A$2:$J$303, 7, FALSE)-V285</f>
        <v>#N/A</v>
      </c>
      <c r="X285" s="11"/>
    </row>
    <row r="286" ht="14.25" customHeight="1">
      <c r="A286" s="11"/>
      <c r="B286" s="11" t="str">
        <f t="shared" si="6"/>
        <v>#N/A</v>
      </c>
      <c r="C286" s="11" t="s">
        <v>106</v>
      </c>
      <c r="D286" s="11">
        <v>22.0</v>
      </c>
      <c r="E286" s="60">
        <v>15.0</v>
      </c>
      <c r="F286" s="11">
        <f t="shared" si="2"/>
        <v>7</v>
      </c>
      <c r="G286" s="60" t="s">
        <v>106</v>
      </c>
      <c r="H286" s="60" t="s">
        <v>261</v>
      </c>
      <c r="I286" s="60" t="str">
        <f>VLOOKUP($H286, 'ADP Data'!$B$4:$Q$300, 2, FALSE)</f>
        <v>#N/A</v>
      </c>
      <c r="J286" s="60" t="str">
        <f>VLOOKUP($H286, 'ADP Data'!$B$4:$Q$300, 3, FALSE)</f>
        <v>#N/A</v>
      </c>
      <c r="K286" s="60" t="str">
        <f>VLOOKUP($H286, SeanRanks!$A$2:$H$303, 4, FALSE)</f>
        <v/>
      </c>
      <c r="L286" s="60" t="str">
        <f>VLOOKUP($H286, SeanRanks!$A$2:$H$303, 5, FALSE)</f>
        <v>Yes</v>
      </c>
      <c r="M286" s="11">
        <f t="shared" si="3"/>
        <v>16</v>
      </c>
      <c r="N286" s="11" t="str">
        <f>VLOOKUP($H286, 'ADP Data'!$B$4:$Q$300, 11, FALSE)</f>
        <v>#N/A</v>
      </c>
      <c r="O286" s="11" t="str">
        <f>VLOOKUP($H286, 'ADP Data'!$B$4:$Q$300, 5, FALSE)</f>
        <v>#N/A</v>
      </c>
      <c r="P286" s="11" t="str">
        <f t="shared" si="4"/>
        <v>#N/A</v>
      </c>
      <c r="Q286" s="11" t="str">
        <f>VLOOKUP($H286, 'ADP Data'!$B$4:$Q$300, 6, FALSE)</f>
        <v>#N/A</v>
      </c>
      <c r="R286" s="11" t="str">
        <f>VLOOKUP($H286, 'ADP Data'!$B$4:$Q$300, 7, FALSE)</f>
        <v>#N/A</v>
      </c>
      <c r="S286" s="11" t="str">
        <f>VLOOKUP($H286, 'ADP Data'!$B$4:$Q$300, 8, FALSE)</f>
        <v>#N/A</v>
      </c>
      <c r="T286" s="11" t="str">
        <f>VLOOKUP($H286, 'ADP Data'!$B$4:$Q$300, 9, FALSE)</f>
        <v>#N/A</v>
      </c>
      <c r="U286" s="11" t="str">
        <f>VLOOKUP($H286, 'ADP Data'!$B$4:$Q$300, 10, FALSE)</f>
        <v>#N/A</v>
      </c>
      <c r="V286" s="11" t="str">
        <f t="shared" si="5"/>
        <v>#N/A</v>
      </c>
      <c r="W286" s="11" t="str">
        <f>VLOOKUP($H286, SeanRanks!$A$2:$J$303, 7, FALSE)-V286</f>
        <v>#N/A</v>
      </c>
      <c r="X286" s="60" t="s">
        <v>1310</v>
      </c>
    </row>
    <row r="287" ht="14.25" customHeight="1">
      <c r="A287" s="11"/>
      <c r="B287" s="11" t="str">
        <f t="shared" si="6"/>
        <v>#N/A</v>
      </c>
      <c r="C287" s="11" t="s">
        <v>106</v>
      </c>
      <c r="D287" s="11">
        <v>25.0</v>
      </c>
      <c r="E287" s="11">
        <v>18.0</v>
      </c>
      <c r="F287" s="11">
        <f t="shared" si="2"/>
        <v>7</v>
      </c>
      <c r="G287" s="11" t="s">
        <v>95</v>
      </c>
      <c r="H287" s="11" t="s">
        <v>168</v>
      </c>
      <c r="I287" s="11" t="str">
        <f>VLOOKUP($H287, 'ADP Data'!$B$4:$Q$300, 2, FALSE)</f>
        <v>#N/A</v>
      </c>
      <c r="J287" s="11" t="str">
        <f>VLOOKUP($H287, 'ADP Data'!$B$4:$Q$300, 3, FALSE)</f>
        <v>#N/A</v>
      </c>
      <c r="K287" s="11" t="str">
        <f>VLOOKUP($H287, SeanRanks!$A$2:$H$303, 4, FALSE)</f>
        <v/>
      </c>
      <c r="L287" s="11" t="str">
        <f>VLOOKUP($H287, SeanRanks!$A$2:$H$303, 5, FALSE)</f>
        <v/>
      </c>
      <c r="M287" s="11">
        <f t="shared" si="3"/>
        <v>16</v>
      </c>
      <c r="N287" s="11" t="str">
        <f>VLOOKUP($H287, 'ADP Data'!$B$4:$Q$300, 11, FALSE)</f>
        <v>#N/A</v>
      </c>
      <c r="O287" s="11" t="str">
        <f>VLOOKUP($H287, 'ADP Data'!$B$4:$Q$300, 5, FALSE)</f>
        <v>#N/A</v>
      </c>
      <c r="P287" s="11" t="str">
        <f t="shared" si="4"/>
        <v>#N/A</v>
      </c>
      <c r="Q287" s="11" t="str">
        <f>VLOOKUP($H287, 'ADP Data'!$B$4:$Q$300, 6, FALSE)</f>
        <v>#N/A</v>
      </c>
      <c r="R287" s="11" t="str">
        <f>VLOOKUP($H287, 'ADP Data'!$B$4:$Q$300, 7, FALSE)</f>
        <v>#N/A</v>
      </c>
      <c r="S287" s="11" t="str">
        <f>VLOOKUP($H287, 'ADP Data'!$B$4:$Q$300, 8, FALSE)</f>
        <v>#N/A</v>
      </c>
      <c r="T287" s="11" t="str">
        <f>VLOOKUP($H287, 'ADP Data'!$B$4:$Q$300, 9, FALSE)</f>
        <v>#N/A</v>
      </c>
      <c r="U287" s="11" t="str">
        <f>VLOOKUP($H287, 'ADP Data'!$B$4:$Q$300, 10, FALSE)</f>
        <v>#N/A</v>
      </c>
      <c r="V287" s="11" t="str">
        <f t="shared" si="5"/>
        <v>#N/A</v>
      </c>
      <c r="W287" s="11" t="str">
        <f>VLOOKUP($H287, SeanRanks!$A$2:$J$303, 7, FALSE)-V287</f>
        <v>#N/A</v>
      </c>
      <c r="X287" s="11" t="s">
        <v>1183</v>
      </c>
    </row>
    <row r="288" ht="14.25" customHeight="1">
      <c r="A288" s="11"/>
      <c r="B288" s="11" t="str">
        <f t="shared" si="6"/>
        <v>#N/A</v>
      </c>
      <c r="C288" s="11" t="s">
        <v>106</v>
      </c>
      <c r="D288" s="11">
        <v>19.0</v>
      </c>
      <c r="E288" s="11">
        <v>12.0</v>
      </c>
      <c r="F288" s="11">
        <f t="shared" si="2"/>
        <v>7</v>
      </c>
      <c r="G288" s="11"/>
      <c r="H288" s="11" t="s">
        <v>278</v>
      </c>
      <c r="I288" s="11" t="str">
        <f>VLOOKUP($H288, 'ADP Data'!$B$4:$Q$300, 2, FALSE)</f>
        <v>#N/A</v>
      </c>
      <c r="J288" s="11" t="str">
        <f>VLOOKUP($H288, 'ADP Data'!$B$4:$Q$300, 3, FALSE)</f>
        <v>#N/A</v>
      </c>
      <c r="K288" s="11" t="str">
        <f>VLOOKUP($H288, SeanRanks!$A$2:$H$303, 4, FALSE)</f>
        <v/>
      </c>
      <c r="L288" s="11" t="str">
        <f>VLOOKUP($H288, SeanRanks!$A$2:$H$303, 5, FALSE)</f>
        <v/>
      </c>
      <c r="M288" s="11">
        <f t="shared" si="3"/>
        <v>16</v>
      </c>
      <c r="N288" s="11" t="str">
        <f>VLOOKUP($H288, 'ADP Data'!$B$4:$Q$300, 11, FALSE)</f>
        <v>#N/A</v>
      </c>
      <c r="O288" s="11" t="str">
        <f>VLOOKUP($H288, 'ADP Data'!$B$4:$Q$300, 5, FALSE)</f>
        <v>#N/A</v>
      </c>
      <c r="P288" s="11" t="str">
        <f t="shared" si="4"/>
        <v>#N/A</v>
      </c>
      <c r="Q288" s="11" t="str">
        <f>VLOOKUP($H288, 'ADP Data'!$B$4:$Q$300, 6, FALSE)</f>
        <v>#N/A</v>
      </c>
      <c r="R288" s="11" t="str">
        <f>VLOOKUP($H288, 'ADP Data'!$B$4:$Q$300, 7, FALSE)</f>
        <v>#N/A</v>
      </c>
      <c r="S288" s="11" t="str">
        <f>VLOOKUP($H288, 'ADP Data'!$B$4:$Q$300, 8, FALSE)</f>
        <v>#N/A</v>
      </c>
      <c r="T288" s="11" t="str">
        <f>VLOOKUP($H288, 'ADP Data'!$B$4:$Q$300, 9, FALSE)</f>
        <v>#N/A</v>
      </c>
      <c r="U288" s="11" t="str">
        <f>VLOOKUP($H288, 'ADP Data'!$B$4:$Q$300, 10, FALSE)</f>
        <v>#N/A</v>
      </c>
      <c r="V288" s="11" t="str">
        <f t="shared" si="5"/>
        <v>#N/A</v>
      </c>
      <c r="W288" s="11" t="str">
        <f>VLOOKUP($H288, SeanRanks!$A$2:$J$303, 7, FALSE)-V288</f>
        <v>#N/A</v>
      </c>
      <c r="X288" s="11"/>
    </row>
    <row r="289" ht="14.25" customHeight="1">
      <c r="A289" s="11"/>
      <c r="B289" s="11" t="str">
        <f t="shared" si="6"/>
        <v>#N/A</v>
      </c>
      <c r="C289" s="11" t="s">
        <v>106</v>
      </c>
      <c r="D289" s="11">
        <v>15.0</v>
      </c>
      <c r="E289" s="11">
        <v>8.0</v>
      </c>
      <c r="F289" s="11">
        <f t="shared" si="2"/>
        <v>7</v>
      </c>
      <c r="G289" s="11" t="s">
        <v>106</v>
      </c>
      <c r="H289" s="11" t="s">
        <v>1229</v>
      </c>
      <c r="I289" s="11" t="str">
        <f>VLOOKUP($H289, 'ADP Data'!$B$4:$Q$300, 2, FALSE)</f>
        <v>#N/A</v>
      </c>
      <c r="J289" s="11" t="str">
        <f>VLOOKUP($H289, 'ADP Data'!$B$4:$Q$300, 3, FALSE)</f>
        <v>#N/A</v>
      </c>
      <c r="K289" s="11" t="str">
        <f>VLOOKUP($H289, SeanRanks!$A$2:$H$303, 4, FALSE)</f>
        <v>#N/A</v>
      </c>
      <c r="L289" s="11" t="str">
        <f>VLOOKUP($H289, SeanRanks!$A$2:$H$303, 5, FALSE)</f>
        <v>#N/A</v>
      </c>
      <c r="M289" s="11">
        <f t="shared" si="3"/>
        <v>16</v>
      </c>
      <c r="N289" s="11" t="str">
        <f>VLOOKUP($H289, 'ADP Data'!$B$4:$Q$300, 11, FALSE)</f>
        <v>#N/A</v>
      </c>
      <c r="O289" s="11" t="str">
        <f>VLOOKUP($H289, 'ADP Data'!$B$4:$Q$300, 5, FALSE)</f>
        <v>#N/A</v>
      </c>
      <c r="P289" s="11" t="str">
        <f t="shared" si="4"/>
        <v>#N/A</v>
      </c>
      <c r="Q289" s="11" t="str">
        <f>VLOOKUP($H289, 'ADP Data'!$B$4:$Q$300, 6, FALSE)</f>
        <v>#N/A</v>
      </c>
      <c r="R289" s="11" t="str">
        <f>VLOOKUP($H289, 'ADP Data'!$B$4:$Q$300, 7, FALSE)</f>
        <v>#N/A</v>
      </c>
      <c r="S289" s="11" t="str">
        <f>VLOOKUP($H289, 'ADP Data'!$B$4:$Q$300, 8, FALSE)</f>
        <v>#N/A</v>
      </c>
      <c r="T289" s="11" t="str">
        <f>VLOOKUP($H289, 'ADP Data'!$B$4:$Q$300, 9, FALSE)</f>
        <v>#N/A</v>
      </c>
      <c r="U289" s="11" t="str">
        <f>VLOOKUP($H289, 'ADP Data'!$B$4:$Q$300, 10, FALSE)</f>
        <v>#N/A</v>
      </c>
      <c r="V289" s="11" t="str">
        <f t="shared" si="5"/>
        <v>#N/A</v>
      </c>
      <c r="W289" s="11" t="str">
        <f>VLOOKUP($H289, SeanRanks!$A$2:$J$303, 7, FALSE)-V289</f>
        <v>#N/A</v>
      </c>
      <c r="X289" s="11"/>
    </row>
    <row r="290" ht="14.25" customHeight="1">
      <c r="A290" s="11"/>
      <c r="B290" s="11" t="str">
        <f t="shared" si="6"/>
        <v>#N/A</v>
      </c>
      <c r="C290" s="11" t="s">
        <v>106</v>
      </c>
      <c r="D290" s="11">
        <v>22.0</v>
      </c>
      <c r="E290" s="11">
        <v>15.0</v>
      </c>
      <c r="F290" s="11">
        <f t="shared" si="2"/>
        <v>7</v>
      </c>
      <c r="G290" s="11" t="s">
        <v>106</v>
      </c>
      <c r="H290" s="11" t="s">
        <v>912</v>
      </c>
      <c r="I290" s="11" t="str">
        <f>VLOOKUP($H290, 'ADP Data'!$B$4:$Q$300, 2, FALSE)</f>
        <v>#N/A</v>
      </c>
      <c r="J290" s="11" t="str">
        <f>VLOOKUP($H290, 'ADP Data'!$B$4:$Q$300, 3, FALSE)</f>
        <v>#N/A</v>
      </c>
      <c r="K290" s="11" t="str">
        <f>VLOOKUP($H290, SeanRanks!$A$2:$H$303, 4, FALSE)</f>
        <v/>
      </c>
      <c r="L290" s="11" t="str">
        <f>VLOOKUP($H290, SeanRanks!$A$2:$H$303, 5, FALSE)</f>
        <v/>
      </c>
      <c r="M290" s="11">
        <f t="shared" si="3"/>
        <v>16</v>
      </c>
      <c r="N290" s="11" t="str">
        <f>VLOOKUP($H290, 'ADP Data'!$B$4:$Q$300, 11, FALSE)</f>
        <v>#N/A</v>
      </c>
      <c r="O290" s="11" t="str">
        <f>VLOOKUP($H290, 'ADP Data'!$B$4:$Q$300, 5, FALSE)</f>
        <v>#N/A</v>
      </c>
      <c r="P290" s="11" t="str">
        <f t="shared" si="4"/>
        <v>#N/A</v>
      </c>
      <c r="Q290" s="11" t="str">
        <f>VLOOKUP($H290, 'ADP Data'!$B$4:$Q$300, 6, FALSE)</f>
        <v>#N/A</v>
      </c>
      <c r="R290" s="11" t="str">
        <f>VLOOKUP($H290, 'ADP Data'!$B$4:$Q$300, 7, FALSE)</f>
        <v>#N/A</v>
      </c>
      <c r="S290" s="11" t="str">
        <f>VLOOKUP($H290, 'ADP Data'!$B$4:$Q$300, 8, FALSE)</f>
        <v>#N/A</v>
      </c>
      <c r="T290" s="11" t="str">
        <f>VLOOKUP($H290, 'ADP Data'!$B$4:$Q$300, 9, FALSE)</f>
        <v>#N/A</v>
      </c>
      <c r="U290" s="11" t="str">
        <f>VLOOKUP($H290, 'ADP Data'!$B$4:$Q$300, 10, FALSE)</f>
        <v>#N/A</v>
      </c>
      <c r="V290" s="11" t="str">
        <f t="shared" si="5"/>
        <v>#N/A</v>
      </c>
      <c r="W290" s="11" t="str">
        <f>VLOOKUP($H290, SeanRanks!$A$2:$J$303, 7, FALSE)-V290</f>
        <v>#N/A</v>
      </c>
      <c r="X290" s="11" t="s">
        <v>1312</v>
      </c>
    </row>
    <row r="291" ht="14.25" customHeight="1">
      <c r="A291" s="11"/>
      <c r="B291" s="11" t="str">
        <f t="shared" si="6"/>
        <v>#N/A</v>
      </c>
      <c r="C291" s="11" t="s">
        <v>106</v>
      </c>
      <c r="D291" s="11">
        <v>48.0</v>
      </c>
      <c r="E291" s="11">
        <v>40.0</v>
      </c>
      <c r="F291" s="11">
        <f t="shared" si="2"/>
        <v>8</v>
      </c>
      <c r="G291" s="11"/>
      <c r="H291" s="11" t="s">
        <v>364</v>
      </c>
      <c r="I291" s="11" t="str">
        <f>VLOOKUP($H291, 'ADP Data'!$B$4:$Q$300, 2, FALSE)</f>
        <v>#N/A</v>
      </c>
      <c r="J291" s="11" t="str">
        <f>VLOOKUP($H291, 'ADP Data'!$B$4:$Q$300, 3, FALSE)</f>
        <v>#N/A</v>
      </c>
      <c r="K291" s="11" t="str">
        <f>VLOOKUP($H291, SeanRanks!$A$2:$H$303, 4, FALSE)</f>
        <v/>
      </c>
      <c r="L291" s="11" t="str">
        <f>VLOOKUP($H291, SeanRanks!$A$2:$H$303, 5, FALSE)</f>
        <v>Yes</v>
      </c>
      <c r="M291" s="11">
        <f t="shared" si="3"/>
        <v>16</v>
      </c>
      <c r="N291" s="11" t="str">
        <f>VLOOKUP($H291, 'ADP Data'!$B$4:$Q$300, 11, FALSE)</f>
        <v>#N/A</v>
      </c>
      <c r="O291" s="11" t="str">
        <f>VLOOKUP($H291, 'ADP Data'!$B$4:$Q$300, 5, FALSE)</f>
        <v>#N/A</v>
      </c>
      <c r="P291" s="11" t="str">
        <f t="shared" si="4"/>
        <v>#N/A</v>
      </c>
      <c r="Q291" s="11" t="str">
        <f>VLOOKUP($H291, 'ADP Data'!$B$4:$Q$300, 6, FALSE)</f>
        <v>#N/A</v>
      </c>
      <c r="R291" s="11" t="str">
        <f>VLOOKUP($H291, 'ADP Data'!$B$4:$Q$300, 7, FALSE)</f>
        <v>#N/A</v>
      </c>
      <c r="S291" s="11" t="str">
        <f>VLOOKUP($H291, 'ADP Data'!$B$4:$Q$300, 8, FALSE)</f>
        <v>#N/A</v>
      </c>
      <c r="T291" s="11" t="str">
        <f>VLOOKUP($H291, 'ADP Data'!$B$4:$Q$300, 9, FALSE)</f>
        <v>#N/A</v>
      </c>
      <c r="U291" s="11" t="str">
        <f>VLOOKUP($H291, 'ADP Data'!$B$4:$Q$300, 10, FALSE)</f>
        <v>#N/A</v>
      </c>
      <c r="V291" s="11" t="str">
        <f t="shared" si="5"/>
        <v>#N/A</v>
      </c>
      <c r="W291" s="11" t="str">
        <f>VLOOKUP($H291, SeanRanks!$A$2:$J$303, 7, FALSE)-V291</f>
        <v>#N/A</v>
      </c>
      <c r="X291" s="11"/>
    </row>
    <row r="292" ht="14.25" customHeight="1">
      <c r="A292" s="11"/>
      <c r="B292" s="11" t="str">
        <f t="shared" si="6"/>
        <v>#N/A</v>
      </c>
      <c r="C292" s="11" t="s">
        <v>106</v>
      </c>
      <c r="D292" s="11">
        <v>58.0</v>
      </c>
      <c r="E292" s="11">
        <v>49.0</v>
      </c>
      <c r="F292" s="11">
        <f t="shared" si="2"/>
        <v>9</v>
      </c>
      <c r="G292" s="11"/>
      <c r="H292" s="11" t="s">
        <v>74</v>
      </c>
      <c r="I292" s="11" t="str">
        <f>VLOOKUP($H292, 'ADP Data'!$B$4:$Q$300, 2, FALSE)</f>
        <v>#N/A</v>
      </c>
      <c r="J292" s="11" t="str">
        <f>VLOOKUP($H292, 'ADP Data'!$B$4:$Q$300, 3, FALSE)</f>
        <v>#N/A</v>
      </c>
      <c r="K292" s="11" t="str">
        <f>VLOOKUP($H292, SeanRanks!$A$2:$H$303, 4, FALSE)</f>
        <v/>
      </c>
      <c r="L292" s="11" t="str">
        <f>VLOOKUP($H292, SeanRanks!$A$2:$H$303, 5, FALSE)</f>
        <v/>
      </c>
      <c r="M292" s="11">
        <f t="shared" si="3"/>
        <v>16</v>
      </c>
      <c r="N292" s="11" t="str">
        <f>VLOOKUP($H292, 'ADP Data'!$B$4:$Q$300, 11, FALSE)</f>
        <v>#N/A</v>
      </c>
      <c r="O292" s="11" t="str">
        <f>VLOOKUP($H292, 'ADP Data'!$B$4:$Q$300, 5, FALSE)</f>
        <v>#N/A</v>
      </c>
      <c r="P292" s="11" t="str">
        <f t="shared" si="4"/>
        <v>#N/A</v>
      </c>
      <c r="Q292" s="11" t="str">
        <f>VLOOKUP($H292, 'ADP Data'!$B$4:$Q$300, 6, FALSE)</f>
        <v>#N/A</v>
      </c>
      <c r="R292" s="11" t="str">
        <f>VLOOKUP($H292, 'ADP Data'!$B$4:$Q$300, 7, FALSE)</f>
        <v>#N/A</v>
      </c>
      <c r="S292" s="11" t="str">
        <f>VLOOKUP($H292, 'ADP Data'!$B$4:$Q$300, 8, FALSE)</f>
        <v>#N/A</v>
      </c>
      <c r="T292" s="11" t="str">
        <f>VLOOKUP($H292, 'ADP Data'!$B$4:$Q$300, 9, FALSE)</f>
        <v>#N/A</v>
      </c>
      <c r="U292" s="11" t="str">
        <f>VLOOKUP($H292, 'ADP Data'!$B$4:$Q$300, 10, FALSE)</f>
        <v>#N/A</v>
      </c>
      <c r="V292" s="11" t="str">
        <f t="shared" si="5"/>
        <v>#N/A</v>
      </c>
      <c r="W292" s="11" t="str">
        <f>VLOOKUP($H292, SeanRanks!$A$2:$J$303, 7, FALSE)-V292</f>
        <v>#N/A</v>
      </c>
      <c r="X292" s="11"/>
    </row>
    <row r="293" ht="14.25" customHeight="1">
      <c r="A293" s="11"/>
      <c r="B293" s="11" t="str">
        <f t="shared" si="6"/>
        <v>#N/A</v>
      </c>
      <c r="C293" s="11" t="s">
        <v>106</v>
      </c>
      <c r="D293" s="11">
        <v>13.0</v>
      </c>
      <c r="E293" s="11">
        <v>4.0</v>
      </c>
      <c r="F293" s="11">
        <f t="shared" si="2"/>
        <v>9</v>
      </c>
      <c r="G293" s="11"/>
      <c r="H293" s="11" t="s">
        <v>1130</v>
      </c>
      <c r="I293" s="11" t="str">
        <f>VLOOKUP($H293, 'ADP Data'!$B$4:$Q$300, 2, FALSE)</f>
        <v>#N/A</v>
      </c>
      <c r="J293" s="11" t="str">
        <f>VLOOKUP($H293, 'ADP Data'!$B$4:$Q$300, 3, FALSE)</f>
        <v>#N/A</v>
      </c>
      <c r="K293" s="11" t="str">
        <f>VLOOKUP($H293, SeanRanks!$A$2:$H$303, 4, FALSE)</f>
        <v>#N/A</v>
      </c>
      <c r="L293" s="11" t="str">
        <f>VLOOKUP($H293, SeanRanks!$A$2:$H$303, 5, FALSE)</f>
        <v>#N/A</v>
      </c>
      <c r="M293" s="11">
        <f t="shared" si="3"/>
        <v>16</v>
      </c>
      <c r="N293" s="11" t="str">
        <f>VLOOKUP($H293, 'ADP Data'!$B$4:$Q$300, 11, FALSE)</f>
        <v>#N/A</v>
      </c>
      <c r="O293" s="11" t="str">
        <f>VLOOKUP($H293, 'ADP Data'!$B$4:$Q$300, 5, FALSE)</f>
        <v>#N/A</v>
      </c>
      <c r="P293" s="11" t="str">
        <f t="shared" si="4"/>
        <v>#N/A</v>
      </c>
      <c r="Q293" s="11" t="str">
        <f>VLOOKUP($H293, 'ADP Data'!$B$4:$Q$300, 6, FALSE)</f>
        <v>#N/A</v>
      </c>
      <c r="R293" s="11" t="str">
        <f>VLOOKUP($H293, 'ADP Data'!$B$4:$Q$300, 7, FALSE)</f>
        <v>#N/A</v>
      </c>
      <c r="S293" s="11" t="str">
        <f>VLOOKUP($H293, 'ADP Data'!$B$4:$Q$300, 8, FALSE)</f>
        <v>#N/A</v>
      </c>
      <c r="T293" s="11" t="str">
        <f>VLOOKUP($H293, 'ADP Data'!$B$4:$Q$300, 9, FALSE)</f>
        <v>#N/A</v>
      </c>
      <c r="U293" s="11" t="str">
        <f>VLOOKUP($H293, 'ADP Data'!$B$4:$Q$300, 10, FALSE)</f>
        <v>#N/A</v>
      </c>
      <c r="V293" s="11" t="str">
        <f t="shared" si="5"/>
        <v>#N/A</v>
      </c>
      <c r="W293" s="11" t="str">
        <f>VLOOKUP($H293, SeanRanks!$A$2:$J$303, 7, FALSE)-V293</f>
        <v>#N/A</v>
      </c>
      <c r="X293" s="11"/>
    </row>
    <row r="294" ht="14.25" customHeight="1">
      <c r="A294" s="11"/>
      <c r="B294" s="11" t="str">
        <f t="shared" si="6"/>
        <v>#N/A</v>
      </c>
      <c r="C294" s="11" t="s">
        <v>106</v>
      </c>
      <c r="D294" s="11">
        <v>59.0</v>
      </c>
      <c r="E294" s="11">
        <v>49.0</v>
      </c>
      <c r="F294" s="11">
        <f t="shared" si="2"/>
        <v>10</v>
      </c>
      <c r="G294" s="11"/>
      <c r="H294" s="11" t="s">
        <v>44</v>
      </c>
      <c r="I294" s="11" t="str">
        <f>VLOOKUP($H294, 'ADP Data'!$B$4:$Q$300, 2, FALSE)</f>
        <v>#N/A</v>
      </c>
      <c r="J294" s="11" t="str">
        <f>VLOOKUP($H294, 'ADP Data'!$B$4:$Q$300, 3, FALSE)</f>
        <v>#N/A</v>
      </c>
      <c r="K294" s="11" t="str">
        <f>VLOOKUP($H294, SeanRanks!$A$2:$H$303, 4, FALSE)</f>
        <v/>
      </c>
      <c r="L294" s="11" t="str">
        <f>VLOOKUP($H294, SeanRanks!$A$2:$H$303, 5, FALSE)</f>
        <v/>
      </c>
      <c r="M294" s="11">
        <f t="shared" si="3"/>
        <v>16</v>
      </c>
      <c r="N294" s="11" t="str">
        <f>VLOOKUP($H294, 'ADP Data'!$B$4:$Q$300, 11, FALSE)</f>
        <v>#N/A</v>
      </c>
      <c r="O294" s="11" t="str">
        <f>VLOOKUP($H294, 'ADP Data'!$B$4:$Q$300, 5, FALSE)</f>
        <v>#N/A</v>
      </c>
      <c r="P294" s="11" t="str">
        <f t="shared" si="4"/>
        <v>#N/A</v>
      </c>
      <c r="Q294" s="11" t="str">
        <f>VLOOKUP($H294, 'ADP Data'!$B$4:$Q$300, 6, FALSE)</f>
        <v>#N/A</v>
      </c>
      <c r="R294" s="11" t="str">
        <f>VLOOKUP($H294, 'ADP Data'!$B$4:$Q$300, 7, FALSE)</f>
        <v>#N/A</v>
      </c>
      <c r="S294" s="11" t="str">
        <f>VLOOKUP($H294, 'ADP Data'!$B$4:$Q$300, 8, FALSE)</f>
        <v>#N/A</v>
      </c>
      <c r="T294" s="11" t="str">
        <f>VLOOKUP($H294, 'ADP Data'!$B$4:$Q$300, 9, FALSE)</f>
        <v>#N/A</v>
      </c>
      <c r="U294" s="11" t="str">
        <f>VLOOKUP($H294, 'ADP Data'!$B$4:$Q$300, 10, FALSE)</f>
        <v>#N/A</v>
      </c>
      <c r="V294" s="11" t="str">
        <f t="shared" si="5"/>
        <v>#N/A</v>
      </c>
      <c r="W294" s="11" t="str">
        <f>VLOOKUP($H294, SeanRanks!$A$2:$J$303, 7, FALSE)-V294</f>
        <v>#N/A</v>
      </c>
      <c r="X294" s="11"/>
    </row>
    <row r="295" ht="14.25" customHeight="1">
      <c r="A295" s="11"/>
      <c r="B295" s="11" t="str">
        <f t="shared" si="6"/>
        <v>#N/A</v>
      </c>
      <c r="C295" s="11" t="s">
        <v>106</v>
      </c>
      <c r="D295" s="11">
        <v>32.0</v>
      </c>
      <c r="E295" s="11">
        <v>22.0</v>
      </c>
      <c r="F295" s="11">
        <f t="shared" si="2"/>
        <v>10</v>
      </c>
      <c r="G295" s="11"/>
      <c r="H295" s="11" t="s">
        <v>158</v>
      </c>
      <c r="I295" s="11" t="str">
        <f>VLOOKUP($H295, 'ADP Data'!$B$4:$Q$300, 2, FALSE)</f>
        <v>#N/A</v>
      </c>
      <c r="J295" s="11" t="str">
        <f>VLOOKUP($H295, 'ADP Data'!$B$4:$Q$300, 3, FALSE)</f>
        <v>#N/A</v>
      </c>
      <c r="K295" s="11" t="str">
        <f>VLOOKUP($H295, SeanRanks!$A$2:$H$303, 4, FALSE)</f>
        <v/>
      </c>
      <c r="L295" s="11" t="str">
        <f>VLOOKUP($H295, SeanRanks!$A$2:$H$303, 5, FALSE)</f>
        <v/>
      </c>
      <c r="M295" s="11">
        <f t="shared" si="3"/>
        <v>16</v>
      </c>
      <c r="N295" s="11" t="str">
        <f>VLOOKUP($H295, 'ADP Data'!$B$4:$Q$300, 11, FALSE)</f>
        <v>#N/A</v>
      </c>
      <c r="O295" s="11" t="str">
        <f>VLOOKUP($H295, 'ADP Data'!$B$4:$Q$300, 5, FALSE)</f>
        <v>#N/A</v>
      </c>
      <c r="P295" s="11" t="str">
        <f t="shared" si="4"/>
        <v>#N/A</v>
      </c>
      <c r="Q295" s="11" t="str">
        <f>VLOOKUP($H295, 'ADP Data'!$B$4:$Q$300, 6, FALSE)</f>
        <v>#N/A</v>
      </c>
      <c r="R295" s="11" t="str">
        <f>VLOOKUP($H295, 'ADP Data'!$B$4:$Q$300, 7, FALSE)</f>
        <v>#N/A</v>
      </c>
      <c r="S295" s="11" t="str">
        <f>VLOOKUP($H295, 'ADP Data'!$B$4:$Q$300, 8, FALSE)</f>
        <v>#N/A</v>
      </c>
      <c r="T295" s="11" t="str">
        <f>VLOOKUP($H295, 'ADP Data'!$B$4:$Q$300, 9, FALSE)</f>
        <v>#N/A</v>
      </c>
      <c r="U295" s="11" t="str">
        <f>VLOOKUP($H295, 'ADP Data'!$B$4:$Q$300, 10, FALSE)</f>
        <v>#N/A</v>
      </c>
      <c r="V295" s="11" t="str">
        <f t="shared" si="5"/>
        <v>#N/A</v>
      </c>
      <c r="W295" s="11" t="str">
        <f>VLOOKUP($H295, SeanRanks!$A$2:$J$303, 7, FALSE)-V295</f>
        <v>#N/A</v>
      </c>
      <c r="X295" s="11"/>
    </row>
    <row r="296" ht="14.25" customHeight="1">
      <c r="A296" s="11"/>
      <c r="B296" s="11" t="str">
        <f t="shared" si="6"/>
        <v>#N/A</v>
      </c>
      <c r="C296" s="11" t="s">
        <v>106</v>
      </c>
      <c r="D296" s="11">
        <v>47.0</v>
      </c>
      <c r="E296" s="60">
        <v>36.0</v>
      </c>
      <c r="F296" s="11">
        <f t="shared" si="2"/>
        <v>11</v>
      </c>
      <c r="G296" s="60"/>
      <c r="H296" s="60" t="s">
        <v>1311</v>
      </c>
      <c r="I296" s="60" t="str">
        <f>VLOOKUP($H296, 'ADP Data'!$B$4:$Q$300, 2, FALSE)</f>
        <v>#N/A</v>
      </c>
      <c r="J296" s="60" t="str">
        <f>VLOOKUP($H296, 'ADP Data'!$B$4:$Q$300, 3, FALSE)</f>
        <v>#N/A</v>
      </c>
      <c r="K296" s="60" t="str">
        <f>VLOOKUP($H296, SeanRanks!$A$2:$H$303, 4, FALSE)</f>
        <v>#N/A</v>
      </c>
      <c r="L296" s="11" t="str">
        <f>VLOOKUP($H296, SeanRanks!$A$2:$H$303, 5, FALSE)</f>
        <v>#N/A</v>
      </c>
      <c r="M296" s="11">
        <f t="shared" si="3"/>
        <v>16</v>
      </c>
      <c r="N296" s="11" t="str">
        <f>VLOOKUP($H296, 'ADP Data'!$B$4:$Q$300, 11, FALSE)</f>
        <v>#N/A</v>
      </c>
      <c r="O296" s="11" t="str">
        <f>VLOOKUP($H296, 'ADP Data'!$B$4:$Q$300, 5, FALSE)</f>
        <v>#N/A</v>
      </c>
      <c r="P296" s="11" t="str">
        <f t="shared" si="4"/>
        <v>#N/A</v>
      </c>
      <c r="Q296" s="11" t="str">
        <f>VLOOKUP($H296, 'ADP Data'!$B$4:$Q$300, 6, FALSE)</f>
        <v>#N/A</v>
      </c>
      <c r="R296" s="11" t="str">
        <f>VLOOKUP($H296, 'ADP Data'!$B$4:$Q$300, 7, FALSE)</f>
        <v>#N/A</v>
      </c>
      <c r="S296" s="11" t="str">
        <f>VLOOKUP($H296, 'ADP Data'!$B$4:$Q$300, 8, FALSE)</f>
        <v>#N/A</v>
      </c>
      <c r="T296" s="11" t="str">
        <f>VLOOKUP($H296, 'ADP Data'!$B$4:$Q$300, 9, FALSE)</f>
        <v>#N/A</v>
      </c>
      <c r="U296" s="11" t="str">
        <f>VLOOKUP($H296, 'ADP Data'!$B$4:$Q$300, 10, FALSE)</f>
        <v>#N/A</v>
      </c>
      <c r="V296" s="11" t="str">
        <f t="shared" si="5"/>
        <v>#N/A</v>
      </c>
      <c r="W296" s="11" t="str">
        <f>VLOOKUP($H296, SeanRanks!$A$2:$J$303, 7, FALSE)-V296</f>
        <v>#N/A</v>
      </c>
      <c r="X296" s="60"/>
    </row>
    <row r="297" ht="14.25" customHeight="1">
      <c r="A297" s="11"/>
      <c r="B297" s="11" t="str">
        <f t="shared" si="6"/>
        <v>#N/A</v>
      </c>
      <c r="C297" s="11" t="s">
        <v>106</v>
      </c>
      <c r="D297" s="11">
        <v>14.0</v>
      </c>
      <c r="E297" s="11">
        <v>3.0</v>
      </c>
      <c r="F297" s="11">
        <f t="shared" si="2"/>
        <v>11</v>
      </c>
      <c r="G297" s="11" t="s">
        <v>95</v>
      </c>
      <c r="H297" s="11" t="s">
        <v>969</v>
      </c>
      <c r="I297" s="11" t="str">
        <f>VLOOKUP($H297, 'ADP Data'!$B$4:$Q$300, 2, FALSE)</f>
        <v>#N/A</v>
      </c>
      <c r="J297" s="11" t="str">
        <f>VLOOKUP($H297, 'ADP Data'!$B$4:$Q$300, 3, FALSE)</f>
        <v>#N/A</v>
      </c>
      <c r="K297" s="11" t="str">
        <f>VLOOKUP($H297, SeanRanks!$A$2:$H$303, 4, FALSE)</f>
        <v/>
      </c>
      <c r="L297" s="11" t="str">
        <f>VLOOKUP($H297, SeanRanks!$A$2:$H$303, 5, FALSE)</f>
        <v/>
      </c>
      <c r="M297" s="11">
        <f t="shared" si="3"/>
        <v>16</v>
      </c>
      <c r="N297" s="11" t="str">
        <f>VLOOKUP($H297, 'ADP Data'!$B$4:$Q$300, 11, FALSE)</f>
        <v>#N/A</v>
      </c>
      <c r="O297" s="11" t="str">
        <f>VLOOKUP($H297, 'ADP Data'!$B$4:$Q$300, 5, FALSE)</f>
        <v>#N/A</v>
      </c>
      <c r="P297" s="11" t="str">
        <f t="shared" si="4"/>
        <v>#N/A</v>
      </c>
      <c r="Q297" s="11" t="str">
        <f>VLOOKUP($H297, 'ADP Data'!$B$4:$Q$300, 6, FALSE)</f>
        <v>#N/A</v>
      </c>
      <c r="R297" s="11" t="str">
        <f>VLOOKUP($H297, 'ADP Data'!$B$4:$Q$300, 7, FALSE)</f>
        <v>#N/A</v>
      </c>
      <c r="S297" s="11" t="str">
        <f>VLOOKUP($H297, 'ADP Data'!$B$4:$Q$300, 8, FALSE)</f>
        <v>#N/A</v>
      </c>
      <c r="T297" s="11" t="str">
        <f>VLOOKUP($H297, 'ADP Data'!$B$4:$Q$300, 9, FALSE)</f>
        <v>#N/A</v>
      </c>
      <c r="U297" s="11" t="str">
        <f>VLOOKUP($H297, 'ADP Data'!$B$4:$Q$300, 10, FALSE)</f>
        <v>#N/A</v>
      </c>
      <c r="V297" s="11" t="str">
        <f t="shared" si="5"/>
        <v>#N/A</v>
      </c>
      <c r="W297" s="11" t="str">
        <f>VLOOKUP($H297, SeanRanks!$A$2:$J$303, 7, FALSE)-V297</f>
        <v>#N/A</v>
      </c>
      <c r="X297" s="11"/>
    </row>
    <row r="298" ht="14.25" customHeight="1">
      <c r="A298" s="11"/>
      <c r="B298" s="11" t="str">
        <f t="shared" si="6"/>
        <v>#N/A</v>
      </c>
      <c r="C298" s="11" t="s">
        <v>106</v>
      </c>
      <c r="D298" s="11">
        <v>68.0</v>
      </c>
      <c r="E298" s="11">
        <v>55.0</v>
      </c>
      <c r="F298" s="11">
        <f t="shared" si="2"/>
        <v>13</v>
      </c>
      <c r="G298" s="11"/>
      <c r="H298" s="11" t="s">
        <v>108</v>
      </c>
      <c r="I298" s="11" t="str">
        <f>VLOOKUP($H298, 'ADP Data'!$B$4:$Q$300, 2, FALSE)</f>
        <v>#N/A</v>
      </c>
      <c r="J298" s="11" t="str">
        <f>VLOOKUP($H298, 'ADP Data'!$B$4:$Q$300, 3, FALSE)</f>
        <v>#N/A</v>
      </c>
      <c r="K298" s="11" t="str">
        <f>VLOOKUP($H298, SeanRanks!$A$2:$H$303, 4, FALSE)</f>
        <v/>
      </c>
      <c r="L298" s="11" t="str">
        <f>VLOOKUP($H298, SeanRanks!$A$2:$H$303, 5, FALSE)</f>
        <v/>
      </c>
      <c r="M298" s="11">
        <f t="shared" si="3"/>
        <v>16</v>
      </c>
      <c r="N298" s="11" t="str">
        <f>VLOOKUP($H298, 'ADP Data'!$B$4:$Q$300, 11, FALSE)</f>
        <v>#N/A</v>
      </c>
      <c r="O298" s="11" t="str">
        <f>VLOOKUP($H298, 'ADP Data'!$B$4:$Q$300, 5, FALSE)</f>
        <v>#N/A</v>
      </c>
      <c r="P298" s="11" t="str">
        <f t="shared" si="4"/>
        <v>#N/A</v>
      </c>
      <c r="Q298" s="11" t="str">
        <f>VLOOKUP($H298, 'ADP Data'!$B$4:$Q$300, 6, FALSE)</f>
        <v>#N/A</v>
      </c>
      <c r="R298" s="11" t="str">
        <f>VLOOKUP($H298, 'ADP Data'!$B$4:$Q$300, 7, FALSE)</f>
        <v>#N/A</v>
      </c>
      <c r="S298" s="11" t="str">
        <f>VLOOKUP($H298, 'ADP Data'!$B$4:$Q$300, 8, FALSE)</f>
        <v>#N/A</v>
      </c>
      <c r="T298" s="11" t="str">
        <f>VLOOKUP($H298, 'ADP Data'!$B$4:$Q$300, 9, FALSE)</f>
        <v>#N/A</v>
      </c>
      <c r="U298" s="11" t="str">
        <f>VLOOKUP($H298, 'ADP Data'!$B$4:$Q$300, 10, FALSE)</f>
        <v>#N/A</v>
      </c>
      <c r="V298" s="11" t="str">
        <f t="shared" si="5"/>
        <v>#N/A</v>
      </c>
      <c r="W298" s="11" t="str">
        <f>VLOOKUP($H298, SeanRanks!$A$2:$J$303, 7, FALSE)-V298</f>
        <v>#N/A</v>
      </c>
      <c r="X298" s="11"/>
    </row>
    <row r="299" ht="14.25" customHeight="1">
      <c r="A299" s="11"/>
      <c r="B299" s="11" t="str">
        <f t="shared" si="6"/>
        <v>#N/A</v>
      </c>
      <c r="C299" s="11" t="s">
        <v>106</v>
      </c>
      <c r="D299" s="11">
        <v>35.0</v>
      </c>
      <c r="E299" s="11">
        <v>20.0</v>
      </c>
      <c r="F299" s="11">
        <f t="shared" si="2"/>
        <v>15</v>
      </c>
      <c r="G299" s="11"/>
      <c r="H299" s="11" t="s">
        <v>1131</v>
      </c>
      <c r="I299" s="11" t="str">
        <f>VLOOKUP($H299, 'ADP Data'!$B$4:$Q$300, 2, FALSE)</f>
        <v>#N/A</v>
      </c>
      <c r="J299" s="11" t="str">
        <f>VLOOKUP($H299, 'ADP Data'!$B$4:$Q$300, 3, FALSE)</f>
        <v>#N/A</v>
      </c>
      <c r="K299" s="11" t="str">
        <f>VLOOKUP($H299, SeanRanks!$A$2:$H$303, 4, FALSE)</f>
        <v>#N/A</v>
      </c>
      <c r="L299" s="11" t="str">
        <f>VLOOKUP($H299, SeanRanks!$A$2:$H$303, 5, FALSE)</f>
        <v>#N/A</v>
      </c>
      <c r="M299" s="11">
        <f t="shared" si="3"/>
        <v>16</v>
      </c>
      <c r="N299" s="11" t="str">
        <f>VLOOKUP($H299, 'ADP Data'!$B$4:$Q$300, 11, FALSE)</f>
        <v>#N/A</v>
      </c>
      <c r="O299" s="11" t="str">
        <f>VLOOKUP($H299, 'ADP Data'!$B$4:$Q$300, 5, FALSE)</f>
        <v>#N/A</v>
      </c>
      <c r="P299" s="11" t="str">
        <f t="shared" si="4"/>
        <v>#N/A</v>
      </c>
      <c r="Q299" s="11" t="str">
        <f>VLOOKUP($H299, 'ADP Data'!$B$4:$Q$300, 6, FALSE)</f>
        <v>#N/A</v>
      </c>
      <c r="R299" s="11" t="str">
        <f>VLOOKUP($H299, 'ADP Data'!$B$4:$Q$300, 7, FALSE)</f>
        <v>#N/A</v>
      </c>
      <c r="S299" s="11" t="str">
        <f>VLOOKUP($H299, 'ADP Data'!$B$4:$Q$300, 8, FALSE)</f>
        <v>#N/A</v>
      </c>
      <c r="T299" s="11" t="str">
        <f>VLOOKUP($H299, 'ADP Data'!$B$4:$Q$300, 9, FALSE)</f>
        <v>#N/A</v>
      </c>
      <c r="U299" s="11" t="str">
        <f>VLOOKUP($H299, 'ADP Data'!$B$4:$Q$300, 10, FALSE)</f>
        <v>#N/A</v>
      </c>
      <c r="V299" s="11" t="str">
        <f t="shared" si="5"/>
        <v>#N/A</v>
      </c>
      <c r="W299" s="11" t="str">
        <f>VLOOKUP($H299, SeanRanks!$A$2:$J$303, 7, FALSE)-V299</f>
        <v>#N/A</v>
      </c>
      <c r="X299" s="11"/>
    </row>
    <row r="300" ht="14.25" customHeight="1">
      <c r="A300" s="11"/>
      <c r="B300" s="11" t="str">
        <f t="shared" si="6"/>
        <v>#N/A</v>
      </c>
      <c r="C300" s="11" t="s">
        <v>106</v>
      </c>
      <c r="D300" s="11">
        <v>24.0</v>
      </c>
      <c r="E300" s="11">
        <v>8.0</v>
      </c>
      <c r="F300" s="11">
        <f t="shared" si="2"/>
        <v>16</v>
      </c>
      <c r="G300" s="11"/>
      <c r="H300" s="11" t="s">
        <v>153</v>
      </c>
      <c r="I300" s="11" t="str">
        <f>VLOOKUP($H300, 'ADP Data'!$B$4:$Q$300, 2, FALSE)</f>
        <v>#N/A</v>
      </c>
      <c r="J300" s="11" t="str">
        <f>VLOOKUP($H300, 'ADP Data'!$B$4:$Q$300, 3, FALSE)</f>
        <v>#N/A</v>
      </c>
      <c r="K300" s="11" t="str">
        <f>VLOOKUP($H300, SeanRanks!$A$2:$H$303, 4, FALSE)</f>
        <v/>
      </c>
      <c r="L300" s="11" t="str">
        <f>VLOOKUP($H300, SeanRanks!$A$2:$H$303, 5, FALSE)</f>
        <v/>
      </c>
      <c r="M300" s="11">
        <f t="shared" si="3"/>
        <v>16</v>
      </c>
      <c r="N300" s="11" t="str">
        <f>VLOOKUP($H300, 'ADP Data'!$B$4:$Q$300, 11, FALSE)</f>
        <v>#N/A</v>
      </c>
      <c r="O300" s="11" t="str">
        <f>VLOOKUP($H300, 'ADP Data'!$B$4:$Q$300, 5, FALSE)</f>
        <v>#N/A</v>
      </c>
      <c r="P300" s="11" t="str">
        <f t="shared" si="4"/>
        <v>#N/A</v>
      </c>
      <c r="Q300" s="11" t="str">
        <f>VLOOKUP($H300, 'ADP Data'!$B$4:$Q$300, 6, FALSE)</f>
        <v>#N/A</v>
      </c>
      <c r="R300" s="11" t="str">
        <f>VLOOKUP($H300, 'ADP Data'!$B$4:$Q$300, 7, FALSE)</f>
        <v>#N/A</v>
      </c>
      <c r="S300" s="11" t="str">
        <f>VLOOKUP($H300, 'ADP Data'!$B$4:$Q$300, 8, FALSE)</f>
        <v>#N/A</v>
      </c>
      <c r="T300" s="11" t="str">
        <f>VLOOKUP($H300, 'ADP Data'!$B$4:$Q$300, 9, FALSE)</f>
        <v>#N/A</v>
      </c>
      <c r="U300" s="11" t="str">
        <f>VLOOKUP($H300, 'ADP Data'!$B$4:$Q$300, 10, FALSE)</f>
        <v>#N/A</v>
      </c>
      <c r="V300" s="11" t="str">
        <f t="shared" si="5"/>
        <v>#N/A</v>
      </c>
      <c r="W300" s="11" t="str">
        <f>VLOOKUP($H300, SeanRanks!$A$2:$J$303, 7, FALSE)-V300</f>
        <v>#N/A</v>
      </c>
      <c r="X300" s="11"/>
    </row>
    <row r="301" ht="14.25" customHeight="1">
      <c r="A301" s="11"/>
      <c r="B301" s="11" t="str">
        <f t="shared" si="6"/>
        <v>#N/A</v>
      </c>
      <c r="C301" s="11" t="s">
        <v>106</v>
      </c>
      <c r="D301" s="11">
        <v>66.0</v>
      </c>
      <c r="E301" s="11">
        <v>49.0</v>
      </c>
      <c r="F301" s="11">
        <f t="shared" si="2"/>
        <v>17</v>
      </c>
      <c r="G301" s="11"/>
      <c r="H301" s="11" t="s">
        <v>458</v>
      </c>
      <c r="I301" s="11" t="str">
        <f>VLOOKUP($H301, 'ADP Data'!$B$4:$Q$300, 2, FALSE)</f>
        <v>#N/A</v>
      </c>
      <c r="J301" s="11" t="str">
        <f>VLOOKUP($H301, 'ADP Data'!$B$4:$Q$300, 3, FALSE)</f>
        <v>#N/A</v>
      </c>
      <c r="K301" s="11" t="str">
        <f>VLOOKUP($H301, SeanRanks!$A$2:$H$303, 4, FALSE)</f>
        <v/>
      </c>
      <c r="L301" s="11" t="str">
        <f>VLOOKUP($H301, SeanRanks!$A$2:$H$303, 5, FALSE)</f>
        <v/>
      </c>
      <c r="M301" s="11">
        <f t="shared" si="3"/>
        <v>16</v>
      </c>
      <c r="N301" s="11" t="str">
        <f>VLOOKUP($H301, 'ADP Data'!$B$4:$Q$300, 11, FALSE)</f>
        <v>#N/A</v>
      </c>
      <c r="O301" s="11" t="str">
        <f>VLOOKUP($H301, 'ADP Data'!$B$4:$Q$300, 5, FALSE)</f>
        <v>#N/A</v>
      </c>
      <c r="P301" s="11" t="str">
        <f t="shared" si="4"/>
        <v>#N/A</v>
      </c>
      <c r="Q301" s="11" t="str">
        <f>VLOOKUP($H301, 'ADP Data'!$B$4:$Q$300, 6, FALSE)</f>
        <v>#N/A</v>
      </c>
      <c r="R301" s="11" t="str">
        <f>VLOOKUP($H301, 'ADP Data'!$B$4:$Q$300, 7, FALSE)</f>
        <v>#N/A</v>
      </c>
      <c r="S301" s="11" t="str">
        <f>VLOOKUP($H301, 'ADP Data'!$B$4:$Q$300, 8, FALSE)</f>
        <v>#N/A</v>
      </c>
      <c r="T301" s="11" t="str">
        <f>VLOOKUP($H301, 'ADP Data'!$B$4:$Q$300, 9, FALSE)</f>
        <v>#N/A</v>
      </c>
      <c r="U301" s="11" t="str">
        <f>VLOOKUP($H301, 'ADP Data'!$B$4:$Q$300, 10, FALSE)</f>
        <v>#N/A</v>
      </c>
      <c r="V301" s="11" t="str">
        <f t="shared" si="5"/>
        <v>#N/A</v>
      </c>
      <c r="W301" s="11" t="str">
        <f>VLOOKUP($H301, SeanRanks!$A$2:$J$303, 7, FALSE)-V301</f>
        <v>#N/A</v>
      </c>
      <c r="X301" s="11"/>
    </row>
    <row r="302" ht="14.25" customHeight="1">
      <c r="A302" s="11"/>
      <c r="B302" s="11" t="str">
        <f t="shared" si="6"/>
        <v>#N/A</v>
      </c>
      <c r="C302" s="11" t="s">
        <v>106</v>
      </c>
      <c r="D302" s="11">
        <v>25.0</v>
      </c>
      <c r="E302" s="11">
        <v>1.0</v>
      </c>
      <c r="F302" s="11">
        <f t="shared" si="2"/>
        <v>24</v>
      </c>
      <c r="G302" s="11" t="s">
        <v>95</v>
      </c>
      <c r="H302" s="11" t="s">
        <v>850</v>
      </c>
      <c r="I302" s="11" t="str">
        <f>VLOOKUP($H302, 'ADP Data'!$B$4:$Q$300, 2, FALSE)</f>
        <v>#N/A</v>
      </c>
      <c r="J302" s="11" t="str">
        <f>VLOOKUP($H302, 'ADP Data'!$B$4:$Q$300, 3, FALSE)</f>
        <v>#N/A</v>
      </c>
      <c r="K302" s="11" t="str">
        <f>VLOOKUP($H302, SeanRanks!$A$2:$H$303, 4, FALSE)</f>
        <v>#N/A</v>
      </c>
      <c r="L302" s="11" t="str">
        <f>VLOOKUP($H302, SeanRanks!$A$2:$H$303, 5, FALSE)</f>
        <v>#N/A</v>
      </c>
      <c r="M302" s="11">
        <f t="shared" si="3"/>
        <v>16</v>
      </c>
      <c r="N302" s="11" t="str">
        <f>VLOOKUP($H302, 'ADP Data'!$B$4:$Q$300, 11, FALSE)</f>
        <v>#N/A</v>
      </c>
      <c r="O302" s="11" t="str">
        <f>VLOOKUP($H302, 'ADP Data'!$B$4:$Q$300, 5, FALSE)</f>
        <v>#N/A</v>
      </c>
      <c r="P302" s="11" t="str">
        <f t="shared" si="4"/>
        <v>#N/A</v>
      </c>
      <c r="Q302" s="11" t="str">
        <f>VLOOKUP($H302, 'ADP Data'!$B$4:$Q$300, 6, FALSE)</f>
        <v>#N/A</v>
      </c>
      <c r="R302" s="11" t="str">
        <f>VLOOKUP($H302, 'ADP Data'!$B$4:$Q$300, 7, FALSE)</f>
        <v>#N/A</v>
      </c>
      <c r="S302" s="11" t="str">
        <f>VLOOKUP($H302, 'ADP Data'!$B$4:$Q$300, 8, FALSE)</f>
        <v>#N/A</v>
      </c>
      <c r="T302" s="11" t="str">
        <f>VLOOKUP($H302, 'ADP Data'!$B$4:$Q$300, 9, FALSE)</f>
        <v>#N/A</v>
      </c>
      <c r="U302" s="11" t="str">
        <f>VLOOKUP($H302, 'ADP Data'!$B$4:$Q$300, 10, FALSE)</f>
        <v>#N/A</v>
      </c>
      <c r="V302" s="11" t="str">
        <f t="shared" si="5"/>
        <v>#N/A</v>
      </c>
      <c r="W302" s="11" t="str">
        <f>VLOOKUP($H302, SeanRanks!$A$2:$J$303, 7, FALSE)-V302</f>
        <v>#N/A</v>
      </c>
      <c r="X302" s="11"/>
    </row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6:$X$302">
    <sortState ref="A6:X302">
      <sortCondition ref="L6:L302"/>
    </sortState>
  </autoFilter>
  <mergeCells count="1">
    <mergeCell ref="A1:C1"/>
  </mergeCells>
  <conditionalFormatting sqref="B7:F302 G7:H37 G38:G302 H38:H296 K7:L302 X7:X302">
    <cfRule type="expression" dxfId="0" priority="1">
      <formula>$C7="No"</formula>
    </cfRule>
  </conditionalFormatting>
  <conditionalFormatting sqref="M7:M302">
    <cfRule type="cellIs" dxfId="1" priority="2" operator="lessThan">
      <formula>B7</formula>
    </cfRule>
  </conditionalFormatting>
  <conditionalFormatting sqref="M7:M302">
    <cfRule type="cellIs" dxfId="2" priority="3" operator="greaterThan">
      <formula>B7</formula>
    </cfRule>
  </conditionalFormatting>
  <conditionalFormatting sqref="O2:AE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7:P302">
    <cfRule type="colorScale" priority="5">
      <colorScale>
        <cfvo type="min"/>
        <cfvo type="formula" val="0"/>
        <cfvo type="max"/>
        <color rgb="FFF8696B"/>
        <color rgb="FFFCFCFF"/>
        <color rgb="FF63BE7B"/>
      </colorScale>
    </cfRule>
  </conditionalFormatting>
  <conditionalFormatting sqref="W7:W302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7:W302">
    <cfRule type="expression" dxfId="0" priority="7">
      <formula>$C7="No"</formula>
    </cfRule>
  </conditionalFormatting>
  <printOptions/>
  <pageMargins bottom="0.75" footer="0.0" header="0.0" left="0.7" right="0.7" top="0.75"/>
  <pageSetup orientation="portrait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5.0" topLeftCell="C6" activePane="bottomRight" state="frozen"/>
      <selection activeCell="C1" sqref="C1" pane="topRight"/>
      <selection activeCell="A6" sqref="A6" pane="bottomLeft"/>
      <selection activeCell="C6" sqref="C6" pane="bottomRight"/>
    </sheetView>
  </sheetViews>
  <sheetFormatPr customHeight="1" defaultColWidth="14.43" defaultRowHeight="15.0"/>
  <cols>
    <col customWidth="1" min="1" max="2" width="8.71"/>
    <col customWidth="1" min="3" max="3" width="9.71"/>
    <col customWidth="1" min="4" max="4" width="9.0"/>
    <col customWidth="1" min="5" max="5" width="7.57"/>
    <col customWidth="1" min="6" max="6" width="6.71"/>
    <col customWidth="1" min="7" max="7" width="17.86"/>
    <col customWidth="1" min="8" max="9" width="8.71"/>
    <col customWidth="1" hidden="1" min="10" max="10" width="8.86"/>
    <col customWidth="1" min="11" max="11" width="15.86"/>
    <col customWidth="1" min="12" max="29" width="8.71"/>
  </cols>
  <sheetData>
    <row r="1" ht="14.25" customHeight="1">
      <c r="A1" s="94" t="s">
        <v>1313</v>
      </c>
      <c r="B1" s="94"/>
      <c r="C1" s="94"/>
      <c r="D1" s="94"/>
      <c r="E1" s="3"/>
      <c r="F1" s="3"/>
      <c r="G1" s="3"/>
      <c r="H1" s="3"/>
      <c r="I1" s="4" t="s">
        <v>996</v>
      </c>
      <c r="K1" s="69">
        <v>20.0</v>
      </c>
      <c r="M1" s="3" t="s">
        <v>1314</v>
      </c>
      <c r="N1" s="3"/>
      <c r="O1" s="3"/>
      <c r="P1" s="3"/>
      <c r="Q1" s="3"/>
      <c r="R1" s="3"/>
      <c r="S1" s="3"/>
      <c r="T1" s="3"/>
      <c r="U1" s="3"/>
      <c r="V1" s="3"/>
      <c r="W1" s="3"/>
    </row>
    <row r="2" ht="14.25" customHeight="1">
      <c r="A2" s="95" t="s">
        <v>26</v>
      </c>
      <c r="F2" s="3"/>
      <c r="G2" s="3"/>
      <c r="H2" s="3"/>
      <c r="I2" s="4" t="s">
        <v>1016</v>
      </c>
      <c r="K2" s="69">
        <v>7.0</v>
      </c>
      <c r="L2" s="6" t="s">
        <v>1152</v>
      </c>
      <c r="M2" s="6" t="s">
        <v>999</v>
      </c>
      <c r="N2" s="6" t="s">
        <v>1000</v>
      </c>
      <c r="O2" s="6" t="s">
        <v>1001</v>
      </c>
      <c r="P2" s="6" t="s">
        <v>1002</v>
      </c>
      <c r="Q2" s="6" t="s">
        <v>1003</v>
      </c>
      <c r="R2" s="6" t="s">
        <v>440</v>
      </c>
      <c r="S2" s="6" t="s">
        <v>607</v>
      </c>
      <c r="T2" s="6" t="s">
        <v>1004</v>
      </c>
      <c r="U2" s="6" t="s">
        <v>1005</v>
      </c>
      <c r="V2" s="6" t="s">
        <v>1006</v>
      </c>
      <c r="W2" s="6" t="s">
        <v>1007</v>
      </c>
      <c r="X2" s="6" t="s">
        <v>1008</v>
      </c>
      <c r="Y2" s="6" t="s">
        <v>1009</v>
      </c>
      <c r="Z2" s="6" t="s">
        <v>1010</v>
      </c>
      <c r="AA2" s="6" t="s">
        <v>1011</v>
      </c>
      <c r="AB2" s="6" t="s">
        <v>1012</v>
      </c>
      <c r="AC2" s="6" t="s">
        <v>1013</v>
      </c>
    </row>
    <row r="3" ht="14.25" customHeight="1">
      <c r="A3" s="95" t="s">
        <v>1315</v>
      </c>
      <c r="F3" s="3"/>
      <c r="G3" s="3"/>
      <c r="H3" s="3"/>
      <c r="I3" s="4" t="s">
        <v>1022</v>
      </c>
      <c r="K3" s="69">
        <f>INT((K1)/K2)</f>
        <v>2</v>
      </c>
      <c r="L3" s="20" t="s">
        <v>1018</v>
      </c>
      <c r="M3" s="45">
        <v>74.0</v>
      </c>
      <c r="N3" s="45">
        <v>71.0</v>
      </c>
      <c r="O3" s="45">
        <v>55.0</v>
      </c>
      <c r="P3" s="45">
        <v>55.0</v>
      </c>
      <c r="Q3" s="45">
        <v>32.0</v>
      </c>
      <c r="R3" s="45">
        <v>17.0</v>
      </c>
      <c r="S3" s="45">
        <v>14.0</v>
      </c>
      <c r="T3" s="45">
        <v>60.0</v>
      </c>
      <c r="U3" s="45">
        <v>41.0</v>
      </c>
      <c r="V3" s="45">
        <v>13.0</v>
      </c>
      <c r="W3" s="45">
        <v>4.0</v>
      </c>
      <c r="X3" s="45">
        <v>30.0</v>
      </c>
      <c r="Y3" s="45">
        <v>9.0</v>
      </c>
      <c r="Z3" s="45">
        <v>4.0</v>
      </c>
      <c r="AA3" s="45">
        <v>37.0</v>
      </c>
      <c r="AB3" s="45">
        <v>20.0</v>
      </c>
      <c r="AC3" s="45">
        <v>6.0</v>
      </c>
    </row>
    <row r="4" ht="14.25" customHeight="1">
      <c r="A4" s="96"/>
      <c r="B4" s="96"/>
      <c r="C4" s="96"/>
      <c r="D4" s="96"/>
      <c r="E4" s="96"/>
      <c r="F4" s="3"/>
      <c r="G4" s="97" t="s">
        <v>1316</v>
      </c>
      <c r="H4" s="3"/>
      <c r="I4" s="4"/>
      <c r="J4" s="3"/>
      <c r="L4" s="20" t="s">
        <v>1023</v>
      </c>
      <c r="M4" s="45">
        <v>66.0</v>
      </c>
      <c r="N4" s="45">
        <v>55.0</v>
      </c>
      <c r="O4" s="45">
        <v>47.0</v>
      </c>
      <c r="P4" s="45">
        <v>53.0</v>
      </c>
      <c r="Q4" s="45">
        <v>9.0</v>
      </c>
      <c r="R4" s="45">
        <v>4.0</v>
      </c>
      <c r="S4" s="45">
        <v>3.0</v>
      </c>
      <c r="T4" s="45">
        <v>37.0</v>
      </c>
      <c r="U4" s="45">
        <v>14.0</v>
      </c>
      <c r="V4" s="45">
        <v>4.0</v>
      </c>
      <c r="W4" s="45">
        <v>1.0</v>
      </c>
      <c r="X4" s="45">
        <v>30.0</v>
      </c>
      <c r="Y4" s="45">
        <v>8.0</v>
      </c>
      <c r="Z4" s="45">
        <v>2.0</v>
      </c>
      <c r="AA4" s="45">
        <v>36.0</v>
      </c>
      <c r="AB4" s="45">
        <v>12.0</v>
      </c>
      <c r="AC4" s="45">
        <v>3.0</v>
      </c>
    </row>
    <row r="5" ht="14.25" customHeight="1">
      <c r="A5" s="20" t="s">
        <v>72</v>
      </c>
      <c r="B5" s="21" t="s">
        <v>76</v>
      </c>
      <c r="C5" s="22" t="s">
        <v>77</v>
      </c>
      <c r="D5" s="22" t="s">
        <v>1034</v>
      </c>
      <c r="E5" s="22" t="s">
        <v>1035</v>
      </c>
      <c r="F5" s="22" t="s">
        <v>10</v>
      </c>
      <c r="G5" s="6" t="s">
        <v>5</v>
      </c>
      <c r="H5" s="6" t="s">
        <v>7</v>
      </c>
      <c r="I5" s="6" t="s">
        <v>8</v>
      </c>
      <c r="J5" s="6" t="s">
        <v>1317</v>
      </c>
      <c r="K5" s="6" t="s">
        <v>11</v>
      </c>
      <c r="L5" s="6" t="s">
        <v>12</v>
      </c>
      <c r="M5" s="98" t="s">
        <v>1318</v>
      </c>
      <c r="N5" s="98" t="s">
        <v>15</v>
      </c>
      <c r="O5" s="20" t="s">
        <v>17</v>
      </c>
      <c r="P5" s="20" t="s">
        <v>16</v>
      </c>
      <c r="Q5" s="20" t="s">
        <v>13</v>
      </c>
      <c r="R5" s="20" t="s">
        <v>20</v>
      </c>
      <c r="S5" s="20" t="s">
        <v>27</v>
      </c>
      <c r="T5" s="20" t="s">
        <v>23</v>
      </c>
      <c r="U5" s="21" t="s">
        <v>87</v>
      </c>
      <c r="V5" s="6" t="s">
        <v>14</v>
      </c>
    </row>
    <row r="6" ht="14.25" customHeight="1">
      <c r="A6" s="11"/>
      <c r="B6" s="11" t="str">
        <f t="shared" ref="B6:B272" si="1">IFERROR(INT(AVERAGE(O6:T6)/12)+1, INT(AVERAGE(O6)/12)+1)</f>
        <v>#N/A</v>
      </c>
      <c r="C6" s="11" t="s">
        <v>106</v>
      </c>
      <c r="D6" s="11">
        <v>75.0</v>
      </c>
      <c r="E6" s="11">
        <v>74.0</v>
      </c>
      <c r="F6" s="11"/>
      <c r="G6" s="11" t="s">
        <v>57</v>
      </c>
      <c r="H6" s="11" t="s">
        <v>165</v>
      </c>
      <c r="I6" s="11" t="s">
        <v>772</v>
      </c>
      <c r="J6" s="99">
        <v>1.0</v>
      </c>
      <c r="K6" s="11" t="s">
        <v>37</v>
      </c>
      <c r="L6" s="11">
        <v>1.0</v>
      </c>
      <c r="M6" s="11">
        <f t="shared" ref="M6:M282" si="2">IFERROR(INT(N6/12)+1, 16)</f>
        <v>16</v>
      </c>
      <c r="N6" s="11" t="str">
        <f>VLOOKUP($G6, 'ADP Data'!$B$4:$Q$300, 6, FALSE)</f>
        <v>#N/A</v>
      </c>
      <c r="O6" s="11" t="str">
        <f>VLOOKUP($G6, 'ADP Data'!$B$4:$Q$300, 10, FALSE)</f>
        <v>#N/A</v>
      </c>
      <c r="P6" s="11" t="str">
        <f>VLOOKUP($G6, 'ADP Data'!$B$4:$Q$300, 4, FALSE)</f>
        <v>#N/A</v>
      </c>
      <c r="Q6" s="11" t="str">
        <f>VLOOKUP($G6, 'ADP Data'!$B$4:$Q$300, 5, FALSE)</f>
        <v>#N/A</v>
      </c>
      <c r="R6" s="11" t="str">
        <f>VLOOKUP($G6, 'ADP Data'!$B$4:$Q$300, 7, FALSE)</f>
        <v>#N/A</v>
      </c>
      <c r="S6" s="11" t="str">
        <f>VLOOKUP($G6, 'ADP Data'!$B$4:$Q$300, 8, FALSE)</f>
        <v>#N/A</v>
      </c>
      <c r="T6" s="11" t="str">
        <f>VLOOKUP($G6, 'ADP Data'!$B$4:$Q$300, 9, FALSE)</f>
        <v>#N/A</v>
      </c>
      <c r="U6" s="11" t="str">
        <f t="shared" ref="U6:U195" si="3">INT(AVERAGE(O6:S6))</f>
        <v>#N/A</v>
      </c>
      <c r="V6" s="11"/>
    </row>
    <row r="7" ht="14.25" customHeight="1">
      <c r="A7" s="11"/>
      <c r="B7" s="11" t="str">
        <f t="shared" si="1"/>
        <v>#N/A</v>
      </c>
      <c r="C7" s="11" t="s">
        <v>106</v>
      </c>
      <c r="D7" s="11">
        <v>76.0</v>
      </c>
      <c r="E7" s="11">
        <v>65.0</v>
      </c>
      <c r="F7" s="11"/>
      <c r="G7" s="49" t="s">
        <v>1128</v>
      </c>
      <c r="H7" s="11" t="s">
        <v>75</v>
      </c>
      <c r="I7" s="11" t="s">
        <v>772</v>
      </c>
      <c r="J7" s="99">
        <v>2.0</v>
      </c>
      <c r="K7" s="11" t="s">
        <v>37</v>
      </c>
      <c r="L7" s="11">
        <v>2.0</v>
      </c>
      <c r="M7" s="11">
        <f t="shared" si="2"/>
        <v>16</v>
      </c>
      <c r="N7" s="11" t="str">
        <f>VLOOKUP($G7, 'ADP Data'!$B$4:$Q$300, 6, FALSE)</f>
        <v>#N/A</v>
      </c>
      <c r="O7" s="11" t="str">
        <f>VLOOKUP($G7, 'ADP Data'!$B$4:$Q$300, 10, FALSE)</f>
        <v>#N/A</v>
      </c>
      <c r="P7" s="11" t="str">
        <f>VLOOKUP($G7, 'ADP Data'!$B$4:$Q$300, 4, FALSE)</f>
        <v>#N/A</v>
      </c>
      <c r="Q7" s="11" t="str">
        <f>VLOOKUP($G7, 'ADP Data'!$B$4:$Q$300, 5, FALSE)</f>
        <v>#N/A</v>
      </c>
      <c r="R7" s="11" t="str">
        <f>VLOOKUP($G7, 'ADP Data'!$B$4:$Q$300, 7, FALSE)</f>
        <v>#N/A</v>
      </c>
      <c r="S7" s="11" t="str">
        <f>VLOOKUP($G7, 'ADP Data'!$B$4:$Q$300, 8, FALSE)</f>
        <v>#N/A</v>
      </c>
      <c r="T7" s="11" t="str">
        <f>VLOOKUP($G7, 'ADP Data'!$B$4:$Q$300, 9, FALSE)</f>
        <v>#N/A</v>
      </c>
      <c r="U7" s="11" t="str">
        <f t="shared" si="3"/>
        <v>#N/A</v>
      </c>
      <c r="V7" s="11"/>
    </row>
    <row r="8" ht="14.25" customHeight="1">
      <c r="A8" s="11"/>
      <c r="B8" s="11" t="str">
        <f t="shared" si="1"/>
        <v>#N/A</v>
      </c>
      <c r="C8" s="11" t="s">
        <v>106</v>
      </c>
      <c r="D8" s="11">
        <v>69.0</v>
      </c>
      <c r="E8" s="11">
        <v>68.0</v>
      </c>
      <c r="F8" s="11"/>
      <c r="G8" s="11" t="s">
        <v>416</v>
      </c>
      <c r="H8" s="11" t="s">
        <v>131</v>
      </c>
      <c r="I8" s="11" t="s">
        <v>772</v>
      </c>
      <c r="J8" s="99">
        <v>4.0</v>
      </c>
      <c r="K8" s="11" t="s">
        <v>1319</v>
      </c>
      <c r="L8" s="11">
        <v>3.0</v>
      </c>
      <c r="M8" s="11">
        <f t="shared" si="2"/>
        <v>16</v>
      </c>
      <c r="N8" s="11" t="str">
        <f>VLOOKUP($G8, 'ADP Data'!$B$4:$Q$300, 6, FALSE)</f>
        <v>#N/A</v>
      </c>
      <c r="O8" s="11" t="str">
        <f>VLOOKUP($G8, 'ADP Data'!$B$4:$Q$300, 10, FALSE)</f>
        <v>#N/A</v>
      </c>
      <c r="P8" s="11" t="str">
        <f>VLOOKUP($G8, 'ADP Data'!$B$4:$Q$300, 4, FALSE)</f>
        <v>#N/A</v>
      </c>
      <c r="Q8" s="11" t="str">
        <f>VLOOKUP($G8, 'ADP Data'!$B$4:$Q$300, 5, FALSE)</f>
        <v>#N/A</v>
      </c>
      <c r="R8" s="11" t="str">
        <f>VLOOKUP($G8, 'ADP Data'!$B$4:$Q$300, 7, FALSE)</f>
        <v>#N/A</v>
      </c>
      <c r="S8" s="11" t="str">
        <f>VLOOKUP($G8, 'ADP Data'!$B$4:$Q$300, 8, FALSE)</f>
        <v>#N/A</v>
      </c>
      <c r="T8" s="11" t="str">
        <f>VLOOKUP($G8, 'ADP Data'!$B$4:$Q$300, 9, FALSE)</f>
        <v>#N/A</v>
      </c>
      <c r="U8" s="11" t="str">
        <f t="shared" si="3"/>
        <v>#N/A</v>
      </c>
      <c r="V8" s="11"/>
    </row>
    <row r="9" ht="14.25" customHeight="1">
      <c r="A9" s="11"/>
      <c r="B9" s="11" t="str">
        <f t="shared" si="1"/>
        <v>#N/A</v>
      </c>
      <c r="C9" s="11" t="s">
        <v>106</v>
      </c>
      <c r="D9" s="11">
        <v>70.0</v>
      </c>
      <c r="E9" s="11">
        <v>60.0</v>
      </c>
      <c r="F9" s="11"/>
      <c r="G9" s="11" t="s">
        <v>108</v>
      </c>
      <c r="H9" s="11" t="s">
        <v>231</v>
      </c>
      <c r="I9" s="11" t="s">
        <v>772</v>
      </c>
      <c r="J9" s="99">
        <v>3.0</v>
      </c>
      <c r="K9" s="11" t="s">
        <v>1319</v>
      </c>
      <c r="L9" s="11">
        <v>4.0</v>
      </c>
      <c r="M9" s="11">
        <f t="shared" si="2"/>
        <v>16</v>
      </c>
      <c r="N9" s="11" t="str">
        <f>VLOOKUP($G9, 'ADP Data'!$B$4:$Q$300, 6, FALSE)</f>
        <v>#N/A</v>
      </c>
      <c r="O9" s="11" t="str">
        <f>VLOOKUP($G9, 'ADP Data'!$B$4:$Q$300, 10, FALSE)</f>
        <v>#N/A</v>
      </c>
      <c r="P9" s="11" t="str">
        <f>VLOOKUP($G9, 'ADP Data'!$B$4:$Q$300, 4, FALSE)</f>
        <v>#N/A</v>
      </c>
      <c r="Q9" s="11" t="str">
        <f>VLOOKUP($G9, 'ADP Data'!$B$4:$Q$300, 5, FALSE)</f>
        <v>#N/A</v>
      </c>
      <c r="R9" s="11" t="str">
        <f>VLOOKUP($G9, 'ADP Data'!$B$4:$Q$300, 7, FALSE)</f>
        <v>#N/A</v>
      </c>
      <c r="S9" s="11" t="str">
        <f>VLOOKUP($G9, 'ADP Data'!$B$4:$Q$300, 8, FALSE)</f>
        <v>#N/A</v>
      </c>
      <c r="T9" s="11" t="str">
        <f>VLOOKUP($G9, 'ADP Data'!$B$4:$Q$300, 9, FALSE)</f>
        <v>#N/A</v>
      </c>
      <c r="U9" s="11" t="str">
        <f t="shared" si="3"/>
        <v>#N/A</v>
      </c>
      <c r="V9" s="11"/>
    </row>
    <row r="10" ht="14.25" customHeight="1">
      <c r="A10" s="11"/>
      <c r="B10" s="11" t="str">
        <f t="shared" si="1"/>
        <v>#N/A</v>
      </c>
      <c r="C10" s="11" t="s">
        <v>106</v>
      </c>
      <c r="D10" s="11">
        <v>57.0</v>
      </c>
      <c r="E10" s="11">
        <v>58.0</v>
      </c>
      <c r="F10" s="11"/>
      <c r="G10" s="11" t="s">
        <v>877</v>
      </c>
      <c r="H10" s="11" t="s">
        <v>71</v>
      </c>
      <c r="I10" s="11" t="s">
        <v>772</v>
      </c>
      <c r="J10" s="99">
        <v>5.0</v>
      </c>
      <c r="K10" s="11" t="s">
        <v>1319</v>
      </c>
      <c r="L10" s="11">
        <v>5.0</v>
      </c>
      <c r="M10" s="11">
        <f t="shared" si="2"/>
        <v>16</v>
      </c>
      <c r="N10" s="11" t="str">
        <f>VLOOKUP($G10, 'ADP Data'!$B$4:$Q$300, 6, FALSE)</f>
        <v>#N/A</v>
      </c>
      <c r="O10" s="11" t="str">
        <f>VLOOKUP($G10, 'ADP Data'!$B$4:$Q$300, 10, FALSE)</f>
        <v>#N/A</v>
      </c>
      <c r="P10" s="11" t="str">
        <f>VLOOKUP($G10, 'ADP Data'!$B$4:$Q$300, 4, FALSE)</f>
        <v>#N/A</v>
      </c>
      <c r="Q10" s="11" t="str">
        <f>VLOOKUP($G10, 'ADP Data'!$B$4:$Q$300, 5, FALSE)</f>
        <v>#N/A</v>
      </c>
      <c r="R10" s="11" t="str">
        <f>VLOOKUP($G10, 'ADP Data'!$B$4:$Q$300, 7, FALSE)</f>
        <v>#N/A</v>
      </c>
      <c r="S10" s="11" t="str">
        <f>VLOOKUP($G10, 'ADP Data'!$B$4:$Q$300, 8, FALSE)</f>
        <v>#N/A</v>
      </c>
      <c r="T10" s="11" t="str">
        <f>VLOOKUP($G10, 'ADP Data'!$B$4:$Q$300, 9, FALSE)</f>
        <v>#N/A</v>
      </c>
      <c r="U10" s="11" t="str">
        <f t="shared" si="3"/>
        <v>#N/A</v>
      </c>
      <c r="V10" s="11"/>
    </row>
    <row r="11" ht="14.25" customHeight="1">
      <c r="A11" s="11"/>
      <c r="B11" s="11" t="str">
        <f t="shared" si="1"/>
        <v>#N/A</v>
      </c>
      <c r="C11" s="11" t="s">
        <v>106</v>
      </c>
      <c r="D11" s="11">
        <v>52.0</v>
      </c>
      <c r="E11" s="11">
        <v>38.0</v>
      </c>
      <c r="F11" s="11"/>
      <c r="G11" s="11" t="s">
        <v>321</v>
      </c>
      <c r="H11" s="11" t="s">
        <v>102</v>
      </c>
      <c r="I11" s="11" t="s">
        <v>781</v>
      </c>
      <c r="J11" s="99">
        <v>1.0</v>
      </c>
      <c r="K11" s="11" t="s">
        <v>166</v>
      </c>
      <c r="L11" s="11">
        <v>1.0</v>
      </c>
      <c r="M11" s="11">
        <f t="shared" si="2"/>
        <v>16</v>
      </c>
      <c r="N11" s="11" t="str">
        <f>VLOOKUP($G11, 'ADP Data'!$B$4:$Q$300, 6, FALSE)</f>
        <v>#N/A</v>
      </c>
      <c r="O11" s="11" t="str">
        <f>VLOOKUP($G11, 'ADP Data'!$B$4:$Q$300, 10, FALSE)</f>
        <v>#N/A</v>
      </c>
      <c r="P11" s="11" t="str">
        <f>VLOOKUP($G11, 'ADP Data'!$B$4:$Q$300, 4, FALSE)</f>
        <v>#N/A</v>
      </c>
      <c r="Q11" s="11" t="str">
        <f>VLOOKUP($G11, 'ADP Data'!$B$4:$Q$300, 5, FALSE)</f>
        <v>#N/A</v>
      </c>
      <c r="R11" s="11" t="str">
        <f>VLOOKUP($G11, 'ADP Data'!$B$4:$Q$300, 7, FALSE)</f>
        <v>#N/A</v>
      </c>
      <c r="S11" s="11" t="str">
        <f>VLOOKUP($G11, 'ADP Data'!$B$4:$Q$300, 8, FALSE)</f>
        <v>#N/A</v>
      </c>
      <c r="T11" s="11" t="str">
        <f>VLOOKUP($G11, 'ADP Data'!$B$4:$Q$300, 9, FALSE)</f>
        <v>#N/A</v>
      </c>
      <c r="U11" s="11" t="str">
        <f t="shared" si="3"/>
        <v>#N/A</v>
      </c>
      <c r="V11" s="11"/>
    </row>
    <row r="12" ht="14.25" customHeight="1">
      <c r="A12" s="11"/>
      <c r="B12" s="11" t="str">
        <f t="shared" si="1"/>
        <v>#N/A</v>
      </c>
      <c r="C12" s="11" t="s">
        <v>106</v>
      </c>
      <c r="D12" s="11">
        <v>54.0</v>
      </c>
      <c r="E12" s="11">
        <v>40.0</v>
      </c>
      <c r="F12" s="11"/>
      <c r="G12" s="11" t="s">
        <v>197</v>
      </c>
      <c r="H12" s="11" t="s">
        <v>154</v>
      </c>
      <c r="I12" s="11" t="s">
        <v>775</v>
      </c>
      <c r="J12" s="99">
        <v>2.0</v>
      </c>
      <c r="K12" s="11" t="s">
        <v>59</v>
      </c>
      <c r="L12" s="11">
        <v>1.0</v>
      </c>
      <c r="M12" s="11">
        <f t="shared" si="2"/>
        <v>16</v>
      </c>
      <c r="N12" s="11" t="str">
        <f>VLOOKUP($G12, 'ADP Data'!$B$4:$Q$300, 6, FALSE)</f>
        <v>#N/A</v>
      </c>
      <c r="O12" s="11" t="str">
        <f>VLOOKUP($G12, 'ADP Data'!$B$4:$Q$300, 10, FALSE)</f>
        <v>#N/A</v>
      </c>
      <c r="P12" s="11" t="str">
        <f>VLOOKUP($G12, 'ADP Data'!$B$4:$Q$300, 4, FALSE)</f>
        <v>#N/A</v>
      </c>
      <c r="Q12" s="11" t="str">
        <f>VLOOKUP($G12, 'ADP Data'!$B$4:$Q$300, 5, FALSE)</f>
        <v>#N/A</v>
      </c>
      <c r="R12" s="11" t="str">
        <f>VLOOKUP($G12, 'ADP Data'!$B$4:$Q$300, 7, FALSE)</f>
        <v>#N/A</v>
      </c>
      <c r="S12" s="11" t="str">
        <f>VLOOKUP($G12, 'ADP Data'!$B$4:$Q$300, 8, FALSE)</f>
        <v>#N/A</v>
      </c>
      <c r="T12" s="11" t="str">
        <f>VLOOKUP($G12, 'ADP Data'!$B$4:$Q$300, 9, FALSE)</f>
        <v>#N/A</v>
      </c>
      <c r="U12" s="11" t="str">
        <f t="shared" si="3"/>
        <v>#N/A</v>
      </c>
      <c r="V12" s="11"/>
    </row>
    <row r="13" ht="14.25" customHeight="1">
      <c r="A13" s="11"/>
      <c r="B13" s="11" t="str">
        <f t="shared" si="1"/>
        <v>#N/A</v>
      </c>
      <c r="C13" s="11" t="s">
        <v>106</v>
      </c>
      <c r="D13" s="11">
        <v>54.0</v>
      </c>
      <c r="E13" s="11">
        <v>40.0</v>
      </c>
      <c r="F13" s="11"/>
      <c r="G13" s="49" t="s">
        <v>132</v>
      </c>
      <c r="H13" s="11" t="s">
        <v>102</v>
      </c>
      <c r="I13" s="11" t="s">
        <v>775</v>
      </c>
      <c r="J13" s="99">
        <v>1.0</v>
      </c>
      <c r="K13" s="11" t="s">
        <v>59</v>
      </c>
      <c r="L13" s="11">
        <v>2.0</v>
      </c>
      <c r="M13" s="11">
        <f t="shared" si="2"/>
        <v>16</v>
      </c>
      <c r="N13" s="11" t="str">
        <f>VLOOKUP($G13, 'ADP Data'!$B$4:$Q$300, 6, FALSE)</f>
        <v>#N/A</v>
      </c>
      <c r="O13" s="11" t="str">
        <f>VLOOKUP($G13, 'ADP Data'!$B$4:$Q$300, 10, FALSE)</f>
        <v>#N/A</v>
      </c>
      <c r="P13" s="11" t="str">
        <f>VLOOKUP($G13, 'ADP Data'!$B$4:$Q$300, 4, FALSE)</f>
        <v>#N/A</v>
      </c>
      <c r="Q13" s="11" t="str">
        <f>VLOOKUP($G13, 'ADP Data'!$B$4:$Q$300, 5, FALSE)</f>
        <v>#N/A</v>
      </c>
      <c r="R13" s="11" t="str">
        <f>VLOOKUP($G13, 'ADP Data'!$B$4:$Q$300, 7, FALSE)</f>
        <v>#N/A</v>
      </c>
      <c r="S13" s="11" t="str">
        <f>VLOOKUP($G13, 'ADP Data'!$B$4:$Q$300, 8, FALSE)</f>
        <v>#N/A</v>
      </c>
      <c r="T13" s="11" t="str">
        <f>VLOOKUP($G13, 'ADP Data'!$B$4:$Q$300, 9, FALSE)</f>
        <v>#N/A</v>
      </c>
      <c r="U13" s="11" t="str">
        <f t="shared" si="3"/>
        <v>#N/A</v>
      </c>
      <c r="V13" s="11"/>
    </row>
    <row r="14" ht="14.25" customHeight="1">
      <c r="A14" s="11" t="s">
        <v>1156</v>
      </c>
      <c r="B14" s="11" t="str">
        <f t="shared" si="1"/>
        <v>#N/A</v>
      </c>
      <c r="C14" s="11" t="s">
        <v>106</v>
      </c>
      <c r="D14" s="11">
        <v>53.0</v>
      </c>
      <c r="E14" s="11">
        <v>52.0</v>
      </c>
      <c r="F14" s="11" t="s">
        <v>106</v>
      </c>
      <c r="G14" s="11" t="s">
        <v>874</v>
      </c>
      <c r="H14" s="11" t="s">
        <v>195</v>
      </c>
      <c r="I14" s="11" t="s">
        <v>772</v>
      </c>
      <c r="J14" s="99" t="s">
        <v>1320</v>
      </c>
      <c r="K14" s="11" t="s">
        <v>1321</v>
      </c>
      <c r="L14" s="11">
        <v>6.0</v>
      </c>
      <c r="M14" s="11">
        <f t="shared" si="2"/>
        <v>16</v>
      </c>
      <c r="N14" s="11" t="str">
        <f>VLOOKUP($G14, 'ADP Data'!$B$4:$Q$300, 6, FALSE)</f>
        <v>#N/A</v>
      </c>
      <c r="O14" s="11" t="str">
        <f>VLOOKUP($G14, 'ADP Data'!$B$4:$Q$300, 10, FALSE)</f>
        <v>#N/A</v>
      </c>
      <c r="P14" s="11" t="str">
        <f>VLOOKUP($G14, 'ADP Data'!$B$4:$Q$300, 4, FALSE)</f>
        <v>#N/A</v>
      </c>
      <c r="Q14" s="11" t="str">
        <f>VLOOKUP($G14, 'ADP Data'!$B$4:$Q$300, 5, FALSE)</f>
        <v>#N/A</v>
      </c>
      <c r="R14" s="11" t="str">
        <f>VLOOKUP($G14, 'ADP Data'!$B$4:$Q$300, 7, FALSE)</f>
        <v>#N/A</v>
      </c>
      <c r="S14" s="11" t="str">
        <f>VLOOKUP($G14, 'ADP Data'!$B$4:$Q$300, 8, FALSE)</f>
        <v>#N/A</v>
      </c>
      <c r="T14" s="11" t="str">
        <f>VLOOKUP($G14, 'ADP Data'!$B$4:$Q$300, 9, FALSE)</f>
        <v>#N/A</v>
      </c>
      <c r="U14" s="11" t="str">
        <f t="shared" si="3"/>
        <v>#N/A</v>
      </c>
      <c r="V14" s="11"/>
    </row>
    <row r="15" ht="14.25" customHeight="1">
      <c r="A15" s="11" t="s">
        <v>1156</v>
      </c>
      <c r="B15" s="11" t="str">
        <f t="shared" si="1"/>
        <v>#N/A</v>
      </c>
      <c r="C15" s="11" t="s">
        <v>106</v>
      </c>
      <c r="D15" s="11">
        <v>57.0</v>
      </c>
      <c r="E15" s="11">
        <v>52.0</v>
      </c>
      <c r="F15" s="11" t="s">
        <v>106</v>
      </c>
      <c r="G15" s="11" t="s">
        <v>61</v>
      </c>
      <c r="H15" s="11" t="s">
        <v>62</v>
      </c>
      <c r="I15" s="11" t="s">
        <v>772</v>
      </c>
      <c r="J15" s="99">
        <v>7.0</v>
      </c>
      <c r="K15" s="11" t="s">
        <v>1321</v>
      </c>
      <c r="L15" s="11">
        <v>7.0</v>
      </c>
      <c r="M15" s="11">
        <f t="shared" si="2"/>
        <v>16</v>
      </c>
      <c r="N15" s="11" t="str">
        <f>VLOOKUP($G15, 'ADP Data'!$B$4:$Q$300, 6, FALSE)</f>
        <v>#N/A</v>
      </c>
      <c r="O15" s="11" t="str">
        <f>VLOOKUP($G15, 'ADP Data'!$B$4:$Q$300, 10, FALSE)</f>
        <v>#N/A</v>
      </c>
      <c r="P15" s="11" t="str">
        <f>VLOOKUP($G15, 'ADP Data'!$B$4:$Q$300, 4, FALSE)</f>
        <v>#N/A</v>
      </c>
      <c r="Q15" s="11" t="str">
        <f>VLOOKUP($G15, 'ADP Data'!$B$4:$Q$300, 5, FALSE)</f>
        <v>#N/A</v>
      </c>
      <c r="R15" s="11" t="str">
        <f>VLOOKUP($G15, 'ADP Data'!$B$4:$Q$300, 7, FALSE)</f>
        <v>#N/A</v>
      </c>
      <c r="S15" s="11" t="str">
        <f>VLOOKUP($G15, 'ADP Data'!$B$4:$Q$300, 8, FALSE)</f>
        <v>#N/A</v>
      </c>
      <c r="T15" s="11" t="str">
        <f>VLOOKUP($G15, 'ADP Data'!$B$4:$Q$300, 9, FALSE)</f>
        <v>#N/A</v>
      </c>
      <c r="U15" s="11" t="str">
        <f t="shared" si="3"/>
        <v>#N/A</v>
      </c>
      <c r="V15" s="11"/>
    </row>
    <row r="16" ht="14.25" customHeight="1">
      <c r="A16" s="11"/>
      <c r="B16" s="11" t="str">
        <f t="shared" si="1"/>
        <v>#N/A</v>
      </c>
      <c r="C16" s="11" t="s">
        <v>106</v>
      </c>
      <c r="D16" s="11">
        <v>53.0</v>
      </c>
      <c r="E16" s="11">
        <v>51.0</v>
      </c>
      <c r="F16" s="11" t="s">
        <v>106</v>
      </c>
      <c r="G16" s="11" t="s">
        <v>350</v>
      </c>
      <c r="H16" s="11" t="s">
        <v>154</v>
      </c>
      <c r="I16" s="11" t="s">
        <v>772</v>
      </c>
      <c r="J16" s="99">
        <v>9.0</v>
      </c>
      <c r="K16" s="11" t="s">
        <v>1321</v>
      </c>
      <c r="L16" s="11">
        <v>8.0</v>
      </c>
      <c r="M16" s="11">
        <f t="shared" si="2"/>
        <v>16</v>
      </c>
      <c r="N16" s="11" t="str">
        <f>VLOOKUP($G16, 'ADP Data'!$B$4:$Q$300, 6, FALSE)</f>
        <v>#N/A</v>
      </c>
      <c r="O16" s="11" t="str">
        <f>VLOOKUP($G16, 'ADP Data'!$B$4:$Q$300, 10, FALSE)</f>
        <v>#N/A</v>
      </c>
      <c r="P16" s="11" t="str">
        <f>VLOOKUP($G16, 'ADP Data'!$B$4:$Q$300, 4, FALSE)</f>
        <v>#N/A</v>
      </c>
      <c r="Q16" s="11" t="str">
        <f>VLOOKUP($G16, 'ADP Data'!$B$4:$Q$300, 5, FALSE)</f>
        <v>#N/A</v>
      </c>
      <c r="R16" s="11" t="str">
        <f>VLOOKUP($G16, 'ADP Data'!$B$4:$Q$300, 7, FALSE)</f>
        <v>#N/A</v>
      </c>
      <c r="S16" s="11" t="str">
        <f>VLOOKUP($G16, 'ADP Data'!$B$4:$Q$300, 8, FALSE)</f>
        <v>#N/A</v>
      </c>
      <c r="T16" s="11" t="str">
        <f>VLOOKUP($G16, 'ADP Data'!$B$4:$Q$300, 9, FALSE)</f>
        <v>#N/A</v>
      </c>
      <c r="U16" s="11" t="str">
        <f t="shared" si="3"/>
        <v>#N/A</v>
      </c>
      <c r="V16" s="11"/>
    </row>
    <row r="17" ht="14.25" customHeight="1">
      <c r="A17" s="11"/>
      <c r="B17" s="11" t="str">
        <f t="shared" si="1"/>
        <v>#N/A</v>
      </c>
      <c r="C17" s="11" t="s">
        <v>106</v>
      </c>
      <c r="D17" s="11">
        <v>70.0</v>
      </c>
      <c r="E17" s="11">
        <v>51.0</v>
      </c>
      <c r="F17" s="11"/>
      <c r="G17" s="11" t="s">
        <v>84</v>
      </c>
      <c r="H17" s="11" t="s">
        <v>128</v>
      </c>
      <c r="I17" s="11" t="s">
        <v>772</v>
      </c>
      <c r="J17" s="99">
        <v>6.0</v>
      </c>
      <c r="K17" s="11" t="s">
        <v>1321</v>
      </c>
      <c r="L17" s="11">
        <v>9.0</v>
      </c>
      <c r="M17" s="11">
        <f t="shared" si="2"/>
        <v>16</v>
      </c>
      <c r="N17" s="11" t="str">
        <f>VLOOKUP($G17, 'ADP Data'!$B$4:$Q$300, 6, FALSE)</f>
        <v>#N/A</v>
      </c>
      <c r="O17" s="11" t="str">
        <f>VLOOKUP($G17, 'ADP Data'!$B$4:$Q$300, 10, FALSE)</f>
        <v>#N/A</v>
      </c>
      <c r="P17" s="11" t="str">
        <f>VLOOKUP($G17, 'ADP Data'!$B$4:$Q$300, 4, FALSE)</f>
        <v>#N/A</v>
      </c>
      <c r="Q17" s="11" t="str">
        <f>VLOOKUP($G17, 'ADP Data'!$B$4:$Q$300, 5, FALSE)</f>
        <v>#N/A</v>
      </c>
      <c r="R17" s="11" t="str">
        <f>VLOOKUP($G17, 'ADP Data'!$B$4:$Q$300, 7, FALSE)</f>
        <v>#N/A</v>
      </c>
      <c r="S17" s="11" t="str">
        <f>VLOOKUP($G17, 'ADP Data'!$B$4:$Q$300, 8, FALSE)</f>
        <v>#N/A</v>
      </c>
      <c r="T17" s="11" t="str">
        <f>VLOOKUP($G17, 'ADP Data'!$B$4:$Q$300, 9, FALSE)</f>
        <v>#N/A</v>
      </c>
      <c r="U17" s="11" t="str">
        <f t="shared" si="3"/>
        <v>#N/A</v>
      </c>
      <c r="V17" s="11"/>
    </row>
    <row r="18" ht="14.25" customHeight="1">
      <c r="A18" s="11"/>
      <c r="B18" s="11" t="str">
        <f t="shared" si="1"/>
        <v>#N/A</v>
      </c>
      <c r="C18" s="11" t="s">
        <v>106</v>
      </c>
      <c r="D18" s="11">
        <v>46.0</v>
      </c>
      <c r="E18" s="11">
        <v>45.0</v>
      </c>
      <c r="F18" s="11" t="s">
        <v>106</v>
      </c>
      <c r="G18" s="12" t="s">
        <v>848</v>
      </c>
      <c r="H18" s="11" t="s">
        <v>105</v>
      </c>
      <c r="I18" s="11" t="s">
        <v>772</v>
      </c>
      <c r="J18" s="99">
        <v>8.0</v>
      </c>
      <c r="K18" s="11" t="s">
        <v>1321</v>
      </c>
      <c r="L18" s="11">
        <v>10.0</v>
      </c>
      <c r="M18" s="11">
        <f t="shared" si="2"/>
        <v>16</v>
      </c>
      <c r="N18" s="11" t="str">
        <f>VLOOKUP($G18, 'ADP Data'!$B$4:$Q$300, 6, FALSE)</f>
        <v>#N/A</v>
      </c>
      <c r="O18" s="11" t="str">
        <f>VLOOKUP($G18, 'ADP Data'!$B$4:$Q$300, 10, FALSE)</f>
        <v>#N/A</v>
      </c>
      <c r="P18" s="11" t="str">
        <f>VLOOKUP($G18, 'ADP Data'!$B$4:$Q$300, 4, FALSE)</f>
        <v>#N/A</v>
      </c>
      <c r="Q18" s="11" t="str">
        <f>VLOOKUP($G18, 'ADP Data'!$B$4:$Q$300, 5, FALSE)</f>
        <v>#N/A</v>
      </c>
      <c r="R18" s="11" t="str">
        <f>VLOOKUP($G18, 'ADP Data'!$B$4:$Q$300, 7, FALSE)</f>
        <v>#N/A</v>
      </c>
      <c r="S18" s="11" t="str">
        <f>VLOOKUP($G18, 'ADP Data'!$B$4:$Q$300, 8, FALSE)</f>
        <v>#N/A</v>
      </c>
      <c r="T18" s="11" t="str">
        <f>VLOOKUP($G18, 'ADP Data'!$B$4:$Q$300, 9, FALSE)</f>
        <v>#N/A</v>
      </c>
      <c r="U18" s="11" t="str">
        <f t="shared" si="3"/>
        <v>#N/A</v>
      </c>
      <c r="V18" s="11" t="s">
        <v>1323</v>
      </c>
    </row>
    <row r="19" ht="14.25" customHeight="1">
      <c r="A19" s="11"/>
      <c r="B19" s="11" t="str">
        <f t="shared" si="1"/>
        <v>#N/A</v>
      </c>
      <c r="C19" s="11" t="s">
        <v>106</v>
      </c>
      <c r="D19" s="11">
        <v>47.0</v>
      </c>
      <c r="E19" s="11">
        <v>40.0</v>
      </c>
      <c r="F19" s="11"/>
      <c r="G19" s="11" t="s">
        <v>299</v>
      </c>
      <c r="H19" s="11" t="s">
        <v>67</v>
      </c>
      <c r="I19" s="11" t="s">
        <v>775</v>
      </c>
      <c r="J19" s="99">
        <v>3.0</v>
      </c>
      <c r="K19" s="11" t="s">
        <v>59</v>
      </c>
      <c r="L19" s="11">
        <v>3.0</v>
      </c>
      <c r="M19" s="11">
        <f t="shared" si="2"/>
        <v>16</v>
      </c>
      <c r="N19" s="11" t="str">
        <f>VLOOKUP($G19, 'ADP Data'!$B$4:$Q$300, 6, FALSE)</f>
        <v>#N/A</v>
      </c>
      <c r="O19" s="11" t="str">
        <f>VLOOKUP($G19, 'ADP Data'!$B$4:$Q$300, 10, FALSE)</f>
        <v>#N/A</v>
      </c>
      <c r="P19" s="11" t="str">
        <f>VLOOKUP($G19, 'ADP Data'!$B$4:$Q$300, 4, FALSE)</f>
        <v>#N/A</v>
      </c>
      <c r="Q19" s="11" t="str">
        <f>VLOOKUP($G19, 'ADP Data'!$B$4:$Q$300, 5, FALSE)</f>
        <v>#N/A</v>
      </c>
      <c r="R19" s="11" t="str">
        <f>VLOOKUP($G19, 'ADP Data'!$B$4:$Q$300, 7, FALSE)</f>
        <v>#N/A</v>
      </c>
      <c r="S19" s="11" t="str">
        <f>VLOOKUP($G19, 'ADP Data'!$B$4:$Q$300, 8, FALSE)</f>
        <v>#N/A</v>
      </c>
      <c r="T19" s="11" t="str">
        <f>VLOOKUP($G19, 'ADP Data'!$B$4:$Q$300, 9, FALSE)</f>
        <v>#N/A</v>
      </c>
      <c r="U19" s="11" t="str">
        <f t="shared" si="3"/>
        <v>#N/A</v>
      </c>
      <c r="V19" s="11"/>
    </row>
    <row r="20" ht="14.25" customHeight="1">
      <c r="A20" s="11"/>
      <c r="B20" s="11" t="str">
        <f t="shared" si="1"/>
        <v>#N/A</v>
      </c>
      <c r="C20" s="11" t="s">
        <v>106</v>
      </c>
      <c r="D20" s="11">
        <v>42.0</v>
      </c>
      <c r="E20" s="11">
        <v>38.0</v>
      </c>
      <c r="F20" s="11"/>
      <c r="G20" s="49" t="s">
        <v>444</v>
      </c>
      <c r="H20" s="11" t="s">
        <v>40</v>
      </c>
      <c r="I20" s="11" t="s">
        <v>775</v>
      </c>
      <c r="J20" s="99">
        <v>5.0</v>
      </c>
      <c r="K20" s="11" t="s">
        <v>59</v>
      </c>
      <c r="L20" s="11">
        <v>4.0</v>
      </c>
      <c r="M20" s="11">
        <f t="shared" si="2"/>
        <v>16</v>
      </c>
      <c r="N20" s="11" t="str">
        <f>VLOOKUP($G20, 'ADP Data'!$B$4:$Q$300, 6, FALSE)</f>
        <v>#N/A</v>
      </c>
      <c r="O20" s="11" t="str">
        <f>VLOOKUP($G20, 'ADP Data'!$B$4:$Q$300, 10, FALSE)</f>
        <v>#N/A</v>
      </c>
      <c r="P20" s="11" t="str">
        <f>VLOOKUP($G20, 'ADP Data'!$B$4:$Q$300, 4, FALSE)</f>
        <v>#N/A</v>
      </c>
      <c r="Q20" s="11" t="str">
        <f>VLOOKUP($G20, 'ADP Data'!$B$4:$Q$300, 5, FALSE)</f>
        <v>#N/A</v>
      </c>
      <c r="R20" s="11" t="str">
        <f>VLOOKUP($G20, 'ADP Data'!$B$4:$Q$300, 7, FALSE)</f>
        <v>#N/A</v>
      </c>
      <c r="S20" s="11" t="str">
        <f>VLOOKUP($G20, 'ADP Data'!$B$4:$Q$300, 8, FALSE)</f>
        <v>#N/A</v>
      </c>
      <c r="T20" s="11" t="str">
        <f>VLOOKUP($G20, 'ADP Data'!$B$4:$Q$300, 9, FALSE)</f>
        <v>#N/A</v>
      </c>
      <c r="U20" s="11" t="str">
        <f t="shared" si="3"/>
        <v>#N/A</v>
      </c>
      <c r="V20" s="11"/>
    </row>
    <row r="21" ht="14.25" customHeight="1">
      <c r="A21" s="11"/>
      <c r="B21" s="11" t="str">
        <f t="shared" si="1"/>
        <v>#N/A</v>
      </c>
      <c r="C21" s="11" t="s">
        <v>106</v>
      </c>
      <c r="D21" s="11">
        <v>39.0</v>
      </c>
      <c r="E21" s="11">
        <v>37.0</v>
      </c>
      <c r="F21" s="11"/>
      <c r="G21" s="11" t="s">
        <v>869</v>
      </c>
      <c r="H21" s="11" t="s">
        <v>125</v>
      </c>
      <c r="I21" s="11" t="s">
        <v>775</v>
      </c>
      <c r="J21" s="99">
        <v>4.0</v>
      </c>
      <c r="K21" s="11" t="s">
        <v>59</v>
      </c>
      <c r="L21" s="11">
        <v>5.0</v>
      </c>
      <c r="M21" s="11">
        <f t="shared" si="2"/>
        <v>16</v>
      </c>
      <c r="N21" s="11" t="str">
        <f>VLOOKUP($G21, 'ADP Data'!$B$4:$Q$300, 6, FALSE)</f>
        <v>#N/A</v>
      </c>
      <c r="O21" s="11" t="str">
        <f>VLOOKUP($G21, 'ADP Data'!$B$4:$Q$300, 10, FALSE)</f>
        <v>#N/A</v>
      </c>
      <c r="P21" s="11" t="str">
        <f>VLOOKUP($G21, 'ADP Data'!$B$4:$Q$300, 4, FALSE)</f>
        <v>#N/A</v>
      </c>
      <c r="Q21" s="11" t="str">
        <f>VLOOKUP($G21, 'ADP Data'!$B$4:$Q$300, 5, FALSE)</f>
        <v>#N/A</v>
      </c>
      <c r="R21" s="11" t="str">
        <f>VLOOKUP($G21, 'ADP Data'!$B$4:$Q$300, 7, FALSE)</f>
        <v>#N/A</v>
      </c>
      <c r="S21" s="11" t="str">
        <f>VLOOKUP($G21, 'ADP Data'!$B$4:$Q$300, 8, FALSE)</f>
        <v>#N/A</v>
      </c>
      <c r="T21" s="11" t="str">
        <f>VLOOKUP($G21, 'ADP Data'!$B$4:$Q$300, 9, FALSE)</f>
        <v>#N/A</v>
      </c>
      <c r="U21" s="11" t="str">
        <f t="shared" si="3"/>
        <v>#N/A</v>
      </c>
      <c r="V21" s="11"/>
    </row>
    <row r="22" ht="14.25" customHeight="1">
      <c r="A22" s="11"/>
      <c r="B22" s="11" t="str">
        <f t="shared" si="1"/>
        <v>#N/A</v>
      </c>
      <c r="C22" s="11" t="s">
        <v>106</v>
      </c>
      <c r="D22" s="11">
        <v>51.0</v>
      </c>
      <c r="E22" s="11">
        <v>47.0</v>
      </c>
      <c r="F22" s="11"/>
      <c r="G22" s="11" t="s">
        <v>661</v>
      </c>
      <c r="H22" s="11" t="s">
        <v>237</v>
      </c>
      <c r="I22" s="11" t="s">
        <v>772</v>
      </c>
      <c r="J22" s="99" t="s">
        <v>1324</v>
      </c>
      <c r="K22" s="11" t="s">
        <v>1321</v>
      </c>
      <c r="L22" s="11">
        <v>11.0</v>
      </c>
      <c r="M22" s="11">
        <f t="shared" si="2"/>
        <v>16</v>
      </c>
      <c r="N22" s="11" t="str">
        <f>VLOOKUP($G22, 'ADP Data'!$B$4:$Q$300, 6, FALSE)</f>
        <v>#N/A</v>
      </c>
      <c r="O22" s="11" t="str">
        <f>VLOOKUP($G22, 'ADP Data'!$B$4:$Q$300, 10, FALSE)</f>
        <v>#N/A</v>
      </c>
      <c r="P22" s="11" t="str">
        <f>VLOOKUP($G22, 'ADP Data'!$B$4:$Q$300, 4, FALSE)</f>
        <v>#N/A</v>
      </c>
      <c r="Q22" s="11" t="str">
        <f>VLOOKUP($G22, 'ADP Data'!$B$4:$Q$300, 5, FALSE)</f>
        <v>#N/A</v>
      </c>
      <c r="R22" s="11" t="str">
        <f>VLOOKUP($G22, 'ADP Data'!$B$4:$Q$300, 7, FALSE)</f>
        <v>#N/A</v>
      </c>
      <c r="S22" s="11" t="str">
        <f>VLOOKUP($G22, 'ADP Data'!$B$4:$Q$300, 8, FALSE)</f>
        <v>#N/A</v>
      </c>
      <c r="T22" s="11" t="str">
        <f>VLOOKUP($G22, 'ADP Data'!$B$4:$Q$300, 9, FALSE)</f>
        <v>#N/A</v>
      </c>
      <c r="U22" s="11" t="str">
        <f t="shared" si="3"/>
        <v>#N/A</v>
      </c>
      <c r="V22" s="11"/>
    </row>
    <row r="23" ht="14.25" customHeight="1">
      <c r="A23" s="11"/>
      <c r="B23" s="11" t="str">
        <f t="shared" si="1"/>
        <v>#N/A</v>
      </c>
      <c r="C23" s="11" t="s">
        <v>106</v>
      </c>
      <c r="D23" s="11">
        <v>52.0</v>
      </c>
      <c r="E23" s="11">
        <v>45.0</v>
      </c>
      <c r="F23" s="11"/>
      <c r="G23" s="49" t="s">
        <v>894</v>
      </c>
      <c r="H23" s="11" t="s">
        <v>192</v>
      </c>
      <c r="I23" s="11" t="s">
        <v>772</v>
      </c>
      <c r="J23" s="99" t="s">
        <v>1325</v>
      </c>
      <c r="K23" s="11" t="s">
        <v>1321</v>
      </c>
      <c r="L23" s="11">
        <v>12.0</v>
      </c>
      <c r="M23" s="11">
        <f t="shared" si="2"/>
        <v>16</v>
      </c>
      <c r="N23" s="11" t="str">
        <f>VLOOKUP($G23, 'ADP Data'!$B$4:$Q$300, 6, FALSE)</f>
        <v>#N/A</v>
      </c>
      <c r="O23" s="11" t="str">
        <f>VLOOKUP($G23, 'ADP Data'!$B$4:$Q$300, 10, FALSE)</f>
        <v>#N/A</v>
      </c>
      <c r="P23" s="11" t="str">
        <f>VLOOKUP($G23, 'ADP Data'!$B$4:$Q$300, 4, FALSE)</f>
        <v>#N/A</v>
      </c>
      <c r="Q23" s="11" t="str">
        <f>VLOOKUP($G23, 'ADP Data'!$B$4:$Q$300, 5, FALSE)</f>
        <v>#N/A</v>
      </c>
      <c r="R23" s="11" t="str">
        <f>VLOOKUP($G23, 'ADP Data'!$B$4:$Q$300, 7, FALSE)</f>
        <v>#N/A</v>
      </c>
      <c r="S23" s="11" t="str">
        <f>VLOOKUP($G23, 'ADP Data'!$B$4:$Q$300, 8, FALSE)</f>
        <v>#N/A</v>
      </c>
      <c r="T23" s="11" t="str">
        <f>VLOOKUP($G23, 'ADP Data'!$B$4:$Q$300, 9, FALSE)</f>
        <v>#N/A</v>
      </c>
      <c r="U23" s="11" t="str">
        <f t="shared" si="3"/>
        <v>#N/A</v>
      </c>
      <c r="V23" s="11"/>
    </row>
    <row r="24" ht="14.25" customHeight="1">
      <c r="A24" s="11"/>
      <c r="B24" s="11" t="str">
        <f t="shared" si="1"/>
        <v>#N/A</v>
      </c>
      <c r="C24" s="11" t="s">
        <v>106</v>
      </c>
      <c r="D24" s="11">
        <v>32.0</v>
      </c>
      <c r="E24" s="11">
        <v>30.0</v>
      </c>
      <c r="F24" s="11"/>
      <c r="G24" s="11" t="s">
        <v>701</v>
      </c>
      <c r="H24" s="11" t="s">
        <v>98</v>
      </c>
      <c r="I24" s="11" t="s">
        <v>781</v>
      </c>
      <c r="J24" s="99">
        <v>3.0</v>
      </c>
      <c r="K24" s="11" t="s">
        <v>166</v>
      </c>
      <c r="L24" s="11">
        <v>2.0</v>
      </c>
      <c r="M24" s="11">
        <f t="shared" si="2"/>
        <v>16</v>
      </c>
      <c r="N24" s="11" t="str">
        <f>VLOOKUP($G24, 'ADP Data'!$B$4:$Q$300, 6, FALSE)</f>
        <v>#N/A</v>
      </c>
      <c r="O24" s="11" t="str">
        <f>VLOOKUP($G24, 'ADP Data'!$B$4:$Q$300, 10, FALSE)</f>
        <v>#N/A</v>
      </c>
      <c r="P24" s="11" t="str">
        <f>VLOOKUP($G24, 'ADP Data'!$B$4:$Q$300, 4, FALSE)</f>
        <v>#N/A</v>
      </c>
      <c r="Q24" s="11" t="str">
        <f>VLOOKUP($G24, 'ADP Data'!$B$4:$Q$300, 5, FALSE)</f>
        <v>#N/A</v>
      </c>
      <c r="R24" s="11" t="str">
        <f>VLOOKUP($G24, 'ADP Data'!$B$4:$Q$300, 7, FALSE)</f>
        <v>#N/A</v>
      </c>
      <c r="S24" s="11" t="str">
        <f>VLOOKUP($G24, 'ADP Data'!$B$4:$Q$300, 8, FALSE)</f>
        <v>#N/A</v>
      </c>
      <c r="T24" s="11" t="str">
        <f>VLOOKUP($G24, 'ADP Data'!$B$4:$Q$300, 9, FALSE)</f>
        <v>#N/A</v>
      </c>
      <c r="U24" s="11" t="str">
        <f t="shared" si="3"/>
        <v>#N/A</v>
      </c>
      <c r="V24" s="11"/>
    </row>
    <row r="25" ht="14.25" customHeight="1">
      <c r="A25" s="11"/>
      <c r="B25" s="11" t="str">
        <f t="shared" si="1"/>
        <v>#N/A</v>
      </c>
      <c r="C25" s="11" t="s">
        <v>106</v>
      </c>
      <c r="D25" s="11">
        <v>34.0</v>
      </c>
      <c r="E25" s="11">
        <v>25.0</v>
      </c>
      <c r="F25" s="11"/>
      <c r="G25" s="11" t="s">
        <v>74</v>
      </c>
      <c r="H25" s="11" t="s">
        <v>75</v>
      </c>
      <c r="I25" s="11" t="s">
        <v>775</v>
      </c>
      <c r="J25" s="99">
        <v>7.0</v>
      </c>
      <c r="K25" s="11" t="s">
        <v>1326</v>
      </c>
      <c r="L25" s="11">
        <v>6.0</v>
      </c>
      <c r="M25" s="11">
        <f t="shared" si="2"/>
        <v>16</v>
      </c>
      <c r="N25" s="11" t="str">
        <f>VLOOKUP($G25, 'ADP Data'!$B$4:$Q$300, 6, FALSE)</f>
        <v>#N/A</v>
      </c>
      <c r="O25" s="11" t="str">
        <f>VLOOKUP($G25, 'ADP Data'!$B$4:$Q$300, 10, FALSE)</f>
        <v>#N/A</v>
      </c>
      <c r="P25" s="11" t="str">
        <f>VLOOKUP($G25, 'ADP Data'!$B$4:$Q$300, 4, FALSE)</f>
        <v>#N/A</v>
      </c>
      <c r="Q25" s="11" t="str">
        <f>VLOOKUP($G25, 'ADP Data'!$B$4:$Q$300, 5, FALSE)</f>
        <v>#N/A</v>
      </c>
      <c r="R25" s="11" t="str">
        <f>VLOOKUP($G25, 'ADP Data'!$B$4:$Q$300, 7, FALSE)</f>
        <v>#N/A</v>
      </c>
      <c r="S25" s="11" t="str">
        <f>VLOOKUP($G25, 'ADP Data'!$B$4:$Q$300, 8, FALSE)</f>
        <v>#N/A</v>
      </c>
      <c r="T25" s="11" t="str">
        <f>VLOOKUP($G25, 'ADP Data'!$B$4:$Q$300, 9, FALSE)</f>
        <v>#N/A</v>
      </c>
      <c r="U25" s="11" t="str">
        <f t="shared" si="3"/>
        <v>#N/A</v>
      </c>
      <c r="V25" s="11"/>
    </row>
    <row r="26" ht="14.25" customHeight="1">
      <c r="A26" s="11"/>
      <c r="B26" s="11" t="str">
        <f t="shared" si="1"/>
        <v>#N/A</v>
      </c>
      <c r="C26" s="11" t="s">
        <v>106</v>
      </c>
      <c r="D26" s="11">
        <v>36.0</v>
      </c>
      <c r="E26" s="11">
        <v>35.0</v>
      </c>
      <c r="F26" s="11"/>
      <c r="G26" s="49" t="s">
        <v>789</v>
      </c>
      <c r="H26" s="11" t="s">
        <v>45</v>
      </c>
      <c r="I26" s="11" t="s">
        <v>772</v>
      </c>
      <c r="J26" s="99" t="s">
        <v>1327</v>
      </c>
      <c r="K26" s="11" t="s">
        <v>1328</v>
      </c>
      <c r="L26" s="11">
        <v>13.0</v>
      </c>
      <c r="M26" s="11">
        <f t="shared" si="2"/>
        <v>16</v>
      </c>
      <c r="N26" s="11" t="str">
        <f>VLOOKUP($G26, 'ADP Data'!$B$4:$Q$300, 6, FALSE)</f>
        <v>#N/A</v>
      </c>
      <c r="O26" s="11" t="str">
        <f>VLOOKUP($G26, 'ADP Data'!$B$4:$Q$300, 10, FALSE)</f>
        <v>#N/A</v>
      </c>
      <c r="P26" s="11" t="str">
        <f>VLOOKUP($G26, 'ADP Data'!$B$4:$Q$300, 4, FALSE)</f>
        <v>#N/A</v>
      </c>
      <c r="Q26" s="11" t="str">
        <f>VLOOKUP($G26, 'ADP Data'!$B$4:$Q$300, 5, FALSE)</f>
        <v>#N/A</v>
      </c>
      <c r="R26" s="11" t="str">
        <f>VLOOKUP($G26, 'ADP Data'!$B$4:$Q$300, 7, FALSE)</f>
        <v>#N/A</v>
      </c>
      <c r="S26" s="11" t="str">
        <f>VLOOKUP($G26, 'ADP Data'!$B$4:$Q$300, 8, FALSE)</f>
        <v>#N/A</v>
      </c>
      <c r="T26" s="11" t="str">
        <f>VLOOKUP($G26, 'ADP Data'!$B$4:$Q$300, 9, FALSE)</f>
        <v>#N/A</v>
      </c>
      <c r="U26" s="11" t="str">
        <f t="shared" si="3"/>
        <v>#N/A</v>
      </c>
      <c r="V26" s="11"/>
    </row>
    <row r="27" ht="14.25" customHeight="1">
      <c r="A27" s="11"/>
      <c r="B27" s="11" t="str">
        <f t="shared" si="1"/>
        <v>#N/A</v>
      </c>
      <c r="C27" s="11" t="s">
        <v>106</v>
      </c>
      <c r="D27" s="11">
        <v>35.0</v>
      </c>
      <c r="E27" s="11">
        <v>25.0</v>
      </c>
      <c r="F27" s="11"/>
      <c r="G27" s="11" t="s">
        <v>191</v>
      </c>
      <c r="H27" s="11" t="s">
        <v>192</v>
      </c>
      <c r="I27" s="11" t="s">
        <v>775</v>
      </c>
      <c r="J27" s="99" t="s">
        <v>1320</v>
      </c>
      <c r="K27" s="11" t="s">
        <v>1326</v>
      </c>
      <c r="L27" s="11">
        <v>7.0</v>
      </c>
      <c r="M27" s="11">
        <f t="shared" si="2"/>
        <v>16</v>
      </c>
      <c r="N27" s="11" t="str">
        <f>VLOOKUP($G27, 'ADP Data'!$B$4:$Q$300, 6, FALSE)</f>
        <v>#N/A</v>
      </c>
      <c r="O27" s="11" t="str">
        <f>VLOOKUP($G27, 'ADP Data'!$B$4:$Q$300, 10, FALSE)</f>
        <v>#N/A</v>
      </c>
      <c r="P27" s="11" t="str">
        <f>VLOOKUP($G27, 'ADP Data'!$B$4:$Q$300, 4, FALSE)</f>
        <v>#N/A</v>
      </c>
      <c r="Q27" s="11" t="str">
        <f>VLOOKUP($G27, 'ADP Data'!$B$4:$Q$300, 5, FALSE)</f>
        <v>#N/A</v>
      </c>
      <c r="R27" s="11" t="str">
        <f>VLOOKUP($G27, 'ADP Data'!$B$4:$Q$300, 7, FALSE)</f>
        <v>#N/A</v>
      </c>
      <c r="S27" s="11" t="str">
        <f>VLOOKUP($G27, 'ADP Data'!$B$4:$Q$300, 8, FALSE)</f>
        <v>#N/A</v>
      </c>
      <c r="T27" s="11" t="str">
        <f>VLOOKUP($G27, 'ADP Data'!$B$4:$Q$300, 9, FALSE)</f>
        <v>#N/A</v>
      </c>
      <c r="U27" s="11" t="str">
        <f t="shared" si="3"/>
        <v>#N/A</v>
      </c>
      <c r="V27" s="11" t="s">
        <v>1330</v>
      </c>
    </row>
    <row r="28" ht="14.25" customHeight="1">
      <c r="A28" s="11"/>
      <c r="B28" s="11" t="str">
        <f t="shared" si="1"/>
        <v>#N/A</v>
      </c>
      <c r="C28" s="11" t="s">
        <v>106</v>
      </c>
      <c r="D28" s="11">
        <v>28.0</v>
      </c>
      <c r="E28" s="11">
        <v>15.0</v>
      </c>
      <c r="F28" s="11"/>
      <c r="G28" s="11" t="s">
        <v>319</v>
      </c>
      <c r="H28" s="11" t="s">
        <v>102</v>
      </c>
      <c r="I28" s="11" t="s">
        <v>770</v>
      </c>
      <c r="J28" s="99">
        <v>1.0</v>
      </c>
      <c r="K28" s="11" t="s">
        <v>233</v>
      </c>
      <c r="L28" s="11">
        <v>1.0</v>
      </c>
      <c r="M28" s="11">
        <f t="shared" si="2"/>
        <v>16</v>
      </c>
      <c r="N28" s="11" t="str">
        <f>VLOOKUP($G28, 'ADP Data'!$B$4:$Q$300, 6, FALSE)</f>
        <v>#N/A</v>
      </c>
      <c r="O28" s="11" t="str">
        <f>VLOOKUP($G28, 'ADP Data'!$B$4:$Q$300, 10, FALSE)</f>
        <v>#N/A</v>
      </c>
      <c r="P28" s="11" t="str">
        <f>VLOOKUP($G28, 'ADP Data'!$B$4:$Q$300, 4, FALSE)</f>
        <v>#N/A</v>
      </c>
      <c r="Q28" s="11" t="str">
        <f>VLOOKUP($G28, 'ADP Data'!$B$4:$Q$300, 5, FALSE)</f>
        <v>#N/A</v>
      </c>
      <c r="R28" s="11" t="str">
        <f>VLOOKUP($G28, 'ADP Data'!$B$4:$Q$300, 7, FALSE)</f>
        <v>#N/A</v>
      </c>
      <c r="S28" s="11" t="str">
        <f>VLOOKUP($G28, 'ADP Data'!$B$4:$Q$300, 8, FALSE)</f>
        <v>#N/A</v>
      </c>
      <c r="T28" s="11" t="str">
        <f>VLOOKUP($G28, 'ADP Data'!$B$4:$Q$300, 9, FALSE)</f>
        <v>#N/A</v>
      </c>
      <c r="U28" s="11" t="str">
        <f t="shared" si="3"/>
        <v>#N/A</v>
      </c>
      <c r="V28" s="11"/>
    </row>
    <row r="29" ht="14.25" customHeight="1">
      <c r="A29" s="11"/>
      <c r="B29" s="11" t="str">
        <f t="shared" si="1"/>
        <v>#N/A</v>
      </c>
      <c r="C29" s="11" t="s">
        <v>106</v>
      </c>
      <c r="D29" s="11">
        <v>24.0</v>
      </c>
      <c r="E29" s="11">
        <v>25.0</v>
      </c>
      <c r="F29" s="11" t="s">
        <v>106</v>
      </c>
      <c r="G29" s="11" t="s">
        <v>1305</v>
      </c>
      <c r="H29" s="11" t="s">
        <v>171</v>
      </c>
      <c r="I29" s="11" t="s">
        <v>775</v>
      </c>
      <c r="J29" s="99" t="s">
        <v>1325</v>
      </c>
      <c r="K29" s="11" t="s">
        <v>1326</v>
      </c>
      <c r="L29" s="11">
        <v>8.0</v>
      </c>
      <c r="M29" s="11">
        <f t="shared" si="2"/>
        <v>16</v>
      </c>
      <c r="N29" s="11" t="str">
        <f>VLOOKUP($G29, 'ADP Data'!$B$4:$Q$300, 6, FALSE)</f>
        <v>#N/A</v>
      </c>
      <c r="O29" s="11" t="str">
        <f>VLOOKUP($G29, 'ADP Data'!$B$4:$Q$300, 10, FALSE)</f>
        <v>#N/A</v>
      </c>
      <c r="P29" s="11" t="str">
        <f>VLOOKUP($G29, 'ADP Data'!$B$4:$Q$300, 4, FALSE)</f>
        <v>#N/A</v>
      </c>
      <c r="Q29" s="11" t="str">
        <f>VLOOKUP($G29, 'ADP Data'!$B$4:$Q$300, 5, FALSE)</f>
        <v>#N/A</v>
      </c>
      <c r="R29" s="11" t="str">
        <f>VLOOKUP($G29, 'ADP Data'!$B$4:$Q$300, 7, FALSE)</f>
        <v>#N/A</v>
      </c>
      <c r="S29" s="11" t="str">
        <f>VLOOKUP($G29, 'ADP Data'!$B$4:$Q$300, 8, FALSE)</f>
        <v>#N/A</v>
      </c>
      <c r="T29" s="11" t="str">
        <f>VLOOKUP($G29, 'ADP Data'!$B$4:$Q$300, 9, FALSE)</f>
        <v>#N/A</v>
      </c>
      <c r="U29" s="11" t="str">
        <f t="shared" si="3"/>
        <v>#N/A</v>
      </c>
      <c r="V29" s="11"/>
    </row>
    <row r="30" ht="14.25" customHeight="1">
      <c r="A30" s="11"/>
      <c r="B30" s="11" t="str">
        <f t="shared" si="1"/>
        <v>#N/A</v>
      </c>
      <c r="C30" s="11" t="s">
        <v>106</v>
      </c>
      <c r="D30" s="11">
        <v>28.0</v>
      </c>
      <c r="E30" s="11">
        <v>25.0</v>
      </c>
      <c r="F30" s="11"/>
      <c r="G30" s="49" t="s">
        <v>284</v>
      </c>
      <c r="H30" s="11" t="s">
        <v>58</v>
      </c>
      <c r="I30" s="11" t="s">
        <v>781</v>
      </c>
      <c r="J30" s="99">
        <v>2.0</v>
      </c>
      <c r="K30" s="11" t="s">
        <v>166</v>
      </c>
      <c r="L30" s="11">
        <v>3.0</v>
      </c>
      <c r="M30" s="11">
        <f t="shared" si="2"/>
        <v>16</v>
      </c>
      <c r="N30" s="11" t="str">
        <f>VLOOKUP($G30, 'ADP Data'!$B$4:$Q$300, 6, FALSE)</f>
        <v>#N/A</v>
      </c>
      <c r="O30" s="11" t="str">
        <f>VLOOKUP($G30, 'ADP Data'!$B$4:$Q$300, 10, FALSE)</f>
        <v>#N/A</v>
      </c>
      <c r="P30" s="11" t="str">
        <f>VLOOKUP($G30, 'ADP Data'!$B$4:$Q$300, 4, FALSE)</f>
        <v>#N/A</v>
      </c>
      <c r="Q30" s="11" t="str">
        <f>VLOOKUP($G30, 'ADP Data'!$B$4:$Q$300, 5, FALSE)</f>
        <v>#N/A</v>
      </c>
      <c r="R30" s="11" t="str">
        <f>VLOOKUP($G30, 'ADP Data'!$B$4:$Q$300, 7, FALSE)</f>
        <v>#N/A</v>
      </c>
      <c r="S30" s="11" t="str">
        <f>VLOOKUP($G30, 'ADP Data'!$B$4:$Q$300, 8, FALSE)</f>
        <v>#N/A</v>
      </c>
      <c r="T30" s="11" t="str">
        <f>VLOOKUP($G30, 'ADP Data'!$B$4:$Q$300, 9, FALSE)</f>
        <v>#N/A</v>
      </c>
      <c r="U30" s="11" t="str">
        <f t="shared" si="3"/>
        <v>#N/A</v>
      </c>
      <c r="V30" s="11"/>
    </row>
    <row r="31" ht="14.25" customHeight="1">
      <c r="A31" s="11" t="s">
        <v>1156</v>
      </c>
      <c r="B31" s="11" t="str">
        <f t="shared" si="1"/>
        <v>#N/A</v>
      </c>
      <c r="C31" s="11" t="s">
        <v>106</v>
      </c>
      <c r="D31" s="11">
        <v>36.0</v>
      </c>
      <c r="E31" s="11">
        <v>45.0</v>
      </c>
      <c r="F31" s="11" t="s">
        <v>106</v>
      </c>
      <c r="G31" s="11" t="s">
        <v>185</v>
      </c>
      <c r="H31" s="11" t="s">
        <v>171</v>
      </c>
      <c r="I31" s="11" t="s">
        <v>772</v>
      </c>
      <c r="J31" s="99" t="s">
        <v>1331</v>
      </c>
      <c r="K31" s="11" t="s">
        <v>1328</v>
      </c>
      <c r="L31" s="11">
        <v>14.0</v>
      </c>
      <c r="M31" s="11">
        <f t="shared" si="2"/>
        <v>16</v>
      </c>
      <c r="N31" s="11" t="str">
        <f>VLOOKUP($G31, 'ADP Data'!$B$4:$Q$300, 6, FALSE)</f>
        <v>#N/A</v>
      </c>
      <c r="O31" s="11" t="str">
        <f>VLOOKUP($G31, 'ADP Data'!$B$4:$Q$300, 10, FALSE)</f>
        <v>#N/A</v>
      </c>
      <c r="P31" s="11" t="str">
        <f>VLOOKUP($G31, 'ADP Data'!$B$4:$Q$300, 4, FALSE)</f>
        <v>#N/A</v>
      </c>
      <c r="Q31" s="11" t="str">
        <f>VLOOKUP($G31, 'ADP Data'!$B$4:$Q$300, 5, FALSE)</f>
        <v>#N/A</v>
      </c>
      <c r="R31" s="11" t="str">
        <f>VLOOKUP($G31, 'ADP Data'!$B$4:$Q$300, 7, FALSE)</f>
        <v>#N/A</v>
      </c>
      <c r="S31" s="11" t="str">
        <f>VLOOKUP($G31, 'ADP Data'!$B$4:$Q$300, 8, FALSE)</f>
        <v>#N/A</v>
      </c>
      <c r="T31" s="11" t="str">
        <f>VLOOKUP($G31, 'ADP Data'!$B$4:$Q$300, 9, FALSE)</f>
        <v>#N/A</v>
      </c>
      <c r="U31" s="11" t="str">
        <f t="shared" si="3"/>
        <v>#N/A</v>
      </c>
      <c r="V31" s="11" t="s">
        <v>1332</v>
      </c>
    </row>
    <row r="32" ht="14.25" customHeight="1">
      <c r="A32" s="11"/>
      <c r="B32" s="11" t="str">
        <f t="shared" si="1"/>
        <v>#N/A</v>
      </c>
      <c r="C32" s="11" t="s">
        <v>106</v>
      </c>
      <c r="D32" s="11">
        <v>37.0</v>
      </c>
      <c r="E32" s="11">
        <v>22.0</v>
      </c>
      <c r="F32" s="11"/>
      <c r="G32" s="11" t="s">
        <v>113</v>
      </c>
      <c r="H32" s="11" t="s">
        <v>231</v>
      </c>
      <c r="I32" s="11" t="s">
        <v>775</v>
      </c>
      <c r="J32" s="99">
        <v>8.0</v>
      </c>
      <c r="K32" s="11" t="s">
        <v>1326</v>
      </c>
      <c r="L32" s="11">
        <v>9.0</v>
      </c>
      <c r="M32" s="11">
        <f t="shared" si="2"/>
        <v>16</v>
      </c>
      <c r="N32" s="11" t="str">
        <f>VLOOKUP($G32, 'ADP Data'!$B$4:$Q$300, 6, FALSE)</f>
        <v>#N/A</v>
      </c>
      <c r="O32" s="11" t="str">
        <f>VLOOKUP($G32, 'ADP Data'!$B$4:$Q$300, 10, FALSE)</f>
        <v>#N/A</v>
      </c>
      <c r="P32" s="11" t="str">
        <f>VLOOKUP($G32, 'ADP Data'!$B$4:$Q$300, 4, FALSE)</f>
        <v>#N/A</v>
      </c>
      <c r="Q32" s="11" t="str">
        <f>VLOOKUP($G32, 'ADP Data'!$B$4:$Q$300, 5, FALSE)</f>
        <v>#N/A</v>
      </c>
      <c r="R32" s="11" t="str">
        <f>VLOOKUP($G32, 'ADP Data'!$B$4:$Q$300, 7, FALSE)</f>
        <v>#N/A</v>
      </c>
      <c r="S32" s="11" t="str">
        <f>VLOOKUP($G32, 'ADP Data'!$B$4:$Q$300, 8, FALSE)</f>
        <v>#N/A</v>
      </c>
      <c r="T32" s="11" t="str">
        <f>VLOOKUP($G32, 'ADP Data'!$B$4:$Q$300, 9, FALSE)</f>
        <v>#N/A</v>
      </c>
      <c r="U32" s="11" t="str">
        <f t="shared" si="3"/>
        <v>#N/A</v>
      </c>
      <c r="V32" s="11"/>
    </row>
    <row r="33" ht="14.25" customHeight="1">
      <c r="A33" s="11"/>
      <c r="B33" s="11" t="str">
        <f t="shared" si="1"/>
        <v>#N/A</v>
      </c>
      <c r="C33" s="11" t="s">
        <v>106</v>
      </c>
      <c r="D33" s="11">
        <v>27.0</v>
      </c>
      <c r="E33" s="11">
        <v>25.0</v>
      </c>
      <c r="F33" s="11"/>
      <c r="G33" s="11" t="s">
        <v>428</v>
      </c>
      <c r="H33" s="11" t="s">
        <v>105</v>
      </c>
      <c r="I33" s="11" t="s">
        <v>775</v>
      </c>
      <c r="J33" s="99">
        <v>9.0</v>
      </c>
      <c r="K33" s="11" t="s">
        <v>1326</v>
      </c>
      <c r="L33" s="11">
        <v>10.0</v>
      </c>
      <c r="M33" s="11">
        <f t="shared" si="2"/>
        <v>16</v>
      </c>
      <c r="N33" s="11" t="str">
        <f>VLOOKUP($G33, 'ADP Data'!$B$4:$Q$300, 6, FALSE)</f>
        <v>#N/A</v>
      </c>
      <c r="O33" s="11" t="str">
        <f>VLOOKUP($G33, 'ADP Data'!$B$4:$Q$300, 10, FALSE)</f>
        <v>#N/A</v>
      </c>
      <c r="P33" s="11" t="str">
        <f>VLOOKUP($G33, 'ADP Data'!$B$4:$Q$300, 4, FALSE)</f>
        <v>#N/A</v>
      </c>
      <c r="Q33" s="11" t="str">
        <f>VLOOKUP($G33, 'ADP Data'!$B$4:$Q$300, 5, FALSE)</f>
        <v>#N/A</v>
      </c>
      <c r="R33" s="11" t="str">
        <f>VLOOKUP($G33, 'ADP Data'!$B$4:$Q$300, 7, FALSE)</f>
        <v>#N/A</v>
      </c>
      <c r="S33" s="11" t="str">
        <f>VLOOKUP($G33, 'ADP Data'!$B$4:$Q$300, 8, FALSE)</f>
        <v>#N/A</v>
      </c>
      <c r="T33" s="11" t="str">
        <f>VLOOKUP($G33, 'ADP Data'!$B$4:$Q$300, 9, FALSE)</f>
        <v>#N/A</v>
      </c>
      <c r="U33" s="11" t="str">
        <f t="shared" si="3"/>
        <v>#N/A</v>
      </c>
      <c r="V33" s="11"/>
    </row>
    <row r="34" ht="14.25" customHeight="1">
      <c r="A34" s="11"/>
      <c r="B34" s="11" t="str">
        <f t="shared" si="1"/>
        <v>#N/A</v>
      </c>
      <c r="C34" s="11" t="s">
        <v>106</v>
      </c>
      <c r="D34" s="11">
        <v>40.0</v>
      </c>
      <c r="E34" s="11">
        <v>25.0</v>
      </c>
      <c r="F34" s="11"/>
      <c r="G34" s="11" t="s">
        <v>250</v>
      </c>
      <c r="H34" s="11" t="s">
        <v>52</v>
      </c>
      <c r="I34" s="11" t="s">
        <v>775</v>
      </c>
      <c r="J34" s="99">
        <v>6.0</v>
      </c>
      <c r="K34" s="11" t="s">
        <v>1326</v>
      </c>
      <c r="L34" s="11">
        <v>11.0</v>
      </c>
      <c r="M34" s="11">
        <f t="shared" si="2"/>
        <v>16</v>
      </c>
      <c r="N34" s="11" t="str">
        <f>VLOOKUP($G34, 'ADP Data'!$B$4:$Q$300, 6, FALSE)</f>
        <v>#N/A</v>
      </c>
      <c r="O34" s="11" t="str">
        <f>VLOOKUP($G34, 'ADP Data'!$B$4:$Q$300, 10, FALSE)</f>
        <v>#N/A</v>
      </c>
      <c r="P34" s="11" t="str">
        <f>VLOOKUP($G34, 'ADP Data'!$B$4:$Q$300, 4, FALSE)</f>
        <v>#N/A</v>
      </c>
      <c r="Q34" s="11" t="str">
        <f>VLOOKUP($G34, 'ADP Data'!$B$4:$Q$300, 5, FALSE)</f>
        <v>#N/A</v>
      </c>
      <c r="R34" s="11" t="str">
        <f>VLOOKUP($G34, 'ADP Data'!$B$4:$Q$300, 7, FALSE)</f>
        <v>#N/A</v>
      </c>
      <c r="S34" s="11" t="str">
        <f>VLOOKUP($G34, 'ADP Data'!$B$4:$Q$300, 8, FALSE)</f>
        <v>#N/A</v>
      </c>
      <c r="T34" s="11" t="str">
        <f>VLOOKUP($G34, 'ADP Data'!$B$4:$Q$300, 9, FALSE)</f>
        <v>#N/A</v>
      </c>
      <c r="U34" s="11" t="str">
        <f t="shared" si="3"/>
        <v>#N/A</v>
      </c>
      <c r="V34" s="11"/>
    </row>
    <row r="35" ht="14.25" customHeight="1">
      <c r="A35" s="11"/>
      <c r="B35" s="11" t="str">
        <f t="shared" si="1"/>
        <v>#N/A</v>
      </c>
      <c r="C35" s="11" t="s">
        <v>106</v>
      </c>
      <c r="D35" s="11">
        <v>14.0</v>
      </c>
      <c r="E35" s="11">
        <v>8.0</v>
      </c>
      <c r="F35" s="11"/>
      <c r="G35" s="11" t="s">
        <v>361</v>
      </c>
      <c r="H35" s="11" t="s">
        <v>125</v>
      </c>
      <c r="I35" s="11" t="s">
        <v>770</v>
      </c>
      <c r="J35" s="99">
        <v>3.0</v>
      </c>
      <c r="K35" s="11" t="s">
        <v>233</v>
      </c>
      <c r="L35" s="11">
        <v>2.0</v>
      </c>
      <c r="M35" s="11">
        <f t="shared" si="2"/>
        <v>16</v>
      </c>
      <c r="N35" s="11" t="str">
        <f>VLOOKUP($G35, 'ADP Data'!$B$4:$Q$300, 6, FALSE)</f>
        <v>#N/A</v>
      </c>
      <c r="O35" s="11" t="str">
        <f>VLOOKUP($G35, 'ADP Data'!$B$4:$Q$300, 10, FALSE)</f>
        <v>#N/A</v>
      </c>
      <c r="P35" s="11" t="str">
        <f>VLOOKUP($G35, 'ADP Data'!$B$4:$Q$300, 4, FALSE)</f>
        <v>#N/A</v>
      </c>
      <c r="Q35" s="11" t="str">
        <f>VLOOKUP($G35, 'ADP Data'!$B$4:$Q$300, 5, FALSE)</f>
        <v>#N/A</v>
      </c>
      <c r="R35" s="11" t="str">
        <f>VLOOKUP($G35, 'ADP Data'!$B$4:$Q$300, 7, FALSE)</f>
        <v>#N/A</v>
      </c>
      <c r="S35" s="11" t="str">
        <f>VLOOKUP($G35, 'ADP Data'!$B$4:$Q$300, 8, FALSE)</f>
        <v>#N/A</v>
      </c>
      <c r="T35" s="11" t="str">
        <f>VLOOKUP($G35, 'ADP Data'!$B$4:$Q$300, 9, FALSE)</f>
        <v>#N/A</v>
      </c>
      <c r="U35" s="11" t="str">
        <f t="shared" si="3"/>
        <v>#N/A</v>
      </c>
      <c r="V35" s="60"/>
    </row>
    <row r="36" ht="14.25" customHeight="1">
      <c r="A36" s="11"/>
      <c r="B36" s="11" t="str">
        <f t="shared" si="1"/>
        <v>#N/A</v>
      </c>
      <c r="C36" s="11" t="s">
        <v>106</v>
      </c>
      <c r="D36" s="11">
        <v>36.0</v>
      </c>
      <c r="E36" s="11">
        <v>25.0</v>
      </c>
      <c r="F36" s="11"/>
      <c r="G36" s="11" t="s">
        <v>220</v>
      </c>
      <c r="H36" s="11" t="s">
        <v>162</v>
      </c>
      <c r="I36" s="11" t="s">
        <v>775</v>
      </c>
      <c r="J36" s="99" t="s">
        <v>1327</v>
      </c>
      <c r="K36" s="11" t="s">
        <v>1326</v>
      </c>
      <c r="L36" s="11">
        <v>12.0</v>
      </c>
      <c r="M36" s="11">
        <f t="shared" si="2"/>
        <v>16</v>
      </c>
      <c r="N36" s="11" t="str">
        <f>VLOOKUP($G36, 'ADP Data'!$B$4:$Q$300, 6, FALSE)</f>
        <v>#N/A</v>
      </c>
      <c r="O36" s="11" t="str">
        <f>VLOOKUP($G36, 'ADP Data'!$B$4:$Q$300, 10, FALSE)</f>
        <v>#N/A</v>
      </c>
      <c r="P36" s="11" t="str">
        <f>VLOOKUP($G36, 'ADP Data'!$B$4:$Q$300, 4, FALSE)</f>
        <v>#N/A</v>
      </c>
      <c r="Q36" s="11" t="str">
        <f>VLOOKUP($G36, 'ADP Data'!$B$4:$Q$300, 5, FALSE)</f>
        <v>#N/A</v>
      </c>
      <c r="R36" s="11" t="str">
        <f>VLOOKUP($G36, 'ADP Data'!$B$4:$Q$300, 7, FALSE)</f>
        <v>#N/A</v>
      </c>
      <c r="S36" s="11" t="str">
        <f>VLOOKUP($G36, 'ADP Data'!$B$4:$Q$300, 8, FALSE)</f>
        <v>#N/A</v>
      </c>
      <c r="T36" s="11" t="str">
        <f>VLOOKUP($G36, 'ADP Data'!$B$4:$Q$300, 9, FALSE)</f>
        <v>#N/A</v>
      </c>
      <c r="U36" s="11" t="str">
        <f t="shared" si="3"/>
        <v>#N/A</v>
      </c>
      <c r="V36" s="11" t="s">
        <v>1333</v>
      </c>
    </row>
    <row r="37" ht="14.25" customHeight="1">
      <c r="A37" s="11"/>
      <c r="B37" s="11" t="str">
        <f t="shared" si="1"/>
        <v>#N/A</v>
      </c>
      <c r="C37" s="11" t="s">
        <v>106</v>
      </c>
      <c r="D37" s="11">
        <v>32.0</v>
      </c>
      <c r="E37" s="11">
        <v>20.0</v>
      </c>
      <c r="F37" s="11"/>
      <c r="G37" s="11" t="s">
        <v>70</v>
      </c>
      <c r="H37" s="11" t="s">
        <v>71</v>
      </c>
      <c r="I37" s="11" t="s">
        <v>775</v>
      </c>
      <c r="J37" s="99" t="s">
        <v>1324</v>
      </c>
      <c r="K37" s="11" t="s">
        <v>1334</v>
      </c>
      <c r="L37" s="11">
        <v>13.0</v>
      </c>
      <c r="M37" s="11">
        <f t="shared" si="2"/>
        <v>16</v>
      </c>
      <c r="N37" s="11" t="str">
        <f>VLOOKUP($G37, 'ADP Data'!$B$4:$Q$300, 6, FALSE)</f>
        <v>#N/A</v>
      </c>
      <c r="O37" s="11" t="str">
        <f>VLOOKUP($G37, 'ADP Data'!$B$4:$Q$300, 10, FALSE)</f>
        <v>#N/A</v>
      </c>
      <c r="P37" s="11" t="str">
        <f>VLOOKUP($G37, 'ADP Data'!$B$4:$Q$300, 4, FALSE)</f>
        <v>#N/A</v>
      </c>
      <c r="Q37" s="11" t="str">
        <f>VLOOKUP($G37, 'ADP Data'!$B$4:$Q$300, 5, FALSE)</f>
        <v>#N/A</v>
      </c>
      <c r="R37" s="11" t="str">
        <f>VLOOKUP($G37, 'ADP Data'!$B$4:$Q$300, 7, FALSE)</f>
        <v>#N/A</v>
      </c>
      <c r="S37" s="11" t="str">
        <f>VLOOKUP($G37, 'ADP Data'!$B$4:$Q$300, 8, FALSE)</f>
        <v>#N/A</v>
      </c>
      <c r="T37" s="11" t="str">
        <f>VLOOKUP($G37, 'ADP Data'!$B$4:$Q$300, 9, FALSE)</f>
        <v>#N/A</v>
      </c>
      <c r="U37" s="11" t="str">
        <f t="shared" si="3"/>
        <v>#N/A</v>
      </c>
      <c r="V37" s="11"/>
    </row>
    <row r="38" ht="14.25" customHeight="1">
      <c r="A38" s="11"/>
      <c r="B38" s="11" t="str">
        <f t="shared" si="1"/>
        <v>#N/A</v>
      </c>
      <c r="C38" s="11" t="s">
        <v>106</v>
      </c>
      <c r="D38" s="11">
        <v>21.0</v>
      </c>
      <c r="E38" s="11">
        <v>20.0</v>
      </c>
      <c r="F38" s="11"/>
      <c r="G38" s="11" t="s">
        <v>796</v>
      </c>
      <c r="H38" s="11" t="s">
        <v>71</v>
      </c>
      <c r="I38" s="11" t="s">
        <v>775</v>
      </c>
      <c r="J38" s="99" t="s">
        <v>1335</v>
      </c>
      <c r="K38" s="11" t="s">
        <v>1334</v>
      </c>
      <c r="L38" s="11">
        <v>14.0</v>
      </c>
      <c r="M38" s="11">
        <f t="shared" si="2"/>
        <v>16</v>
      </c>
      <c r="N38" s="11" t="str">
        <f>VLOOKUP($G38, 'ADP Data'!$B$4:$Q$300, 6, FALSE)</f>
        <v>#N/A</v>
      </c>
      <c r="O38" s="11" t="str">
        <f>VLOOKUP($G38, 'ADP Data'!$B$4:$Q$300, 10, FALSE)</f>
        <v>#N/A</v>
      </c>
      <c r="P38" s="11" t="str">
        <f>VLOOKUP($G38, 'ADP Data'!$B$4:$Q$300, 4, FALSE)</f>
        <v>#N/A</v>
      </c>
      <c r="Q38" s="11" t="str">
        <f>VLOOKUP($G38, 'ADP Data'!$B$4:$Q$300, 5, FALSE)</f>
        <v>#N/A</v>
      </c>
      <c r="R38" s="11" t="str">
        <f>VLOOKUP($G38, 'ADP Data'!$B$4:$Q$300, 7, FALSE)</f>
        <v>#N/A</v>
      </c>
      <c r="S38" s="11" t="str">
        <f>VLOOKUP($G38, 'ADP Data'!$B$4:$Q$300, 8, FALSE)</f>
        <v>#N/A</v>
      </c>
      <c r="T38" s="11" t="str">
        <f>VLOOKUP($G38, 'ADP Data'!$B$4:$Q$300, 9, FALSE)</f>
        <v>#N/A</v>
      </c>
      <c r="U38" s="11" t="str">
        <f t="shared" si="3"/>
        <v>#N/A</v>
      </c>
      <c r="V38" s="11"/>
    </row>
    <row r="39" ht="14.25" customHeight="1">
      <c r="A39" s="11"/>
      <c r="B39" s="11" t="str">
        <f t="shared" si="1"/>
        <v>#N/A</v>
      </c>
      <c r="C39" s="11" t="s">
        <v>106</v>
      </c>
      <c r="D39" s="11">
        <v>34.0</v>
      </c>
      <c r="E39" s="11">
        <v>35.0</v>
      </c>
      <c r="F39" s="11"/>
      <c r="G39" s="11" t="s">
        <v>1337</v>
      </c>
      <c r="H39" s="11" t="s">
        <v>52</v>
      </c>
      <c r="I39" s="11" t="s">
        <v>772</v>
      </c>
      <c r="J39" s="99" t="s">
        <v>1338</v>
      </c>
      <c r="K39" s="11" t="s">
        <v>1328</v>
      </c>
      <c r="L39" s="11">
        <v>15.0</v>
      </c>
      <c r="M39" s="11">
        <f t="shared" si="2"/>
        <v>16</v>
      </c>
      <c r="N39" s="11" t="str">
        <f>VLOOKUP($G39, 'ADP Data'!$B$4:$Q$300, 6, FALSE)</f>
        <v>#N/A</v>
      </c>
      <c r="O39" s="11" t="str">
        <f>VLOOKUP($G39, 'ADP Data'!$B$4:$Q$300, 10, FALSE)</f>
        <v>#N/A</v>
      </c>
      <c r="P39" s="11" t="str">
        <f>VLOOKUP($G39, 'ADP Data'!$B$4:$Q$300, 4, FALSE)</f>
        <v>#N/A</v>
      </c>
      <c r="Q39" s="11" t="str">
        <f>VLOOKUP($G39, 'ADP Data'!$B$4:$Q$300, 5, FALSE)</f>
        <v>#N/A</v>
      </c>
      <c r="R39" s="11" t="str">
        <f>VLOOKUP($G39, 'ADP Data'!$B$4:$Q$300, 7, FALSE)</f>
        <v>#N/A</v>
      </c>
      <c r="S39" s="11" t="str">
        <f>VLOOKUP($G39, 'ADP Data'!$B$4:$Q$300, 8, FALSE)</f>
        <v>#N/A</v>
      </c>
      <c r="T39" s="11" t="str">
        <f>VLOOKUP($G39, 'ADP Data'!$B$4:$Q$300, 9, FALSE)</f>
        <v>#N/A</v>
      </c>
      <c r="U39" s="11" t="str">
        <f t="shared" si="3"/>
        <v>#N/A</v>
      </c>
      <c r="V39" s="11"/>
    </row>
    <row r="40" ht="14.25" customHeight="1">
      <c r="A40" s="11"/>
      <c r="B40" s="11" t="str">
        <f t="shared" si="1"/>
        <v>#N/A</v>
      </c>
      <c r="C40" s="11" t="s">
        <v>106</v>
      </c>
      <c r="D40" s="11">
        <v>25.0</v>
      </c>
      <c r="E40" s="11">
        <v>25.0</v>
      </c>
      <c r="F40" s="11"/>
      <c r="G40" s="11" t="s">
        <v>270</v>
      </c>
      <c r="H40" s="11" t="s">
        <v>162</v>
      </c>
      <c r="I40" s="11" t="s">
        <v>775</v>
      </c>
      <c r="J40" s="99" t="s">
        <v>1331</v>
      </c>
      <c r="K40" s="11" t="s">
        <v>1326</v>
      </c>
      <c r="L40" s="11">
        <v>15.0</v>
      </c>
      <c r="M40" s="11">
        <f t="shared" si="2"/>
        <v>16</v>
      </c>
      <c r="N40" s="11" t="str">
        <f>VLOOKUP($G40, 'ADP Data'!$B$4:$Q$300, 6, FALSE)</f>
        <v>#N/A</v>
      </c>
      <c r="O40" s="11" t="str">
        <f>VLOOKUP($G40, 'ADP Data'!$B$4:$Q$300, 10, FALSE)</f>
        <v>#N/A</v>
      </c>
      <c r="P40" s="11" t="str">
        <f>VLOOKUP($G40, 'ADP Data'!$B$4:$Q$300, 4, FALSE)</f>
        <v>#N/A</v>
      </c>
      <c r="Q40" s="11" t="str">
        <f>VLOOKUP($G40, 'ADP Data'!$B$4:$Q$300, 5, FALSE)</f>
        <v>#N/A</v>
      </c>
      <c r="R40" s="11" t="str">
        <f>VLOOKUP($G40, 'ADP Data'!$B$4:$Q$300, 7, FALSE)</f>
        <v>#N/A</v>
      </c>
      <c r="S40" s="11" t="str">
        <f>VLOOKUP($G40, 'ADP Data'!$B$4:$Q$300, 8, FALSE)</f>
        <v>#N/A</v>
      </c>
      <c r="T40" s="11" t="str">
        <f>VLOOKUP($G40, 'ADP Data'!$B$4:$Q$300, 9, FALSE)</f>
        <v>#N/A</v>
      </c>
      <c r="U40" s="11" t="str">
        <f t="shared" si="3"/>
        <v>#N/A</v>
      </c>
      <c r="V40" s="11"/>
    </row>
    <row r="41" ht="14.25" customHeight="1">
      <c r="A41" s="11"/>
      <c r="B41" s="11" t="str">
        <f t="shared" si="1"/>
        <v>#N/A</v>
      </c>
      <c r="C41" s="11" t="s">
        <v>106</v>
      </c>
      <c r="D41" s="11">
        <v>32.0</v>
      </c>
      <c r="E41" s="60">
        <v>25.0</v>
      </c>
      <c r="F41" s="60"/>
      <c r="G41" s="60" t="s">
        <v>1291</v>
      </c>
      <c r="H41" s="60" t="s">
        <v>206</v>
      </c>
      <c r="I41" s="60" t="s">
        <v>772</v>
      </c>
      <c r="J41" s="60" t="s">
        <v>1339</v>
      </c>
      <c r="K41" s="60" t="s">
        <v>1328</v>
      </c>
      <c r="L41" s="11">
        <v>16.0</v>
      </c>
      <c r="M41" s="11">
        <f t="shared" si="2"/>
        <v>16</v>
      </c>
      <c r="N41" s="11" t="str">
        <f>VLOOKUP($G41, 'ADP Data'!$B$4:$Q$300, 6, FALSE)</f>
        <v>#N/A</v>
      </c>
      <c r="O41" s="11" t="str">
        <f>VLOOKUP($G41, 'ADP Data'!$B$4:$Q$300, 10, FALSE)</f>
        <v>#N/A</v>
      </c>
      <c r="P41" s="11" t="str">
        <f>VLOOKUP($G41, 'ADP Data'!$B$4:$Q$300, 4, FALSE)</f>
        <v>#N/A</v>
      </c>
      <c r="Q41" s="11" t="str">
        <f>VLOOKUP($G41, 'ADP Data'!$B$4:$Q$300, 5, FALSE)</f>
        <v>#N/A</v>
      </c>
      <c r="R41" s="11" t="str">
        <f>VLOOKUP($G41, 'ADP Data'!$B$4:$Q$300, 7, FALSE)</f>
        <v>#N/A</v>
      </c>
      <c r="S41" s="11" t="str">
        <f>VLOOKUP($G41, 'ADP Data'!$B$4:$Q$300, 8, FALSE)</f>
        <v>#N/A</v>
      </c>
      <c r="T41" s="11" t="str">
        <f>VLOOKUP($G41, 'ADP Data'!$B$4:$Q$300, 9, FALSE)</f>
        <v>#N/A</v>
      </c>
      <c r="U41" s="11" t="str">
        <f t="shared" si="3"/>
        <v>#N/A</v>
      </c>
      <c r="V41" s="60"/>
    </row>
    <row r="42" ht="14.25" customHeight="1">
      <c r="A42" s="11"/>
      <c r="B42" s="11" t="str">
        <f t="shared" si="1"/>
        <v>#N/A</v>
      </c>
      <c r="C42" s="11" t="s">
        <v>106</v>
      </c>
      <c r="D42" s="11">
        <v>39.0</v>
      </c>
      <c r="E42" s="60">
        <v>30.0</v>
      </c>
      <c r="F42" s="60"/>
      <c r="G42" s="60" t="s">
        <v>958</v>
      </c>
      <c r="H42" s="60" t="s">
        <v>102</v>
      </c>
      <c r="I42" s="60" t="s">
        <v>772</v>
      </c>
      <c r="J42" s="99" t="s">
        <v>1340</v>
      </c>
      <c r="K42" s="60" t="s">
        <v>1341</v>
      </c>
      <c r="L42" s="100">
        <v>17.0</v>
      </c>
      <c r="M42" s="11">
        <f t="shared" si="2"/>
        <v>16</v>
      </c>
      <c r="N42" s="11" t="str">
        <f>VLOOKUP($G42, 'ADP Data'!$B$4:$Q$300, 6, FALSE)</f>
        <v>#N/A</v>
      </c>
      <c r="O42" s="11" t="str">
        <f>VLOOKUP($G42, 'ADP Data'!$B$4:$Q$300, 10, FALSE)</f>
        <v>#N/A</v>
      </c>
      <c r="P42" s="11" t="str">
        <f>VLOOKUP($G42, 'ADP Data'!$B$4:$Q$300, 4, FALSE)</f>
        <v>#N/A</v>
      </c>
      <c r="Q42" s="11" t="str">
        <f>VLOOKUP($G42, 'ADP Data'!$B$4:$Q$300, 5, FALSE)</f>
        <v>#N/A</v>
      </c>
      <c r="R42" s="11" t="str">
        <f>VLOOKUP($G42, 'ADP Data'!$B$4:$Q$300, 7, FALSE)</f>
        <v>#N/A</v>
      </c>
      <c r="S42" s="11" t="str">
        <f>VLOOKUP($G42, 'ADP Data'!$B$4:$Q$300, 8, FALSE)</f>
        <v>#N/A</v>
      </c>
      <c r="T42" s="11" t="str">
        <f>VLOOKUP($G42, 'ADP Data'!$B$4:$Q$300, 9, FALSE)</f>
        <v>#N/A</v>
      </c>
      <c r="U42" s="11" t="str">
        <f t="shared" si="3"/>
        <v>#N/A</v>
      </c>
      <c r="V42" s="60"/>
    </row>
    <row r="43" ht="14.25" customHeight="1">
      <c r="A43" s="11"/>
      <c r="B43" s="11" t="str">
        <f t="shared" si="1"/>
        <v>#N/A</v>
      </c>
      <c r="C43" s="11" t="s">
        <v>106</v>
      </c>
      <c r="D43" s="11">
        <v>25.0</v>
      </c>
      <c r="E43" s="11">
        <v>20.0</v>
      </c>
      <c r="F43" s="11"/>
      <c r="G43" s="11" t="s">
        <v>1201</v>
      </c>
      <c r="H43" s="11" t="s">
        <v>49</v>
      </c>
      <c r="I43" s="11" t="s">
        <v>775</v>
      </c>
      <c r="J43" s="99" t="s">
        <v>1340</v>
      </c>
      <c r="K43" s="11" t="s">
        <v>1343</v>
      </c>
      <c r="L43" s="11">
        <v>16.0</v>
      </c>
      <c r="M43" s="11">
        <f t="shared" si="2"/>
        <v>16</v>
      </c>
      <c r="N43" s="11" t="str">
        <f>VLOOKUP($G43, 'ADP Data'!$B$4:$Q$300, 6, FALSE)</f>
        <v>#N/A</v>
      </c>
      <c r="O43" s="11" t="str">
        <f>VLOOKUP($G43, 'ADP Data'!$B$4:$Q$300, 10, FALSE)</f>
        <v>#N/A</v>
      </c>
      <c r="P43" s="11" t="str">
        <f>VLOOKUP($G43, 'ADP Data'!$B$4:$Q$300, 4, FALSE)</f>
        <v>#N/A</v>
      </c>
      <c r="Q43" s="11" t="str">
        <f>VLOOKUP($G43, 'ADP Data'!$B$4:$Q$300, 5, FALSE)</f>
        <v>#N/A</v>
      </c>
      <c r="R43" s="11" t="str">
        <f>VLOOKUP($G43, 'ADP Data'!$B$4:$Q$300, 7, FALSE)</f>
        <v>#N/A</v>
      </c>
      <c r="S43" s="11" t="str">
        <f>VLOOKUP($G43, 'ADP Data'!$B$4:$Q$300, 8, FALSE)</f>
        <v>#N/A</v>
      </c>
      <c r="T43" s="11" t="str">
        <f>VLOOKUP($G43, 'ADP Data'!$B$4:$Q$300, 9, FALSE)</f>
        <v>#N/A</v>
      </c>
      <c r="U43" s="11" t="str">
        <f t="shared" si="3"/>
        <v>#N/A</v>
      </c>
      <c r="V43" s="11"/>
    </row>
    <row r="44" ht="14.25" customHeight="1">
      <c r="A44" s="11"/>
      <c r="B44" s="11" t="str">
        <f t="shared" si="1"/>
        <v>#N/A</v>
      </c>
      <c r="C44" s="11" t="s">
        <v>106</v>
      </c>
      <c r="D44" s="11">
        <v>25.0</v>
      </c>
      <c r="E44" s="60">
        <v>24.0</v>
      </c>
      <c r="F44" s="60"/>
      <c r="G44" s="49" t="s">
        <v>969</v>
      </c>
      <c r="H44" s="60" t="s">
        <v>85</v>
      </c>
      <c r="I44" s="60" t="s">
        <v>772</v>
      </c>
      <c r="J44" s="99" t="s">
        <v>1344</v>
      </c>
      <c r="K44" s="60" t="s">
        <v>1345</v>
      </c>
      <c r="L44" s="11">
        <v>18.0</v>
      </c>
      <c r="M44" s="11">
        <f t="shared" si="2"/>
        <v>16</v>
      </c>
      <c r="N44" s="11" t="str">
        <f>VLOOKUP($G44, 'ADP Data'!$B$4:$Q$300, 6, FALSE)</f>
        <v>#N/A</v>
      </c>
      <c r="O44" s="11" t="str">
        <f>VLOOKUP($G44, 'ADP Data'!$B$4:$Q$300, 10, FALSE)</f>
        <v>#N/A</v>
      </c>
      <c r="P44" s="11" t="str">
        <f>VLOOKUP($G44, 'ADP Data'!$B$4:$Q$300, 4, FALSE)</f>
        <v>#N/A</v>
      </c>
      <c r="Q44" s="11" t="str">
        <f>VLOOKUP($G44, 'ADP Data'!$B$4:$Q$300, 5, FALSE)</f>
        <v>#N/A</v>
      </c>
      <c r="R44" s="11" t="str">
        <f>VLOOKUP($G44, 'ADP Data'!$B$4:$Q$300, 7, FALSE)</f>
        <v>#N/A</v>
      </c>
      <c r="S44" s="11" t="str">
        <f>VLOOKUP($G44, 'ADP Data'!$B$4:$Q$300, 8, FALSE)</f>
        <v>#N/A</v>
      </c>
      <c r="T44" s="11" t="str">
        <f>VLOOKUP($G44, 'ADP Data'!$B$4:$Q$300, 9, FALSE)</f>
        <v>#N/A</v>
      </c>
      <c r="U44" s="11" t="str">
        <f t="shared" si="3"/>
        <v>#N/A</v>
      </c>
      <c r="V44" s="60" t="s">
        <v>1346</v>
      </c>
    </row>
    <row r="45" ht="14.25" customHeight="1">
      <c r="A45" s="11"/>
      <c r="B45" s="11" t="str">
        <f t="shared" si="1"/>
        <v>#N/A</v>
      </c>
      <c r="C45" s="11" t="s">
        <v>106</v>
      </c>
      <c r="D45" s="11">
        <v>23.0</v>
      </c>
      <c r="E45" s="11">
        <v>20.0</v>
      </c>
      <c r="F45" s="11" t="s">
        <v>106</v>
      </c>
      <c r="G45" s="49" t="s">
        <v>880</v>
      </c>
      <c r="H45" s="11" t="s">
        <v>52</v>
      </c>
      <c r="I45" s="11" t="s">
        <v>775</v>
      </c>
      <c r="J45" s="99" t="s">
        <v>1344</v>
      </c>
      <c r="K45" s="11" t="s">
        <v>1334</v>
      </c>
      <c r="L45" s="11">
        <v>17.0</v>
      </c>
      <c r="M45" s="11">
        <f t="shared" si="2"/>
        <v>16</v>
      </c>
      <c r="N45" s="11" t="str">
        <f>VLOOKUP($G45, 'ADP Data'!$B$4:$Q$300, 6, FALSE)</f>
        <v>#N/A</v>
      </c>
      <c r="O45" s="11" t="str">
        <f>VLOOKUP($G45, 'ADP Data'!$B$4:$Q$300, 10, FALSE)</f>
        <v>#N/A</v>
      </c>
      <c r="P45" s="11" t="str">
        <f>VLOOKUP($G45, 'ADP Data'!$B$4:$Q$300, 4, FALSE)</f>
        <v>#N/A</v>
      </c>
      <c r="Q45" s="11" t="str">
        <f>VLOOKUP($G45, 'ADP Data'!$B$4:$Q$300, 5, FALSE)</f>
        <v>#N/A</v>
      </c>
      <c r="R45" s="11" t="str">
        <f>VLOOKUP($G45, 'ADP Data'!$B$4:$Q$300, 7, FALSE)</f>
        <v>#N/A</v>
      </c>
      <c r="S45" s="11" t="str">
        <f>VLOOKUP($G45, 'ADP Data'!$B$4:$Q$300, 8, FALSE)</f>
        <v>#N/A</v>
      </c>
      <c r="T45" s="11" t="str">
        <f>VLOOKUP($G45, 'ADP Data'!$B$4:$Q$300, 9, FALSE)</f>
        <v>#N/A</v>
      </c>
      <c r="U45" s="11" t="str">
        <f t="shared" si="3"/>
        <v>#N/A</v>
      </c>
      <c r="V45" s="11"/>
    </row>
    <row r="46" ht="14.25" customHeight="1">
      <c r="A46" s="11" t="s">
        <v>1156</v>
      </c>
      <c r="B46" s="11" t="str">
        <f t="shared" si="1"/>
        <v>#N/A</v>
      </c>
      <c r="C46" s="11" t="s">
        <v>106</v>
      </c>
      <c r="D46" s="11">
        <v>8.0</v>
      </c>
      <c r="E46" s="11">
        <v>8.0</v>
      </c>
      <c r="F46" s="11"/>
      <c r="G46" s="11" t="s">
        <v>183</v>
      </c>
      <c r="H46" s="11" t="s">
        <v>109</v>
      </c>
      <c r="I46" s="11" t="s">
        <v>770</v>
      </c>
      <c r="J46" s="99">
        <v>4.0</v>
      </c>
      <c r="K46" s="11" t="s">
        <v>1348</v>
      </c>
      <c r="L46" s="11">
        <v>3.0</v>
      </c>
      <c r="M46" s="11">
        <f t="shared" si="2"/>
        <v>16</v>
      </c>
      <c r="N46" s="11" t="str">
        <f>VLOOKUP($G46, 'ADP Data'!$B$4:$Q$300, 6, FALSE)</f>
        <v>#N/A</v>
      </c>
      <c r="O46" s="11" t="str">
        <f>VLOOKUP($G46, 'ADP Data'!$B$4:$Q$300, 10, FALSE)</f>
        <v>#N/A</v>
      </c>
      <c r="P46" s="11" t="str">
        <f>VLOOKUP($G46, 'ADP Data'!$B$4:$Q$300, 4, FALSE)</f>
        <v>#N/A</v>
      </c>
      <c r="Q46" s="11" t="str">
        <f>VLOOKUP($G46, 'ADP Data'!$B$4:$Q$300, 5, FALSE)</f>
        <v>#N/A</v>
      </c>
      <c r="R46" s="11" t="str">
        <f>VLOOKUP($G46, 'ADP Data'!$B$4:$Q$300, 7, FALSE)</f>
        <v>#N/A</v>
      </c>
      <c r="S46" s="11" t="str">
        <f>VLOOKUP($G46, 'ADP Data'!$B$4:$Q$300, 8, FALSE)</f>
        <v>#N/A</v>
      </c>
      <c r="T46" s="11" t="str">
        <f>VLOOKUP($G46, 'ADP Data'!$B$4:$Q$300, 9, FALSE)</f>
        <v>#N/A</v>
      </c>
      <c r="U46" s="11" t="str">
        <f t="shared" si="3"/>
        <v>#N/A</v>
      </c>
      <c r="V46" s="60"/>
    </row>
    <row r="47" ht="14.25" customHeight="1">
      <c r="A47" s="11"/>
      <c r="B47" s="11" t="str">
        <f t="shared" si="1"/>
        <v>#N/A</v>
      </c>
      <c r="C47" s="11" t="s">
        <v>106</v>
      </c>
      <c r="D47" s="11">
        <v>21.0</v>
      </c>
      <c r="E47" s="11">
        <v>15.0</v>
      </c>
      <c r="F47" s="11" t="s">
        <v>106</v>
      </c>
      <c r="G47" s="11" t="s">
        <v>1231</v>
      </c>
      <c r="H47" s="11" t="s">
        <v>231</v>
      </c>
      <c r="I47" s="11" t="s">
        <v>775</v>
      </c>
      <c r="J47" s="99" t="s">
        <v>1349</v>
      </c>
      <c r="K47" s="11" t="s">
        <v>1343</v>
      </c>
      <c r="L47" s="11">
        <v>18.0</v>
      </c>
      <c r="M47" s="11">
        <f t="shared" si="2"/>
        <v>16</v>
      </c>
      <c r="N47" s="11" t="str">
        <f>VLOOKUP($G47, 'ADP Data'!$B$4:$Q$300, 6, FALSE)</f>
        <v>#N/A</v>
      </c>
      <c r="O47" s="11" t="str">
        <f>VLOOKUP($G47, 'ADP Data'!$B$4:$Q$300, 10, FALSE)</f>
        <v>#N/A</v>
      </c>
      <c r="P47" s="11" t="str">
        <f>VLOOKUP($G47, 'ADP Data'!$B$4:$Q$300, 4, FALSE)</f>
        <v>#N/A</v>
      </c>
      <c r="Q47" s="11" t="str">
        <f>VLOOKUP($G47, 'ADP Data'!$B$4:$Q$300, 5, FALSE)</f>
        <v>#N/A</v>
      </c>
      <c r="R47" s="11" t="str">
        <f>VLOOKUP($G47, 'ADP Data'!$B$4:$Q$300, 7, FALSE)</f>
        <v>#N/A</v>
      </c>
      <c r="S47" s="11" t="str">
        <f>VLOOKUP($G47, 'ADP Data'!$B$4:$Q$300, 8, FALSE)</f>
        <v>#N/A</v>
      </c>
      <c r="T47" s="11" t="str">
        <f>VLOOKUP($G47, 'ADP Data'!$B$4:$Q$300, 9, FALSE)</f>
        <v>#N/A</v>
      </c>
      <c r="U47" s="11" t="str">
        <f t="shared" si="3"/>
        <v>#N/A</v>
      </c>
      <c r="V47" s="11"/>
    </row>
    <row r="48" ht="14.25" customHeight="1">
      <c r="A48" s="11"/>
      <c r="B48" s="11" t="str">
        <f t="shared" si="1"/>
        <v>#N/A</v>
      </c>
      <c r="C48" s="11" t="s">
        <v>106</v>
      </c>
      <c r="D48" s="11">
        <v>22.0</v>
      </c>
      <c r="E48" s="11">
        <v>10.0</v>
      </c>
      <c r="F48" s="11"/>
      <c r="G48" s="49" t="s">
        <v>136</v>
      </c>
      <c r="H48" s="11" t="s">
        <v>67</v>
      </c>
      <c r="I48" s="11" t="s">
        <v>770</v>
      </c>
      <c r="J48" s="99">
        <v>2.0</v>
      </c>
      <c r="K48" s="11" t="s">
        <v>1348</v>
      </c>
      <c r="L48" s="11">
        <v>4.0</v>
      </c>
      <c r="M48" s="11">
        <f t="shared" si="2"/>
        <v>16</v>
      </c>
      <c r="N48" s="11" t="str">
        <f>VLOOKUP($G48, 'ADP Data'!$B$4:$Q$300, 6, FALSE)</f>
        <v>#N/A</v>
      </c>
      <c r="O48" s="11" t="str">
        <f>VLOOKUP($G48, 'ADP Data'!$B$4:$Q$300, 10, FALSE)</f>
        <v>#N/A</v>
      </c>
      <c r="P48" s="11" t="str">
        <f>VLOOKUP($G48, 'ADP Data'!$B$4:$Q$300, 4, FALSE)</f>
        <v>#N/A</v>
      </c>
      <c r="Q48" s="11" t="str">
        <f>VLOOKUP($G48, 'ADP Data'!$B$4:$Q$300, 5, FALSE)</f>
        <v>#N/A</v>
      </c>
      <c r="R48" s="11" t="str">
        <f>VLOOKUP($G48, 'ADP Data'!$B$4:$Q$300, 7, FALSE)</f>
        <v>#N/A</v>
      </c>
      <c r="S48" s="11" t="str">
        <f>VLOOKUP($G48, 'ADP Data'!$B$4:$Q$300, 8, FALSE)</f>
        <v>#N/A</v>
      </c>
      <c r="T48" s="11" t="str">
        <f>VLOOKUP($G48, 'ADP Data'!$B$4:$Q$300, 9, FALSE)</f>
        <v>#N/A</v>
      </c>
      <c r="U48" s="11" t="str">
        <f t="shared" si="3"/>
        <v>#N/A</v>
      </c>
      <c r="V48" s="11"/>
    </row>
    <row r="49" ht="14.25" customHeight="1">
      <c r="A49" s="11"/>
      <c r="B49" s="11" t="str">
        <f t="shared" si="1"/>
        <v>#N/A</v>
      </c>
      <c r="C49" s="11" t="s">
        <v>106</v>
      </c>
      <c r="D49" s="11">
        <v>10.0</v>
      </c>
      <c r="E49" s="11">
        <v>12.0</v>
      </c>
      <c r="F49" s="11"/>
      <c r="G49" s="11" t="s">
        <v>248</v>
      </c>
      <c r="H49" s="11" t="s">
        <v>40</v>
      </c>
      <c r="I49" s="11" t="s">
        <v>781</v>
      </c>
      <c r="J49" s="99">
        <v>4.0</v>
      </c>
      <c r="K49" s="11" t="s">
        <v>1350</v>
      </c>
      <c r="L49" s="11">
        <v>5.0</v>
      </c>
      <c r="M49" s="11">
        <f t="shared" si="2"/>
        <v>16</v>
      </c>
      <c r="N49" s="11" t="str">
        <f>VLOOKUP($G49, 'ADP Data'!$B$4:$Q$300, 6, FALSE)</f>
        <v>#N/A</v>
      </c>
      <c r="O49" s="11" t="str">
        <f>VLOOKUP($G49, 'ADP Data'!$B$4:$Q$300, 10, FALSE)</f>
        <v>#N/A</v>
      </c>
      <c r="P49" s="11" t="str">
        <f>VLOOKUP($G49, 'ADP Data'!$B$4:$Q$300, 4, FALSE)</f>
        <v>#N/A</v>
      </c>
      <c r="Q49" s="11" t="str">
        <f>VLOOKUP($G49, 'ADP Data'!$B$4:$Q$300, 5, FALSE)</f>
        <v>#N/A</v>
      </c>
      <c r="R49" s="11" t="str">
        <f>VLOOKUP($G49, 'ADP Data'!$B$4:$Q$300, 7, FALSE)</f>
        <v>#N/A</v>
      </c>
      <c r="S49" s="11" t="str">
        <f>VLOOKUP($G49, 'ADP Data'!$B$4:$Q$300, 8, FALSE)</f>
        <v>#N/A</v>
      </c>
      <c r="T49" s="11" t="str">
        <f>VLOOKUP($G49, 'ADP Data'!$B$4:$Q$300, 9, FALSE)</f>
        <v>#N/A</v>
      </c>
      <c r="U49" s="11" t="str">
        <f t="shared" si="3"/>
        <v>#N/A</v>
      </c>
      <c r="V49" s="60"/>
    </row>
    <row r="50" ht="14.25" customHeight="1">
      <c r="A50" s="11"/>
      <c r="B50" s="11" t="str">
        <f t="shared" si="1"/>
        <v>#N/A</v>
      </c>
      <c r="C50" s="11" t="s">
        <v>106</v>
      </c>
      <c r="D50" s="11">
        <v>28.0</v>
      </c>
      <c r="E50" s="60">
        <v>15.0</v>
      </c>
      <c r="F50" s="60"/>
      <c r="G50" s="60" t="s">
        <v>153</v>
      </c>
      <c r="H50" s="60" t="s">
        <v>98</v>
      </c>
      <c r="I50" s="60" t="s">
        <v>772</v>
      </c>
      <c r="J50" s="99" t="s">
        <v>1351</v>
      </c>
      <c r="K50" s="60" t="s">
        <v>1345</v>
      </c>
      <c r="L50" s="11">
        <v>19.0</v>
      </c>
      <c r="M50" s="11">
        <f t="shared" si="2"/>
        <v>16</v>
      </c>
      <c r="N50" s="11" t="str">
        <f>VLOOKUP($G50, 'ADP Data'!$B$4:$Q$300, 6, FALSE)</f>
        <v>#N/A</v>
      </c>
      <c r="O50" s="11" t="str">
        <f>VLOOKUP($G50, 'ADP Data'!$B$4:$Q$300, 10, FALSE)</f>
        <v>#N/A</v>
      </c>
      <c r="P50" s="11" t="str">
        <f>VLOOKUP($G50, 'ADP Data'!$B$4:$Q$300, 4, FALSE)</f>
        <v>#N/A</v>
      </c>
      <c r="Q50" s="11" t="str">
        <f>VLOOKUP($G50, 'ADP Data'!$B$4:$Q$300, 5, FALSE)</f>
        <v>#N/A</v>
      </c>
      <c r="R50" s="11" t="str">
        <f>VLOOKUP($G50, 'ADP Data'!$B$4:$Q$300, 7, FALSE)</f>
        <v>#N/A</v>
      </c>
      <c r="S50" s="11" t="str">
        <f>VLOOKUP($G50, 'ADP Data'!$B$4:$Q$300, 8, FALSE)</f>
        <v>#N/A</v>
      </c>
      <c r="T50" s="11" t="str">
        <f>VLOOKUP($G50, 'ADP Data'!$B$4:$Q$300, 9, FALSE)</f>
        <v>#N/A</v>
      </c>
      <c r="U50" s="11" t="str">
        <f t="shared" si="3"/>
        <v>#N/A</v>
      </c>
      <c r="V50" s="60"/>
    </row>
    <row r="51" ht="14.25" customHeight="1">
      <c r="A51" s="11"/>
      <c r="B51" s="11" t="str">
        <f t="shared" si="1"/>
        <v>#N/A</v>
      </c>
      <c r="C51" s="11" t="s">
        <v>106</v>
      </c>
      <c r="D51" s="11">
        <v>24.0</v>
      </c>
      <c r="E51" s="60">
        <v>22.0</v>
      </c>
      <c r="F51" s="60"/>
      <c r="G51" s="60" t="s">
        <v>181</v>
      </c>
      <c r="H51" s="60" t="s">
        <v>35</v>
      </c>
      <c r="I51" s="60" t="s">
        <v>772</v>
      </c>
      <c r="J51" s="99" t="s">
        <v>1335</v>
      </c>
      <c r="K51" s="60" t="s">
        <v>1345</v>
      </c>
      <c r="L51" s="11">
        <v>20.0</v>
      </c>
      <c r="M51" s="11">
        <f t="shared" si="2"/>
        <v>16</v>
      </c>
      <c r="N51" s="11" t="str">
        <f>VLOOKUP($G51, 'ADP Data'!$B$4:$Q$300, 6, FALSE)</f>
        <v>#N/A</v>
      </c>
      <c r="O51" s="11" t="str">
        <f>VLOOKUP($G51, 'ADP Data'!$B$4:$Q$300, 10, FALSE)</f>
        <v>#N/A</v>
      </c>
      <c r="P51" s="11" t="str">
        <f>VLOOKUP($G51, 'ADP Data'!$B$4:$Q$300, 4, FALSE)</f>
        <v>#N/A</v>
      </c>
      <c r="Q51" s="11" t="str">
        <f>VLOOKUP($G51, 'ADP Data'!$B$4:$Q$300, 5, FALSE)</f>
        <v>#N/A</v>
      </c>
      <c r="R51" s="11" t="str">
        <f>VLOOKUP($G51, 'ADP Data'!$B$4:$Q$300, 7, FALSE)</f>
        <v>#N/A</v>
      </c>
      <c r="S51" s="11" t="str">
        <f>VLOOKUP($G51, 'ADP Data'!$B$4:$Q$300, 8, FALSE)</f>
        <v>#N/A</v>
      </c>
      <c r="T51" s="11" t="str">
        <f>VLOOKUP($G51, 'ADP Data'!$B$4:$Q$300, 9, FALSE)</f>
        <v>#N/A</v>
      </c>
      <c r="U51" s="11" t="str">
        <f t="shared" si="3"/>
        <v>#N/A</v>
      </c>
      <c r="V51" s="60"/>
    </row>
    <row r="52" ht="14.25" customHeight="1">
      <c r="A52" s="11"/>
      <c r="B52" s="11" t="str">
        <f t="shared" si="1"/>
        <v>#N/A</v>
      </c>
      <c r="C52" s="11" t="s">
        <v>106</v>
      </c>
      <c r="D52" s="11">
        <v>12.0</v>
      </c>
      <c r="E52" s="11">
        <v>12.0</v>
      </c>
      <c r="F52" s="11"/>
      <c r="G52" s="11" t="s">
        <v>357</v>
      </c>
      <c r="H52" s="11" t="s">
        <v>109</v>
      </c>
      <c r="I52" s="11" t="s">
        <v>781</v>
      </c>
      <c r="J52" s="99">
        <v>5.0</v>
      </c>
      <c r="K52" s="11" t="s">
        <v>1350</v>
      </c>
      <c r="L52" s="11">
        <v>4.0</v>
      </c>
      <c r="M52" s="11">
        <f t="shared" si="2"/>
        <v>16</v>
      </c>
      <c r="N52" s="11" t="str">
        <f>VLOOKUP($G52, 'ADP Data'!$B$4:$Q$300, 6, FALSE)</f>
        <v>#N/A</v>
      </c>
      <c r="O52" s="11" t="str">
        <f>VLOOKUP($G52, 'ADP Data'!$B$4:$Q$300, 10, FALSE)</f>
        <v>#N/A</v>
      </c>
      <c r="P52" s="11" t="str">
        <f>VLOOKUP($G52, 'ADP Data'!$B$4:$Q$300, 4, FALSE)</f>
        <v>#N/A</v>
      </c>
      <c r="Q52" s="11" t="str">
        <f>VLOOKUP($G52, 'ADP Data'!$B$4:$Q$300, 5, FALSE)</f>
        <v>#N/A</v>
      </c>
      <c r="R52" s="11" t="str">
        <f>VLOOKUP($G52, 'ADP Data'!$B$4:$Q$300, 7, FALSE)</f>
        <v>#N/A</v>
      </c>
      <c r="S52" s="11" t="str">
        <f>VLOOKUP($G52, 'ADP Data'!$B$4:$Q$300, 8, FALSE)</f>
        <v>#N/A</v>
      </c>
      <c r="T52" s="11" t="str">
        <f>VLOOKUP($G52, 'ADP Data'!$B$4:$Q$300, 9, FALSE)</f>
        <v>#N/A</v>
      </c>
      <c r="U52" s="11" t="str">
        <f t="shared" si="3"/>
        <v>#N/A</v>
      </c>
      <c r="V52" s="60"/>
    </row>
    <row r="53" ht="14.25" customHeight="1">
      <c r="A53" s="11"/>
      <c r="B53" s="11" t="str">
        <f t="shared" si="1"/>
        <v>#N/A</v>
      </c>
      <c r="C53" s="11" t="s">
        <v>106</v>
      </c>
      <c r="D53" s="11">
        <v>17.0</v>
      </c>
      <c r="E53" s="11">
        <v>15.0</v>
      </c>
      <c r="F53" s="11"/>
      <c r="G53" s="49" t="s">
        <v>187</v>
      </c>
      <c r="H53" s="11" t="s">
        <v>165</v>
      </c>
      <c r="I53" s="11" t="s">
        <v>775</v>
      </c>
      <c r="J53" s="99" t="s">
        <v>1352</v>
      </c>
      <c r="K53" s="11" t="s">
        <v>1334</v>
      </c>
      <c r="L53" s="11">
        <v>19.0</v>
      </c>
      <c r="M53" s="11">
        <f t="shared" si="2"/>
        <v>16</v>
      </c>
      <c r="N53" s="11" t="str">
        <f>VLOOKUP($G53, 'ADP Data'!$B$4:$Q$300, 6, FALSE)</f>
        <v>#N/A</v>
      </c>
      <c r="O53" s="11" t="str">
        <f>VLOOKUP($G53, 'ADP Data'!$B$4:$Q$300, 10, FALSE)</f>
        <v>#N/A</v>
      </c>
      <c r="P53" s="11" t="str">
        <f>VLOOKUP($G53, 'ADP Data'!$B$4:$Q$300, 4, FALSE)</f>
        <v>#N/A</v>
      </c>
      <c r="Q53" s="11" t="str">
        <f>VLOOKUP($G53, 'ADP Data'!$B$4:$Q$300, 5, FALSE)</f>
        <v>#N/A</v>
      </c>
      <c r="R53" s="11" t="str">
        <f>VLOOKUP($G53, 'ADP Data'!$B$4:$Q$300, 7, FALSE)</f>
        <v>#N/A</v>
      </c>
      <c r="S53" s="11" t="str">
        <f>VLOOKUP($G53, 'ADP Data'!$B$4:$Q$300, 8, FALSE)</f>
        <v>#N/A</v>
      </c>
      <c r="T53" s="11" t="str">
        <f>VLOOKUP($G53, 'ADP Data'!$B$4:$Q$300, 9, FALSE)</f>
        <v>#N/A</v>
      </c>
      <c r="U53" s="11" t="str">
        <f t="shared" si="3"/>
        <v>#N/A</v>
      </c>
      <c r="V53" s="11"/>
    </row>
    <row r="54" ht="14.25" customHeight="1">
      <c r="A54" s="11"/>
      <c r="B54" s="11" t="str">
        <f t="shared" si="1"/>
        <v>#N/A</v>
      </c>
      <c r="C54" s="11" t="s">
        <v>106</v>
      </c>
      <c r="D54" s="11">
        <v>20.0</v>
      </c>
      <c r="E54" s="11">
        <v>20.0</v>
      </c>
      <c r="F54" s="11"/>
      <c r="G54" s="11" t="s">
        <v>458</v>
      </c>
      <c r="H54" s="11" t="s">
        <v>49</v>
      </c>
      <c r="I54" s="11" t="s">
        <v>775</v>
      </c>
      <c r="J54" s="99" t="s">
        <v>1351</v>
      </c>
      <c r="K54" s="11" t="s">
        <v>1343</v>
      </c>
      <c r="L54" s="11">
        <v>20.0</v>
      </c>
      <c r="M54" s="11">
        <f t="shared" si="2"/>
        <v>16</v>
      </c>
      <c r="N54" s="11" t="str">
        <f>VLOOKUP($G54, 'ADP Data'!$B$4:$Q$300, 6, FALSE)</f>
        <v>#N/A</v>
      </c>
      <c r="O54" s="11" t="str">
        <f>VLOOKUP($G54, 'ADP Data'!$B$4:$Q$300, 10, FALSE)</f>
        <v>#N/A</v>
      </c>
      <c r="P54" s="11" t="str">
        <f>VLOOKUP($G54, 'ADP Data'!$B$4:$Q$300, 4, FALSE)</f>
        <v>#N/A</v>
      </c>
      <c r="Q54" s="11" t="str">
        <f>VLOOKUP($G54, 'ADP Data'!$B$4:$Q$300, 5, FALSE)</f>
        <v>#N/A</v>
      </c>
      <c r="R54" s="11" t="str">
        <f>VLOOKUP($G54, 'ADP Data'!$B$4:$Q$300, 7, FALSE)</f>
        <v>#N/A</v>
      </c>
      <c r="S54" s="11" t="str">
        <f>VLOOKUP($G54, 'ADP Data'!$B$4:$Q$300, 8, FALSE)</f>
        <v>#N/A</v>
      </c>
      <c r="T54" s="11" t="str">
        <f>VLOOKUP($G54, 'ADP Data'!$B$4:$Q$300, 9, FALSE)</f>
        <v>#N/A</v>
      </c>
      <c r="U54" s="11" t="str">
        <f t="shared" si="3"/>
        <v>#N/A</v>
      </c>
      <c r="V54" s="11"/>
    </row>
    <row r="55" ht="14.25" customHeight="1">
      <c r="A55" s="11"/>
      <c r="B55" s="11" t="str">
        <f t="shared" si="1"/>
        <v>#N/A</v>
      </c>
      <c r="C55" s="11" t="s">
        <v>106</v>
      </c>
      <c r="D55" s="11">
        <v>13.0</v>
      </c>
      <c r="E55" s="11">
        <v>15.0</v>
      </c>
      <c r="F55" s="11"/>
      <c r="G55" s="11" t="s">
        <v>624</v>
      </c>
      <c r="H55" s="11" t="s">
        <v>58</v>
      </c>
      <c r="I55" s="11" t="s">
        <v>775</v>
      </c>
      <c r="J55" s="99" t="s">
        <v>1353</v>
      </c>
      <c r="K55" s="11" t="s">
        <v>1354</v>
      </c>
      <c r="L55" s="11">
        <v>22.0</v>
      </c>
      <c r="M55" s="11">
        <f t="shared" si="2"/>
        <v>16</v>
      </c>
      <c r="N55" s="11" t="str">
        <f>VLOOKUP($G55, 'ADP Data'!$B$4:$Q$300, 6, FALSE)</f>
        <v>#N/A</v>
      </c>
      <c r="O55" s="11" t="str">
        <f>VLOOKUP($G55, 'ADP Data'!$B$4:$Q$300, 10, FALSE)</f>
        <v>#N/A</v>
      </c>
      <c r="P55" s="11" t="str">
        <f>VLOOKUP($G55, 'ADP Data'!$B$4:$Q$300, 4, FALSE)</f>
        <v>#N/A</v>
      </c>
      <c r="Q55" s="11" t="str">
        <f>VLOOKUP($G55, 'ADP Data'!$B$4:$Q$300, 5, FALSE)</f>
        <v>#N/A</v>
      </c>
      <c r="R55" s="11" t="str">
        <f>VLOOKUP($G55, 'ADP Data'!$B$4:$Q$300, 7, FALSE)</f>
        <v>#N/A</v>
      </c>
      <c r="S55" s="11" t="str">
        <f>VLOOKUP($G55, 'ADP Data'!$B$4:$Q$300, 8, FALSE)</f>
        <v>#N/A</v>
      </c>
      <c r="T55" s="11" t="str">
        <f>VLOOKUP($G55, 'ADP Data'!$B$4:$Q$300, 9, FALSE)</f>
        <v>#N/A</v>
      </c>
      <c r="U55" s="11" t="str">
        <f t="shared" si="3"/>
        <v>#N/A</v>
      </c>
      <c r="V55" s="11"/>
    </row>
    <row r="56" ht="14.25" customHeight="1">
      <c r="A56" s="11"/>
      <c r="B56" s="11" t="str">
        <f t="shared" si="1"/>
        <v>#N/A</v>
      </c>
      <c r="C56" s="11" t="s">
        <v>106</v>
      </c>
      <c r="D56" s="11">
        <v>10.0</v>
      </c>
      <c r="E56" s="11">
        <v>12.0</v>
      </c>
      <c r="F56" s="11"/>
      <c r="G56" s="11" t="s">
        <v>426</v>
      </c>
      <c r="H56" s="11" t="s">
        <v>35</v>
      </c>
      <c r="I56" s="11" t="s">
        <v>781</v>
      </c>
      <c r="J56" s="99">
        <v>6.0</v>
      </c>
      <c r="K56" s="11" t="s">
        <v>1350</v>
      </c>
      <c r="L56" s="11">
        <v>6.0</v>
      </c>
      <c r="M56" s="11">
        <f t="shared" si="2"/>
        <v>16</v>
      </c>
      <c r="N56" s="11" t="str">
        <f>VLOOKUP($G56, 'ADP Data'!$B$4:$Q$300, 6, FALSE)</f>
        <v>#N/A</v>
      </c>
      <c r="O56" s="11" t="str">
        <f>VLOOKUP($G56, 'ADP Data'!$B$4:$Q$300, 10, FALSE)</f>
        <v>#N/A</v>
      </c>
      <c r="P56" s="11" t="str">
        <f>VLOOKUP($G56, 'ADP Data'!$B$4:$Q$300, 4, FALSE)</f>
        <v>#N/A</v>
      </c>
      <c r="Q56" s="11" t="str">
        <f>VLOOKUP($G56, 'ADP Data'!$B$4:$Q$300, 5, FALSE)</f>
        <v>#N/A</v>
      </c>
      <c r="R56" s="11" t="str">
        <f>VLOOKUP($G56, 'ADP Data'!$B$4:$Q$300, 7, FALSE)</f>
        <v>#N/A</v>
      </c>
      <c r="S56" s="11" t="str">
        <f>VLOOKUP($G56, 'ADP Data'!$B$4:$Q$300, 8, FALSE)</f>
        <v>#N/A</v>
      </c>
      <c r="T56" s="11" t="str">
        <f>VLOOKUP($G56, 'ADP Data'!$B$4:$Q$300, 9, FALSE)</f>
        <v>#N/A</v>
      </c>
      <c r="U56" s="11" t="str">
        <f t="shared" si="3"/>
        <v>#N/A</v>
      </c>
      <c r="V56" s="60"/>
    </row>
    <row r="57" ht="14.25" customHeight="1">
      <c r="A57" s="11" t="s">
        <v>1156</v>
      </c>
      <c r="B57" s="11" t="str">
        <f t="shared" si="1"/>
        <v>#N/A</v>
      </c>
      <c r="C57" s="11" t="s">
        <v>106</v>
      </c>
      <c r="D57" s="11">
        <v>10.0</v>
      </c>
      <c r="E57" s="11">
        <v>20.0</v>
      </c>
      <c r="F57" s="11" t="s">
        <v>106</v>
      </c>
      <c r="G57" s="11" t="s">
        <v>831</v>
      </c>
      <c r="H57" s="11" t="s">
        <v>237</v>
      </c>
      <c r="I57" s="11" t="s">
        <v>775</v>
      </c>
      <c r="J57" s="99" t="s">
        <v>1356</v>
      </c>
      <c r="K57" s="11" t="s">
        <v>1354</v>
      </c>
      <c r="L57" s="11">
        <v>23.0</v>
      </c>
      <c r="M57" s="11">
        <f t="shared" si="2"/>
        <v>16</v>
      </c>
      <c r="N57" s="11" t="str">
        <f>VLOOKUP($G57, 'ADP Data'!$B$4:$Q$300, 6, FALSE)</f>
        <v>#N/A</v>
      </c>
      <c r="O57" s="11" t="str">
        <f>VLOOKUP($G57, 'ADP Data'!$B$4:$Q$300, 10, FALSE)</f>
        <v>#N/A</v>
      </c>
      <c r="P57" s="11" t="str">
        <f>VLOOKUP($G57, 'ADP Data'!$B$4:$Q$300, 4, FALSE)</f>
        <v>#N/A</v>
      </c>
      <c r="Q57" s="11" t="str">
        <f>VLOOKUP($G57, 'ADP Data'!$B$4:$Q$300, 5, FALSE)</f>
        <v>#N/A</v>
      </c>
      <c r="R57" s="11" t="str">
        <f>VLOOKUP($G57, 'ADP Data'!$B$4:$Q$300, 7, FALSE)</f>
        <v>#N/A</v>
      </c>
      <c r="S57" s="11" t="str">
        <f>VLOOKUP($G57, 'ADP Data'!$B$4:$Q$300, 8, FALSE)</f>
        <v>#N/A</v>
      </c>
      <c r="T57" s="11" t="str">
        <f>VLOOKUP($G57, 'ADP Data'!$B$4:$Q$300, 9, FALSE)</f>
        <v>#N/A</v>
      </c>
      <c r="U57" s="11" t="str">
        <f t="shared" si="3"/>
        <v>#N/A</v>
      </c>
      <c r="V57" s="11"/>
    </row>
    <row r="58" ht="14.25" customHeight="1">
      <c r="A58" s="11"/>
      <c r="B58" s="11" t="str">
        <f t="shared" si="1"/>
        <v>#N/A</v>
      </c>
      <c r="C58" s="11" t="s">
        <v>106</v>
      </c>
      <c r="D58" s="11">
        <v>30.0</v>
      </c>
      <c r="E58" s="60">
        <v>15.0</v>
      </c>
      <c r="F58" s="60"/>
      <c r="G58" s="60" t="s">
        <v>875</v>
      </c>
      <c r="H58" s="60" t="s">
        <v>109</v>
      </c>
      <c r="I58" s="60" t="s">
        <v>772</v>
      </c>
      <c r="J58" s="60" t="s">
        <v>1357</v>
      </c>
      <c r="K58" s="60" t="s">
        <v>1345</v>
      </c>
      <c r="L58" s="11">
        <v>21.0</v>
      </c>
      <c r="M58" s="11">
        <f t="shared" si="2"/>
        <v>16</v>
      </c>
      <c r="N58" s="11" t="str">
        <f>VLOOKUP($G58, 'ADP Data'!$B$4:$Q$300, 6, FALSE)</f>
        <v>#N/A</v>
      </c>
      <c r="O58" s="11" t="str">
        <f>VLOOKUP($G58, 'ADP Data'!$B$4:$Q$300, 10, FALSE)</f>
        <v>#N/A</v>
      </c>
      <c r="P58" s="11" t="str">
        <f>VLOOKUP($G58, 'ADP Data'!$B$4:$Q$300, 4, FALSE)</f>
        <v>#N/A</v>
      </c>
      <c r="Q58" s="11" t="str">
        <f>VLOOKUP($G58, 'ADP Data'!$B$4:$Q$300, 5, FALSE)</f>
        <v>#N/A</v>
      </c>
      <c r="R58" s="11" t="str">
        <f>VLOOKUP($G58, 'ADP Data'!$B$4:$Q$300, 7, FALSE)</f>
        <v>#N/A</v>
      </c>
      <c r="S58" s="11" t="str">
        <f>VLOOKUP($G58, 'ADP Data'!$B$4:$Q$300, 8, FALSE)</f>
        <v>#N/A</v>
      </c>
      <c r="T58" s="11" t="str">
        <f>VLOOKUP($G58, 'ADP Data'!$B$4:$Q$300, 9, FALSE)</f>
        <v>#N/A</v>
      </c>
      <c r="U58" s="11" t="str">
        <f t="shared" si="3"/>
        <v>#N/A</v>
      </c>
      <c r="V58" s="60"/>
    </row>
    <row r="59" ht="14.25" customHeight="1">
      <c r="A59" s="11"/>
      <c r="B59" s="11" t="str">
        <f t="shared" si="1"/>
        <v>#N/A</v>
      </c>
      <c r="C59" s="11" t="s">
        <v>106</v>
      </c>
      <c r="D59" s="11">
        <v>9.0</v>
      </c>
      <c r="E59" s="11">
        <v>5.0</v>
      </c>
      <c r="F59" s="11"/>
      <c r="G59" s="11" t="s">
        <v>550</v>
      </c>
      <c r="H59" s="11" t="s">
        <v>154</v>
      </c>
      <c r="I59" s="11" t="s">
        <v>770</v>
      </c>
      <c r="J59" s="99">
        <v>8.0</v>
      </c>
      <c r="K59" s="11" t="s">
        <v>1358</v>
      </c>
      <c r="L59" s="11">
        <v>5.0</v>
      </c>
      <c r="M59" s="11">
        <f t="shared" si="2"/>
        <v>16</v>
      </c>
      <c r="N59" s="11" t="str">
        <f>VLOOKUP($G59, 'ADP Data'!$B$4:$Q$300, 6, FALSE)</f>
        <v>#N/A</v>
      </c>
      <c r="O59" s="11" t="str">
        <f>VLOOKUP($G59, 'ADP Data'!$B$4:$Q$300, 10, FALSE)</f>
        <v>#N/A</v>
      </c>
      <c r="P59" s="11" t="str">
        <f>VLOOKUP($G59, 'ADP Data'!$B$4:$Q$300, 4, FALSE)</f>
        <v>#N/A</v>
      </c>
      <c r="Q59" s="11" t="str">
        <f>VLOOKUP($G59, 'ADP Data'!$B$4:$Q$300, 5, FALSE)</f>
        <v>#N/A</v>
      </c>
      <c r="R59" s="11" t="str">
        <f>VLOOKUP($G59, 'ADP Data'!$B$4:$Q$300, 7, FALSE)</f>
        <v>#N/A</v>
      </c>
      <c r="S59" s="11" t="str">
        <f>VLOOKUP($G59, 'ADP Data'!$B$4:$Q$300, 8, FALSE)</f>
        <v>#N/A</v>
      </c>
      <c r="T59" s="11" t="str">
        <f>VLOOKUP($G59, 'ADP Data'!$B$4:$Q$300, 9, FALSE)</f>
        <v>#N/A</v>
      </c>
      <c r="U59" s="11" t="str">
        <f t="shared" si="3"/>
        <v>#N/A</v>
      </c>
      <c r="V59" s="11"/>
    </row>
    <row r="60" ht="14.25" customHeight="1">
      <c r="A60" s="11"/>
      <c r="B60" s="11" t="str">
        <f t="shared" si="1"/>
        <v>#N/A</v>
      </c>
      <c r="C60" s="11" t="s">
        <v>106</v>
      </c>
      <c r="D60" s="11">
        <v>16.0</v>
      </c>
      <c r="E60" s="60">
        <v>10.0</v>
      </c>
      <c r="F60" s="60"/>
      <c r="G60" s="60" t="s">
        <v>1359</v>
      </c>
      <c r="H60" s="60" t="s">
        <v>40</v>
      </c>
      <c r="I60" s="60" t="s">
        <v>772</v>
      </c>
      <c r="J60" s="99" t="s">
        <v>1356</v>
      </c>
      <c r="K60" s="60" t="s">
        <v>1345</v>
      </c>
      <c r="L60" s="11">
        <v>22.0</v>
      </c>
      <c r="M60" s="11">
        <f t="shared" si="2"/>
        <v>16</v>
      </c>
      <c r="N60" s="11" t="str">
        <f>VLOOKUP($G60, 'ADP Data'!$B$4:$Q$300, 6, FALSE)</f>
        <v>#N/A</v>
      </c>
      <c r="O60" s="11" t="str">
        <f>VLOOKUP($G60, 'ADP Data'!$B$4:$Q$300, 10, FALSE)</f>
        <v>#N/A</v>
      </c>
      <c r="P60" s="11" t="str">
        <f>VLOOKUP($G60, 'ADP Data'!$B$4:$Q$300, 4, FALSE)</f>
        <v>#N/A</v>
      </c>
      <c r="Q60" s="11" t="str">
        <f>VLOOKUP($G60, 'ADP Data'!$B$4:$Q$300, 5, FALSE)</f>
        <v>#N/A</v>
      </c>
      <c r="R60" s="11" t="str">
        <f>VLOOKUP($G60, 'ADP Data'!$B$4:$Q$300, 7, FALSE)</f>
        <v>#N/A</v>
      </c>
      <c r="S60" s="11" t="str">
        <f>VLOOKUP($G60, 'ADP Data'!$B$4:$Q$300, 8, FALSE)</f>
        <v>#N/A</v>
      </c>
      <c r="T60" s="11" t="str">
        <f>VLOOKUP($G60, 'ADP Data'!$B$4:$Q$300, 9, FALSE)</f>
        <v>#N/A</v>
      </c>
      <c r="U60" s="11" t="str">
        <f t="shared" si="3"/>
        <v>#N/A</v>
      </c>
      <c r="V60" s="60"/>
    </row>
    <row r="61" ht="14.25" customHeight="1">
      <c r="A61" s="11"/>
      <c r="B61" s="11" t="str">
        <f t="shared" si="1"/>
        <v>#N/A</v>
      </c>
      <c r="C61" s="11" t="s">
        <v>106</v>
      </c>
      <c r="D61" s="11">
        <v>19.0</v>
      </c>
      <c r="E61" s="11">
        <v>10.0</v>
      </c>
      <c r="F61" s="11"/>
      <c r="G61" s="11" t="s">
        <v>892</v>
      </c>
      <c r="H61" s="11" t="s">
        <v>75</v>
      </c>
      <c r="I61" s="11" t="s">
        <v>775</v>
      </c>
      <c r="J61" s="99" t="s">
        <v>1338</v>
      </c>
      <c r="K61" s="11" t="s">
        <v>1360</v>
      </c>
      <c r="L61" s="11">
        <v>24.0</v>
      </c>
      <c r="M61" s="11">
        <f t="shared" si="2"/>
        <v>16</v>
      </c>
      <c r="N61" s="11" t="str">
        <f>VLOOKUP($G61, 'ADP Data'!$B$4:$Q$300, 6, FALSE)</f>
        <v>#N/A</v>
      </c>
      <c r="O61" s="11" t="str">
        <f>VLOOKUP($G61, 'ADP Data'!$B$4:$Q$300, 10, FALSE)</f>
        <v>#N/A</v>
      </c>
      <c r="P61" s="11" t="str">
        <f>VLOOKUP($G61, 'ADP Data'!$B$4:$Q$300, 4, FALSE)</f>
        <v>#N/A</v>
      </c>
      <c r="Q61" s="11" t="str">
        <f>VLOOKUP($G61, 'ADP Data'!$B$4:$Q$300, 5, FALSE)</f>
        <v>#N/A</v>
      </c>
      <c r="R61" s="11" t="str">
        <f>VLOOKUP($G61, 'ADP Data'!$B$4:$Q$300, 7, FALSE)</f>
        <v>#N/A</v>
      </c>
      <c r="S61" s="11" t="str">
        <f>VLOOKUP($G61, 'ADP Data'!$B$4:$Q$300, 8, FALSE)</f>
        <v>#N/A</v>
      </c>
      <c r="T61" s="11" t="str">
        <f>VLOOKUP($G61, 'ADP Data'!$B$4:$Q$300, 9, FALSE)</f>
        <v>#N/A</v>
      </c>
      <c r="U61" s="11" t="str">
        <f t="shared" si="3"/>
        <v>#N/A</v>
      </c>
      <c r="V61" s="11" t="s">
        <v>1361</v>
      </c>
    </row>
    <row r="62" ht="14.25" customHeight="1">
      <c r="A62" s="11"/>
      <c r="B62" s="11" t="str">
        <f t="shared" si="1"/>
        <v>#N/A</v>
      </c>
      <c r="C62" s="11" t="s">
        <v>106</v>
      </c>
      <c r="D62" s="11">
        <v>11.0</v>
      </c>
      <c r="E62" s="11">
        <v>6.0</v>
      </c>
      <c r="F62" s="11"/>
      <c r="G62" s="11" t="s">
        <v>259</v>
      </c>
      <c r="H62" s="11" t="s">
        <v>71</v>
      </c>
      <c r="I62" s="11" t="s">
        <v>770</v>
      </c>
      <c r="J62" s="99">
        <v>5.0</v>
      </c>
      <c r="K62" s="11" t="s">
        <v>1348</v>
      </c>
      <c r="L62" s="11">
        <v>6.0</v>
      </c>
      <c r="M62" s="11">
        <f t="shared" si="2"/>
        <v>16</v>
      </c>
      <c r="N62" s="11" t="str">
        <f>VLOOKUP($G62, 'ADP Data'!$B$4:$Q$300, 6, FALSE)</f>
        <v>#N/A</v>
      </c>
      <c r="O62" s="11" t="str">
        <f>VLOOKUP($G62, 'ADP Data'!$B$4:$Q$300, 10, FALSE)</f>
        <v>#N/A</v>
      </c>
      <c r="P62" s="11" t="str">
        <f>VLOOKUP($G62, 'ADP Data'!$B$4:$Q$300, 4, FALSE)</f>
        <v>#N/A</v>
      </c>
      <c r="Q62" s="11" t="str">
        <f>VLOOKUP($G62, 'ADP Data'!$B$4:$Q$300, 5, FALSE)</f>
        <v>#N/A</v>
      </c>
      <c r="R62" s="11" t="str">
        <f>VLOOKUP($G62, 'ADP Data'!$B$4:$Q$300, 7, FALSE)</f>
        <v>#N/A</v>
      </c>
      <c r="S62" s="11" t="str">
        <f>VLOOKUP($G62, 'ADP Data'!$B$4:$Q$300, 8, FALSE)</f>
        <v>#N/A</v>
      </c>
      <c r="T62" s="11" t="str">
        <f>VLOOKUP($G62, 'ADP Data'!$B$4:$Q$300, 9, FALSE)</f>
        <v>#N/A</v>
      </c>
      <c r="U62" s="11" t="str">
        <f t="shared" si="3"/>
        <v>#N/A</v>
      </c>
      <c r="V62" s="11" t="s">
        <v>1362</v>
      </c>
    </row>
    <row r="63" ht="14.25" customHeight="1">
      <c r="A63" s="11"/>
      <c r="B63" s="11" t="str">
        <f t="shared" si="1"/>
        <v>#N/A</v>
      </c>
      <c r="C63" s="11" t="s">
        <v>106</v>
      </c>
      <c r="D63" s="11">
        <v>8.0</v>
      </c>
      <c r="E63" s="11">
        <v>1.0</v>
      </c>
      <c r="F63" s="11"/>
      <c r="G63" s="49" t="s">
        <v>1160</v>
      </c>
      <c r="H63" s="11" t="s">
        <v>162</v>
      </c>
      <c r="I63" s="11" t="s">
        <v>770</v>
      </c>
      <c r="J63" s="99">
        <v>9.0</v>
      </c>
      <c r="K63" s="11" t="s">
        <v>1358</v>
      </c>
      <c r="L63" s="11">
        <v>7.0</v>
      </c>
      <c r="M63" s="11">
        <f t="shared" si="2"/>
        <v>16</v>
      </c>
      <c r="N63" s="11" t="str">
        <f>VLOOKUP($G63, 'ADP Data'!$B$4:$Q$300, 6, FALSE)</f>
        <v>#N/A</v>
      </c>
      <c r="O63" s="11" t="str">
        <f>VLOOKUP($G63, 'ADP Data'!$B$4:$Q$300, 10, FALSE)</f>
        <v>#N/A</v>
      </c>
      <c r="P63" s="11" t="str">
        <f>VLOOKUP($G63, 'ADP Data'!$B$4:$Q$300, 4, FALSE)</f>
        <v>#N/A</v>
      </c>
      <c r="Q63" s="11" t="str">
        <f>VLOOKUP($G63, 'ADP Data'!$B$4:$Q$300, 5, FALSE)</f>
        <v>#N/A</v>
      </c>
      <c r="R63" s="11" t="str">
        <f>VLOOKUP($G63, 'ADP Data'!$B$4:$Q$300, 7, FALSE)</f>
        <v>#N/A</v>
      </c>
      <c r="S63" s="11" t="str">
        <f>VLOOKUP($G63, 'ADP Data'!$B$4:$Q$300, 8, FALSE)</f>
        <v>#N/A</v>
      </c>
      <c r="T63" s="11" t="str">
        <f>VLOOKUP($G63, 'ADP Data'!$B$4:$Q$300, 9, FALSE)</f>
        <v>#N/A</v>
      </c>
      <c r="U63" s="11" t="str">
        <f t="shared" si="3"/>
        <v>#N/A</v>
      </c>
      <c r="V63" s="11"/>
    </row>
    <row r="64" ht="14.25" customHeight="1">
      <c r="A64" s="11"/>
      <c r="B64" s="11" t="str">
        <f t="shared" si="1"/>
        <v>#N/A</v>
      </c>
      <c r="C64" s="11" t="s">
        <v>106</v>
      </c>
      <c r="D64" s="11">
        <v>10.0</v>
      </c>
      <c r="E64" s="11">
        <v>8.0</v>
      </c>
      <c r="F64" s="11" t="s">
        <v>106</v>
      </c>
      <c r="G64" s="11" t="s">
        <v>1243</v>
      </c>
      <c r="H64" s="11" t="s">
        <v>128</v>
      </c>
      <c r="I64" s="11" t="s">
        <v>775</v>
      </c>
      <c r="J64" s="99" t="s">
        <v>1363</v>
      </c>
      <c r="K64" s="11" t="s">
        <v>1360</v>
      </c>
      <c r="L64" s="11">
        <v>25.0</v>
      </c>
      <c r="M64" s="11">
        <f t="shared" si="2"/>
        <v>16</v>
      </c>
      <c r="N64" s="11" t="str">
        <f>VLOOKUP($G64, 'ADP Data'!$B$4:$Q$300, 6, FALSE)</f>
        <v>#N/A</v>
      </c>
      <c r="O64" s="11" t="str">
        <f>VLOOKUP($G64, 'ADP Data'!$B$4:$Q$300, 10, FALSE)</f>
        <v>#N/A</v>
      </c>
      <c r="P64" s="11" t="str">
        <f>VLOOKUP($G64, 'ADP Data'!$B$4:$Q$300, 4, FALSE)</f>
        <v>#N/A</v>
      </c>
      <c r="Q64" s="11" t="str">
        <f>VLOOKUP($G64, 'ADP Data'!$B$4:$Q$300, 5, FALSE)</f>
        <v>#N/A</v>
      </c>
      <c r="R64" s="11" t="str">
        <f>VLOOKUP($G64, 'ADP Data'!$B$4:$Q$300, 7, FALSE)</f>
        <v>#N/A</v>
      </c>
      <c r="S64" s="11" t="str">
        <f>VLOOKUP($G64, 'ADP Data'!$B$4:$Q$300, 8, FALSE)</f>
        <v>#N/A</v>
      </c>
      <c r="T64" s="11" t="str">
        <f>VLOOKUP($G64, 'ADP Data'!$B$4:$Q$300, 9, FALSE)</f>
        <v>#N/A</v>
      </c>
      <c r="U64" s="11" t="str">
        <f t="shared" si="3"/>
        <v>#N/A</v>
      </c>
      <c r="V64" s="11" t="s">
        <v>1364</v>
      </c>
    </row>
    <row r="65" ht="14.25" customHeight="1">
      <c r="A65" s="11"/>
      <c r="B65" s="11" t="str">
        <f t="shared" si="1"/>
        <v>#N/A</v>
      </c>
      <c r="C65" s="11" t="s">
        <v>106</v>
      </c>
      <c r="D65" s="11">
        <v>10.0</v>
      </c>
      <c r="E65" s="60">
        <v>10.0</v>
      </c>
      <c r="F65" s="60"/>
      <c r="G65" s="49" t="s">
        <v>1306</v>
      </c>
      <c r="H65" s="60" t="s">
        <v>49</v>
      </c>
      <c r="I65" s="60" t="s">
        <v>772</v>
      </c>
      <c r="J65" s="99" t="s">
        <v>1353</v>
      </c>
      <c r="K65" s="60" t="s">
        <v>1345</v>
      </c>
      <c r="L65" s="11">
        <v>23.0</v>
      </c>
      <c r="M65" s="11">
        <f t="shared" si="2"/>
        <v>16</v>
      </c>
      <c r="N65" s="11" t="str">
        <f>VLOOKUP($G65, 'ADP Data'!$B$4:$Q$300, 6, FALSE)</f>
        <v>#N/A</v>
      </c>
      <c r="O65" s="11" t="str">
        <f>VLOOKUP($G65, 'ADP Data'!$B$4:$Q$300, 10, FALSE)</f>
        <v>#N/A</v>
      </c>
      <c r="P65" s="11" t="str">
        <f>VLOOKUP($G65, 'ADP Data'!$B$4:$Q$300, 4, FALSE)</f>
        <v>#N/A</v>
      </c>
      <c r="Q65" s="11" t="str">
        <f>VLOOKUP($G65, 'ADP Data'!$B$4:$Q$300, 5, FALSE)</f>
        <v>#N/A</v>
      </c>
      <c r="R65" s="11" t="str">
        <f>VLOOKUP($G65, 'ADP Data'!$B$4:$Q$300, 7, FALSE)</f>
        <v>#N/A</v>
      </c>
      <c r="S65" s="11" t="str">
        <f>VLOOKUP($G65, 'ADP Data'!$B$4:$Q$300, 8, FALSE)</f>
        <v>#N/A</v>
      </c>
      <c r="T65" s="11" t="str">
        <f>VLOOKUP($G65, 'ADP Data'!$B$4:$Q$300, 9, FALSE)</f>
        <v>#N/A</v>
      </c>
      <c r="U65" s="11" t="str">
        <f t="shared" si="3"/>
        <v>#N/A</v>
      </c>
      <c r="V65" s="60"/>
    </row>
    <row r="66" ht="14.25" customHeight="1">
      <c r="A66" s="11"/>
      <c r="B66" s="11" t="str">
        <f t="shared" si="1"/>
        <v>#N/A</v>
      </c>
      <c r="C66" s="11" t="s">
        <v>106</v>
      </c>
      <c r="D66" s="11">
        <v>9.0</v>
      </c>
      <c r="E66" s="11">
        <v>7.0</v>
      </c>
      <c r="F66" s="11" t="s">
        <v>106</v>
      </c>
      <c r="G66" s="11" t="s">
        <v>819</v>
      </c>
      <c r="H66" s="11" t="s">
        <v>58</v>
      </c>
      <c r="I66" s="11" t="s">
        <v>772</v>
      </c>
      <c r="J66" s="99" t="s">
        <v>1365</v>
      </c>
      <c r="K66" s="11" t="s">
        <v>1366</v>
      </c>
      <c r="L66" s="11">
        <v>24.0</v>
      </c>
      <c r="M66" s="11">
        <f t="shared" si="2"/>
        <v>16</v>
      </c>
      <c r="N66" s="11" t="str">
        <f>VLOOKUP($G66, 'ADP Data'!$B$4:$Q$300, 6, FALSE)</f>
        <v>#N/A</v>
      </c>
      <c r="O66" s="11" t="str">
        <f>VLOOKUP($G66, 'ADP Data'!$B$4:$Q$300, 10, FALSE)</f>
        <v>#N/A</v>
      </c>
      <c r="P66" s="11" t="str">
        <f>VLOOKUP($G66, 'ADP Data'!$B$4:$Q$300, 4, FALSE)</f>
        <v>#N/A</v>
      </c>
      <c r="Q66" s="11" t="str">
        <f>VLOOKUP($G66, 'ADP Data'!$B$4:$Q$300, 5, FALSE)</f>
        <v>#N/A</v>
      </c>
      <c r="R66" s="11" t="str">
        <f>VLOOKUP($G66, 'ADP Data'!$B$4:$Q$300, 7, FALSE)</f>
        <v>#N/A</v>
      </c>
      <c r="S66" s="11" t="str">
        <f>VLOOKUP($G66, 'ADP Data'!$B$4:$Q$300, 8, FALSE)</f>
        <v>#N/A</v>
      </c>
      <c r="T66" s="11" t="str">
        <f>VLOOKUP($G66, 'ADP Data'!$B$4:$Q$300, 9, FALSE)</f>
        <v>#N/A</v>
      </c>
      <c r="U66" s="11" t="str">
        <f t="shared" si="3"/>
        <v>#N/A</v>
      </c>
      <c r="V66" s="11"/>
    </row>
    <row r="67" ht="14.25" customHeight="1">
      <c r="A67" s="11"/>
      <c r="B67" s="11" t="str">
        <f t="shared" si="1"/>
        <v>#N/A</v>
      </c>
      <c r="C67" s="11" t="s">
        <v>106</v>
      </c>
      <c r="D67" s="11">
        <v>12.0</v>
      </c>
      <c r="E67" s="11">
        <v>12.0</v>
      </c>
      <c r="F67" s="11"/>
      <c r="G67" s="11" t="s">
        <v>1161</v>
      </c>
      <c r="H67" s="11" t="s">
        <v>125</v>
      </c>
      <c r="I67" s="11" t="s">
        <v>772</v>
      </c>
      <c r="J67" s="99" t="s">
        <v>1367</v>
      </c>
      <c r="K67" s="11" t="s">
        <v>1366</v>
      </c>
      <c r="L67" s="11">
        <v>25.0</v>
      </c>
      <c r="M67" s="11">
        <f t="shared" si="2"/>
        <v>16</v>
      </c>
      <c r="N67" s="11" t="str">
        <f>VLOOKUP($G67, 'ADP Data'!$B$4:$Q$300, 6, FALSE)</f>
        <v>#N/A</v>
      </c>
      <c r="O67" s="11" t="str">
        <f>VLOOKUP($G67, 'ADP Data'!$B$4:$Q$300, 10, FALSE)</f>
        <v>#N/A</v>
      </c>
      <c r="P67" s="11" t="str">
        <f>VLOOKUP($G67, 'ADP Data'!$B$4:$Q$300, 4, FALSE)</f>
        <v>#N/A</v>
      </c>
      <c r="Q67" s="11" t="str">
        <f>VLOOKUP($G67, 'ADP Data'!$B$4:$Q$300, 5, FALSE)</f>
        <v>#N/A</v>
      </c>
      <c r="R67" s="11" t="str">
        <f>VLOOKUP($G67, 'ADP Data'!$B$4:$Q$300, 7, FALSE)</f>
        <v>#N/A</v>
      </c>
      <c r="S67" s="11" t="str">
        <f>VLOOKUP($G67, 'ADP Data'!$B$4:$Q$300, 8, FALSE)</f>
        <v>#N/A</v>
      </c>
      <c r="T67" s="11" t="str">
        <f>VLOOKUP($G67, 'ADP Data'!$B$4:$Q$300, 9, FALSE)</f>
        <v>#N/A</v>
      </c>
      <c r="U67" s="11" t="str">
        <f t="shared" si="3"/>
        <v>#N/A</v>
      </c>
      <c r="V67" s="11"/>
    </row>
    <row r="68" ht="14.25" customHeight="1">
      <c r="A68" s="11"/>
      <c r="B68" s="11" t="str">
        <f t="shared" si="1"/>
        <v>#N/A</v>
      </c>
      <c r="C68" s="11" t="s">
        <v>106</v>
      </c>
      <c r="D68" s="11">
        <v>11.0</v>
      </c>
      <c r="E68" s="11">
        <v>5.0</v>
      </c>
      <c r="F68" s="11"/>
      <c r="G68" s="11" t="s">
        <v>921</v>
      </c>
      <c r="H68" s="11" t="s">
        <v>52</v>
      </c>
      <c r="I68" s="11" t="s">
        <v>770</v>
      </c>
      <c r="J68" s="99">
        <v>6.0</v>
      </c>
      <c r="K68" s="11" t="s">
        <v>1368</v>
      </c>
      <c r="L68" s="11">
        <v>8.0</v>
      </c>
      <c r="M68" s="11">
        <f t="shared" si="2"/>
        <v>16</v>
      </c>
      <c r="N68" s="11" t="str">
        <f>VLOOKUP($G68, 'ADP Data'!$B$4:$Q$300, 6, FALSE)</f>
        <v>#N/A</v>
      </c>
      <c r="O68" s="11" t="str">
        <f>VLOOKUP($G68, 'ADP Data'!$B$4:$Q$300, 10, FALSE)</f>
        <v>#N/A</v>
      </c>
      <c r="P68" s="11" t="str">
        <f>VLOOKUP($G68, 'ADP Data'!$B$4:$Q$300, 4, FALSE)</f>
        <v>#N/A</v>
      </c>
      <c r="Q68" s="11" t="str">
        <f>VLOOKUP($G68, 'ADP Data'!$B$4:$Q$300, 5, FALSE)</f>
        <v>#N/A</v>
      </c>
      <c r="R68" s="11" t="str">
        <f>VLOOKUP($G68, 'ADP Data'!$B$4:$Q$300, 7, FALSE)</f>
        <v>#N/A</v>
      </c>
      <c r="S68" s="11" t="str">
        <f>VLOOKUP($G68, 'ADP Data'!$B$4:$Q$300, 8, FALSE)</f>
        <v>#N/A</v>
      </c>
      <c r="T68" s="11" t="str">
        <f>VLOOKUP($G68, 'ADP Data'!$B$4:$Q$300, 9, FALSE)</f>
        <v>#N/A</v>
      </c>
      <c r="U68" s="11" t="str">
        <f t="shared" si="3"/>
        <v>#N/A</v>
      </c>
      <c r="V68" s="11"/>
    </row>
    <row r="69" ht="14.25" customHeight="1">
      <c r="A69" s="11"/>
      <c r="B69" s="11" t="str">
        <f t="shared" si="1"/>
        <v>#N/A</v>
      </c>
      <c r="C69" s="11" t="s">
        <v>106</v>
      </c>
      <c r="D69" s="11">
        <v>9.0</v>
      </c>
      <c r="E69" s="11">
        <v>7.0</v>
      </c>
      <c r="F69" s="11"/>
      <c r="G69" s="49" t="s">
        <v>1301</v>
      </c>
      <c r="H69" s="11" t="s">
        <v>237</v>
      </c>
      <c r="I69" s="11" t="s">
        <v>775</v>
      </c>
      <c r="J69" s="99" t="s">
        <v>1339</v>
      </c>
      <c r="K69" s="11" t="s">
        <v>1370</v>
      </c>
      <c r="L69" s="11">
        <v>26.0</v>
      </c>
      <c r="M69" s="11">
        <f t="shared" si="2"/>
        <v>16</v>
      </c>
      <c r="N69" s="11" t="str">
        <f>VLOOKUP($G69, 'ADP Data'!$B$4:$Q$300, 6, FALSE)</f>
        <v>#N/A</v>
      </c>
      <c r="O69" s="11" t="str">
        <f>VLOOKUP($G69, 'ADP Data'!$B$4:$Q$300, 10, FALSE)</f>
        <v>#N/A</v>
      </c>
      <c r="P69" s="11" t="str">
        <f>VLOOKUP($G69, 'ADP Data'!$B$4:$Q$300, 4, FALSE)</f>
        <v>#N/A</v>
      </c>
      <c r="Q69" s="11" t="str">
        <f>VLOOKUP($G69, 'ADP Data'!$B$4:$Q$300, 5, FALSE)</f>
        <v>#N/A</v>
      </c>
      <c r="R69" s="11" t="str">
        <f>VLOOKUP($G69, 'ADP Data'!$B$4:$Q$300, 7, FALSE)</f>
        <v>#N/A</v>
      </c>
      <c r="S69" s="11" t="str">
        <f>VLOOKUP($G69, 'ADP Data'!$B$4:$Q$300, 8, FALSE)</f>
        <v>#N/A</v>
      </c>
      <c r="T69" s="11" t="str">
        <f>VLOOKUP($G69, 'ADP Data'!$B$4:$Q$300, 9, FALSE)</f>
        <v>#N/A</v>
      </c>
      <c r="U69" s="11" t="str">
        <f t="shared" si="3"/>
        <v>#N/A</v>
      </c>
      <c r="V69" s="11" t="s">
        <v>1371</v>
      </c>
    </row>
    <row r="70" ht="14.25" customHeight="1">
      <c r="A70" s="11"/>
      <c r="B70" s="11" t="str">
        <f t="shared" si="1"/>
        <v>#N/A</v>
      </c>
      <c r="C70" s="11" t="s">
        <v>106</v>
      </c>
      <c r="D70" s="11">
        <v>14.0</v>
      </c>
      <c r="E70" s="11">
        <v>8.0</v>
      </c>
      <c r="F70" s="11"/>
      <c r="G70" s="49" t="s">
        <v>1260</v>
      </c>
      <c r="H70" s="11" t="s">
        <v>94</v>
      </c>
      <c r="I70" s="11" t="s">
        <v>772</v>
      </c>
      <c r="J70" s="99" t="s">
        <v>1352</v>
      </c>
      <c r="K70" s="11" t="s">
        <v>1372</v>
      </c>
      <c r="L70" s="11">
        <v>26.0</v>
      </c>
      <c r="M70" s="11">
        <f t="shared" si="2"/>
        <v>16</v>
      </c>
      <c r="N70" s="11" t="str">
        <f>VLOOKUP($G70, 'ADP Data'!$B$4:$Q$300, 6, FALSE)</f>
        <v>#N/A</v>
      </c>
      <c r="O70" s="11" t="str">
        <f>VLOOKUP($G70, 'ADP Data'!$B$4:$Q$300, 10, FALSE)</f>
        <v>#N/A</v>
      </c>
      <c r="P70" s="11" t="str">
        <f>VLOOKUP($G70, 'ADP Data'!$B$4:$Q$300, 4, FALSE)</f>
        <v>#N/A</v>
      </c>
      <c r="Q70" s="11" t="str">
        <f>VLOOKUP($G70, 'ADP Data'!$B$4:$Q$300, 5, FALSE)</f>
        <v>#N/A</v>
      </c>
      <c r="R70" s="11" t="str">
        <f>VLOOKUP($G70, 'ADP Data'!$B$4:$Q$300, 7, FALSE)</f>
        <v>#N/A</v>
      </c>
      <c r="S70" s="11" t="str">
        <f>VLOOKUP($G70, 'ADP Data'!$B$4:$Q$300, 8, FALSE)</f>
        <v>#N/A</v>
      </c>
      <c r="T70" s="11" t="str">
        <f>VLOOKUP($G70, 'ADP Data'!$B$4:$Q$300, 9, FALSE)</f>
        <v>#N/A</v>
      </c>
      <c r="U70" s="11" t="str">
        <f t="shared" si="3"/>
        <v>#N/A</v>
      </c>
      <c r="V70" s="11"/>
    </row>
    <row r="71" ht="14.25" customHeight="1">
      <c r="A71" s="11"/>
      <c r="B71" s="11" t="str">
        <f t="shared" si="1"/>
        <v>#N/A</v>
      </c>
      <c r="C71" s="11" t="s">
        <v>106</v>
      </c>
      <c r="D71" s="11">
        <v>12.0</v>
      </c>
      <c r="E71" s="11">
        <v>8.0</v>
      </c>
      <c r="F71" s="11"/>
      <c r="G71" s="11" t="s">
        <v>1053</v>
      </c>
      <c r="H71" s="11" t="s">
        <v>195</v>
      </c>
      <c r="I71" s="11" t="s">
        <v>772</v>
      </c>
      <c r="J71" s="99" t="s">
        <v>1373</v>
      </c>
      <c r="K71" s="11" t="s">
        <v>1372</v>
      </c>
      <c r="L71" s="11">
        <v>27.0</v>
      </c>
      <c r="M71" s="11">
        <f t="shared" si="2"/>
        <v>16</v>
      </c>
      <c r="N71" s="11" t="str">
        <f>VLOOKUP($G71, 'ADP Data'!$B$4:$Q$300, 6, FALSE)</f>
        <v>#N/A</v>
      </c>
      <c r="O71" s="11" t="str">
        <f>VLOOKUP($G71, 'ADP Data'!$B$4:$Q$300, 10, FALSE)</f>
        <v>#N/A</v>
      </c>
      <c r="P71" s="11" t="str">
        <f>VLOOKUP($G71, 'ADP Data'!$B$4:$Q$300, 4, FALSE)</f>
        <v>#N/A</v>
      </c>
      <c r="Q71" s="11" t="str">
        <f>VLOOKUP($G71, 'ADP Data'!$B$4:$Q$300, 5, FALSE)</f>
        <v>#N/A</v>
      </c>
      <c r="R71" s="11" t="str">
        <f>VLOOKUP($G71, 'ADP Data'!$B$4:$Q$300, 7, FALSE)</f>
        <v>#N/A</v>
      </c>
      <c r="S71" s="11" t="str">
        <f>VLOOKUP($G71, 'ADP Data'!$B$4:$Q$300, 8, FALSE)</f>
        <v>#N/A</v>
      </c>
      <c r="T71" s="11" t="str">
        <f>VLOOKUP($G71, 'ADP Data'!$B$4:$Q$300, 9, FALSE)</f>
        <v>#N/A</v>
      </c>
      <c r="U71" s="11" t="str">
        <f t="shared" si="3"/>
        <v>#N/A</v>
      </c>
      <c r="V71" s="11"/>
    </row>
    <row r="72" ht="14.25" customHeight="1">
      <c r="A72" s="11"/>
      <c r="B72" s="11" t="str">
        <f t="shared" si="1"/>
        <v>#N/A</v>
      </c>
      <c r="C72" s="11" t="s">
        <v>106</v>
      </c>
      <c r="D72" s="11">
        <v>8.0</v>
      </c>
      <c r="E72" s="11">
        <v>7.0</v>
      </c>
      <c r="F72" s="11"/>
      <c r="G72" s="49" t="s">
        <v>158</v>
      </c>
      <c r="H72" s="11" t="s">
        <v>45</v>
      </c>
      <c r="I72" s="11" t="s">
        <v>775</v>
      </c>
      <c r="J72" s="99" t="s">
        <v>1365</v>
      </c>
      <c r="K72" s="11" t="s">
        <v>1360</v>
      </c>
      <c r="L72" s="11">
        <v>27.0</v>
      </c>
      <c r="M72" s="11">
        <f t="shared" si="2"/>
        <v>16</v>
      </c>
      <c r="N72" s="11" t="str">
        <f>VLOOKUP($G72, 'ADP Data'!$B$4:$Q$300, 6, FALSE)</f>
        <v>#N/A</v>
      </c>
      <c r="O72" s="11" t="str">
        <f>VLOOKUP($G72, 'ADP Data'!$B$4:$Q$300, 10, FALSE)</f>
        <v>#N/A</v>
      </c>
      <c r="P72" s="11" t="str">
        <f>VLOOKUP($G72, 'ADP Data'!$B$4:$Q$300, 4, FALSE)</f>
        <v>#N/A</v>
      </c>
      <c r="Q72" s="11" t="str">
        <f>VLOOKUP($G72, 'ADP Data'!$B$4:$Q$300, 5, FALSE)</f>
        <v>#N/A</v>
      </c>
      <c r="R72" s="11" t="str">
        <f>VLOOKUP($G72, 'ADP Data'!$B$4:$Q$300, 7, FALSE)</f>
        <v>#N/A</v>
      </c>
      <c r="S72" s="11" t="str">
        <f>VLOOKUP($G72, 'ADP Data'!$B$4:$Q$300, 8, FALSE)</f>
        <v>#N/A</v>
      </c>
      <c r="T72" s="11" t="str">
        <f>VLOOKUP($G72, 'ADP Data'!$B$4:$Q$300, 9, FALSE)</f>
        <v>#N/A</v>
      </c>
      <c r="U72" s="11" t="str">
        <f t="shared" si="3"/>
        <v>#N/A</v>
      </c>
      <c r="V72" s="11"/>
    </row>
    <row r="73" ht="14.25" customHeight="1">
      <c r="A73" s="11"/>
      <c r="B73" s="11" t="str">
        <f t="shared" si="1"/>
        <v>#N/A</v>
      </c>
      <c r="C73" s="11" t="s">
        <v>106</v>
      </c>
      <c r="D73" s="11">
        <v>10.0</v>
      </c>
      <c r="E73" s="60">
        <v>7.0</v>
      </c>
      <c r="F73" s="60"/>
      <c r="G73" s="60" t="s">
        <v>261</v>
      </c>
      <c r="H73" s="60" t="s">
        <v>176</v>
      </c>
      <c r="I73" s="60" t="s">
        <v>775</v>
      </c>
      <c r="J73" s="99" t="s">
        <v>1374</v>
      </c>
      <c r="K73" s="60" t="s">
        <v>1370</v>
      </c>
      <c r="L73" s="11">
        <v>28.0</v>
      </c>
      <c r="M73" s="11">
        <f t="shared" si="2"/>
        <v>16</v>
      </c>
      <c r="N73" s="11" t="str">
        <f>VLOOKUP($G73, 'ADP Data'!$B$4:$Q$300, 6, FALSE)</f>
        <v>#N/A</v>
      </c>
      <c r="O73" s="11" t="str">
        <f>VLOOKUP($G73, 'ADP Data'!$B$4:$Q$300, 10, FALSE)</f>
        <v>#N/A</v>
      </c>
      <c r="P73" s="11" t="str">
        <f>VLOOKUP($G73, 'ADP Data'!$B$4:$Q$300, 4, FALSE)</f>
        <v>#N/A</v>
      </c>
      <c r="Q73" s="11" t="str">
        <f>VLOOKUP($G73, 'ADP Data'!$B$4:$Q$300, 5, FALSE)</f>
        <v>#N/A</v>
      </c>
      <c r="R73" s="11" t="str">
        <f>VLOOKUP($G73, 'ADP Data'!$B$4:$Q$300, 7, FALSE)</f>
        <v>#N/A</v>
      </c>
      <c r="S73" s="11" t="str">
        <f>VLOOKUP($G73, 'ADP Data'!$B$4:$Q$300, 8, FALSE)</f>
        <v>#N/A</v>
      </c>
      <c r="T73" s="11" t="str">
        <f>VLOOKUP($G73, 'ADP Data'!$B$4:$Q$300, 9, FALSE)</f>
        <v>#N/A</v>
      </c>
      <c r="U73" s="11" t="str">
        <f t="shared" si="3"/>
        <v>#N/A</v>
      </c>
      <c r="V73" s="60" t="s">
        <v>1376</v>
      </c>
    </row>
    <row r="74" ht="14.25" customHeight="1">
      <c r="A74" s="11"/>
      <c r="B74" s="11" t="str">
        <f t="shared" si="1"/>
        <v>#N/A</v>
      </c>
      <c r="C74" s="11" t="s">
        <v>106</v>
      </c>
      <c r="D74" s="11">
        <v>11.0</v>
      </c>
      <c r="E74" s="60">
        <v>7.0</v>
      </c>
      <c r="F74" s="60"/>
      <c r="G74" s="60" t="s">
        <v>1377</v>
      </c>
      <c r="H74" s="60" t="s">
        <v>165</v>
      </c>
      <c r="I74" s="60" t="s">
        <v>775</v>
      </c>
      <c r="J74" s="99" t="s">
        <v>1378</v>
      </c>
      <c r="K74" s="60" t="s">
        <v>1370</v>
      </c>
      <c r="L74" s="11">
        <v>29.0</v>
      </c>
      <c r="M74" s="11">
        <f t="shared" si="2"/>
        <v>16</v>
      </c>
      <c r="N74" s="11" t="str">
        <f>VLOOKUP($G74, 'ADP Data'!$B$4:$Q$300, 6, FALSE)</f>
        <v>#N/A</v>
      </c>
      <c r="O74" s="11" t="str">
        <f>VLOOKUP($G74, 'ADP Data'!$B$4:$Q$300, 10, FALSE)</f>
        <v>#N/A</v>
      </c>
      <c r="P74" s="11" t="str">
        <f>VLOOKUP($G74, 'ADP Data'!$B$4:$Q$300, 4, FALSE)</f>
        <v>#N/A</v>
      </c>
      <c r="Q74" s="11" t="str">
        <f>VLOOKUP($G74, 'ADP Data'!$B$4:$Q$300, 5, FALSE)</f>
        <v>#N/A</v>
      </c>
      <c r="R74" s="11" t="str">
        <f>VLOOKUP($G74, 'ADP Data'!$B$4:$Q$300, 7, FALSE)</f>
        <v>#N/A</v>
      </c>
      <c r="S74" s="11" t="str">
        <f>VLOOKUP($G74, 'ADP Data'!$B$4:$Q$300, 8, FALSE)</f>
        <v>#N/A</v>
      </c>
      <c r="T74" s="11" t="str">
        <f>VLOOKUP($G74, 'ADP Data'!$B$4:$Q$300, 9, FALSE)</f>
        <v>#N/A</v>
      </c>
      <c r="U74" s="11" t="str">
        <f t="shared" si="3"/>
        <v>#N/A</v>
      </c>
      <c r="V74" s="60" t="s">
        <v>1379</v>
      </c>
    </row>
    <row r="75" ht="14.25" customHeight="1">
      <c r="A75" s="11"/>
      <c r="B75" s="11" t="str">
        <f t="shared" si="1"/>
        <v>#N/A</v>
      </c>
      <c r="C75" s="11" t="s">
        <v>106</v>
      </c>
      <c r="D75" s="11">
        <v>5.0</v>
      </c>
      <c r="E75" s="11">
        <v>1.0</v>
      </c>
      <c r="F75" s="11"/>
      <c r="G75" s="11" t="s">
        <v>1187</v>
      </c>
      <c r="H75" s="11" t="s">
        <v>231</v>
      </c>
      <c r="I75" s="11" t="s">
        <v>770</v>
      </c>
      <c r="J75" s="99" t="s">
        <v>1324</v>
      </c>
      <c r="K75" s="11" t="s">
        <v>1368</v>
      </c>
      <c r="L75" s="11">
        <v>9.0</v>
      </c>
      <c r="M75" s="11">
        <f t="shared" si="2"/>
        <v>16</v>
      </c>
      <c r="N75" s="11" t="str">
        <f>VLOOKUP($G75, 'ADP Data'!$B$4:$Q$300, 6, FALSE)</f>
        <v>#N/A</v>
      </c>
      <c r="O75" s="11" t="str">
        <f>VLOOKUP($G75, 'ADP Data'!$B$4:$Q$300, 10, FALSE)</f>
        <v>#N/A</v>
      </c>
      <c r="P75" s="11" t="str">
        <f>VLOOKUP($G75, 'ADP Data'!$B$4:$Q$300, 4, FALSE)</f>
        <v>#N/A</v>
      </c>
      <c r="Q75" s="11" t="str">
        <f>VLOOKUP($G75, 'ADP Data'!$B$4:$Q$300, 5, FALSE)</f>
        <v>#N/A</v>
      </c>
      <c r="R75" s="11" t="str">
        <f>VLOOKUP($G75, 'ADP Data'!$B$4:$Q$300, 7, FALSE)</f>
        <v>#N/A</v>
      </c>
      <c r="S75" s="11" t="str">
        <f>VLOOKUP($G75, 'ADP Data'!$B$4:$Q$300, 8, FALSE)</f>
        <v>#N/A</v>
      </c>
      <c r="T75" s="11" t="str">
        <f>VLOOKUP($G75, 'ADP Data'!$B$4:$Q$300, 9, FALSE)</f>
        <v>#N/A</v>
      </c>
      <c r="U75" s="11" t="str">
        <f t="shared" si="3"/>
        <v>#N/A</v>
      </c>
      <c r="V75" s="11"/>
    </row>
    <row r="76" ht="14.25" customHeight="1">
      <c r="A76" s="11"/>
      <c r="B76" s="11" t="str">
        <f t="shared" si="1"/>
        <v>#N/A</v>
      </c>
      <c r="C76" s="11" t="s">
        <v>106</v>
      </c>
      <c r="D76" s="11">
        <v>5.0</v>
      </c>
      <c r="E76" s="11">
        <v>3.0</v>
      </c>
      <c r="F76" s="11"/>
      <c r="G76" s="11" t="s">
        <v>1219</v>
      </c>
      <c r="H76" s="11" t="s">
        <v>192</v>
      </c>
      <c r="I76" s="11" t="s">
        <v>781</v>
      </c>
      <c r="J76" s="99">
        <v>9.0</v>
      </c>
      <c r="K76" s="11" t="s">
        <v>710</v>
      </c>
      <c r="L76" s="11">
        <v>7.0</v>
      </c>
      <c r="M76" s="11">
        <f t="shared" si="2"/>
        <v>16</v>
      </c>
      <c r="N76" s="11" t="str">
        <f>VLOOKUP($G76, 'ADP Data'!$B$4:$Q$300, 6, FALSE)</f>
        <v>#N/A</v>
      </c>
      <c r="O76" s="11" t="str">
        <f>VLOOKUP($G76, 'ADP Data'!$B$4:$Q$300, 10, FALSE)</f>
        <v>#N/A</v>
      </c>
      <c r="P76" s="11" t="str">
        <f>VLOOKUP($G76, 'ADP Data'!$B$4:$Q$300, 4, FALSE)</f>
        <v>#N/A</v>
      </c>
      <c r="Q76" s="11" t="str">
        <f>VLOOKUP($G76, 'ADP Data'!$B$4:$Q$300, 5, FALSE)</f>
        <v>#N/A</v>
      </c>
      <c r="R76" s="11" t="str">
        <f>VLOOKUP($G76, 'ADP Data'!$B$4:$Q$300, 7, FALSE)</f>
        <v>#N/A</v>
      </c>
      <c r="S76" s="11" t="str">
        <f>VLOOKUP($G76, 'ADP Data'!$B$4:$Q$300, 8, FALSE)</f>
        <v>#N/A</v>
      </c>
      <c r="T76" s="11" t="str">
        <f>VLOOKUP($G76, 'ADP Data'!$B$4:$Q$300, 9, FALSE)</f>
        <v>#N/A</v>
      </c>
      <c r="U76" s="11" t="str">
        <f t="shared" si="3"/>
        <v>#N/A</v>
      </c>
      <c r="V76" s="11"/>
    </row>
    <row r="77" ht="14.25" customHeight="1">
      <c r="A77" s="11" t="s">
        <v>1156</v>
      </c>
      <c r="B77" s="11" t="str">
        <f t="shared" si="1"/>
        <v>#N/A</v>
      </c>
      <c r="C77" s="11" t="s">
        <v>106</v>
      </c>
      <c r="D77" s="11">
        <v>5.0</v>
      </c>
      <c r="E77" s="60">
        <v>6.0</v>
      </c>
      <c r="F77" s="60"/>
      <c r="G77" s="49" t="s">
        <v>1380</v>
      </c>
      <c r="H77" s="60" t="s">
        <v>94</v>
      </c>
      <c r="I77" s="60" t="s">
        <v>775</v>
      </c>
      <c r="J77" s="99" t="s">
        <v>1381</v>
      </c>
      <c r="K77" s="60" t="s">
        <v>1370</v>
      </c>
      <c r="L77" s="11">
        <v>30.0</v>
      </c>
      <c r="M77" s="11">
        <f t="shared" si="2"/>
        <v>16</v>
      </c>
      <c r="N77" s="11" t="str">
        <f>VLOOKUP($G77, 'ADP Data'!$B$4:$Q$300, 6, FALSE)</f>
        <v>#N/A</v>
      </c>
      <c r="O77" s="11" t="str">
        <f>VLOOKUP($G77, 'ADP Data'!$B$4:$Q$300, 10, FALSE)</f>
        <v>#N/A</v>
      </c>
      <c r="P77" s="11" t="str">
        <f>VLOOKUP($G77, 'ADP Data'!$B$4:$Q$300, 4, FALSE)</f>
        <v>#N/A</v>
      </c>
      <c r="Q77" s="11" t="str">
        <f>VLOOKUP($G77, 'ADP Data'!$B$4:$Q$300, 5, FALSE)</f>
        <v>#N/A</v>
      </c>
      <c r="R77" s="11" t="str">
        <f>VLOOKUP($G77, 'ADP Data'!$B$4:$Q$300, 7, FALSE)</f>
        <v>#N/A</v>
      </c>
      <c r="S77" s="11" t="str">
        <f>VLOOKUP($G77, 'ADP Data'!$B$4:$Q$300, 8, FALSE)</f>
        <v>#N/A</v>
      </c>
      <c r="T77" s="11" t="str">
        <f>VLOOKUP($G77, 'ADP Data'!$B$4:$Q$300, 9, FALSE)</f>
        <v>#N/A</v>
      </c>
      <c r="U77" s="11" t="str">
        <f t="shared" si="3"/>
        <v>#N/A</v>
      </c>
      <c r="V77" s="60"/>
    </row>
    <row r="78" ht="14.25" customHeight="1">
      <c r="A78" s="11"/>
      <c r="B78" s="11" t="str">
        <f t="shared" si="1"/>
        <v>#N/A</v>
      </c>
      <c r="C78" s="11" t="s">
        <v>106</v>
      </c>
      <c r="D78" s="11">
        <v>24.0</v>
      </c>
      <c r="E78" s="11">
        <v>8.0</v>
      </c>
      <c r="F78" s="11"/>
      <c r="G78" s="11" t="s">
        <v>144</v>
      </c>
      <c r="H78" s="11" t="s">
        <v>176</v>
      </c>
      <c r="I78" s="11" t="s">
        <v>772</v>
      </c>
      <c r="J78" s="99" t="s">
        <v>1363</v>
      </c>
      <c r="K78" s="11" t="s">
        <v>1366</v>
      </c>
      <c r="L78" s="11">
        <v>28.0</v>
      </c>
      <c r="M78" s="11">
        <f t="shared" si="2"/>
        <v>16</v>
      </c>
      <c r="N78" s="11" t="str">
        <f>VLOOKUP($G78, 'ADP Data'!$B$4:$Q$300, 6, FALSE)</f>
        <v>#N/A</v>
      </c>
      <c r="O78" s="11" t="str">
        <f>VLOOKUP($G78, 'ADP Data'!$B$4:$Q$300, 10, FALSE)</f>
        <v>#N/A</v>
      </c>
      <c r="P78" s="11" t="str">
        <f>VLOOKUP($G78, 'ADP Data'!$B$4:$Q$300, 4, FALSE)</f>
        <v>#N/A</v>
      </c>
      <c r="Q78" s="11" t="str">
        <f>VLOOKUP($G78, 'ADP Data'!$B$4:$Q$300, 5, FALSE)</f>
        <v>#N/A</v>
      </c>
      <c r="R78" s="11" t="str">
        <f>VLOOKUP($G78, 'ADP Data'!$B$4:$Q$300, 7, FALSE)</f>
        <v>#N/A</v>
      </c>
      <c r="S78" s="11" t="str">
        <f>VLOOKUP($G78, 'ADP Data'!$B$4:$Q$300, 8, FALSE)</f>
        <v>#N/A</v>
      </c>
      <c r="T78" s="11" t="str">
        <f>VLOOKUP($G78, 'ADP Data'!$B$4:$Q$300, 9, FALSE)</f>
        <v>#N/A</v>
      </c>
      <c r="U78" s="11" t="str">
        <f t="shared" si="3"/>
        <v>#N/A</v>
      </c>
      <c r="V78" s="11" t="s">
        <v>1382</v>
      </c>
    </row>
    <row r="79" ht="14.25" customHeight="1">
      <c r="A79" s="11" t="s">
        <v>1156</v>
      </c>
      <c r="B79" s="11" t="str">
        <f t="shared" si="1"/>
        <v>#N/A</v>
      </c>
      <c r="C79" s="11" t="s">
        <v>106</v>
      </c>
      <c r="D79" s="11">
        <v>6.0</v>
      </c>
      <c r="E79" s="60">
        <v>6.0</v>
      </c>
      <c r="F79" s="60"/>
      <c r="G79" s="49" t="s">
        <v>888</v>
      </c>
      <c r="H79" s="60" t="s">
        <v>119</v>
      </c>
      <c r="I79" s="60" t="s">
        <v>775</v>
      </c>
      <c r="J79" s="99" t="s">
        <v>1384</v>
      </c>
      <c r="K79" s="60" t="s">
        <v>1360</v>
      </c>
      <c r="L79" s="11">
        <v>31.0</v>
      </c>
      <c r="M79" s="11">
        <f t="shared" si="2"/>
        <v>16</v>
      </c>
      <c r="N79" s="11" t="str">
        <f>VLOOKUP($G79, 'ADP Data'!$B$4:$Q$300, 6, FALSE)</f>
        <v>#N/A</v>
      </c>
      <c r="O79" s="11" t="str">
        <f>VLOOKUP($G79, 'ADP Data'!$B$4:$Q$300, 10, FALSE)</f>
        <v>#N/A</v>
      </c>
      <c r="P79" s="11" t="str">
        <f>VLOOKUP($G79, 'ADP Data'!$B$4:$Q$300, 4, FALSE)</f>
        <v>#N/A</v>
      </c>
      <c r="Q79" s="11" t="str">
        <f>VLOOKUP($G79, 'ADP Data'!$B$4:$Q$300, 5, FALSE)</f>
        <v>#N/A</v>
      </c>
      <c r="R79" s="11" t="str">
        <f>VLOOKUP($G79, 'ADP Data'!$B$4:$Q$300, 7, FALSE)</f>
        <v>#N/A</v>
      </c>
      <c r="S79" s="11" t="str">
        <f>VLOOKUP($G79, 'ADP Data'!$B$4:$Q$300, 8, FALSE)</f>
        <v>#N/A</v>
      </c>
      <c r="T79" s="11" t="str">
        <f>VLOOKUP($G79, 'ADP Data'!$B$4:$Q$300, 9, FALSE)</f>
        <v>#N/A</v>
      </c>
      <c r="U79" s="11" t="str">
        <f t="shared" si="3"/>
        <v>#N/A</v>
      </c>
      <c r="V79" s="60"/>
    </row>
    <row r="80" ht="14.25" customHeight="1">
      <c r="A80" s="11"/>
      <c r="B80" s="11" t="str">
        <f t="shared" si="1"/>
        <v>#N/A</v>
      </c>
      <c r="C80" s="11" t="s">
        <v>106</v>
      </c>
      <c r="D80" s="11">
        <v>14.0</v>
      </c>
      <c r="E80" s="11">
        <v>3.0</v>
      </c>
      <c r="F80" s="11" t="s">
        <v>106</v>
      </c>
      <c r="G80" s="11" t="s">
        <v>1191</v>
      </c>
      <c r="H80" s="11" t="s">
        <v>116</v>
      </c>
      <c r="I80" s="11" t="s">
        <v>772</v>
      </c>
      <c r="J80" s="99" t="s">
        <v>1385</v>
      </c>
      <c r="K80" s="11" t="s">
        <v>1372</v>
      </c>
      <c r="L80" s="11">
        <v>29.0</v>
      </c>
      <c r="M80" s="11">
        <f t="shared" si="2"/>
        <v>16</v>
      </c>
      <c r="N80" s="11" t="str">
        <f>VLOOKUP($G80, 'ADP Data'!$B$4:$Q$300, 6, FALSE)</f>
        <v>#N/A</v>
      </c>
      <c r="O80" s="11" t="str">
        <f>VLOOKUP($G80, 'ADP Data'!$B$4:$Q$300, 10, FALSE)</f>
        <v>#N/A</v>
      </c>
      <c r="P80" s="11" t="str">
        <f>VLOOKUP($G80, 'ADP Data'!$B$4:$Q$300, 4, FALSE)</f>
        <v>#N/A</v>
      </c>
      <c r="Q80" s="11" t="str">
        <f>VLOOKUP($G80, 'ADP Data'!$B$4:$Q$300, 5, FALSE)</f>
        <v>#N/A</v>
      </c>
      <c r="R80" s="11" t="str">
        <f>VLOOKUP($G80, 'ADP Data'!$B$4:$Q$300, 7, FALSE)</f>
        <v>#N/A</v>
      </c>
      <c r="S80" s="11" t="str">
        <f>VLOOKUP($G80, 'ADP Data'!$B$4:$Q$300, 8, FALSE)</f>
        <v>#N/A</v>
      </c>
      <c r="T80" s="11" t="str">
        <f>VLOOKUP($G80, 'ADP Data'!$B$4:$Q$300, 9, FALSE)</f>
        <v>#N/A</v>
      </c>
      <c r="U80" s="11" t="str">
        <f t="shared" si="3"/>
        <v>#N/A</v>
      </c>
      <c r="V80" s="11"/>
    </row>
    <row r="81" ht="14.25" customHeight="1">
      <c r="A81" s="11"/>
      <c r="B81" s="11" t="str">
        <f t="shared" si="1"/>
        <v>#N/A</v>
      </c>
      <c r="C81" s="11" t="s">
        <v>106</v>
      </c>
      <c r="D81" s="11">
        <v>18.0</v>
      </c>
      <c r="E81" s="60">
        <v>7.0</v>
      </c>
      <c r="F81" s="60" t="s">
        <v>106</v>
      </c>
      <c r="G81" s="60" t="s">
        <v>714</v>
      </c>
      <c r="H81" s="60" t="s">
        <v>195</v>
      </c>
      <c r="I81" s="60" t="s">
        <v>775</v>
      </c>
      <c r="J81" s="99" t="s">
        <v>1386</v>
      </c>
      <c r="K81" s="60" t="s">
        <v>1370</v>
      </c>
      <c r="L81" s="11">
        <v>32.0</v>
      </c>
      <c r="M81" s="11">
        <f t="shared" si="2"/>
        <v>16</v>
      </c>
      <c r="N81" s="11" t="str">
        <f>VLOOKUP($G81, 'ADP Data'!$B$4:$Q$300, 6, FALSE)</f>
        <v>#N/A</v>
      </c>
      <c r="O81" s="11" t="str">
        <f>VLOOKUP($G81, 'ADP Data'!$B$4:$Q$300, 10, FALSE)</f>
        <v>#N/A</v>
      </c>
      <c r="P81" s="11" t="str">
        <f>VLOOKUP($G81, 'ADP Data'!$B$4:$Q$300, 4, FALSE)</f>
        <v>#N/A</v>
      </c>
      <c r="Q81" s="11" t="str">
        <f>VLOOKUP($G81, 'ADP Data'!$B$4:$Q$300, 5, FALSE)</f>
        <v>#N/A</v>
      </c>
      <c r="R81" s="11" t="str">
        <f>VLOOKUP($G81, 'ADP Data'!$B$4:$Q$300, 7, FALSE)</f>
        <v>#N/A</v>
      </c>
      <c r="S81" s="11" t="str">
        <f>VLOOKUP($G81, 'ADP Data'!$B$4:$Q$300, 8, FALSE)</f>
        <v>#N/A</v>
      </c>
      <c r="T81" s="11" t="str">
        <f>VLOOKUP($G81, 'ADP Data'!$B$4:$Q$300, 9, FALSE)</f>
        <v>#N/A</v>
      </c>
      <c r="U81" s="11" t="str">
        <f t="shared" si="3"/>
        <v>#N/A</v>
      </c>
      <c r="V81" s="60"/>
    </row>
    <row r="82" ht="14.25" customHeight="1">
      <c r="A82" s="11" t="s">
        <v>1156</v>
      </c>
      <c r="B82" s="11" t="str">
        <f t="shared" si="1"/>
        <v>#N/A</v>
      </c>
      <c r="C82" s="11" t="s">
        <v>106</v>
      </c>
      <c r="D82" s="11">
        <v>5.0</v>
      </c>
      <c r="E82" s="60">
        <v>7.0</v>
      </c>
      <c r="F82" s="60"/>
      <c r="G82" s="60" t="s">
        <v>44</v>
      </c>
      <c r="H82" s="60" t="s">
        <v>45</v>
      </c>
      <c r="I82" s="60" t="s">
        <v>775</v>
      </c>
      <c r="J82" s="99" t="s">
        <v>1367</v>
      </c>
      <c r="K82" s="60" t="s">
        <v>1370</v>
      </c>
      <c r="L82" s="11">
        <v>33.0</v>
      </c>
      <c r="M82" s="11">
        <f t="shared" si="2"/>
        <v>16</v>
      </c>
      <c r="N82" s="11" t="str">
        <f>VLOOKUP($G82, 'ADP Data'!$B$4:$Q$300, 6, FALSE)</f>
        <v>#N/A</v>
      </c>
      <c r="O82" s="11" t="str">
        <f>VLOOKUP($G82, 'ADP Data'!$B$4:$Q$300, 10, FALSE)</f>
        <v>#N/A</v>
      </c>
      <c r="P82" s="11" t="str">
        <f>VLOOKUP($G82, 'ADP Data'!$B$4:$Q$300, 4, FALSE)</f>
        <v>#N/A</v>
      </c>
      <c r="Q82" s="11" t="str">
        <f>VLOOKUP($G82, 'ADP Data'!$B$4:$Q$300, 5, FALSE)</f>
        <v>#N/A</v>
      </c>
      <c r="R82" s="11" t="str">
        <f>VLOOKUP($G82, 'ADP Data'!$B$4:$Q$300, 7, FALSE)</f>
        <v>#N/A</v>
      </c>
      <c r="S82" s="11" t="str">
        <f>VLOOKUP($G82, 'ADP Data'!$B$4:$Q$300, 8, FALSE)</f>
        <v>#N/A</v>
      </c>
      <c r="T82" s="11" t="str">
        <f>VLOOKUP($G82, 'ADP Data'!$B$4:$Q$300, 9, FALSE)</f>
        <v>#N/A</v>
      </c>
      <c r="U82" s="11" t="str">
        <f t="shared" si="3"/>
        <v>#N/A</v>
      </c>
      <c r="V82" s="60" t="s">
        <v>1387</v>
      </c>
    </row>
    <row r="83" ht="14.25" customHeight="1">
      <c r="A83" s="11"/>
      <c r="B83" s="11" t="str">
        <f t="shared" si="1"/>
        <v>#N/A</v>
      </c>
      <c r="C83" s="11" t="s">
        <v>106</v>
      </c>
      <c r="D83" s="11">
        <v>6.0</v>
      </c>
      <c r="E83" s="60">
        <v>7.0</v>
      </c>
      <c r="F83" s="60"/>
      <c r="G83" s="60" t="s">
        <v>1130</v>
      </c>
      <c r="H83" s="60" t="s">
        <v>237</v>
      </c>
      <c r="I83" s="60" t="s">
        <v>775</v>
      </c>
      <c r="J83" s="99" t="s">
        <v>1388</v>
      </c>
      <c r="K83" s="60" t="s">
        <v>1360</v>
      </c>
      <c r="L83" s="11">
        <v>34.0</v>
      </c>
      <c r="M83" s="11">
        <f t="shared" si="2"/>
        <v>16</v>
      </c>
      <c r="N83" s="11" t="str">
        <f>VLOOKUP($G83, 'ADP Data'!$B$4:$Q$300, 6, FALSE)</f>
        <v>#N/A</v>
      </c>
      <c r="O83" s="11" t="str">
        <f>VLOOKUP($G83, 'ADP Data'!$B$4:$Q$300, 10, FALSE)</f>
        <v>#N/A</v>
      </c>
      <c r="P83" s="11" t="str">
        <f>VLOOKUP($G83, 'ADP Data'!$B$4:$Q$300, 4, FALSE)</f>
        <v>#N/A</v>
      </c>
      <c r="Q83" s="11" t="str">
        <f>VLOOKUP($G83, 'ADP Data'!$B$4:$Q$300, 5, FALSE)</f>
        <v>#N/A</v>
      </c>
      <c r="R83" s="11" t="str">
        <f>VLOOKUP($G83, 'ADP Data'!$B$4:$Q$300, 7, FALSE)</f>
        <v>#N/A</v>
      </c>
      <c r="S83" s="11" t="str">
        <f>VLOOKUP($G83, 'ADP Data'!$B$4:$Q$300, 8, FALSE)</f>
        <v>#N/A</v>
      </c>
      <c r="T83" s="11" t="str">
        <f>VLOOKUP($G83, 'ADP Data'!$B$4:$Q$300, 9, FALSE)</f>
        <v>#N/A</v>
      </c>
      <c r="U83" s="11" t="str">
        <f t="shared" si="3"/>
        <v>#N/A</v>
      </c>
      <c r="V83" s="60"/>
    </row>
    <row r="84" ht="14.25" customHeight="1">
      <c r="A84" s="11" t="s">
        <v>1156</v>
      </c>
      <c r="B84" s="11" t="str">
        <f t="shared" si="1"/>
        <v>#N/A</v>
      </c>
      <c r="C84" s="11" t="s">
        <v>106</v>
      </c>
      <c r="D84" s="11">
        <v>3.0</v>
      </c>
      <c r="E84" s="11">
        <v>4.0</v>
      </c>
      <c r="F84" s="11" t="s">
        <v>95</v>
      </c>
      <c r="G84" s="11" t="s">
        <v>1245</v>
      </c>
      <c r="H84" s="11" t="s">
        <v>131</v>
      </c>
      <c r="I84" s="11" t="s">
        <v>775</v>
      </c>
      <c r="J84" s="99" t="s">
        <v>1373</v>
      </c>
      <c r="K84" s="11" t="s">
        <v>1343</v>
      </c>
      <c r="L84" s="11">
        <v>35.0</v>
      </c>
      <c r="M84" s="11">
        <f t="shared" si="2"/>
        <v>16</v>
      </c>
      <c r="N84" s="11" t="str">
        <f>VLOOKUP($G84, 'ADP Data'!$B$4:$Q$300, 6, FALSE)</f>
        <v>#N/A</v>
      </c>
      <c r="O84" s="11" t="str">
        <f>VLOOKUP($G84, 'ADP Data'!$B$4:$Q$300, 10, FALSE)</f>
        <v>#N/A</v>
      </c>
      <c r="P84" s="11" t="str">
        <f>VLOOKUP($G84, 'ADP Data'!$B$4:$Q$300, 4, FALSE)</f>
        <v>#N/A</v>
      </c>
      <c r="Q84" s="11" t="str">
        <f>VLOOKUP($G84, 'ADP Data'!$B$4:$Q$300, 5, FALSE)</f>
        <v>#N/A</v>
      </c>
      <c r="R84" s="11" t="str">
        <f>VLOOKUP($G84, 'ADP Data'!$B$4:$Q$300, 7, FALSE)</f>
        <v>#N/A</v>
      </c>
      <c r="S84" s="11" t="str">
        <f>VLOOKUP($G84, 'ADP Data'!$B$4:$Q$300, 8, FALSE)</f>
        <v>#N/A</v>
      </c>
      <c r="T84" s="11" t="str">
        <f>VLOOKUP($G84, 'ADP Data'!$B$4:$Q$300, 9, FALSE)</f>
        <v>#N/A</v>
      </c>
      <c r="U84" s="11" t="str">
        <f t="shared" si="3"/>
        <v>#N/A</v>
      </c>
      <c r="V84" s="11"/>
    </row>
    <row r="85" ht="14.25" customHeight="1">
      <c r="A85" s="11"/>
      <c r="B85" s="11" t="str">
        <f t="shared" si="1"/>
        <v>#N/A</v>
      </c>
      <c r="C85" s="11" t="s">
        <v>106</v>
      </c>
      <c r="D85" s="11">
        <v>4.0</v>
      </c>
      <c r="E85" s="11">
        <v>2.0</v>
      </c>
      <c r="F85" s="11"/>
      <c r="G85" s="49" t="s">
        <v>1244</v>
      </c>
      <c r="H85" s="11" t="s">
        <v>58</v>
      </c>
      <c r="I85" s="11" t="s">
        <v>772</v>
      </c>
      <c r="J85" s="99" t="s">
        <v>1378</v>
      </c>
      <c r="K85" s="11" t="s">
        <v>1366</v>
      </c>
      <c r="L85" s="11">
        <v>30.0</v>
      </c>
      <c r="M85" s="11">
        <f t="shared" si="2"/>
        <v>16</v>
      </c>
      <c r="N85" s="11" t="str">
        <f>VLOOKUP($G85, 'ADP Data'!$B$4:$Q$300, 6, FALSE)</f>
        <v>#N/A</v>
      </c>
      <c r="O85" s="11" t="str">
        <f>VLOOKUP($G85, 'ADP Data'!$B$4:$Q$300, 10, FALSE)</f>
        <v>#N/A</v>
      </c>
      <c r="P85" s="11" t="str">
        <f>VLOOKUP($G85, 'ADP Data'!$B$4:$Q$300, 4, FALSE)</f>
        <v>#N/A</v>
      </c>
      <c r="Q85" s="11" t="str">
        <f>VLOOKUP($G85, 'ADP Data'!$B$4:$Q$300, 5, FALSE)</f>
        <v>#N/A</v>
      </c>
      <c r="R85" s="11" t="str">
        <f>VLOOKUP($G85, 'ADP Data'!$B$4:$Q$300, 7, FALSE)</f>
        <v>#N/A</v>
      </c>
      <c r="S85" s="11" t="str">
        <f>VLOOKUP($G85, 'ADP Data'!$B$4:$Q$300, 8, FALSE)</f>
        <v>#N/A</v>
      </c>
      <c r="T85" s="11" t="str">
        <f>VLOOKUP($G85, 'ADP Data'!$B$4:$Q$300, 9, FALSE)</f>
        <v>#N/A</v>
      </c>
      <c r="U85" s="11" t="str">
        <f t="shared" si="3"/>
        <v>#N/A</v>
      </c>
      <c r="V85" s="11" t="s">
        <v>1389</v>
      </c>
    </row>
    <row r="86" ht="14.25" customHeight="1">
      <c r="A86" s="11"/>
      <c r="B86" s="11" t="str">
        <f t="shared" si="1"/>
        <v>#N/A</v>
      </c>
      <c r="C86" s="11" t="s">
        <v>106</v>
      </c>
      <c r="D86" s="11">
        <v>4.0</v>
      </c>
      <c r="E86" s="11">
        <v>2.0</v>
      </c>
      <c r="F86" s="11"/>
      <c r="G86" s="49" t="s">
        <v>907</v>
      </c>
      <c r="H86" s="11" t="s">
        <v>176</v>
      </c>
      <c r="I86" s="11" t="s">
        <v>781</v>
      </c>
      <c r="J86" s="99">
        <v>8.0</v>
      </c>
      <c r="K86" s="11" t="s">
        <v>710</v>
      </c>
      <c r="L86" s="11">
        <v>9.0</v>
      </c>
      <c r="M86" s="11">
        <f t="shared" si="2"/>
        <v>16</v>
      </c>
      <c r="N86" s="11" t="str">
        <f>VLOOKUP($G86, 'ADP Data'!$B$4:$Q$300, 6, FALSE)</f>
        <v>#N/A</v>
      </c>
      <c r="O86" s="11" t="str">
        <f>VLOOKUP($G86, 'ADP Data'!$B$4:$Q$300, 10, FALSE)</f>
        <v>#N/A</v>
      </c>
      <c r="P86" s="11" t="str">
        <f>VLOOKUP($G86, 'ADP Data'!$B$4:$Q$300, 4, FALSE)</f>
        <v>#N/A</v>
      </c>
      <c r="Q86" s="11" t="str">
        <f>VLOOKUP($G86, 'ADP Data'!$B$4:$Q$300, 5, FALSE)</f>
        <v>#N/A</v>
      </c>
      <c r="R86" s="11" t="str">
        <f>VLOOKUP($G86, 'ADP Data'!$B$4:$Q$300, 7, FALSE)</f>
        <v>#N/A</v>
      </c>
      <c r="S86" s="11" t="str">
        <f>VLOOKUP($G86, 'ADP Data'!$B$4:$Q$300, 8, FALSE)</f>
        <v>#N/A</v>
      </c>
      <c r="T86" s="11" t="str">
        <f>VLOOKUP($G86, 'ADP Data'!$B$4:$Q$300, 9, FALSE)</f>
        <v>#N/A</v>
      </c>
      <c r="U86" s="11" t="str">
        <f t="shared" si="3"/>
        <v>#N/A</v>
      </c>
      <c r="V86" s="11"/>
    </row>
    <row r="87" ht="14.25" customHeight="1">
      <c r="A87" s="11" t="s">
        <v>1156</v>
      </c>
      <c r="B87" s="11" t="str">
        <f t="shared" si="1"/>
        <v>#N/A</v>
      </c>
      <c r="C87" s="11" t="s">
        <v>106</v>
      </c>
      <c r="D87" s="11">
        <v>5.0</v>
      </c>
      <c r="E87" s="60">
        <v>6.0</v>
      </c>
      <c r="F87" s="60" t="s">
        <v>106</v>
      </c>
      <c r="G87" s="60" t="s">
        <v>364</v>
      </c>
      <c r="H87" s="60" t="s">
        <v>58</v>
      </c>
      <c r="I87" s="60" t="s">
        <v>775</v>
      </c>
      <c r="J87" s="60" t="s">
        <v>1390</v>
      </c>
      <c r="K87" s="60" t="s">
        <v>1370</v>
      </c>
      <c r="L87" s="60">
        <v>35.0</v>
      </c>
      <c r="M87" s="11">
        <f t="shared" si="2"/>
        <v>16</v>
      </c>
      <c r="N87" s="11" t="str">
        <f>VLOOKUP($G87, 'ADP Data'!$B$4:$Q$300, 6, FALSE)</f>
        <v>#N/A</v>
      </c>
      <c r="O87" s="11" t="str">
        <f>VLOOKUP($G87, 'ADP Data'!$B$4:$Q$300, 10, FALSE)</f>
        <v>#N/A</v>
      </c>
      <c r="P87" s="11" t="str">
        <f>VLOOKUP($G87, 'ADP Data'!$B$4:$Q$300, 4, FALSE)</f>
        <v>#N/A</v>
      </c>
      <c r="Q87" s="11" t="str">
        <f>VLOOKUP($G87, 'ADP Data'!$B$4:$Q$300, 5, FALSE)</f>
        <v>#N/A</v>
      </c>
      <c r="R87" s="11" t="str">
        <f>VLOOKUP($G87, 'ADP Data'!$B$4:$Q$300, 7, FALSE)</f>
        <v>#N/A</v>
      </c>
      <c r="S87" s="11" t="str">
        <f>VLOOKUP($G87, 'ADP Data'!$B$4:$Q$300, 8, FALSE)</f>
        <v>#N/A</v>
      </c>
      <c r="T87" s="11" t="str">
        <f>VLOOKUP($G87, 'ADP Data'!$B$4:$Q$300, 9, FALSE)</f>
        <v>#N/A</v>
      </c>
      <c r="U87" s="11" t="str">
        <f t="shared" si="3"/>
        <v>#N/A</v>
      </c>
      <c r="V87" s="11"/>
    </row>
    <row r="88" ht="14.25" customHeight="1">
      <c r="A88" s="11"/>
      <c r="B88" s="11" t="str">
        <f t="shared" si="1"/>
        <v>#N/A</v>
      </c>
      <c r="C88" s="11" t="s">
        <v>106</v>
      </c>
      <c r="D88" s="11">
        <v>1.0</v>
      </c>
      <c r="E88" s="11">
        <v>2.0</v>
      </c>
      <c r="F88" s="11"/>
      <c r="G88" s="11" t="s">
        <v>1218</v>
      </c>
      <c r="H88" s="11" t="s">
        <v>154</v>
      </c>
      <c r="I88" s="11" t="s">
        <v>781</v>
      </c>
      <c r="J88" s="99" t="s">
        <v>1320</v>
      </c>
      <c r="K88" s="11" t="s">
        <v>1178</v>
      </c>
      <c r="L88" s="11">
        <v>17.0</v>
      </c>
      <c r="M88" s="11">
        <f t="shared" si="2"/>
        <v>16</v>
      </c>
      <c r="N88" s="11" t="str">
        <f>VLOOKUP($G88, 'ADP Data'!$B$4:$Q$300, 6, FALSE)</f>
        <v>#N/A</v>
      </c>
      <c r="O88" s="11" t="str">
        <f>VLOOKUP($G88, 'ADP Data'!$B$4:$Q$300, 10, FALSE)</f>
        <v>#N/A</v>
      </c>
      <c r="P88" s="11" t="str">
        <f>VLOOKUP($G88, 'ADP Data'!$B$4:$Q$300, 4, FALSE)</f>
        <v>#N/A</v>
      </c>
      <c r="Q88" s="11" t="str">
        <f>VLOOKUP($G88, 'ADP Data'!$B$4:$Q$300, 5, FALSE)</f>
        <v>#N/A</v>
      </c>
      <c r="R88" s="11" t="str">
        <f>VLOOKUP($G88, 'ADP Data'!$B$4:$Q$300, 7, FALSE)</f>
        <v>#N/A</v>
      </c>
      <c r="S88" s="11" t="str">
        <f>VLOOKUP($G88, 'ADP Data'!$B$4:$Q$300, 8, FALSE)</f>
        <v>#N/A</v>
      </c>
      <c r="T88" s="11" t="str">
        <f>VLOOKUP($G88, 'ADP Data'!$B$4:$Q$300, 9, FALSE)</f>
        <v>#N/A</v>
      </c>
      <c r="U88" s="11" t="str">
        <f t="shared" si="3"/>
        <v>#N/A</v>
      </c>
      <c r="V88" s="11"/>
    </row>
    <row r="89" ht="14.25" customHeight="1">
      <c r="A89" s="11"/>
      <c r="B89" s="11" t="str">
        <f t="shared" si="1"/>
        <v>#N/A</v>
      </c>
      <c r="C89" s="11" t="s">
        <v>106</v>
      </c>
      <c r="D89" s="11">
        <v>8.0</v>
      </c>
      <c r="E89" s="11">
        <v>6.0</v>
      </c>
      <c r="F89" s="11"/>
      <c r="G89" s="11" t="s">
        <v>437</v>
      </c>
      <c r="H89" s="11" t="s">
        <v>176</v>
      </c>
      <c r="I89" s="11" t="s">
        <v>775</v>
      </c>
      <c r="J89" s="99" t="s">
        <v>1391</v>
      </c>
      <c r="K89" s="11" t="s">
        <v>1392</v>
      </c>
      <c r="L89" s="11">
        <v>36.0</v>
      </c>
      <c r="M89" s="11">
        <f t="shared" si="2"/>
        <v>16</v>
      </c>
      <c r="N89" s="11" t="str">
        <f>VLOOKUP($G89, 'ADP Data'!$B$4:$Q$300, 6, FALSE)</f>
        <v>#N/A</v>
      </c>
      <c r="O89" s="11" t="str">
        <f>VLOOKUP($G89, 'ADP Data'!$B$4:$Q$300, 10, FALSE)</f>
        <v>#N/A</v>
      </c>
      <c r="P89" s="11" t="str">
        <f>VLOOKUP($G89, 'ADP Data'!$B$4:$Q$300, 4, FALSE)</f>
        <v>#N/A</v>
      </c>
      <c r="Q89" s="11" t="str">
        <f>VLOOKUP($G89, 'ADP Data'!$B$4:$Q$300, 5, FALSE)</f>
        <v>#N/A</v>
      </c>
      <c r="R89" s="11" t="str">
        <f>VLOOKUP($G89, 'ADP Data'!$B$4:$Q$300, 7, FALSE)</f>
        <v>#N/A</v>
      </c>
      <c r="S89" s="11" t="str">
        <f>VLOOKUP($G89, 'ADP Data'!$B$4:$Q$300, 8, FALSE)</f>
        <v>#N/A</v>
      </c>
      <c r="T89" s="11" t="str">
        <f>VLOOKUP($G89, 'ADP Data'!$B$4:$Q$300, 9, FALSE)</f>
        <v>#N/A</v>
      </c>
      <c r="U89" s="11" t="str">
        <f t="shared" si="3"/>
        <v>#N/A</v>
      </c>
      <c r="V89" s="11"/>
    </row>
    <row r="90" ht="14.25" customHeight="1">
      <c r="A90" s="11"/>
      <c r="B90" s="11" t="str">
        <f t="shared" si="1"/>
        <v>#N/A</v>
      </c>
      <c r="C90" s="11" t="s">
        <v>106</v>
      </c>
      <c r="D90" s="11">
        <v>5.0</v>
      </c>
      <c r="E90" s="11">
        <v>5.0</v>
      </c>
      <c r="F90" s="11" t="s">
        <v>106</v>
      </c>
      <c r="G90" s="11" t="s">
        <v>1211</v>
      </c>
      <c r="H90" s="11" t="s">
        <v>109</v>
      </c>
      <c r="I90" s="11" t="s">
        <v>775</v>
      </c>
      <c r="J90" s="99" t="s">
        <v>1393</v>
      </c>
      <c r="K90" s="11" t="s">
        <v>1392</v>
      </c>
      <c r="L90" s="11">
        <v>37.0</v>
      </c>
      <c r="M90" s="11">
        <f t="shared" si="2"/>
        <v>16</v>
      </c>
      <c r="N90" s="11" t="str">
        <f>VLOOKUP($G90, 'ADP Data'!$B$4:$Q$300, 6, FALSE)</f>
        <v>#N/A</v>
      </c>
      <c r="O90" s="11" t="str">
        <f>VLOOKUP($G90, 'ADP Data'!$B$4:$Q$300, 10, FALSE)</f>
        <v>#N/A</v>
      </c>
      <c r="P90" s="11" t="str">
        <f>VLOOKUP($G90, 'ADP Data'!$B$4:$Q$300, 4, FALSE)</f>
        <v>#N/A</v>
      </c>
      <c r="Q90" s="11" t="str">
        <f>VLOOKUP($G90, 'ADP Data'!$B$4:$Q$300, 5, FALSE)</f>
        <v>#N/A</v>
      </c>
      <c r="R90" s="11" t="str">
        <f>VLOOKUP($G90, 'ADP Data'!$B$4:$Q$300, 7, FALSE)</f>
        <v>#N/A</v>
      </c>
      <c r="S90" s="11" t="str">
        <f>VLOOKUP($G90, 'ADP Data'!$B$4:$Q$300, 8, FALSE)</f>
        <v>#N/A</v>
      </c>
      <c r="T90" s="11" t="str">
        <f>VLOOKUP($G90, 'ADP Data'!$B$4:$Q$300, 9, FALSE)</f>
        <v>#N/A</v>
      </c>
      <c r="U90" s="11" t="str">
        <f t="shared" si="3"/>
        <v>#N/A</v>
      </c>
      <c r="V90" s="11" t="s">
        <v>1394</v>
      </c>
    </row>
    <row r="91" ht="14.25" customHeight="1">
      <c r="A91" s="11"/>
      <c r="B91" s="11" t="str">
        <f t="shared" si="1"/>
        <v>#N/A</v>
      </c>
      <c r="C91" s="11" t="s">
        <v>106</v>
      </c>
      <c r="D91" s="11">
        <v>3.0</v>
      </c>
      <c r="E91" s="11">
        <v>2.0</v>
      </c>
      <c r="F91" s="11"/>
      <c r="G91" s="11" t="s">
        <v>1198</v>
      </c>
      <c r="H91" s="11" t="s">
        <v>162</v>
      </c>
      <c r="I91" s="11" t="s">
        <v>772</v>
      </c>
      <c r="J91" s="99" t="s">
        <v>1395</v>
      </c>
      <c r="K91" s="11" t="s">
        <v>1372</v>
      </c>
      <c r="L91" s="11">
        <v>31.0</v>
      </c>
      <c r="M91" s="11">
        <f t="shared" si="2"/>
        <v>16</v>
      </c>
      <c r="N91" s="11" t="str">
        <f>VLOOKUP($G91, 'ADP Data'!$B$4:$Q$300, 6, FALSE)</f>
        <v>#N/A</v>
      </c>
      <c r="O91" s="11" t="str">
        <f>VLOOKUP($G91, 'ADP Data'!$B$4:$Q$300, 10, FALSE)</f>
        <v>#N/A</v>
      </c>
      <c r="P91" s="11" t="str">
        <f>VLOOKUP($G91, 'ADP Data'!$B$4:$Q$300, 4, FALSE)</f>
        <v>#N/A</v>
      </c>
      <c r="Q91" s="11" t="str">
        <f>VLOOKUP($G91, 'ADP Data'!$B$4:$Q$300, 5, FALSE)</f>
        <v>#N/A</v>
      </c>
      <c r="R91" s="11" t="str">
        <f>VLOOKUP($G91, 'ADP Data'!$B$4:$Q$300, 7, FALSE)</f>
        <v>#N/A</v>
      </c>
      <c r="S91" s="11" t="str">
        <f>VLOOKUP($G91, 'ADP Data'!$B$4:$Q$300, 8, FALSE)</f>
        <v>#N/A</v>
      </c>
      <c r="T91" s="11" t="str">
        <f>VLOOKUP($G91, 'ADP Data'!$B$4:$Q$300, 9, FALSE)</f>
        <v>#N/A</v>
      </c>
      <c r="U91" s="11" t="str">
        <f t="shared" si="3"/>
        <v>#N/A</v>
      </c>
      <c r="V91" s="11"/>
    </row>
    <row r="92" ht="14.25" customHeight="1">
      <c r="A92" s="11" t="s">
        <v>1156</v>
      </c>
      <c r="B92" s="11" t="str">
        <f t="shared" si="1"/>
        <v>#N/A</v>
      </c>
      <c r="C92" s="11" t="s">
        <v>106</v>
      </c>
      <c r="D92" s="11">
        <v>2.0</v>
      </c>
      <c r="E92" s="11">
        <v>2.0</v>
      </c>
      <c r="F92" s="11"/>
      <c r="G92" s="11" t="s">
        <v>328</v>
      </c>
      <c r="H92" s="11" t="s">
        <v>85</v>
      </c>
      <c r="I92" s="11" t="s">
        <v>781</v>
      </c>
      <c r="J92" s="99">
        <v>7.0</v>
      </c>
      <c r="K92" s="11" t="s">
        <v>710</v>
      </c>
      <c r="L92" s="11">
        <v>11.0</v>
      </c>
      <c r="M92" s="11">
        <f t="shared" si="2"/>
        <v>16</v>
      </c>
      <c r="N92" s="11" t="str">
        <f>VLOOKUP($G92, 'ADP Data'!$B$4:$Q$300, 6, FALSE)</f>
        <v>#N/A</v>
      </c>
      <c r="O92" s="11" t="str">
        <f>VLOOKUP($G92, 'ADP Data'!$B$4:$Q$300, 10, FALSE)</f>
        <v>#N/A</v>
      </c>
      <c r="P92" s="11" t="str">
        <f>VLOOKUP($G92, 'ADP Data'!$B$4:$Q$300, 4, FALSE)</f>
        <v>#N/A</v>
      </c>
      <c r="Q92" s="11" t="str">
        <f>VLOOKUP($G92, 'ADP Data'!$B$4:$Q$300, 5, FALSE)</f>
        <v>#N/A</v>
      </c>
      <c r="R92" s="11" t="str">
        <f>VLOOKUP($G92, 'ADP Data'!$B$4:$Q$300, 7, FALSE)</f>
        <v>#N/A</v>
      </c>
      <c r="S92" s="11" t="str">
        <f>VLOOKUP($G92, 'ADP Data'!$B$4:$Q$300, 8, FALSE)</f>
        <v>#N/A</v>
      </c>
      <c r="T92" s="11" t="str">
        <f>VLOOKUP($G92, 'ADP Data'!$B$4:$Q$300, 9, FALSE)</f>
        <v>#N/A</v>
      </c>
      <c r="U92" s="11" t="str">
        <f t="shared" si="3"/>
        <v>#N/A</v>
      </c>
      <c r="V92" s="11"/>
    </row>
    <row r="93" ht="14.25" customHeight="1">
      <c r="A93" s="11"/>
      <c r="B93" s="11" t="str">
        <f t="shared" si="1"/>
        <v>#N/A</v>
      </c>
      <c r="C93" s="11" t="s">
        <v>106</v>
      </c>
      <c r="D93" s="11">
        <v>12.0</v>
      </c>
      <c r="E93" s="11">
        <v>1.0</v>
      </c>
      <c r="F93" s="11"/>
      <c r="G93" s="11" t="s">
        <v>266</v>
      </c>
      <c r="H93" s="11" t="s">
        <v>105</v>
      </c>
      <c r="I93" s="11" t="s">
        <v>770</v>
      </c>
      <c r="J93" s="99">
        <v>7.0</v>
      </c>
      <c r="K93" s="11" t="s">
        <v>1396</v>
      </c>
      <c r="L93" s="11">
        <v>10.0</v>
      </c>
      <c r="M93" s="11">
        <f t="shared" si="2"/>
        <v>16</v>
      </c>
      <c r="N93" s="11" t="str">
        <f>VLOOKUP($G93, 'ADP Data'!$B$4:$Q$300, 6, FALSE)</f>
        <v>#N/A</v>
      </c>
      <c r="O93" s="11" t="str">
        <f>VLOOKUP($G93, 'ADP Data'!$B$4:$Q$300, 10, FALSE)</f>
        <v>#N/A</v>
      </c>
      <c r="P93" s="11" t="str">
        <f>VLOOKUP($G93, 'ADP Data'!$B$4:$Q$300, 4, FALSE)</f>
        <v>#N/A</v>
      </c>
      <c r="Q93" s="11" t="str">
        <f>VLOOKUP($G93, 'ADP Data'!$B$4:$Q$300, 5, FALSE)</f>
        <v>#N/A</v>
      </c>
      <c r="R93" s="11" t="str">
        <f>VLOOKUP($G93, 'ADP Data'!$B$4:$Q$300, 7, FALSE)</f>
        <v>#N/A</v>
      </c>
      <c r="S93" s="11" t="str">
        <f>VLOOKUP($G93, 'ADP Data'!$B$4:$Q$300, 8, FALSE)</f>
        <v>#N/A</v>
      </c>
      <c r="T93" s="11" t="str">
        <f>VLOOKUP($G93, 'ADP Data'!$B$4:$Q$300, 9, FALSE)</f>
        <v>#N/A</v>
      </c>
      <c r="U93" s="11" t="str">
        <f t="shared" si="3"/>
        <v>#N/A</v>
      </c>
      <c r="V93" s="11"/>
    </row>
    <row r="94" ht="14.25" customHeight="1">
      <c r="A94" s="11"/>
      <c r="B94" s="11" t="str">
        <f t="shared" si="1"/>
        <v>#N/A</v>
      </c>
      <c r="C94" s="11" t="s">
        <v>106</v>
      </c>
      <c r="D94" s="11"/>
      <c r="E94" s="11">
        <v>3.0</v>
      </c>
      <c r="F94" s="11"/>
      <c r="G94" s="49" t="s">
        <v>1170</v>
      </c>
      <c r="H94" s="11" t="s">
        <v>206</v>
      </c>
      <c r="I94" s="11" t="s">
        <v>775</v>
      </c>
      <c r="J94" s="99" t="s">
        <v>1385</v>
      </c>
      <c r="K94" s="11" t="s">
        <v>1397</v>
      </c>
      <c r="L94" s="11">
        <v>38.0</v>
      </c>
      <c r="M94" s="11">
        <f t="shared" si="2"/>
        <v>16</v>
      </c>
      <c r="N94" s="11" t="str">
        <f>VLOOKUP($G94, 'ADP Data'!$B$4:$Q$300, 6, FALSE)</f>
        <v>#N/A</v>
      </c>
      <c r="O94" s="11" t="str">
        <f>VLOOKUP($G94, 'ADP Data'!$B$4:$Q$300, 10, FALSE)</f>
        <v>#N/A</v>
      </c>
      <c r="P94" s="11" t="str">
        <f>VLOOKUP($G94, 'ADP Data'!$B$4:$Q$300, 4, FALSE)</f>
        <v>#N/A</v>
      </c>
      <c r="Q94" s="11" t="str">
        <f>VLOOKUP($G94, 'ADP Data'!$B$4:$Q$300, 5, FALSE)</f>
        <v>#N/A</v>
      </c>
      <c r="R94" s="11" t="str">
        <f>VLOOKUP($G94, 'ADP Data'!$B$4:$Q$300, 7, FALSE)</f>
        <v>#N/A</v>
      </c>
      <c r="S94" s="11" t="str">
        <f>VLOOKUP($G94, 'ADP Data'!$B$4:$Q$300, 8, FALSE)</f>
        <v>#N/A</v>
      </c>
      <c r="T94" s="11" t="str">
        <f>VLOOKUP($G94, 'ADP Data'!$B$4:$Q$300, 9, FALSE)</f>
        <v>#N/A</v>
      </c>
      <c r="U94" s="11" t="str">
        <f t="shared" si="3"/>
        <v>#N/A</v>
      </c>
    </row>
    <row r="95" ht="14.25" customHeight="1">
      <c r="A95" s="11"/>
      <c r="B95" s="11" t="str">
        <f t="shared" si="1"/>
        <v>#N/A</v>
      </c>
      <c r="C95" s="11" t="s">
        <v>106</v>
      </c>
      <c r="D95" s="11"/>
      <c r="E95" s="11">
        <v>3.0</v>
      </c>
      <c r="F95" s="11"/>
      <c r="G95" s="11" t="s">
        <v>993</v>
      </c>
      <c r="H95" s="11" t="s">
        <v>49</v>
      </c>
      <c r="I95" s="11" t="s">
        <v>781</v>
      </c>
      <c r="J95" s="99" t="s">
        <v>1325</v>
      </c>
      <c r="K95" s="11" t="s">
        <v>710</v>
      </c>
      <c r="L95" s="11">
        <v>8.0</v>
      </c>
      <c r="M95" s="11">
        <f t="shared" si="2"/>
        <v>16</v>
      </c>
      <c r="N95" s="11" t="str">
        <f>VLOOKUP($G95, 'ADP Data'!$B$4:$Q$300, 6, FALSE)</f>
        <v>#N/A</v>
      </c>
      <c r="O95" s="11" t="str">
        <f>VLOOKUP($G95, 'ADP Data'!$B$4:$Q$300, 10, FALSE)</f>
        <v>#N/A</v>
      </c>
      <c r="P95" s="11" t="str">
        <f>VLOOKUP($G95, 'ADP Data'!$B$4:$Q$300, 4, FALSE)</f>
        <v>#N/A</v>
      </c>
      <c r="Q95" s="11" t="str">
        <f>VLOOKUP($G95, 'ADP Data'!$B$4:$Q$300, 5, FALSE)</f>
        <v>#N/A</v>
      </c>
      <c r="R95" s="11" t="str">
        <f>VLOOKUP($G95, 'ADP Data'!$B$4:$Q$300, 7, FALSE)</f>
        <v>#N/A</v>
      </c>
      <c r="S95" s="11" t="str">
        <f>VLOOKUP($G95, 'ADP Data'!$B$4:$Q$300, 8, FALSE)</f>
        <v>#N/A</v>
      </c>
      <c r="T95" s="11" t="str">
        <f>VLOOKUP($G95, 'ADP Data'!$B$4:$Q$300, 9, FALSE)</f>
        <v>#N/A</v>
      </c>
      <c r="U95" s="11" t="str">
        <f t="shared" si="3"/>
        <v>#N/A</v>
      </c>
      <c r="V95" s="11"/>
    </row>
    <row r="96" ht="14.25" customHeight="1">
      <c r="A96" s="11"/>
      <c r="B96" s="11" t="str">
        <f t="shared" si="1"/>
        <v>#N/A</v>
      </c>
      <c r="C96" s="11" t="s">
        <v>106</v>
      </c>
      <c r="D96" s="11">
        <v>4.0</v>
      </c>
      <c r="E96" s="11">
        <v>2.0</v>
      </c>
      <c r="F96" s="11"/>
      <c r="G96" s="49" t="s">
        <v>234</v>
      </c>
      <c r="H96" s="11" t="s">
        <v>85</v>
      </c>
      <c r="I96" s="11" t="s">
        <v>770</v>
      </c>
      <c r="J96" s="99" t="s">
        <v>1320</v>
      </c>
      <c r="K96" s="11" t="s">
        <v>1396</v>
      </c>
      <c r="L96" s="11">
        <v>11.0</v>
      </c>
      <c r="M96" s="11">
        <f t="shared" si="2"/>
        <v>16</v>
      </c>
      <c r="N96" s="11" t="str">
        <f>VLOOKUP($G96, 'ADP Data'!$B$4:$Q$300, 6, FALSE)</f>
        <v>#N/A</v>
      </c>
      <c r="O96" s="11" t="str">
        <f>VLOOKUP($G96, 'ADP Data'!$B$4:$Q$300, 10, FALSE)</f>
        <v>#N/A</v>
      </c>
      <c r="P96" s="11" t="str">
        <f>VLOOKUP($G96, 'ADP Data'!$B$4:$Q$300, 4, FALSE)</f>
        <v>#N/A</v>
      </c>
      <c r="Q96" s="11" t="str">
        <f>VLOOKUP($G96, 'ADP Data'!$B$4:$Q$300, 5, FALSE)</f>
        <v>#N/A</v>
      </c>
      <c r="R96" s="11" t="str">
        <f>VLOOKUP($G96, 'ADP Data'!$B$4:$Q$300, 7, FALSE)</f>
        <v>#N/A</v>
      </c>
      <c r="S96" s="11" t="str">
        <f>VLOOKUP($G96, 'ADP Data'!$B$4:$Q$300, 8, FALSE)</f>
        <v>#N/A</v>
      </c>
      <c r="T96" s="11" t="str">
        <f>VLOOKUP($G96, 'ADP Data'!$B$4:$Q$300, 9, FALSE)</f>
        <v>#N/A</v>
      </c>
      <c r="U96" s="11" t="str">
        <f t="shared" si="3"/>
        <v>#N/A</v>
      </c>
      <c r="V96" s="11" t="s">
        <v>1398</v>
      </c>
    </row>
    <row r="97" ht="14.25" customHeight="1">
      <c r="A97" s="11" t="s">
        <v>1156</v>
      </c>
      <c r="B97" s="11" t="str">
        <f t="shared" si="1"/>
        <v>#N/A</v>
      </c>
      <c r="C97" s="11" t="s">
        <v>106</v>
      </c>
      <c r="D97" s="11">
        <v>3.0</v>
      </c>
      <c r="E97" s="11">
        <v>2.0</v>
      </c>
      <c r="F97" s="11"/>
      <c r="G97" s="49" t="s">
        <v>1163</v>
      </c>
      <c r="H97" s="11" t="s">
        <v>176</v>
      </c>
      <c r="I97" s="11" t="s">
        <v>772</v>
      </c>
      <c r="J97" s="99" t="s">
        <v>1388</v>
      </c>
      <c r="K97" s="11" t="s">
        <v>1372</v>
      </c>
      <c r="L97" s="11">
        <v>32.0</v>
      </c>
      <c r="M97" s="11">
        <f t="shared" si="2"/>
        <v>16</v>
      </c>
      <c r="N97" s="11" t="str">
        <f>VLOOKUP($G97, 'ADP Data'!$B$4:$Q$300, 6, FALSE)</f>
        <v>#N/A</v>
      </c>
      <c r="O97" s="11" t="str">
        <f>VLOOKUP($G97, 'ADP Data'!$B$4:$Q$300, 10, FALSE)</f>
        <v>#N/A</v>
      </c>
      <c r="P97" s="11" t="str">
        <f>VLOOKUP($G97, 'ADP Data'!$B$4:$Q$300, 4, FALSE)</f>
        <v>#N/A</v>
      </c>
      <c r="Q97" s="11" t="str">
        <f>VLOOKUP($G97, 'ADP Data'!$B$4:$Q$300, 5, FALSE)</f>
        <v>#N/A</v>
      </c>
      <c r="R97" s="11" t="str">
        <f>VLOOKUP($G97, 'ADP Data'!$B$4:$Q$300, 7, FALSE)</f>
        <v>#N/A</v>
      </c>
      <c r="S97" s="11" t="str">
        <f>VLOOKUP($G97, 'ADP Data'!$B$4:$Q$300, 8, FALSE)</f>
        <v>#N/A</v>
      </c>
      <c r="T97" s="11" t="str">
        <f>VLOOKUP($G97, 'ADP Data'!$B$4:$Q$300, 9, FALSE)</f>
        <v>#N/A</v>
      </c>
      <c r="U97" s="11" t="str">
        <f t="shared" si="3"/>
        <v>#N/A</v>
      </c>
      <c r="V97" s="11"/>
    </row>
    <row r="98" ht="14.25" customHeight="1">
      <c r="A98" s="11"/>
      <c r="B98" s="11" t="str">
        <f t="shared" si="1"/>
        <v>#N/A</v>
      </c>
      <c r="C98" s="11" t="s">
        <v>106</v>
      </c>
      <c r="D98" s="11"/>
      <c r="E98" s="11">
        <v>1.0</v>
      </c>
      <c r="F98" s="11"/>
      <c r="G98" s="11" t="s">
        <v>310</v>
      </c>
      <c r="H98" s="11" t="s">
        <v>49</v>
      </c>
      <c r="I98" s="11" t="s">
        <v>770</v>
      </c>
      <c r="J98" s="99" t="s">
        <v>1325</v>
      </c>
      <c r="K98" s="11" t="s">
        <v>1399</v>
      </c>
      <c r="L98" s="11">
        <v>12.0</v>
      </c>
      <c r="M98" s="11">
        <f t="shared" si="2"/>
        <v>16</v>
      </c>
      <c r="N98" s="11" t="str">
        <f>VLOOKUP($G98, 'ADP Data'!$B$4:$Q$300, 6, FALSE)</f>
        <v>#N/A</v>
      </c>
      <c r="O98" s="11" t="str">
        <f>VLOOKUP($G98, 'ADP Data'!$B$4:$Q$300, 10, FALSE)</f>
        <v>#N/A</v>
      </c>
      <c r="P98" s="11" t="str">
        <f>VLOOKUP($G98, 'ADP Data'!$B$4:$Q$300, 4, FALSE)</f>
        <v>#N/A</v>
      </c>
      <c r="Q98" s="11" t="str">
        <f>VLOOKUP($G98, 'ADP Data'!$B$4:$Q$300, 5, FALSE)</f>
        <v>#N/A</v>
      </c>
      <c r="R98" s="11" t="str">
        <f>VLOOKUP($G98, 'ADP Data'!$B$4:$Q$300, 7, FALSE)</f>
        <v>#N/A</v>
      </c>
      <c r="S98" s="11" t="str">
        <f>VLOOKUP($G98, 'ADP Data'!$B$4:$Q$300, 8, FALSE)</f>
        <v>#N/A</v>
      </c>
      <c r="T98" s="11" t="str">
        <f>VLOOKUP($G98, 'ADP Data'!$B$4:$Q$300, 9, FALSE)</f>
        <v>#N/A</v>
      </c>
      <c r="U98" s="11" t="str">
        <f t="shared" si="3"/>
        <v>#N/A</v>
      </c>
      <c r="V98" s="11"/>
    </row>
    <row r="99" ht="14.25" customHeight="1">
      <c r="A99" s="11"/>
      <c r="B99" s="11" t="str">
        <f t="shared" si="1"/>
        <v>#N/A</v>
      </c>
      <c r="C99" s="11" t="s">
        <v>106</v>
      </c>
      <c r="D99" s="11">
        <v>6.0</v>
      </c>
      <c r="E99" s="11"/>
      <c r="F99" s="11"/>
      <c r="G99" s="11" t="s">
        <v>1272</v>
      </c>
      <c r="H99" s="11" t="s">
        <v>71</v>
      </c>
      <c r="I99" s="11" t="s">
        <v>775</v>
      </c>
      <c r="J99" s="99" t="s">
        <v>1404</v>
      </c>
      <c r="K99" s="11" t="s">
        <v>1392</v>
      </c>
      <c r="L99" s="11">
        <v>39.0</v>
      </c>
      <c r="M99" s="11">
        <f t="shared" si="2"/>
        <v>16</v>
      </c>
      <c r="N99" s="11" t="str">
        <f>VLOOKUP($G99, 'ADP Data'!$B$4:$Q$300, 6, FALSE)</f>
        <v>#N/A</v>
      </c>
      <c r="O99" s="11" t="str">
        <f>VLOOKUP($G99, 'ADP Data'!$B$4:$Q$300, 10, FALSE)</f>
        <v>#N/A</v>
      </c>
      <c r="P99" s="11" t="str">
        <f>VLOOKUP($G99, 'ADP Data'!$B$4:$Q$300, 4, FALSE)</f>
        <v>#N/A</v>
      </c>
      <c r="Q99" s="11" t="str">
        <f>VLOOKUP($G99, 'ADP Data'!$B$4:$Q$300, 5, FALSE)</f>
        <v>#N/A</v>
      </c>
      <c r="R99" s="11" t="str">
        <f>VLOOKUP($G99, 'ADP Data'!$B$4:$Q$300, 7, FALSE)</f>
        <v>#N/A</v>
      </c>
      <c r="S99" s="11" t="str">
        <f>VLOOKUP($G99, 'ADP Data'!$B$4:$Q$300, 8, FALSE)</f>
        <v>#N/A</v>
      </c>
      <c r="T99" s="11" t="str">
        <f>VLOOKUP($G99, 'ADP Data'!$B$4:$Q$300, 9, FALSE)</f>
        <v>#N/A</v>
      </c>
      <c r="U99" s="11" t="str">
        <f t="shared" si="3"/>
        <v>#N/A</v>
      </c>
      <c r="V99" s="11" t="s">
        <v>1413</v>
      </c>
    </row>
    <row r="100" ht="14.25" customHeight="1">
      <c r="A100" s="11"/>
      <c r="B100" s="11" t="str">
        <f t="shared" si="1"/>
        <v>#N/A</v>
      </c>
      <c r="C100" s="11" t="s">
        <v>106</v>
      </c>
      <c r="D100" s="11">
        <v>2.0</v>
      </c>
      <c r="E100" s="40">
        <v>2.0</v>
      </c>
      <c r="F100" s="11" t="s">
        <v>106</v>
      </c>
      <c r="G100" s="11" t="s">
        <v>973</v>
      </c>
      <c r="H100" s="11" t="s">
        <v>154</v>
      </c>
      <c r="I100" s="11" t="s">
        <v>772</v>
      </c>
      <c r="J100" s="99" t="s">
        <v>1381</v>
      </c>
      <c r="K100" s="11" t="s">
        <v>1419</v>
      </c>
      <c r="L100" s="11">
        <v>33.0</v>
      </c>
      <c r="M100" s="11">
        <f t="shared" si="2"/>
        <v>16</v>
      </c>
      <c r="N100" s="11" t="str">
        <f>VLOOKUP($G100, 'ADP Data'!$B$4:$Q$300, 6, FALSE)</f>
        <v>#N/A</v>
      </c>
      <c r="O100" s="11" t="str">
        <f>VLOOKUP($G100, 'ADP Data'!$B$4:$Q$300, 10, FALSE)</f>
        <v>#N/A</v>
      </c>
      <c r="P100" s="11" t="str">
        <f>VLOOKUP($G100, 'ADP Data'!$B$4:$Q$300, 4, FALSE)</f>
        <v>#N/A</v>
      </c>
      <c r="Q100" s="11" t="str">
        <f>VLOOKUP($G100, 'ADP Data'!$B$4:$Q$300, 5, FALSE)</f>
        <v>#N/A</v>
      </c>
      <c r="R100" s="11" t="str">
        <f>VLOOKUP($G100, 'ADP Data'!$B$4:$Q$300, 7, FALSE)</f>
        <v>#N/A</v>
      </c>
      <c r="S100" s="11" t="str">
        <f>VLOOKUP($G100, 'ADP Data'!$B$4:$Q$300, 8, FALSE)</f>
        <v>#N/A</v>
      </c>
      <c r="T100" s="11" t="str">
        <f>VLOOKUP($G100, 'ADP Data'!$B$4:$Q$300, 9, FALSE)</f>
        <v>#N/A</v>
      </c>
      <c r="U100" s="11" t="str">
        <f t="shared" si="3"/>
        <v>#N/A</v>
      </c>
      <c r="V100" s="40" t="s">
        <v>1427</v>
      </c>
    </row>
    <row r="101" ht="14.25" customHeight="1">
      <c r="A101" s="11"/>
      <c r="B101" s="11" t="str">
        <f t="shared" si="1"/>
        <v>#N/A</v>
      </c>
      <c r="C101" s="11" t="s">
        <v>106</v>
      </c>
      <c r="D101" s="11">
        <v>4.0</v>
      </c>
      <c r="E101" s="11">
        <v>2.0</v>
      </c>
      <c r="F101" s="11" t="s">
        <v>106</v>
      </c>
      <c r="G101" s="11" t="s">
        <v>1234</v>
      </c>
      <c r="H101" s="11" t="s">
        <v>98</v>
      </c>
      <c r="I101" s="11" t="s">
        <v>772</v>
      </c>
      <c r="J101" s="99" t="s">
        <v>1428</v>
      </c>
      <c r="K101" s="11" t="s">
        <v>1419</v>
      </c>
      <c r="L101" s="11">
        <v>34.0</v>
      </c>
      <c r="M101" s="11">
        <f t="shared" si="2"/>
        <v>16</v>
      </c>
      <c r="N101" s="11" t="str">
        <f>VLOOKUP($G101, 'ADP Data'!$B$4:$Q$300, 6, FALSE)</f>
        <v>#N/A</v>
      </c>
      <c r="O101" s="11" t="str">
        <f>VLOOKUP($G101, 'ADP Data'!$B$4:$Q$300, 10, FALSE)</f>
        <v>#N/A</v>
      </c>
      <c r="P101" s="11" t="str">
        <f>VLOOKUP($G101, 'ADP Data'!$B$4:$Q$300, 4, FALSE)</f>
        <v>#N/A</v>
      </c>
      <c r="Q101" s="11" t="str">
        <f>VLOOKUP($G101, 'ADP Data'!$B$4:$Q$300, 5, FALSE)</f>
        <v>#N/A</v>
      </c>
      <c r="R101" s="11" t="str">
        <f>VLOOKUP($G101, 'ADP Data'!$B$4:$Q$300, 7, FALSE)</f>
        <v>#N/A</v>
      </c>
      <c r="S101" s="11" t="str">
        <f>VLOOKUP($G101, 'ADP Data'!$B$4:$Q$300, 8, FALSE)</f>
        <v>#N/A</v>
      </c>
      <c r="T101" s="11" t="str">
        <f>VLOOKUP($G101, 'ADP Data'!$B$4:$Q$300, 9, FALSE)</f>
        <v>#N/A</v>
      </c>
      <c r="U101" s="11" t="str">
        <f t="shared" si="3"/>
        <v>#N/A</v>
      </c>
      <c r="V101" s="11"/>
    </row>
    <row r="102" ht="14.25" customHeight="1">
      <c r="A102" s="11"/>
      <c r="B102" s="11" t="str">
        <f t="shared" si="1"/>
        <v>#N/A</v>
      </c>
      <c r="C102" s="11" t="s">
        <v>106</v>
      </c>
      <c r="D102" s="11">
        <v>3.0</v>
      </c>
      <c r="E102" s="11"/>
      <c r="F102" s="11"/>
      <c r="G102" s="11" t="s">
        <v>931</v>
      </c>
      <c r="H102" s="11" t="s">
        <v>45</v>
      </c>
      <c r="I102" s="11" t="s">
        <v>775</v>
      </c>
      <c r="J102" s="99" t="s">
        <v>1429</v>
      </c>
      <c r="K102" s="11" t="s">
        <v>1397</v>
      </c>
      <c r="L102" s="11">
        <v>40.0</v>
      </c>
      <c r="M102" s="11">
        <f t="shared" si="2"/>
        <v>16</v>
      </c>
      <c r="N102" s="11" t="str">
        <f>VLOOKUP($G102, 'ADP Data'!$B$4:$Q$300, 6, FALSE)</f>
        <v>#N/A</v>
      </c>
      <c r="O102" s="11" t="str">
        <f>VLOOKUP($G102, 'ADP Data'!$B$4:$Q$300, 10, FALSE)</f>
        <v>#N/A</v>
      </c>
      <c r="P102" s="11" t="str">
        <f>VLOOKUP($G102, 'ADP Data'!$B$4:$Q$300, 4, FALSE)</f>
        <v>#N/A</v>
      </c>
      <c r="Q102" s="11" t="str">
        <f>VLOOKUP($G102, 'ADP Data'!$B$4:$Q$300, 5, FALSE)</f>
        <v>#N/A</v>
      </c>
      <c r="R102" s="11" t="str">
        <f>VLOOKUP($G102, 'ADP Data'!$B$4:$Q$300, 7, FALSE)</f>
        <v>#N/A</v>
      </c>
      <c r="S102" s="11" t="str">
        <f>VLOOKUP($G102, 'ADP Data'!$B$4:$Q$300, 8, FALSE)</f>
        <v>#N/A</v>
      </c>
      <c r="T102" s="11" t="str">
        <f>VLOOKUP($G102, 'ADP Data'!$B$4:$Q$300, 9, FALSE)</f>
        <v>#N/A</v>
      </c>
      <c r="U102" s="11" t="str">
        <f t="shared" si="3"/>
        <v>#N/A</v>
      </c>
      <c r="V102" s="11"/>
    </row>
    <row r="103" ht="14.25" customHeight="1">
      <c r="A103" s="11"/>
      <c r="B103" s="11" t="str">
        <f t="shared" si="1"/>
        <v>#N/A</v>
      </c>
      <c r="C103" s="11" t="s">
        <v>106</v>
      </c>
      <c r="D103" s="11"/>
      <c r="E103" s="11"/>
      <c r="F103" s="11"/>
      <c r="G103" s="11" t="s">
        <v>1203</v>
      </c>
      <c r="H103" s="11" t="s">
        <v>62</v>
      </c>
      <c r="I103" s="11" t="s">
        <v>772</v>
      </c>
      <c r="J103" s="99" t="s">
        <v>1393</v>
      </c>
      <c r="K103" s="11" t="s">
        <v>1419</v>
      </c>
      <c r="L103" s="11">
        <v>35.0</v>
      </c>
      <c r="M103" s="11">
        <f t="shared" si="2"/>
        <v>16</v>
      </c>
      <c r="N103" s="11" t="str">
        <f>VLOOKUP($G103, 'ADP Data'!$B$4:$Q$300, 6, FALSE)</f>
        <v>#N/A</v>
      </c>
      <c r="O103" s="11" t="str">
        <f>VLOOKUP($G103, 'ADP Data'!$B$4:$Q$300, 10, FALSE)</f>
        <v>#N/A</v>
      </c>
      <c r="P103" s="11" t="str">
        <f>VLOOKUP($G103, 'ADP Data'!$B$4:$Q$300, 4, FALSE)</f>
        <v>#N/A</v>
      </c>
      <c r="Q103" s="11" t="str">
        <f>VLOOKUP($G103, 'ADP Data'!$B$4:$Q$300, 5, FALSE)</f>
        <v>#N/A</v>
      </c>
      <c r="R103" s="11" t="str">
        <f>VLOOKUP($G103, 'ADP Data'!$B$4:$Q$300, 7, FALSE)</f>
        <v>#N/A</v>
      </c>
      <c r="S103" s="11" t="str">
        <f>VLOOKUP($G103, 'ADP Data'!$B$4:$Q$300, 8, FALSE)</f>
        <v>#N/A</v>
      </c>
      <c r="T103" s="11" t="str">
        <f>VLOOKUP($G103, 'ADP Data'!$B$4:$Q$300, 9, FALSE)</f>
        <v>#N/A</v>
      </c>
      <c r="U103" s="11" t="str">
        <f t="shared" si="3"/>
        <v>#N/A</v>
      </c>
      <c r="V103" s="11"/>
    </row>
    <row r="104" ht="14.25" customHeight="1">
      <c r="A104" s="11"/>
      <c r="B104" s="11" t="str">
        <f t="shared" si="1"/>
        <v>#N/A</v>
      </c>
      <c r="C104" s="11" t="s">
        <v>106</v>
      </c>
      <c r="D104" s="11">
        <v>3.0</v>
      </c>
      <c r="E104" s="11"/>
      <c r="F104" s="11"/>
      <c r="G104" s="11" t="s">
        <v>887</v>
      </c>
      <c r="H104" s="11" t="s">
        <v>105</v>
      </c>
      <c r="I104" s="11" t="s">
        <v>775</v>
      </c>
      <c r="J104" s="99" t="s">
        <v>1431</v>
      </c>
      <c r="K104" s="11" t="s">
        <v>1392</v>
      </c>
      <c r="L104" s="11">
        <v>41.0</v>
      </c>
      <c r="M104" s="11">
        <f t="shared" si="2"/>
        <v>16</v>
      </c>
      <c r="N104" s="11" t="str">
        <f>VLOOKUP($G104, 'ADP Data'!$B$4:$Q$300, 6, FALSE)</f>
        <v>#N/A</v>
      </c>
      <c r="O104" s="11" t="str">
        <f>VLOOKUP($G104, 'ADP Data'!$B$4:$Q$300, 10, FALSE)</f>
        <v>#N/A</v>
      </c>
      <c r="P104" s="11" t="str">
        <f>VLOOKUP($G104, 'ADP Data'!$B$4:$Q$300, 4, FALSE)</f>
        <v>#N/A</v>
      </c>
      <c r="Q104" s="11" t="str">
        <f>VLOOKUP($G104, 'ADP Data'!$B$4:$Q$300, 5, FALSE)</f>
        <v>#N/A</v>
      </c>
      <c r="R104" s="11" t="str">
        <f>VLOOKUP($G104, 'ADP Data'!$B$4:$Q$300, 7, FALSE)</f>
        <v>#N/A</v>
      </c>
      <c r="S104" s="11" t="str">
        <f>VLOOKUP($G104, 'ADP Data'!$B$4:$Q$300, 8, FALSE)</f>
        <v>#N/A</v>
      </c>
      <c r="T104" s="11" t="str">
        <f>VLOOKUP($G104, 'ADP Data'!$B$4:$Q$300, 9, FALSE)</f>
        <v>#N/A</v>
      </c>
      <c r="U104" s="11" t="str">
        <f t="shared" si="3"/>
        <v>#N/A</v>
      </c>
    </row>
    <row r="105" ht="14.25" customHeight="1">
      <c r="A105" s="11"/>
      <c r="B105" s="11" t="str">
        <f t="shared" si="1"/>
        <v>#N/A</v>
      </c>
      <c r="C105" s="11" t="s">
        <v>106</v>
      </c>
      <c r="D105" s="11"/>
      <c r="E105" s="11"/>
      <c r="F105" s="11"/>
      <c r="G105" s="11" t="s">
        <v>1433</v>
      </c>
      <c r="H105" s="11" t="s">
        <v>119</v>
      </c>
      <c r="I105" s="11" t="s">
        <v>772</v>
      </c>
      <c r="J105" s="99" t="s">
        <v>1429</v>
      </c>
      <c r="K105" s="11" t="s">
        <v>1434</v>
      </c>
      <c r="L105" s="11">
        <v>36.0</v>
      </c>
      <c r="M105" s="11">
        <f t="shared" si="2"/>
        <v>16</v>
      </c>
      <c r="N105" s="11" t="str">
        <f>VLOOKUP($G105, 'ADP Data'!$B$4:$Q$300, 6, FALSE)</f>
        <v>#N/A</v>
      </c>
      <c r="O105" s="11" t="str">
        <f>VLOOKUP($G105, 'ADP Data'!$B$4:$Q$300, 10, FALSE)</f>
        <v>#N/A</v>
      </c>
      <c r="P105" s="11" t="str">
        <f>VLOOKUP($G105, 'ADP Data'!$B$4:$Q$300, 4, FALSE)</f>
        <v>#N/A</v>
      </c>
      <c r="Q105" s="11" t="str">
        <f>VLOOKUP($G105, 'ADP Data'!$B$4:$Q$300, 5, FALSE)</f>
        <v>#N/A</v>
      </c>
      <c r="R105" s="11" t="str">
        <f>VLOOKUP($G105, 'ADP Data'!$B$4:$Q$300, 7, FALSE)</f>
        <v>#N/A</v>
      </c>
      <c r="S105" s="11" t="str">
        <f>VLOOKUP($G105, 'ADP Data'!$B$4:$Q$300, 8, FALSE)</f>
        <v>#N/A</v>
      </c>
      <c r="T105" s="11" t="str">
        <f>VLOOKUP($G105, 'ADP Data'!$B$4:$Q$300, 9, FALSE)</f>
        <v>#N/A</v>
      </c>
      <c r="U105" s="11" t="str">
        <f t="shared" si="3"/>
        <v>#N/A</v>
      </c>
      <c r="V105" s="11"/>
    </row>
    <row r="106" ht="14.25" customHeight="1">
      <c r="A106" s="11"/>
      <c r="B106" s="11" t="str">
        <f t="shared" si="1"/>
        <v>#N/A</v>
      </c>
      <c r="C106" s="11" t="s">
        <v>106</v>
      </c>
      <c r="D106" s="11">
        <v>3.0</v>
      </c>
      <c r="E106" s="11">
        <v>1.0</v>
      </c>
      <c r="F106" s="11" t="s">
        <v>106</v>
      </c>
      <c r="G106" s="11" t="s">
        <v>1437</v>
      </c>
      <c r="H106" s="11" t="s">
        <v>162</v>
      </c>
      <c r="I106" s="11" t="s">
        <v>775</v>
      </c>
      <c r="J106" s="99" t="s">
        <v>1438</v>
      </c>
      <c r="K106" s="11" t="s">
        <v>1392</v>
      </c>
      <c r="L106" s="11">
        <v>42.0</v>
      </c>
      <c r="M106" s="11">
        <f t="shared" si="2"/>
        <v>16</v>
      </c>
      <c r="N106" s="11" t="str">
        <f>VLOOKUP($G106, 'ADP Data'!$B$4:$Q$300, 6, FALSE)</f>
        <v>#N/A</v>
      </c>
      <c r="O106" s="11" t="str">
        <f>VLOOKUP($G106, 'ADP Data'!$B$4:$Q$300, 10, FALSE)</f>
        <v>#N/A</v>
      </c>
      <c r="P106" s="11" t="str">
        <f>VLOOKUP($G106, 'ADP Data'!$B$4:$Q$300, 4, FALSE)</f>
        <v>#N/A</v>
      </c>
      <c r="Q106" s="11" t="str">
        <f>VLOOKUP($G106, 'ADP Data'!$B$4:$Q$300, 5, FALSE)</f>
        <v>#N/A</v>
      </c>
      <c r="R106" s="11" t="str">
        <f>VLOOKUP($G106, 'ADP Data'!$B$4:$Q$300, 7, FALSE)</f>
        <v>#N/A</v>
      </c>
      <c r="S106" s="11" t="str">
        <f>VLOOKUP($G106, 'ADP Data'!$B$4:$Q$300, 8, FALSE)</f>
        <v>#N/A</v>
      </c>
      <c r="T106" s="11" t="str">
        <f>VLOOKUP($G106, 'ADP Data'!$B$4:$Q$300, 9, FALSE)</f>
        <v>#N/A</v>
      </c>
      <c r="U106" s="11" t="str">
        <f t="shared" si="3"/>
        <v>#N/A</v>
      </c>
      <c r="V106" s="11"/>
    </row>
    <row r="107" ht="14.25" customHeight="1">
      <c r="A107" s="11"/>
      <c r="B107" s="11" t="str">
        <f t="shared" si="1"/>
        <v>#N/A</v>
      </c>
      <c r="C107" s="11" t="s">
        <v>106</v>
      </c>
      <c r="D107" s="11">
        <v>3.0</v>
      </c>
      <c r="E107" s="11"/>
      <c r="F107" s="11"/>
      <c r="G107" s="49" t="s">
        <v>1311</v>
      </c>
      <c r="H107" s="11" t="s">
        <v>162</v>
      </c>
      <c r="I107" s="11" t="s">
        <v>772</v>
      </c>
      <c r="J107" s="99" t="s">
        <v>1386</v>
      </c>
      <c r="K107" s="11" t="s">
        <v>1434</v>
      </c>
      <c r="L107" s="11">
        <v>37.0</v>
      </c>
      <c r="M107" s="11">
        <f t="shared" si="2"/>
        <v>16</v>
      </c>
      <c r="N107" s="11" t="str">
        <f>VLOOKUP($G107, 'ADP Data'!$B$4:$Q$300, 6, FALSE)</f>
        <v>#N/A</v>
      </c>
      <c r="O107" s="11" t="str">
        <f>VLOOKUP($G107, 'ADP Data'!$B$4:$Q$300, 10, FALSE)</f>
        <v>#N/A</v>
      </c>
      <c r="P107" s="11" t="str">
        <f>VLOOKUP($G107, 'ADP Data'!$B$4:$Q$300, 4, FALSE)</f>
        <v>#N/A</v>
      </c>
      <c r="Q107" s="11" t="str">
        <f>VLOOKUP($G107, 'ADP Data'!$B$4:$Q$300, 5, FALSE)</f>
        <v>#N/A</v>
      </c>
      <c r="R107" s="11" t="str">
        <f>VLOOKUP($G107, 'ADP Data'!$B$4:$Q$300, 7, FALSE)</f>
        <v>#N/A</v>
      </c>
      <c r="S107" s="11" t="str">
        <f>VLOOKUP($G107, 'ADP Data'!$B$4:$Q$300, 8, FALSE)</f>
        <v>#N/A</v>
      </c>
      <c r="T107" s="11" t="str">
        <f>VLOOKUP($G107, 'ADP Data'!$B$4:$Q$300, 9, FALSE)</f>
        <v>#N/A</v>
      </c>
      <c r="U107" s="11" t="str">
        <f t="shared" si="3"/>
        <v>#N/A</v>
      </c>
      <c r="V107" s="11"/>
    </row>
    <row r="108" ht="14.25" customHeight="1">
      <c r="A108" s="11"/>
      <c r="B108" s="11" t="str">
        <f t="shared" si="1"/>
        <v>#N/A</v>
      </c>
      <c r="C108" s="11" t="s">
        <v>106</v>
      </c>
      <c r="D108" s="11"/>
      <c r="E108" s="11">
        <v>1.0</v>
      </c>
      <c r="F108" s="11" t="s">
        <v>106</v>
      </c>
      <c r="G108" s="11" t="s">
        <v>881</v>
      </c>
      <c r="H108" s="11" t="s">
        <v>192</v>
      </c>
      <c r="I108" s="11" t="s">
        <v>775</v>
      </c>
      <c r="J108" s="99" t="s">
        <v>1428</v>
      </c>
      <c r="K108" s="11" t="s">
        <v>1392</v>
      </c>
      <c r="L108" s="11">
        <v>43.0</v>
      </c>
      <c r="M108" s="11">
        <f t="shared" si="2"/>
        <v>16</v>
      </c>
      <c r="N108" s="11" t="str">
        <f>VLOOKUP($G108, 'ADP Data'!$B$4:$Q$300, 6, FALSE)</f>
        <v>#N/A</v>
      </c>
      <c r="O108" s="11" t="str">
        <f>VLOOKUP($G108, 'ADP Data'!$B$4:$Q$300, 10, FALSE)</f>
        <v>#N/A</v>
      </c>
      <c r="P108" s="11" t="str">
        <f>VLOOKUP($G108, 'ADP Data'!$B$4:$Q$300, 4, FALSE)</f>
        <v>#N/A</v>
      </c>
      <c r="Q108" s="11" t="str">
        <f>VLOOKUP($G108, 'ADP Data'!$B$4:$Q$300, 5, FALSE)</f>
        <v>#N/A</v>
      </c>
      <c r="R108" s="11" t="str">
        <f>VLOOKUP($G108, 'ADP Data'!$B$4:$Q$300, 7, FALSE)</f>
        <v>#N/A</v>
      </c>
      <c r="S108" s="11" t="str">
        <f>VLOOKUP($G108, 'ADP Data'!$B$4:$Q$300, 8, FALSE)</f>
        <v>#N/A</v>
      </c>
      <c r="T108" s="11" t="str">
        <f>VLOOKUP($G108, 'ADP Data'!$B$4:$Q$300, 9, FALSE)</f>
        <v>#N/A</v>
      </c>
      <c r="U108" s="11" t="str">
        <f t="shared" si="3"/>
        <v>#N/A</v>
      </c>
      <c r="V108" s="11"/>
    </row>
    <row r="109" ht="14.25" customHeight="1">
      <c r="A109" s="11"/>
      <c r="B109" s="11" t="str">
        <f t="shared" si="1"/>
        <v>#N/A</v>
      </c>
      <c r="C109" s="11" t="s">
        <v>106</v>
      </c>
      <c r="D109" s="11"/>
      <c r="E109" s="11">
        <v>1.0</v>
      </c>
      <c r="F109" s="11" t="s">
        <v>106</v>
      </c>
      <c r="G109" s="11" t="s">
        <v>1235</v>
      </c>
      <c r="H109" s="11" t="s">
        <v>195</v>
      </c>
      <c r="I109" s="11" t="s">
        <v>775</v>
      </c>
      <c r="J109" s="99" t="s">
        <v>1357</v>
      </c>
      <c r="K109" s="11" t="s">
        <v>1397</v>
      </c>
      <c r="L109" s="11">
        <v>44.0</v>
      </c>
      <c r="M109" s="11">
        <f t="shared" si="2"/>
        <v>16</v>
      </c>
      <c r="N109" s="11" t="str">
        <f>VLOOKUP($G109, 'ADP Data'!$B$4:$Q$300, 6, FALSE)</f>
        <v>#N/A</v>
      </c>
      <c r="O109" s="11" t="str">
        <f>VLOOKUP($G109, 'ADP Data'!$B$4:$Q$300, 10, FALSE)</f>
        <v>#N/A</v>
      </c>
      <c r="P109" s="11" t="str">
        <f>VLOOKUP($G109, 'ADP Data'!$B$4:$Q$300, 4, FALSE)</f>
        <v>#N/A</v>
      </c>
      <c r="Q109" s="11" t="str">
        <f>VLOOKUP($G109, 'ADP Data'!$B$4:$Q$300, 5, FALSE)</f>
        <v>#N/A</v>
      </c>
      <c r="R109" s="11" t="str">
        <f>VLOOKUP($G109, 'ADP Data'!$B$4:$Q$300, 7, FALSE)</f>
        <v>#N/A</v>
      </c>
      <c r="S109" s="11" t="str">
        <f>VLOOKUP($G109, 'ADP Data'!$B$4:$Q$300, 8, FALSE)</f>
        <v>#N/A</v>
      </c>
      <c r="T109" s="11" t="str">
        <f>VLOOKUP($G109, 'ADP Data'!$B$4:$Q$300, 9, FALSE)</f>
        <v>#N/A</v>
      </c>
      <c r="U109" s="11" t="str">
        <f t="shared" si="3"/>
        <v>#N/A</v>
      </c>
      <c r="V109" s="11"/>
    </row>
    <row r="110" ht="14.25" customHeight="1">
      <c r="A110" s="11"/>
      <c r="B110" s="11" t="str">
        <f t="shared" si="1"/>
        <v>#N/A</v>
      </c>
      <c r="C110" s="11" t="s">
        <v>106</v>
      </c>
      <c r="D110" s="11"/>
      <c r="E110" s="11"/>
      <c r="F110" s="11"/>
      <c r="G110" s="11" t="s">
        <v>498</v>
      </c>
      <c r="H110" s="11" t="s">
        <v>125</v>
      </c>
      <c r="I110" s="11" t="s">
        <v>772</v>
      </c>
      <c r="J110" s="99" t="s">
        <v>1384</v>
      </c>
      <c r="K110" s="11" t="s">
        <v>1434</v>
      </c>
      <c r="L110" s="11">
        <v>38.0</v>
      </c>
      <c r="M110" s="11">
        <f t="shared" si="2"/>
        <v>16</v>
      </c>
      <c r="N110" s="11" t="str">
        <f>VLOOKUP($G110, 'ADP Data'!$B$4:$Q$300, 6, FALSE)</f>
        <v>#N/A</v>
      </c>
      <c r="O110" s="11" t="str">
        <f>VLOOKUP($G110, 'ADP Data'!$B$4:$Q$300, 10, FALSE)</f>
        <v>#N/A</v>
      </c>
      <c r="P110" s="11" t="str">
        <f>VLOOKUP($G110, 'ADP Data'!$B$4:$Q$300, 4, FALSE)</f>
        <v>#N/A</v>
      </c>
      <c r="Q110" s="11" t="str">
        <f>VLOOKUP($G110, 'ADP Data'!$B$4:$Q$300, 5, FALSE)</f>
        <v>#N/A</v>
      </c>
      <c r="R110" s="11" t="str">
        <f>VLOOKUP($G110, 'ADP Data'!$B$4:$Q$300, 7, FALSE)</f>
        <v>#N/A</v>
      </c>
      <c r="S110" s="11" t="str">
        <f>VLOOKUP($G110, 'ADP Data'!$B$4:$Q$300, 8, FALSE)</f>
        <v>#N/A</v>
      </c>
      <c r="T110" s="11" t="str">
        <f>VLOOKUP($G110, 'ADP Data'!$B$4:$Q$300, 9, FALSE)</f>
        <v>#N/A</v>
      </c>
      <c r="U110" s="11" t="str">
        <f t="shared" si="3"/>
        <v>#N/A</v>
      </c>
      <c r="V110" s="11"/>
    </row>
    <row r="111" ht="14.25" customHeight="1">
      <c r="A111" s="11"/>
      <c r="B111" s="11" t="str">
        <f t="shared" si="1"/>
        <v>#N/A</v>
      </c>
      <c r="C111" s="11" t="s">
        <v>106</v>
      </c>
      <c r="D111" s="11"/>
      <c r="E111" s="11">
        <v>3.0</v>
      </c>
      <c r="F111" s="11"/>
      <c r="G111" s="11" t="s">
        <v>645</v>
      </c>
      <c r="H111" s="11" t="s">
        <v>94</v>
      </c>
      <c r="I111" s="11" t="s">
        <v>781</v>
      </c>
      <c r="J111" s="99" t="s">
        <v>1324</v>
      </c>
      <c r="K111" s="11" t="s">
        <v>710</v>
      </c>
      <c r="L111" s="11">
        <v>12.0</v>
      </c>
      <c r="M111" s="11">
        <f t="shared" si="2"/>
        <v>16</v>
      </c>
      <c r="N111" s="11" t="str">
        <f>VLOOKUP($G111, 'ADP Data'!$B$4:$Q$300, 6, FALSE)</f>
        <v>#N/A</v>
      </c>
      <c r="O111" s="11" t="str">
        <f>VLOOKUP($G111, 'ADP Data'!$B$4:$Q$300, 10, FALSE)</f>
        <v>#N/A</v>
      </c>
      <c r="P111" s="11" t="str">
        <f>VLOOKUP($G111, 'ADP Data'!$B$4:$Q$300, 4, FALSE)</f>
        <v>#N/A</v>
      </c>
      <c r="Q111" s="11" t="str">
        <f>VLOOKUP($G111, 'ADP Data'!$B$4:$Q$300, 5, FALSE)</f>
        <v>#N/A</v>
      </c>
      <c r="R111" s="11" t="str">
        <f>VLOOKUP($G111, 'ADP Data'!$B$4:$Q$300, 7, FALSE)</f>
        <v>#N/A</v>
      </c>
      <c r="S111" s="11" t="str">
        <f>VLOOKUP($G111, 'ADP Data'!$B$4:$Q$300, 8, FALSE)</f>
        <v>#N/A</v>
      </c>
      <c r="T111" s="11" t="str">
        <f>VLOOKUP($G111, 'ADP Data'!$B$4:$Q$300, 9, FALSE)</f>
        <v>#N/A</v>
      </c>
      <c r="U111" s="11" t="str">
        <f t="shared" si="3"/>
        <v>#N/A</v>
      </c>
      <c r="V111" s="11"/>
    </row>
    <row r="112" ht="14.25" customHeight="1">
      <c r="A112" s="11"/>
      <c r="B112" s="11" t="str">
        <f t="shared" si="1"/>
        <v>#N/A</v>
      </c>
      <c r="C112" s="11" t="s">
        <v>106</v>
      </c>
      <c r="D112" s="11">
        <v>6.0</v>
      </c>
      <c r="E112" s="11"/>
      <c r="F112" s="11"/>
      <c r="G112" s="11" t="s">
        <v>142</v>
      </c>
      <c r="H112" s="11" t="s">
        <v>85</v>
      </c>
      <c r="I112" s="11" t="s">
        <v>775</v>
      </c>
      <c r="J112" s="99" t="s">
        <v>1395</v>
      </c>
      <c r="K112" s="11" t="s">
        <v>1392</v>
      </c>
      <c r="L112" s="11">
        <v>45.0</v>
      </c>
      <c r="M112" s="11">
        <f t="shared" si="2"/>
        <v>16</v>
      </c>
      <c r="N112" s="11" t="str">
        <f>VLOOKUP($G112, 'ADP Data'!$B$4:$Q$300, 6, FALSE)</f>
        <v>#N/A</v>
      </c>
      <c r="O112" s="11" t="str">
        <f>VLOOKUP($G112, 'ADP Data'!$B$4:$Q$300, 10, FALSE)</f>
        <v>#N/A</v>
      </c>
      <c r="P112" s="11" t="str">
        <f>VLOOKUP($G112, 'ADP Data'!$B$4:$Q$300, 4, FALSE)</f>
        <v>#N/A</v>
      </c>
      <c r="Q112" s="11" t="str">
        <f>VLOOKUP($G112, 'ADP Data'!$B$4:$Q$300, 5, FALSE)</f>
        <v>#N/A</v>
      </c>
      <c r="R112" s="11" t="str">
        <f>VLOOKUP($G112, 'ADP Data'!$B$4:$Q$300, 7, FALSE)</f>
        <v>#N/A</v>
      </c>
      <c r="S112" s="11" t="str">
        <f>VLOOKUP($G112, 'ADP Data'!$B$4:$Q$300, 8, FALSE)</f>
        <v>#N/A</v>
      </c>
      <c r="T112" s="11" t="str">
        <f>VLOOKUP($G112, 'ADP Data'!$B$4:$Q$300, 9, FALSE)</f>
        <v>#N/A</v>
      </c>
      <c r="U112" s="11" t="str">
        <f t="shared" si="3"/>
        <v>#N/A</v>
      </c>
      <c r="V112" s="11" t="s">
        <v>1447</v>
      </c>
    </row>
    <row r="113" ht="14.25" customHeight="1">
      <c r="A113" s="11"/>
      <c r="B113" s="11" t="str">
        <f t="shared" si="1"/>
        <v>#N/A</v>
      </c>
      <c r="C113" s="11" t="s">
        <v>106</v>
      </c>
      <c r="D113" s="11"/>
      <c r="E113" s="11"/>
      <c r="F113" s="11"/>
      <c r="G113" s="37" t="s">
        <v>956</v>
      </c>
      <c r="H113" s="11" t="s">
        <v>35</v>
      </c>
      <c r="I113" s="11" t="s">
        <v>772</v>
      </c>
      <c r="J113" s="99" t="s">
        <v>1448</v>
      </c>
      <c r="K113" s="11" t="s">
        <v>1419</v>
      </c>
      <c r="L113" s="11">
        <v>39.0</v>
      </c>
      <c r="M113" s="11">
        <f t="shared" si="2"/>
        <v>16</v>
      </c>
      <c r="N113" s="11" t="str">
        <f>VLOOKUP($G113, 'ADP Data'!$B$4:$Q$300, 6, FALSE)</f>
        <v>#N/A</v>
      </c>
      <c r="O113" s="11" t="str">
        <f>VLOOKUP($G113, 'ADP Data'!$B$4:$Q$300, 10, FALSE)</f>
        <v>#N/A</v>
      </c>
      <c r="P113" s="11" t="str">
        <f>VLOOKUP($G113, 'ADP Data'!$B$4:$Q$300, 4, FALSE)</f>
        <v>#N/A</v>
      </c>
      <c r="Q113" s="11" t="str">
        <f>VLOOKUP($G113, 'ADP Data'!$B$4:$Q$300, 5, FALSE)</f>
        <v>#N/A</v>
      </c>
      <c r="R113" s="11" t="str">
        <f>VLOOKUP($G113, 'ADP Data'!$B$4:$Q$300, 7, FALSE)</f>
        <v>#N/A</v>
      </c>
      <c r="S113" s="11" t="str">
        <f>VLOOKUP($G113, 'ADP Data'!$B$4:$Q$300, 8, FALSE)</f>
        <v>#N/A</v>
      </c>
      <c r="T113" s="11" t="str">
        <f>VLOOKUP($G113, 'ADP Data'!$B$4:$Q$300, 9, FALSE)</f>
        <v>#N/A</v>
      </c>
      <c r="U113" s="11" t="str">
        <f t="shared" si="3"/>
        <v>#N/A</v>
      </c>
      <c r="V113" s="11"/>
    </row>
    <row r="114" ht="14.25" customHeight="1">
      <c r="A114" s="11" t="s">
        <v>1156</v>
      </c>
      <c r="B114" s="11" t="str">
        <f t="shared" si="1"/>
        <v>#N/A</v>
      </c>
      <c r="C114" s="11" t="s">
        <v>106</v>
      </c>
      <c r="D114" s="11">
        <v>1.0</v>
      </c>
      <c r="E114" s="11">
        <v>1.0</v>
      </c>
      <c r="F114" s="11"/>
      <c r="G114" s="11" t="s">
        <v>226</v>
      </c>
      <c r="H114" s="11" t="s">
        <v>116</v>
      </c>
      <c r="I114" s="11" t="s">
        <v>772</v>
      </c>
      <c r="J114" s="99" t="s">
        <v>1449</v>
      </c>
      <c r="K114" s="11" t="s">
        <v>1450</v>
      </c>
      <c r="L114" s="11">
        <v>40.0</v>
      </c>
      <c r="M114" s="11">
        <f t="shared" si="2"/>
        <v>16</v>
      </c>
      <c r="N114" s="11" t="str">
        <f>VLOOKUP($G114, 'ADP Data'!$B$4:$Q$300, 6, FALSE)</f>
        <v>#N/A</v>
      </c>
      <c r="O114" s="11" t="str">
        <f>VLOOKUP($G114, 'ADP Data'!$B$4:$Q$300, 10, FALSE)</f>
        <v>#N/A</v>
      </c>
      <c r="P114" s="11" t="str">
        <f>VLOOKUP($G114, 'ADP Data'!$B$4:$Q$300, 4, FALSE)</f>
        <v>#N/A</v>
      </c>
      <c r="Q114" s="11" t="str">
        <f>VLOOKUP($G114, 'ADP Data'!$B$4:$Q$300, 5, FALSE)</f>
        <v>#N/A</v>
      </c>
      <c r="R114" s="11" t="str">
        <f>VLOOKUP($G114, 'ADP Data'!$B$4:$Q$300, 7, FALSE)</f>
        <v>#N/A</v>
      </c>
      <c r="S114" s="11" t="str">
        <f>VLOOKUP($G114, 'ADP Data'!$B$4:$Q$300, 8, FALSE)</f>
        <v>#N/A</v>
      </c>
      <c r="T114" s="11" t="str">
        <f>VLOOKUP($G114, 'ADP Data'!$B$4:$Q$300, 9, FALSE)</f>
        <v>#N/A</v>
      </c>
      <c r="U114" s="11" t="str">
        <f t="shared" si="3"/>
        <v>#N/A</v>
      </c>
      <c r="V114" s="11" t="s">
        <v>1451</v>
      </c>
    </row>
    <row r="115" ht="14.25" customHeight="1">
      <c r="A115" s="11"/>
      <c r="B115" s="11" t="str">
        <f t="shared" si="1"/>
        <v>#N/A</v>
      </c>
      <c r="C115" s="11" t="s">
        <v>106</v>
      </c>
      <c r="D115" s="11">
        <v>1.0</v>
      </c>
      <c r="E115" s="11">
        <v>1.0</v>
      </c>
      <c r="F115" s="11"/>
      <c r="G115" s="11" t="s">
        <v>1185</v>
      </c>
      <c r="H115" s="11" t="s">
        <v>40</v>
      </c>
      <c r="I115" s="11" t="s">
        <v>770</v>
      </c>
      <c r="J115" s="99" t="s">
        <v>1335</v>
      </c>
      <c r="K115" s="11" t="s">
        <v>1399</v>
      </c>
      <c r="L115" s="11">
        <v>13.0</v>
      </c>
      <c r="M115" s="11">
        <f t="shared" si="2"/>
        <v>16</v>
      </c>
      <c r="N115" s="11" t="str">
        <f>VLOOKUP($G115, 'ADP Data'!$B$4:$Q$300, 6, FALSE)</f>
        <v>#N/A</v>
      </c>
      <c r="O115" s="11" t="str">
        <f>VLOOKUP($G115, 'ADP Data'!$B$4:$Q$300, 10, FALSE)</f>
        <v>#N/A</v>
      </c>
      <c r="P115" s="11" t="str">
        <f>VLOOKUP($G115, 'ADP Data'!$B$4:$Q$300, 4, FALSE)</f>
        <v>#N/A</v>
      </c>
      <c r="Q115" s="11" t="str">
        <f>VLOOKUP($G115, 'ADP Data'!$B$4:$Q$300, 5, FALSE)</f>
        <v>#N/A</v>
      </c>
      <c r="R115" s="11" t="str">
        <f>VLOOKUP($G115, 'ADP Data'!$B$4:$Q$300, 7, FALSE)</f>
        <v>#N/A</v>
      </c>
      <c r="S115" s="11" t="str">
        <f>VLOOKUP($G115, 'ADP Data'!$B$4:$Q$300, 8, FALSE)</f>
        <v>#N/A</v>
      </c>
      <c r="T115" s="11" t="str">
        <f>VLOOKUP($G115, 'ADP Data'!$B$4:$Q$300, 9, FALSE)</f>
        <v>#N/A</v>
      </c>
      <c r="U115" s="11" t="str">
        <f t="shared" si="3"/>
        <v>#N/A</v>
      </c>
      <c r="V115" s="11" t="s">
        <v>1454</v>
      </c>
    </row>
    <row r="116" ht="14.25" customHeight="1">
      <c r="A116" s="11" t="s">
        <v>1156</v>
      </c>
      <c r="B116" s="11" t="str">
        <f t="shared" si="1"/>
        <v>#N/A</v>
      </c>
      <c r="C116" s="11" t="s">
        <v>106</v>
      </c>
      <c r="D116" s="11">
        <v>1.0</v>
      </c>
      <c r="E116" s="11">
        <v>1.0</v>
      </c>
      <c r="F116" s="11"/>
      <c r="G116" s="11" t="s">
        <v>487</v>
      </c>
      <c r="H116" s="11" t="s">
        <v>49</v>
      </c>
      <c r="I116" s="11" t="s">
        <v>785</v>
      </c>
      <c r="J116" s="99">
        <v>1.0</v>
      </c>
      <c r="K116" s="11"/>
      <c r="L116" s="11"/>
      <c r="M116" s="11">
        <f t="shared" si="2"/>
        <v>16</v>
      </c>
      <c r="N116" s="11" t="str">
        <f>VLOOKUP($G116, 'ADP Data'!$B$4:$Q$300, 6, FALSE)</f>
        <v>#N/A</v>
      </c>
      <c r="O116" s="11" t="str">
        <f>VLOOKUP($G116, 'ADP Data'!$B$4:$Q$300, 10, FALSE)</f>
        <v>#N/A</v>
      </c>
      <c r="P116" s="11" t="str">
        <f>VLOOKUP($G116, 'ADP Data'!$B$4:$Q$300, 4, FALSE)</f>
        <v>#N/A</v>
      </c>
      <c r="Q116" s="11" t="str">
        <f>VLOOKUP($G116, 'ADP Data'!$B$4:$Q$300, 5, FALSE)</f>
        <v>#N/A</v>
      </c>
      <c r="R116" s="11" t="str">
        <f>VLOOKUP($G116, 'ADP Data'!$B$4:$Q$300, 7, FALSE)</f>
        <v>#N/A</v>
      </c>
      <c r="S116" s="11" t="str">
        <f>VLOOKUP($G116, 'ADP Data'!$B$4:$Q$300, 8, FALSE)</f>
        <v>#N/A</v>
      </c>
      <c r="T116" s="11" t="str">
        <f>VLOOKUP($G116, 'ADP Data'!$B$4:$Q$300, 9, FALSE)</f>
        <v>#N/A</v>
      </c>
      <c r="U116" s="11" t="str">
        <f t="shared" si="3"/>
        <v>#N/A</v>
      </c>
      <c r="V116" s="11"/>
    </row>
    <row r="117" ht="14.25" customHeight="1">
      <c r="A117" s="11"/>
      <c r="B117" s="11" t="str">
        <f t="shared" si="1"/>
        <v>#N/A</v>
      </c>
      <c r="C117" s="11" t="s">
        <v>106</v>
      </c>
      <c r="D117" s="11"/>
      <c r="E117" s="11"/>
      <c r="F117" s="11" t="s">
        <v>106</v>
      </c>
      <c r="G117" s="11" t="s">
        <v>175</v>
      </c>
      <c r="H117" s="11" t="s">
        <v>94</v>
      </c>
      <c r="I117" s="11" t="s">
        <v>775</v>
      </c>
      <c r="J117" s="99" t="s">
        <v>1448</v>
      </c>
      <c r="K117" s="11" t="s">
        <v>1392</v>
      </c>
      <c r="L117" s="11">
        <v>46.0</v>
      </c>
      <c r="M117" s="11">
        <f t="shared" si="2"/>
        <v>16</v>
      </c>
      <c r="N117" s="11" t="str">
        <f>VLOOKUP($G117, 'ADP Data'!$B$4:$Q$300, 6, FALSE)</f>
        <v>#N/A</v>
      </c>
      <c r="O117" s="11" t="str">
        <f>VLOOKUP($G117, 'ADP Data'!$B$4:$Q$300, 10, FALSE)</f>
        <v>#N/A</v>
      </c>
      <c r="P117" s="11" t="str">
        <f>VLOOKUP($G117, 'ADP Data'!$B$4:$Q$300, 4, FALSE)</f>
        <v>#N/A</v>
      </c>
      <c r="Q117" s="11" t="str">
        <f>VLOOKUP($G117, 'ADP Data'!$B$4:$Q$300, 5, FALSE)</f>
        <v>#N/A</v>
      </c>
      <c r="R117" s="11" t="str">
        <f>VLOOKUP($G117, 'ADP Data'!$B$4:$Q$300, 7, FALSE)</f>
        <v>#N/A</v>
      </c>
      <c r="S117" s="11" t="str">
        <f>VLOOKUP($G117, 'ADP Data'!$B$4:$Q$300, 8, FALSE)</f>
        <v>#N/A</v>
      </c>
      <c r="T117" s="11" t="str">
        <f>VLOOKUP($G117, 'ADP Data'!$B$4:$Q$300, 9, FALSE)</f>
        <v>#N/A</v>
      </c>
      <c r="U117" s="11" t="str">
        <f t="shared" si="3"/>
        <v>#N/A</v>
      </c>
      <c r="V117" s="11"/>
    </row>
    <row r="118" ht="14.25" customHeight="1">
      <c r="A118" s="11"/>
      <c r="B118" s="11" t="str">
        <f t="shared" si="1"/>
        <v>#N/A</v>
      </c>
      <c r="C118" s="11" t="s">
        <v>106</v>
      </c>
      <c r="D118" s="11"/>
      <c r="E118" s="11"/>
      <c r="F118" s="11"/>
      <c r="G118" s="11" t="s">
        <v>915</v>
      </c>
      <c r="H118" s="11" t="s">
        <v>162</v>
      </c>
      <c r="I118" s="11" t="s">
        <v>785</v>
      </c>
      <c r="J118" s="99">
        <v>2.0</v>
      </c>
      <c r="K118" s="11"/>
      <c r="L118" s="11"/>
      <c r="M118" s="11">
        <f t="shared" si="2"/>
        <v>16</v>
      </c>
      <c r="N118" s="11" t="str">
        <f>VLOOKUP($G118, 'ADP Data'!$B$4:$Q$300, 6, FALSE)</f>
        <v>#N/A</v>
      </c>
      <c r="O118" s="11" t="str">
        <f>VLOOKUP($G118, 'ADP Data'!$B$4:$Q$300, 10, FALSE)</f>
        <v>#N/A</v>
      </c>
      <c r="P118" s="11" t="str">
        <f>VLOOKUP($G118, 'ADP Data'!$B$4:$Q$300, 4, FALSE)</f>
        <v>#N/A</v>
      </c>
      <c r="Q118" s="11" t="str">
        <f>VLOOKUP($G118, 'ADP Data'!$B$4:$Q$300, 5, FALSE)</f>
        <v>#N/A</v>
      </c>
      <c r="R118" s="11" t="str">
        <f>VLOOKUP($G118, 'ADP Data'!$B$4:$Q$300, 7, FALSE)</f>
        <v>#N/A</v>
      </c>
      <c r="S118" s="11" t="str">
        <f>VLOOKUP($G118, 'ADP Data'!$B$4:$Q$300, 8, FALSE)</f>
        <v>#N/A</v>
      </c>
      <c r="T118" s="11" t="str">
        <f>VLOOKUP($G118, 'ADP Data'!$B$4:$Q$300, 9, FALSE)</f>
        <v>#N/A</v>
      </c>
      <c r="U118" s="11" t="str">
        <f t="shared" si="3"/>
        <v>#N/A</v>
      </c>
      <c r="V118" s="11"/>
    </row>
    <row r="119" ht="14.25" customHeight="1">
      <c r="A119" s="11"/>
      <c r="B119" s="11" t="str">
        <f t="shared" si="1"/>
        <v>#N/A</v>
      </c>
      <c r="C119" s="11" t="s">
        <v>106</v>
      </c>
      <c r="D119" s="11">
        <v>3.0</v>
      </c>
      <c r="E119" s="11">
        <v>2.0</v>
      </c>
      <c r="F119" s="11" t="s">
        <v>106</v>
      </c>
      <c r="G119" s="49" t="s">
        <v>286</v>
      </c>
      <c r="H119" s="11" t="s">
        <v>62</v>
      </c>
      <c r="I119" s="11" t="s">
        <v>775</v>
      </c>
      <c r="J119" s="99" t="s">
        <v>1459</v>
      </c>
      <c r="K119" s="11" t="s">
        <v>1460</v>
      </c>
      <c r="L119" s="11">
        <v>47.0</v>
      </c>
      <c r="M119" s="11">
        <f t="shared" si="2"/>
        <v>16</v>
      </c>
      <c r="N119" s="11" t="str">
        <f>VLOOKUP($G119, 'ADP Data'!$B$4:$Q$300, 6, FALSE)</f>
        <v>#N/A</v>
      </c>
      <c r="O119" s="11" t="str">
        <f>VLOOKUP($G119, 'ADP Data'!$B$4:$Q$300, 10, FALSE)</f>
        <v>#N/A</v>
      </c>
      <c r="P119" s="11" t="str">
        <f>VLOOKUP($G119, 'ADP Data'!$B$4:$Q$300, 4, FALSE)</f>
        <v>#N/A</v>
      </c>
      <c r="Q119" s="11" t="str">
        <f>VLOOKUP($G119, 'ADP Data'!$B$4:$Q$300, 5, FALSE)</f>
        <v>#N/A</v>
      </c>
      <c r="R119" s="11" t="str">
        <f>VLOOKUP($G119, 'ADP Data'!$B$4:$Q$300, 7, FALSE)</f>
        <v>#N/A</v>
      </c>
      <c r="S119" s="11" t="str">
        <f>VLOOKUP($G119, 'ADP Data'!$B$4:$Q$300, 8, FALSE)</f>
        <v>#N/A</v>
      </c>
      <c r="T119" s="11" t="str">
        <f>VLOOKUP($G119, 'ADP Data'!$B$4:$Q$300, 9, FALSE)</f>
        <v>#N/A</v>
      </c>
      <c r="U119" s="11" t="str">
        <f t="shared" si="3"/>
        <v>#N/A</v>
      </c>
      <c r="V119" s="11"/>
    </row>
    <row r="120" ht="14.25" customHeight="1">
      <c r="A120" s="11"/>
      <c r="B120" s="11" t="str">
        <f t="shared" si="1"/>
        <v>#N/A</v>
      </c>
      <c r="C120" s="11" t="s">
        <v>106</v>
      </c>
      <c r="D120" s="11"/>
      <c r="E120" s="11"/>
      <c r="F120" s="11"/>
      <c r="G120" s="11" t="s">
        <v>502</v>
      </c>
      <c r="H120" s="11" t="s">
        <v>237</v>
      </c>
      <c r="I120" s="11" t="s">
        <v>785</v>
      </c>
      <c r="J120" s="99">
        <v>3.0</v>
      </c>
      <c r="K120" s="11"/>
      <c r="L120" s="11"/>
      <c r="M120" s="11">
        <f t="shared" si="2"/>
        <v>16</v>
      </c>
      <c r="N120" s="11" t="str">
        <f>VLOOKUP($G120, 'ADP Data'!$B$4:$Q$300, 6, FALSE)</f>
        <v>#N/A</v>
      </c>
      <c r="O120" s="11" t="str">
        <f>VLOOKUP($G120, 'ADP Data'!$B$4:$Q$300, 10, FALSE)</f>
        <v>#N/A</v>
      </c>
      <c r="P120" s="11" t="str">
        <f>VLOOKUP($G120, 'ADP Data'!$B$4:$Q$300, 4, FALSE)</f>
        <v>#N/A</v>
      </c>
      <c r="Q120" s="11" t="str">
        <f>VLOOKUP($G120, 'ADP Data'!$B$4:$Q$300, 5, FALSE)</f>
        <v>#N/A</v>
      </c>
      <c r="R120" s="11" t="str">
        <f>VLOOKUP($G120, 'ADP Data'!$B$4:$Q$300, 7, FALSE)</f>
        <v>#N/A</v>
      </c>
      <c r="S120" s="11" t="str">
        <f>VLOOKUP($G120, 'ADP Data'!$B$4:$Q$300, 8, FALSE)</f>
        <v>#N/A</v>
      </c>
      <c r="T120" s="11" t="str">
        <f>VLOOKUP($G120, 'ADP Data'!$B$4:$Q$300, 9, FALSE)</f>
        <v>#N/A</v>
      </c>
      <c r="U120" s="11" t="str">
        <f t="shared" si="3"/>
        <v>#N/A</v>
      </c>
      <c r="V120" s="11"/>
    </row>
    <row r="121" ht="14.25" customHeight="1">
      <c r="A121" s="11"/>
      <c r="B121" s="11" t="str">
        <f t="shared" si="1"/>
        <v>#N/A</v>
      </c>
      <c r="C121" s="11" t="s">
        <v>106</v>
      </c>
      <c r="D121" s="11"/>
      <c r="E121" s="11"/>
      <c r="F121" s="11"/>
      <c r="G121" s="11" t="s">
        <v>1302</v>
      </c>
      <c r="H121" s="11" t="s">
        <v>148</v>
      </c>
      <c r="I121" s="11" t="s">
        <v>772</v>
      </c>
      <c r="J121" s="99" t="s">
        <v>1374</v>
      </c>
      <c r="K121" s="11" t="s">
        <v>1463</v>
      </c>
      <c r="L121" s="11">
        <v>41.0</v>
      </c>
      <c r="M121" s="11">
        <f t="shared" si="2"/>
        <v>16</v>
      </c>
      <c r="N121" s="11" t="str">
        <f>VLOOKUP($G121, 'ADP Data'!$B$4:$Q$300, 6, FALSE)</f>
        <v>#N/A</v>
      </c>
      <c r="O121" s="11" t="str">
        <f>VLOOKUP($G121, 'ADP Data'!$B$4:$Q$300, 10, FALSE)</f>
        <v>#N/A</v>
      </c>
      <c r="P121" s="11" t="str">
        <f>VLOOKUP($G121, 'ADP Data'!$B$4:$Q$300, 4, FALSE)</f>
        <v>#N/A</v>
      </c>
      <c r="Q121" s="11" t="str">
        <f>VLOOKUP($G121, 'ADP Data'!$B$4:$Q$300, 5, FALSE)</f>
        <v>#N/A</v>
      </c>
      <c r="R121" s="11" t="str">
        <f>VLOOKUP($G121, 'ADP Data'!$B$4:$Q$300, 7, FALSE)</f>
        <v>#N/A</v>
      </c>
      <c r="S121" s="11" t="str">
        <f>VLOOKUP($G121, 'ADP Data'!$B$4:$Q$300, 8, FALSE)</f>
        <v>#N/A</v>
      </c>
      <c r="T121" s="11" t="str">
        <f>VLOOKUP($G121, 'ADP Data'!$B$4:$Q$300, 9, FALSE)</f>
        <v>#N/A</v>
      </c>
      <c r="U121" s="11" t="str">
        <f t="shared" si="3"/>
        <v>#N/A</v>
      </c>
      <c r="V121" s="11" t="s">
        <v>1465</v>
      </c>
    </row>
    <row r="122" ht="14.25" customHeight="1">
      <c r="A122" s="11"/>
      <c r="B122" s="11" t="str">
        <f t="shared" si="1"/>
        <v>#N/A</v>
      </c>
      <c r="C122" s="11" t="s">
        <v>106</v>
      </c>
      <c r="D122" s="11"/>
      <c r="E122" s="11"/>
      <c r="F122" s="11"/>
      <c r="G122" s="11" t="s">
        <v>1466</v>
      </c>
      <c r="H122" s="11" t="s">
        <v>192</v>
      </c>
      <c r="I122" s="11" t="s">
        <v>785</v>
      </c>
      <c r="J122" s="99">
        <v>4.0</v>
      </c>
      <c r="K122" s="11"/>
      <c r="L122" s="11"/>
      <c r="M122" s="11">
        <f t="shared" si="2"/>
        <v>16</v>
      </c>
      <c r="N122" s="11" t="str">
        <f>VLOOKUP($G122, 'ADP Data'!$B$4:$Q$300, 6, FALSE)</f>
        <v>#N/A</v>
      </c>
      <c r="O122" s="11" t="str">
        <f>VLOOKUP($G122, 'ADP Data'!$B$4:$Q$300, 10, FALSE)</f>
        <v>#N/A</v>
      </c>
      <c r="P122" s="11" t="str">
        <f>VLOOKUP($G122, 'ADP Data'!$B$4:$Q$300, 4, FALSE)</f>
        <v>#N/A</v>
      </c>
      <c r="Q122" s="11" t="str">
        <f>VLOOKUP($G122, 'ADP Data'!$B$4:$Q$300, 5, FALSE)</f>
        <v>#N/A</v>
      </c>
      <c r="R122" s="11" t="str">
        <f>VLOOKUP($G122, 'ADP Data'!$B$4:$Q$300, 7, FALSE)</f>
        <v>#N/A</v>
      </c>
      <c r="S122" s="11" t="str">
        <f>VLOOKUP($G122, 'ADP Data'!$B$4:$Q$300, 8, FALSE)</f>
        <v>#N/A</v>
      </c>
      <c r="T122" s="11" t="str">
        <f>VLOOKUP($G122, 'ADP Data'!$B$4:$Q$300, 9, FALSE)</f>
        <v>#N/A</v>
      </c>
      <c r="U122" s="11" t="str">
        <f t="shared" si="3"/>
        <v>#N/A</v>
      </c>
      <c r="V122" s="11"/>
    </row>
    <row r="123" ht="14.25" customHeight="1">
      <c r="A123" s="11"/>
      <c r="B123" s="11" t="str">
        <f t="shared" si="1"/>
        <v>#N/A</v>
      </c>
      <c r="C123" s="11" t="s">
        <v>106</v>
      </c>
      <c r="D123" s="11"/>
      <c r="E123" s="11"/>
      <c r="F123" s="11" t="s">
        <v>106</v>
      </c>
      <c r="G123" s="11" t="s">
        <v>1284</v>
      </c>
      <c r="H123" s="11" t="s">
        <v>206</v>
      </c>
      <c r="I123" s="11" t="s">
        <v>775</v>
      </c>
      <c r="J123" s="99" t="s">
        <v>1467</v>
      </c>
      <c r="K123" s="11" t="s">
        <v>1460</v>
      </c>
      <c r="L123" s="11">
        <v>48.0</v>
      </c>
      <c r="M123" s="11">
        <f t="shared" si="2"/>
        <v>16</v>
      </c>
      <c r="N123" s="11" t="str">
        <f>VLOOKUP($G123, 'ADP Data'!$B$4:$Q$300, 6, FALSE)</f>
        <v>#N/A</v>
      </c>
      <c r="O123" s="11" t="str">
        <f>VLOOKUP($G123, 'ADP Data'!$B$4:$Q$300, 10, FALSE)</f>
        <v>#N/A</v>
      </c>
      <c r="P123" s="11" t="str">
        <f>VLOOKUP($G123, 'ADP Data'!$B$4:$Q$300, 4, FALSE)</f>
        <v>#N/A</v>
      </c>
      <c r="Q123" s="11" t="str">
        <f>VLOOKUP($G123, 'ADP Data'!$B$4:$Q$300, 5, FALSE)</f>
        <v>#N/A</v>
      </c>
      <c r="R123" s="11" t="str">
        <f>VLOOKUP($G123, 'ADP Data'!$B$4:$Q$300, 7, FALSE)</f>
        <v>#N/A</v>
      </c>
      <c r="S123" s="11" t="str">
        <f>VLOOKUP($G123, 'ADP Data'!$B$4:$Q$300, 8, FALSE)</f>
        <v>#N/A</v>
      </c>
      <c r="T123" s="11" t="str">
        <f>VLOOKUP($G123, 'ADP Data'!$B$4:$Q$300, 9, FALSE)</f>
        <v>#N/A</v>
      </c>
      <c r="U123" s="11" t="str">
        <f t="shared" si="3"/>
        <v>#N/A</v>
      </c>
      <c r="V123" s="11"/>
    </row>
    <row r="124" ht="14.25" customHeight="1">
      <c r="A124" s="11"/>
      <c r="B124" s="11" t="str">
        <f t="shared" si="1"/>
        <v>#N/A</v>
      </c>
      <c r="C124" s="11" t="s">
        <v>106</v>
      </c>
      <c r="D124" s="11"/>
      <c r="E124" s="11"/>
      <c r="F124" s="11"/>
      <c r="G124" s="37" t="s">
        <v>1264</v>
      </c>
      <c r="H124" s="11" t="s">
        <v>148</v>
      </c>
      <c r="I124" s="11" t="s">
        <v>775</v>
      </c>
      <c r="J124" s="99" t="s">
        <v>1470</v>
      </c>
      <c r="K124" s="11" t="s">
        <v>1460</v>
      </c>
      <c r="L124" s="11">
        <v>49.0</v>
      </c>
      <c r="M124" s="11">
        <f t="shared" si="2"/>
        <v>16</v>
      </c>
      <c r="N124" s="11" t="str">
        <f>VLOOKUP($G124, 'ADP Data'!$B$4:$Q$300, 6, FALSE)</f>
        <v>#N/A</v>
      </c>
      <c r="O124" s="11" t="str">
        <f>VLOOKUP($G124, 'ADP Data'!$B$4:$Q$300, 10, FALSE)</f>
        <v>#N/A</v>
      </c>
      <c r="P124" s="11" t="str">
        <f>VLOOKUP($G124, 'ADP Data'!$B$4:$Q$300, 4, FALSE)</f>
        <v>#N/A</v>
      </c>
      <c r="Q124" s="11" t="str">
        <f>VLOOKUP($G124, 'ADP Data'!$B$4:$Q$300, 5, FALSE)</f>
        <v>#N/A</v>
      </c>
      <c r="R124" s="11" t="str">
        <f>VLOOKUP($G124, 'ADP Data'!$B$4:$Q$300, 7, FALSE)</f>
        <v>#N/A</v>
      </c>
      <c r="S124" s="11" t="str">
        <f>VLOOKUP($G124, 'ADP Data'!$B$4:$Q$300, 8, FALSE)</f>
        <v>#N/A</v>
      </c>
      <c r="T124" s="11" t="str">
        <f>VLOOKUP($G124, 'ADP Data'!$B$4:$Q$300, 9, FALSE)</f>
        <v>#N/A</v>
      </c>
      <c r="U124" s="11" t="str">
        <f t="shared" si="3"/>
        <v>#N/A</v>
      </c>
      <c r="V124" s="11"/>
    </row>
    <row r="125" ht="14.25" customHeight="1">
      <c r="A125" s="11"/>
      <c r="B125" s="11" t="str">
        <f t="shared" si="1"/>
        <v>#N/A</v>
      </c>
      <c r="C125" s="11" t="s">
        <v>106</v>
      </c>
      <c r="D125" s="11"/>
      <c r="E125" s="11">
        <v>2.0</v>
      </c>
      <c r="F125" s="11" t="s">
        <v>106</v>
      </c>
      <c r="G125" s="11" t="s">
        <v>590</v>
      </c>
      <c r="H125" s="11" t="s">
        <v>171</v>
      </c>
      <c r="I125" s="11" t="s">
        <v>775</v>
      </c>
      <c r="J125" s="99" t="s">
        <v>1471</v>
      </c>
      <c r="K125" s="11" t="s">
        <v>1392</v>
      </c>
      <c r="L125" s="11">
        <v>50.0</v>
      </c>
      <c r="M125" s="11">
        <f t="shared" si="2"/>
        <v>16</v>
      </c>
      <c r="N125" s="11" t="str">
        <f>VLOOKUP($G125, 'ADP Data'!$B$4:$Q$300, 6, FALSE)</f>
        <v>#N/A</v>
      </c>
      <c r="O125" s="11" t="str">
        <f>VLOOKUP($G125, 'ADP Data'!$B$4:$Q$300, 10, FALSE)</f>
        <v>#N/A</v>
      </c>
      <c r="P125" s="11" t="str">
        <f>VLOOKUP($G125, 'ADP Data'!$B$4:$Q$300, 4, FALSE)</f>
        <v>#N/A</v>
      </c>
      <c r="Q125" s="11" t="str">
        <f>VLOOKUP($G125, 'ADP Data'!$B$4:$Q$300, 5, FALSE)</f>
        <v>#N/A</v>
      </c>
      <c r="R125" s="11" t="str">
        <f>VLOOKUP($G125, 'ADP Data'!$B$4:$Q$300, 7, FALSE)</f>
        <v>#N/A</v>
      </c>
      <c r="S125" s="11" t="str">
        <f>VLOOKUP($G125, 'ADP Data'!$B$4:$Q$300, 8, FALSE)</f>
        <v>#N/A</v>
      </c>
      <c r="T125" s="11" t="str">
        <f>VLOOKUP($G125, 'ADP Data'!$B$4:$Q$300, 9, FALSE)</f>
        <v>#N/A</v>
      </c>
      <c r="U125" s="11" t="str">
        <f t="shared" si="3"/>
        <v>#N/A</v>
      </c>
      <c r="V125" s="11"/>
    </row>
    <row r="126" ht="14.25" customHeight="1">
      <c r="A126" s="11"/>
      <c r="B126" s="11" t="str">
        <f t="shared" si="1"/>
        <v>#N/A</v>
      </c>
      <c r="C126" s="11" t="s">
        <v>106</v>
      </c>
      <c r="D126" s="11"/>
      <c r="E126" s="11">
        <v>0.0</v>
      </c>
      <c r="F126" s="11"/>
      <c r="G126" s="11" t="s">
        <v>1179</v>
      </c>
      <c r="H126" s="11" t="s">
        <v>75</v>
      </c>
      <c r="I126" s="11" t="s">
        <v>781</v>
      </c>
      <c r="J126" s="99" t="s">
        <v>1327</v>
      </c>
      <c r="K126" s="11" t="s">
        <v>1178</v>
      </c>
      <c r="L126" s="11">
        <v>18.0</v>
      </c>
      <c r="M126" s="11">
        <f t="shared" si="2"/>
        <v>16</v>
      </c>
      <c r="N126" s="11" t="str">
        <f>VLOOKUP($G126, 'ADP Data'!$B$4:$Q$300, 6, FALSE)</f>
        <v>#N/A</v>
      </c>
      <c r="O126" s="11" t="str">
        <f>VLOOKUP($G126, 'ADP Data'!$B$4:$Q$300, 10, FALSE)</f>
        <v>#N/A</v>
      </c>
      <c r="P126" s="11" t="str">
        <f>VLOOKUP($G126, 'ADP Data'!$B$4:$Q$300, 4, FALSE)</f>
        <v>#N/A</v>
      </c>
      <c r="Q126" s="11" t="str">
        <f>VLOOKUP($G126, 'ADP Data'!$B$4:$Q$300, 5, FALSE)</f>
        <v>#N/A</v>
      </c>
      <c r="R126" s="11" t="str">
        <f>VLOOKUP($G126, 'ADP Data'!$B$4:$Q$300, 7, FALSE)</f>
        <v>#N/A</v>
      </c>
      <c r="S126" s="11" t="str">
        <f>VLOOKUP($G126, 'ADP Data'!$B$4:$Q$300, 8, FALSE)</f>
        <v>#N/A</v>
      </c>
      <c r="T126" s="11" t="str">
        <f>VLOOKUP($G126, 'ADP Data'!$B$4:$Q$300, 9, FALSE)</f>
        <v>#N/A</v>
      </c>
      <c r="U126" s="11" t="str">
        <f t="shared" si="3"/>
        <v>#N/A</v>
      </c>
      <c r="V126" s="11"/>
    </row>
    <row r="127" ht="14.25" customHeight="1">
      <c r="A127" s="11"/>
      <c r="B127" s="11" t="str">
        <f t="shared" si="1"/>
        <v>#N/A</v>
      </c>
      <c r="C127" s="11" t="s">
        <v>106</v>
      </c>
      <c r="D127" s="11"/>
      <c r="E127" s="11"/>
      <c r="F127" s="11"/>
      <c r="G127" s="11" t="s">
        <v>1375</v>
      </c>
      <c r="H127" s="11" t="s">
        <v>131</v>
      </c>
      <c r="I127" s="11" t="s">
        <v>772</v>
      </c>
      <c r="J127" s="99" t="s">
        <v>1404</v>
      </c>
      <c r="K127" s="11" t="s">
        <v>1419</v>
      </c>
      <c r="L127" s="11">
        <v>44.0</v>
      </c>
      <c r="M127" s="11">
        <f t="shared" si="2"/>
        <v>16</v>
      </c>
      <c r="N127" s="11" t="str">
        <f>VLOOKUP($G127, 'ADP Data'!$B$4:$Q$300, 6, FALSE)</f>
        <v>#N/A</v>
      </c>
      <c r="O127" s="11" t="str">
        <f>VLOOKUP($G127, 'ADP Data'!$B$4:$Q$300, 10, FALSE)</f>
        <v>#N/A</v>
      </c>
      <c r="P127" s="11" t="str">
        <f>VLOOKUP($G127, 'ADP Data'!$B$4:$Q$300, 4, FALSE)</f>
        <v>#N/A</v>
      </c>
      <c r="Q127" s="11" t="str">
        <f>VLOOKUP($G127, 'ADP Data'!$B$4:$Q$300, 5, FALSE)</f>
        <v>#N/A</v>
      </c>
      <c r="R127" s="11" t="str">
        <f>VLOOKUP($G127, 'ADP Data'!$B$4:$Q$300, 7, FALSE)</f>
        <v>#N/A</v>
      </c>
      <c r="S127" s="11" t="str">
        <f>VLOOKUP($G127, 'ADP Data'!$B$4:$Q$300, 8, FALSE)</f>
        <v>#N/A</v>
      </c>
      <c r="T127" s="11" t="str">
        <f>VLOOKUP($G127, 'ADP Data'!$B$4:$Q$300, 9, FALSE)</f>
        <v>#N/A</v>
      </c>
      <c r="U127" s="11" t="str">
        <f t="shared" si="3"/>
        <v>#N/A</v>
      </c>
      <c r="V127" s="11"/>
    </row>
    <row r="128" ht="14.25" customHeight="1">
      <c r="A128" s="11"/>
      <c r="B128" s="11" t="str">
        <f t="shared" si="1"/>
        <v>#N/A</v>
      </c>
      <c r="C128" s="11" t="s">
        <v>106</v>
      </c>
      <c r="D128" s="11">
        <v>3.0</v>
      </c>
      <c r="E128" s="11">
        <v>1.0</v>
      </c>
      <c r="F128" s="11"/>
      <c r="G128" s="11" t="s">
        <v>812</v>
      </c>
      <c r="H128" s="11" t="s">
        <v>171</v>
      </c>
      <c r="I128" s="11" t="s">
        <v>770</v>
      </c>
      <c r="J128" s="99" t="s">
        <v>1331</v>
      </c>
      <c r="K128" s="11" t="s">
        <v>1396</v>
      </c>
      <c r="L128" s="11">
        <v>14.0</v>
      </c>
      <c r="M128" s="11">
        <f t="shared" si="2"/>
        <v>16</v>
      </c>
      <c r="N128" s="11" t="str">
        <f>VLOOKUP($G128, 'ADP Data'!$B$4:$Q$300, 6, FALSE)</f>
        <v>#N/A</v>
      </c>
      <c r="O128" s="11" t="str">
        <f>VLOOKUP($G128, 'ADP Data'!$B$4:$Q$300, 10, FALSE)</f>
        <v>#N/A</v>
      </c>
      <c r="P128" s="11" t="str">
        <f>VLOOKUP($G128, 'ADP Data'!$B$4:$Q$300, 4, FALSE)</f>
        <v>#N/A</v>
      </c>
      <c r="Q128" s="11" t="str">
        <f>VLOOKUP($G128, 'ADP Data'!$B$4:$Q$300, 5, FALSE)</f>
        <v>#N/A</v>
      </c>
      <c r="R128" s="11" t="str">
        <f>VLOOKUP($G128, 'ADP Data'!$B$4:$Q$300, 7, FALSE)</f>
        <v>#N/A</v>
      </c>
      <c r="S128" s="11" t="str">
        <f>VLOOKUP($G128, 'ADP Data'!$B$4:$Q$300, 8, FALSE)</f>
        <v>#N/A</v>
      </c>
      <c r="T128" s="11" t="str">
        <f>VLOOKUP($G128, 'ADP Data'!$B$4:$Q$300, 9, FALSE)</f>
        <v>#N/A</v>
      </c>
      <c r="U128" s="11" t="str">
        <f t="shared" si="3"/>
        <v>#N/A</v>
      </c>
      <c r="V128" s="11"/>
    </row>
    <row r="129" ht="14.25" customHeight="1">
      <c r="A129" s="11"/>
      <c r="B129" s="11" t="str">
        <f t="shared" si="1"/>
        <v>#N/A</v>
      </c>
      <c r="C129" s="11" t="s">
        <v>106</v>
      </c>
      <c r="D129" s="11">
        <v>4.0</v>
      </c>
      <c r="E129" s="11"/>
      <c r="F129" s="11" t="s">
        <v>106</v>
      </c>
      <c r="G129" s="11" t="s">
        <v>1263</v>
      </c>
      <c r="H129" s="11" t="s">
        <v>206</v>
      </c>
      <c r="I129" s="11" t="s">
        <v>775</v>
      </c>
      <c r="J129" s="99" t="s">
        <v>1476</v>
      </c>
      <c r="K129" s="11" t="s">
        <v>1477</v>
      </c>
      <c r="L129" s="11">
        <v>51.0</v>
      </c>
      <c r="M129" s="11">
        <f t="shared" si="2"/>
        <v>16</v>
      </c>
      <c r="N129" s="11" t="str">
        <f>VLOOKUP($G129, 'ADP Data'!$B$4:$Q$300, 6, FALSE)</f>
        <v>#N/A</v>
      </c>
      <c r="O129" s="11" t="str">
        <f>VLOOKUP($G129, 'ADP Data'!$B$4:$Q$300, 10, FALSE)</f>
        <v>#N/A</v>
      </c>
      <c r="P129" s="11" t="str">
        <f>VLOOKUP($G129, 'ADP Data'!$B$4:$Q$300, 4, FALSE)</f>
        <v>#N/A</v>
      </c>
      <c r="Q129" s="11" t="str">
        <f>VLOOKUP($G129, 'ADP Data'!$B$4:$Q$300, 5, FALSE)</f>
        <v>#N/A</v>
      </c>
      <c r="R129" s="11" t="str">
        <f>VLOOKUP($G129, 'ADP Data'!$B$4:$Q$300, 7, FALSE)</f>
        <v>#N/A</v>
      </c>
      <c r="S129" s="11" t="str">
        <f>VLOOKUP($G129, 'ADP Data'!$B$4:$Q$300, 8, FALSE)</f>
        <v>#N/A</v>
      </c>
      <c r="T129" s="11" t="str">
        <f>VLOOKUP($G129, 'ADP Data'!$B$4:$Q$300, 9, FALSE)</f>
        <v>#N/A</v>
      </c>
      <c r="U129" s="11" t="str">
        <f t="shared" si="3"/>
        <v>#N/A</v>
      </c>
      <c r="V129" s="11" t="s">
        <v>1479</v>
      </c>
    </row>
    <row r="130" ht="14.25" customHeight="1">
      <c r="A130" s="11"/>
      <c r="B130" s="11" t="str">
        <f t="shared" si="1"/>
        <v>#N/A</v>
      </c>
      <c r="C130" s="11" t="s">
        <v>106</v>
      </c>
      <c r="D130" s="11"/>
      <c r="E130" s="11">
        <v>1.0</v>
      </c>
      <c r="F130" s="11"/>
      <c r="G130" s="11" t="s">
        <v>1242</v>
      </c>
      <c r="H130" s="11" t="s">
        <v>162</v>
      </c>
      <c r="I130" s="11" t="s">
        <v>781</v>
      </c>
      <c r="J130" s="99" t="s">
        <v>1340</v>
      </c>
      <c r="K130" s="11" t="s">
        <v>710</v>
      </c>
      <c r="L130" s="11">
        <v>13.0</v>
      </c>
      <c r="M130" s="11">
        <f t="shared" si="2"/>
        <v>16</v>
      </c>
      <c r="N130" s="11" t="str">
        <f>VLOOKUP($G130, 'ADP Data'!$B$4:$Q$300, 6, FALSE)</f>
        <v>#N/A</v>
      </c>
      <c r="O130" s="11" t="str">
        <f>VLOOKUP($G130, 'ADP Data'!$B$4:$Q$300, 10, FALSE)</f>
        <v>#N/A</v>
      </c>
      <c r="P130" s="11" t="str">
        <f>VLOOKUP($G130, 'ADP Data'!$B$4:$Q$300, 4, FALSE)</f>
        <v>#N/A</v>
      </c>
      <c r="Q130" s="11" t="str">
        <f>VLOOKUP($G130, 'ADP Data'!$B$4:$Q$300, 5, FALSE)</f>
        <v>#N/A</v>
      </c>
      <c r="R130" s="11" t="str">
        <f>VLOOKUP($G130, 'ADP Data'!$B$4:$Q$300, 7, FALSE)</f>
        <v>#N/A</v>
      </c>
      <c r="S130" s="11" t="str">
        <f>VLOOKUP($G130, 'ADP Data'!$B$4:$Q$300, 8, FALSE)</f>
        <v>#N/A</v>
      </c>
      <c r="T130" s="11" t="str">
        <f>VLOOKUP($G130, 'ADP Data'!$B$4:$Q$300, 9, FALSE)</f>
        <v>#N/A</v>
      </c>
      <c r="U130" s="11" t="str">
        <f t="shared" si="3"/>
        <v>#N/A</v>
      </c>
      <c r="V130" s="11"/>
    </row>
    <row r="131" ht="14.25" customHeight="1">
      <c r="A131" s="11"/>
      <c r="B131" s="11" t="str">
        <f t="shared" si="1"/>
        <v>#N/A</v>
      </c>
      <c r="C131" s="11" t="s">
        <v>106</v>
      </c>
      <c r="D131" s="11"/>
      <c r="E131" s="11"/>
      <c r="F131" s="11"/>
      <c r="G131" s="11" t="s">
        <v>513</v>
      </c>
      <c r="H131" s="11" t="s">
        <v>109</v>
      </c>
      <c r="I131" s="11" t="s">
        <v>785</v>
      </c>
      <c r="J131" s="99">
        <v>5.0</v>
      </c>
      <c r="K131" s="11"/>
      <c r="L131" s="11"/>
      <c r="M131" s="11">
        <f t="shared" si="2"/>
        <v>16</v>
      </c>
      <c r="N131" s="11" t="str">
        <f>VLOOKUP($G131, 'ADP Data'!$B$4:$Q$300, 6, FALSE)</f>
        <v>#N/A</v>
      </c>
      <c r="O131" s="11" t="str">
        <f>VLOOKUP($G131, 'ADP Data'!$B$4:$Q$300, 10, FALSE)</f>
        <v>#N/A</v>
      </c>
      <c r="P131" s="11" t="str">
        <f>VLOOKUP($G131, 'ADP Data'!$B$4:$Q$300, 4, FALSE)</f>
        <v>#N/A</v>
      </c>
      <c r="Q131" s="11" t="str">
        <f>VLOOKUP($G131, 'ADP Data'!$B$4:$Q$300, 5, FALSE)</f>
        <v>#N/A</v>
      </c>
      <c r="R131" s="11" t="str">
        <f>VLOOKUP($G131, 'ADP Data'!$B$4:$Q$300, 7, FALSE)</f>
        <v>#N/A</v>
      </c>
      <c r="S131" s="11" t="str">
        <f>VLOOKUP($G131, 'ADP Data'!$B$4:$Q$300, 8, FALSE)</f>
        <v>#N/A</v>
      </c>
      <c r="T131" s="11" t="str">
        <f>VLOOKUP($G131, 'ADP Data'!$B$4:$Q$300, 9, FALSE)</f>
        <v>#N/A</v>
      </c>
      <c r="U131" s="11" t="str">
        <f t="shared" si="3"/>
        <v>#N/A</v>
      </c>
      <c r="V131" s="11"/>
    </row>
    <row r="132" ht="14.25" customHeight="1">
      <c r="A132" s="11"/>
      <c r="B132" s="11" t="str">
        <f t="shared" si="1"/>
        <v>#N/A</v>
      </c>
      <c r="C132" s="11" t="s">
        <v>106</v>
      </c>
      <c r="D132" s="11"/>
      <c r="E132" s="11"/>
      <c r="F132" s="11"/>
      <c r="G132" s="11" t="s">
        <v>1482</v>
      </c>
      <c r="H132" s="11" t="s">
        <v>98</v>
      </c>
      <c r="I132" s="11" t="s">
        <v>775</v>
      </c>
      <c r="J132" s="99" t="s">
        <v>1483</v>
      </c>
      <c r="K132" s="11" t="s">
        <v>1460</v>
      </c>
      <c r="L132" s="11">
        <v>52.0</v>
      </c>
      <c r="M132" s="11">
        <f t="shared" si="2"/>
        <v>16</v>
      </c>
      <c r="N132" s="11" t="str">
        <f>VLOOKUP($G132, 'ADP Data'!$B$4:$Q$300, 6, FALSE)</f>
        <v>#N/A</v>
      </c>
      <c r="O132" s="11" t="str">
        <f>VLOOKUP($G132, 'ADP Data'!$B$4:$Q$300, 10, FALSE)</f>
        <v>#N/A</v>
      </c>
      <c r="P132" s="11" t="str">
        <f>VLOOKUP($G132, 'ADP Data'!$B$4:$Q$300, 4, FALSE)</f>
        <v>#N/A</v>
      </c>
      <c r="Q132" s="11" t="str">
        <f>VLOOKUP($G132, 'ADP Data'!$B$4:$Q$300, 5, FALSE)</f>
        <v>#N/A</v>
      </c>
      <c r="R132" s="11" t="str">
        <f>VLOOKUP($G132, 'ADP Data'!$B$4:$Q$300, 7, FALSE)</f>
        <v>#N/A</v>
      </c>
      <c r="S132" s="11" t="str">
        <f>VLOOKUP($G132, 'ADP Data'!$B$4:$Q$300, 8, FALSE)</f>
        <v>#N/A</v>
      </c>
      <c r="T132" s="11" t="str">
        <f>VLOOKUP($G132, 'ADP Data'!$B$4:$Q$300, 9, FALSE)</f>
        <v>#N/A</v>
      </c>
      <c r="U132" s="11" t="str">
        <f t="shared" si="3"/>
        <v>#N/A</v>
      </c>
      <c r="V132" s="11"/>
    </row>
    <row r="133" ht="14.25" customHeight="1">
      <c r="A133" s="11"/>
      <c r="B133" s="11" t="str">
        <f t="shared" si="1"/>
        <v>#N/A</v>
      </c>
      <c r="C133" s="11" t="s">
        <v>106</v>
      </c>
      <c r="D133" s="11"/>
      <c r="E133" s="11"/>
      <c r="F133" s="11"/>
      <c r="G133" s="11" t="s">
        <v>212</v>
      </c>
      <c r="H133" s="11" t="s">
        <v>45</v>
      </c>
      <c r="I133" s="11" t="s">
        <v>770</v>
      </c>
      <c r="J133" s="99" t="s">
        <v>1327</v>
      </c>
      <c r="K133" s="11" t="s">
        <v>1396</v>
      </c>
      <c r="L133" s="11">
        <v>15.0</v>
      </c>
      <c r="M133" s="11">
        <f t="shared" si="2"/>
        <v>16</v>
      </c>
      <c r="N133" s="11" t="str">
        <f>VLOOKUP($G133, 'ADP Data'!$B$4:$Q$300, 6, FALSE)</f>
        <v>#N/A</v>
      </c>
      <c r="O133" s="11" t="str">
        <f>VLOOKUP($G133, 'ADP Data'!$B$4:$Q$300, 10, FALSE)</f>
        <v>#N/A</v>
      </c>
      <c r="P133" s="11" t="str">
        <f>VLOOKUP($G133, 'ADP Data'!$B$4:$Q$300, 4, FALSE)</f>
        <v>#N/A</v>
      </c>
      <c r="Q133" s="11" t="str">
        <f>VLOOKUP($G133, 'ADP Data'!$B$4:$Q$300, 5, FALSE)</f>
        <v>#N/A</v>
      </c>
      <c r="R133" s="11" t="str">
        <f>VLOOKUP($G133, 'ADP Data'!$B$4:$Q$300, 7, FALSE)</f>
        <v>#N/A</v>
      </c>
      <c r="S133" s="11" t="str">
        <f>VLOOKUP($G133, 'ADP Data'!$B$4:$Q$300, 8, FALSE)</f>
        <v>#N/A</v>
      </c>
      <c r="T133" s="11" t="str">
        <f>VLOOKUP($G133, 'ADP Data'!$B$4:$Q$300, 9, FALSE)</f>
        <v>#N/A</v>
      </c>
      <c r="U133" s="11" t="str">
        <f t="shared" si="3"/>
        <v>#N/A</v>
      </c>
      <c r="V133" s="11"/>
    </row>
    <row r="134" ht="14.25" customHeight="1">
      <c r="A134" s="11"/>
      <c r="B134" s="11" t="str">
        <f t="shared" si="1"/>
        <v>#N/A</v>
      </c>
      <c r="C134" s="11" t="s">
        <v>106</v>
      </c>
      <c r="D134" s="11"/>
      <c r="E134" s="11"/>
      <c r="F134" s="11"/>
      <c r="G134" s="11" t="s">
        <v>1206</v>
      </c>
      <c r="H134" s="11" t="s">
        <v>192</v>
      </c>
      <c r="I134" s="11" t="s">
        <v>772</v>
      </c>
      <c r="J134" s="99" t="s">
        <v>1431</v>
      </c>
      <c r="K134" s="11" t="s">
        <v>1488</v>
      </c>
      <c r="L134" s="11">
        <v>45.0</v>
      </c>
      <c r="M134" s="11">
        <f t="shared" si="2"/>
        <v>16</v>
      </c>
      <c r="N134" s="11" t="str">
        <f>VLOOKUP($G134, 'ADP Data'!$B$4:$Q$300, 6, FALSE)</f>
        <v>#N/A</v>
      </c>
      <c r="O134" s="11" t="str">
        <f>VLOOKUP($G134, 'ADP Data'!$B$4:$Q$300, 10, FALSE)</f>
        <v>#N/A</v>
      </c>
      <c r="P134" s="11" t="str">
        <f>VLOOKUP($G134, 'ADP Data'!$B$4:$Q$300, 4, FALSE)</f>
        <v>#N/A</v>
      </c>
      <c r="Q134" s="11" t="str">
        <f>VLOOKUP($G134, 'ADP Data'!$B$4:$Q$300, 5, FALSE)</f>
        <v>#N/A</v>
      </c>
      <c r="R134" s="11" t="str">
        <f>VLOOKUP($G134, 'ADP Data'!$B$4:$Q$300, 7, FALSE)</f>
        <v>#N/A</v>
      </c>
      <c r="S134" s="11" t="str">
        <f>VLOOKUP($G134, 'ADP Data'!$B$4:$Q$300, 8, FALSE)</f>
        <v>#N/A</v>
      </c>
      <c r="T134" s="11" t="str">
        <f>VLOOKUP($G134, 'ADP Data'!$B$4:$Q$300, 9, FALSE)</f>
        <v>#N/A</v>
      </c>
      <c r="U134" s="11" t="str">
        <f t="shared" si="3"/>
        <v>#N/A</v>
      </c>
      <c r="V134" s="11"/>
    </row>
    <row r="135" ht="14.25" customHeight="1">
      <c r="A135" s="11"/>
      <c r="B135" s="11" t="str">
        <f t="shared" si="1"/>
        <v>#N/A</v>
      </c>
      <c r="C135" s="11" t="s">
        <v>106</v>
      </c>
      <c r="D135" s="11"/>
      <c r="E135" s="11"/>
      <c r="F135" s="11"/>
      <c r="G135" s="11" t="s">
        <v>255</v>
      </c>
      <c r="H135" s="11" t="s">
        <v>71</v>
      </c>
      <c r="I135" s="11" t="s">
        <v>772</v>
      </c>
      <c r="J135" s="99" t="s">
        <v>1438</v>
      </c>
      <c r="K135" s="11" t="s">
        <v>1493</v>
      </c>
      <c r="L135" s="11">
        <v>46.0</v>
      </c>
      <c r="M135" s="11">
        <f t="shared" si="2"/>
        <v>16</v>
      </c>
      <c r="N135" s="11" t="str">
        <f>VLOOKUP($G135, 'ADP Data'!$B$4:$Q$300, 6, FALSE)</f>
        <v>#N/A</v>
      </c>
      <c r="O135" s="11" t="str">
        <f>VLOOKUP($G135, 'ADP Data'!$B$4:$Q$300, 10, FALSE)</f>
        <v>#N/A</v>
      </c>
      <c r="P135" s="11" t="str">
        <f>VLOOKUP($G135, 'ADP Data'!$B$4:$Q$300, 4, FALSE)</f>
        <v>#N/A</v>
      </c>
      <c r="Q135" s="11" t="str">
        <f>VLOOKUP($G135, 'ADP Data'!$B$4:$Q$300, 5, FALSE)</f>
        <v>#N/A</v>
      </c>
      <c r="R135" s="11" t="str">
        <f>VLOOKUP($G135, 'ADP Data'!$B$4:$Q$300, 7, FALSE)</f>
        <v>#N/A</v>
      </c>
      <c r="S135" s="11" t="str">
        <f>VLOOKUP($G135, 'ADP Data'!$B$4:$Q$300, 8, FALSE)</f>
        <v>#N/A</v>
      </c>
      <c r="T135" s="11" t="str">
        <f>VLOOKUP($G135, 'ADP Data'!$B$4:$Q$300, 9, FALSE)</f>
        <v>#N/A</v>
      </c>
      <c r="U135" s="11" t="str">
        <f t="shared" si="3"/>
        <v>#N/A</v>
      </c>
      <c r="V135" s="11"/>
    </row>
    <row r="136" ht="14.25" customHeight="1">
      <c r="A136" s="11"/>
      <c r="B136" s="11" t="str">
        <f t="shared" si="1"/>
        <v>#N/A</v>
      </c>
      <c r="C136" s="11" t="s">
        <v>106</v>
      </c>
      <c r="D136" s="11"/>
      <c r="E136" s="11"/>
      <c r="F136" s="11"/>
      <c r="G136" s="11" t="s">
        <v>1494</v>
      </c>
      <c r="H136" s="11" t="s">
        <v>148</v>
      </c>
      <c r="I136" s="11" t="s">
        <v>772</v>
      </c>
      <c r="J136" s="99" t="s">
        <v>1495</v>
      </c>
      <c r="K136" s="11" t="s">
        <v>1488</v>
      </c>
      <c r="L136" s="11">
        <v>47.0</v>
      </c>
      <c r="M136" s="11">
        <f t="shared" si="2"/>
        <v>16</v>
      </c>
      <c r="N136" s="11" t="str">
        <f>VLOOKUP($G136, 'ADP Data'!$B$4:$Q$300, 6, FALSE)</f>
        <v>#N/A</v>
      </c>
      <c r="O136" s="11" t="str">
        <f>VLOOKUP($G136, 'ADP Data'!$B$4:$Q$300, 10, FALSE)</f>
        <v>#N/A</v>
      </c>
      <c r="P136" s="11" t="str">
        <f>VLOOKUP($G136, 'ADP Data'!$B$4:$Q$300, 4, FALSE)</f>
        <v>#N/A</v>
      </c>
      <c r="Q136" s="11" t="str">
        <f>VLOOKUP($G136, 'ADP Data'!$B$4:$Q$300, 5, FALSE)</f>
        <v>#N/A</v>
      </c>
      <c r="R136" s="11" t="str">
        <f>VLOOKUP($G136, 'ADP Data'!$B$4:$Q$300, 7, FALSE)</f>
        <v>#N/A</v>
      </c>
      <c r="S136" s="11" t="str">
        <f>VLOOKUP($G136, 'ADP Data'!$B$4:$Q$300, 8, FALSE)</f>
        <v>#N/A</v>
      </c>
      <c r="T136" s="11" t="str">
        <f>VLOOKUP($G136, 'ADP Data'!$B$4:$Q$300, 9, FALSE)</f>
        <v>#N/A</v>
      </c>
      <c r="U136" s="11" t="str">
        <f t="shared" si="3"/>
        <v>#N/A</v>
      </c>
      <c r="V136" s="11"/>
    </row>
    <row r="137" ht="14.25" customHeight="1">
      <c r="A137" s="11"/>
      <c r="B137" s="11" t="str">
        <f t="shared" si="1"/>
        <v>#N/A</v>
      </c>
      <c r="C137" s="11" t="s">
        <v>106</v>
      </c>
      <c r="D137" s="11"/>
      <c r="E137" s="11">
        <v>1.0</v>
      </c>
      <c r="F137" s="11"/>
      <c r="G137" s="11" t="s">
        <v>268</v>
      </c>
      <c r="H137" s="11" t="s">
        <v>206</v>
      </c>
      <c r="I137" s="11" t="s">
        <v>770</v>
      </c>
      <c r="J137" s="99" t="s">
        <v>1340</v>
      </c>
      <c r="K137" s="11" t="s">
        <v>1396</v>
      </c>
      <c r="L137" s="11">
        <v>16.0</v>
      </c>
      <c r="M137" s="11">
        <f t="shared" si="2"/>
        <v>16</v>
      </c>
      <c r="N137" s="11" t="str">
        <f>VLOOKUP($G137, 'ADP Data'!$B$4:$Q$300, 6, FALSE)</f>
        <v>#N/A</v>
      </c>
      <c r="O137" s="11" t="str">
        <f>VLOOKUP($G137, 'ADP Data'!$B$4:$Q$300, 10, FALSE)</f>
        <v>#N/A</v>
      </c>
      <c r="P137" s="11" t="str">
        <f>VLOOKUP($G137, 'ADP Data'!$B$4:$Q$300, 4, FALSE)</f>
        <v>#N/A</v>
      </c>
      <c r="Q137" s="11" t="str">
        <f>VLOOKUP($G137, 'ADP Data'!$B$4:$Q$300, 5, FALSE)</f>
        <v>#N/A</v>
      </c>
      <c r="R137" s="11" t="str">
        <f>VLOOKUP($G137, 'ADP Data'!$B$4:$Q$300, 7, FALSE)</f>
        <v>#N/A</v>
      </c>
      <c r="S137" s="11" t="str">
        <f>VLOOKUP($G137, 'ADP Data'!$B$4:$Q$300, 8, FALSE)</f>
        <v>#N/A</v>
      </c>
      <c r="T137" s="11" t="str">
        <f>VLOOKUP($G137, 'ADP Data'!$B$4:$Q$300, 9, FALSE)</f>
        <v>#N/A</v>
      </c>
      <c r="U137" s="11" t="str">
        <f t="shared" si="3"/>
        <v>#N/A</v>
      </c>
      <c r="V137" s="11" t="s">
        <v>1497</v>
      </c>
    </row>
    <row r="138" ht="14.25" customHeight="1">
      <c r="A138" s="11"/>
      <c r="B138" s="11" t="str">
        <f t="shared" si="1"/>
        <v>#N/A</v>
      </c>
      <c r="C138" s="11" t="s">
        <v>106</v>
      </c>
      <c r="D138" s="11"/>
      <c r="E138" s="11">
        <v>1.0</v>
      </c>
      <c r="F138" s="11"/>
      <c r="G138" s="11" t="s">
        <v>1172</v>
      </c>
      <c r="H138" s="11" t="s">
        <v>94</v>
      </c>
      <c r="I138" s="11" t="s">
        <v>775</v>
      </c>
      <c r="J138" s="99" t="s">
        <v>1498</v>
      </c>
      <c r="K138" s="11" t="s">
        <v>1477</v>
      </c>
      <c r="L138" s="11">
        <v>53.0</v>
      </c>
      <c r="M138" s="11">
        <f t="shared" si="2"/>
        <v>16</v>
      </c>
      <c r="N138" s="11" t="str">
        <f>VLOOKUP($G138, 'ADP Data'!$B$4:$Q$300, 6, FALSE)</f>
        <v>#N/A</v>
      </c>
      <c r="O138" s="11" t="str">
        <f>VLOOKUP($G138, 'ADP Data'!$B$4:$Q$300, 10, FALSE)</f>
        <v>#N/A</v>
      </c>
      <c r="P138" s="11" t="str">
        <f>VLOOKUP($G138, 'ADP Data'!$B$4:$Q$300, 4, FALSE)</f>
        <v>#N/A</v>
      </c>
      <c r="Q138" s="11" t="str">
        <f>VLOOKUP($G138, 'ADP Data'!$B$4:$Q$300, 5, FALSE)</f>
        <v>#N/A</v>
      </c>
      <c r="R138" s="11" t="str">
        <f>VLOOKUP($G138, 'ADP Data'!$B$4:$Q$300, 7, FALSE)</f>
        <v>#N/A</v>
      </c>
      <c r="S138" s="11" t="str">
        <f>VLOOKUP($G138, 'ADP Data'!$B$4:$Q$300, 8, FALSE)</f>
        <v>#N/A</v>
      </c>
      <c r="T138" s="11" t="str">
        <f>VLOOKUP($G138, 'ADP Data'!$B$4:$Q$300, 9, FALSE)</f>
        <v>#N/A</v>
      </c>
      <c r="U138" s="11" t="str">
        <f t="shared" si="3"/>
        <v>#N/A</v>
      </c>
      <c r="V138" s="11" t="s">
        <v>1500</v>
      </c>
    </row>
    <row r="139" ht="14.25" customHeight="1">
      <c r="A139" s="11"/>
      <c r="B139" s="11" t="str">
        <f t="shared" si="1"/>
        <v>#N/A</v>
      </c>
      <c r="C139" s="11" t="s">
        <v>106</v>
      </c>
      <c r="D139" s="11">
        <v>2.0</v>
      </c>
      <c r="E139" s="11">
        <v>1.0</v>
      </c>
      <c r="F139" s="11"/>
      <c r="G139" s="11" t="s">
        <v>910</v>
      </c>
      <c r="H139" s="11" t="s">
        <v>116</v>
      </c>
      <c r="I139" s="11" t="s">
        <v>781</v>
      </c>
      <c r="J139" s="99" t="s">
        <v>1349</v>
      </c>
      <c r="K139" s="11" t="s">
        <v>710</v>
      </c>
      <c r="L139" s="11">
        <v>10.0</v>
      </c>
      <c r="M139" s="11">
        <f t="shared" si="2"/>
        <v>16</v>
      </c>
      <c r="N139" s="11" t="str">
        <f>VLOOKUP($G139, 'ADP Data'!$B$4:$Q$300, 6, FALSE)</f>
        <v>#N/A</v>
      </c>
      <c r="O139" s="11" t="str">
        <f>VLOOKUP($G139, 'ADP Data'!$B$4:$Q$300, 10, FALSE)</f>
        <v>#N/A</v>
      </c>
      <c r="P139" s="11" t="str">
        <f>VLOOKUP($G139, 'ADP Data'!$B$4:$Q$300, 4, FALSE)</f>
        <v>#N/A</v>
      </c>
      <c r="Q139" s="11" t="str">
        <f>VLOOKUP($G139, 'ADP Data'!$B$4:$Q$300, 5, FALSE)</f>
        <v>#N/A</v>
      </c>
      <c r="R139" s="11" t="str">
        <f>VLOOKUP($G139, 'ADP Data'!$B$4:$Q$300, 7, FALSE)</f>
        <v>#N/A</v>
      </c>
      <c r="S139" s="11" t="str">
        <f>VLOOKUP($G139, 'ADP Data'!$B$4:$Q$300, 8, FALSE)</f>
        <v>#N/A</v>
      </c>
      <c r="T139" s="11" t="str">
        <f>VLOOKUP($G139, 'ADP Data'!$B$4:$Q$300, 9, FALSE)</f>
        <v>#N/A</v>
      </c>
      <c r="U139" s="11" t="str">
        <f t="shared" si="3"/>
        <v>#N/A</v>
      </c>
      <c r="V139" s="11" t="s">
        <v>1503</v>
      </c>
    </row>
    <row r="140" ht="14.25" customHeight="1">
      <c r="A140" s="11"/>
      <c r="B140" s="11" t="str">
        <f t="shared" si="1"/>
        <v>#N/A</v>
      </c>
      <c r="C140" s="11" t="s">
        <v>106</v>
      </c>
      <c r="D140" s="11"/>
      <c r="E140" s="11"/>
      <c r="F140" s="11"/>
      <c r="G140" s="11" t="s">
        <v>1223</v>
      </c>
      <c r="H140" s="11" t="s">
        <v>102</v>
      </c>
      <c r="I140" s="11" t="s">
        <v>772</v>
      </c>
      <c r="J140" s="99" t="s">
        <v>1505</v>
      </c>
      <c r="K140" s="11" t="s">
        <v>1493</v>
      </c>
      <c r="L140" s="11">
        <v>48.0</v>
      </c>
      <c r="M140" s="11">
        <f t="shared" si="2"/>
        <v>16</v>
      </c>
      <c r="N140" s="11" t="str">
        <f>VLOOKUP($G140, 'ADP Data'!$B$4:$Q$300, 6, FALSE)</f>
        <v>#N/A</v>
      </c>
      <c r="O140" s="11" t="str">
        <f>VLOOKUP($G140, 'ADP Data'!$B$4:$Q$300, 10, FALSE)</f>
        <v>#N/A</v>
      </c>
      <c r="P140" s="11" t="str">
        <f>VLOOKUP($G140, 'ADP Data'!$B$4:$Q$300, 4, FALSE)</f>
        <v>#N/A</v>
      </c>
      <c r="Q140" s="11" t="str">
        <f>VLOOKUP($G140, 'ADP Data'!$B$4:$Q$300, 5, FALSE)</f>
        <v>#N/A</v>
      </c>
      <c r="R140" s="11" t="str">
        <f>VLOOKUP($G140, 'ADP Data'!$B$4:$Q$300, 7, FALSE)</f>
        <v>#N/A</v>
      </c>
      <c r="S140" s="11" t="str">
        <f>VLOOKUP($G140, 'ADP Data'!$B$4:$Q$300, 8, FALSE)</f>
        <v>#N/A</v>
      </c>
      <c r="T140" s="11" t="str">
        <f>VLOOKUP($G140, 'ADP Data'!$B$4:$Q$300, 9, FALSE)</f>
        <v>#N/A</v>
      </c>
      <c r="U140" s="11" t="str">
        <f t="shared" si="3"/>
        <v>#N/A</v>
      </c>
      <c r="V140" s="11"/>
    </row>
    <row r="141" ht="14.25" customHeight="1">
      <c r="A141" s="11"/>
      <c r="B141" s="11" t="str">
        <f t="shared" si="1"/>
        <v>#N/A</v>
      </c>
      <c r="C141" s="11" t="s">
        <v>106</v>
      </c>
      <c r="D141" s="11"/>
      <c r="E141" s="11">
        <v>1.0</v>
      </c>
      <c r="F141" s="11"/>
      <c r="G141" s="11" t="s">
        <v>651</v>
      </c>
      <c r="H141" s="11" t="s">
        <v>75</v>
      </c>
      <c r="I141" s="11" t="s">
        <v>770</v>
      </c>
      <c r="J141" s="99" t="s">
        <v>1344</v>
      </c>
      <c r="K141" s="11" t="s">
        <v>1399</v>
      </c>
      <c r="L141" s="11">
        <v>17.0</v>
      </c>
      <c r="M141" s="11">
        <f t="shared" si="2"/>
        <v>16</v>
      </c>
      <c r="N141" s="11" t="str">
        <f>VLOOKUP($G141, 'ADP Data'!$B$4:$Q$300, 6, FALSE)</f>
        <v>#N/A</v>
      </c>
      <c r="O141" s="11" t="str">
        <f>VLOOKUP($G141, 'ADP Data'!$B$4:$Q$300, 10, FALSE)</f>
        <v>#N/A</v>
      </c>
      <c r="P141" s="11" t="str">
        <f>VLOOKUP($G141, 'ADP Data'!$B$4:$Q$300, 4, FALSE)</f>
        <v>#N/A</v>
      </c>
      <c r="Q141" s="11" t="str">
        <f>VLOOKUP($G141, 'ADP Data'!$B$4:$Q$300, 5, FALSE)</f>
        <v>#N/A</v>
      </c>
      <c r="R141" s="11" t="str">
        <f>VLOOKUP($G141, 'ADP Data'!$B$4:$Q$300, 7, FALSE)</f>
        <v>#N/A</v>
      </c>
      <c r="S141" s="11" t="str">
        <f>VLOOKUP($G141, 'ADP Data'!$B$4:$Q$300, 8, FALSE)</f>
        <v>#N/A</v>
      </c>
      <c r="T141" s="11" t="str">
        <f>VLOOKUP($G141, 'ADP Data'!$B$4:$Q$300, 9, FALSE)</f>
        <v>#N/A</v>
      </c>
      <c r="U141" s="11" t="str">
        <f t="shared" si="3"/>
        <v>#N/A</v>
      </c>
      <c r="V141" s="11" t="s">
        <v>1509</v>
      </c>
    </row>
    <row r="142" ht="14.25" customHeight="1">
      <c r="A142" s="11" t="s">
        <v>1156</v>
      </c>
      <c r="B142" s="11" t="str">
        <f t="shared" si="1"/>
        <v>#N/A</v>
      </c>
      <c r="C142" s="11" t="s">
        <v>106</v>
      </c>
      <c r="D142" s="11">
        <v>3.0</v>
      </c>
      <c r="E142" s="11">
        <v>1.0</v>
      </c>
      <c r="F142" s="11"/>
      <c r="G142" s="11" t="s">
        <v>1157</v>
      </c>
      <c r="H142" s="11" t="s">
        <v>58</v>
      </c>
      <c r="I142" s="11" t="s">
        <v>770</v>
      </c>
      <c r="J142" s="99" t="s">
        <v>1352</v>
      </c>
      <c r="K142" s="11" t="s">
        <v>1396</v>
      </c>
      <c r="L142" s="11">
        <v>18.0</v>
      </c>
      <c r="M142" s="11">
        <f t="shared" si="2"/>
        <v>16</v>
      </c>
      <c r="N142" s="11" t="str">
        <f>VLOOKUP($G142, 'ADP Data'!$B$4:$Q$300, 6, FALSE)</f>
        <v>#N/A</v>
      </c>
      <c r="O142" s="11" t="str">
        <f>VLOOKUP($G142, 'ADP Data'!$B$4:$Q$300, 10, FALSE)</f>
        <v>#N/A</v>
      </c>
      <c r="P142" s="11" t="str">
        <f>VLOOKUP($G142, 'ADP Data'!$B$4:$Q$300, 4, FALSE)</f>
        <v>#N/A</v>
      </c>
      <c r="Q142" s="11" t="str">
        <f>VLOOKUP($G142, 'ADP Data'!$B$4:$Q$300, 5, FALSE)</f>
        <v>#N/A</v>
      </c>
      <c r="R142" s="11" t="str">
        <f>VLOOKUP($G142, 'ADP Data'!$B$4:$Q$300, 7, FALSE)</f>
        <v>#N/A</v>
      </c>
      <c r="S142" s="11" t="str">
        <f>VLOOKUP($G142, 'ADP Data'!$B$4:$Q$300, 8, FALSE)</f>
        <v>#N/A</v>
      </c>
      <c r="T142" s="11" t="str">
        <f>VLOOKUP($G142, 'ADP Data'!$B$4:$Q$300, 9, FALSE)</f>
        <v>#N/A</v>
      </c>
      <c r="U142" s="11" t="str">
        <f t="shared" si="3"/>
        <v>#N/A</v>
      </c>
      <c r="V142" s="11"/>
    </row>
    <row r="143" ht="14.25" customHeight="1">
      <c r="A143" s="11"/>
      <c r="B143" s="11" t="str">
        <f t="shared" si="1"/>
        <v>#N/A</v>
      </c>
      <c r="C143" s="11" t="s">
        <v>106</v>
      </c>
      <c r="D143" s="11"/>
      <c r="E143" s="11">
        <v>1.0</v>
      </c>
      <c r="F143" s="11"/>
      <c r="G143" s="11" t="s">
        <v>1512</v>
      </c>
      <c r="H143" s="11" t="s">
        <v>116</v>
      </c>
      <c r="I143" s="11" t="s">
        <v>775</v>
      </c>
      <c r="J143" s="99" t="s">
        <v>1513</v>
      </c>
      <c r="K143" s="11" t="s">
        <v>1477</v>
      </c>
      <c r="L143" s="11">
        <v>54.0</v>
      </c>
      <c r="M143" s="11">
        <f t="shared" si="2"/>
        <v>16</v>
      </c>
      <c r="N143" s="11" t="str">
        <f>VLOOKUP($G143, 'ADP Data'!$B$4:$Q$300, 6, FALSE)</f>
        <v>#N/A</v>
      </c>
      <c r="O143" s="11" t="str">
        <f>VLOOKUP($G143, 'ADP Data'!$B$4:$Q$300, 10, FALSE)</f>
        <v>#N/A</v>
      </c>
      <c r="P143" s="11" t="str">
        <f>VLOOKUP($G143, 'ADP Data'!$B$4:$Q$300, 4, FALSE)</f>
        <v>#N/A</v>
      </c>
      <c r="Q143" s="11" t="str">
        <f>VLOOKUP($G143, 'ADP Data'!$B$4:$Q$300, 5, FALSE)</f>
        <v>#N/A</v>
      </c>
      <c r="R143" s="11" t="str">
        <f>VLOOKUP($G143, 'ADP Data'!$B$4:$Q$300, 7, FALSE)</f>
        <v>#N/A</v>
      </c>
      <c r="S143" s="11" t="str">
        <f>VLOOKUP($G143, 'ADP Data'!$B$4:$Q$300, 8, FALSE)</f>
        <v>#N/A</v>
      </c>
      <c r="T143" s="11" t="str">
        <f>VLOOKUP($G143, 'ADP Data'!$B$4:$Q$300, 9, FALSE)</f>
        <v>#N/A</v>
      </c>
      <c r="U143" s="11" t="str">
        <f t="shared" si="3"/>
        <v>#N/A</v>
      </c>
      <c r="V143" s="11"/>
    </row>
    <row r="144" ht="14.25" customHeight="1">
      <c r="A144" s="11"/>
      <c r="B144" s="11" t="str">
        <f t="shared" si="1"/>
        <v>#N/A</v>
      </c>
      <c r="C144" s="11" t="s">
        <v>106</v>
      </c>
      <c r="D144" s="11"/>
      <c r="E144" s="11"/>
      <c r="F144" s="11"/>
      <c r="G144" s="11" t="s">
        <v>1517</v>
      </c>
      <c r="H144" s="11" t="s">
        <v>237</v>
      </c>
      <c r="I144" s="11" t="s">
        <v>770</v>
      </c>
      <c r="J144" s="99" t="s">
        <v>1356</v>
      </c>
      <c r="K144" s="11" t="s">
        <v>1399</v>
      </c>
      <c r="L144" s="11">
        <v>19.0</v>
      </c>
      <c r="M144" s="11">
        <f t="shared" si="2"/>
        <v>16</v>
      </c>
      <c r="N144" s="11" t="str">
        <f>VLOOKUP($G144, 'ADP Data'!$B$4:$Q$300, 6, FALSE)</f>
        <v>#N/A</v>
      </c>
      <c r="O144" s="11" t="str">
        <f>VLOOKUP($G144, 'ADP Data'!$B$4:$Q$300, 10, FALSE)</f>
        <v>#N/A</v>
      </c>
      <c r="P144" s="11" t="str">
        <f>VLOOKUP($G144, 'ADP Data'!$B$4:$Q$300, 4, FALSE)</f>
        <v>#N/A</v>
      </c>
      <c r="Q144" s="11" t="str">
        <f>VLOOKUP($G144, 'ADP Data'!$B$4:$Q$300, 5, FALSE)</f>
        <v>#N/A</v>
      </c>
      <c r="R144" s="11" t="str">
        <f>VLOOKUP($G144, 'ADP Data'!$B$4:$Q$300, 7, FALSE)</f>
        <v>#N/A</v>
      </c>
      <c r="S144" s="11" t="str">
        <f>VLOOKUP($G144, 'ADP Data'!$B$4:$Q$300, 8, FALSE)</f>
        <v>#N/A</v>
      </c>
      <c r="T144" s="11" t="str">
        <f>VLOOKUP($G144, 'ADP Data'!$B$4:$Q$300, 9, FALSE)</f>
        <v>#N/A</v>
      </c>
      <c r="U144" s="11" t="str">
        <f t="shared" si="3"/>
        <v>#N/A</v>
      </c>
      <c r="V144" s="11"/>
    </row>
    <row r="145" ht="14.25" customHeight="1">
      <c r="A145" s="11"/>
      <c r="B145" s="11" t="str">
        <f t="shared" si="1"/>
        <v>#N/A</v>
      </c>
      <c r="C145" s="11" t="s">
        <v>106</v>
      </c>
      <c r="D145" s="11"/>
      <c r="E145" s="11"/>
      <c r="F145" s="11"/>
      <c r="G145" s="11" t="s">
        <v>639</v>
      </c>
      <c r="H145" s="11" t="s">
        <v>94</v>
      </c>
      <c r="I145" s="11" t="s">
        <v>770</v>
      </c>
      <c r="J145" s="99" t="s">
        <v>1338</v>
      </c>
      <c r="K145" s="11" t="s">
        <v>1520</v>
      </c>
      <c r="L145" s="11">
        <v>20.0</v>
      </c>
      <c r="M145" s="11">
        <f t="shared" si="2"/>
        <v>16</v>
      </c>
      <c r="N145" s="11" t="str">
        <f>VLOOKUP($G145, 'ADP Data'!$B$4:$Q$300, 6, FALSE)</f>
        <v>#N/A</v>
      </c>
      <c r="O145" s="11" t="str">
        <f>VLOOKUP($G145, 'ADP Data'!$B$4:$Q$300, 10, FALSE)</f>
        <v>#N/A</v>
      </c>
      <c r="P145" s="11" t="str">
        <f>VLOOKUP($G145, 'ADP Data'!$B$4:$Q$300, 4, FALSE)</f>
        <v>#N/A</v>
      </c>
      <c r="Q145" s="11" t="str">
        <f>VLOOKUP($G145, 'ADP Data'!$B$4:$Q$300, 5, FALSE)</f>
        <v>#N/A</v>
      </c>
      <c r="R145" s="11" t="str">
        <f>VLOOKUP($G145, 'ADP Data'!$B$4:$Q$300, 7, FALSE)</f>
        <v>#N/A</v>
      </c>
      <c r="S145" s="11" t="str">
        <f>VLOOKUP($G145, 'ADP Data'!$B$4:$Q$300, 8, FALSE)</f>
        <v>#N/A</v>
      </c>
      <c r="T145" s="11" t="str">
        <f>VLOOKUP($G145, 'ADP Data'!$B$4:$Q$300, 9, FALSE)</f>
        <v>#N/A</v>
      </c>
      <c r="U145" s="11" t="str">
        <f t="shared" si="3"/>
        <v>#N/A</v>
      </c>
      <c r="V145" s="11" t="s">
        <v>1523</v>
      </c>
    </row>
    <row r="146" ht="14.25" customHeight="1">
      <c r="A146" s="11"/>
      <c r="B146" s="11" t="str">
        <f t="shared" si="1"/>
        <v>#N/A</v>
      </c>
      <c r="C146" s="11" t="s">
        <v>106</v>
      </c>
      <c r="D146" s="11"/>
      <c r="E146" s="11"/>
      <c r="F146" s="11"/>
      <c r="G146" s="11" t="s">
        <v>1492</v>
      </c>
      <c r="H146" s="11" t="s">
        <v>116</v>
      </c>
      <c r="I146" s="11" t="s">
        <v>772</v>
      </c>
      <c r="J146" s="99" t="s">
        <v>1476</v>
      </c>
      <c r="K146" s="11" t="s">
        <v>1488</v>
      </c>
      <c r="L146" s="11">
        <v>49.0</v>
      </c>
      <c r="M146" s="11">
        <f t="shared" si="2"/>
        <v>16</v>
      </c>
      <c r="N146" s="11" t="str">
        <f>VLOOKUP($G146, 'ADP Data'!$B$4:$Q$300, 6, FALSE)</f>
        <v>#N/A</v>
      </c>
      <c r="O146" s="11" t="str">
        <f>VLOOKUP($G146, 'ADP Data'!$B$4:$Q$300, 10, FALSE)</f>
        <v>#N/A</v>
      </c>
      <c r="P146" s="11" t="str">
        <f>VLOOKUP($G146, 'ADP Data'!$B$4:$Q$300, 4, FALSE)</f>
        <v>#N/A</v>
      </c>
      <c r="Q146" s="11" t="str">
        <f>VLOOKUP($G146, 'ADP Data'!$B$4:$Q$300, 5, FALSE)</f>
        <v>#N/A</v>
      </c>
      <c r="R146" s="11" t="str">
        <f>VLOOKUP($G146, 'ADP Data'!$B$4:$Q$300, 7, FALSE)</f>
        <v>#N/A</v>
      </c>
      <c r="S146" s="11" t="str">
        <f>VLOOKUP($G146, 'ADP Data'!$B$4:$Q$300, 8, FALSE)</f>
        <v>#N/A</v>
      </c>
      <c r="T146" s="11" t="str">
        <f>VLOOKUP($G146, 'ADP Data'!$B$4:$Q$300, 9, FALSE)</f>
        <v>#N/A</v>
      </c>
      <c r="U146" s="11" t="str">
        <f t="shared" si="3"/>
        <v>#N/A</v>
      </c>
      <c r="V146" s="11"/>
    </row>
    <row r="147" ht="14.25" customHeight="1">
      <c r="A147" s="11"/>
      <c r="B147" s="11" t="str">
        <f t="shared" si="1"/>
        <v>#N/A</v>
      </c>
      <c r="C147" s="11" t="s">
        <v>106</v>
      </c>
      <c r="D147" s="11"/>
      <c r="E147" s="11"/>
      <c r="F147" s="11"/>
      <c r="G147" s="11" t="s">
        <v>676</v>
      </c>
      <c r="H147" s="11" t="s">
        <v>58</v>
      </c>
      <c r="I147" s="11" t="s">
        <v>785</v>
      </c>
      <c r="J147" s="99">
        <v>6.0</v>
      </c>
      <c r="K147" s="11"/>
      <c r="L147" s="11"/>
      <c r="M147" s="11">
        <f t="shared" si="2"/>
        <v>16</v>
      </c>
      <c r="N147" s="11" t="str">
        <f>VLOOKUP($G147, 'ADP Data'!$B$4:$Q$300, 6, FALSE)</f>
        <v>#N/A</v>
      </c>
      <c r="O147" s="11" t="str">
        <f>VLOOKUP($G147, 'ADP Data'!$B$4:$Q$300, 10, FALSE)</f>
        <v>#N/A</v>
      </c>
      <c r="P147" s="11" t="str">
        <f>VLOOKUP($G147, 'ADP Data'!$B$4:$Q$300, 4, FALSE)</f>
        <v>#N/A</v>
      </c>
      <c r="Q147" s="11" t="str">
        <f>VLOOKUP($G147, 'ADP Data'!$B$4:$Q$300, 5, FALSE)</f>
        <v>#N/A</v>
      </c>
      <c r="R147" s="11" t="str">
        <f>VLOOKUP($G147, 'ADP Data'!$B$4:$Q$300, 7, FALSE)</f>
        <v>#N/A</v>
      </c>
      <c r="S147" s="11" t="str">
        <f>VLOOKUP($G147, 'ADP Data'!$B$4:$Q$300, 8, FALSE)</f>
        <v>#N/A</v>
      </c>
      <c r="T147" s="11" t="str">
        <f>VLOOKUP($G147, 'ADP Data'!$B$4:$Q$300, 9, FALSE)</f>
        <v>#N/A</v>
      </c>
      <c r="U147" s="11" t="str">
        <f t="shared" si="3"/>
        <v>#N/A</v>
      </c>
      <c r="V147" s="11"/>
    </row>
    <row r="148" ht="14.25" customHeight="1">
      <c r="A148" s="11"/>
      <c r="B148" s="11" t="str">
        <f t="shared" si="1"/>
        <v>#N/A</v>
      </c>
      <c r="C148" s="11" t="s">
        <v>106</v>
      </c>
      <c r="D148" s="11"/>
      <c r="E148" s="11"/>
      <c r="F148" s="11"/>
      <c r="G148" s="11" t="s">
        <v>1238</v>
      </c>
      <c r="H148" s="11" t="s">
        <v>102</v>
      </c>
      <c r="I148" s="11" t="s">
        <v>775</v>
      </c>
      <c r="J148" s="99" t="s">
        <v>1525</v>
      </c>
      <c r="K148" s="11"/>
      <c r="L148" s="11">
        <v>55.0</v>
      </c>
      <c r="M148" s="11">
        <f t="shared" si="2"/>
        <v>16</v>
      </c>
      <c r="N148" s="11" t="str">
        <f>VLOOKUP($G148, 'ADP Data'!$B$4:$Q$300, 6, FALSE)</f>
        <v>#N/A</v>
      </c>
      <c r="O148" s="11" t="str">
        <f>VLOOKUP($G148, 'ADP Data'!$B$4:$Q$300, 10, FALSE)</f>
        <v>#N/A</v>
      </c>
      <c r="P148" s="11" t="str">
        <f>VLOOKUP($G148, 'ADP Data'!$B$4:$Q$300, 4, FALSE)</f>
        <v>#N/A</v>
      </c>
      <c r="Q148" s="11" t="str">
        <f>VLOOKUP($G148, 'ADP Data'!$B$4:$Q$300, 5, FALSE)</f>
        <v>#N/A</v>
      </c>
      <c r="R148" s="11" t="str">
        <f>VLOOKUP($G148, 'ADP Data'!$B$4:$Q$300, 7, FALSE)</f>
        <v>#N/A</v>
      </c>
      <c r="S148" s="11" t="str">
        <f>VLOOKUP($G148, 'ADP Data'!$B$4:$Q$300, 8, FALSE)</f>
        <v>#N/A</v>
      </c>
      <c r="T148" s="11" t="str">
        <f>VLOOKUP($G148, 'ADP Data'!$B$4:$Q$300, 9, FALSE)</f>
        <v>#N/A</v>
      </c>
      <c r="U148" s="11" t="str">
        <f t="shared" si="3"/>
        <v>#N/A</v>
      </c>
      <c r="V148" s="11" t="s">
        <v>1527</v>
      </c>
    </row>
    <row r="149" ht="14.25" customHeight="1">
      <c r="A149" s="11"/>
      <c r="B149" s="11" t="str">
        <f t="shared" si="1"/>
        <v>#N/A</v>
      </c>
      <c r="C149" s="11" t="s">
        <v>106</v>
      </c>
      <c r="D149" s="11"/>
      <c r="E149" s="11">
        <v>1.0</v>
      </c>
      <c r="F149" s="11" t="s">
        <v>106</v>
      </c>
      <c r="G149" s="11" t="s">
        <v>1279</v>
      </c>
      <c r="H149" s="11" t="s">
        <v>125</v>
      </c>
      <c r="I149" s="11" t="s">
        <v>775</v>
      </c>
      <c r="J149" s="99" t="s">
        <v>1529</v>
      </c>
      <c r="K149" s="11" t="s">
        <v>1460</v>
      </c>
      <c r="L149" s="11">
        <v>56.0</v>
      </c>
      <c r="M149" s="11">
        <f t="shared" si="2"/>
        <v>16</v>
      </c>
      <c r="N149" s="11" t="str">
        <f>VLOOKUP($G149, 'ADP Data'!$B$4:$Q$300, 6, FALSE)</f>
        <v>#N/A</v>
      </c>
      <c r="O149" s="11" t="str">
        <f>VLOOKUP($G149, 'ADP Data'!$B$4:$Q$300, 10, FALSE)</f>
        <v>#N/A</v>
      </c>
      <c r="P149" s="11" t="str">
        <f>VLOOKUP($G149, 'ADP Data'!$B$4:$Q$300, 4, FALSE)</f>
        <v>#N/A</v>
      </c>
      <c r="Q149" s="11" t="str">
        <f>VLOOKUP($G149, 'ADP Data'!$B$4:$Q$300, 5, FALSE)</f>
        <v>#N/A</v>
      </c>
      <c r="R149" s="11" t="str">
        <f>VLOOKUP($G149, 'ADP Data'!$B$4:$Q$300, 7, FALSE)</f>
        <v>#N/A</v>
      </c>
      <c r="S149" s="11" t="str">
        <f>VLOOKUP($G149, 'ADP Data'!$B$4:$Q$300, 8, FALSE)</f>
        <v>#N/A</v>
      </c>
      <c r="T149" s="11" t="str">
        <f>VLOOKUP($G149, 'ADP Data'!$B$4:$Q$300, 9, FALSE)</f>
        <v>#N/A</v>
      </c>
      <c r="U149" s="11" t="str">
        <f t="shared" si="3"/>
        <v>#N/A</v>
      </c>
      <c r="V149" s="11"/>
    </row>
    <row r="150" ht="14.25" customHeight="1">
      <c r="A150" s="11"/>
      <c r="B150" s="11" t="str">
        <f t="shared" si="1"/>
        <v>#N/A</v>
      </c>
      <c r="C150" s="11" t="s">
        <v>106</v>
      </c>
      <c r="D150" s="11"/>
      <c r="E150" s="11"/>
      <c r="F150" s="11"/>
      <c r="G150" s="11" t="s">
        <v>64</v>
      </c>
      <c r="H150" s="11" t="s">
        <v>35</v>
      </c>
      <c r="I150" s="11" t="s">
        <v>775</v>
      </c>
      <c r="J150" s="99" t="s">
        <v>1532</v>
      </c>
      <c r="K150" s="11" t="s">
        <v>1460</v>
      </c>
      <c r="L150" s="11">
        <v>57.0</v>
      </c>
      <c r="M150" s="11">
        <f t="shared" si="2"/>
        <v>16</v>
      </c>
      <c r="N150" s="11" t="str">
        <f>VLOOKUP($G150, 'ADP Data'!$B$4:$Q$300, 6, FALSE)</f>
        <v>#N/A</v>
      </c>
      <c r="O150" s="11" t="str">
        <f>VLOOKUP($G150, 'ADP Data'!$B$4:$Q$300, 10, FALSE)</f>
        <v>#N/A</v>
      </c>
      <c r="P150" s="11" t="str">
        <f>VLOOKUP($G150, 'ADP Data'!$B$4:$Q$300, 4, FALSE)</f>
        <v>#N/A</v>
      </c>
      <c r="Q150" s="11" t="str">
        <f>VLOOKUP($G150, 'ADP Data'!$B$4:$Q$300, 5, FALSE)</f>
        <v>#N/A</v>
      </c>
      <c r="R150" s="11" t="str">
        <f>VLOOKUP($G150, 'ADP Data'!$B$4:$Q$300, 7, FALSE)</f>
        <v>#N/A</v>
      </c>
      <c r="S150" s="11" t="str">
        <f>VLOOKUP($G150, 'ADP Data'!$B$4:$Q$300, 8, FALSE)</f>
        <v>#N/A</v>
      </c>
      <c r="T150" s="11" t="str">
        <f>VLOOKUP($G150, 'ADP Data'!$B$4:$Q$300, 9, FALSE)</f>
        <v>#N/A</v>
      </c>
      <c r="U150" s="11" t="str">
        <f t="shared" si="3"/>
        <v>#N/A</v>
      </c>
      <c r="V150" s="11"/>
    </row>
    <row r="151" ht="14.25" customHeight="1">
      <c r="A151" s="11"/>
      <c r="B151" s="11" t="str">
        <f t="shared" si="1"/>
        <v>#N/A</v>
      </c>
      <c r="C151" s="11" t="s">
        <v>106</v>
      </c>
      <c r="D151" s="11"/>
      <c r="E151" s="11">
        <v>1.0</v>
      </c>
      <c r="F151" s="11"/>
      <c r="G151" s="11" t="s">
        <v>1250</v>
      </c>
      <c r="H151" s="11" t="s">
        <v>49</v>
      </c>
      <c r="I151" s="11" t="s">
        <v>772</v>
      </c>
      <c r="J151" s="99" t="s">
        <v>1533</v>
      </c>
      <c r="K151" s="11" t="s">
        <v>1419</v>
      </c>
      <c r="L151" s="11">
        <v>50.0</v>
      </c>
      <c r="M151" s="11">
        <f t="shared" si="2"/>
        <v>16</v>
      </c>
      <c r="N151" s="11" t="str">
        <f>VLOOKUP($G151, 'ADP Data'!$B$4:$Q$300, 6, FALSE)</f>
        <v>#N/A</v>
      </c>
      <c r="O151" s="11" t="str">
        <f>VLOOKUP($G151, 'ADP Data'!$B$4:$Q$300, 10, FALSE)</f>
        <v>#N/A</v>
      </c>
      <c r="P151" s="11" t="str">
        <f>VLOOKUP($G151, 'ADP Data'!$B$4:$Q$300, 4, FALSE)</f>
        <v>#N/A</v>
      </c>
      <c r="Q151" s="11" t="str">
        <f>VLOOKUP($G151, 'ADP Data'!$B$4:$Q$300, 5, FALSE)</f>
        <v>#N/A</v>
      </c>
      <c r="R151" s="11" t="str">
        <f>VLOOKUP($G151, 'ADP Data'!$B$4:$Q$300, 7, FALSE)</f>
        <v>#N/A</v>
      </c>
      <c r="S151" s="11" t="str">
        <f>VLOOKUP($G151, 'ADP Data'!$B$4:$Q$300, 8, FALSE)</f>
        <v>#N/A</v>
      </c>
      <c r="T151" s="11" t="str">
        <f>VLOOKUP($G151, 'ADP Data'!$B$4:$Q$300, 9, FALSE)</f>
        <v>#N/A</v>
      </c>
      <c r="U151" s="11" t="str">
        <f t="shared" si="3"/>
        <v>#N/A</v>
      </c>
      <c r="V151" s="11" t="s">
        <v>1534</v>
      </c>
    </row>
    <row r="152" ht="14.25" customHeight="1">
      <c r="A152" s="11"/>
      <c r="B152" s="11" t="str">
        <f t="shared" si="1"/>
        <v>#N/A</v>
      </c>
      <c r="C152" s="11" t="s">
        <v>106</v>
      </c>
      <c r="D152" s="11"/>
      <c r="E152" s="11">
        <v>1.0</v>
      </c>
      <c r="F152" s="11"/>
      <c r="G152" s="11" t="s">
        <v>1287</v>
      </c>
      <c r="H152" s="11" t="s">
        <v>128</v>
      </c>
      <c r="I152" s="11" t="s">
        <v>775</v>
      </c>
      <c r="J152" s="99" t="s">
        <v>1535</v>
      </c>
      <c r="K152" s="11" t="s">
        <v>1477</v>
      </c>
      <c r="L152" s="11">
        <v>59.0</v>
      </c>
      <c r="M152" s="11">
        <f t="shared" si="2"/>
        <v>16</v>
      </c>
      <c r="N152" s="11" t="str">
        <f>VLOOKUP($G152, 'ADP Data'!$B$4:$Q$300, 6, FALSE)</f>
        <v>#N/A</v>
      </c>
      <c r="O152" s="11" t="str">
        <f>VLOOKUP($G152, 'ADP Data'!$B$4:$Q$300, 10, FALSE)</f>
        <v>#N/A</v>
      </c>
      <c r="P152" s="11" t="str">
        <f>VLOOKUP($G152, 'ADP Data'!$B$4:$Q$300, 4, FALSE)</f>
        <v>#N/A</v>
      </c>
      <c r="Q152" s="11" t="str">
        <f>VLOOKUP($G152, 'ADP Data'!$B$4:$Q$300, 5, FALSE)</f>
        <v>#N/A</v>
      </c>
      <c r="R152" s="11" t="str">
        <f>VLOOKUP($G152, 'ADP Data'!$B$4:$Q$300, 7, FALSE)</f>
        <v>#N/A</v>
      </c>
      <c r="S152" s="11" t="str">
        <f>VLOOKUP($G152, 'ADP Data'!$B$4:$Q$300, 8, FALSE)</f>
        <v>#N/A</v>
      </c>
      <c r="T152" s="11" t="str">
        <f>VLOOKUP($G152, 'ADP Data'!$B$4:$Q$300, 9, FALSE)</f>
        <v>#N/A</v>
      </c>
      <c r="U152" s="11" t="str">
        <f t="shared" si="3"/>
        <v>#N/A</v>
      </c>
      <c r="V152" s="11" t="s">
        <v>1536</v>
      </c>
    </row>
    <row r="153" ht="14.25" customHeight="1">
      <c r="A153" s="11"/>
      <c r="B153" s="11" t="str">
        <f t="shared" si="1"/>
        <v>#N/A</v>
      </c>
      <c r="C153" s="11" t="s">
        <v>106</v>
      </c>
      <c r="D153" s="11"/>
      <c r="E153" s="11"/>
      <c r="F153" s="11"/>
      <c r="G153" s="11" t="s">
        <v>1281</v>
      </c>
      <c r="H153" s="11" t="s">
        <v>154</v>
      </c>
      <c r="I153" s="11" t="s">
        <v>775</v>
      </c>
      <c r="J153" s="99" t="s">
        <v>1537</v>
      </c>
      <c r="K153" s="11" t="s">
        <v>1538</v>
      </c>
      <c r="L153" s="11">
        <v>60.0</v>
      </c>
      <c r="M153" s="11">
        <f t="shared" si="2"/>
        <v>16</v>
      </c>
      <c r="N153" s="11" t="str">
        <f>VLOOKUP($G153, 'ADP Data'!$B$4:$Q$300, 6, FALSE)</f>
        <v>#N/A</v>
      </c>
      <c r="O153" s="11" t="str">
        <f>VLOOKUP($G153, 'ADP Data'!$B$4:$Q$300, 10, FALSE)</f>
        <v>#N/A</v>
      </c>
      <c r="P153" s="11" t="str">
        <f>VLOOKUP($G153, 'ADP Data'!$B$4:$Q$300, 4, FALSE)</f>
        <v>#N/A</v>
      </c>
      <c r="Q153" s="11" t="str">
        <f>VLOOKUP($G153, 'ADP Data'!$B$4:$Q$300, 5, FALSE)</f>
        <v>#N/A</v>
      </c>
      <c r="R153" s="11" t="str">
        <f>VLOOKUP($G153, 'ADP Data'!$B$4:$Q$300, 7, FALSE)</f>
        <v>#N/A</v>
      </c>
      <c r="S153" s="11" t="str">
        <f>VLOOKUP($G153, 'ADP Data'!$B$4:$Q$300, 8, FALSE)</f>
        <v>#N/A</v>
      </c>
      <c r="T153" s="11" t="str">
        <f>VLOOKUP($G153, 'ADP Data'!$B$4:$Q$300, 9, FALSE)</f>
        <v>#N/A</v>
      </c>
      <c r="U153" s="11" t="str">
        <f t="shared" si="3"/>
        <v>#N/A</v>
      </c>
      <c r="V153" s="11"/>
    </row>
    <row r="154" ht="14.25" customHeight="1">
      <c r="A154" s="11"/>
      <c r="B154" s="11" t="str">
        <f t="shared" si="1"/>
        <v>#N/A</v>
      </c>
      <c r="C154" s="11" t="s">
        <v>106</v>
      </c>
      <c r="D154" s="11"/>
      <c r="E154" s="11">
        <v>1.0</v>
      </c>
      <c r="F154" s="11" t="s">
        <v>106</v>
      </c>
      <c r="G154" s="11" t="s">
        <v>1293</v>
      </c>
      <c r="H154" s="11" t="s">
        <v>40</v>
      </c>
      <c r="I154" s="11" t="s">
        <v>775</v>
      </c>
      <c r="J154" s="99" t="s">
        <v>1539</v>
      </c>
      <c r="K154" s="11" t="s">
        <v>1538</v>
      </c>
      <c r="L154" s="11">
        <v>61.0</v>
      </c>
      <c r="M154" s="11">
        <f t="shared" si="2"/>
        <v>16</v>
      </c>
      <c r="N154" s="11" t="str">
        <f>VLOOKUP($G154, 'ADP Data'!$B$4:$Q$300, 6, FALSE)</f>
        <v>#N/A</v>
      </c>
      <c r="O154" s="11" t="str">
        <f>VLOOKUP($G154, 'ADP Data'!$B$4:$Q$300, 10, FALSE)</f>
        <v>#N/A</v>
      </c>
      <c r="P154" s="11" t="str">
        <f>VLOOKUP($G154, 'ADP Data'!$B$4:$Q$300, 4, FALSE)</f>
        <v>#N/A</v>
      </c>
      <c r="Q154" s="11" t="str">
        <f>VLOOKUP($G154, 'ADP Data'!$B$4:$Q$300, 5, FALSE)</f>
        <v>#N/A</v>
      </c>
      <c r="R154" s="11" t="str">
        <f>VLOOKUP($G154, 'ADP Data'!$B$4:$Q$300, 7, FALSE)</f>
        <v>#N/A</v>
      </c>
      <c r="S154" s="11" t="str">
        <f>VLOOKUP($G154, 'ADP Data'!$B$4:$Q$300, 8, FALSE)</f>
        <v>#N/A</v>
      </c>
      <c r="T154" s="11" t="str">
        <f>VLOOKUP($G154, 'ADP Data'!$B$4:$Q$300, 9, FALSE)</f>
        <v>#N/A</v>
      </c>
      <c r="U154" s="11" t="str">
        <f t="shared" si="3"/>
        <v>#N/A</v>
      </c>
      <c r="V154" s="11" t="s">
        <v>1541</v>
      </c>
    </row>
    <row r="155" ht="14.25" customHeight="1">
      <c r="A155" s="11"/>
      <c r="B155" s="11" t="str">
        <f t="shared" si="1"/>
        <v>#N/A</v>
      </c>
      <c r="C155" s="11" t="s">
        <v>106</v>
      </c>
      <c r="D155" s="11"/>
      <c r="E155" s="11"/>
      <c r="F155" s="11"/>
      <c r="G155" s="11" t="s">
        <v>1229</v>
      </c>
      <c r="H155" s="11" t="s">
        <v>52</v>
      </c>
      <c r="I155" s="11" t="s">
        <v>772</v>
      </c>
      <c r="J155" s="99" t="s">
        <v>1483</v>
      </c>
      <c r="K155" s="11" t="s">
        <v>1450</v>
      </c>
      <c r="L155" s="11">
        <v>51.0</v>
      </c>
      <c r="M155" s="11">
        <f t="shared" si="2"/>
        <v>16</v>
      </c>
      <c r="N155" s="11" t="str">
        <f>VLOOKUP($G155, 'ADP Data'!$B$4:$Q$300, 6, FALSE)</f>
        <v>#N/A</v>
      </c>
      <c r="O155" s="11" t="str">
        <f>VLOOKUP($G155, 'ADP Data'!$B$4:$Q$300, 10, FALSE)</f>
        <v>#N/A</v>
      </c>
      <c r="P155" s="11" t="str">
        <f>VLOOKUP($G155, 'ADP Data'!$B$4:$Q$300, 4, FALSE)</f>
        <v>#N/A</v>
      </c>
      <c r="Q155" s="11" t="str">
        <f>VLOOKUP($G155, 'ADP Data'!$B$4:$Q$300, 5, FALSE)</f>
        <v>#N/A</v>
      </c>
      <c r="R155" s="11" t="str">
        <f>VLOOKUP($G155, 'ADP Data'!$B$4:$Q$300, 7, FALSE)</f>
        <v>#N/A</v>
      </c>
      <c r="S155" s="11" t="str">
        <f>VLOOKUP($G155, 'ADP Data'!$B$4:$Q$300, 8, FALSE)</f>
        <v>#N/A</v>
      </c>
      <c r="T155" s="11" t="str">
        <f>VLOOKUP($G155, 'ADP Data'!$B$4:$Q$300, 9, FALSE)</f>
        <v>#N/A</v>
      </c>
      <c r="U155" s="11" t="str">
        <f t="shared" si="3"/>
        <v>#N/A</v>
      </c>
      <c r="V155" s="11"/>
    </row>
    <row r="156" ht="14.25" customHeight="1">
      <c r="A156" s="11"/>
      <c r="B156" s="11" t="str">
        <f t="shared" si="1"/>
        <v>#N/A</v>
      </c>
      <c r="C156" s="11" t="s">
        <v>106</v>
      </c>
      <c r="D156" s="11"/>
      <c r="E156" s="11"/>
      <c r="F156" s="11"/>
      <c r="G156" s="11" t="s">
        <v>666</v>
      </c>
      <c r="H156" s="11" t="s">
        <v>128</v>
      </c>
      <c r="I156" s="11" t="s">
        <v>781</v>
      </c>
      <c r="J156" s="99" t="s">
        <v>1331</v>
      </c>
      <c r="K156" s="11" t="s">
        <v>710</v>
      </c>
      <c r="L156" s="11">
        <v>14.0</v>
      </c>
      <c r="M156" s="11">
        <f t="shared" si="2"/>
        <v>16</v>
      </c>
      <c r="N156" s="11" t="str">
        <f>VLOOKUP($G156, 'ADP Data'!$B$4:$Q$300, 6, FALSE)</f>
        <v>#N/A</v>
      </c>
      <c r="O156" s="11" t="str">
        <f>VLOOKUP($G156, 'ADP Data'!$B$4:$Q$300, 10, FALSE)</f>
        <v>#N/A</v>
      </c>
      <c r="P156" s="11" t="str">
        <f>VLOOKUP($G156, 'ADP Data'!$B$4:$Q$300, 4, FALSE)</f>
        <v>#N/A</v>
      </c>
      <c r="Q156" s="11" t="str">
        <f>VLOOKUP($G156, 'ADP Data'!$B$4:$Q$300, 5, FALSE)</f>
        <v>#N/A</v>
      </c>
      <c r="R156" s="11" t="str">
        <f>VLOOKUP($G156, 'ADP Data'!$B$4:$Q$300, 7, FALSE)</f>
        <v>#N/A</v>
      </c>
      <c r="S156" s="11" t="str">
        <f>VLOOKUP($G156, 'ADP Data'!$B$4:$Q$300, 8, FALSE)</f>
        <v>#N/A</v>
      </c>
      <c r="T156" s="11" t="str">
        <f>VLOOKUP($G156, 'ADP Data'!$B$4:$Q$300, 9, FALSE)</f>
        <v>#N/A</v>
      </c>
      <c r="U156" s="11" t="str">
        <f t="shared" si="3"/>
        <v>#N/A</v>
      </c>
      <c r="V156" s="11"/>
    </row>
    <row r="157" ht="14.25" customHeight="1">
      <c r="A157" s="11"/>
      <c r="B157" s="11" t="str">
        <f t="shared" si="1"/>
        <v>#N/A</v>
      </c>
      <c r="C157" s="11" t="s">
        <v>106</v>
      </c>
      <c r="D157" s="11"/>
      <c r="E157" s="11"/>
      <c r="F157" s="11"/>
      <c r="G157" s="11" t="s">
        <v>369</v>
      </c>
      <c r="H157" s="11" t="s">
        <v>195</v>
      </c>
      <c r="I157" s="11" t="s">
        <v>770</v>
      </c>
      <c r="J157" s="99" t="s">
        <v>1349</v>
      </c>
      <c r="K157" s="11" t="s">
        <v>1520</v>
      </c>
      <c r="L157" s="11">
        <v>21.0</v>
      </c>
      <c r="M157" s="11">
        <f t="shared" si="2"/>
        <v>16</v>
      </c>
      <c r="N157" s="11" t="str">
        <f>VLOOKUP($G157, 'ADP Data'!$B$4:$Q$300, 6, FALSE)</f>
        <v>#N/A</v>
      </c>
      <c r="O157" s="11" t="str">
        <f>VLOOKUP($G157, 'ADP Data'!$B$4:$Q$300, 10, FALSE)</f>
        <v>#N/A</v>
      </c>
      <c r="P157" s="11" t="str">
        <f>VLOOKUP($G157, 'ADP Data'!$B$4:$Q$300, 4, FALSE)</f>
        <v>#N/A</v>
      </c>
      <c r="Q157" s="11" t="str">
        <f>VLOOKUP($G157, 'ADP Data'!$B$4:$Q$300, 5, FALSE)</f>
        <v>#N/A</v>
      </c>
      <c r="R157" s="11" t="str">
        <f>VLOOKUP($G157, 'ADP Data'!$B$4:$Q$300, 7, FALSE)</f>
        <v>#N/A</v>
      </c>
      <c r="S157" s="11" t="str">
        <f>VLOOKUP($G157, 'ADP Data'!$B$4:$Q$300, 8, FALSE)</f>
        <v>#N/A</v>
      </c>
      <c r="T157" s="11" t="str">
        <f>VLOOKUP($G157, 'ADP Data'!$B$4:$Q$300, 9, FALSE)</f>
        <v>#N/A</v>
      </c>
      <c r="U157" s="11" t="str">
        <f t="shared" si="3"/>
        <v>#N/A</v>
      </c>
      <c r="V157" s="11" t="s">
        <v>1544</v>
      </c>
    </row>
    <row r="158" ht="14.25" customHeight="1">
      <c r="A158" s="11"/>
      <c r="B158" s="11" t="str">
        <f t="shared" si="1"/>
        <v>#N/A</v>
      </c>
      <c r="C158" s="11" t="s">
        <v>106</v>
      </c>
      <c r="D158" s="11"/>
      <c r="E158" s="11"/>
      <c r="F158" s="11"/>
      <c r="G158" s="11" t="s">
        <v>584</v>
      </c>
      <c r="H158" s="11" t="s">
        <v>109</v>
      </c>
      <c r="I158" s="11" t="s">
        <v>775</v>
      </c>
      <c r="J158" s="99" t="s">
        <v>1545</v>
      </c>
      <c r="K158" s="11" t="s">
        <v>1460</v>
      </c>
      <c r="L158" s="11">
        <v>70.0</v>
      </c>
      <c r="M158" s="11">
        <f t="shared" si="2"/>
        <v>16</v>
      </c>
      <c r="N158" s="11" t="str">
        <f>VLOOKUP($G158, 'ADP Data'!$B$4:$Q$300, 6, FALSE)</f>
        <v>#N/A</v>
      </c>
      <c r="O158" s="11" t="str">
        <f>VLOOKUP($G158, 'ADP Data'!$B$4:$Q$300, 10, FALSE)</f>
        <v>#N/A</v>
      </c>
      <c r="P158" s="11" t="str">
        <f>VLOOKUP($G158, 'ADP Data'!$B$4:$Q$300, 4, FALSE)</f>
        <v>#N/A</v>
      </c>
      <c r="Q158" s="11" t="str">
        <f>VLOOKUP($G158, 'ADP Data'!$B$4:$Q$300, 5, FALSE)</f>
        <v>#N/A</v>
      </c>
      <c r="R158" s="11" t="str">
        <f>VLOOKUP($G158, 'ADP Data'!$B$4:$Q$300, 7, FALSE)</f>
        <v>#N/A</v>
      </c>
      <c r="S158" s="11" t="str">
        <f>VLOOKUP($G158, 'ADP Data'!$B$4:$Q$300, 8, FALSE)</f>
        <v>#N/A</v>
      </c>
      <c r="T158" s="11" t="str">
        <f>VLOOKUP($G158, 'ADP Data'!$B$4:$Q$300, 9, FALSE)</f>
        <v>#N/A</v>
      </c>
      <c r="U158" s="11" t="str">
        <f t="shared" si="3"/>
        <v>#N/A</v>
      </c>
      <c r="V158" s="11"/>
    </row>
    <row r="159" ht="14.25" customHeight="1">
      <c r="A159" s="11"/>
      <c r="B159" s="11" t="str">
        <f t="shared" si="1"/>
        <v>#N/A</v>
      </c>
      <c r="C159" s="11" t="s">
        <v>106</v>
      </c>
      <c r="D159" s="11"/>
      <c r="E159" s="11"/>
      <c r="F159" s="11"/>
      <c r="G159" s="11" t="s">
        <v>1548</v>
      </c>
      <c r="H159" s="11" t="s">
        <v>67</v>
      </c>
      <c r="I159" s="11" t="s">
        <v>775</v>
      </c>
      <c r="J159" s="99" t="s">
        <v>1495</v>
      </c>
      <c r="K159" s="11"/>
      <c r="L159" s="11"/>
      <c r="M159" s="11">
        <f t="shared" si="2"/>
        <v>16</v>
      </c>
      <c r="N159" s="11" t="str">
        <f>VLOOKUP($G159, 'ADP Data'!$B$4:$Q$300, 6, FALSE)</f>
        <v>#N/A</v>
      </c>
      <c r="O159" s="11" t="str">
        <f>VLOOKUP($G159, 'ADP Data'!$B$4:$Q$300, 10, FALSE)</f>
        <v>#N/A</v>
      </c>
      <c r="P159" s="11" t="str">
        <f>VLOOKUP($G159, 'ADP Data'!$B$4:$Q$300, 4, FALSE)</f>
        <v>#N/A</v>
      </c>
      <c r="Q159" s="11" t="str">
        <f>VLOOKUP($G159, 'ADP Data'!$B$4:$Q$300, 5, FALSE)</f>
        <v>#N/A</v>
      </c>
      <c r="R159" s="11" t="str">
        <f>VLOOKUP($G159, 'ADP Data'!$B$4:$Q$300, 7, FALSE)</f>
        <v>#N/A</v>
      </c>
      <c r="S159" s="11" t="str">
        <f>VLOOKUP($G159, 'ADP Data'!$B$4:$Q$300, 8, FALSE)</f>
        <v>#N/A</v>
      </c>
      <c r="T159" s="11" t="str">
        <f>VLOOKUP($G159, 'ADP Data'!$B$4:$Q$300, 9, FALSE)</f>
        <v>#N/A</v>
      </c>
      <c r="U159" s="11" t="str">
        <f t="shared" si="3"/>
        <v>#N/A</v>
      </c>
      <c r="V159" s="11"/>
    </row>
    <row r="160" ht="14.25" customHeight="1">
      <c r="A160" s="11"/>
      <c r="B160" s="11" t="str">
        <f t="shared" si="1"/>
        <v>#N/A</v>
      </c>
      <c r="C160" s="11" t="s">
        <v>106</v>
      </c>
      <c r="D160" s="11"/>
      <c r="E160" s="11"/>
      <c r="F160" s="11"/>
      <c r="G160" s="11" t="s">
        <v>294</v>
      </c>
      <c r="H160" s="11" t="s">
        <v>85</v>
      </c>
      <c r="I160" s="11" t="s">
        <v>772</v>
      </c>
      <c r="J160" s="99" t="s">
        <v>1551</v>
      </c>
      <c r="K160" s="11" t="s">
        <v>1450</v>
      </c>
      <c r="L160" s="11">
        <v>52.0</v>
      </c>
      <c r="M160" s="11">
        <f t="shared" si="2"/>
        <v>16</v>
      </c>
      <c r="N160" s="11" t="str">
        <f>VLOOKUP($G160, 'ADP Data'!$B$4:$Q$300, 6, FALSE)</f>
        <v>#N/A</v>
      </c>
      <c r="O160" s="11" t="str">
        <f>VLOOKUP($G160, 'ADP Data'!$B$4:$Q$300, 10, FALSE)</f>
        <v>#N/A</v>
      </c>
      <c r="P160" s="11" t="str">
        <f>VLOOKUP($G160, 'ADP Data'!$B$4:$Q$300, 4, FALSE)</f>
        <v>#N/A</v>
      </c>
      <c r="Q160" s="11" t="str">
        <f>VLOOKUP($G160, 'ADP Data'!$B$4:$Q$300, 5, FALSE)</f>
        <v>#N/A</v>
      </c>
      <c r="R160" s="11" t="str">
        <f>VLOOKUP($G160, 'ADP Data'!$B$4:$Q$300, 7, FALSE)</f>
        <v>#N/A</v>
      </c>
      <c r="S160" s="11" t="str">
        <f>VLOOKUP($G160, 'ADP Data'!$B$4:$Q$300, 8, FALSE)</f>
        <v>#N/A</v>
      </c>
      <c r="T160" s="11" t="str">
        <f>VLOOKUP($G160, 'ADP Data'!$B$4:$Q$300, 9, FALSE)</f>
        <v>#N/A</v>
      </c>
      <c r="U160" s="11" t="str">
        <f t="shared" si="3"/>
        <v>#N/A</v>
      </c>
      <c r="V160" s="11" t="s">
        <v>1552</v>
      </c>
    </row>
    <row r="161" ht="14.25" customHeight="1">
      <c r="A161" s="11"/>
      <c r="B161" s="11" t="str">
        <f t="shared" si="1"/>
        <v>#N/A</v>
      </c>
      <c r="C161" s="11" t="s">
        <v>106</v>
      </c>
      <c r="D161" s="11"/>
      <c r="E161" s="11"/>
      <c r="F161" s="11"/>
      <c r="G161" s="11" t="s">
        <v>626</v>
      </c>
      <c r="H161" s="11" t="s">
        <v>67</v>
      </c>
      <c r="I161" s="11" t="s">
        <v>785</v>
      </c>
      <c r="J161" s="99">
        <v>8.0</v>
      </c>
      <c r="K161" s="11"/>
      <c r="L161" s="11"/>
      <c r="M161" s="11">
        <f t="shared" si="2"/>
        <v>16</v>
      </c>
      <c r="N161" s="11" t="str">
        <f>VLOOKUP($G161, 'ADP Data'!$B$4:$Q$300, 6, FALSE)</f>
        <v>#N/A</v>
      </c>
      <c r="O161" s="11" t="str">
        <f>VLOOKUP($G161, 'ADP Data'!$B$4:$Q$300, 10, FALSE)</f>
        <v>#N/A</v>
      </c>
      <c r="P161" s="11" t="str">
        <f>VLOOKUP($G161, 'ADP Data'!$B$4:$Q$300, 4, FALSE)</f>
        <v>#N/A</v>
      </c>
      <c r="Q161" s="11" t="str">
        <f>VLOOKUP($G161, 'ADP Data'!$B$4:$Q$300, 5, FALSE)</f>
        <v>#N/A</v>
      </c>
      <c r="R161" s="11" t="str">
        <f>VLOOKUP($G161, 'ADP Data'!$B$4:$Q$300, 7, FALSE)</f>
        <v>#N/A</v>
      </c>
      <c r="S161" s="11" t="str">
        <f>VLOOKUP($G161, 'ADP Data'!$B$4:$Q$300, 8, FALSE)</f>
        <v>#N/A</v>
      </c>
      <c r="T161" s="11" t="str">
        <f>VLOOKUP($G161, 'ADP Data'!$B$4:$Q$300, 9, FALSE)</f>
        <v>#N/A</v>
      </c>
      <c r="U161" s="11" t="str">
        <f t="shared" si="3"/>
        <v>#N/A</v>
      </c>
      <c r="V161" s="11"/>
    </row>
    <row r="162" ht="14.25" customHeight="1">
      <c r="A162" s="11"/>
      <c r="B162" s="11" t="str">
        <f t="shared" si="1"/>
        <v>#N/A</v>
      </c>
      <c r="C162" s="11" t="s">
        <v>106</v>
      </c>
      <c r="D162" s="11"/>
      <c r="E162" s="11">
        <v>1.0</v>
      </c>
      <c r="F162" s="11"/>
      <c r="G162" s="11" t="s">
        <v>970</v>
      </c>
      <c r="H162" s="11" t="s">
        <v>148</v>
      </c>
      <c r="I162" s="11" t="s">
        <v>775</v>
      </c>
      <c r="J162" s="99" t="s">
        <v>1533</v>
      </c>
      <c r="K162" s="11"/>
      <c r="L162" s="11"/>
      <c r="M162" s="11">
        <f t="shared" si="2"/>
        <v>16</v>
      </c>
      <c r="N162" s="11" t="str">
        <f>VLOOKUP($G162, 'ADP Data'!$B$4:$Q$300, 6, FALSE)</f>
        <v>#N/A</v>
      </c>
      <c r="O162" s="11" t="str">
        <f>VLOOKUP($G162, 'ADP Data'!$B$4:$Q$300, 10, FALSE)</f>
        <v>#N/A</v>
      </c>
      <c r="P162" s="11" t="str">
        <f>VLOOKUP($G162, 'ADP Data'!$B$4:$Q$300, 4, FALSE)</f>
        <v>#N/A</v>
      </c>
      <c r="Q162" s="11" t="str">
        <f>VLOOKUP($G162, 'ADP Data'!$B$4:$Q$300, 5, FALSE)</f>
        <v>#N/A</v>
      </c>
      <c r="R162" s="11" t="str">
        <f>VLOOKUP($G162, 'ADP Data'!$B$4:$Q$300, 7, FALSE)</f>
        <v>#N/A</v>
      </c>
      <c r="S162" s="11" t="str">
        <f>VLOOKUP($G162, 'ADP Data'!$B$4:$Q$300, 8, FALSE)</f>
        <v>#N/A</v>
      </c>
      <c r="T162" s="11" t="str">
        <f>VLOOKUP($G162, 'ADP Data'!$B$4:$Q$300, 9, FALSE)</f>
        <v>#N/A</v>
      </c>
      <c r="U162" s="11" t="str">
        <f t="shared" si="3"/>
        <v>#N/A</v>
      </c>
      <c r="V162" s="11"/>
    </row>
    <row r="163" ht="14.25" customHeight="1">
      <c r="A163" s="11"/>
      <c r="B163" s="11" t="str">
        <f t="shared" si="1"/>
        <v>#N/A</v>
      </c>
      <c r="C163" s="11" t="s">
        <v>106</v>
      </c>
      <c r="D163" s="11"/>
      <c r="E163" s="11"/>
      <c r="F163" s="11"/>
      <c r="G163" s="11" t="s">
        <v>919</v>
      </c>
      <c r="H163" s="11" t="s">
        <v>85</v>
      </c>
      <c r="I163" s="11" t="s">
        <v>781</v>
      </c>
      <c r="J163" s="99" t="s">
        <v>1352</v>
      </c>
      <c r="K163" s="11"/>
      <c r="L163" s="11"/>
      <c r="M163" s="11">
        <f t="shared" si="2"/>
        <v>16</v>
      </c>
      <c r="N163" s="11" t="str">
        <f>VLOOKUP($G163, 'ADP Data'!$B$4:$Q$300, 6, FALSE)</f>
        <v>#N/A</v>
      </c>
      <c r="O163" s="11" t="str">
        <f>VLOOKUP($G163, 'ADP Data'!$B$4:$Q$300, 10, FALSE)</f>
        <v>#N/A</v>
      </c>
      <c r="P163" s="11" t="str">
        <f>VLOOKUP($G163, 'ADP Data'!$B$4:$Q$300, 4, FALSE)</f>
        <v>#N/A</v>
      </c>
      <c r="Q163" s="11" t="str">
        <f>VLOOKUP($G163, 'ADP Data'!$B$4:$Q$300, 5, FALSE)</f>
        <v>#N/A</v>
      </c>
      <c r="R163" s="11" t="str">
        <f>VLOOKUP($G163, 'ADP Data'!$B$4:$Q$300, 7, FALSE)</f>
        <v>#N/A</v>
      </c>
      <c r="S163" s="11" t="str">
        <f>VLOOKUP($G163, 'ADP Data'!$B$4:$Q$300, 8, FALSE)</f>
        <v>#N/A</v>
      </c>
      <c r="T163" s="11" t="str">
        <f>VLOOKUP($G163, 'ADP Data'!$B$4:$Q$300, 9, FALSE)</f>
        <v>#N/A</v>
      </c>
      <c r="U163" s="11" t="str">
        <f t="shared" si="3"/>
        <v>#N/A</v>
      </c>
      <c r="V163" s="11"/>
    </row>
    <row r="164" ht="14.25" customHeight="1">
      <c r="A164" s="11"/>
      <c r="B164" s="11" t="str">
        <f t="shared" si="1"/>
        <v>#N/A</v>
      </c>
      <c r="C164" s="11" t="s">
        <v>106</v>
      </c>
      <c r="D164" s="11"/>
      <c r="E164" s="11"/>
      <c r="F164" s="11"/>
      <c r="G164" s="11" t="s">
        <v>342</v>
      </c>
      <c r="H164" s="11" t="s">
        <v>116</v>
      </c>
      <c r="I164" s="11" t="s">
        <v>775</v>
      </c>
      <c r="J164" s="99" t="s">
        <v>1554</v>
      </c>
      <c r="K164" s="11"/>
      <c r="L164" s="11"/>
      <c r="M164" s="11">
        <f t="shared" si="2"/>
        <v>16</v>
      </c>
      <c r="N164" s="11" t="str">
        <f>VLOOKUP($G164, 'ADP Data'!$B$4:$Q$300, 6, FALSE)</f>
        <v>#N/A</v>
      </c>
      <c r="O164" s="11" t="str">
        <f>VLOOKUP($G164, 'ADP Data'!$B$4:$Q$300, 10, FALSE)</f>
        <v>#N/A</v>
      </c>
      <c r="P164" s="11" t="str">
        <f>VLOOKUP($G164, 'ADP Data'!$B$4:$Q$300, 4, FALSE)</f>
        <v>#N/A</v>
      </c>
      <c r="Q164" s="11" t="str">
        <f>VLOOKUP($G164, 'ADP Data'!$B$4:$Q$300, 5, FALSE)</f>
        <v>#N/A</v>
      </c>
      <c r="R164" s="11" t="str">
        <f>VLOOKUP($G164, 'ADP Data'!$B$4:$Q$300, 7, FALSE)</f>
        <v>#N/A</v>
      </c>
      <c r="S164" s="11" t="str">
        <f>VLOOKUP($G164, 'ADP Data'!$B$4:$Q$300, 8, FALSE)</f>
        <v>#N/A</v>
      </c>
      <c r="T164" s="11" t="str">
        <f>VLOOKUP($G164, 'ADP Data'!$B$4:$Q$300, 9, FALSE)</f>
        <v>#N/A</v>
      </c>
      <c r="U164" s="11" t="str">
        <f t="shared" si="3"/>
        <v>#N/A</v>
      </c>
      <c r="V164" s="11" t="s">
        <v>1558</v>
      </c>
    </row>
    <row r="165" ht="14.25" customHeight="1">
      <c r="A165" s="11"/>
      <c r="B165" s="11" t="str">
        <f t="shared" si="1"/>
        <v>#N/A</v>
      </c>
      <c r="C165" s="11" t="s">
        <v>106</v>
      </c>
      <c r="D165" s="11"/>
      <c r="E165" s="11"/>
      <c r="F165" s="11"/>
      <c r="G165" s="11" t="s">
        <v>992</v>
      </c>
      <c r="H165" s="11" t="s">
        <v>125</v>
      </c>
      <c r="I165" s="11" t="s">
        <v>775</v>
      </c>
      <c r="J165" s="99" t="s">
        <v>1559</v>
      </c>
      <c r="K165" s="11"/>
      <c r="L165" s="11"/>
      <c r="M165" s="11">
        <f t="shared" si="2"/>
        <v>16</v>
      </c>
      <c r="N165" s="11" t="str">
        <f>VLOOKUP($G165, 'ADP Data'!$B$4:$Q$300, 6, FALSE)</f>
        <v>#N/A</v>
      </c>
      <c r="O165" s="11" t="str">
        <f>VLOOKUP($G165, 'ADP Data'!$B$4:$Q$300, 10, FALSE)</f>
        <v>#N/A</v>
      </c>
      <c r="P165" s="11" t="str">
        <f>VLOOKUP($G165, 'ADP Data'!$B$4:$Q$300, 4, FALSE)</f>
        <v>#N/A</v>
      </c>
      <c r="Q165" s="11" t="str">
        <f>VLOOKUP($G165, 'ADP Data'!$B$4:$Q$300, 5, FALSE)</f>
        <v>#N/A</v>
      </c>
      <c r="R165" s="11" t="str">
        <f>VLOOKUP($G165, 'ADP Data'!$B$4:$Q$300, 7, FALSE)</f>
        <v>#N/A</v>
      </c>
      <c r="S165" s="11" t="str">
        <f>VLOOKUP($G165, 'ADP Data'!$B$4:$Q$300, 8, FALSE)</f>
        <v>#N/A</v>
      </c>
      <c r="T165" s="11" t="str">
        <f>VLOOKUP($G165, 'ADP Data'!$B$4:$Q$300, 9, FALSE)</f>
        <v>#N/A</v>
      </c>
      <c r="U165" s="11" t="str">
        <f t="shared" si="3"/>
        <v>#N/A</v>
      </c>
      <c r="V165" s="11" t="s">
        <v>1560</v>
      </c>
    </row>
    <row r="166" ht="14.25" customHeight="1">
      <c r="A166" s="11"/>
      <c r="B166" s="11" t="str">
        <f t="shared" si="1"/>
        <v>#N/A</v>
      </c>
      <c r="C166" s="11" t="s">
        <v>106</v>
      </c>
      <c r="D166" s="11"/>
      <c r="E166" s="11"/>
      <c r="F166" s="11" t="s">
        <v>106</v>
      </c>
      <c r="G166" s="49" t="s">
        <v>1561</v>
      </c>
      <c r="H166" s="11" t="s">
        <v>98</v>
      </c>
      <c r="I166" s="11" t="s">
        <v>775</v>
      </c>
      <c r="J166" s="99" t="s">
        <v>1562</v>
      </c>
      <c r="K166" s="11"/>
      <c r="L166" s="11"/>
      <c r="M166" s="11">
        <f t="shared" si="2"/>
        <v>16</v>
      </c>
      <c r="N166" s="11" t="str">
        <f>VLOOKUP($G166, 'ADP Data'!$B$4:$Q$300, 6, FALSE)</f>
        <v>#N/A</v>
      </c>
      <c r="O166" s="11" t="str">
        <f>VLOOKUP($G166, 'ADP Data'!$B$4:$Q$300, 10, FALSE)</f>
        <v>#N/A</v>
      </c>
      <c r="P166" s="11" t="str">
        <f>VLOOKUP($G166, 'ADP Data'!$B$4:$Q$300, 4, FALSE)</f>
        <v>#N/A</v>
      </c>
      <c r="Q166" s="11" t="str">
        <f>VLOOKUP($G166, 'ADP Data'!$B$4:$Q$300, 5, FALSE)</f>
        <v>#N/A</v>
      </c>
      <c r="R166" s="11" t="str">
        <f>VLOOKUP($G166, 'ADP Data'!$B$4:$Q$300, 7, FALSE)</f>
        <v>#N/A</v>
      </c>
      <c r="S166" s="11" t="str">
        <f>VLOOKUP($G166, 'ADP Data'!$B$4:$Q$300, 8, FALSE)</f>
        <v>#N/A</v>
      </c>
      <c r="T166" s="11" t="str">
        <f>VLOOKUP($G166, 'ADP Data'!$B$4:$Q$300, 9, FALSE)</f>
        <v>#N/A</v>
      </c>
      <c r="U166" s="11" t="str">
        <f t="shared" si="3"/>
        <v>#N/A</v>
      </c>
      <c r="V166" s="11" t="s">
        <v>1564</v>
      </c>
    </row>
    <row r="167" ht="14.25" customHeight="1">
      <c r="A167" s="11"/>
      <c r="B167" s="11" t="str">
        <f t="shared" si="1"/>
        <v>#N/A</v>
      </c>
      <c r="C167" s="11" t="s">
        <v>106</v>
      </c>
      <c r="D167" s="11"/>
      <c r="E167" s="11"/>
      <c r="F167" s="11"/>
      <c r="G167" s="11" t="s">
        <v>1489</v>
      </c>
      <c r="H167" s="11" t="s">
        <v>119</v>
      </c>
      <c r="I167" s="11" t="s">
        <v>772</v>
      </c>
      <c r="J167" s="99" t="s">
        <v>1525</v>
      </c>
      <c r="K167" s="11" t="s">
        <v>1450</v>
      </c>
      <c r="L167" s="11">
        <v>53.0</v>
      </c>
      <c r="M167" s="11">
        <f t="shared" si="2"/>
        <v>16</v>
      </c>
      <c r="N167" s="11" t="str">
        <f>VLOOKUP($G167, 'ADP Data'!$B$4:$Q$300, 6, FALSE)</f>
        <v>#N/A</v>
      </c>
      <c r="O167" s="11" t="str">
        <f>VLOOKUP($G167, 'ADP Data'!$B$4:$Q$300, 10, FALSE)</f>
        <v>#N/A</v>
      </c>
      <c r="P167" s="11" t="str">
        <f>VLOOKUP($G167, 'ADP Data'!$B$4:$Q$300, 4, FALSE)</f>
        <v>#N/A</v>
      </c>
      <c r="Q167" s="11" t="str">
        <f>VLOOKUP($G167, 'ADP Data'!$B$4:$Q$300, 5, FALSE)</f>
        <v>#N/A</v>
      </c>
      <c r="R167" s="11" t="str">
        <f>VLOOKUP($G167, 'ADP Data'!$B$4:$Q$300, 7, FALSE)</f>
        <v>#N/A</v>
      </c>
      <c r="S167" s="11" t="str">
        <f>VLOOKUP($G167, 'ADP Data'!$B$4:$Q$300, 8, FALSE)</f>
        <v>#N/A</v>
      </c>
      <c r="T167" s="11" t="str">
        <f>VLOOKUP($G167, 'ADP Data'!$B$4:$Q$300, 9, FALSE)</f>
        <v>#N/A</v>
      </c>
      <c r="U167" s="11" t="str">
        <f t="shared" si="3"/>
        <v>#N/A</v>
      </c>
      <c r="V167" s="11"/>
    </row>
    <row r="168" ht="14.25" customHeight="1">
      <c r="A168" s="11"/>
      <c r="B168" s="11" t="str">
        <f t="shared" si="1"/>
        <v>#N/A</v>
      </c>
      <c r="C168" s="11" t="s">
        <v>106</v>
      </c>
      <c r="D168" s="11"/>
      <c r="E168" s="11"/>
      <c r="F168" s="11"/>
      <c r="G168" s="11" t="s">
        <v>405</v>
      </c>
      <c r="H168" s="11" t="s">
        <v>116</v>
      </c>
      <c r="I168" s="11" t="s">
        <v>781</v>
      </c>
      <c r="J168" s="99" t="s">
        <v>1335</v>
      </c>
      <c r="K168" s="11" t="s">
        <v>710</v>
      </c>
      <c r="L168" s="11">
        <v>15.0</v>
      </c>
      <c r="M168" s="11">
        <f t="shared" si="2"/>
        <v>16</v>
      </c>
      <c r="N168" s="11" t="str">
        <f>VLOOKUP($G168, 'ADP Data'!$B$4:$Q$300, 6, FALSE)</f>
        <v>#N/A</v>
      </c>
      <c r="O168" s="11" t="str">
        <f>VLOOKUP($G168, 'ADP Data'!$B$4:$Q$300, 10, FALSE)</f>
        <v>#N/A</v>
      </c>
      <c r="P168" s="11" t="str">
        <f>VLOOKUP($G168, 'ADP Data'!$B$4:$Q$300, 4, FALSE)</f>
        <v>#N/A</v>
      </c>
      <c r="Q168" s="11" t="str">
        <f>VLOOKUP($G168, 'ADP Data'!$B$4:$Q$300, 5, FALSE)</f>
        <v>#N/A</v>
      </c>
      <c r="R168" s="11" t="str">
        <f>VLOOKUP($G168, 'ADP Data'!$B$4:$Q$300, 7, FALSE)</f>
        <v>#N/A</v>
      </c>
      <c r="S168" s="11" t="str">
        <f>VLOOKUP($G168, 'ADP Data'!$B$4:$Q$300, 8, FALSE)</f>
        <v>#N/A</v>
      </c>
      <c r="T168" s="11" t="str">
        <f>VLOOKUP($G168, 'ADP Data'!$B$4:$Q$300, 9, FALSE)</f>
        <v>#N/A</v>
      </c>
      <c r="U168" s="11" t="str">
        <f t="shared" si="3"/>
        <v>#N/A</v>
      </c>
      <c r="V168" s="11"/>
    </row>
    <row r="169" ht="14.25" customHeight="1">
      <c r="A169" s="11"/>
      <c r="B169" s="11" t="str">
        <f t="shared" si="1"/>
        <v>#N/A</v>
      </c>
      <c r="C169" s="11" t="s">
        <v>106</v>
      </c>
      <c r="D169" s="11"/>
      <c r="E169" s="11"/>
      <c r="F169" s="11"/>
      <c r="G169" s="11" t="s">
        <v>1540</v>
      </c>
      <c r="H169" s="11" t="s">
        <v>105</v>
      </c>
      <c r="I169" s="11" t="s">
        <v>781</v>
      </c>
      <c r="J169" s="99" t="s">
        <v>1338</v>
      </c>
      <c r="K169" s="11" t="s">
        <v>1178</v>
      </c>
      <c r="L169" s="11">
        <v>19.0</v>
      </c>
      <c r="M169" s="11">
        <f t="shared" si="2"/>
        <v>16</v>
      </c>
      <c r="N169" s="11" t="str">
        <f>VLOOKUP($G169, 'ADP Data'!$B$4:$Q$300, 6, FALSE)</f>
        <v>#N/A</v>
      </c>
      <c r="O169" s="11" t="str">
        <f>VLOOKUP($G169, 'ADP Data'!$B$4:$Q$300, 10, FALSE)</f>
        <v>#N/A</v>
      </c>
      <c r="P169" s="11" t="str">
        <f>VLOOKUP($G169, 'ADP Data'!$B$4:$Q$300, 4, FALSE)</f>
        <v>#N/A</v>
      </c>
      <c r="Q169" s="11" t="str">
        <f>VLOOKUP($G169, 'ADP Data'!$B$4:$Q$300, 5, FALSE)</f>
        <v>#N/A</v>
      </c>
      <c r="R169" s="11" t="str">
        <f>VLOOKUP($G169, 'ADP Data'!$B$4:$Q$300, 7, FALSE)</f>
        <v>#N/A</v>
      </c>
      <c r="S169" s="11" t="str">
        <f>VLOOKUP($G169, 'ADP Data'!$B$4:$Q$300, 8, FALSE)</f>
        <v>#N/A</v>
      </c>
      <c r="T169" s="11" t="str">
        <f>VLOOKUP($G169, 'ADP Data'!$B$4:$Q$300, 9, FALSE)</f>
        <v>#N/A</v>
      </c>
      <c r="U169" s="11" t="str">
        <f t="shared" si="3"/>
        <v>#N/A</v>
      </c>
      <c r="V169" s="11"/>
    </row>
    <row r="170" ht="14.25" customHeight="1">
      <c r="A170" s="11"/>
      <c r="B170" s="11" t="str">
        <f t="shared" si="1"/>
        <v>#N/A</v>
      </c>
      <c r="C170" s="11" t="s">
        <v>106</v>
      </c>
      <c r="D170" s="11"/>
      <c r="E170" s="11">
        <v>1.0</v>
      </c>
      <c r="F170" s="11"/>
      <c r="G170" s="11" t="s">
        <v>1569</v>
      </c>
      <c r="H170" s="11" t="s">
        <v>192</v>
      </c>
      <c r="I170" s="11" t="s">
        <v>770</v>
      </c>
      <c r="J170" s="99" t="s">
        <v>1367</v>
      </c>
      <c r="K170" s="11" t="s">
        <v>1520</v>
      </c>
      <c r="L170" s="11">
        <v>22.0</v>
      </c>
      <c r="M170" s="11">
        <f t="shared" si="2"/>
        <v>16</v>
      </c>
      <c r="N170" s="11" t="str">
        <f>VLOOKUP($G170, 'ADP Data'!$B$4:$Q$300, 6, FALSE)</f>
        <v>#N/A</v>
      </c>
      <c r="O170" s="11" t="str">
        <f>VLOOKUP($G170, 'ADP Data'!$B$4:$Q$300, 10, FALSE)</f>
        <v>#N/A</v>
      </c>
      <c r="P170" s="11" t="str">
        <f>VLOOKUP($G170, 'ADP Data'!$B$4:$Q$300, 4, FALSE)</f>
        <v>#N/A</v>
      </c>
      <c r="Q170" s="11" t="str">
        <f>VLOOKUP($G170, 'ADP Data'!$B$4:$Q$300, 5, FALSE)</f>
        <v>#N/A</v>
      </c>
      <c r="R170" s="11" t="str">
        <f>VLOOKUP($G170, 'ADP Data'!$B$4:$Q$300, 7, FALSE)</f>
        <v>#N/A</v>
      </c>
      <c r="S170" s="11" t="str">
        <f>VLOOKUP($G170, 'ADP Data'!$B$4:$Q$300, 8, FALSE)</f>
        <v>#N/A</v>
      </c>
      <c r="T170" s="11" t="str">
        <f>VLOOKUP($G170, 'ADP Data'!$B$4:$Q$300, 9, FALSE)</f>
        <v>#N/A</v>
      </c>
      <c r="U170" s="11" t="str">
        <f t="shared" si="3"/>
        <v>#N/A</v>
      </c>
      <c r="V170" s="11" t="s">
        <v>1571</v>
      </c>
    </row>
    <row r="171" ht="14.25" customHeight="1">
      <c r="A171" s="11"/>
      <c r="B171" s="11" t="str">
        <f t="shared" si="1"/>
        <v>#N/A</v>
      </c>
      <c r="C171" s="11" t="s">
        <v>106</v>
      </c>
      <c r="D171" s="11"/>
      <c r="E171" s="11"/>
      <c r="F171" s="11"/>
      <c r="G171" s="11" t="s">
        <v>1257</v>
      </c>
      <c r="H171" s="11" t="s">
        <v>171</v>
      </c>
      <c r="I171" s="11" t="s">
        <v>772</v>
      </c>
      <c r="J171" s="99" t="s">
        <v>1537</v>
      </c>
      <c r="K171" s="11" t="s">
        <v>1450</v>
      </c>
      <c r="L171" s="11">
        <v>54.0</v>
      </c>
      <c r="M171" s="11">
        <f t="shared" si="2"/>
        <v>16</v>
      </c>
      <c r="N171" s="11" t="str">
        <f>VLOOKUP($G171, 'ADP Data'!$B$4:$Q$300, 6, FALSE)</f>
        <v>#N/A</v>
      </c>
      <c r="O171" s="11" t="str">
        <f>VLOOKUP($G171, 'ADP Data'!$B$4:$Q$300, 10, FALSE)</f>
        <v>#N/A</v>
      </c>
      <c r="P171" s="11" t="str">
        <f>VLOOKUP($G171, 'ADP Data'!$B$4:$Q$300, 4, FALSE)</f>
        <v>#N/A</v>
      </c>
      <c r="Q171" s="11" t="str">
        <f>VLOOKUP($G171, 'ADP Data'!$B$4:$Q$300, 5, FALSE)</f>
        <v>#N/A</v>
      </c>
      <c r="R171" s="11" t="str">
        <f>VLOOKUP($G171, 'ADP Data'!$B$4:$Q$300, 7, FALSE)</f>
        <v>#N/A</v>
      </c>
      <c r="S171" s="11" t="str">
        <f>VLOOKUP($G171, 'ADP Data'!$B$4:$Q$300, 8, FALSE)</f>
        <v>#N/A</v>
      </c>
      <c r="T171" s="11" t="str">
        <f>VLOOKUP($G171, 'ADP Data'!$B$4:$Q$300, 9, FALSE)</f>
        <v>#N/A</v>
      </c>
      <c r="U171" s="11" t="str">
        <f t="shared" si="3"/>
        <v>#N/A</v>
      </c>
      <c r="V171" s="11"/>
    </row>
    <row r="172" ht="14.25" customHeight="1">
      <c r="A172" s="11"/>
      <c r="B172" s="11" t="str">
        <f t="shared" si="1"/>
        <v>#N/A</v>
      </c>
      <c r="C172" s="11" t="s">
        <v>106</v>
      </c>
      <c r="D172" s="11">
        <v>2.0</v>
      </c>
      <c r="E172" s="11"/>
      <c r="F172" s="11"/>
      <c r="G172" s="11" t="s">
        <v>859</v>
      </c>
      <c r="H172" s="11" t="s">
        <v>67</v>
      </c>
      <c r="I172" s="11" t="s">
        <v>772</v>
      </c>
      <c r="J172" s="99" t="s">
        <v>1390</v>
      </c>
      <c r="K172" s="11" t="s">
        <v>1419</v>
      </c>
      <c r="L172" s="11">
        <v>55.0</v>
      </c>
      <c r="M172" s="11">
        <f t="shared" si="2"/>
        <v>16</v>
      </c>
      <c r="N172" s="11" t="str">
        <f>VLOOKUP($G172, 'ADP Data'!$B$4:$Q$300, 6, FALSE)</f>
        <v>#N/A</v>
      </c>
      <c r="O172" s="11" t="str">
        <f>VLOOKUP($G172, 'ADP Data'!$B$4:$Q$300, 10, FALSE)</f>
        <v>#N/A</v>
      </c>
      <c r="P172" s="11" t="str">
        <f>VLOOKUP($G172, 'ADP Data'!$B$4:$Q$300, 4, FALSE)</f>
        <v>#N/A</v>
      </c>
      <c r="Q172" s="11" t="str">
        <f>VLOOKUP($G172, 'ADP Data'!$B$4:$Q$300, 5, FALSE)</f>
        <v>#N/A</v>
      </c>
      <c r="R172" s="11" t="str">
        <f>VLOOKUP($G172, 'ADP Data'!$B$4:$Q$300, 7, FALSE)</f>
        <v>#N/A</v>
      </c>
      <c r="S172" s="11" t="str">
        <f>VLOOKUP($G172, 'ADP Data'!$B$4:$Q$300, 8, FALSE)</f>
        <v>#N/A</v>
      </c>
      <c r="T172" s="11" t="str">
        <f>VLOOKUP($G172, 'ADP Data'!$B$4:$Q$300, 9, FALSE)</f>
        <v>#N/A</v>
      </c>
      <c r="U172" s="11" t="str">
        <f t="shared" si="3"/>
        <v>#N/A</v>
      </c>
      <c r="V172" s="11"/>
    </row>
    <row r="173" ht="14.25" customHeight="1">
      <c r="A173" s="11"/>
      <c r="B173" s="11" t="str">
        <f t="shared" si="1"/>
        <v>#N/A</v>
      </c>
      <c r="C173" s="11" t="s">
        <v>106</v>
      </c>
      <c r="D173" s="11"/>
      <c r="E173" s="11"/>
      <c r="F173" s="11"/>
      <c r="G173" s="11" t="s">
        <v>1475</v>
      </c>
      <c r="H173" s="11" t="s">
        <v>62</v>
      </c>
      <c r="I173" s="11" t="s">
        <v>775</v>
      </c>
      <c r="J173" s="99" t="s">
        <v>1574</v>
      </c>
      <c r="K173" s="11"/>
      <c r="L173" s="11"/>
      <c r="M173" s="11">
        <f t="shared" si="2"/>
        <v>16</v>
      </c>
      <c r="N173" s="11" t="str">
        <f>VLOOKUP($G173, 'ADP Data'!$B$4:$Q$300, 6, FALSE)</f>
        <v>#N/A</v>
      </c>
      <c r="O173" s="11" t="str">
        <f>VLOOKUP($G173, 'ADP Data'!$B$4:$Q$300, 10, FALSE)</f>
        <v>#N/A</v>
      </c>
      <c r="P173" s="11" t="str">
        <f>VLOOKUP($G173, 'ADP Data'!$B$4:$Q$300, 4, FALSE)</f>
        <v>#N/A</v>
      </c>
      <c r="Q173" s="11" t="str">
        <f>VLOOKUP($G173, 'ADP Data'!$B$4:$Q$300, 5, FALSE)</f>
        <v>#N/A</v>
      </c>
      <c r="R173" s="11" t="str">
        <f>VLOOKUP($G173, 'ADP Data'!$B$4:$Q$300, 7, FALSE)</f>
        <v>#N/A</v>
      </c>
      <c r="S173" s="11" t="str">
        <f>VLOOKUP($G173, 'ADP Data'!$B$4:$Q$300, 8, FALSE)</f>
        <v>#N/A</v>
      </c>
      <c r="T173" s="11" t="str">
        <f>VLOOKUP($G173, 'ADP Data'!$B$4:$Q$300, 9, FALSE)</f>
        <v>#N/A</v>
      </c>
      <c r="U173" s="11" t="str">
        <f t="shared" si="3"/>
        <v>#N/A</v>
      </c>
      <c r="V173" s="11"/>
    </row>
    <row r="174" ht="14.25" customHeight="1">
      <c r="A174" s="11"/>
      <c r="B174" s="11" t="str">
        <f t="shared" si="1"/>
        <v>#N/A</v>
      </c>
      <c r="C174" s="11" t="s">
        <v>106</v>
      </c>
      <c r="D174" s="11"/>
      <c r="E174" s="11"/>
      <c r="F174" s="11"/>
      <c r="G174" s="11" t="s">
        <v>972</v>
      </c>
      <c r="H174" s="11" t="s">
        <v>52</v>
      </c>
      <c r="I174" s="11" t="s">
        <v>781</v>
      </c>
      <c r="J174" s="99" t="s">
        <v>1353</v>
      </c>
      <c r="K174" s="11"/>
      <c r="L174" s="11"/>
      <c r="M174" s="11">
        <f t="shared" si="2"/>
        <v>16</v>
      </c>
      <c r="N174" s="11" t="str">
        <f>VLOOKUP($G174, 'ADP Data'!$B$4:$Q$300, 6, FALSE)</f>
        <v>#N/A</v>
      </c>
      <c r="O174" s="11" t="str">
        <f>VLOOKUP($G174, 'ADP Data'!$B$4:$Q$300, 10, FALSE)</f>
        <v>#N/A</v>
      </c>
      <c r="P174" s="11" t="str">
        <f>VLOOKUP($G174, 'ADP Data'!$B$4:$Q$300, 4, FALSE)</f>
        <v>#N/A</v>
      </c>
      <c r="Q174" s="11" t="str">
        <f>VLOOKUP($G174, 'ADP Data'!$B$4:$Q$300, 5, FALSE)</f>
        <v>#N/A</v>
      </c>
      <c r="R174" s="11" t="str">
        <f>VLOOKUP($G174, 'ADP Data'!$B$4:$Q$300, 7, FALSE)</f>
        <v>#N/A</v>
      </c>
      <c r="S174" s="11" t="str">
        <f>VLOOKUP($G174, 'ADP Data'!$B$4:$Q$300, 8, FALSE)</f>
        <v>#N/A</v>
      </c>
      <c r="T174" s="11" t="str">
        <f>VLOOKUP($G174, 'ADP Data'!$B$4:$Q$300, 9, FALSE)</f>
        <v>#N/A</v>
      </c>
      <c r="U174" s="11" t="str">
        <f t="shared" si="3"/>
        <v>#N/A</v>
      </c>
      <c r="V174" s="11"/>
    </row>
    <row r="175" ht="14.25" customHeight="1">
      <c r="A175" s="11"/>
      <c r="B175" s="11" t="str">
        <f t="shared" si="1"/>
        <v>#N/A</v>
      </c>
      <c r="C175" s="11" t="s">
        <v>106</v>
      </c>
      <c r="D175" s="11"/>
      <c r="E175" s="11"/>
      <c r="F175" s="11"/>
      <c r="G175" s="11" t="s">
        <v>411</v>
      </c>
      <c r="H175" s="11" t="s">
        <v>128</v>
      </c>
      <c r="I175" s="11" t="s">
        <v>770</v>
      </c>
      <c r="J175" s="99" t="s">
        <v>1353</v>
      </c>
      <c r="K175" s="11" t="s">
        <v>1520</v>
      </c>
      <c r="L175" s="11">
        <v>23.0</v>
      </c>
      <c r="M175" s="11">
        <f t="shared" si="2"/>
        <v>16</v>
      </c>
      <c r="N175" s="11" t="str">
        <f>VLOOKUP($G175, 'ADP Data'!$B$4:$Q$300, 6, FALSE)</f>
        <v>#N/A</v>
      </c>
      <c r="O175" s="11" t="str">
        <f>VLOOKUP($G175, 'ADP Data'!$B$4:$Q$300, 10, FALSE)</f>
        <v>#N/A</v>
      </c>
      <c r="P175" s="11" t="str">
        <f>VLOOKUP($G175, 'ADP Data'!$B$4:$Q$300, 4, FALSE)</f>
        <v>#N/A</v>
      </c>
      <c r="Q175" s="11" t="str">
        <f>VLOOKUP($G175, 'ADP Data'!$B$4:$Q$300, 5, FALSE)</f>
        <v>#N/A</v>
      </c>
      <c r="R175" s="11" t="str">
        <f>VLOOKUP($G175, 'ADP Data'!$B$4:$Q$300, 7, FALSE)</f>
        <v>#N/A</v>
      </c>
      <c r="S175" s="11" t="str">
        <f>VLOOKUP($G175, 'ADP Data'!$B$4:$Q$300, 8, FALSE)</f>
        <v>#N/A</v>
      </c>
      <c r="T175" s="11" t="str">
        <f>VLOOKUP($G175, 'ADP Data'!$B$4:$Q$300, 9, FALSE)</f>
        <v>#N/A</v>
      </c>
      <c r="U175" s="11" t="str">
        <f t="shared" si="3"/>
        <v>#N/A</v>
      </c>
      <c r="V175" s="11"/>
    </row>
    <row r="176" ht="14.25" customHeight="1">
      <c r="A176" s="11"/>
      <c r="B176" s="11" t="str">
        <f t="shared" si="1"/>
        <v>#N/A</v>
      </c>
      <c r="C176" s="11" t="s">
        <v>106</v>
      </c>
      <c r="D176" s="11"/>
      <c r="E176" s="11"/>
      <c r="F176" s="11"/>
      <c r="G176" s="11" t="s">
        <v>1504</v>
      </c>
      <c r="H176" s="11" t="s">
        <v>67</v>
      </c>
      <c r="I176" s="11" t="s">
        <v>775</v>
      </c>
      <c r="J176" s="99" t="s">
        <v>1578</v>
      </c>
      <c r="K176" s="11"/>
      <c r="L176" s="11"/>
      <c r="M176" s="11">
        <f t="shared" si="2"/>
        <v>16</v>
      </c>
      <c r="N176" s="11" t="str">
        <f>VLOOKUP($G176, 'ADP Data'!$B$4:$Q$300, 6, FALSE)</f>
        <v>#N/A</v>
      </c>
      <c r="O176" s="11" t="str">
        <f>VLOOKUP($G176, 'ADP Data'!$B$4:$Q$300, 10, FALSE)</f>
        <v>#N/A</v>
      </c>
      <c r="P176" s="11" t="str">
        <f>VLOOKUP($G176, 'ADP Data'!$B$4:$Q$300, 4, FALSE)</f>
        <v>#N/A</v>
      </c>
      <c r="Q176" s="11" t="str">
        <f>VLOOKUP($G176, 'ADP Data'!$B$4:$Q$300, 5, FALSE)</f>
        <v>#N/A</v>
      </c>
      <c r="R176" s="11" t="str">
        <f>VLOOKUP($G176, 'ADP Data'!$B$4:$Q$300, 7, FALSE)</f>
        <v>#N/A</v>
      </c>
      <c r="S176" s="11" t="str">
        <f>VLOOKUP($G176, 'ADP Data'!$B$4:$Q$300, 8, FALSE)</f>
        <v>#N/A</v>
      </c>
      <c r="T176" s="11" t="str">
        <f>VLOOKUP($G176, 'ADP Data'!$B$4:$Q$300, 9, FALSE)</f>
        <v>#N/A</v>
      </c>
      <c r="U176" s="11" t="str">
        <f t="shared" si="3"/>
        <v>#N/A</v>
      </c>
      <c r="V176" s="11"/>
    </row>
    <row r="177" ht="14.25" customHeight="1">
      <c r="A177" s="11"/>
      <c r="B177" s="11" t="str">
        <f t="shared" si="1"/>
        <v>#N/A</v>
      </c>
      <c r="C177" s="11" t="s">
        <v>106</v>
      </c>
      <c r="D177" s="11"/>
      <c r="E177" s="11"/>
      <c r="F177" s="11"/>
      <c r="G177" s="11" t="s">
        <v>686</v>
      </c>
      <c r="H177" s="11" t="s">
        <v>119</v>
      </c>
      <c r="I177" s="11" t="s">
        <v>770</v>
      </c>
      <c r="J177" s="99" t="s">
        <v>1351</v>
      </c>
      <c r="K177" s="11" t="s">
        <v>1580</v>
      </c>
      <c r="L177" s="12">
        <v>24.0</v>
      </c>
      <c r="M177" s="11">
        <f t="shared" si="2"/>
        <v>16</v>
      </c>
      <c r="N177" s="11" t="str">
        <f>VLOOKUP($G177, 'ADP Data'!$B$4:$Q$300, 6, FALSE)</f>
        <v>#N/A</v>
      </c>
      <c r="O177" s="11" t="str">
        <f>VLOOKUP($G177, 'ADP Data'!$B$4:$Q$300, 10, FALSE)</f>
        <v>#N/A</v>
      </c>
      <c r="P177" s="11" t="str">
        <f>VLOOKUP($G177, 'ADP Data'!$B$4:$Q$300, 4, FALSE)</f>
        <v>#N/A</v>
      </c>
      <c r="Q177" s="11" t="str">
        <f>VLOOKUP($G177, 'ADP Data'!$B$4:$Q$300, 5, FALSE)</f>
        <v>#N/A</v>
      </c>
      <c r="R177" s="11" t="str">
        <f>VLOOKUP($G177, 'ADP Data'!$B$4:$Q$300, 7, FALSE)</f>
        <v>#N/A</v>
      </c>
      <c r="S177" s="11" t="str">
        <f>VLOOKUP($G177, 'ADP Data'!$B$4:$Q$300, 8, FALSE)</f>
        <v>#N/A</v>
      </c>
      <c r="T177" s="11" t="str">
        <f>VLOOKUP($G177, 'ADP Data'!$B$4:$Q$300, 9, FALSE)</f>
        <v>#N/A</v>
      </c>
      <c r="U177" s="11" t="str">
        <f t="shared" si="3"/>
        <v>#N/A</v>
      </c>
      <c r="V177" s="11"/>
    </row>
    <row r="178" ht="14.25" customHeight="1">
      <c r="A178" s="11"/>
      <c r="B178" s="11" t="str">
        <f t="shared" si="1"/>
        <v>#N/A</v>
      </c>
      <c r="C178" s="11" t="s">
        <v>106</v>
      </c>
      <c r="D178" s="11"/>
      <c r="E178" s="11"/>
      <c r="F178" s="11"/>
      <c r="G178" s="11" t="s">
        <v>664</v>
      </c>
      <c r="H178" s="11" t="s">
        <v>195</v>
      </c>
      <c r="I178" s="11" t="s">
        <v>785</v>
      </c>
      <c r="J178" s="99" t="s">
        <v>1320</v>
      </c>
      <c r="K178" s="11"/>
      <c r="L178" s="11"/>
      <c r="M178" s="11">
        <f t="shared" si="2"/>
        <v>16</v>
      </c>
      <c r="N178" s="11" t="str">
        <f>VLOOKUP($G178, 'ADP Data'!$B$4:$Q$300, 6, FALSE)</f>
        <v>#N/A</v>
      </c>
      <c r="O178" s="11" t="str">
        <f>VLOOKUP($G178, 'ADP Data'!$B$4:$Q$300, 10, FALSE)</f>
        <v>#N/A</v>
      </c>
      <c r="P178" s="11" t="str">
        <f>VLOOKUP($G178, 'ADP Data'!$B$4:$Q$300, 4, FALSE)</f>
        <v>#N/A</v>
      </c>
      <c r="Q178" s="11" t="str">
        <f>VLOOKUP($G178, 'ADP Data'!$B$4:$Q$300, 5, FALSE)</f>
        <v>#N/A</v>
      </c>
      <c r="R178" s="11" t="str">
        <f>VLOOKUP($G178, 'ADP Data'!$B$4:$Q$300, 7, FALSE)</f>
        <v>#N/A</v>
      </c>
      <c r="S178" s="11" t="str">
        <f>VLOOKUP($G178, 'ADP Data'!$B$4:$Q$300, 8, FALSE)</f>
        <v>#N/A</v>
      </c>
      <c r="T178" s="11" t="str">
        <f>VLOOKUP($G178, 'ADP Data'!$B$4:$Q$300, 9, FALSE)</f>
        <v>#N/A</v>
      </c>
      <c r="U178" s="11" t="str">
        <f t="shared" si="3"/>
        <v>#N/A</v>
      </c>
      <c r="V178" s="11"/>
    </row>
    <row r="179" ht="14.25" customHeight="1">
      <c r="A179" s="11"/>
      <c r="B179" s="11" t="str">
        <f t="shared" si="1"/>
        <v>#N/A</v>
      </c>
      <c r="C179" s="11" t="s">
        <v>106</v>
      </c>
      <c r="D179" s="11"/>
      <c r="E179" s="11"/>
      <c r="F179" s="11"/>
      <c r="G179" s="11" t="s">
        <v>1584</v>
      </c>
      <c r="H179" s="11" t="s">
        <v>131</v>
      </c>
      <c r="I179" s="11" t="s">
        <v>775</v>
      </c>
      <c r="J179" s="99" t="s">
        <v>1551</v>
      </c>
      <c r="K179" s="11"/>
      <c r="L179" s="11"/>
      <c r="M179" s="11">
        <f t="shared" si="2"/>
        <v>16</v>
      </c>
      <c r="N179" s="11" t="str">
        <f>VLOOKUP($G179, 'ADP Data'!$B$4:$Q$300, 6, FALSE)</f>
        <v>#N/A</v>
      </c>
      <c r="O179" s="11" t="str">
        <f>VLOOKUP($G179, 'ADP Data'!$B$4:$Q$300, 10, FALSE)</f>
        <v>#N/A</v>
      </c>
      <c r="P179" s="11" t="str">
        <f>VLOOKUP($G179, 'ADP Data'!$B$4:$Q$300, 4, FALSE)</f>
        <v>#N/A</v>
      </c>
      <c r="Q179" s="11" t="str">
        <f>VLOOKUP($G179, 'ADP Data'!$B$4:$Q$300, 5, FALSE)</f>
        <v>#N/A</v>
      </c>
      <c r="R179" s="11" t="str">
        <f>VLOOKUP($G179, 'ADP Data'!$B$4:$Q$300, 7, FALSE)</f>
        <v>#N/A</v>
      </c>
      <c r="S179" s="11" t="str">
        <f>VLOOKUP($G179, 'ADP Data'!$B$4:$Q$300, 8, FALSE)</f>
        <v>#N/A</v>
      </c>
      <c r="T179" s="11" t="str">
        <f>VLOOKUP($G179, 'ADP Data'!$B$4:$Q$300, 9, FALSE)</f>
        <v>#N/A</v>
      </c>
      <c r="U179" s="11" t="str">
        <f t="shared" si="3"/>
        <v>#N/A</v>
      </c>
      <c r="V179" s="11" t="s">
        <v>1585</v>
      </c>
    </row>
    <row r="180" ht="14.25" customHeight="1">
      <c r="A180" s="11"/>
      <c r="B180" s="11" t="str">
        <f t="shared" si="1"/>
        <v>#N/A</v>
      </c>
      <c r="C180" s="11" t="s">
        <v>106</v>
      </c>
      <c r="D180" s="11"/>
      <c r="E180" s="11"/>
      <c r="F180" s="11"/>
      <c r="G180" s="11" t="s">
        <v>1553</v>
      </c>
      <c r="H180" s="11" t="s">
        <v>237</v>
      </c>
      <c r="I180" s="11" t="s">
        <v>781</v>
      </c>
      <c r="J180" s="99" t="s">
        <v>1351</v>
      </c>
      <c r="K180" s="11"/>
      <c r="L180" s="11"/>
      <c r="M180" s="11">
        <f t="shared" si="2"/>
        <v>16</v>
      </c>
      <c r="N180" s="11" t="str">
        <f>VLOOKUP($G180, 'ADP Data'!$B$4:$Q$300, 6, FALSE)</f>
        <v>#N/A</v>
      </c>
      <c r="O180" s="11" t="str">
        <f>VLOOKUP($G180, 'ADP Data'!$B$4:$Q$300, 10, FALSE)</f>
        <v>#N/A</v>
      </c>
      <c r="P180" s="11" t="str">
        <f>VLOOKUP($G180, 'ADP Data'!$B$4:$Q$300, 4, FALSE)</f>
        <v>#N/A</v>
      </c>
      <c r="Q180" s="11" t="str">
        <f>VLOOKUP($G180, 'ADP Data'!$B$4:$Q$300, 5, FALSE)</f>
        <v>#N/A</v>
      </c>
      <c r="R180" s="11" t="str">
        <f>VLOOKUP($G180, 'ADP Data'!$B$4:$Q$300, 7, FALSE)</f>
        <v>#N/A</v>
      </c>
      <c r="S180" s="11" t="str">
        <f>VLOOKUP($G180, 'ADP Data'!$B$4:$Q$300, 8, FALSE)</f>
        <v>#N/A</v>
      </c>
      <c r="T180" s="11" t="str">
        <f>VLOOKUP($G180, 'ADP Data'!$B$4:$Q$300, 9, FALSE)</f>
        <v>#N/A</v>
      </c>
      <c r="U180" s="11" t="str">
        <f t="shared" si="3"/>
        <v>#N/A</v>
      </c>
      <c r="V180" s="11"/>
    </row>
    <row r="181" ht="14.25" customHeight="1">
      <c r="A181" s="11"/>
      <c r="B181" s="11" t="str">
        <f t="shared" si="1"/>
        <v>#N/A</v>
      </c>
      <c r="C181" s="11" t="s">
        <v>106</v>
      </c>
      <c r="D181" s="11"/>
      <c r="E181" s="11"/>
      <c r="F181" s="11" t="s">
        <v>106</v>
      </c>
      <c r="G181" s="11" t="s">
        <v>1369</v>
      </c>
      <c r="H181" s="11" t="s">
        <v>165</v>
      </c>
      <c r="I181" s="11" t="s">
        <v>775</v>
      </c>
      <c r="J181" s="99" t="s">
        <v>1589</v>
      </c>
      <c r="K181" s="11"/>
      <c r="L181" s="11"/>
      <c r="M181" s="11">
        <f t="shared" si="2"/>
        <v>16</v>
      </c>
      <c r="N181" s="11" t="str">
        <f>VLOOKUP($G181, 'ADP Data'!$B$4:$Q$300, 6, FALSE)</f>
        <v>#N/A</v>
      </c>
      <c r="O181" s="11" t="str">
        <f>VLOOKUP($G181, 'ADP Data'!$B$4:$Q$300, 10, FALSE)</f>
        <v>#N/A</v>
      </c>
      <c r="P181" s="11" t="str">
        <f>VLOOKUP($G181, 'ADP Data'!$B$4:$Q$300, 4, FALSE)</f>
        <v>#N/A</v>
      </c>
      <c r="Q181" s="11" t="str">
        <f>VLOOKUP($G181, 'ADP Data'!$B$4:$Q$300, 5, FALSE)</f>
        <v>#N/A</v>
      </c>
      <c r="R181" s="11" t="str">
        <f>VLOOKUP($G181, 'ADP Data'!$B$4:$Q$300, 7, FALSE)</f>
        <v>#N/A</v>
      </c>
      <c r="S181" s="11" t="str">
        <f>VLOOKUP($G181, 'ADP Data'!$B$4:$Q$300, 8, FALSE)</f>
        <v>#N/A</v>
      </c>
      <c r="T181" s="11" t="str">
        <f>VLOOKUP($G181, 'ADP Data'!$B$4:$Q$300, 9, FALSE)</f>
        <v>#N/A</v>
      </c>
      <c r="U181" s="11" t="str">
        <f t="shared" si="3"/>
        <v>#N/A</v>
      </c>
      <c r="V181" s="11"/>
    </row>
    <row r="182" ht="14.25" customHeight="1">
      <c r="A182" s="11"/>
      <c r="B182" s="11" t="str">
        <f t="shared" si="1"/>
        <v>#N/A</v>
      </c>
      <c r="C182" s="11" t="s">
        <v>106</v>
      </c>
      <c r="D182" s="11"/>
      <c r="E182" s="11"/>
      <c r="F182" s="11"/>
      <c r="G182" s="11" t="s">
        <v>850</v>
      </c>
      <c r="H182" s="11" t="s">
        <v>67</v>
      </c>
      <c r="I182" s="11" t="s">
        <v>772</v>
      </c>
      <c r="J182" s="99" t="s">
        <v>1467</v>
      </c>
      <c r="K182" s="11"/>
      <c r="L182" s="11">
        <v>55.0</v>
      </c>
      <c r="M182" s="11">
        <f t="shared" si="2"/>
        <v>16</v>
      </c>
      <c r="N182" s="11" t="str">
        <f>VLOOKUP($G182, 'ADP Data'!$B$4:$Q$300, 6, FALSE)</f>
        <v>#N/A</v>
      </c>
      <c r="O182" s="11" t="str">
        <f>VLOOKUP($G182, 'ADP Data'!$B$4:$Q$300, 10, FALSE)</f>
        <v>#N/A</v>
      </c>
      <c r="P182" s="11" t="str">
        <f>VLOOKUP($G182, 'ADP Data'!$B$4:$Q$300, 4, FALSE)</f>
        <v>#N/A</v>
      </c>
      <c r="Q182" s="11" t="str">
        <f>VLOOKUP($G182, 'ADP Data'!$B$4:$Q$300, 5, FALSE)</f>
        <v>#N/A</v>
      </c>
      <c r="R182" s="11" t="str">
        <f>VLOOKUP($G182, 'ADP Data'!$B$4:$Q$300, 7, FALSE)</f>
        <v>#N/A</v>
      </c>
      <c r="S182" s="11" t="str">
        <f>VLOOKUP($G182, 'ADP Data'!$B$4:$Q$300, 8, FALSE)</f>
        <v>#N/A</v>
      </c>
      <c r="T182" s="11" t="str">
        <f>VLOOKUP($G182, 'ADP Data'!$B$4:$Q$300, 9, FALSE)</f>
        <v>#N/A</v>
      </c>
      <c r="U182" s="11" t="str">
        <f t="shared" si="3"/>
        <v>#N/A</v>
      </c>
      <c r="V182" s="11"/>
    </row>
    <row r="183" ht="14.25" customHeight="1">
      <c r="A183" s="11"/>
      <c r="B183" s="11" t="str">
        <f t="shared" si="1"/>
        <v>#N/A</v>
      </c>
      <c r="C183" s="11" t="s">
        <v>106</v>
      </c>
      <c r="D183" s="11"/>
      <c r="E183" s="11"/>
      <c r="F183" s="11"/>
      <c r="G183" s="11" t="s">
        <v>485</v>
      </c>
      <c r="H183" s="11" t="s">
        <v>176</v>
      </c>
      <c r="I183" s="11" t="s">
        <v>785</v>
      </c>
      <c r="J183" s="99" t="s">
        <v>1340</v>
      </c>
      <c r="K183" s="11"/>
      <c r="L183" s="11"/>
      <c r="M183" s="11">
        <f t="shared" si="2"/>
        <v>16</v>
      </c>
      <c r="N183" s="11" t="str">
        <f>VLOOKUP($G183, 'ADP Data'!$B$4:$Q$300, 6, FALSE)</f>
        <v>#N/A</v>
      </c>
      <c r="O183" s="11" t="str">
        <f>VLOOKUP($G183, 'ADP Data'!$B$4:$Q$300, 10, FALSE)</f>
        <v>#N/A</v>
      </c>
      <c r="P183" s="11" t="str">
        <f>VLOOKUP($G183, 'ADP Data'!$B$4:$Q$300, 4, FALSE)</f>
        <v>#N/A</v>
      </c>
      <c r="Q183" s="11" t="str">
        <f>VLOOKUP($G183, 'ADP Data'!$B$4:$Q$300, 5, FALSE)</f>
        <v>#N/A</v>
      </c>
      <c r="R183" s="11" t="str">
        <f>VLOOKUP($G183, 'ADP Data'!$B$4:$Q$300, 7, FALSE)</f>
        <v>#N/A</v>
      </c>
      <c r="S183" s="11" t="str">
        <f>VLOOKUP($G183, 'ADP Data'!$B$4:$Q$300, 8, FALSE)</f>
        <v>#N/A</v>
      </c>
      <c r="T183" s="11" t="str">
        <f>VLOOKUP($G183, 'ADP Data'!$B$4:$Q$300, 9, FALSE)</f>
        <v>#N/A</v>
      </c>
      <c r="U183" s="11" t="str">
        <f t="shared" si="3"/>
        <v>#N/A</v>
      </c>
      <c r="V183" s="11"/>
    </row>
    <row r="184" ht="14.25" customHeight="1">
      <c r="A184" s="11"/>
      <c r="B184" s="11" t="str">
        <f t="shared" si="1"/>
        <v>#N/A</v>
      </c>
      <c r="C184" s="11" t="s">
        <v>106</v>
      </c>
      <c r="D184" s="11"/>
      <c r="E184" s="11"/>
      <c r="F184" s="11"/>
      <c r="G184" s="11" t="s">
        <v>1192</v>
      </c>
      <c r="H184" s="11" t="s">
        <v>67</v>
      </c>
      <c r="I184" s="11" t="s">
        <v>775</v>
      </c>
      <c r="J184" s="99" t="s">
        <v>1593</v>
      </c>
      <c r="K184" s="11"/>
      <c r="L184" s="11"/>
      <c r="M184" s="11">
        <f t="shared" si="2"/>
        <v>16</v>
      </c>
      <c r="N184" s="11" t="str">
        <f>VLOOKUP($G184, 'ADP Data'!$B$4:$Q$300, 6, FALSE)</f>
        <v>#N/A</v>
      </c>
      <c r="O184" s="11" t="str">
        <f>VLOOKUP($G184, 'ADP Data'!$B$4:$Q$300, 10, FALSE)</f>
        <v>#N/A</v>
      </c>
      <c r="P184" s="11" t="str">
        <f>VLOOKUP($G184, 'ADP Data'!$B$4:$Q$300, 4, FALSE)</f>
        <v>#N/A</v>
      </c>
      <c r="Q184" s="11" t="str">
        <f>VLOOKUP($G184, 'ADP Data'!$B$4:$Q$300, 5, FALSE)</f>
        <v>#N/A</v>
      </c>
      <c r="R184" s="11" t="str">
        <f>VLOOKUP($G184, 'ADP Data'!$B$4:$Q$300, 7, FALSE)</f>
        <v>#N/A</v>
      </c>
      <c r="S184" s="11" t="str">
        <f>VLOOKUP($G184, 'ADP Data'!$B$4:$Q$300, 8, FALSE)</f>
        <v>#N/A</v>
      </c>
      <c r="T184" s="11" t="str">
        <f>VLOOKUP($G184, 'ADP Data'!$B$4:$Q$300, 9, FALSE)</f>
        <v>#N/A</v>
      </c>
      <c r="U184" s="11" t="str">
        <f t="shared" si="3"/>
        <v>#N/A</v>
      </c>
      <c r="V184" s="11"/>
    </row>
    <row r="185" ht="14.25" customHeight="1">
      <c r="A185" s="11"/>
      <c r="B185" s="11" t="str">
        <f t="shared" si="1"/>
        <v>#N/A</v>
      </c>
      <c r="C185" s="11" t="s">
        <v>106</v>
      </c>
      <c r="D185" s="11"/>
      <c r="E185" s="11"/>
      <c r="F185" s="11"/>
      <c r="G185" s="11" t="s">
        <v>1217</v>
      </c>
      <c r="H185" s="11" t="s">
        <v>195</v>
      </c>
      <c r="I185" s="11" t="s">
        <v>781</v>
      </c>
      <c r="J185" s="99" t="s">
        <v>1356</v>
      </c>
      <c r="K185" s="11" t="s">
        <v>1178</v>
      </c>
      <c r="L185" s="11">
        <v>20.0</v>
      </c>
      <c r="M185" s="11">
        <f t="shared" si="2"/>
        <v>16</v>
      </c>
      <c r="N185" s="11" t="str">
        <f>VLOOKUP($G185, 'ADP Data'!$B$4:$Q$300, 6, FALSE)</f>
        <v>#N/A</v>
      </c>
      <c r="O185" s="11" t="str">
        <f>VLOOKUP($G185, 'ADP Data'!$B$4:$Q$300, 10, FALSE)</f>
        <v>#N/A</v>
      </c>
      <c r="P185" s="11" t="str">
        <f>VLOOKUP($G185, 'ADP Data'!$B$4:$Q$300, 4, FALSE)</f>
        <v>#N/A</v>
      </c>
      <c r="Q185" s="11" t="str">
        <f>VLOOKUP($G185, 'ADP Data'!$B$4:$Q$300, 5, FALSE)</f>
        <v>#N/A</v>
      </c>
      <c r="R185" s="11" t="str">
        <f>VLOOKUP($G185, 'ADP Data'!$B$4:$Q$300, 7, FALSE)</f>
        <v>#N/A</v>
      </c>
      <c r="S185" s="11" t="str">
        <f>VLOOKUP($G185, 'ADP Data'!$B$4:$Q$300, 8, FALSE)</f>
        <v>#N/A</v>
      </c>
      <c r="T185" s="11" t="str">
        <f>VLOOKUP($G185, 'ADP Data'!$B$4:$Q$300, 9, FALSE)</f>
        <v>#N/A</v>
      </c>
      <c r="U185" s="11" t="str">
        <f t="shared" si="3"/>
        <v>#N/A</v>
      </c>
      <c r="V185" s="11"/>
    </row>
    <row r="186" ht="14.25" customHeight="1">
      <c r="A186" s="11"/>
      <c r="B186" s="11" t="str">
        <f t="shared" si="1"/>
        <v>#N/A</v>
      </c>
      <c r="C186" s="11" t="s">
        <v>106</v>
      </c>
      <c r="D186" s="11"/>
      <c r="E186" s="11"/>
      <c r="F186" s="11"/>
      <c r="G186" s="11" t="s">
        <v>1265</v>
      </c>
      <c r="H186" s="11" t="s">
        <v>131</v>
      </c>
      <c r="I186" s="11" t="s">
        <v>781</v>
      </c>
      <c r="J186" s="99" t="s">
        <v>1344</v>
      </c>
      <c r="K186" s="11"/>
      <c r="L186" s="11">
        <v>25.0</v>
      </c>
      <c r="M186" s="11">
        <f t="shared" si="2"/>
        <v>16</v>
      </c>
      <c r="N186" s="11" t="str">
        <f>VLOOKUP($G186, 'ADP Data'!$B$4:$Q$300, 6, FALSE)</f>
        <v>#N/A</v>
      </c>
      <c r="O186" s="11" t="str">
        <f>VLOOKUP($G186, 'ADP Data'!$B$4:$Q$300, 10, FALSE)</f>
        <v>#N/A</v>
      </c>
      <c r="P186" s="11" t="str">
        <f>VLOOKUP($G186, 'ADP Data'!$B$4:$Q$300, 4, FALSE)</f>
        <v>#N/A</v>
      </c>
      <c r="Q186" s="11" t="str">
        <f>VLOOKUP($G186, 'ADP Data'!$B$4:$Q$300, 5, FALSE)</f>
        <v>#N/A</v>
      </c>
      <c r="R186" s="11" t="str">
        <f>VLOOKUP($G186, 'ADP Data'!$B$4:$Q$300, 7, FALSE)</f>
        <v>#N/A</v>
      </c>
      <c r="S186" s="11" t="str">
        <f>VLOOKUP($G186, 'ADP Data'!$B$4:$Q$300, 8, FALSE)</f>
        <v>#N/A</v>
      </c>
      <c r="T186" s="11" t="str">
        <f>VLOOKUP($G186, 'ADP Data'!$B$4:$Q$300, 9, FALSE)</f>
        <v>#N/A</v>
      </c>
      <c r="U186" s="11" t="str">
        <f t="shared" si="3"/>
        <v>#N/A</v>
      </c>
      <c r="V186" s="11"/>
    </row>
    <row r="187" ht="14.25" customHeight="1">
      <c r="A187" s="11"/>
      <c r="B187" s="11" t="str">
        <f t="shared" si="1"/>
        <v>#N/A</v>
      </c>
      <c r="C187" s="11" t="s">
        <v>106</v>
      </c>
      <c r="D187" s="11"/>
      <c r="E187" s="11"/>
      <c r="F187" s="11"/>
      <c r="G187" s="11" t="s">
        <v>918</v>
      </c>
      <c r="H187" s="11" t="s">
        <v>62</v>
      </c>
      <c r="I187" s="11" t="s">
        <v>785</v>
      </c>
      <c r="J187" s="99">
        <v>7.0</v>
      </c>
      <c r="K187" s="11"/>
      <c r="L187" s="11"/>
      <c r="M187" s="11">
        <f t="shared" si="2"/>
        <v>16</v>
      </c>
      <c r="N187" s="11" t="str">
        <f>VLOOKUP($G187, 'ADP Data'!$B$4:$Q$300, 6, FALSE)</f>
        <v>#N/A</v>
      </c>
      <c r="O187" s="11" t="str">
        <f>VLOOKUP($G187, 'ADP Data'!$B$4:$Q$300, 10, FALSE)</f>
        <v>#N/A</v>
      </c>
      <c r="P187" s="11" t="str">
        <f>VLOOKUP($G187, 'ADP Data'!$B$4:$Q$300, 4, FALSE)</f>
        <v>#N/A</v>
      </c>
      <c r="Q187" s="11" t="str">
        <f>VLOOKUP($G187, 'ADP Data'!$B$4:$Q$300, 5, FALSE)</f>
        <v>#N/A</v>
      </c>
      <c r="R187" s="11" t="str">
        <f>VLOOKUP($G187, 'ADP Data'!$B$4:$Q$300, 7, FALSE)</f>
        <v>#N/A</v>
      </c>
      <c r="S187" s="11" t="str">
        <f>VLOOKUP($G187, 'ADP Data'!$B$4:$Q$300, 8, FALSE)</f>
        <v>#N/A</v>
      </c>
      <c r="T187" s="11" t="str">
        <f>VLOOKUP($G187, 'ADP Data'!$B$4:$Q$300, 9, FALSE)</f>
        <v>#N/A</v>
      </c>
      <c r="U187" s="11" t="str">
        <f t="shared" si="3"/>
        <v>#N/A</v>
      </c>
      <c r="V187" s="11"/>
    </row>
    <row r="188" ht="14.25" customHeight="1">
      <c r="A188" s="11"/>
      <c r="B188" s="11" t="str">
        <f t="shared" si="1"/>
        <v>#N/A</v>
      </c>
      <c r="C188" s="11" t="s">
        <v>106</v>
      </c>
      <c r="D188" s="11"/>
      <c r="E188" s="11"/>
      <c r="F188" s="11"/>
      <c r="G188" s="11" t="s">
        <v>909</v>
      </c>
      <c r="H188" s="11" t="s">
        <v>98</v>
      </c>
      <c r="I188" s="11" t="s">
        <v>770</v>
      </c>
      <c r="J188" s="99" t="s">
        <v>1373</v>
      </c>
      <c r="K188" s="11"/>
      <c r="L188" s="11"/>
      <c r="M188" s="11">
        <f t="shared" si="2"/>
        <v>16</v>
      </c>
      <c r="N188" s="11" t="str">
        <f>VLOOKUP($G188, 'ADP Data'!$B$4:$Q$300, 6, FALSE)</f>
        <v>#N/A</v>
      </c>
      <c r="O188" s="11" t="str">
        <f>VLOOKUP($G188, 'ADP Data'!$B$4:$Q$300, 10, FALSE)</f>
        <v>#N/A</v>
      </c>
      <c r="P188" s="11" t="str">
        <f>VLOOKUP($G188, 'ADP Data'!$B$4:$Q$300, 4, FALSE)</f>
        <v>#N/A</v>
      </c>
      <c r="Q188" s="11" t="str">
        <f>VLOOKUP($G188, 'ADP Data'!$B$4:$Q$300, 5, FALSE)</f>
        <v>#N/A</v>
      </c>
      <c r="R188" s="11" t="str">
        <f>VLOOKUP($G188, 'ADP Data'!$B$4:$Q$300, 7, FALSE)</f>
        <v>#N/A</v>
      </c>
      <c r="S188" s="11" t="str">
        <f>VLOOKUP($G188, 'ADP Data'!$B$4:$Q$300, 8, FALSE)</f>
        <v>#N/A</v>
      </c>
      <c r="T188" s="11" t="str">
        <f>VLOOKUP($G188, 'ADP Data'!$B$4:$Q$300, 9, FALSE)</f>
        <v>#N/A</v>
      </c>
      <c r="U188" s="11" t="str">
        <f t="shared" si="3"/>
        <v>#N/A</v>
      </c>
      <c r="V188" s="11"/>
    </row>
    <row r="189" ht="14.25" customHeight="1">
      <c r="A189" s="11"/>
      <c r="B189" s="11" t="str">
        <f t="shared" si="1"/>
        <v>#N/A</v>
      </c>
      <c r="C189" s="11" t="s">
        <v>106</v>
      </c>
      <c r="D189" s="11"/>
      <c r="E189" s="11"/>
      <c r="F189" s="11"/>
      <c r="G189" s="11" t="s">
        <v>1524</v>
      </c>
      <c r="H189" s="11" t="s">
        <v>85</v>
      </c>
      <c r="I189" s="11" t="s">
        <v>775</v>
      </c>
      <c r="J189" s="99" t="s">
        <v>1600</v>
      </c>
      <c r="K189" s="11"/>
      <c r="L189" s="11"/>
      <c r="M189" s="11">
        <f t="shared" si="2"/>
        <v>16</v>
      </c>
      <c r="N189" s="11" t="str">
        <f>VLOOKUP($G189, 'ADP Data'!$B$4:$Q$300, 6, FALSE)</f>
        <v>#N/A</v>
      </c>
      <c r="O189" s="11" t="str">
        <f>VLOOKUP($G189, 'ADP Data'!$B$4:$Q$300, 10, FALSE)</f>
        <v>#N/A</v>
      </c>
      <c r="P189" s="11" t="str">
        <f>VLOOKUP($G189, 'ADP Data'!$B$4:$Q$300, 4, FALSE)</f>
        <v>#N/A</v>
      </c>
      <c r="Q189" s="11" t="str">
        <f>VLOOKUP($G189, 'ADP Data'!$B$4:$Q$300, 5, FALSE)</f>
        <v>#N/A</v>
      </c>
      <c r="R189" s="11" t="str">
        <f>VLOOKUP($G189, 'ADP Data'!$B$4:$Q$300, 7, FALSE)</f>
        <v>#N/A</v>
      </c>
      <c r="S189" s="11" t="str">
        <f>VLOOKUP($G189, 'ADP Data'!$B$4:$Q$300, 8, FALSE)</f>
        <v>#N/A</v>
      </c>
      <c r="T189" s="11" t="str">
        <f>VLOOKUP($G189, 'ADP Data'!$B$4:$Q$300, 9, FALSE)</f>
        <v>#N/A</v>
      </c>
      <c r="U189" s="11" t="str">
        <f t="shared" si="3"/>
        <v>#N/A</v>
      </c>
      <c r="V189" s="11"/>
    </row>
    <row r="190" ht="14.25" customHeight="1">
      <c r="A190" s="11"/>
      <c r="B190" s="11" t="str">
        <f t="shared" si="1"/>
        <v>#N/A</v>
      </c>
      <c r="C190" s="11" t="s">
        <v>106</v>
      </c>
      <c r="D190" s="11"/>
      <c r="E190" s="11"/>
      <c r="F190" s="11"/>
      <c r="G190" s="11" t="s">
        <v>1280</v>
      </c>
      <c r="H190" s="11" t="s">
        <v>62</v>
      </c>
      <c r="I190" s="11" t="s">
        <v>775</v>
      </c>
      <c r="J190" s="99" t="s">
        <v>1449</v>
      </c>
      <c r="K190" s="11"/>
      <c r="L190" s="11"/>
      <c r="M190" s="11">
        <f t="shared" si="2"/>
        <v>16</v>
      </c>
      <c r="N190" s="11" t="str">
        <f>VLOOKUP($G190, 'ADP Data'!$B$4:$Q$300, 6, FALSE)</f>
        <v>#N/A</v>
      </c>
      <c r="O190" s="11" t="str">
        <f>VLOOKUP($G190, 'ADP Data'!$B$4:$Q$300, 10, FALSE)</f>
        <v>#N/A</v>
      </c>
      <c r="P190" s="11" t="str">
        <f>VLOOKUP($G190, 'ADP Data'!$B$4:$Q$300, 4, FALSE)</f>
        <v>#N/A</v>
      </c>
      <c r="Q190" s="11" t="str">
        <f>VLOOKUP($G190, 'ADP Data'!$B$4:$Q$300, 5, FALSE)</f>
        <v>#N/A</v>
      </c>
      <c r="R190" s="11" t="str">
        <f>VLOOKUP($G190, 'ADP Data'!$B$4:$Q$300, 7, FALSE)</f>
        <v>#N/A</v>
      </c>
      <c r="S190" s="11" t="str">
        <f>VLOOKUP($G190, 'ADP Data'!$B$4:$Q$300, 8, FALSE)</f>
        <v>#N/A</v>
      </c>
      <c r="T190" s="11" t="str">
        <f>VLOOKUP($G190, 'ADP Data'!$B$4:$Q$300, 9, FALSE)</f>
        <v>#N/A</v>
      </c>
      <c r="U190" s="11" t="str">
        <f t="shared" si="3"/>
        <v>#N/A</v>
      </c>
      <c r="V190" s="11"/>
    </row>
    <row r="191" ht="14.25" customHeight="1">
      <c r="A191" s="11"/>
      <c r="B191" s="11" t="str">
        <f t="shared" si="1"/>
        <v>#N/A</v>
      </c>
      <c r="C191" s="11" t="s">
        <v>106</v>
      </c>
      <c r="D191" s="11"/>
      <c r="E191" s="11"/>
      <c r="F191" s="11"/>
      <c r="G191" s="11" t="s">
        <v>278</v>
      </c>
      <c r="H191" s="11" t="s">
        <v>109</v>
      </c>
      <c r="I191" s="11" t="s">
        <v>772</v>
      </c>
      <c r="J191" s="99" t="s">
        <v>1349</v>
      </c>
      <c r="K191" s="11" t="s">
        <v>1328</v>
      </c>
      <c r="L191" s="11"/>
      <c r="M191" s="11">
        <f t="shared" si="2"/>
        <v>13</v>
      </c>
      <c r="N191" s="11">
        <v>150.0</v>
      </c>
      <c r="O191" s="11" t="str">
        <f>VLOOKUP($G191, 'ADP Data'!$B$4:$Q$300, 10, FALSE)</f>
        <v>#N/A</v>
      </c>
      <c r="P191" s="11" t="str">
        <f>VLOOKUP($G191, 'ADP Data'!$B$4:$Q$300, 4, FALSE)</f>
        <v>#N/A</v>
      </c>
      <c r="Q191" s="11">
        <v>150.0</v>
      </c>
      <c r="R191" s="11">
        <v>150.0</v>
      </c>
      <c r="S191" s="11">
        <v>150.0</v>
      </c>
      <c r="T191" s="11">
        <v>150.0</v>
      </c>
      <c r="U191" s="11" t="str">
        <f t="shared" si="3"/>
        <v>#N/A</v>
      </c>
      <c r="V191" s="11"/>
    </row>
    <row r="192" ht="14.25" customHeight="1">
      <c r="A192" s="11"/>
      <c r="B192" s="11" t="str">
        <f t="shared" si="1"/>
        <v>#N/A</v>
      </c>
      <c r="C192" s="11" t="s">
        <v>106</v>
      </c>
      <c r="D192" s="11"/>
      <c r="E192" s="11"/>
      <c r="F192" s="11"/>
      <c r="G192" s="11" t="s">
        <v>811</v>
      </c>
      <c r="H192" s="11" t="s">
        <v>171</v>
      </c>
      <c r="I192" s="11" t="s">
        <v>781</v>
      </c>
      <c r="J192" s="99" t="s">
        <v>1373</v>
      </c>
      <c r="K192" s="11" t="s">
        <v>1603</v>
      </c>
      <c r="L192" s="11">
        <v>21.0</v>
      </c>
      <c r="M192" s="11">
        <f t="shared" si="2"/>
        <v>16</v>
      </c>
      <c r="N192" s="11" t="str">
        <f>VLOOKUP($G192, 'ADP Data'!$B$4:$Q$300, 6, FALSE)</f>
        <v>#N/A</v>
      </c>
      <c r="O192" s="11" t="str">
        <f>VLOOKUP($G192, 'ADP Data'!$B$4:$Q$300, 10, FALSE)</f>
        <v>#N/A</v>
      </c>
      <c r="P192" s="11" t="str">
        <f>VLOOKUP($G192, 'ADP Data'!$B$4:$Q$300, 4, FALSE)</f>
        <v>#N/A</v>
      </c>
      <c r="Q192" s="11" t="str">
        <f>VLOOKUP($G192, 'ADP Data'!$B$4:$Q$300, 5, FALSE)</f>
        <v>#N/A</v>
      </c>
      <c r="R192" s="11" t="str">
        <f>VLOOKUP($G192, 'ADP Data'!$B$4:$Q$300, 7, FALSE)</f>
        <v>#N/A</v>
      </c>
      <c r="S192" s="11" t="str">
        <f>VLOOKUP($G192, 'ADP Data'!$B$4:$Q$300, 8, FALSE)</f>
        <v>#N/A</v>
      </c>
      <c r="T192" s="11" t="str">
        <f>VLOOKUP($G192, 'ADP Data'!$B$4:$Q$300, 9, FALSE)</f>
        <v>#N/A</v>
      </c>
      <c r="U192" s="11" t="str">
        <f t="shared" si="3"/>
        <v>#N/A</v>
      </c>
      <c r="V192" s="11"/>
    </row>
    <row r="193" ht="14.25" customHeight="1">
      <c r="A193" s="11"/>
      <c r="B193" s="11" t="str">
        <f t="shared" si="1"/>
        <v>#N/A</v>
      </c>
      <c r="C193" s="11" t="s">
        <v>106</v>
      </c>
      <c r="D193" s="11"/>
      <c r="E193" s="11"/>
      <c r="F193" s="11"/>
      <c r="G193" s="11" t="s">
        <v>504</v>
      </c>
      <c r="H193" s="11" t="s">
        <v>116</v>
      </c>
      <c r="I193" s="11" t="s">
        <v>785</v>
      </c>
      <c r="J193" s="99">
        <v>9.0</v>
      </c>
      <c r="K193" s="11"/>
      <c r="L193" s="11"/>
      <c r="M193" s="11">
        <f t="shared" si="2"/>
        <v>16</v>
      </c>
      <c r="N193" s="11" t="str">
        <f>VLOOKUP($G193, 'ADP Data'!$B$4:$Q$300, 6, FALSE)</f>
        <v>#N/A</v>
      </c>
      <c r="O193" s="11" t="str">
        <f>VLOOKUP($G193, 'ADP Data'!$B$4:$Q$300, 10, FALSE)</f>
        <v>#N/A</v>
      </c>
      <c r="P193" s="11" t="str">
        <f>VLOOKUP($G193, 'ADP Data'!$B$4:$Q$300, 4, FALSE)</f>
        <v>#N/A</v>
      </c>
      <c r="Q193" s="11" t="str">
        <f>VLOOKUP($G193, 'ADP Data'!$B$4:$Q$300, 5, FALSE)</f>
        <v>#N/A</v>
      </c>
      <c r="R193" s="11" t="str">
        <f>VLOOKUP($G193, 'ADP Data'!$B$4:$Q$300, 7, FALSE)</f>
        <v>#N/A</v>
      </c>
      <c r="S193" s="11" t="str">
        <f>VLOOKUP($G193, 'ADP Data'!$B$4:$Q$300, 8, FALSE)</f>
        <v>#N/A</v>
      </c>
      <c r="T193" s="11" t="str">
        <f>VLOOKUP($G193, 'ADP Data'!$B$4:$Q$300, 9, FALSE)</f>
        <v>#N/A</v>
      </c>
      <c r="U193" s="11" t="str">
        <f t="shared" si="3"/>
        <v>#N/A</v>
      </c>
      <c r="V193" s="11"/>
    </row>
    <row r="194" ht="14.25" customHeight="1">
      <c r="A194" s="11"/>
      <c r="B194" s="11" t="str">
        <f t="shared" si="1"/>
        <v>#N/A</v>
      </c>
      <c r="C194" s="11" t="s">
        <v>106</v>
      </c>
      <c r="D194" s="11"/>
      <c r="E194" s="11"/>
      <c r="F194" s="11"/>
      <c r="G194" s="11" t="s">
        <v>1277</v>
      </c>
      <c r="H194" s="11" t="s">
        <v>148</v>
      </c>
      <c r="I194" s="11" t="s">
        <v>775</v>
      </c>
      <c r="J194" s="99" t="s">
        <v>1606</v>
      </c>
      <c r="K194" s="11"/>
      <c r="L194" s="11"/>
      <c r="M194" s="11">
        <f t="shared" si="2"/>
        <v>16</v>
      </c>
      <c r="N194" s="11" t="str">
        <f>VLOOKUP($G194, 'ADP Data'!$B$4:$Q$300, 6, FALSE)</f>
        <v>#N/A</v>
      </c>
      <c r="O194" s="11" t="str">
        <f>VLOOKUP($G194, 'ADP Data'!$B$4:$Q$300, 10, FALSE)</f>
        <v>#N/A</v>
      </c>
      <c r="P194" s="11" t="str">
        <f>VLOOKUP($G194, 'ADP Data'!$B$4:$Q$300, 4, FALSE)</f>
        <v>#N/A</v>
      </c>
      <c r="Q194" s="11" t="str">
        <f>VLOOKUP($G194, 'ADP Data'!$B$4:$Q$300, 5, FALSE)</f>
        <v>#N/A</v>
      </c>
      <c r="R194" s="11" t="str">
        <f>VLOOKUP($G194, 'ADP Data'!$B$4:$Q$300, 7, FALSE)</f>
        <v>#N/A</v>
      </c>
      <c r="S194" s="11" t="str">
        <f>VLOOKUP($G194, 'ADP Data'!$B$4:$Q$300, 8, FALSE)</f>
        <v>#N/A</v>
      </c>
      <c r="T194" s="11" t="str">
        <f>VLOOKUP($G194, 'ADP Data'!$B$4:$Q$300, 9, FALSE)</f>
        <v>#N/A</v>
      </c>
      <c r="U194" s="11" t="str">
        <f t="shared" si="3"/>
        <v>#N/A</v>
      </c>
      <c r="V194" s="11"/>
    </row>
    <row r="195" ht="14.25" customHeight="1">
      <c r="A195" s="11"/>
      <c r="B195" s="11" t="str">
        <f t="shared" si="1"/>
        <v>#N/A</v>
      </c>
      <c r="C195" s="11" t="s">
        <v>106</v>
      </c>
      <c r="D195" s="11"/>
      <c r="E195" s="11"/>
      <c r="F195" s="11"/>
      <c r="G195" s="11" t="s">
        <v>1601</v>
      </c>
      <c r="H195" s="11" t="s">
        <v>35</v>
      </c>
      <c r="I195" s="11" t="s">
        <v>775</v>
      </c>
      <c r="J195" s="99" t="s">
        <v>1609</v>
      </c>
      <c r="K195" s="11"/>
      <c r="L195" s="11"/>
      <c r="M195" s="11">
        <f t="shared" si="2"/>
        <v>16</v>
      </c>
      <c r="N195" s="11" t="str">
        <f>VLOOKUP($G195, 'ADP Data'!$B$4:$Q$300, 6, FALSE)</f>
        <v>#N/A</v>
      </c>
      <c r="O195" s="11" t="str">
        <f>VLOOKUP($G195, 'ADP Data'!$B$4:$Q$300, 10, FALSE)</f>
        <v>#N/A</v>
      </c>
      <c r="P195" s="11" t="str">
        <f>VLOOKUP($G195, 'ADP Data'!$B$4:$Q$300, 4, FALSE)</f>
        <v>#N/A</v>
      </c>
      <c r="Q195" s="11" t="str">
        <f>VLOOKUP($G195, 'ADP Data'!$B$4:$Q$300, 5, FALSE)</f>
        <v>#N/A</v>
      </c>
      <c r="R195" s="11" t="str">
        <f>VLOOKUP($G195, 'ADP Data'!$B$4:$Q$300, 7, FALSE)</f>
        <v>#N/A</v>
      </c>
      <c r="S195" s="11" t="str">
        <f>VLOOKUP($G195, 'ADP Data'!$B$4:$Q$300, 8, FALSE)</f>
        <v>#N/A</v>
      </c>
      <c r="T195" s="11" t="str">
        <f>VLOOKUP($G195, 'ADP Data'!$B$4:$Q$300, 9, FALSE)</f>
        <v>#N/A</v>
      </c>
      <c r="U195" s="11" t="str">
        <f t="shared" si="3"/>
        <v>#N/A</v>
      </c>
      <c r="V195" s="11"/>
    </row>
    <row r="196" ht="14.25" customHeight="1">
      <c r="A196" s="11"/>
      <c r="B196" s="11" t="str">
        <f t="shared" si="1"/>
        <v>#N/A</v>
      </c>
      <c r="C196" s="11" t="s">
        <v>106</v>
      </c>
      <c r="D196" s="11"/>
      <c r="E196" s="11"/>
      <c r="F196" s="11"/>
      <c r="G196" s="11" t="s">
        <v>168</v>
      </c>
      <c r="H196" s="11" t="s">
        <v>206</v>
      </c>
      <c r="I196" s="11" t="s">
        <v>772</v>
      </c>
      <c r="J196" s="99">
        <v>100.0</v>
      </c>
      <c r="K196" s="11"/>
      <c r="L196" s="99"/>
      <c r="M196" s="11">
        <f t="shared" si="2"/>
        <v>17</v>
      </c>
      <c r="N196" s="11">
        <v>200.0</v>
      </c>
      <c r="O196" s="11" t="str">
        <f>VLOOKUP($G196, 'ADP Data'!$B$4:$Q$300, 10, FALSE)</f>
        <v>#N/A</v>
      </c>
      <c r="P196" s="11">
        <v>200.0</v>
      </c>
      <c r="Q196" s="11">
        <v>200.0</v>
      </c>
      <c r="R196" s="11">
        <v>200.0</v>
      </c>
      <c r="S196" s="11">
        <v>200.0</v>
      </c>
      <c r="T196" s="11">
        <v>150.0</v>
      </c>
      <c r="U196" s="11">
        <v>200.0</v>
      </c>
      <c r="V196" s="11"/>
    </row>
    <row r="197" ht="14.25" customHeight="1">
      <c r="A197" s="11"/>
      <c r="B197" s="11" t="str">
        <f t="shared" si="1"/>
        <v>#N/A</v>
      </c>
      <c r="C197" s="11" t="s">
        <v>106</v>
      </c>
      <c r="D197" s="11"/>
      <c r="E197" s="11"/>
      <c r="F197" s="11"/>
      <c r="G197" s="11" t="s">
        <v>1278</v>
      </c>
      <c r="H197" s="11" t="s">
        <v>109</v>
      </c>
      <c r="I197" s="11" t="s">
        <v>775</v>
      </c>
      <c r="J197" s="99" t="s">
        <v>1505</v>
      </c>
      <c r="K197" s="11"/>
      <c r="L197" s="11"/>
      <c r="M197" s="11">
        <f t="shared" si="2"/>
        <v>16</v>
      </c>
      <c r="N197" s="11" t="str">
        <f>VLOOKUP($G197, 'ADP Data'!$B$4:$Q$300, 6, FALSE)</f>
        <v>#N/A</v>
      </c>
      <c r="O197" s="11" t="str">
        <f>VLOOKUP($G197, 'ADP Data'!$B$4:$Q$300, 10, FALSE)</f>
        <v>#N/A</v>
      </c>
      <c r="P197" s="11" t="str">
        <f>VLOOKUP($G197, 'ADP Data'!$B$4:$Q$300, 4, FALSE)</f>
        <v>#N/A</v>
      </c>
      <c r="Q197" s="11" t="str">
        <f>VLOOKUP($G197, 'ADP Data'!$B$4:$Q$300, 5, FALSE)</f>
        <v>#N/A</v>
      </c>
      <c r="R197" s="11" t="str">
        <f>VLOOKUP($G197, 'ADP Data'!$B$4:$Q$300, 7, FALSE)</f>
        <v>#N/A</v>
      </c>
      <c r="S197" s="11" t="str">
        <f>VLOOKUP($G197, 'ADP Data'!$B$4:$Q$300, 8, FALSE)</f>
        <v>#N/A</v>
      </c>
      <c r="T197" s="11" t="str">
        <f>VLOOKUP($G197, 'ADP Data'!$B$4:$Q$300, 9, FALSE)</f>
        <v>#N/A</v>
      </c>
      <c r="U197" s="11" t="str">
        <f t="shared" ref="U197:U282" si="4">INT(AVERAGE(O197:S197))</f>
        <v>#N/A</v>
      </c>
      <c r="V197" s="11"/>
    </row>
    <row r="198" ht="14.25" customHeight="1">
      <c r="A198" s="11"/>
      <c r="B198" s="11" t="str">
        <f t="shared" si="1"/>
        <v>#N/A</v>
      </c>
      <c r="C198" s="11" t="s">
        <v>106</v>
      </c>
      <c r="D198" s="11"/>
      <c r="E198" s="11"/>
      <c r="F198" s="11"/>
      <c r="G198" s="11" t="s">
        <v>1555</v>
      </c>
      <c r="H198" s="11" t="s">
        <v>71</v>
      </c>
      <c r="I198" s="11" t="s">
        <v>781</v>
      </c>
      <c r="J198" s="99" t="s">
        <v>1367</v>
      </c>
      <c r="K198" s="11"/>
      <c r="L198" s="11"/>
      <c r="M198" s="11">
        <f t="shared" si="2"/>
        <v>16</v>
      </c>
      <c r="N198" s="11" t="str">
        <f>VLOOKUP($G198, 'ADP Data'!$B$4:$Q$300, 6, FALSE)</f>
        <v>#N/A</v>
      </c>
      <c r="O198" s="11" t="str">
        <f>VLOOKUP($G198, 'ADP Data'!$B$4:$Q$300, 10, FALSE)</f>
        <v>#N/A</v>
      </c>
      <c r="P198" s="11" t="str">
        <f>VLOOKUP($G198, 'ADP Data'!$B$4:$Q$300, 4, FALSE)</f>
        <v>#N/A</v>
      </c>
      <c r="Q198" s="11" t="str">
        <f>VLOOKUP($G198, 'ADP Data'!$B$4:$Q$300, 5, FALSE)</f>
        <v>#N/A</v>
      </c>
      <c r="R198" s="11" t="str">
        <f>VLOOKUP($G198, 'ADP Data'!$B$4:$Q$300, 7, FALSE)</f>
        <v>#N/A</v>
      </c>
      <c r="S198" s="11" t="str">
        <f>VLOOKUP($G198, 'ADP Data'!$B$4:$Q$300, 8, FALSE)</f>
        <v>#N/A</v>
      </c>
      <c r="T198" s="11" t="str">
        <f>VLOOKUP($G198, 'ADP Data'!$B$4:$Q$300, 9, FALSE)</f>
        <v>#N/A</v>
      </c>
      <c r="U198" s="11" t="str">
        <f t="shared" si="4"/>
        <v>#N/A</v>
      </c>
      <c r="V198" s="11"/>
    </row>
    <row r="199" ht="14.25" customHeight="1">
      <c r="A199" s="11"/>
      <c r="B199" s="11" t="str">
        <f t="shared" si="1"/>
        <v>#N/A</v>
      </c>
      <c r="C199" s="11" t="s">
        <v>106</v>
      </c>
      <c r="D199" s="11"/>
      <c r="E199" s="11"/>
      <c r="F199" s="11"/>
      <c r="G199" s="11" t="s">
        <v>1186</v>
      </c>
      <c r="H199" s="11" t="s">
        <v>131</v>
      </c>
      <c r="I199" s="11" t="s">
        <v>770</v>
      </c>
      <c r="J199" s="99" t="s">
        <v>1378</v>
      </c>
      <c r="K199" s="11"/>
      <c r="L199" s="11"/>
      <c r="M199" s="11">
        <f t="shared" si="2"/>
        <v>16</v>
      </c>
      <c r="N199" s="11" t="str">
        <f>VLOOKUP($G199, 'ADP Data'!$B$4:$Q$300, 6, FALSE)</f>
        <v>#N/A</v>
      </c>
      <c r="O199" s="11" t="str">
        <f>VLOOKUP($G199, 'ADP Data'!$B$4:$Q$300, 10, FALSE)</f>
        <v>#N/A</v>
      </c>
      <c r="P199" s="11" t="str">
        <f>VLOOKUP($G199, 'ADP Data'!$B$4:$Q$300, 4, FALSE)</f>
        <v>#N/A</v>
      </c>
      <c r="Q199" s="11" t="str">
        <f>VLOOKUP($G199, 'ADP Data'!$B$4:$Q$300, 5, FALSE)</f>
        <v>#N/A</v>
      </c>
      <c r="R199" s="11" t="str">
        <f>VLOOKUP($G199, 'ADP Data'!$B$4:$Q$300, 7, FALSE)</f>
        <v>#N/A</v>
      </c>
      <c r="S199" s="11" t="str">
        <f>VLOOKUP($G199, 'ADP Data'!$B$4:$Q$300, 8, FALSE)</f>
        <v>#N/A</v>
      </c>
      <c r="T199" s="11" t="str">
        <f>VLOOKUP($G199, 'ADP Data'!$B$4:$Q$300, 9, FALSE)</f>
        <v>#N/A</v>
      </c>
      <c r="U199" s="11" t="str">
        <f t="shared" si="4"/>
        <v>#N/A</v>
      </c>
      <c r="V199" s="11"/>
    </row>
    <row r="200" ht="14.25" customHeight="1">
      <c r="A200" s="11"/>
      <c r="B200" s="11" t="str">
        <f t="shared" si="1"/>
        <v>#N/A</v>
      </c>
      <c r="C200" s="11" t="s">
        <v>106</v>
      </c>
      <c r="D200" s="11"/>
      <c r="E200" s="11"/>
      <c r="F200" s="11"/>
      <c r="G200" s="11" t="s">
        <v>1193</v>
      </c>
      <c r="H200" s="11" t="s">
        <v>148</v>
      </c>
      <c r="I200" s="11" t="s">
        <v>770</v>
      </c>
      <c r="J200" s="99" t="s">
        <v>1363</v>
      </c>
      <c r="K200" s="11"/>
      <c r="L200" s="11"/>
      <c r="M200" s="11">
        <f t="shared" si="2"/>
        <v>16</v>
      </c>
      <c r="N200" s="11" t="str">
        <f>VLOOKUP($G200, 'ADP Data'!$B$4:$Q$300, 6, FALSE)</f>
        <v>#N/A</v>
      </c>
      <c r="O200" s="11" t="str">
        <f>VLOOKUP($G200, 'ADP Data'!$B$4:$Q$300, 10, FALSE)</f>
        <v>#N/A</v>
      </c>
      <c r="P200" s="11" t="str">
        <f>VLOOKUP($G200, 'ADP Data'!$B$4:$Q$300, 4, FALSE)</f>
        <v>#N/A</v>
      </c>
      <c r="Q200" s="11" t="str">
        <f>VLOOKUP($G200, 'ADP Data'!$B$4:$Q$300, 5, FALSE)</f>
        <v>#N/A</v>
      </c>
      <c r="R200" s="11" t="str">
        <f>VLOOKUP($G200, 'ADP Data'!$B$4:$Q$300, 7, FALSE)</f>
        <v>#N/A</v>
      </c>
      <c r="S200" s="11" t="str">
        <f>VLOOKUP($G200, 'ADP Data'!$B$4:$Q$300, 8, FALSE)</f>
        <v>#N/A</v>
      </c>
      <c r="T200" s="11" t="str">
        <f>VLOOKUP($G200, 'ADP Data'!$B$4:$Q$300, 9, FALSE)</f>
        <v>#N/A</v>
      </c>
      <c r="U200" s="11" t="str">
        <f t="shared" si="4"/>
        <v>#N/A</v>
      </c>
      <c r="V200" s="11"/>
    </row>
    <row r="201" ht="14.25" customHeight="1">
      <c r="A201" s="11"/>
      <c r="B201" s="11" t="str">
        <f t="shared" si="1"/>
        <v>#N/A</v>
      </c>
      <c r="C201" s="11" t="s">
        <v>106</v>
      </c>
      <c r="D201" s="11"/>
      <c r="E201" s="11"/>
      <c r="F201" s="11"/>
      <c r="G201" s="11" t="s">
        <v>928</v>
      </c>
      <c r="H201" s="11" t="s">
        <v>75</v>
      </c>
      <c r="I201" s="11" t="s">
        <v>772</v>
      </c>
      <c r="J201" s="99" t="s">
        <v>1459</v>
      </c>
      <c r="K201" s="11"/>
      <c r="L201" s="11"/>
      <c r="M201" s="11">
        <f t="shared" si="2"/>
        <v>16</v>
      </c>
      <c r="N201" s="11" t="str">
        <f>VLOOKUP($G201, 'ADP Data'!$B$4:$Q$300, 6, FALSE)</f>
        <v>#N/A</v>
      </c>
      <c r="O201" s="11" t="str">
        <f>VLOOKUP($G201, 'ADP Data'!$B$4:$Q$300, 10, FALSE)</f>
        <v>#N/A</v>
      </c>
      <c r="P201" s="11" t="str">
        <f>VLOOKUP($G201, 'ADP Data'!$B$4:$Q$300, 4, FALSE)</f>
        <v>#N/A</v>
      </c>
      <c r="Q201" s="11" t="str">
        <f>VLOOKUP($G201, 'ADP Data'!$B$4:$Q$300, 5, FALSE)</f>
        <v>#N/A</v>
      </c>
      <c r="R201" s="11" t="str">
        <f>VLOOKUP($G201, 'ADP Data'!$B$4:$Q$300, 7, FALSE)</f>
        <v>#N/A</v>
      </c>
      <c r="S201" s="11" t="str">
        <f>VLOOKUP($G201, 'ADP Data'!$B$4:$Q$300, 8, FALSE)</f>
        <v>#N/A</v>
      </c>
      <c r="T201" s="11" t="str">
        <f>VLOOKUP($G201, 'ADP Data'!$B$4:$Q$300, 9, FALSE)</f>
        <v>#N/A</v>
      </c>
      <c r="U201" s="11" t="str">
        <f t="shared" si="4"/>
        <v>#N/A</v>
      </c>
      <c r="V201" s="11"/>
    </row>
    <row r="202" ht="14.25" customHeight="1">
      <c r="A202" s="11"/>
      <c r="B202" s="11" t="str">
        <f t="shared" si="1"/>
        <v>#N/A</v>
      </c>
      <c r="C202" s="11" t="s">
        <v>106</v>
      </c>
      <c r="D202" s="11"/>
      <c r="E202" s="11"/>
      <c r="F202" s="11"/>
      <c r="G202" s="11" t="s">
        <v>572</v>
      </c>
      <c r="H202" s="11" t="s">
        <v>102</v>
      </c>
      <c r="I202" s="11" t="s">
        <v>785</v>
      </c>
      <c r="J202" s="99" t="s">
        <v>1327</v>
      </c>
      <c r="K202" s="11"/>
      <c r="L202" s="11"/>
      <c r="M202" s="11">
        <f t="shared" si="2"/>
        <v>16</v>
      </c>
      <c r="N202" s="11" t="str">
        <f>VLOOKUP($G202, 'ADP Data'!$B$4:$Q$300, 6, FALSE)</f>
        <v>#N/A</v>
      </c>
      <c r="O202" s="11" t="str">
        <f>VLOOKUP($G202, 'ADP Data'!$B$4:$Q$300, 10, FALSE)</f>
        <v>#N/A</v>
      </c>
      <c r="P202" s="11" t="str">
        <f>VLOOKUP($G202, 'ADP Data'!$B$4:$Q$300, 4, FALSE)</f>
        <v>#N/A</v>
      </c>
      <c r="Q202" s="11" t="str">
        <f>VLOOKUP($G202, 'ADP Data'!$B$4:$Q$300, 5, FALSE)</f>
        <v>#N/A</v>
      </c>
      <c r="R202" s="11" t="str">
        <f>VLOOKUP($G202, 'ADP Data'!$B$4:$Q$300, 7, FALSE)</f>
        <v>#N/A</v>
      </c>
      <c r="S202" s="11" t="str">
        <f>VLOOKUP($G202, 'ADP Data'!$B$4:$Q$300, 8, FALSE)</f>
        <v>#N/A</v>
      </c>
      <c r="T202" s="11" t="str">
        <f>VLOOKUP($G202, 'ADP Data'!$B$4:$Q$300, 9, FALSE)</f>
        <v>#N/A</v>
      </c>
      <c r="U202" s="11" t="str">
        <f t="shared" si="4"/>
        <v>#N/A</v>
      </c>
      <c r="V202" s="11"/>
    </row>
    <row r="203" ht="14.25" customHeight="1">
      <c r="A203" s="11"/>
      <c r="B203" s="11" t="str">
        <f t="shared" si="1"/>
        <v>#N/A</v>
      </c>
      <c r="C203" s="11" t="s">
        <v>106</v>
      </c>
      <c r="D203" s="11"/>
      <c r="E203" s="11"/>
      <c r="F203" s="11"/>
      <c r="G203" s="11" t="s">
        <v>1617</v>
      </c>
      <c r="H203" s="11" t="s">
        <v>162</v>
      </c>
      <c r="I203" s="11" t="s">
        <v>772</v>
      </c>
      <c r="J203" s="99" t="s">
        <v>1498</v>
      </c>
      <c r="K203" s="11"/>
      <c r="L203" s="11"/>
      <c r="M203" s="11">
        <f t="shared" si="2"/>
        <v>16</v>
      </c>
      <c r="N203" s="11" t="str">
        <f>VLOOKUP($G203, 'ADP Data'!$B$4:$Q$300, 6, FALSE)</f>
        <v>#N/A</v>
      </c>
      <c r="O203" s="11" t="str">
        <f>VLOOKUP($G203, 'ADP Data'!$B$4:$Q$300, 10, FALSE)</f>
        <v>#N/A</v>
      </c>
      <c r="P203" s="11" t="str">
        <f>VLOOKUP($G203, 'ADP Data'!$B$4:$Q$300, 4, FALSE)</f>
        <v>#N/A</v>
      </c>
      <c r="Q203" s="11" t="str">
        <f>VLOOKUP($G203, 'ADP Data'!$B$4:$Q$300, 5, FALSE)</f>
        <v>#N/A</v>
      </c>
      <c r="R203" s="11" t="str">
        <f>VLOOKUP($G203, 'ADP Data'!$B$4:$Q$300, 7, FALSE)</f>
        <v>#N/A</v>
      </c>
      <c r="S203" s="11" t="str">
        <f>VLOOKUP($G203, 'ADP Data'!$B$4:$Q$300, 8, FALSE)</f>
        <v>#N/A</v>
      </c>
      <c r="T203" s="11" t="str">
        <f>VLOOKUP($G203, 'ADP Data'!$B$4:$Q$300, 9, FALSE)</f>
        <v>#N/A</v>
      </c>
      <c r="U203" s="11" t="str">
        <f t="shared" si="4"/>
        <v>#N/A</v>
      </c>
      <c r="V203" s="11"/>
    </row>
    <row r="204" ht="14.25" customHeight="1">
      <c r="A204" s="11"/>
      <c r="B204" s="11" t="str">
        <f t="shared" si="1"/>
        <v>#N/A</v>
      </c>
      <c r="C204" s="11" t="s">
        <v>106</v>
      </c>
      <c r="D204" s="11"/>
      <c r="E204" s="11"/>
      <c r="F204" s="11"/>
      <c r="G204" s="11" t="s">
        <v>1598</v>
      </c>
      <c r="H204" s="11" t="s">
        <v>231</v>
      </c>
      <c r="I204" s="11" t="s">
        <v>772</v>
      </c>
      <c r="J204" s="99" t="s">
        <v>1529</v>
      </c>
      <c r="K204" s="11"/>
      <c r="L204" s="11"/>
      <c r="M204" s="11">
        <f t="shared" si="2"/>
        <v>16</v>
      </c>
      <c r="N204" s="11" t="str">
        <f>VLOOKUP($G204, 'ADP Data'!$B$4:$Q$300, 6, FALSE)</f>
        <v>#N/A</v>
      </c>
      <c r="O204" s="11" t="str">
        <f>VLOOKUP($G204, 'ADP Data'!$B$4:$Q$300, 10, FALSE)</f>
        <v>#N/A</v>
      </c>
      <c r="P204" s="11" t="str">
        <f>VLOOKUP($G204, 'ADP Data'!$B$4:$Q$300, 4, FALSE)</f>
        <v>#N/A</v>
      </c>
      <c r="Q204" s="11" t="str">
        <f>VLOOKUP($G204, 'ADP Data'!$B$4:$Q$300, 5, FALSE)</f>
        <v>#N/A</v>
      </c>
      <c r="R204" s="11" t="str">
        <f>VLOOKUP($G204, 'ADP Data'!$B$4:$Q$300, 7, FALSE)</f>
        <v>#N/A</v>
      </c>
      <c r="S204" s="11" t="str">
        <f>VLOOKUP($G204, 'ADP Data'!$B$4:$Q$300, 8, FALSE)</f>
        <v>#N/A</v>
      </c>
      <c r="T204" s="11" t="str">
        <f>VLOOKUP($G204, 'ADP Data'!$B$4:$Q$300, 9, FALSE)</f>
        <v>#N/A</v>
      </c>
      <c r="U204" s="11" t="str">
        <f t="shared" si="4"/>
        <v>#N/A</v>
      </c>
      <c r="V204" s="11"/>
    </row>
    <row r="205" ht="14.25" customHeight="1">
      <c r="A205" s="11"/>
      <c r="B205" s="11" t="str">
        <f t="shared" si="1"/>
        <v>#N/A</v>
      </c>
      <c r="C205" s="11" t="s">
        <v>106</v>
      </c>
      <c r="D205" s="11"/>
      <c r="E205" s="11"/>
      <c r="F205" s="11"/>
      <c r="G205" s="11" t="s">
        <v>1618</v>
      </c>
      <c r="H205" s="11" t="s">
        <v>94</v>
      </c>
      <c r="I205" s="11" t="s">
        <v>772</v>
      </c>
      <c r="J205" s="99" t="s">
        <v>1619</v>
      </c>
      <c r="K205" s="11"/>
      <c r="L205" s="11"/>
      <c r="M205" s="11">
        <f t="shared" si="2"/>
        <v>16</v>
      </c>
      <c r="N205" s="11" t="str">
        <f>VLOOKUP($G205, 'ADP Data'!$B$4:$Q$300, 6, FALSE)</f>
        <v>#N/A</v>
      </c>
      <c r="O205" s="11" t="str">
        <f>VLOOKUP($G205, 'ADP Data'!$B$4:$Q$300, 10, FALSE)</f>
        <v>#N/A</v>
      </c>
      <c r="P205" s="11" t="str">
        <f>VLOOKUP($G205, 'ADP Data'!$B$4:$Q$300, 4, FALSE)</f>
        <v>#N/A</v>
      </c>
      <c r="Q205" s="11" t="str">
        <f>VLOOKUP($G205, 'ADP Data'!$B$4:$Q$300, 5, FALSE)</f>
        <v>#N/A</v>
      </c>
      <c r="R205" s="11" t="str">
        <f>VLOOKUP($G205, 'ADP Data'!$B$4:$Q$300, 7, FALSE)</f>
        <v>#N/A</v>
      </c>
      <c r="S205" s="11" t="str">
        <f>VLOOKUP($G205, 'ADP Data'!$B$4:$Q$300, 8, FALSE)</f>
        <v>#N/A</v>
      </c>
      <c r="T205" s="11" t="str">
        <f>VLOOKUP($G205, 'ADP Data'!$B$4:$Q$300, 9, FALSE)</f>
        <v>#N/A</v>
      </c>
      <c r="U205" s="11" t="str">
        <f t="shared" si="4"/>
        <v>#N/A</v>
      </c>
      <c r="V205" s="11"/>
    </row>
    <row r="206" ht="14.25" customHeight="1">
      <c r="A206" s="11"/>
      <c r="B206" s="11" t="str">
        <f t="shared" si="1"/>
        <v>#N/A</v>
      </c>
      <c r="C206" s="11" t="s">
        <v>106</v>
      </c>
      <c r="D206" s="11"/>
      <c r="E206" s="11"/>
      <c r="F206" s="11"/>
      <c r="G206" s="11" t="s">
        <v>653</v>
      </c>
      <c r="H206" s="11" t="s">
        <v>125</v>
      </c>
      <c r="I206" s="11" t="s">
        <v>775</v>
      </c>
      <c r="J206" s="99" t="s">
        <v>1620</v>
      </c>
      <c r="K206" s="11"/>
      <c r="L206" s="11"/>
      <c r="M206" s="11">
        <f t="shared" si="2"/>
        <v>16</v>
      </c>
      <c r="N206" s="11" t="str">
        <f>VLOOKUP($G206, 'ADP Data'!$B$4:$Q$300, 6, FALSE)</f>
        <v>#N/A</v>
      </c>
      <c r="O206" s="11" t="str">
        <f>VLOOKUP($G206, 'ADP Data'!$B$4:$Q$300, 10, FALSE)</f>
        <v>#N/A</v>
      </c>
      <c r="P206" s="11" t="str">
        <f>VLOOKUP($G206, 'ADP Data'!$B$4:$Q$300, 4, FALSE)</f>
        <v>#N/A</v>
      </c>
      <c r="Q206" s="11" t="str">
        <f>VLOOKUP($G206, 'ADP Data'!$B$4:$Q$300, 5, FALSE)</f>
        <v>#N/A</v>
      </c>
      <c r="R206" s="11" t="str">
        <f>VLOOKUP($G206, 'ADP Data'!$B$4:$Q$300, 7, FALSE)</f>
        <v>#N/A</v>
      </c>
      <c r="S206" s="11" t="str">
        <f>VLOOKUP($G206, 'ADP Data'!$B$4:$Q$300, 8, FALSE)</f>
        <v>#N/A</v>
      </c>
      <c r="T206" s="11" t="str">
        <f>VLOOKUP($G206, 'ADP Data'!$B$4:$Q$300, 9, FALSE)</f>
        <v>#N/A</v>
      </c>
      <c r="U206" s="11" t="str">
        <f t="shared" si="4"/>
        <v>#N/A</v>
      </c>
      <c r="V206" s="11"/>
    </row>
    <row r="207" ht="14.25" customHeight="1">
      <c r="A207" s="11"/>
      <c r="B207" s="11" t="str">
        <f t="shared" si="1"/>
        <v>#N/A</v>
      </c>
      <c r="C207" s="11" t="s">
        <v>106</v>
      </c>
      <c r="D207" s="11"/>
      <c r="E207" s="11"/>
      <c r="F207" s="11"/>
      <c r="G207" s="11" t="s">
        <v>1288</v>
      </c>
      <c r="H207" s="11" t="s">
        <v>176</v>
      </c>
      <c r="I207" s="11" t="s">
        <v>775</v>
      </c>
      <c r="J207" s="99" t="s">
        <v>1621</v>
      </c>
      <c r="K207" s="11"/>
      <c r="L207" s="11"/>
      <c r="M207" s="11">
        <f t="shared" si="2"/>
        <v>16</v>
      </c>
      <c r="N207" s="11" t="str">
        <f>VLOOKUP($G207, 'ADP Data'!$B$4:$Q$300, 6, FALSE)</f>
        <v>#N/A</v>
      </c>
      <c r="O207" s="11" t="str">
        <f>VLOOKUP($G207, 'ADP Data'!$B$4:$Q$300, 10, FALSE)</f>
        <v>#N/A</v>
      </c>
      <c r="P207" s="11" t="str">
        <f>VLOOKUP($G207, 'ADP Data'!$B$4:$Q$300, 4, FALSE)</f>
        <v>#N/A</v>
      </c>
      <c r="Q207" s="11" t="str">
        <f>VLOOKUP($G207, 'ADP Data'!$B$4:$Q$300, 5, FALSE)</f>
        <v>#N/A</v>
      </c>
      <c r="R207" s="11" t="str">
        <f>VLOOKUP($G207, 'ADP Data'!$B$4:$Q$300, 7, FALSE)</f>
        <v>#N/A</v>
      </c>
      <c r="S207" s="11" t="str">
        <f>VLOOKUP($G207, 'ADP Data'!$B$4:$Q$300, 8, FALSE)</f>
        <v>#N/A</v>
      </c>
      <c r="T207" s="11" t="str">
        <f>VLOOKUP($G207, 'ADP Data'!$B$4:$Q$300, 9, FALSE)</f>
        <v>#N/A</v>
      </c>
      <c r="U207" s="11" t="str">
        <f t="shared" si="4"/>
        <v>#N/A</v>
      </c>
      <c r="V207" s="11" t="s">
        <v>1622</v>
      </c>
    </row>
    <row r="208" ht="14.25" customHeight="1">
      <c r="A208" s="11"/>
      <c r="B208" s="11" t="str">
        <f t="shared" si="1"/>
        <v>#N/A</v>
      </c>
      <c r="C208" s="11" t="s">
        <v>106</v>
      </c>
      <c r="D208" s="11"/>
      <c r="E208" s="11"/>
      <c r="F208" s="11"/>
      <c r="G208" s="11" t="s">
        <v>1189</v>
      </c>
      <c r="H208" s="11" t="s">
        <v>62</v>
      </c>
      <c r="I208" s="11" t="s">
        <v>770</v>
      </c>
      <c r="J208" s="99" t="s">
        <v>1339</v>
      </c>
      <c r="K208" s="11"/>
      <c r="L208" s="11"/>
      <c r="M208" s="11">
        <f t="shared" si="2"/>
        <v>16</v>
      </c>
      <c r="N208" s="11" t="str">
        <f>VLOOKUP($G208, 'ADP Data'!$B$4:$Q$300, 6, FALSE)</f>
        <v>#N/A</v>
      </c>
      <c r="O208" s="11" t="str">
        <f>VLOOKUP($G208, 'ADP Data'!$B$4:$Q$300, 10, FALSE)</f>
        <v>#N/A</v>
      </c>
      <c r="P208" s="11" t="str">
        <f>VLOOKUP($G208, 'ADP Data'!$B$4:$Q$300, 4, FALSE)</f>
        <v>#N/A</v>
      </c>
      <c r="Q208" s="11" t="str">
        <f>VLOOKUP($G208, 'ADP Data'!$B$4:$Q$300, 5, FALSE)</f>
        <v>#N/A</v>
      </c>
      <c r="R208" s="11" t="str">
        <f>VLOOKUP($G208, 'ADP Data'!$B$4:$Q$300, 7, FALSE)</f>
        <v>#N/A</v>
      </c>
      <c r="S208" s="11" t="str">
        <f>VLOOKUP($G208, 'ADP Data'!$B$4:$Q$300, 8, FALSE)</f>
        <v>#N/A</v>
      </c>
      <c r="T208" s="11" t="str">
        <f>VLOOKUP($G208, 'ADP Data'!$B$4:$Q$300, 9, FALSE)</f>
        <v>#N/A</v>
      </c>
      <c r="U208" s="11" t="str">
        <f t="shared" si="4"/>
        <v>#N/A</v>
      </c>
      <c r="V208" s="11"/>
    </row>
    <row r="209" ht="14.25" customHeight="1">
      <c r="A209" s="11"/>
      <c r="B209" s="11" t="str">
        <f t="shared" si="1"/>
        <v>#N/A</v>
      </c>
      <c r="C209" s="11" t="s">
        <v>106</v>
      </c>
      <c r="D209" s="11"/>
      <c r="E209" s="11"/>
      <c r="F209" s="11"/>
      <c r="G209" s="11" t="s">
        <v>442</v>
      </c>
      <c r="H209" s="11" t="s">
        <v>165</v>
      </c>
      <c r="I209" s="11" t="s">
        <v>770</v>
      </c>
      <c r="J209" s="99" t="s">
        <v>1386</v>
      </c>
      <c r="K209" s="11"/>
      <c r="L209" s="11"/>
      <c r="M209" s="11">
        <f t="shared" si="2"/>
        <v>16</v>
      </c>
      <c r="N209" s="11" t="str">
        <f>VLOOKUP($G209, 'ADP Data'!$B$4:$Q$300, 6, FALSE)</f>
        <v>#N/A</v>
      </c>
      <c r="O209" s="11" t="str">
        <f>VLOOKUP($G209, 'ADP Data'!$B$4:$Q$300, 10, FALSE)</f>
        <v>#N/A</v>
      </c>
      <c r="P209" s="11" t="str">
        <f>VLOOKUP($G209, 'ADP Data'!$B$4:$Q$300, 4, FALSE)</f>
        <v>#N/A</v>
      </c>
      <c r="Q209" s="11" t="str">
        <f>VLOOKUP($G209, 'ADP Data'!$B$4:$Q$300, 5, FALSE)</f>
        <v>#N/A</v>
      </c>
      <c r="R209" s="11" t="str">
        <f>VLOOKUP($G209, 'ADP Data'!$B$4:$Q$300, 7, FALSE)</f>
        <v>#N/A</v>
      </c>
      <c r="S209" s="11" t="str">
        <f>VLOOKUP($G209, 'ADP Data'!$B$4:$Q$300, 8, FALSE)</f>
        <v>#N/A</v>
      </c>
      <c r="T209" s="11" t="str">
        <f>VLOOKUP($G209, 'ADP Data'!$B$4:$Q$300, 9, FALSE)</f>
        <v>#N/A</v>
      </c>
      <c r="U209" s="11" t="str">
        <f t="shared" si="4"/>
        <v>#N/A</v>
      </c>
      <c r="V209" s="11"/>
    </row>
    <row r="210" ht="14.25" customHeight="1">
      <c r="A210" s="11"/>
      <c r="B210" s="11" t="str">
        <f t="shared" si="1"/>
        <v>#N/A</v>
      </c>
      <c r="C210" s="11" t="s">
        <v>106</v>
      </c>
      <c r="D210" s="11"/>
      <c r="E210" s="11"/>
      <c r="F210" s="11"/>
      <c r="G210" s="11" t="s">
        <v>552</v>
      </c>
      <c r="H210" s="11" t="s">
        <v>237</v>
      </c>
      <c r="I210" s="11" t="s">
        <v>781</v>
      </c>
      <c r="J210" s="99" t="s">
        <v>1365</v>
      </c>
      <c r="K210" s="11"/>
      <c r="L210" s="11"/>
      <c r="M210" s="11">
        <f t="shared" si="2"/>
        <v>16</v>
      </c>
      <c r="N210" s="11" t="str">
        <f>VLOOKUP($G210, 'ADP Data'!$B$4:$Q$300, 6, FALSE)</f>
        <v>#N/A</v>
      </c>
      <c r="O210" s="11" t="str">
        <f>VLOOKUP($G210, 'ADP Data'!$B$4:$Q$300, 10, FALSE)</f>
        <v>#N/A</v>
      </c>
      <c r="P210" s="11" t="str">
        <f>VLOOKUP($G210, 'ADP Data'!$B$4:$Q$300, 4, FALSE)</f>
        <v>#N/A</v>
      </c>
      <c r="Q210" s="11" t="str">
        <f>VLOOKUP($G210, 'ADP Data'!$B$4:$Q$300, 5, FALSE)</f>
        <v>#N/A</v>
      </c>
      <c r="R210" s="11" t="str">
        <f>VLOOKUP($G210, 'ADP Data'!$B$4:$Q$300, 7, FALSE)</f>
        <v>#N/A</v>
      </c>
      <c r="S210" s="11" t="str">
        <f>VLOOKUP($G210, 'ADP Data'!$B$4:$Q$300, 8, FALSE)</f>
        <v>#N/A</v>
      </c>
      <c r="T210" s="11" t="str">
        <f>VLOOKUP($G210, 'ADP Data'!$B$4:$Q$300, 9, FALSE)</f>
        <v>#N/A</v>
      </c>
      <c r="U210" s="11" t="str">
        <f t="shared" si="4"/>
        <v>#N/A</v>
      </c>
      <c r="V210" s="11"/>
    </row>
    <row r="211" ht="14.25" customHeight="1">
      <c r="A211" s="11"/>
      <c r="B211" s="11" t="str">
        <f t="shared" si="1"/>
        <v>#N/A</v>
      </c>
      <c r="C211" s="11" t="s">
        <v>106</v>
      </c>
      <c r="D211" s="11"/>
      <c r="E211" s="11"/>
      <c r="F211" s="11"/>
      <c r="G211" s="11" t="s">
        <v>288</v>
      </c>
      <c r="H211" s="11" t="s">
        <v>165</v>
      </c>
      <c r="I211" s="11" t="s">
        <v>772</v>
      </c>
      <c r="J211" s="99" t="s">
        <v>1539</v>
      </c>
      <c r="K211" s="11"/>
      <c r="L211" s="11"/>
      <c r="M211" s="11">
        <f t="shared" si="2"/>
        <v>16</v>
      </c>
      <c r="N211" s="11" t="str">
        <f>VLOOKUP($G211, 'ADP Data'!$B$4:$Q$300, 6, FALSE)</f>
        <v>#N/A</v>
      </c>
      <c r="O211" s="11" t="str">
        <f>VLOOKUP($G211, 'ADP Data'!$B$4:$Q$300, 10, FALSE)</f>
        <v>#N/A</v>
      </c>
      <c r="P211" s="11" t="str">
        <f>VLOOKUP($G211, 'ADP Data'!$B$4:$Q$300, 4, FALSE)</f>
        <v>#N/A</v>
      </c>
      <c r="Q211" s="11" t="str">
        <f>VLOOKUP($G211, 'ADP Data'!$B$4:$Q$300, 5, FALSE)</f>
        <v>#N/A</v>
      </c>
      <c r="R211" s="11" t="str">
        <f>VLOOKUP($G211, 'ADP Data'!$B$4:$Q$300, 7, FALSE)</f>
        <v>#N/A</v>
      </c>
      <c r="S211" s="11" t="str">
        <f>VLOOKUP($G211, 'ADP Data'!$B$4:$Q$300, 8, FALSE)</f>
        <v>#N/A</v>
      </c>
      <c r="T211" s="11" t="str">
        <f>VLOOKUP($G211, 'ADP Data'!$B$4:$Q$300, 9, FALSE)</f>
        <v>#N/A</v>
      </c>
      <c r="U211" s="11" t="str">
        <f t="shared" si="4"/>
        <v>#N/A</v>
      </c>
      <c r="V211" s="11" t="s">
        <v>1623</v>
      </c>
    </row>
    <row r="212" ht="14.25" customHeight="1">
      <c r="A212" s="11"/>
      <c r="B212" s="11" t="str">
        <f t="shared" si="1"/>
        <v>#N/A</v>
      </c>
      <c r="C212" s="11" t="s">
        <v>106</v>
      </c>
      <c r="D212" s="11"/>
      <c r="E212" s="11"/>
      <c r="F212" s="11"/>
      <c r="G212" s="11" t="s">
        <v>346</v>
      </c>
      <c r="H212" s="11" t="s">
        <v>35</v>
      </c>
      <c r="I212" s="11" t="s">
        <v>770</v>
      </c>
      <c r="J212" s="99" t="s">
        <v>1388</v>
      </c>
      <c r="K212" s="11"/>
      <c r="L212" s="11"/>
      <c r="M212" s="11">
        <f t="shared" si="2"/>
        <v>16</v>
      </c>
      <c r="N212" s="11" t="str">
        <f>VLOOKUP($G212, 'ADP Data'!$B$4:$Q$300, 6, FALSE)</f>
        <v>#N/A</v>
      </c>
      <c r="O212" s="11" t="str">
        <f>VLOOKUP($G212, 'ADP Data'!$B$4:$Q$300, 10, FALSE)</f>
        <v>#N/A</v>
      </c>
      <c r="P212" s="11" t="str">
        <f>VLOOKUP($G212, 'ADP Data'!$B$4:$Q$300, 4, FALSE)</f>
        <v>#N/A</v>
      </c>
      <c r="Q212" s="11" t="str">
        <f>VLOOKUP($G212, 'ADP Data'!$B$4:$Q$300, 5, FALSE)</f>
        <v>#N/A</v>
      </c>
      <c r="R212" s="11" t="str">
        <f>VLOOKUP($G212, 'ADP Data'!$B$4:$Q$300, 7, FALSE)</f>
        <v>#N/A</v>
      </c>
      <c r="S212" s="11" t="str">
        <f>VLOOKUP($G212, 'ADP Data'!$B$4:$Q$300, 8, FALSE)</f>
        <v>#N/A</v>
      </c>
      <c r="T212" s="11" t="str">
        <f>VLOOKUP($G212, 'ADP Data'!$B$4:$Q$300, 9, FALSE)</f>
        <v>#N/A</v>
      </c>
      <c r="U212" s="11" t="str">
        <f t="shared" si="4"/>
        <v>#N/A</v>
      </c>
      <c r="V212" s="11"/>
    </row>
    <row r="213" ht="14.25" customHeight="1">
      <c r="A213" s="11"/>
      <c r="B213" s="11" t="str">
        <f t="shared" si="1"/>
        <v>#N/A</v>
      </c>
      <c r="C213" s="11" t="s">
        <v>106</v>
      </c>
      <c r="D213" s="11"/>
      <c r="E213" s="11"/>
      <c r="F213" s="11"/>
      <c r="G213" s="11" t="s">
        <v>1624</v>
      </c>
      <c r="H213" s="11" t="s">
        <v>231</v>
      </c>
      <c r="I213" s="11" t="s">
        <v>781</v>
      </c>
      <c r="J213" s="99" t="s">
        <v>1363</v>
      </c>
      <c r="K213" s="11"/>
      <c r="L213" s="11"/>
      <c r="M213" s="11">
        <f t="shared" si="2"/>
        <v>16</v>
      </c>
      <c r="N213" s="11" t="str">
        <f>VLOOKUP($G213, 'ADP Data'!$B$4:$Q$300, 6, FALSE)</f>
        <v>#N/A</v>
      </c>
      <c r="O213" s="11" t="str">
        <f>VLOOKUP($G213, 'ADP Data'!$B$4:$Q$300, 10, FALSE)</f>
        <v>#N/A</v>
      </c>
      <c r="P213" s="11" t="str">
        <f>VLOOKUP($G213, 'ADP Data'!$B$4:$Q$300, 4, FALSE)</f>
        <v>#N/A</v>
      </c>
      <c r="Q213" s="11" t="str">
        <f>VLOOKUP($G213, 'ADP Data'!$B$4:$Q$300, 5, FALSE)</f>
        <v>#N/A</v>
      </c>
      <c r="R213" s="11" t="str">
        <f>VLOOKUP($G213, 'ADP Data'!$B$4:$Q$300, 7, FALSE)</f>
        <v>#N/A</v>
      </c>
      <c r="S213" s="11" t="str">
        <f>VLOOKUP($G213, 'ADP Data'!$B$4:$Q$300, 8, FALSE)</f>
        <v>#N/A</v>
      </c>
      <c r="T213" s="11" t="str">
        <f>VLOOKUP($G213, 'ADP Data'!$B$4:$Q$300, 9, FALSE)</f>
        <v>#N/A</v>
      </c>
      <c r="U213" s="11" t="str">
        <f t="shared" si="4"/>
        <v>#N/A</v>
      </c>
      <c r="V213" s="11"/>
    </row>
    <row r="214" ht="14.25" customHeight="1">
      <c r="A214" s="11"/>
      <c r="B214" s="11" t="str">
        <f t="shared" si="1"/>
        <v>#N/A</v>
      </c>
      <c r="C214" s="11" t="s">
        <v>106</v>
      </c>
      <c r="D214" s="11"/>
      <c r="E214" s="11"/>
      <c r="F214" s="11"/>
      <c r="G214" s="11" t="s">
        <v>902</v>
      </c>
      <c r="H214" s="11" t="s">
        <v>94</v>
      </c>
      <c r="I214" s="11" t="s">
        <v>785</v>
      </c>
      <c r="J214" s="99" t="s">
        <v>1324</v>
      </c>
      <c r="K214" s="11"/>
      <c r="L214" s="11"/>
      <c r="M214" s="11">
        <f t="shared" si="2"/>
        <v>16</v>
      </c>
      <c r="N214" s="11" t="str">
        <f>VLOOKUP($G214, 'ADP Data'!$B$4:$Q$300, 6, FALSE)</f>
        <v>#N/A</v>
      </c>
      <c r="O214" s="11" t="str">
        <f>VLOOKUP($G214, 'ADP Data'!$B$4:$Q$300, 10, FALSE)</f>
        <v>#N/A</v>
      </c>
      <c r="P214" s="11" t="str">
        <f>VLOOKUP($G214, 'ADP Data'!$B$4:$Q$300, 4, FALSE)</f>
        <v>#N/A</v>
      </c>
      <c r="Q214" s="11" t="str">
        <f>VLOOKUP($G214, 'ADP Data'!$B$4:$Q$300, 5, FALSE)</f>
        <v>#N/A</v>
      </c>
      <c r="R214" s="11" t="str">
        <f>VLOOKUP($G214, 'ADP Data'!$B$4:$Q$300, 7, FALSE)</f>
        <v>#N/A</v>
      </c>
      <c r="S214" s="11" t="str">
        <f>VLOOKUP($G214, 'ADP Data'!$B$4:$Q$300, 8, FALSE)</f>
        <v>#N/A</v>
      </c>
      <c r="T214" s="11" t="str">
        <f>VLOOKUP($G214, 'ADP Data'!$B$4:$Q$300, 9, FALSE)</f>
        <v>#N/A</v>
      </c>
      <c r="U214" s="11" t="str">
        <f t="shared" si="4"/>
        <v>#N/A</v>
      </c>
      <c r="V214" s="11"/>
    </row>
    <row r="215" ht="14.25" customHeight="1">
      <c r="A215" s="11"/>
      <c r="B215" s="11" t="str">
        <f t="shared" si="1"/>
        <v>#N/A</v>
      </c>
      <c r="C215" s="11" t="s">
        <v>106</v>
      </c>
      <c r="D215" s="11"/>
      <c r="E215" s="11"/>
      <c r="F215" s="11"/>
      <c r="G215" s="11" t="s">
        <v>1164</v>
      </c>
      <c r="H215" s="11" t="s">
        <v>154</v>
      </c>
      <c r="I215" s="11" t="s">
        <v>775</v>
      </c>
      <c r="J215" s="99">
        <v>83.0</v>
      </c>
      <c r="K215" s="11"/>
      <c r="L215" s="11"/>
      <c r="M215" s="11">
        <f t="shared" si="2"/>
        <v>16</v>
      </c>
      <c r="N215" s="11" t="str">
        <f>VLOOKUP($G215, 'ADP Data'!$B$4:$Q$300, 6, FALSE)</f>
        <v>#N/A</v>
      </c>
      <c r="O215" s="11" t="str">
        <f>VLOOKUP($G215, 'ADP Data'!$B$4:$Q$300, 10, FALSE)</f>
        <v>#N/A</v>
      </c>
      <c r="P215" s="11" t="str">
        <f>VLOOKUP($G215, 'ADP Data'!$B$4:$Q$300, 4, FALSE)</f>
        <v>#N/A</v>
      </c>
      <c r="Q215" s="11" t="str">
        <f>VLOOKUP($G215, 'ADP Data'!$B$4:$Q$300, 5, FALSE)</f>
        <v>#N/A</v>
      </c>
      <c r="R215" s="11" t="str">
        <f>VLOOKUP($G215, 'ADP Data'!$B$4:$Q$300, 7, FALSE)</f>
        <v>#N/A</v>
      </c>
      <c r="S215" s="11" t="str">
        <f>VLOOKUP($G215, 'ADP Data'!$B$4:$Q$300, 8, FALSE)</f>
        <v>#N/A</v>
      </c>
      <c r="T215" s="11" t="str">
        <f>VLOOKUP($G215, 'ADP Data'!$B$4:$Q$300, 9, FALSE)</f>
        <v>#N/A</v>
      </c>
      <c r="U215" s="11" t="str">
        <f t="shared" si="4"/>
        <v>#N/A</v>
      </c>
      <c r="V215" s="11"/>
    </row>
    <row r="216" ht="14.25" customHeight="1">
      <c r="A216" s="11"/>
      <c r="B216" s="11" t="str">
        <f t="shared" si="1"/>
        <v>#N/A</v>
      </c>
      <c r="C216" s="11" t="s">
        <v>106</v>
      </c>
      <c r="D216" s="11"/>
      <c r="E216" s="11"/>
      <c r="F216" s="11"/>
      <c r="G216" s="11" t="s">
        <v>1456</v>
      </c>
      <c r="H216" s="11" t="s">
        <v>116</v>
      </c>
      <c r="I216" s="11" t="s">
        <v>770</v>
      </c>
      <c r="J216" s="99" t="s">
        <v>1365</v>
      </c>
      <c r="K216" s="11"/>
      <c r="L216" s="11"/>
      <c r="M216" s="11">
        <f t="shared" si="2"/>
        <v>16</v>
      </c>
      <c r="N216" s="11" t="str">
        <f>VLOOKUP($G216, 'ADP Data'!$B$4:$Q$300, 6, FALSE)</f>
        <v>#N/A</v>
      </c>
      <c r="O216" s="11" t="str">
        <f>VLOOKUP($G216, 'ADP Data'!$B$4:$Q$300, 10, FALSE)</f>
        <v>#N/A</v>
      </c>
      <c r="P216" s="11" t="str">
        <f>VLOOKUP($G216, 'ADP Data'!$B$4:$Q$300, 4, FALSE)</f>
        <v>#N/A</v>
      </c>
      <c r="Q216" s="11" t="str">
        <f>VLOOKUP($G216, 'ADP Data'!$B$4:$Q$300, 5, FALSE)</f>
        <v>#N/A</v>
      </c>
      <c r="R216" s="11" t="str">
        <f>VLOOKUP($G216, 'ADP Data'!$B$4:$Q$300, 7, FALSE)</f>
        <v>#N/A</v>
      </c>
      <c r="S216" s="11" t="str">
        <f>VLOOKUP($G216, 'ADP Data'!$B$4:$Q$300, 8, FALSE)</f>
        <v>#N/A</v>
      </c>
      <c r="T216" s="11" t="str">
        <f>VLOOKUP($G216, 'ADP Data'!$B$4:$Q$300, 9, FALSE)</f>
        <v>#N/A</v>
      </c>
      <c r="U216" s="11" t="str">
        <f t="shared" si="4"/>
        <v>#N/A</v>
      </c>
      <c r="V216" s="11"/>
    </row>
    <row r="217" ht="14.25" customHeight="1">
      <c r="A217" s="11"/>
      <c r="B217" s="11" t="str">
        <f t="shared" si="1"/>
        <v>#N/A</v>
      </c>
      <c r="C217" s="11" t="s">
        <v>106</v>
      </c>
      <c r="D217" s="11"/>
      <c r="E217" s="11"/>
      <c r="F217" s="11"/>
      <c r="G217" s="11" t="s">
        <v>1227</v>
      </c>
      <c r="H217" s="11" t="s">
        <v>102</v>
      </c>
      <c r="I217" s="11" t="s">
        <v>772</v>
      </c>
      <c r="J217" s="99" t="s">
        <v>1574</v>
      </c>
      <c r="K217" s="11"/>
      <c r="L217" s="11"/>
      <c r="M217" s="11">
        <f t="shared" si="2"/>
        <v>16</v>
      </c>
      <c r="N217" s="11" t="str">
        <f>VLOOKUP($G217, 'ADP Data'!$B$4:$Q$300, 6, FALSE)</f>
        <v>#N/A</v>
      </c>
      <c r="O217" s="11" t="str">
        <f>VLOOKUP($G217, 'ADP Data'!$B$4:$Q$300, 10, FALSE)</f>
        <v>#N/A</v>
      </c>
      <c r="P217" s="11" t="str">
        <f>VLOOKUP($G217, 'ADP Data'!$B$4:$Q$300, 4, FALSE)</f>
        <v>#N/A</v>
      </c>
      <c r="Q217" s="11" t="str">
        <f>VLOOKUP($G217, 'ADP Data'!$B$4:$Q$300, 5, FALSE)</f>
        <v>#N/A</v>
      </c>
      <c r="R217" s="11" t="str">
        <f>VLOOKUP($G217, 'ADP Data'!$B$4:$Q$300, 7, FALSE)</f>
        <v>#N/A</v>
      </c>
      <c r="S217" s="11" t="str">
        <f>VLOOKUP($G217, 'ADP Data'!$B$4:$Q$300, 8, FALSE)</f>
        <v>#N/A</v>
      </c>
      <c r="T217" s="11" t="str">
        <f>VLOOKUP($G217, 'ADP Data'!$B$4:$Q$300, 9, FALSE)</f>
        <v>#N/A</v>
      </c>
      <c r="U217" s="11" t="str">
        <f t="shared" si="4"/>
        <v>#N/A</v>
      </c>
      <c r="V217" s="11"/>
    </row>
    <row r="218" ht="14.25" customHeight="1">
      <c r="A218" s="11"/>
      <c r="B218" s="11" t="str">
        <f t="shared" si="1"/>
        <v>#N/A</v>
      </c>
      <c r="C218" s="11" t="s">
        <v>106</v>
      </c>
      <c r="D218" s="11"/>
      <c r="E218" s="11"/>
      <c r="F218" s="11"/>
      <c r="G218" s="11" t="s">
        <v>732</v>
      </c>
      <c r="H218" s="11" t="s">
        <v>131</v>
      </c>
      <c r="I218" s="11" t="s">
        <v>785</v>
      </c>
      <c r="J218" s="99" t="s">
        <v>1325</v>
      </c>
      <c r="K218" s="11"/>
      <c r="L218" s="11"/>
      <c r="M218" s="11">
        <f t="shared" si="2"/>
        <v>16</v>
      </c>
      <c r="N218" s="11" t="str">
        <f>VLOOKUP($G218, 'ADP Data'!$B$4:$Q$300, 6, FALSE)</f>
        <v>#N/A</v>
      </c>
      <c r="O218" s="11" t="str">
        <f>VLOOKUP($G218, 'ADP Data'!$B$4:$Q$300, 10, FALSE)</f>
        <v>#N/A</v>
      </c>
      <c r="P218" s="11" t="str">
        <f>VLOOKUP($G218, 'ADP Data'!$B$4:$Q$300, 4, FALSE)</f>
        <v>#N/A</v>
      </c>
      <c r="Q218" s="11" t="str">
        <f>VLOOKUP($G218, 'ADP Data'!$B$4:$Q$300, 5, FALSE)</f>
        <v>#N/A</v>
      </c>
      <c r="R218" s="11" t="str">
        <f>VLOOKUP($G218, 'ADP Data'!$B$4:$Q$300, 7, FALSE)</f>
        <v>#N/A</v>
      </c>
      <c r="S218" s="11" t="str">
        <f>VLOOKUP($G218, 'ADP Data'!$B$4:$Q$300, 8, FALSE)</f>
        <v>#N/A</v>
      </c>
      <c r="T218" s="11" t="str">
        <f>VLOOKUP($G218, 'ADP Data'!$B$4:$Q$300, 9, FALSE)</f>
        <v>#N/A</v>
      </c>
      <c r="U218" s="11" t="str">
        <f t="shared" si="4"/>
        <v>#N/A</v>
      </c>
      <c r="V218" s="11"/>
    </row>
    <row r="219" ht="14.25" customHeight="1">
      <c r="A219" s="11"/>
      <c r="B219" s="11" t="str">
        <f t="shared" si="1"/>
        <v>#N/A</v>
      </c>
      <c r="C219" s="11" t="s">
        <v>106</v>
      </c>
      <c r="D219" s="11"/>
      <c r="E219" s="11"/>
      <c r="F219" s="11"/>
      <c r="G219" s="11" t="s">
        <v>1210</v>
      </c>
      <c r="H219" s="11" t="s">
        <v>62</v>
      </c>
      <c r="I219" s="11" t="s">
        <v>772</v>
      </c>
      <c r="J219" s="99" t="s">
        <v>1578</v>
      </c>
      <c r="K219" s="11"/>
      <c r="L219" s="11"/>
      <c r="M219" s="11">
        <f t="shared" si="2"/>
        <v>16</v>
      </c>
      <c r="N219" s="11" t="str">
        <f>VLOOKUP($G219, 'ADP Data'!$B$4:$Q$300, 6, FALSE)</f>
        <v>#N/A</v>
      </c>
      <c r="O219" s="11" t="str">
        <f>VLOOKUP($G219, 'ADP Data'!$B$4:$Q$300, 10, FALSE)</f>
        <v>#N/A</v>
      </c>
      <c r="P219" s="11" t="str">
        <f>VLOOKUP($G219, 'ADP Data'!$B$4:$Q$300, 4, FALSE)</f>
        <v>#N/A</v>
      </c>
      <c r="Q219" s="11" t="str">
        <f>VLOOKUP($G219, 'ADP Data'!$B$4:$Q$300, 5, FALSE)</f>
        <v>#N/A</v>
      </c>
      <c r="R219" s="11" t="str">
        <f>VLOOKUP($G219, 'ADP Data'!$B$4:$Q$300, 7, FALSE)</f>
        <v>#N/A</v>
      </c>
      <c r="S219" s="11" t="str">
        <f>VLOOKUP($G219, 'ADP Data'!$B$4:$Q$300, 8, FALSE)</f>
        <v>#N/A</v>
      </c>
      <c r="T219" s="11" t="str">
        <f>VLOOKUP($G219, 'ADP Data'!$B$4:$Q$300, 9, FALSE)</f>
        <v>#N/A</v>
      </c>
      <c r="U219" s="11" t="str">
        <f t="shared" si="4"/>
        <v>#N/A</v>
      </c>
      <c r="V219" s="11"/>
    </row>
    <row r="220" ht="14.25" customHeight="1">
      <c r="A220" s="11"/>
      <c r="B220" s="11" t="str">
        <f t="shared" si="1"/>
        <v>#N/A</v>
      </c>
      <c r="C220" s="11" t="s">
        <v>106</v>
      </c>
      <c r="D220" s="11"/>
      <c r="E220" s="11"/>
      <c r="F220" s="11"/>
      <c r="G220" s="11" t="s">
        <v>1487</v>
      </c>
      <c r="H220" s="11" t="s">
        <v>171</v>
      </c>
      <c r="I220" s="11" t="s">
        <v>772</v>
      </c>
      <c r="J220" s="99" t="s">
        <v>1471</v>
      </c>
      <c r="K220" s="11"/>
      <c r="L220" s="11"/>
      <c r="M220" s="11">
        <f t="shared" si="2"/>
        <v>16</v>
      </c>
      <c r="N220" s="11" t="str">
        <f>VLOOKUP($G220, 'ADP Data'!$B$4:$Q$300, 6, FALSE)</f>
        <v>#N/A</v>
      </c>
      <c r="O220" s="11" t="str">
        <f>VLOOKUP($G220, 'ADP Data'!$B$4:$Q$300, 10, FALSE)</f>
        <v>#N/A</v>
      </c>
      <c r="P220" s="11" t="str">
        <f>VLOOKUP($G220, 'ADP Data'!$B$4:$Q$300, 4, FALSE)</f>
        <v>#N/A</v>
      </c>
      <c r="Q220" s="11" t="str">
        <f>VLOOKUP($G220, 'ADP Data'!$B$4:$Q$300, 5, FALSE)</f>
        <v>#N/A</v>
      </c>
      <c r="R220" s="11" t="str">
        <f>VLOOKUP($G220, 'ADP Data'!$B$4:$Q$300, 7, FALSE)</f>
        <v>#N/A</v>
      </c>
      <c r="S220" s="11" t="str">
        <f>VLOOKUP($G220, 'ADP Data'!$B$4:$Q$300, 8, FALSE)</f>
        <v>#N/A</v>
      </c>
      <c r="T220" s="11" t="str">
        <f>VLOOKUP($G220, 'ADP Data'!$B$4:$Q$300, 9, FALSE)</f>
        <v>#N/A</v>
      </c>
      <c r="U220" s="11" t="str">
        <f t="shared" si="4"/>
        <v>#N/A</v>
      </c>
      <c r="V220" s="11"/>
    </row>
    <row r="221" ht="14.25" customHeight="1">
      <c r="A221" s="11"/>
      <c r="B221" s="11" t="str">
        <f t="shared" si="1"/>
        <v>#N/A</v>
      </c>
      <c r="C221" s="11" t="s">
        <v>106</v>
      </c>
      <c r="D221" s="11"/>
      <c r="E221" s="11"/>
      <c r="F221" s="11"/>
      <c r="G221" s="11" t="s">
        <v>1625</v>
      </c>
      <c r="H221" s="11" t="s">
        <v>128</v>
      </c>
      <c r="I221" s="11" t="s">
        <v>772</v>
      </c>
      <c r="J221" s="99" t="s">
        <v>1606</v>
      </c>
      <c r="K221" s="11"/>
      <c r="L221" s="11"/>
      <c r="M221" s="11">
        <f t="shared" si="2"/>
        <v>16</v>
      </c>
      <c r="N221" s="11" t="str">
        <f>VLOOKUP($G221, 'ADP Data'!$B$4:$Q$300, 6, FALSE)</f>
        <v>#N/A</v>
      </c>
      <c r="O221" s="11" t="str">
        <f>VLOOKUP($G221, 'ADP Data'!$B$4:$Q$300, 10, FALSE)</f>
        <v>#N/A</v>
      </c>
      <c r="P221" s="11" t="str">
        <f>VLOOKUP($G221, 'ADP Data'!$B$4:$Q$300, 4, FALSE)</f>
        <v>#N/A</v>
      </c>
      <c r="Q221" s="11" t="str">
        <f>VLOOKUP($G221, 'ADP Data'!$B$4:$Q$300, 5, FALSE)</f>
        <v>#N/A</v>
      </c>
      <c r="R221" s="11" t="str">
        <f>VLOOKUP($G221, 'ADP Data'!$B$4:$Q$300, 7, FALSE)</f>
        <v>#N/A</v>
      </c>
      <c r="S221" s="11" t="str">
        <f>VLOOKUP($G221, 'ADP Data'!$B$4:$Q$300, 8, FALSE)</f>
        <v>#N/A</v>
      </c>
      <c r="T221" s="11" t="str">
        <f>VLOOKUP($G221, 'ADP Data'!$B$4:$Q$300, 9, FALSE)</f>
        <v>#N/A</v>
      </c>
      <c r="U221" s="11" t="str">
        <f t="shared" si="4"/>
        <v>#N/A</v>
      </c>
      <c r="V221" s="11"/>
    </row>
    <row r="222" ht="14.25" customHeight="1">
      <c r="A222" s="11"/>
      <c r="B222" s="11" t="str">
        <f t="shared" si="1"/>
        <v>#N/A</v>
      </c>
      <c r="C222" s="11" t="s">
        <v>106</v>
      </c>
      <c r="D222" s="11"/>
      <c r="E222" s="11"/>
      <c r="F222" s="11"/>
      <c r="G222" s="11" t="s">
        <v>1628</v>
      </c>
      <c r="H222" s="11" t="s">
        <v>165</v>
      </c>
      <c r="I222" s="11" t="s">
        <v>781</v>
      </c>
      <c r="J222" s="99" t="s">
        <v>1391</v>
      </c>
      <c r="K222" s="11"/>
      <c r="L222" s="11"/>
      <c r="M222" s="11">
        <f t="shared" si="2"/>
        <v>16</v>
      </c>
      <c r="N222" s="11" t="str">
        <f>VLOOKUP($G222, 'ADP Data'!$B$4:$Q$300, 6, FALSE)</f>
        <v>#N/A</v>
      </c>
      <c r="O222" s="11" t="str">
        <f>VLOOKUP($G222, 'ADP Data'!$B$4:$Q$300, 10, FALSE)</f>
        <v>#N/A</v>
      </c>
      <c r="P222" s="11" t="str">
        <f>VLOOKUP($G222, 'ADP Data'!$B$4:$Q$300, 4, FALSE)</f>
        <v>#N/A</v>
      </c>
      <c r="Q222" s="11" t="str">
        <f>VLOOKUP($G222, 'ADP Data'!$B$4:$Q$300, 5, FALSE)</f>
        <v>#N/A</v>
      </c>
      <c r="R222" s="11" t="str">
        <f>VLOOKUP($G222, 'ADP Data'!$B$4:$Q$300, 7, FALSE)</f>
        <v>#N/A</v>
      </c>
      <c r="S222" s="11" t="str">
        <f>VLOOKUP($G222, 'ADP Data'!$B$4:$Q$300, 8, FALSE)</f>
        <v>#N/A</v>
      </c>
      <c r="T222" s="11" t="str">
        <f>VLOOKUP($G222, 'ADP Data'!$B$4:$Q$300, 9, FALSE)</f>
        <v>#N/A</v>
      </c>
      <c r="U222" s="11" t="str">
        <f t="shared" si="4"/>
        <v>#N/A</v>
      </c>
      <c r="V222" s="11"/>
    </row>
    <row r="223" ht="14.25" customHeight="1">
      <c r="A223" s="11"/>
      <c r="B223" s="11" t="str">
        <f t="shared" si="1"/>
        <v>#N/A</v>
      </c>
      <c r="C223" s="11" t="s">
        <v>106</v>
      </c>
      <c r="D223" s="11"/>
      <c r="E223" s="11"/>
      <c r="F223" s="11"/>
      <c r="G223" s="11" t="s">
        <v>1549</v>
      </c>
      <c r="H223" s="11" t="s">
        <v>85</v>
      </c>
      <c r="I223" s="11" t="s">
        <v>772</v>
      </c>
      <c r="J223" s="99" t="s">
        <v>1632</v>
      </c>
      <c r="K223" s="11"/>
      <c r="L223" s="11"/>
      <c r="M223" s="11">
        <f t="shared" si="2"/>
        <v>16</v>
      </c>
      <c r="N223" s="11" t="str">
        <f>VLOOKUP($G223, 'ADP Data'!$B$4:$Q$300, 6, FALSE)</f>
        <v>#N/A</v>
      </c>
      <c r="O223" s="11" t="str">
        <f>VLOOKUP($G223, 'ADP Data'!$B$4:$Q$300, 10, FALSE)</f>
        <v>#N/A</v>
      </c>
      <c r="P223" s="11" t="str">
        <f>VLOOKUP($G223, 'ADP Data'!$B$4:$Q$300, 4, FALSE)</f>
        <v>#N/A</v>
      </c>
      <c r="Q223" s="11" t="str">
        <f>VLOOKUP($G223, 'ADP Data'!$B$4:$Q$300, 5, FALSE)</f>
        <v>#N/A</v>
      </c>
      <c r="R223" s="11" t="str">
        <f>VLOOKUP($G223, 'ADP Data'!$B$4:$Q$300, 7, FALSE)</f>
        <v>#N/A</v>
      </c>
      <c r="S223" s="11" t="str">
        <f>VLOOKUP($G223, 'ADP Data'!$B$4:$Q$300, 8, FALSE)</f>
        <v>#N/A</v>
      </c>
      <c r="T223" s="11" t="str">
        <f>VLOOKUP($G223, 'ADP Data'!$B$4:$Q$300, 9, FALSE)</f>
        <v>#N/A</v>
      </c>
      <c r="U223" s="11" t="str">
        <f t="shared" si="4"/>
        <v>#N/A</v>
      </c>
      <c r="V223" s="11"/>
    </row>
    <row r="224" ht="14.25" customHeight="1">
      <c r="A224" s="11"/>
      <c r="B224" s="11" t="str">
        <f t="shared" si="1"/>
        <v>#N/A</v>
      </c>
      <c r="C224" s="11" t="s">
        <v>106</v>
      </c>
      <c r="D224" s="11"/>
      <c r="E224" s="11"/>
      <c r="F224" s="11"/>
      <c r="G224" s="11" t="s">
        <v>961</v>
      </c>
      <c r="H224" s="11" t="s">
        <v>40</v>
      </c>
      <c r="I224" s="11" t="s">
        <v>781</v>
      </c>
      <c r="J224" s="99" t="s">
        <v>1386</v>
      </c>
      <c r="K224" s="11"/>
      <c r="L224" s="11"/>
      <c r="M224" s="11">
        <f t="shared" si="2"/>
        <v>16</v>
      </c>
      <c r="N224" s="11" t="str">
        <f>VLOOKUP($G224, 'ADP Data'!$B$4:$Q$300, 6, FALSE)</f>
        <v>#N/A</v>
      </c>
      <c r="O224" s="11" t="str">
        <f>VLOOKUP($G224, 'ADP Data'!$B$4:$Q$300, 10, FALSE)</f>
        <v>#N/A</v>
      </c>
      <c r="P224" s="11" t="str">
        <f>VLOOKUP($G224, 'ADP Data'!$B$4:$Q$300, 4, FALSE)</f>
        <v>#N/A</v>
      </c>
      <c r="Q224" s="11" t="str">
        <f>VLOOKUP($G224, 'ADP Data'!$B$4:$Q$300, 5, FALSE)</f>
        <v>#N/A</v>
      </c>
      <c r="R224" s="11" t="str">
        <f>VLOOKUP($G224, 'ADP Data'!$B$4:$Q$300, 7, FALSE)</f>
        <v>#N/A</v>
      </c>
      <c r="S224" s="11" t="str">
        <f>VLOOKUP($G224, 'ADP Data'!$B$4:$Q$300, 8, FALSE)</f>
        <v>#N/A</v>
      </c>
      <c r="T224" s="11" t="str">
        <f>VLOOKUP($G224, 'ADP Data'!$B$4:$Q$300, 9, FALSE)</f>
        <v>#N/A</v>
      </c>
      <c r="U224" s="11" t="str">
        <f t="shared" si="4"/>
        <v>#N/A</v>
      </c>
      <c r="V224" s="11"/>
    </row>
    <row r="225" ht="14.25" customHeight="1">
      <c r="A225" s="11"/>
      <c r="B225" s="11" t="str">
        <f t="shared" si="1"/>
        <v>#N/A</v>
      </c>
      <c r="C225" s="11" t="s">
        <v>106</v>
      </c>
      <c r="D225" s="11"/>
      <c r="E225" s="11"/>
      <c r="F225" s="11"/>
      <c r="G225" s="11" t="s">
        <v>839</v>
      </c>
      <c r="H225" s="11" t="s">
        <v>116</v>
      </c>
      <c r="I225" s="11" t="s">
        <v>770</v>
      </c>
      <c r="J225" s="99" t="s">
        <v>1391</v>
      </c>
      <c r="K225" s="11"/>
      <c r="L225" s="11"/>
      <c r="M225" s="11">
        <f t="shared" si="2"/>
        <v>16</v>
      </c>
      <c r="N225" s="11" t="str">
        <f>VLOOKUP($G225, 'ADP Data'!$B$4:$Q$300, 6, FALSE)</f>
        <v>#N/A</v>
      </c>
      <c r="O225" s="11" t="str">
        <f>VLOOKUP($G225, 'ADP Data'!$B$4:$Q$300, 10, FALSE)</f>
        <v>#N/A</v>
      </c>
      <c r="P225" s="11" t="str">
        <f>VLOOKUP($G225, 'ADP Data'!$B$4:$Q$300, 4, FALSE)</f>
        <v>#N/A</v>
      </c>
      <c r="Q225" s="11" t="str">
        <f>VLOOKUP($G225, 'ADP Data'!$B$4:$Q$300, 5, FALSE)</f>
        <v>#N/A</v>
      </c>
      <c r="R225" s="11" t="str">
        <f>VLOOKUP($G225, 'ADP Data'!$B$4:$Q$300, 7, FALSE)</f>
        <v>#N/A</v>
      </c>
      <c r="S225" s="11" t="str">
        <f>VLOOKUP($G225, 'ADP Data'!$B$4:$Q$300, 8, FALSE)</f>
        <v>#N/A</v>
      </c>
      <c r="T225" s="11" t="str">
        <f>VLOOKUP($G225, 'ADP Data'!$B$4:$Q$300, 9, FALSE)</f>
        <v>#N/A</v>
      </c>
      <c r="U225" s="11" t="str">
        <f t="shared" si="4"/>
        <v>#N/A</v>
      </c>
      <c r="V225" s="11"/>
    </row>
    <row r="226" ht="14.25" customHeight="1">
      <c r="A226" s="11"/>
      <c r="B226" s="11" t="str">
        <f t="shared" si="1"/>
        <v>#N/A</v>
      </c>
      <c r="C226" s="11" t="s">
        <v>106</v>
      </c>
      <c r="D226" s="11"/>
      <c r="E226" s="11"/>
      <c r="F226" s="11"/>
      <c r="G226" s="11" t="s">
        <v>905</v>
      </c>
      <c r="H226" s="11" t="s">
        <v>131</v>
      </c>
      <c r="I226" s="11" t="s">
        <v>770</v>
      </c>
      <c r="J226" s="99" t="s">
        <v>1374</v>
      </c>
      <c r="K226" s="11"/>
      <c r="L226" s="11"/>
      <c r="M226" s="11">
        <f t="shared" si="2"/>
        <v>16</v>
      </c>
      <c r="N226" s="11" t="str">
        <f>VLOOKUP($G226, 'ADP Data'!$B$4:$Q$300, 6, FALSE)</f>
        <v>#N/A</v>
      </c>
      <c r="O226" s="11" t="str">
        <f>VLOOKUP($G226, 'ADP Data'!$B$4:$Q$300, 10, FALSE)</f>
        <v>#N/A</v>
      </c>
      <c r="P226" s="11" t="str">
        <f>VLOOKUP($G226, 'ADP Data'!$B$4:$Q$300, 4, FALSE)</f>
        <v>#N/A</v>
      </c>
      <c r="Q226" s="11" t="str">
        <f>VLOOKUP($G226, 'ADP Data'!$B$4:$Q$300, 5, FALSE)</f>
        <v>#N/A</v>
      </c>
      <c r="R226" s="11" t="str">
        <f>VLOOKUP($G226, 'ADP Data'!$B$4:$Q$300, 7, FALSE)</f>
        <v>#N/A</v>
      </c>
      <c r="S226" s="11" t="str">
        <f>VLOOKUP($G226, 'ADP Data'!$B$4:$Q$300, 8, FALSE)</f>
        <v>#N/A</v>
      </c>
      <c r="T226" s="11" t="str">
        <f>VLOOKUP($G226, 'ADP Data'!$B$4:$Q$300, 9, FALSE)</f>
        <v>#N/A</v>
      </c>
      <c r="U226" s="11" t="str">
        <f t="shared" si="4"/>
        <v>#N/A</v>
      </c>
      <c r="V226" s="11"/>
    </row>
    <row r="227" ht="14.25" customHeight="1">
      <c r="A227" s="11"/>
      <c r="B227" s="11" t="str">
        <f t="shared" si="1"/>
        <v>#N/A</v>
      </c>
      <c r="C227" s="11" t="s">
        <v>106</v>
      </c>
      <c r="D227" s="11"/>
      <c r="E227" s="11"/>
      <c r="F227" s="11"/>
      <c r="G227" s="11" t="s">
        <v>718</v>
      </c>
      <c r="H227" s="11" t="s">
        <v>67</v>
      </c>
      <c r="I227" s="11" t="s">
        <v>781</v>
      </c>
      <c r="J227" s="99" t="s">
        <v>1385</v>
      </c>
      <c r="K227" s="11"/>
      <c r="L227" s="11"/>
      <c r="M227" s="11">
        <f t="shared" si="2"/>
        <v>16</v>
      </c>
      <c r="N227" s="11" t="str">
        <f>VLOOKUP($G227, 'ADP Data'!$B$4:$Q$300, 6, FALSE)</f>
        <v>#N/A</v>
      </c>
      <c r="O227" s="11" t="str">
        <f>VLOOKUP($G227, 'ADP Data'!$B$4:$Q$300, 10, FALSE)</f>
        <v>#N/A</v>
      </c>
      <c r="P227" s="11" t="str">
        <f>VLOOKUP($G227, 'ADP Data'!$B$4:$Q$300, 4, FALSE)</f>
        <v>#N/A</v>
      </c>
      <c r="Q227" s="11" t="str">
        <f>VLOOKUP($G227, 'ADP Data'!$B$4:$Q$300, 5, FALSE)</f>
        <v>#N/A</v>
      </c>
      <c r="R227" s="11" t="str">
        <f>VLOOKUP($G227, 'ADP Data'!$B$4:$Q$300, 7, FALSE)</f>
        <v>#N/A</v>
      </c>
      <c r="S227" s="11" t="str">
        <f>VLOOKUP($G227, 'ADP Data'!$B$4:$Q$300, 8, FALSE)</f>
        <v>#N/A</v>
      </c>
      <c r="T227" s="11" t="str">
        <f>VLOOKUP($G227, 'ADP Data'!$B$4:$Q$300, 9, FALSE)</f>
        <v>#N/A</v>
      </c>
      <c r="U227" s="11" t="str">
        <f t="shared" si="4"/>
        <v>#N/A</v>
      </c>
      <c r="V227" s="11"/>
    </row>
    <row r="228" ht="14.25" customHeight="1">
      <c r="A228" s="11"/>
      <c r="B228" s="11" t="str">
        <f t="shared" si="1"/>
        <v>#N/A</v>
      </c>
      <c r="C228" s="11" t="s">
        <v>106</v>
      </c>
      <c r="D228" s="11"/>
      <c r="E228" s="11"/>
      <c r="F228" s="11"/>
      <c r="G228" s="11" t="s">
        <v>1215</v>
      </c>
      <c r="H228" s="11" t="s">
        <v>119</v>
      </c>
      <c r="I228" s="11" t="s">
        <v>772</v>
      </c>
      <c r="J228" s="99" t="s">
        <v>1545</v>
      </c>
      <c r="K228" s="11"/>
      <c r="L228" s="11"/>
      <c r="M228" s="11">
        <f t="shared" si="2"/>
        <v>16</v>
      </c>
      <c r="N228" s="11" t="str">
        <f>VLOOKUP($G228, 'ADP Data'!$B$4:$Q$300, 6, FALSE)</f>
        <v>#N/A</v>
      </c>
      <c r="O228" s="11" t="str">
        <f>VLOOKUP($G228, 'ADP Data'!$B$4:$Q$300, 10, FALSE)</f>
        <v>#N/A</v>
      </c>
      <c r="P228" s="11" t="str">
        <f>VLOOKUP($G228, 'ADP Data'!$B$4:$Q$300, 4, FALSE)</f>
        <v>#N/A</v>
      </c>
      <c r="Q228" s="11" t="str">
        <f>VLOOKUP($G228, 'ADP Data'!$B$4:$Q$300, 5, FALSE)</f>
        <v>#N/A</v>
      </c>
      <c r="R228" s="11" t="str">
        <f>VLOOKUP($G228, 'ADP Data'!$B$4:$Q$300, 7, FALSE)</f>
        <v>#N/A</v>
      </c>
      <c r="S228" s="11" t="str">
        <f>VLOOKUP($G228, 'ADP Data'!$B$4:$Q$300, 8, FALSE)</f>
        <v>#N/A</v>
      </c>
      <c r="T228" s="11" t="str">
        <f>VLOOKUP($G228, 'ADP Data'!$B$4:$Q$300, 9, FALSE)</f>
        <v>#N/A</v>
      </c>
      <c r="U228" s="11" t="str">
        <f t="shared" si="4"/>
        <v>#N/A</v>
      </c>
      <c r="V228" s="11"/>
    </row>
    <row r="229" ht="14.25" customHeight="1">
      <c r="A229" s="11"/>
      <c r="B229" s="11" t="str">
        <f t="shared" si="1"/>
        <v>#N/A</v>
      </c>
      <c r="C229" s="11" t="s">
        <v>106</v>
      </c>
      <c r="D229" s="11"/>
      <c r="E229" s="11">
        <v>2.0</v>
      </c>
      <c r="F229" s="11" t="s">
        <v>106</v>
      </c>
      <c r="G229" s="11" t="s">
        <v>1575</v>
      </c>
      <c r="H229" s="11" t="s">
        <v>105</v>
      </c>
      <c r="I229" s="11" t="s">
        <v>772</v>
      </c>
      <c r="J229" s="99" t="s">
        <v>1554</v>
      </c>
      <c r="K229" s="11"/>
      <c r="L229" s="11"/>
      <c r="M229" s="11">
        <f t="shared" si="2"/>
        <v>16</v>
      </c>
      <c r="N229" s="11" t="str">
        <f>VLOOKUP($G229, 'ADP Data'!$B$4:$Q$300, 6, FALSE)</f>
        <v>#N/A</v>
      </c>
      <c r="O229" s="11" t="str">
        <f>VLOOKUP($G229, 'ADP Data'!$B$4:$Q$300, 10, FALSE)</f>
        <v>#N/A</v>
      </c>
      <c r="P229" s="11" t="str">
        <f>VLOOKUP($G229, 'ADP Data'!$B$4:$Q$300, 4, FALSE)</f>
        <v>#N/A</v>
      </c>
      <c r="Q229" s="11" t="str">
        <f>VLOOKUP($G229, 'ADP Data'!$B$4:$Q$300, 5, FALSE)</f>
        <v>#N/A</v>
      </c>
      <c r="R229" s="11" t="str">
        <f>VLOOKUP($G229, 'ADP Data'!$B$4:$Q$300, 7, FALSE)</f>
        <v>#N/A</v>
      </c>
      <c r="S229" s="11" t="str">
        <f>VLOOKUP($G229, 'ADP Data'!$B$4:$Q$300, 8, FALSE)</f>
        <v>#N/A</v>
      </c>
      <c r="T229" s="11" t="str">
        <f>VLOOKUP($G229, 'ADP Data'!$B$4:$Q$300, 9, FALSE)</f>
        <v>#N/A</v>
      </c>
      <c r="U229" s="11" t="str">
        <f t="shared" si="4"/>
        <v>#N/A</v>
      </c>
      <c r="V229" s="11"/>
    </row>
    <row r="230" ht="14.25" customHeight="1">
      <c r="A230" s="11"/>
      <c r="B230" s="11" t="str">
        <f t="shared" si="1"/>
        <v>#N/A</v>
      </c>
      <c r="C230" s="11" t="s">
        <v>106</v>
      </c>
      <c r="D230" s="11"/>
      <c r="E230" s="11"/>
      <c r="F230" s="11"/>
      <c r="G230" s="11" t="s">
        <v>1194</v>
      </c>
      <c r="H230" s="11" t="s">
        <v>154</v>
      </c>
      <c r="I230" s="11" t="s">
        <v>775</v>
      </c>
      <c r="J230" s="99" t="s">
        <v>1633</v>
      </c>
      <c r="K230" s="11"/>
      <c r="L230" s="11"/>
      <c r="M230" s="11">
        <f t="shared" si="2"/>
        <v>16</v>
      </c>
      <c r="N230" s="11" t="str">
        <f>VLOOKUP($G230, 'ADP Data'!$B$4:$Q$300, 6, FALSE)</f>
        <v>#N/A</v>
      </c>
      <c r="O230" s="11" t="str">
        <f>VLOOKUP($G230, 'ADP Data'!$B$4:$Q$300, 10, FALSE)</f>
        <v>#N/A</v>
      </c>
      <c r="P230" s="11" t="str">
        <f>VLOOKUP($G230, 'ADP Data'!$B$4:$Q$300, 4, FALSE)</f>
        <v>#N/A</v>
      </c>
      <c r="Q230" s="11" t="str">
        <f>VLOOKUP($G230, 'ADP Data'!$B$4:$Q$300, 5, FALSE)</f>
        <v>#N/A</v>
      </c>
      <c r="R230" s="11" t="str">
        <f>VLOOKUP($G230, 'ADP Data'!$B$4:$Q$300, 7, FALSE)</f>
        <v>#N/A</v>
      </c>
      <c r="S230" s="11" t="str">
        <f>VLOOKUP($G230, 'ADP Data'!$B$4:$Q$300, 8, FALSE)</f>
        <v>#N/A</v>
      </c>
      <c r="T230" s="11" t="str">
        <f>VLOOKUP($G230, 'ADP Data'!$B$4:$Q$300, 9, FALSE)</f>
        <v>#N/A</v>
      </c>
      <c r="U230" s="11" t="str">
        <f t="shared" si="4"/>
        <v>#N/A</v>
      </c>
      <c r="V230" s="11"/>
    </row>
    <row r="231" ht="14.25" customHeight="1">
      <c r="A231" s="11"/>
      <c r="B231" s="11" t="str">
        <f t="shared" si="1"/>
        <v>#N/A</v>
      </c>
      <c r="C231" s="11" t="s">
        <v>106</v>
      </c>
      <c r="D231" s="11"/>
      <c r="E231" s="11"/>
      <c r="F231" s="11"/>
      <c r="G231" s="11" t="s">
        <v>1508</v>
      </c>
      <c r="H231" s="11" t="s">
        <v>98</v>
      </c>
      <c r="I231" s="11" t="s">
        <v>775</v>
      </c>
      <c r="J231" s="99" t="s">
        <v>1634</v>
      </c>
      <c r="K231" s="11"/>
      <c r="L231" s="11"/>
      <c r="M231" s="11">
        <f t="shared" si="2"/>
        <v>16</v>
      </c>
      <c r="N231" s="11" t="str">
        <f>VLOOKUP($G231, 'ADP Data'!$B$4:$Q$300, 6, FALSE)</f>
        <v>#N/A</v>
      </c>
      <c r="O231" s="11" t="str">
        <f>VLOOKUP($G231, 'ADP Data'!$B$4:$Q$300, 10, FALSE)</f>
        <v>#N/A</v>
      </c>
      <c r="P231" s="11" t="str">
        <f>VLOOKUP($G231, 'ADP Data'!$B$4:$Q$300, 4, FALSE)</f>
        <v>#N/A</v>
      </c>
      <c r="Q231" s="11" t="str">
        <f>VLOOKUP($G231, 'ADP Data'!$B$4:$Q$300, 5, FALSE)</f>
        <v>#N/A</v>
      </c>
      <c r="R231" s="11" t="str">
        <f>VLOOKUP($G231, 'ADP Data'!$B$4:$Q$300, 7, FALSE)</f>
        <v>#N/A</v>
      </c>
      <c r="S231" s="11" t="str">
        <f>VLOOKUP($G231, 'ADP Data'!$B$4:$Q$300, 8, FALSE)</f>
        <v>#N/A</v>
      </c>
      <c r="T231" s="11" t="str">
        <f>VLOOKUP($G231, 'ADP Data'!$B$4:$Q$300, 9, FALSE)</f>
        <v>#N/A</v>
      </c>
      <c r="U231" s="11" t="str">
        <f t="shared" si="4"/>
        <v>#N/A</v>
      </c>
      <c r="V231" s="11"/>
    </row>
    <row r="232" ht="14.25" customHeight="1">
      <c r="A232" s="11"/>
      <c r="B232" s="11" t="str">
        <f t="shared" si="1"/>
        <v>#N/A</v>
      </c>
      <c r="C232" s="11" t="s">
        <v>106</v>
      </c>
      <c r="D232" s="11"/>
      <c r="E232" s="11"/>
      <c r="F232" s="11"/>
      <c r="G232" s="11" t="s">
        <v>564</v>
      </c>
      <c r="H232" s="11" t="s">
        <v>154</v>
      </c>
      <c r="I232" s="11" t="s">
        <v>785</v>
      </c>
      <c r="J232" s="99" t="s">
        <v>1338</v>
      </c>
      <c r="K232" s="11"/>
      <c r="L232" s="11"/>
      <c r="M232" s="11">
        <f t="shared" si="2"/>
        <v>16</v>
      </c>
      <c r="N232" s="11" t="str">
        <f>VLOOKUP($G232, 'ADP Data'!$B$4:$Q$300, 6, FALSE)</f>
        <v>#N/A</v>
      </c>
      <c r="O232" s="11" t="str">
        <f>VLOOKUP($G232, 'ADP Data'!$B$4:$Q$300, 10, FALSE)</f>
        <v>#N/A</v>
      </c>
      <c r="P232" s="11" t="str">
        <f>VLOOKUP($G232, 'ADP Data'!$B$4:$Q$300, 4, FALSE)</f>
        <v>#N/A</v>
      </c>
      <c r="Q232" s="11" t="str">
        <f>VLOOKUP($G232, 'ADP Data'!$B$4:$Q$300, 5, FALSE)</f>
        <v>#N/A</v>
      </c>
      <c r="R232" s="11" t="str">
        <f>VLOOKUP($G232, 'ADP Data'!$B$4:$Q$300, 7, FALSE)</f>
        <v>#N/A</v>
      </c>
      <c r="S232" s="11" t="str">
        <f>VLOOKUP($G232, 'ADP Data'!$B$4:$Q$300, 8, FALSE)</f>
        <v>#N/A</v>
      </c>
      <c r="T232" s="11" t="str">
        <f>VLOOKUP($G232, 'ADP Data'!$B$4:$Q$300, 9, FALSE)</f>
        <v>#N/A</v>
      </c>
      <c r="U232" s="11" t="str">
        <f t="shared" si="4"/>
        <v>#N/A</v>
      </c>
      <c r="V232" s="11"/>
    </row>
    <row r="233" ht="14.25" customHeight="1">
      <c r="A233" s="11"/>
      <c r="B233" s="11" t="str">
        <f t="shared" si="1"/>
        <v>#N/A</v>
      </c>
      <c r="C233" s="11" t="s">
        <v>106</v>
      </c>
      <c r="D233" s="11"/>
      <c r="E233" s="11"/>
      <c r="F233" s="11"/>
      <c r="G233" s="11" t="s">
        <v>630</v>
      </c>
      <c r="H233" s="11" t="s">
        <v>171</v>
      </c>
      <c r="I233" s="11" t="s">
        <v>785</v>
      </c>
      <c r="J233" s="99" t="s">
        <v>1352</v>
      </c>
      <c r="K233" s="11"/>
      <c r="L233" s="11"/>
      <c r="M233" s="11">
        <f t="shared" si="2"/>
        <v>16</v>
      </c>
      <c r="N233" s="11" t="str">
        <f>VLOOKUP($G233, 'ADP Data'!$B$4:$Q$300, 6, FALSE)</f>
        <v>#N/A</v>
      </c>
      <c r="O233" s="11" t="str">
        <f>VLOOKUP($G233, 'ADP Data'!$B$4:$Q$300, 10, FALSE)</f>
        <v>#N/A</v>
      </c>
      <c r="P233" s="11" t="str">
        <f>VLOOKUP($G233, 'ADP Data'!$B$4:$Q$300, 4, FALSE)</f>
        <v>#N/A</v>
      </c>
      <c r="Q233" s="11" t="str">
        <f>VLOOKUP($G233, 'ADP Data'!$B$4:$Q$300, 5, FALSE)</f>
        <v>#N/A</v>
      </c>
      <c r="R233" s="11" t="str">
        <f>VLOOKUP($G233, 'ADP Data'!$B$4:$Q$300, 7, FALSE)</f>
        <v>#N/A</v>
      </c>
      <c r="S233" s="11" t="str">
        <f>VLOOKUP($G233, 'ADP Data'!$B$4:$Q$300, 8, FALSE)</f>
        <v>#N/A</v>
      </c>
      <c r="T233" s="11" t="str">
        <f>VLOOKUP($G233, 'ADP Data'!$B$4:$Q$300, 9, FALSE)</f>
        <v>#N/A</v>
      </c>
      <c r="U233" s="11" t="str">
        <f t="shared" si="4"/>
        <v>#N/A</v>
      </c>
      <c r="V233" s="11"/>
    </row>
    <row r="234" ht="14.25" customHeight="1">
      <c r="A234" s="11"/>
      <c r="B234" s="11" t="str">
        <f t="shared" si="1"/>
        <v>#N/A</v>
      </c>
      <c r="C234" s="11" t="s">
        <v>106</v>
      </c>
      <c r="D234" s="11"/>
      <c r="E234" s="11"/>
      <c r="F234" s="11"/>
      <c r="G234" s="11" t="s">
        <v>1635</v>
      </c>
      <c r="H234" s="11" t="s">
        <v>94</v>
      </c>
      <c r="I234" s="11" t="s">
        <v>772</v>
      </c>
      <c r="J234" s="99" t="s">
        <v>1633</v>
      </c>
      <c r="K234" s="11"/>
      <c r="L234" s="11"/>
      <c r="M234" s="11">
        <f t="shared" si="2"/>
        <v>16</v>
      </c>
      <c r="N234" s="11" t="str">
        <f>VLOOKUP($G234, 'ADP Data'!$B$4:$Q$300, 6, FALSE)</f>
        <v>#N/A</v>
      </c>
      <c r="O234" s="11" t="str">
        <f>VLOOKUP($G234, 'ADP Data'!$B$4:$Q$300, 10, FALSE)</f>
        <v>#N/A</v>
      </c>
      <c r="P234" s="11" t="str">
        <f>VLOOKUP($G234, 'ADP Data'!$B$4:$Q$300, 4, FALSE)</f>
        <v>#N/A</v>
      </c>
      <c r="Q234" s="11" t="str">
        <f>VLOOKUP($G234, 'ADP Data'!$B$4:$Q$300, 5, FALSE)</f>
        <v>#N/A</v>
      </c>
      <c r="R234" s="11" t="str">
        <f>VLOOKUP($G234, 'ADP Data'!$B$4:$Q$300, 7, FALSE)</f>
        <v>#N/A</v>
      </c>
      <c r="S234" s="11" t="str">
        <f>VLOOKUP($G234, 'ADP Data'!$B$4:$Q$300, 8, FALSE)</f>
        <v>#N/A</v>
      </c>
      <c r="T234" s="11" t="str">
        <f>VLOOKUP($G234, 'ADP Data'!$B$4:$Q$300, 9, FALSE)</f>
        <v>#N/A</v>
      </c>
      <c r="U234" s="11" t="str">
        <f t="shared" si="4"/>
        <v>#N/A</v>
      </c>
      <c r="V234" s="11"/>
    </row>
    <row r="235" ht="14.25" customHeight="1">
      <c r="A235" s="11"/>
      <c r="B235" s="11" t="str">
        <f t="shared" si="1"/>
        <v>#N/A</v>
      </c>
      <c r="C235" s="11" t="s">
        <v>106</v>
      </c>
      <c r="D235" s="11"/>
      <c r="E235" s="11"/>
      <c r="F235" s="11"/>
      <c r="G235" s="11" t="s">
        <v>1565</v>
      </c>
      <c r="H235" s="11" t="s">
        <v>176</v>
      </c>
      <c r="I235" s="11" t="s">
        <v>770</v>
      </c>
      <c r="J235" s="99" t="s">
        <v>1395</v>
      </c>
      <c r="K235" s="11"/>
      <c r="L235" s="11"/>
      <c r="M235" s="11">
        <f t="shared" si="2"/>
        <v>16</v>
      </c>
      <c r="N235" s="11" t="str">
        <f>VLOOKUP($G235, 'ADP Data'!$B$4:$Q$300, 6, FALSE)</f>
        <v>#N/A</v>
      </c>
      <c r="O235" s="11" t="str">
        <f>VLOOKUP($G235, 'ADP Data'!$B$4:$Q$300, 10, FALSE)</f>
        <v>#N/A</v>
      </c>
      <c r="P235" s="11" t="str">
        <f>VLOOKUP($G235, 'ADP Data'!$B$4:$Q$300, 4, FALSE)</f>
        <v>#N/A</v>
      </c>
      <c r="Q235" s="11" t="str">
        <f>VLOOKUP($G235, 'ADP Data'!$B$4:$Q$300, 5, FALSE)</f>
        <v>#N/A</v>
      </c>
      <c r="R235" s="11" t="str">
        <f>VLOOKUP($G235, 'ADP Data'!$B$4:$Q$300, 7, FALSE)</f>
        <v>#N/A</v>
      </c>
      <c r="S235" s="11" t="str">
        <f>VLOOKUP($G235, 'ADP Data'!$B$4:$Q$300, 8, FALSE)</f>
        <v>#N/A</v>
      </c>
      <c r="T235" s="11" t="str">
        <f>VLOOKUP($G235, 'ADP Data'!$B$4:$Q$300, 9, FALSE)</f>
        <v>#N/A</v>
      </c>
      <c r="U235" s="11" t="str">
        <f t="shared" si="4"/>
        <v>#N/A</v>
      </c>
      <c r="V235" s="11"/>
    </row>
    <row r="236" ht="14.25" customHeight="1">
      <c r="A236" s="11"/>
      <c r="B236" s="11" t="str">
        <f t="shared" si="1"/>
        <v>#N/A</v>
      </c>
      <c r="C236" s="11" t="s">
        <v>106</v>
      </c>
      <c r="D236" s="11"/>
      <c r="E236" s="11"/>
      <c r="F236" s="11"/>
      <c r="G236" s="11" t="s">
        <v>588</v>
      </c>
      <c r="H236" s="11" t="s">
        <v>71</v>
      </c>
      <c r="I236" s="11" t="s">
        <v>785</v>
      </c>
      <c r="J236" s="99" t="s">
        <v>1335</v>
      </c>
      <c r="K236" s="11"/>
      <c r="L236" s="11"/>
      <c r="M236" s="11">
        <f t="shared" si="2"/>
        <v>16</v>
      </c>
      <c r="N236" s="11" t="str">
        <f>VLOOKUP($G236, 'ADP Data'!$B$4:$Q$300, 6, FALSE)</f>
        <v>#N/A</v>
      </c>
      <c r="O236" s="11" t="str">
        <f>VLOOKUP($G236, 'ADP Data'!$B$4:$Q$300, 10, FALSE)</f>
        <v>#N/A</v>
      </c>
      <c r="P236" s="11" t="str">
        <f>VLOOKUP($G236, 'ADP Data'!$B$4:$Q$300, 4, FALSE)</f>
        <v>#N/A</v>
      </c>
      <c r="Q236" s="11" t="str">
        <f>VLOOKUP($G236, 'ADP Data'!$B$4:$Q$300, 5, FALSE)</f>
        <v>#N/A</v>
      </c>
      <c r="R236" s="11" t="str">
        <f>VLOOKUP($G236, 'ADP Data'!$B$4:$Q$300, 7, FALSE)</f>
        <v>#N/A</v>
      </c>
      <c r="S236" s="11" t="str">
        <f>VLOOKUP($G236, 'ADP Data'!$B$4:$Q$300, 8, FALSE)</f>
        <v>#N/A</v>
      </c>
      <c r="T236" s="11" t="str">
        <f>VLOOKUP($G236, 'ADP Data'!$B$4:$Q$300, 9, FALSE)</f>
        <v>#N/A</v>
      </c>
      <c r="U236" s="11" t="str">
        <f t="shared" si="4"/>
        <v>#N/A</v>
      </c>
      <c r="V236" s="11"/>
    </row>
    <row r="237" ht="14.25" customHeight="1">
      <c r="A237" s="11"/>
      <c r="B237" s="11" t="str">
        <f t="shared" si="1"/>
        <v>#N/A</v>
      </c>
      <c r="C237" s="11" t="s">
        <v>106</v>
      </c>
      <c r="D237" s="11"/>
      <c r="E237" s="11"/>
      <c r="F237" s="11"/>
      <c r="G237" s="11" t="s">
        <v>1105</v>
      </c>
      <c r="H237" s="11" t="s">
        <v>125</v>
      </c>
      <c r="I237" s="11" t="s">
        <v>785</v>
      </c>
      <c r="J237" s="99" t="s">
        <v>1344</v>
      </c>
      <c r="K237" s="11"/>
      <c r="L237" s="11"/>
      <c r="M237" s="11">
        <f t="shared" si="2"/>
        <v>16</v>
      </c>
      <c r="N237" s="11" t="str">
        <f>VLOOKUP($G237, 'ADP Data'!$B$4:$Q$300, 6, FALSE)</f>
        <v>#N/A</v>
      </c>
      <c r="O237" s="11" t="str">
        <f>VLOOKUP($G237, 'ADP Data'!$B$4:$Q$300, 10, FALSE)</f>
        <v>#N/A</v>
      </c>
      <c r="P237" s="11" t="str">
        <f>VLOOKUP($G237, 'ADP Data'!$B$4:$Q$300, 4, FALSE)</f>
        <v>#N/A</v>
      </c>
      <c r="Q237" s="11" t="str">
        <f>VLOOKUP($G237, 'ADP Data'!$B$4:$Q$300, 5, FALSE)</f>
        <v>#N/A</v>
      </c>
      <c r="R237" s="11" t="str">
        <f>VLOOKUP($G237, 'ADP Data'!$B$4:$Q$300, 7, FALSE)</f>
        <v>#N/A</v>
      </c>
      <c r="S237" s="11" t="str">
        <f>VLOOKUP($G237, 'ADP Data'!$B$4:$Q$300, 8, FALSE)</f>
        <v>#N/A</v>
      </c>
      <c r="T237" s="11" t="str">
        <f>VLOOKUP($G237, 'ADP Data'!$B$4:$Q$300, 9, FALSE)</f>
        <v>#N/A</v>
      </c>
      <c r="U237" s="11" t="str">
        <f t="shared" si="4"/>
        <v>#N/A</v>
      </c>
      <c r="V237" s="11"/>
    </row>
    <row r="238" ht="14.25" customHeight="1">
      <c r="A238" s="11"/>
      <c r="B238" s="11" t="str">
        <f t="shared" si="1"/>
        <v>#N/A</v>
      </c>
      <c r="C238" s="11" t="s">
        <v>106</v>
      </c>
      <c r="D238" s="11"/>
      <c r="E238" s="11"/>
      <c r="F238" s="11"/>
      <c r="G238" s="11" t="s">
        <v>1516</v>
      </c>
      <c r="H238" s="11" t="s">
        <v>49</v>
      </c>
      <c r="I238" s="11" t="s">
        <v>775</v>
      </c>
      <c r="J238" s="99">
        <v>84.0</v>
      </c>
      <c r="K238" s="11"/>
      <c r="L238" s="11"/>
      <c r="M238" s="11">
        <f t="shared" si="2"/>
        <v>16</v>
      </c>
      <c r="N238" s="11" t="str">
        <f>VLOOKUP($G238, 'ADP Data'!$B$4:$Q$300, 6, FALSE)</f>
        <v>#N/A</v>
      </c>
      <c r="O238" s="11" t="str">
        <f>VLOOKUP($G238, 'ADP Data'!$B$4:$Q$300, 10, FALSE)</f>
        <v>#N/A</v>
      </c>
      <c r="P238" s="11" t="str">
        <f>VLOOKUP($G238, 'ADP Data'!$B$4:$Q$300, 4, FALSE)</f>
        <v>#N/A</v>
      </c>
      <c r="Q238" s="11" t="str">
        <f>VLOOKUP($G238, 'ADP Data'!$B$4:$Q$300, 5, FALSE)</f>
        <v>#N/A</v>
      </c>
      <c r="R238" s="11" t="str">
        <f>VLOOKUP($G238, 'ADP Data'!$B$4:$Q$300, 7, FALSE)</f>
        <v>#N/A</v>
      </c>
      <c r="S238" s="11" t="str">
        <f>VLOOKUP($G238, 'ADP Data'!$B$4:$Q$300, 8, FALSE)</f>
        <v>#N/A</v>
      </c>
      <c r="T238" s="11" t="str">
        <f>VLOOKUP($G238, 'ADP Data'!$B$4:$Q$300, 9, FALSE)</f>
        <v>#N/A</v>
      </c>
      <c r="U238" s="11" t="str">
        <f t="shared" si="4"/>
        <v>#N/A</v>
      </c>
      <c r="V238" s="11"/>
    </row>
    <row r="239" ht="14.25" customHeight="1">
      <c r="A239" s="11"/>
      <c r="B239" s="11" t="str">
        <f t="shared" si="1"/>
        <v>#N/A</v>
      </c>
      <c r="C239" s="11" t="s">
        <v>106</v>
      </c>
      <c r="D239" s="11"/>
      <c r="E239" s="11"/>
      <c r="F239" s="11"/>
      <c r="G239" s="11" t="s">
        <v>491</v>
      </c>
      <c r="H239" s="11" t="s">
        <v>52</v>
      </c>
      <c r="I239" s="11" t="s">
        <v>785</v>
      </c>
      <c r="J239" s="99" t="s">
        <v>1356</v>
      </c>
      <c r="K239" s="11"/>
      <c r="L239" s="11"/>
      <c r="M239" s="11">
        <f t="shared" si="2"/>
        <v>16</v>
      </c>
      <c r="N239" s="11" t="str">
        <f>VLOOKUP($G239, 'ADP Data'!$B$4:$Q$300, 6, FALSE)</f>
        <v>#N/A</v>
      </c>
      <c r="O239" s="11" t="str">
        <f>VLOOKUP($G239, 'ADP Data'!$B$4:$Q$300, 10, FALSE)</f>
        <v>#N/A</v>
      </c>
      <c r="P239" s="11" t="str">
        <f>VLOOKUP($G239, 'ADP Data'!$B$4:$Q$300, 4, FALSE)</f>
        <v>#N/A</v>
      </c>
      <c r="Q239" s="11" t="str">
        <f>VLOOKUP($G239, 'ADP Data'!$B$4:$Q$300, 5, FALSE)</f>
        <v>#N/A</v>
      </c>
      <c r="R239" s="11" t="str">
        <f>VLOOKUP($G239, 'ADP Data'!$B$4:$Q$300, 7, FALSE)</f>
        <v>#N/A</v>
      </c>
      <c r="S239" s="11" t="str">
        <f>VLOOKUP($G239, 'ADP Data'!$B$4:$Q$300, 8, FALSE)</f>
        <v>#N/A</v>
      </c>
      <c r="T239" s="11" t="str">
        <f>VLOOKUP($G239, 'ADP Data'!$B$4:$Q$300, 9, FALSE)</f>
        <v>#N/A</v>
      </c>
      <c r="U239" s="11" t="str">
        <f t="shared" si="4"/>
        <v>#N/A</v>
      </c>
      <c r="V239" s="11"/>
    </row>
    <row r="240" ht="14.25" customHeight="1">
      <c r="A240" s="11"/>
      <c r="B240" s="11" t="str">
        <f t="shared" si="1"/>
        <v>#N/A</v>
      </c>
      <c r="C240" s="11" t="s">
        <v>106</v>
      </c>
      <c r="D240" s="11"/>
      <c r="E240" s="11"/>
      <c r="F240" s="11"/>
      <c r="G240" s="11" t="s">
        <v>1177</v>
      </c>
      <c r="H240" s="11" t="s">
        <v>195</v>
      </c>
      <c r="I240" s="11" t="s">
        <v>775</v>
      </c>
      <c r="J240" s="99" t="s">
        <v>1636</v>
      </c>
      <c r="K240" s="11"/>
      <c r="L240" s="11"/>
      <c r="M240" s="11">
        <f t="shared" si="2"/>
        <v>16</v>
      </c>
      <c r="N240" s="11" t="str">
        <f>VLOOKUP($G240, 'ADP Data'!$B$4:$Q$300, 6, FALSE)</f>
        <v>#N/A</v>
      </c>
      <c r="O240" s="11" t="str">
        <f>VLOOKUP($G240, 'ADP Data'!$B$4:$Q$300, 10, FALSE)</f>
        <v>#N/A</v>
      </c>
      <c r="P240" s="11" t="str">
        <f>VLOOKUP($G240, 'ADP Data'!$B$4:$Q$300, 4, FALSE)</f>
        <v>#N/A</v>
      </c>
      <c r="Q240" s="11" t="str">
        <f>VLOOKUP($G240, 'ADP Data'!$B$4:$Q$300, 5, FALSE)</f>
        <v>#N/A</v>
      </c>
      <c r="R240" s="11" t="str">
        <f>VLOOKUP($G240, 'ADP Data'!$B$4:$Q$300, 7, FALSE)</f>
        <v>#N/A</v>
      </c>
      <c r="S240" s="11" t="str">
        <f>VLOOKUP($G240, 'ADP Data'!$B$4:$Q$300, 8, FALSE)</f>
        <v>#N/A</v>
      </c>
      <c r="T240" s="11" t="str">
        <f>VLOOKUP($G240, 'ADP Data'!$B$4:$Q$300, 9, FALSE)</f>
        <v>#N/A</v>
      </c>
      <c r="U240" s="11" t="str">
        <f t="shared" si="4"/>
        <v>#N/A</v>
      </c>
      <c r="V240" s="11"/>
    </row>
    <row r="241" ht="14.25" customHeight="1">
      <c r="A241" s="11"/>
      <c r="B241" s="11" t="str">
        <f t="shared" si="1"/>
        <v>#N/A</v>
      </c>
      <c r="C241" s="11" t="s">
        <v>106</v>
      </c>
      <c r="D241" s="11"/>
      <c r="E241" s="11"/>
      <c r="F241" s="11"/>
      <c r="G241" s="11" t="s">
        <v>1268</v>
      </c>
      <c r="H241" s="11" t="s">
        <v>162</v>
      </c>
      <c r="I241" s="11" t="s">
        <v>781</v>
      </c>
      <c r="J241" s="99" t="s">
        <v>1339</v>
      </c>
      <c r="K241" s="11"/>
      <c r="L241" s="11"/>
      <c r="M241" s="11">
        <f t="shared" si="2"/>
        <v>16</v>
      </c>
      <c r="N241" s="11" t="str">
        <f>VLOOKUP($G241, 'ADP Data'!$B$4:$Q$300, 6, FALSE)</f>
        <v>#N/A</v>
      </c>
      <c r="O241" s="11" t="str">
        <f>VLOOKUP($G241, 'ADP Data'!$B$4:$Q$300, 10, FALSE)</f>
        <v>#N/A</v>
      </c>
      <c r="P241" s="11" t="str">
        <f>VLOOKUP($G241, 'ADP Data'!$B$4:$Q$300, 4, FALSE)</f>
        <v>#N/A</v>
      </c>
      <c r="Q241" s="11" t="str">
        <f>VLOOKUP($G241, 'ADP Data'!$B$4:$Q$300, 5, FALSE)</f>
        <v>#N/A</v>
      </c>
      <c r="R241" s="11" t="str">
        <f>VLOOKUP($G241, 'ADP Data'!$B$4:$Q$300, 7, FALSE)</f>
        <v>#N/A</v>
      </c>
      <c r="S241" s="11" t="str">
        <f>VLOOKUP($G241, 'ADP Data'!$B$4:$Q$300, 8, FALSE)</f>
        <v>#N/A</v>
      </c>
      <c r="T241" s="11" t="str">
        <f>VLOOKUP($G241, 'ADP Data'!$B$4:$Q$300, 9, FALSE)</f>
        <v>#N/A</v>
      </c>
      <c r="U241" s="11" t="str">
        <f t="shared" si="4"/>
        <v>#N/A</v>
      </c>
      <c r="V241" s="11"/>
    </row>
    <row r="242" ht="14.25" customHeight="1">
      <c r="A242" s="11"/>
      <c r="B242" s="11" t="str">
        <f t="shared" si="1"/>
        <v>#N/A</v>
      </c>
      <c r="C242" s="11" t="s">
        <v>106</v>
      </c>
      <c r="D242" s="11"/>
      <c r="E242" s="11"/>
      <c r="F242" s="11"/>
      <c r="G242" s="11" t="s">
        <v>515</v>
      </c>
      <c r="H242" s="11" t="s">
        <v>75</v>
      </c>
      <c r="I242" s="11" t="s">
        <v>785</v>
      </c>
      <c r="J242" s="99" t="s">
        <v>1373</v>
      </c>
      <c r="K242" s="11"/>
      <c r="L242" s="11"/>
      <c r="M242" s="11">
        <f t="shared" si="2"/>
        <v>16</v>
      </c>
      <c r="N242" s="11" t="str">
        <f>VLOOKUP($G242, 'ADP Data'!$B$4:$Q$300, 6, FALSE)</f>
        <v>#N/A</v>
      </c>
      <c r="O242" s="11" t="str">
        <f>VLOOKUP($G242, 'ADP Data'!$B$4:$Q$300, 10, FALSE)</f>
        <v>#N/A</v>
      </c>
      <c r="P242" s="11" t="str">
        <f>VLOOKUP($G242, 'ADP Data'!$B$4:$Q$300, 4, FALSE)</f>
        <v>#N/A</v>
      </c>
      <c r="Q242" s="11" t="str">
        <f>VLOOKUP($G242, 'ADP Data'!$B$4:$Q$300, 5, FALSE)</f>
        <v>#N/A</v>
      </c>
      <c r="R242" s="11" t="str">
        <f>VLOOKUP($G242, 'ADP Data'!$B$4:$Q$300, 7, FALSE)</f>
        <v>#N/A</v>
      </c>
      <c r="S242" s="11" t="str">
        <f>VLOOKUP($G242, 'ADP Data'!$B$4:$Q$300, 8, FALSE)</f>
        <v>#N/A</v>
      </c>
      <c r="T242" s="11" t="str">
        <f>VLOOKUP($G242, 'ADP Data'!$B$4:$Q$300, 9, FALSE)</f>
        <v>#N/A</v>
      </c>
      <c r="U242" s="11" t="str">
        <f t="shared" si="4"/>
        <v>#N/A</v>
      </c>
      <c r="V242" s="11"/>
    </row>
    <row r="243" ht="14.25" customHeight="1">
      <c r="A243" s="11"/>
      <c r="B243" s="11" t="str">
        <f t="shared" si="1"/>
        <v>#N/A</v>
      </c>
      <c r="C243" s="11" t="s">
        <v>106</v>
      </c>
      <c r="D243" s="11"/>
      <c r="E243" s="11"/>
      <c r="F243" s="11"/>
      <c r="G243" s="11" t="s">
        <v>495</v>
      </c>
      <c r="H243" s="11" t="s">
        <v>85</v>
      </c>
      <c r="I243" s="11" t="s">
        <v>785</v>
      </c>
      <c r="J243" s="99" t="s">
        <v>1349</v>
      </c>
      <c r="K243" s="11"/>
      <c r="L243" s="11"/>
      <c r="M243" s="11">
        <f t="shared" si="2"/>
        <v>16</v>
      </c>
      <c r="N243" s="11" t="str">
        <f>VLOOKUP($G243, 'ADP Data'!$B$4:$Q$300, 6, FALSE)</f>
        <v>#N/A</v>
      </c>
      <c r="O243" s="11" t="str">
        <f>VLOOKUP($G243, 'ADP Data'!$B$4:$Q$300, 10, FALSE)</f>
        <v>#N/A</v>
      </c>
      <c r="P243" s="11" t="str">
        <f>VLOOKUP($G243, 'ADP Data'!$B$4:$Q$300, 4, FALSE)</f>
        <v>#N/A</v>
      </c>
      <c r="Q243" s="11" t="str">
        <f>VLOOKUP($G243, 'ADP Data'!$B$4:$Q$300, 5, FALSE)</f>
        <v>#N/A</v>
      </c>
      <c r="R243" s="11" t="str">
        <f>VLOOKUP($G243, 'ADP Data'!$B$4:$Q$300, 7, FALSE)</f>
        <v>#N/A</v>
      </c>
      <c r="S243" s="11" t="str">
        <f>VLOOKUP($G243, 'ADP Data'!$B$4:$Q$300, 8, FALSE)</f>
        <v>#N/A</v>
      </c>
      <c r="T243" s="11" t="str">
        <f>VLOOKUP($G243, 'ADP Data'!$B$4:$Q$300, 9, FALSE)</f>
        <v>#N/A</v>
      </c>
      <c r="U243" s="11" t="str">
        <f t="shared" si="4"/>
        <v>#N/A</v>
      </c>
      <c r="V243" s="11"/>
    </row>
    <row r="244" ht="14.25" customHeight="1">
      <c r="A244" s="11"/>
      <c r="B244" s="11" t="str">
        <f t="shared" si="1"/>
        <v>#N/A</v>
      </c>
      <c r="C244" s="11" t="s">
        <v>106</v>
      </c>
      <c r="D244" s="11"/>
      <c r="E244" s="11"/>
      <c r="F244" s="11"/>
      <c r="G244" s="11" t="s">
        <v>830</v>
      </c>
      <c r="H244" s="11" t="s">
        <v>128</v>
      </c>
      <c r="I244" s="11" t="s">
        <v>775</v>
      </c>
      <c r="J244" s="99" t="s">
        <v>1637</v>
      </c>
      <c r="K244" s="11"/>
      <c r="L244" s="11"/>
      <c r="M244" s="11">
        <f t="shared" si="2"/>
        <v>16</v>
      </c>
      <c r="N244" s="11" t="str">
        <f>VLOOKUP($G244, 'ADP Data'!$B$4:$Q$300, 6, FALSE)</f>
        <v>#N/A</v>
      </c>
      <c r="O244" s="11" t="str">
        <f>VLOOKUP($G244, 'ADP Data'!$B$4:$Q$300, 10, FALSE)</f>
        <v>#N/A</v>
      </c>
      <c r="P244" s="11" t="str">
        <f>VLOOKUP($G244, 'ADP Data'!$B$4:$Q$300, 4, FALSE)</f>
        <v>#N/A</v>
      </c>
      <c r="Q244" s="11" t="str">
        <f>VLOOKUP($G244, 'ADP Data'!$B$4:$Q$300, 5, FALSE)</f>
        <v>#N/A</v>
      </c>
      <c r="R244" s="11" t="str">
        <f>VLOOKUP($G244, 'ADP Data'!$B$4:$Q$300, 7, FALSE)</f>
        <v>#N/A</v>
      </c>
      <c r="S244" s="11" t="str">
        <f>VLOOKUP($G244, 'ADP Data'!$B$4:$Q$300, 8, FALSE)</f>
        <v>#N/A</v>
      </c>
      <c r="T244" s="11" t="str">
        <f>VLOOKUP($G244, 'ADP Data'!$B$4:$Q$300, 9, FALSE)</f>
        <v>#N/A</v>
      </c>
      <c r="U244" s="11" t="str">
        <f t="shared" si="4"/>
        <v>#N/A</v>
      </c>
      <c r="V244" s="11"/>
    </row>
    <row r="245" ht="14.25" customHeight="1">
      <c r="A245" s="11"/>
      <c r="B245" s="11" t="str">
        <f t="shared" si="1"/>
        <v>#N/A</v>
      </c>
      <c r="C245" s="11" t="s">
        <v>106</v>
      </c>
      <c r="D245" s="11"/>
      <c r="E245" s="11"/>
      <c r="F245" s="11"/>
      <c r="G245" s="11" t="s">
        <v>1271</v>
      </c>
      <c r="H245" s="11" t="s">
        <v>165</v>
      </c>
      <c r="I245" s="11" t="s">
        <v>785</v>
      </c>
      <c r="J245" s="99" t="s">
        <v>1331</v>
      </c>
      <c r="K245" s="11"/>
      <c r="L245" s="11"/>
      <c r="M245" s="11">
        <f t="shared" si="2"/>
        <v>16</v>
      </c>
      <c r="N245" s="11" t="str">
        <f>VLOOKUP($G245, 'ADP Data'!$B$4:$Q$300, 6, FALSE)</f>
        <v>#N/A</v>
      </c>
      <c r="O245" s="11" t="str">
        <f>VLOOKUP($G245, 'ADP Data'!$B$4:$Q$300, 10, FALSE)</f>
        <v>#N/A</v>
      </c>
      <c r="P245" s="11" t="str">
        <f>VLOOKUP($G245, 'ADP Data'!$B$4:$Q$300, 4, FALSE)</f>
        <v>#N/A</v>
      </c>
      <c r="Q245" s="11" t="str">
        <f>VLOOKUP($G245, 'ADP Data'!$B$4:$Q$300, 5, FALSE)</f>
        <v>#N/A</v>
      </c>
      <c r="R245" s="11" t="str">
        <f>VLOOKUP($G245, 'ADP Data'!$B$4:$Q$300, 7, FALSE)</f>
        <v>#N/A</v>
      </c>
      <c r="S245" s="11" t="str">
        <f>VLOOKUP($G245, 'ADP Data'!$B$4:$Q$300, 8, FALSE)</f>
        <v>#N/A</v>
      </c>
      <c r="T245" s="11" t="str">
        <f>VLOOKUP($G245, 'ADP Data'!$B$4:$Q$300, 9, FALSE)</f>
        <v>#N/A</v>
      </c>
      <c r="U245" s="11" t="str">
        <f t="shared" si="4"/>
        <v>#N/A</v>
      </c>
      <c r="V245" s="11"/>
    </row>
    <row r="246" ht="14.25" customHeight="1">
      <c r="A246" s="11"/>
      <c r="B246" s="11" t="str">
        <f t="shared" si="1"/>
        <v>#N/A</v>
      </c>
      <c r="C246" s="11" t="s">
        <v>106</v>
      </c>
      <c r="D246" s="11"/>
      <c r="E246" s="11"/>
      <c r="F246" s="11"/>
      <c r="G246" s="11" t="s">
        <v>532</v>
      </c>
      <c r="H246" s="11" t="s">
        <v>105</v>
      </c>
      <c r="I246" s="11" t="s">
        <v>785</v>
      </c>
      <c r="J246" s="99" t="s">
        <v>1367</v>
      </c>
      <c r="K246" s="11"/>
      <c r="L246" s="11"/>
      <c r="M246" s="11">
        <f t="shared" si="2"/>
        <v>16</v>
      </c>
      <c r="N246" s="11" t="str">
        <f>VLOOKUP($G246, 'ADP Data'!$B$4:$Q$300, 6, FALSE)</f>
        <v>#N/A</v>
      </c>
      <c r="O246" s="11" t="str">
        <f>VLOOKUP($G246, 'ADP Data'!$B$4:$Q$300, 10, FALSE)</f>
        <v>#N/A</v>
      </c>
      <c r="P246" s="11" t="str">
        <f>VLOOKUP($G246, 'ADP Data'!$B$4:$Q$300, 4, FALSE)</f>
        <v>#N/A</v>
      </c>
      <c r="Q246" s="11" t="str">
        <f>VLOOKUP($G246, 'ADP Data'!$B$4:$Q$300, 5, FALSE)</f>
        <v>#N/A</v>
      </c>
      <c r="R246" s="11" t="str">
        <f>VLOOKUP($G246, 'ADP Data'!$B$4:$Q$300, 7, FALSE)</f>
        <v>#N/A</v>
      </c>
      <c r="S246" s="11" t="str">
        <f>VLOOKUP($G246, 'ADP Data'!$B$4:$Q$300, 8, FALSE)</f>
        <v>#N/A</v>
      </c>
      <c r="T246" s="11" t="str">
        <f>VLOOKUP($G246, 'ADP Data'!$B$4:$Q$300, 9, FALSE)</f>
        <v>#N/A</v>
      </c>
      <c r="U246" s="11" t="str">
        <f t="shared" si="4"/>
        <v>#N/A</v>
      </c>
      <c r="V246" s="11"/>
    </row>
    <row r="247" ht="14.25" customHeight="1">
      <c r="A247" s="11"/>
      <c r="B247" s="11" t="str">
        <f t="shared" si="1"/>
        <v>#N/A</v>
      </c>
      <c r="C247" s="11" t="s">
        <v>106</v>
      </c>
      <c r="D247" s="11"/>
      <c r="E247" s="11"/>
      <c r="F247" s="11"/>
      <c r="G247" s="11" t="s">
        <v>688</v>
      </c>
      <c r="H247" s="11" t="s">
        <v>128</v>
      </c>
      <c r="I247" s="11" t="s">
        <v>785</v>
      </c>
      <c r="J247" s="99" t="s">
        <v>1351</v>
      </c>
      <c r="K247" s="11"/>
      <c r="L247" s="11"/>
      <c r="M247" s="11">
        <f t="shared" si="2"/>
        <v>16</v>
      </c>
      <c r="N247" s="11" t="str">
        <f>VLOOKUP($G247, 'ADP Data'!$B$4:$Q$300, 6, FALSE)</f>
        <v>#N/A</v>
      </c>
      <c r="O247" s="11" t="str">
        <f>VLOOKUP($G247, 'ADP Data'!$B$4:$Q$300, 10, FALSE)</f>
        <v>#N/A</v>
      </c>
      <c r="P247" s="11" t="str">
        <f>VLOOKUP($G247, 'ADP Data'!$B$4:$Q$300, 4, FALSE)</f>
        <v>#N/A</v>
      </c>
      <c r="Q247" s="11" t="str">
        <f>VLOOKUP($G247, 'ADP Data'!$B$4:$Q$300, 5, FALSE)</f>
        <v>#N/A</v>
      </c>
      <c r="R247" s="11" t="str">
        <f>VLOOKUP($G247, 'ADP Data'!$B$4:$Q$300, 7, FALSE)</f>
        <v>#N/A</v>
      </c>
      <c r="S247" s="11" t="str">
        <f>VLOOKUP($G247, 'ADP Data'!$B$4:$Q$300, 8, FALSE)</f>
        <v>#N/A</v>
      </c>
      <c r="T247" s="11" t="str">
        <f>VLOOKUP($G247, 'ADP Data'!$B$4:$Q$300, 9, FALSE)</f>
        <v>#N/A</v>
      </c>
      <c r="U247" s="11" t="str">
        <f t="shared" si="4"/>
        <v>#N/A</v>
      </c>
      <c r="V247" s="11"/>
    </row>
    <row r="248" ht="14.25" customHeight="1">
      <c r="A248" s="11"/>
      <c r="B248" s="11" t="str">
        <f t="shared" si="1"/>
        <v>#N/A</v>
      </c>
      <c r="C248" s="11" t="s">
        <v>106</v>
      </c>
      <c r="D248" s="11"/>
      <c r="E248" s="11"/>
      <c r="F248" s="11"/>
      <c r="G248" s="11" t="s">
        <v>1236</v>
      </c>
      <c r="H248" s="11" t="s">
        <v>231</v>
      </c>
      <c r="I248" s="11" t="s">
        <v>785</v>
      </c>
      <c r="J248" s="99" t="s">
        <v>1353</v>
      </c>
      <c r="K248" s="11"/>
      <c r="L248" s="11"/>
      <c r="M248" s="11">
        <f t="shared" si="2"/>
        <v>16</v>
      </c>
      <c r="N248" s="11" t="str">
        <f>VLOOKUP($G248, 'ADP Data'!$B$4:$Q$300, 6, FALSE)</f>
        <v>#N/A</v>
      </c>
      <c r="O248" s="11" t="str">
        <f>VLOOKUP($G248, 'ADP Data'!$B$4:$Q$300, 10, FALSE)</f>
        <v>#N/A</v>
      </c>
      <c r="P248" s="11" t="str">
        <f>VLOOKUP($G248, 'ADP Data'!$B$4:$Q$300, 4, FALSE)</f>
        <v>#N/A</v>
      </c>
      <c r="Q248" s="11" t="str">
        <f>VLOOKUP($G248, 'ADP Data'!$B$4:$Q$300, 5, FALSE)</f>
        <v>#N/A</v>
      </c>
      <c r="R248" s="11" t="str">
        <f>VLOOKUP($G248, 'ADP Data'!$B$4:$Q$300, 7, FALSE)</f>
        <v>#N/A</v>
      </c>
      <c r="S248" s="11" t="str">
        <f>VLOOKUP($G248, 'ADP Data'!$B$4:$Q$300, 8, FALSE)</f>
        <v>#N/A</v>
      </c>
      <c r="T248" s="11" t="str">
        <f>VLOOKUP($G248, 'ADP Data'!$B$4:$Q$300, 9, FALSE)</f>
        <v>#N/A</v>
      </c>
      <c r="U248" s="11" t="str">
        <f t="shared" si="4"/>
        <v>#N/A</v>
      </c>
      <c r="V248" s="11"/>
    </row>
    <row r="249" ht="14.25" customHeight="1">
      <c r="A249" s="11"/>
      <c r="B249" s="11" t="str">
        <f t="shared" si="1"/>
        <v>#N/A</v>
      </c>
      <c r="C249" s="11" t="s">
        <v>106</v>
      </c>
      <c r="D249" s="11"/>
      <c r="E249" s="11"/>
      <c r="F249" s="11"/>
      <c r="G249" s="11" t="s">
        <v>670</v>
      </c>
      <c r="H249" s="11" t="s">
        <v>45</v>
      </c>
      <c r="I249" s="11" t="s">
        <v>772</v>
      </c>
      <c r="J249" s="99" t="s">
        <v>1593</v>
      </c>
      <c r="K249" s="11"/>
      <c r="L249" s="11"/>
      <c r="M249" s="11">
        <f t="shared" si="2"/>
        <v>16</v>
      </c>
      <c r="N249" s="11" t="str">
        <f>VLOOKUP($G249, 'ADP Data'!$B$4:$Q$300, 6, FALSE)</f>
        <v>#N/A</v>
      </c>
      <c r="O249" s="11" t="str">
        <f>VLOOKUP($G249, 'ADP Data'!$B$4:$Q$300, 10, FALSE)</f>
        <v>#N/A</v>
      </c>
      <c r="P249" s="11" t="str">
        <f>VLOOKUP($G249, 'ADP Data'!$B$4:$Q$300, 4, FALSE)</f>
        <v>#N/A</v>
      </c>
      <c r="Q249" s="11" t="str">
        <f>VLOOKUP($G249, 'ADP Data'!$B$4:$Q$300, 5, FALSE)</f>
        <v>#N/A</v>
      </c>
      <c r="R249" s="11" t="str">
        <f>VLOOKUP($G249, 'ADP Data'!$B$4:$Q$300, 7, FALSE)</f>
        <v>#N/A</v>
      </c>
      <c r="S249" s="11" t="str">
        <f>VLOOKUP($G249, 'ADP Data'!$B$4:$Q$300, 8, FALSE)</f>
        <v>#N/A</v>
      </c>
      <c r="T249" s="11" t="str">
        <f>VLOOKUP($G249, 'ADP Data'!$B$4:$Q$300, 9, FALSE)</f>
        <v>#N/A</v>
      </c>
      <c r="U249" s="11" t="str">
        <f t="shared" si="4"/>
        <v>#N/A</v>
      </c>
      <c r="V249" s="11"/>
    </row>
    <row r="250" ht="14.25" customHeight="1">
      <c r="A250" s="11"/>
      <c r="B250" s="11" t="str">
        <f t="shared" si="1"/>
        <v>#N/A</v>
      </c>
      <c r="C250" s="11" t="s">
        <v>106</v>
      </c>
      <c r="D250" s="11"/>
      <c r="E250" s="11"/>
      <c r="F250" s="11"/>
      <c r="G250" s="11" t="s">
        <v>916</v>
      </c>
      <c r="H250" s="11" t="s">
        <v>102</v>
      </c>
      <c r="I250" s="11" t="s">
        <v>775</v>
      </c>
      <c r="J250" s="99" t="s">
        <v>1638</v>
      </c>
      <c r="K250" s="11"/>
      <c r="L250" s="11"/>
      <c r="M250" s="11">
        <f t="shared" si="2"/>
        <v>16</v>
      </c>
      <c r="N250" s="11" t="str">
        <f>VLOOKUP($G250, 'ADP Data'!$B$4:$Q$300, 6, FALSE)</f>
        <v>#N/A</v>
      </c>
      <c r="O250" s="11" t="str">
        <f>VLOOKUP($G250, 'ADP Data'!$B$4:$Q$300, 10, FALSE)</f>
        <v>#N/A</v>
      </c>
      <c r="P250" s="11" t="str">
        <f>VLOOKUP($G250, 'ADP Data'!$B$4:$Q$300, 4, FALSE)</f>
        <v>#N/A</v>
      </c>
      <c r="Q250" s="11" t="str">
        <f>VLOOKUP($G250, 'ADP Data'!$B$4:$Q$300, 5, FALSE)</f>
        <v>#N/A</v>
      </c>
      <c r="R250" s="11" t="str">
        <f>VLOOKUP($G250, 'ADP Data'!$B$4:$Q$300, 7, FALSE)</f>
        <v>#N/A</v>
      </c>
      <c r="S250" s="11" t="str">
        <f>VLOOKUP($G250, 'ADP Data'!$B$4:$Q$300, 8, FALSE)</f>
        <v>#N/A</v>
      </c>
      <c r="T250" s="11" t="str">
        <f>VLOOKUP($G250, 'ADP Data'!$B$4:$Q$300, 9, FALSE)</f>
        <v>#N/A</v>
      </c>
      <c r="U250" s="11" t="str">
        <f t="shared" si="4"/>
        <v>#N/A</v>
      </c>
      <c r="V250" s="11"/>
    </row>
    <row r="251" ht="14.25" customHeight="1">
      <c r="A251" s="11"/>
      <c r="B251" s="11" t="str">
        <f t="shared" si="1"/>
        <v>#N/A</v>
      </c>
      <c r="C251" s="11" t="s">
        <v>106</v>
      </c>
      <c r="D251" s="11"/>
      <c r="E251" s="11"/>
      <c r="F251" s="11"/>
      <c r="G251" s="11" t="s">
        <v>1249</v>
      </c>
      <c r="H251" s="11" t="s">
        <v>58</v>
      </c>
      <c r="I251" s="11" t="s">
        <v>770</v>
      </c>
      <c r="J251" s="99" t="s">
        <v>1385</v>
      </c>
      <c r="K251" s="11"/>
      <c r="L251" s="11"/>
      <c r="M251" s="11">
        <f t="shared" si="2"/>
        <v>16</v>
      </c>
      <c r="N251" s="11" t="str">
        <f>VLOOKUP($G251, 'ADP Data'!$B$4:$Q$300, 6, FALSE)</f>
        <v>#N/A</v>
      </c>
      <c r="O251" s="11" t="str">
        <f>VLOOKUP($G251, 'ADP Data'!$B$4:$Q$300, 10, FALSE)</f>
        <v>#N/A</v>
      </c>
      <c r="P251" s="11" t="str">
        <f>VLOOKUP($G251, 'ADP Data'!$B$4:$Q$300, 4, FALSE)</f>
        <v>#N/A</v>
      </c>
      <c r="Q251" s="11" t="str">
        <f>VLOOKUP($G251, 'ADP Data'!$B$4:$Q$300, 5, FALSE)</f>
        <v>#N/A</v>
      </c>
      <c r="R251" s="11" t="str">
        <f>VLOOKUP($G251, 'ADP Data'!$B$4:$Q$300, 7, FALSE)</f>
        <v>#N/A</v>
      </c>
      <c r="S251" s="11" t="str">
        <f>VLOOKUP($G251, 'ADP Data'!$B$4:$Q$300, 8, FALSE)</f>
        <v>#N/A</v>
      </c>
      <c r="T251" s="11" t="str">
        <f>VLOOKUP($G251, 'ADP Data'!$B$4:$Q$300, 9, FALSE)</f>
        <v>#N/A</v>
      </c>
      <c r="U251" s="11" t="str">
        <f t="shared" si="4"/>
        <v>#N/A</v>
      </c>
      <c r="V251" s="11"/>
    </row>
    <row r="252" ht="14.25" customHeight="1">
      <c r="A252" s="11"/>
      <c r="B252" s="11" t="str">
        <f t="shared" si="1"/>
        <v>#N/A</v>
      </c>
      <c r="C252" s="11" t="s">
        <v>106</v>
      </c>
      <c r="D252" s="11"/>
      <c r="E252" s="11"/>
      <c r="F252" s="11"/>
      <c r="G252" s="11" t="s">
        <v>1468</v>
      </c>
      <c r="H252" s="11" t="s">
        <v>36</v>
      </c>
      <c r="I252" s="11" t="s">
        <v>772</v>
      </c>
      <c r="J252" s="99" t="s">
        <v>1513</v>
      </c>
      <c r="K252" s="11"/>
      <c r="L252" s="11"/>
      <c r="M252" s="11">
        <f t="shared" si="2"/>
        <v>16</v>
      </c>
      <c r="N252" s="11" t="str">
        <f>VLOOKUP($G252, 'ADP Data'!$B$4:$Q$300, 6, FALSE)</f>
        <v>#N/A</v>
      </c>
      <c r="O252" s="11" t="str">
        <f>VLOOKUP($G252, 'ADP Data'!$B$4:$Q$300, 10, FALSE)</f>
        <v>#N/A</v>
      </c>
      <c r="P252" s="11" t="str">
        <f>VLOOKUP($G252, 'ADP Data'!$B$4:$Q$300, 4, FALSE)</f>
        <v>#N/A</v>
      </c>
      <c r="Q252" s="11" t="str">
        <f>VLOOKUP($G252, 'ADP Data'!$B$4:$Q$300, 5, FALSE)</f>
        <v>#N/A</v>
      </c>
      <c r="R252" s="11" t="str">
        <f>VLOOKUP($G252, 'ADP Data'!$B$4:$Q$300, 7, FALSE)</f>
        <v>#N/A</v>
      </c>
      <c r="S252" s="11" t="str">
        <f>VLOOKUP($G252, 'ADP Data'!$B$4:$Q$300, 8, FALSE)</f>
        <v>#N/A</v>
      </c>
      <c r="T252" s="11" t="str">
        <f>VLOOKUP($G252, 'ADP Data'!$B$4:$Q$300, 9, FALSE)</f>
        <v>#N/A</v>
      </c>
      <c r="U252" s="11" t="str">
        <f t="shared" si="4"/>
        <v>#N/A</v>
      </c>
      <c r="V252" s="11"/>
    </row>
    <row r="253" ht="14.25" customHeight="1">
      <c r="A253" s="11"/>
      <c r="B253" s="11" t="str">
        <f t="shared" si="1"/>
        <v>#N/A</v>
      </c>
      <c r="C253" s="11" t="s">
        <v>106</v>
      </c>
      <c r="D253" s="11"/>
      <c r="E253" s="11"/>
      <c r="F253" s="11"/>
      <c r="G253" s="11" t="s">
        <v>1639</v>
      </c>
      <c r="H253" s="11" t="s">
        <v>58</v>
      </c>
      <c r="I253" s="11" t="s">
        <v>772</v>
      </c>
      <c r="J253" s="99" t="s">
        <v>1634</v>
      </c>
      <c r="K253" s="11"/>
      <c r="L253" s="11"/>
      <c r="M253" s="11">
        <f t="shared" si="2"/>
        <v>16</v>
      </c>
      <c r="N253" s="11" t="str">
        <f>VLOOKUP($G253, 'ADP Data'!$B$4:$Q$300, 6, FALSE)</f>
        <v>#N/A</v>
      </c>
      <c r="O253" s="11" t="str">
        <f>VLOOKUP($G253, 'ADP Data'!$B$4:$Q$300, 10, FALSE)</f>
        <v>#N/A</v>
      </c>
      <c r="P253" s="11" t="str">
        <f>VLOOKUP($G253, 'ADP Data'!$B$4:$Q$300, 4, FALSE)</f>
        <v>#N/A</v>
      </c>
      <c r="Q253" s="11" t="str">
        <f>VLOOKUP($G253, 'ADP Data'!$B$4:$Q$300, 5, FALSE)</f>
        <v>#N/A</v>
      </c>
      <c r="R253" s="11" t="str">
        <f>VLOOKUP($G253, 'ADP Data'!$B$4:$Q$300, 7, FALSE)</f>
        <v>#N/A</v>
      </c>
      <c r="S253" s="11" t="str">
        <f>VLOOKUP($G253, 'ADP Data'!$B$4:$Q$300, 8, FALSE)</f>
        <v>#N/A</v>
      </c>
      <c r="T253" s="11" t="str">
        <f>VLOOKUP($G253, 'ADP Data'!$B$4:$Q$300, 9, FALSE)</f>
        <v>#N/A</v>
      </c>
      <c r="U253" s="11" t="str">
        <f t="shared" si="4"/>
        <v>#N/A</v>
      </c>
      <c r="V253" s="11"/>
    </row>
    <row r="254" ht="14.25" customHeight="1">
      <c r="A254" s="11"/>
      <c r="B254" s="11" t="str">
        <f t="shared" si="1"/>
        <v>#N/A</v>
      </c>
      <c r="C254" s="11" t="s">
        <v>106</v>
      </c>
      <c r="D254" s="11"/>
      <c r="E254" s="11"/>
      <c r="F254" s="11"/>
      <c r="G254" s="11" t="s">
        <v>1253</v>
      </c>
      <c r="H254" s="11" t="s">
        <v>62</v>
      </c>
      <c r="I254" s="11" t="s">
        <v>781</v>
      </c>
      <c r="J254" s="99" t="s">
        <v>1395</v>
      </c>
      <c r="K254" s="11"/>
      <c r="L254" s="11"/>
      <c r="M254" s="11">
        <f t="shared" si="2"/>
        <v>16</v>
      </c>
      <c r="N254" s="11" t="str">
        <f>VLOOKUP($G254, 'ADP Data'!$B$4:$Q$300, 6, FALSE)</f>
        <v>#N/A</v>
      </c>
      <c r="O254" s="11" t="str">
        <f>VLOOKUP($G254, 'ADP Data'!$B$4:$Q$300, 10, FALSE)</f>
        <v>#N/A</v>
      </c>
      <c r="P254" s="11" t="str">
        <f>VLOOKUP($G254, 'ADP Data'!$B$4:$Q$300, 4, FALSE)</f>
        <v>#N/A</v>
      </c>
      <c r="Q254" s="11" t="str">
        <f>VLOOKUP($G254, 'ADP Data'!$B$4:$Q$300, 5, FALSE)</f>
        <v>#N/A</v>
      </c>
      <c r="R254" s="11" t="str">
        <f>VLOOKUP($G254, 'ADP Data'!$B$4:$Q$300, 7, FALSE)</f>
        <v>#N/A</v>
      </c>
      <c r="S254" s="11" t="str">
        <f>VLOOKUP($G254, 'ADP Data'!$B$4:$Q$300, 8, FALSE)</f>
        <v>#N/A</v>
      </c>
      <c r="T254" s="11" t="str">
        <f>VLOOKUP($G254, 'ADP Data'!$B$4:$Q$300, 9, FALSE)</f>
        <v>#N/A</v>
      </c>
      <c r="U254" s="11" t="str">
        <f t="shared" si="4"/>
        <v>#N/A</v>
      </c>
      <c r="V254" s="11"/>
    </row>
    <row r="255" ht="14.25" customHeight="1">
      <c r="A255" s="11"/>
      <c r="B255" s="11" t="str">
        <f t="shared" si="1"/>
        <v>#N/A</v>
      </c>
      <c r="C255" s="11" t="s">
        <v>106</v>
      </c>
      <c r="D255" s="11"/>
      <c r="E255" s="11"/>
      <c r="F255" s="11"/>
      <c r="G255" s="11" t="s">
        <v>1120</v>
      </c>
      <c r="H255" s="11" t="s">
        <v>98</v>
      </c>
      <c r="I255" s="11" t="s">
        <v>775</v>
      </c>
      <c r="J255" s="99" t="s">
        <v>1640</v>
      </c>
      <c r="K255" s="11"/>
      <c r="L255" s="11"/>
      <c r="M255" s="11">
        <f t="shared" si="2"/>
        <v>16</v>
      </c>
      <c r="N255" s="11" t="str">
        <f>VLOOKUP($G255, 'ADP Data'!$B$4:$Q$300, 6, FALSE)</f>
        <v>#N/A</v>
      </c>
      <c r="O255" s="11" t="str">
        <f>VLOOKUP($G255, 'ADP Data'!$B$4:$Q$300, 10, FALSE)</f>
        <v>#N/A</v>
      </c>
      <c r="P255" s="11" t="str">
        <f>VLOOKUP($G255, 'ADP Data'!$B$4:$Q$300, 4, FALSE)</f>
        <v>#N/A</v>
      </c>
      <c r="Q255" s="11" t="str">
        <f>VLOOKUP($G255, 'ADP Data'!$B$4:$Q$300, 5, FALSE)</f>
        <v>#N/A</v>
      </c>
      <c r="R255" s="11" t="str">
        <f>VLOOKUP($G255, 'ADP Data'!$B$4:$Q$300, 7, FALSE)</f>
        <v>#N/A</v>
      </c>
      <c r="S255" s="11" t="str">
        <f>VLOOKUP($G255, 'ADP Data'!$B$4:$Q$300, 8, FALSE)</f>
        <v>#N/A</v>
      </c>
      <c r="T255" s="11" t="str">
        <f>VLOOKUP($G255, 'ADP Data'!$B$4:$Q$300, 9, FALSE)</f>
        <v>#N/A</v>
      </c>
      <c r="U255" s="11" t="str">
        <f t="shared" si="4"/>
        <v>#N/A</v>
      </c>
      <c r="V255" s="11"/>
    </row>
    <row r="256" ht="14.25" customHeight="1">
      <c r="A256" s="11"/>
      <c r="B256" s="11" t="str">
        <f t="shared" si="1"/>
        <v>#N/A</v>
      </c>
      <c r="C256" s="11" t="s">
        <v>106</v>
      </c>
      <c r="D256" s="11"/>
      <c r="E256" s="11"/>
      <c r="F256" s="11"/>
      <c r="G256" s="11" t="s">
        <v>988</v>
      </c>
      <c r="H256" s="11" t="s">
        <v>128</v>
      </c>
      <c r="I256" s="11" t="s">
        <v>775</v>
      </c>
      <c r="J256" s="99" t="s">
        <v>1619</v>
      </c>
      <c r="K256" s="11"/>
      <c r="L256" s="11"/>
      <c r="M256" s="11">
        <f t="shared" si="2"/>
        <v>16</v>
      </c>
      <c r="N256" s="11" t="str">
        <f>VLOOKUP($G256, 'ADP Data'!$B$4:$Q$300, 6, FALSE)</f>
        <v>#N/A</v>
      </c>
      <c r="O256" s="11" t="str">
        <f>VLOOKUP($G256, 'ADP Data'!$B$4:$Q$300, 10, FALSE)</f>
        <v>#N/A</v>
      </c>
      <c r="P256" s="11" t="str">
        <f>VLOOKUP($G256, 'ADP Data'!$B$4:$Q$300, 4, FALSE)</f>
        <v>#N/A</v>
      </c>
      <c r="Q256" s="11" t="str">
        <f>VLOOKUP($G256, 'ADP Data'!$B$4:$Q$300, 5, FALSE)</f>
        <v>#N/A</v>
      </c>
      <c r="R256" s="11" t="str">
        <f>VLOOKUP($G256, 'ADP Data'!$B$4:$Q$300, 7, FALSE)</f>
        <v>#N/A</v>
      </c>
      <c r="S256" s="11" t="str">
        <f>VLOOKUP($G256, 'ADP Data'!$B$4:$Q$300, 8, FALSE)</f>
        <v>#N/A</v>
      </c>
      <c r="T256" s="11" t="str">
        <f>VLOOKUP($G256, 'ADP Data'!$B$4:$Q$300, 9, FALSE)</f>
        <v>#N/A</v>
      </c>
      <c r="U256" s="11" t="str">
        <f t="shared" si="4"/>
        <v>#N/A</v>
      </c>
      <c r="V256" s="11" t="s">
        <v>1641</v>
      </c>
    </row>
    <row r="257" ht="14.25" customHeight="1">
      <c r="A257" s="11"/>
      <c r="B257" s="11" t="str">
        <f t="shared" si="1"/>
        <v>#N/A</v>
      </c>
      <c r="C257" s="11" t="s">
        <v>106</v>
      </c>
      <c r="D257" s="11"/>
      <c r="E257" s="11"/>
      <c r="F257" s="11"/>
      <c r="G257" s="11" t="s">
        <v>420</v>
      </c>
      <c r="H257" s="11" t="s">
        <v>71</v>
      </c>
      <c r="I257" s="11" t="s">
        <v>781</v>
      </c>
      <c r="J257" s="99" t="s">
        <v>1388</v>
      </c>
      <c r="K257" s="11"/>
      <c r="L257" s="11"/>
      <c r="M257" s="11">
        <f t="shared" si="2"/>
        <v>16</v>
      </c>
      <c r="N257" s="11" t="str">
        <f>VLOOKUP($G257, 'ADP Data'!$B$4:$Q$300, 6, FALSE)</f>
        <v>#N/A</v>
      </c>
      <c r="O257" s="11" t="str">
        <f>VLOOKUP($G257, 'ADP Data'!$B$4:$Q$300, 10, FALSE)</f>
        <v>#N/A</v>
      </c>
      <c r="P257" s="11" t="str">
        <f>VLOOKUP($G257, 'ADP Data'!$B$4:$Q$300, 4, FALSE)</f>
        <v>#N/A</v>
      </c>
      <c r="Q257" s="11" t="str">
        <f>VLOOKUP($G257, 'ADP Data'!$B$4:$Q$300, 5, FALSE)</f>
        <v>#N/A</v>
      </c>
      <c r="R257" s="11" t="str">
        <f>VLOOKUP($G257, 'ADP Data'!$B$4:$Q$300, 7, FALSE)</f>
        <v>#N/A</v>
      </c>
      <c r="S257" s="11" t="str">
        <f>VLOOKUP($G257, 'ADP Data'!$B$4:$Q$300, 8, FALSE)</f>
        <v>#N/A</v>
      </c>
      <c r="T257" s="11" t="str">
        <f>VLOOKUP($G257, 'ADP Data'!$B$4:$Q$300, 9, FALSE)</f>
        <v>#N/A</v>
      </c>
      <c r="U257" s="11" t="str">
        <f t="shared" si="4"/>
        <v>#N/A</v>
      </c>
      <c r="V257" s="11"/>
    </row>
    <row r="258" ht="14.25" customHeight="1">
      <c r="A258" s="11"/>
      <c r="B258" s="11" t="str">
        <f t="shared" si="1"/>
        <v>#N/A</v>
      </c>
      <c r="C258" s="11" t="s">
        <v>106</v>
      </c>
      <c r="D258" s="11"/>
      <c r="E258" s="11"/>
      <c r="F258" s="11"/>
      <c r="G258" s="11" t="s">
        <v>1591</v>
      </c>
      <c r="H258" s="11" t="s">
        <v>171</v>
      </c>
      <c r="I258" s="11" t="s">
        <v>781</v>
      </c>
      <c r="J258" s="99" t="s">
        <v>1378</v>
      </c>
      <c r="K258" s="11"/>
      <c r="L258" s="11"/>
      <c r="M258" s="11">
        <f t="shared" si="2"/>
        <v>16</v>
      </c>
      <c r="N258" s="11" t="str">
        <f>VLOOKUP($G258, 'ADP Data'!$B$4:$Q$300, 6, FALSE)</f>
        <v>#N/A</v>
      </c>
      <c r="O258" s="11" t="str">
        <f>VLOOKUP($G258, 'ADP Data'!$B$4:$Q$300, 10, FALSE)</f>
        <v>#N/A</v>
      </c>
      <c r="P258" s="11" t="str">
        <f>VLOOKUP($G258, 'ADP Data'!$B$4:$Q$300, 4, FALSE)</f>
        <v>#N/A</v>
      </c>
      <c r="Q258" s="11" t="str">
        <f>VLOOKUP($G258, 'ADP Data'!$B$4:$Q$300, 5, FALSE)</f>
        <v>#N/A</v>
      </c>
      <c r="R258" s="11" t="str">
        <f>VLOOKUP($G258, 'ADP Data'!$B$4:$Q$300, 7, FALSE)</f>
        <v>#N/A</v>
      </c>
      <c r="S258" s="11" t="str">
        <f>VLOOKUP($G258, 'ADP Data'!$B$4:$Q$300, 8, FALSE)</f>
        <v>#N/A</v>
      </c>
      <c r="T258" s="11" t="str">
        <f>VLOOKUP($G258, 'ADP Data'!$B$4:$Q$300, 9, FALSE)</f>
        <v>#N/A</v>
      </c>
      <c r="U258" s="11" t="str">
        <f t="shared" si="4"/>
        <v>#N/A</v>
      </c>
      <c r="V258" s="11"/>
    </row>
    <row r="259" ht="14.25" customHeight="1">
      <c r="A259" s="11"/>
      <c r="B259" s="11" t="str">
        <f t="shared" si="1"/>
        <v>#N/A</v>
      </c>
      <c r="C259" s="11" t="s">
        <v>106</v>
      </c>
      <c r="D259" s="11"/>
      <c r="E259" s="11"/>
      <c r="F259" s="11"/>
      <c r="G259" s="11" t="s">
        <v>1275</v>
      </c>
      <c r="H259" s="11" t="s">
        <v>154</v>
      </c>
      <c r="I259" s="11" t="s">
        <v>775</v>
      </c>
      <c r="J259" s="99" t="s">
        <v>1632</v>
      </c>
      <c r="K259" s="11"/>
      <c r="L259" s="11"/>
      <c r="M259" s="11">
        <f t="shared" si="2"/>
        <v>16</v>
      </c>
      <c r="N259" s="11" t="str">
        <f>VLOOKUP($G259, 'ADP Data'!$B$4:$Q$300, 6, FALSE)</f>
        <v>#N/A</v>
      </c>
      <c r="O259" s="11" t="str">
        <f>VLOOKUP($G259, 'ADP Data'!$B$4:$Q$300, 10, FALSE)</f>
        <v>#N/A</v>
      </c>
      <c r="P259" s="11" t="str">
        <f>VLOOKUP($G259, 'ADP Data'!$B$4:$Q$300, 4, FALSE)</f>
        <v>#N/A</v>
      </c>
      <c r="Q259" s="11" t="str">
        <f>VLOOKUP($G259, 'ADP Data'!$B$4:$Q$300, 5, FALSE)</f>
        <v>#N/A</v>
      </c>
      <c r="R259" s="11" t="str">
        <f>VLOOKUP($G259, 'ADP Data'!$B$4:$Q$300, 7, FALSE)</f>
        <v>#N/A</v>
      </c>
      <c r="S259" s="11" t="str">
        <f>VLOOKUP($G259, 'ADP Data'!$B$4:$Q$300, 8, FALSE)</f>
        <v>#N/A</v>
      </c>
      <c r="T259" s="11" t="str">
        <f>VLOOKUP($G259, 'ADP Data'!$B$4:$Q$300, 9, FALSE)</f>
        <v>#N/A</v>
      </c>
      <c r="U259" s="11" t="str">
        <f t="shared" si="4"/>
        <v>#N/A</v>
      </c>
      <c r="V259" s="11"/>
    </row>
    <row r="260" ht="14.25" customHeight="1">
      <c r="A260" s="11"/>
      <c r="B260" s="11" t="str">
        <f t="shared" si="1"/>
        <v>#N/A</v>
      </c>
      <c r="C260" s="11" t="s">
        <v>106</v>
      </c>
      <c r="D260" s="11"/>
      <c r="E260" s="11"/>
      <c r="F260" s="11"/>
      <c r="G260" s="11" t="s">
        <v>1642</v>
      </c>
      <c r="H260" s="11" t="s">
        <v>195</v>
      </c>
      <c r="I260" s="11" t="s">
        <v>775</v>
      </c>
      <c r="J260" s="99" t="s">
        <v>1643</v>
      </c>
      <c r="K260" s="11"/>
      <c r="L260" s="11"/>
      <c r="M260" s="11">
        <f t="shared" si="2"/>
        <v>16</v>
      </c>
      <c r="N260" s="11" t="str">
        <f>VLOOKUP($G260, 'ADP Data'!$B$4:$Q$300, 6, FALSE)</f>
        <v>#N/A</v>
      </c>
      <c r="O260" s="11" t="str">
        <f>VLOOKUP($G260, 'ADP Data'!$B$4:$Q$300, 10, FALSE)</f>
        <v>#N/A</v>
      </c>
      <c r="P260" s="11" t="str">
        <f>VLOOKUP($G260, 'ADP Data'!$B$4:$Q$300, 4, FALSE)</f>
        <v>#N/A</v>
      </c>
      <c r="Q260" s="11" t="str">
        <f>VLOOKUP($G260, 'ADP Data'!$B$4:$Q$300, 5, FALSE)</f>
        <v>#N/A</v>
      </c>
      <c r="R260" s="11" t="str">
        <f>VLOOKUP($G260, 'ADP Data'!$B$4:$Q$300, 7, FALSE)</f>
        <v>#N/A</v>
      </c>
      <c r="S260" s="11" t="str">
        <f>VLOOKUP($G260, 'ADP Data'!$B$4:$Q$300, 8, FALSE)</f>
        <v>#N/A</v>
      </c>
      <c r="T260" s="11" t="str">
        <f>VLOOKUP($G260, 'ADP Data'!$B$4:$Q$300, 9, FALSE)</f>
        <v>#N/A</v>
      </c>
      <c r="U260" s="11" t="str">
        <f t="shared" si="4"/>
        <v>#N/A</v>
      </c>
      <c r="V260" s="11"/>
    </row>
    <row r="261" ht="14.25" customHeight="1">
      <c r="A261" s="11"/>
      <c r="B261" s="11" t="str">
        <f t="shared" si="1"/>
        <v>#N/A</v>
      </c>
      <c r="C261" s="11" t="s">
        <v>106</v>
      </c>
      <c r="D261" s="11"/>
      <c r="E261" s="11"/>
      <c r="F261" s="11"/>
      <c r="G261" s="11" t="s">
        <v>1254</v>
      </c>
      <c r="H261" s="11" t="s">
        <v>58</v>
      </c>
      <c r="I261" s="11" t="s">
        <v>772</v>
      </c>
      <c r="J261" s="99" t="s">
        <v>1535</v>
      </c>
      <c r="K261" s="11"/>
      <c r="L261" s="11"/>
      <c r="M261" s="11">
        <f t="shared" si="2"/>
        <v>16</v>
      </c>
      <c r="N261" s="11" t="str">
        <f>VLOOKUP($G261, 'ADP Data'!$B$4:$Q$300, 6, FALSE)</f>
        <v>#N/A</v>
      </c>
      <c r="O261" s="11" t="str">
        <f>VLOOKUP($G261, 'ADP Data'!$B$4:$Q$300, 10, FALSE)</f>
        <v>#N/A</v>
      </c>
      <c r="P261" s="11" t="str">
        <f>VLOOKUP($G261, 'ADP Data'!$B$4:$Q$300, 4, FALSE)</f>
        <v>#N/A</v>
      </c>
      <c r="Q261" s="11" t="str">
        <f>VLOOKUP($G261, 'ADP Data'!$B$4:$Q$300, 5, FALSE)</f>
        <v>#N/A</v>
      </c>
      <c r="R261" s="11" t="str">
        <f>VLOOKUP($G261, 'ADP Data'!$B$4:$Q$300, 7, FALSE)</f>
        <v>#N/A</v>
      </c>
      <c r="S261" s="11" t="str">
        <f>VLOOKUP($G261, 'ADP Data'!$B$4:$Q$300, 8, FALSE)</f>
        <v>#N/A</v>
      </c>
      <c r="T261" s="11" t="str">
        <f>VLOOKUP($G261, 'ADP Data'!$B$4:$Q$300, 9, FALSE)</f>
        <v>#N/A</v>
      </c>
      <c r="U261" s="11" t="str">
        <f t="shared" si="4"/>
        <v>#N/A</v>
      </c>
      <c r="V261" s="11"/>
    </row>
    <row r="262" ht="14.25" customHeight="1">
      <c r="A262" s="11"/>
      <c r="B262" s="11" t="str">
        <f t="shared" si="1"/>
        <v>#N/A</v>
      </c>
      <c r="C262" s="11" t="s">
        <v>106</v>
      </c>
      <c r="D262" s="11"/>
      <c r="E262" s="11"/>
      <c r="F262" s="11"/>
      <c r="G262" s="11" t="s">
        <v>1266</v>
      </c>
      <c r="H262" s="11" t="s">
        <v>176</v>
      </c>
      <c r="I262" s="11" t="s">
        <v>770</v>
      </c>
      <c r="J262" s="99" t="s">
        <v>1390</v>
      </c>
      <c r="K262" s="11"/>
      <c r="L262" s="11"/>
      <c r="M262" s="11">
        <f t="shared" si="2"/>
        <v>16</v>
      </c>
      <c r="N262" s="11" t="str">
        <f>VLOOKUP($G262, 'ADP Data'!$B$4:$Q$300, 6, FALSE)</f>
        <v>#N/A</v>
      </c>
      <c r="O262" s="11" t="str">
        <f>VLOOKUP($G262, 'ADP Data'!$B$4:$Q$300, 10, FALSE)</f>
        <v>#N/A</v>
      </c>
      <c r="P262" s="11" t="str">
        <f>VLOOKUP($G262, 'ADP Data'!$B$4:$Q$300, 4, FALSE)</f>
        <v>#N/A</v>
      </c>
      <c r="Q262" s="11" t="str">
        <f>VLOOKUP($G262, 'ADP Data'!$B$4:$Q$300, 5, FALSE)</f>
        <v>#N/A</v>
      </c>
      <c r="R262" s="11" t="str">
        <f>VLOOKUP($G262, 'ADP Data'!$B$4:$Q$300, 7, FALSE)</f>
        <v>#N/A</v>
      </c>
      <c r="S262" s="11" t="str">
        <f>VLOOKUP($G262, 'ADP Data'!$B$4:$Q$300, 8, FALSE)</f>
        <v>#N/A</v>
      </c>
      <c r="T262" s="11" t="str">
        <f>VLOOKUP($G262, 'ADP Data'!$B$4:$Q$300, 9, FALSE)</f>
        <v>#N/A</v>
      </c>
      <c r="U262" s="11" t="str">
        <f t="shared" si="4"/>
        <v>#N/A</v>
      </c>
      <c r="V262" s="11"/>
    </row>
    <row r="263" ht="14.25" customHeight="1">
      <c r="A263" s="11"/>
      <c r="B263" s="11" t="str">
        <f t="shared" si="1"/>
        <v>#N/A</v>
      </c>
      <c r="C263" s="11" t="s">
        <v>106</v>
      </c>
      <c r="D263" s="11"/>
      <c r="E263" s="11"/>
      <c r="F263" s="11"/>
      <c r="G263" s="11" t="s">
        <v>1644</v>
      </c>
      <c r="H263" s="11" t="s">
        <v>162</v>
      </c>
      <c r="I263" s="11" t="s">
        <v>775</v>
      </c>
      <c r="J263" s="99" t="s">
        <v>1645</v>
      </c>
      <c r="K263" s="11"/>
      <c r="L263" s="11"/>
      <c r="M263" s="11">
        <f t="shared" si="2"/>
        <v>16</v>
      </c>
      <c r="N263" s="11" t="str">
        <f>VLOOKUP($G263, 'ADP Data'!$B$4:$Q$300, 6, FALSE)</f>
        <v>#N/A</v>
      </c>
      <c r="O263" s="11" t="str">
        <f>VLOOKUP($G263, 'ADP Data'!$B$4:$Q$300, 10, FALSE)</f>
        <v>#N/A</v>
      </c>
      <c r="P263" s="11" t="str">
        <f>VLOOKUP($G263, 'ADP Data'!$B$4:$Q$300, 4, FALSE)</f>
        <v>#N/A</v>
      </c>
      <c r="Q263" s="11" t="str">
        <f>VLOOKUP($G263, 'ADP Data'!$B$4:$Q$300, 5, FALSE)</f>
        <v>#N/A</v>
      </c>
      <c r="R263" s="11" t="str">
        <f>VLOOKUP($G263, 'ADP Data'!$B$4:$Q$300, 7, FALSE)</f>
        <v>#N/A</v>
      </c>
      <c r="S263" s="11" t="str">
        <f>VLOOKUP($G263, 'ADP Data'!$B$4:$Q$300, 8, FALSE)</f>
        <v>#N/A</v>
      </c>
      <c r="T263" s="11" t="str">
        <f>VLOOKUP($G263, 'ADP Data'!$B$4:$Q$300, 9, FALSE)</f>
        <v>#N/A</v>
      </c>
      <c r="U263" s="11" t="str">
        <f t="shared" si="4"/>
        <v>#N/A</v>
      </c>
      <c r="V263" s="11"/>
    </row>
    <row r="264" ht="14.25" customHeight="1">
      <c r="A264" s="11"/>
      <c r="B264" s="11" t="str">
        <f t="shared" si="1"/>
        <v>#N/A</v>
      </c>
      <c r="C264" s="11" t="s">
        <v>106</v>
      </c>
      <c r="D264" s="11"/>
      <c r="E264" s="11"/>
      <c r="F264" s="11"/>
      <c r="G264" s="11" t="s">
        <v>529</v>
      </c>
      <c r="H264" s="11" t="s">
        <v>206</v>
      </c>
      <c r="I264" s="11" t="s">
        <v>785</v>
      </c>
      <c r="J264" s="99" t="s">
        <v>1339</v>
      </c>
      <c r="K264" s="11"/>
      <c r="L264" s="11"/>
      <c r="M264" s="11">
        <f t="shared" si="2"/>
        <v>16</v>
      </c>
      <c r="N264" s="11" t="str">
        <f>VLOOKUP($G264, 'ADP Data'!$B$4:$Q$300, 6, FALSE)</f>
        <v>#N/A</v>
      </c>
      <c r="O264" s="11" t="str">
        <f>VLOOKUP($G264, 'ADP Data'!$B$4:$Q$300, 10, FALSE)</f>
        <v>#N/A</v>
      </c>
      <c r="P264" s="11" t="str">
        <f>VLOOKUP($G264, 'ADP Data'!$B$4:$Q$300, 4, FALSE)</f>
        <v>#N/A</v>
      </c>
      <c r="Q264" s="11" t="str">
        <f>VLOOKUP($G264, 'ADP Data'!$B$4:$Q$300, 5, FALSE)</f>
        <v>#N/A</v>
      </c>
      <c r="R264" s="11" t="str">
        <f>VLOOKUP($G264, 'ADP Data'!$B$4:$Q$300, 7, FALSE)</f>
        <v>#N/A</v>
      </c>
      <c r="S264" s="11" t="str">
        <f>VLOOKUP($G264, 'ADP Data'!$B$4:$Q$300, 8, FALSE)</f>
        <v>#N/A</v>
      </c>
      <c r="T264" s="11" t="str">
        <f>VLOOKUP($G264, 'ADP Data'!$B$4:$Q$300, 9, FALSE)</f>
        <v>#N/A</v>
      </c>
      <c r="U264" s="11" t="str">
        <f t="shared" si="4"/>
        <v>#N/A</v>
      </c>
      <c r="V264" s="11"/>
    </row>
    <row r="265" ht="14.25" customHeight="1">
      <c r="A265" s="11"/>
      <c r="B265" s="11" t="str">
        <f t="shared" si="1"/>
        <v>#N/A</v>
      </c>
      <c r="C265" s="11" t="s">
        <v>106</v>
      </c>
      <c r="D265" s="11"/>
      <c r="E265" s="11"/>
      <c r="F265" s="11"/>
      <c r="G265" s="11" t="s">
        <v>1646</v>
      </c>
      <c r="H265" s="11" t="s">
        <v>119</v>
      </c>
      <c r="I265" s="11" t="s">
        <v>781</v>
      </c>
      <c r="J265" s="99" t="s">
        <v>1390</v>
      </c>
      <c r="K265" s="11"/>
      <c r="L265" s="11"/>
      <c r="M265" s="11">
        <f t="shared" si="2"/>
        <v>16</v>
      </c>
      <c r="N265" s="11" t="str">
        <f>VLOOKUP($G265, 'ADP Data'!$B$4:$Q$300, 6, FALSE)</f>
        <v>#N/A</v>
      </c>
      <c r="O265" s="11" t="str">
        <f>VLOOKUP($G265, 'ADP Data'!$B$4:$Q$300, 10, FALSE)</f>
        <v>#N/A</v>
      </c>
      <c r="P265" s="11" t="str">
        <f>VLOOKUP($G265, 'ADP Data'!$B$4:$Q$300, 4, FALSE)</f>
        <v>#N/A</v>
      </c>
      <c r="Q265" s="11" t="str">
        <f>VLOOKUP($G265, 'ADP Data'!$B$4:$Q$300, 5, FALSE)</f>
        <v>#N/A</v>
      </c>
      <c r="R265" s="11" t="str">
        <f>VLOOKUP($G265, 'ADP Data'!$B$4:$Q$300, 7, FALSE)</f>
        <v>#N/A</v>
      </c>
      <c r="S265" s="11" t="str">
        <f>VLOOKUP($G265, 'ADP Data'!$B$4:$Q$300, 8, FALSE)</f>
        <v>#N/A</v>
      </c>
      <c r="T265" s="11" t="str">
        <f>VLOOKUP($G265, 'ADP Data'!$B$4:$Q$300, 9, FALSE)</f>
        <v>#N/A</v>
      </c>
      <c r="U265" s="11" t="str">
        <f t="shared" si="4"/>
        <v>#N/A</v>
      </c>
      <c r="V265" s="11"/>
    </row>
    <row r="266" ht="14.25" customHeight="1">
      <c r="A266" s="11"/>
      <c r="B266" s="11" t="str">
        <f t="shared" si="1"/>
        <v>#N/A</v>
      </c>
      <c r="C266" s="11" t="s">
        <v>106</v>
      </c>
      <c r="D266" s="11"/>
      <c r="E266" s="11"/>
      <c r="F266" s="11"/>
      <c r="G266" s="11" t="s">
        <v>904</v>
      </c>
      <c r="H266" s="11" t="s">
        <v>45</v>
      </c>
      <c r="I266" s="11" t="s">
        <v>785</v>
      </c>
      <c r="J266" s="99" t="s">
        <v>1365</v>
      </c>
      <c r="K266" s="11"/>
      <c r="L266" s="11"/>
      <c r="M266" s="11">
        <f t="shared" si="2"/>
        <v>16</v>
      </c>
      <c r="N266" s="11" t="str">
        <f>VLOOKUP($G266, 'ADP Data'!$B$4:$Q$300, 6, FALSE)</f>
        <v>#N/A</v>
      </c>
      <c r="O266" s="11" t="str">
        <f>VLOOKUP($G266, 'ADP Data'!$B$4:$Q$300, 10, FALSE)</f>
        <v>#N/A</v>
      </c>
      <c r="P266" s="11" t="str">
        <f>VLOOKUP($G266, 'ADP Data'!$B$4:$Q$300, 4, FALSE)</f>
        <v>#N/A</v>
      </c>
      <c r="Q266" s="11" t="str">
        <f>VLOOKUP($G266, 'ADP Data'!$B$4:$Q$300, 5, FALSE)</f>
        <v>#N/A</v>
      </c>
      <c r="R266" s="11" t="str">
        <f>VLOOKUP($G266, 'ADP Data'!$B$4:$Q$300, 7, FALSE)</f>
        <v>#N/A</v>
      </c>
      <c r="S266" s="11" t="str">
        <f>VLOOKUP($G266, 'ADP Data'!$B$4:$Q$300, 8, FALSE)</f>
        <v>#N/A</v>
      </c>
      <c r="T266" s="11" t="str">
        <f>VLOOKUP($G266, 'ADP Data'!$B$4:$Q$300, 9, FALSE)</f>
        <v>#N/A</v>
      </c>
      <c r="U266" s="11" t="str">
        <f t="shared" si="4"/>
        <v>#N/A</v>
      </c>
      <c r="V266" s="11"/>
    </row>
    <row r="267" ht="14.25" customHeight="1">
      <c r="A267" s="11"/>
      <c r="B267" s="11" t="str">
        <f t="shared" si="1"/>
        <v>#N/A</v>
      </c>
      <c r="C267" s="11" t="s">
        <v>106</v>
      </c>
      <c r="D267" s="11"/>
      <c r="E267" s="11"/>
      <c r="F267" s="11"/>
      <c r="G267" s="11" t="s">
        <v>1506</v>
      </c>
      <c r="H267" s="11" t="s">
        <v>67</v>
      </c>
      <c r="I267" s="11" t="s">
        <v>772</v>
      </c>
      <c r="J267" s="99" t="s">
        <v>1559</v>
      </c>
      <c r="K267" s="11"/>
      <c r="L267" s="11"/>
      <c r="M267" s="11">
        <f t="shared" si="2"/>
        <v>16</v>
      </c>
      <c r="N267" s="11" t="str">
        <f>VLOOKUP($G267, 'ADP Data'!$B$4:$Q$300, 6, FALSE)</f>
        <v>#N/A</v>
      </c>
      <c r="O267" s="11" t="str">
        <f>VLOOKUP($G267, 'ADP Data'!$B$4:$Q$300, 10, FALSE)</f>
        <v>#N/A</v>
      </c>
      <c r="P267" s="11" t="str">
        <f>VLOOKUP($G267, 'ADP Data'!$B$4:$Q$300, 4, FALSE)</f>
        <v>#N/A</v>
      </c>
      <c r="Q267" s="11" t="str">
        <f>VLOOKUP($G267, 'ADP Data'!$B$4:$Q$300, 5, FALSE)</f>
        <v>#N/A</v>
      </c>
      <c r="R267" s="11" t="str">
        <f>VLOOKUP($G267, 'ADP Data'!$B$4:$Q$300, 7, FALSE)</f>
        <v>#N/A</v>
      </c>
      <c r="S267" s="11" t="str">
        <f>VLOOKUP($G267, 'ADP Data'!$B$4:$Q$300, 8, FALSE)</f>
        <v>#N/A</v>
      </c>
      <c r="T267" s="11" t="str">
        <f>VLOOKUP($G267, 'ADP Data'!$B$4:$Q$300, 9, FALSE)</f>
        <v>#N/A</v>
      </c>
      <c r="U267" s="11" t="str">
        <f t="shared" si="4"/>
        <v>#N/A</v>
      </c>
      <c r="V267" s="11"/>
    </row>
    <row r="268" ht="14.25" customHeight="1">
      <c r="A268" s="11"/>
      <c r="B268" s="11" t="str">
        <f t="shared" si="1"/>
        <v>#N/A</v>
      </c>
      <c r="C268" s="11" t="s">
        <v>106</v>
      </c>
      <c r="D268" s="11"/>
      <c r="E268" s="11"/>
      <c r="F268" s="11"/>
      <c r="G268" s="11" t="s">
        <v>1472</v>
      </c>
      <c r="H268" s="11" t="s">
        <v>36</v>
      </c>
      <c r="I268" s="11" t="s">
        <v>772</v>
      </c>
      <c r="J268" s="99" t="s">
        <v>1600</v>
      </c>
      <c r="K268" s="11"/>
      <c r="L268" s="11"/>
      <c r="M268" s="11">
        <f t="shared" si="2"/>
        <v>16</v>
      </c>
      <c r="N268" s="11" t="str">
        <f>VLOOKUP($G268, 'ADP Data'!$B$4:$Q$300, 6, FALSE)</f>
        <v>#N/A</v>
      </c>
      <c r="O268" s="11" t="str">
        <f>VLOOKUP($G268, 'ADP Data'!$B$4:$Q$300, 10, FALSE)</f>
        <v>#N/A</v>
      </c>
      <c r="P268" s="11" t="str">
        <f>VLOOKUP($G268, 'ADP Data'!$B$4:$Q$300, 4, FALSE)</f>
        <v>#N/A</v>
      </c>
      <c r="Q268" s="11" t="str">
        <f>VLOOKUP($G268, 'ADP Data'!$B$4:$Q$300, 5, FALSE)</f>
        <v>#N/A</v>
      </c>
      <c r="R268" s="11" t="str">
        <f>VLOOKUP($G268, 'ADP Data'!$B$4:$Q$300, 7, FALSE)</f>
        <v>#N/A</v>
      </c>
      <c r="S268" s="11" t="str">
        <f>VLOOKUP($G268, 'ADP Data'!$B$4:$Q$300, 8, FALSE)</f>
        <v>#N/A</v>
      </c>
      <c r="T268" s="11" t="str">
        <f>VLOOKUP($G268, 'ADP Data'!$B$4:$Q$300, 9, FALSE)</f>
        <v>#N/A</v>
      </c>
      <c r="U268" s="11" t="str">
        <f t="shared" si="4"/>
        <v>#N/A</v>
      </c>
      <c r="V268" s="11"/>
    </row>
    <row r="269" ht="14.25" customHeight="1">
      <c r="A269" s="11"/>
      <c r="B269" s="11" t="str">
        <f t="shared" si="1"/>
        <v>#N/A</v>
      </c>
      <c r="C269" s="11" t="s">
        <v>106</v>
      </c>
      <c r="D269" s="11"/>
      <c r="E269" s="11"/>
      <c r="F269" s="11"/>
      <c r="G269" s="11" t="s">
        <v>1246</v>
      </c>
      <c r="H269" s="11" t="s">
        <v>128</v>
      </c>
      <c r="I269" s="11" t="s">
        <v>781</v>
      </c>
      <c r="J269" s="99" t="s">
        <v>1384</v>
      </c>
      <c r="K269" s="11"/>
      <c r="L269" s="11"/>
      <c r="M269" s="11">
        <f t="shared" si="2"/>
        <v>16</v>
      </c>
      <c r="N269" s="11" t="str">
        <f>VLOOKUP($G269, 'ADP Data'!$B$4:$Q$300, 6, FALSE)</f>
        <v>#N/A</v>
      </c>
      <c r="O269" s="11" t="str">
        <f>VLOOKUP($G269, 'ADP Data'!$B$4:$Q$300, 10, FALSE)</f>
        <v>#N/A</v>
      </c>
      <c r="P269" s="11" t="str">
        <f>VLOOKUP($G269, 'ADP Data'!$B$4:$Q$300, 4, FALSE)</f>
        <v>#N/A</v>
      </c>
      <c r="Q269" s="11" t="str">
        <f>VLOOKUP($G269, 'ADP Data'!$B$4:$Q$300, 5, FALSE)</f>
        <v>#N/A</v>
      </c>
      <c r="R269" s="11" t="str">
        <f>VLOOKUP($G269, 'ADP Data'!$B$4:$Q$300, 7, FALSE)</f>
        <v>#N/A</v>
      </c>
      <c r="S269" s="11" t="str">
        <f>VLOOKUP($G269, 'ADP Data'!$B$4:$Q$300, 8, FALSE)</f>
        <v>#N/A</v>
      </c>
      <c r="T269" s="11" t="str">
        <f>VLOOKUP($G269, 'ADP Data'!$B$4:$Q$300, 9, FALSE)</f>
        <v>#N/A</v>
      </c>
      <c r="U269" s="11" t="str">
        <f t="shared" si="4"/>
        <v>#N/A</v>
      </c>
      <c r="V269" s="11"/>
    </row>
    <row r="270" ht="14.25" customHeight="1">
      <c r="A270" s="11"/>
      <c r="B270" s="11" t="str">
        <f t="shared" si="1"/>
        <v>#N/A</v>
      </c>
      <c r="C270" s="11" t="s">
        <v>106</v>
      </c>
      <c r="D270" s="11"/>
      <c r="E270" s="11"/>
      <c r="F270" s="11"/>
      <c r="G270" s="11" t="s">
        <v>1647</v>
      </c>
      <c r="H270" s="11" t="s">
        <v>49</v>
      </c>
      <c r="I270" s="11" t="s">
        <v>772</v>
      </c>
      <c r="J270" s="99" t="s">
        <v>1620</v>
      </c>
      <c r="K270" s="11"/>
      <c r="L270" s="11"/>
      <c r="M270" s="11">
        <f t="shared" si="2"/>
        <v>16</v>
      </c>
      <c r="N270" s="11" t="str">
        <f>VLOOKUP($G270, 'ADP Data'!$B$4:$Q$300, 6, FALSE)</f>
        <v>#N/A</v>
      </c>
      <c r="O270" s="11" t="str">
        <f>VLOOKUP($G270, 'ADP Data'!$B$4:$Q$300, 10, FALSE)</f>
        <v>#N/A</v>
      </c>
      <c r="P270" s="11" t="str">
        <f>VLOOKUP($G270, 'ADP Data'!$B$4:$Q$300, 4, FALSE)</f>
        <v>#N/A</v>
      </c>
      <c r="Q270" s="11" t="str">
        <f>VLOOKUP($G270, 'ADP Data'!$B$4:$Q$300, 5, FALSE)</f>
        <v>#N/A</v>
      </c>
      <c r="R270" s="11" t="str">
        <f>VLOOKUP($G270, 'ADP Data'!$B$4:$Q$300, 7, FALSE)</f>
        <v>#N/A</v>
      </c>
      <c r="S270" s="11" t="str">
        <f>VLOOKUP($G270, 'ADP Data'!$B$4:$Q$300, 8, FALSE)</f>
        <v>#N/A</v>
      </c>
      <c r="T270" s="11" t="str">
        <f>VLOOKUP($G270, 'ADP Data'!$B$4:$Q$300, 9, FALSE)</f>
        <v>#N/A</v>
      </c>
      <c r="U270" s="11" t="str">
        <f t="shared" si="4"/>
        <v>#N/A</v>
      </c>
      <c r="V270" s="11" t="s">
        <v>1648</v>
      </c>
    </row>
    <row r="271" ht="14.25" customHeight="1">
      <c r="A271" s="11"/>
      <c r="B271" s="11" t="str">
        <f t="shared" si="1"/>
        <v>#N/A</v>
      </c>
      <c r="C271" s="11" t="s">
        <v>106</v>
      </c>
      <c r="D271" s="11"/>
      <c r="E271" s="11"/>
      <c r="F271" s="11"/>
      <c r="G271" s="11" t="s">
        <v>977</v>
      </c>
      <c r="H271" s="11" t="s">
        <v>231</v>
      </c>
      <c r="I271" s="11" t="s">
        <v>775</v>
      </c>
      <c r="J271" s="99" t="s">
        <v>1649</v>
      </c>
      <c r="K271" s="11"/>
      <c r="L271" s="11"/>
      <c r="M271" s="11">
        <f t="shared" si="2"/>
        <v>16</v>
      </c>
      <c r="N271" s="11" t="str">
        <f>VLOOKUP($G271, 'ADP Data'!$B$4:$Q$300, 6, FALSE)</f>
        <v>#N/A</v>
      </c>
      <c r="O271" s="11" t="str">
        <f>VLOOKUP($G271, 'ADP Data'!$B$4:$Q$300, 10, FALSE)</f>
        <v>#N/A</v>
      </c>
      <c r="P271" s="11" t="str">
        <f>VLOOKUP($G271, 'ADP Data'!$B$4:$Q$300, 4, FALSE)</f>
        <v>#N/A</v>
      </c>
      <c r="Q271" s="11" t="str">
        <f>VLOOKUP($G271, 'ADP Data'!$B$4:$Q$300, 5, FALSE)</f>
        <v>#N/A</v>
      </c>
      <c r="R271" s="11" t="str">
        <f>VLOOKUP($G271, 'ADP Data'!$B$4:$Q$300, 7, FALSE)</f>
        <v>#N/A</v>
      </c>
      <c r="S271" s="11" t="str">
        <f>VLOOKUP($G271, 'ADP Data'!$B$4:$Q$300, 8, FALSE)</f>
        <v>#N/A</v>
      </c>
      <c r="T271" s="11" t="str">
        <f>VLOOKUP($G271, 'ADP Data'!$B$4:$Q$300, 9, FALSE)</f>
        <v>#N/A</v>
      </c>
      <c r="U271" s="11" t="str">
        <f t="shared" si="4"/>
        <v>#N/A</v>
      </c>
      <c r="V271" s="11"/>
    </row>
    <row r="272" ht="14.25" customHeight="1">
      <c r="A272" s="11"/>
      <c r="B272" s="11" t="str">
        <f t="shared" si="1"/>
        <v>#N/A</v>
      </c>
      <c r="C272" s="11" t="s">
        <v>106</v>
      </c>
      <c r="D272" s="11"/>
      <c r="E272" s="11"/>
      <c r="F272" s="11"/>
      <c r="G272" s="11" t="s">
        <v>1132</v>
      </c>
      <c r="H272" s="11" t="s">
        <v>176</v>
      </c>
      <c r="I272" s="11" t="s">
        <v>775</v>
      </c>
      <c r="J272" s="99" t="s">
        <v>1650</v>
      </c>
      <c r="K272" s="11"/>
      <c r="L272" s="11"/>
      <c r="M272" s="11">
        <f t="shared" si="2"/>
        <v>16</v>
      </c>
      <c r="N272" s="11" t="str">
        <f>VLOOKUP($G272, 'ADP Data'!$B$4:$Q$300, 6, FALSE)</f>
        <v>#N/A</v>
      </c>
      <c r="O272" s="11" t="str">
        <f>VLOOKUP($G272, 'ADP Data'!$B$4:$Q$300, 10, FALSE)</f>
        <v>#N/A</v>
      </c>
      <c r="P272" s="11" t="str">
        <f>VLOOKUP($G272, 'ADP Data'!$B$4:$Q$300, 4, FALSE)</f>
        <v>#N/A</v>
      </c>
      <c r="Q272" s="11" t="str">
        <f>VLOOKUP($G272, 'ADP Data'!$B$4:$Q$300, 5, FALSE)</f>
        <v>#N/A</v>
      </c>
      <c r="R272" s="11" t="str">
        <f>VLOOKUP($G272, 'ADP Data'!$B$4:$Q$300, 7, FALSE)</f>
        <v>#N/A</v>
      </c>
      <c r="S272" s="11" t="str">
        <f>VLOOKUP($G272, 'ADP Data'!$B$4:$Q$300, 8, FALSE)</f>
        <v>#N/A</v>
      </c>
      <c r="T272" s="11" t="str">
        <f>VLOOKUP($G272, 'ADP Data'!$B$4:$Q$300, 9, FALSE)</f>
        <v>#N/A</v>
      </c>
      <c r="U272" s="11" t="str">
        <f t="shared" si="4"/>
        <v>#N/A</v>
      </c>
      <c r="V272" s="11"/>
    </row>
    <row r="273" ht="14.25" customHeight="1">
      <c r="A273" s="11"/>
      <c r="B273" s="11">
        <v>25.0</v>
      </c>
      <c r="C273" s="11" t="s">
        <v>106</v>
      </c>
      <c r="D273" s="11"/>
      <c r="E273" s="11"/>
      <c r="F273" s="11"/>
      <c r="G273" s="11" t="s">
        <v>1651</v>
      </c>
      <c r="H273" s="11" t="s">
        <v>49</v>
      </c>
      <c r="I273" s="11" t="s">
        <v>775</v>
      </c>
      <c r="J273" s="99" t="s">
        <v>1652</v>
      </c>
      <c r="K273" s="11"/>
      <c r="L273" s="11"/>
      <c r="M273" s="11">
        <f t="shared" si="2"/>
        <v>16</v>
      </c>
      <c r="N273" s="11" t="str">
        <f>VLOOKUP($G273, 'ADP Data'!$B$4:$Q$300, 6, FALSE)</f>
        <v>#N/A</v>
      </c>
      <c r="O273" s="11" t="str">
        <f>VLOOKUP($G273, 'ADP Data'!$B$4:$Q$300, 10, FALSE)</f>
        <v>#N/A</v>
      </c>
      <c r="P273" s="11" t="str">
        <f>VLOOKUP($G273, 'ADP Data'!$B$4:$Q$300, 4, FALSE)</f>
        <v>#N/A</v>
      </c>
      <c r="Q273" s="11" t="str">
        <f>VLOOKUP($G273, 'ADP Data'!$B$4:$Q$300, 5, FALSE)</f>
        <v>#N/A</v>
      </c>
      <c r="R273" s="11" t="str">
        <f>VLOOKUP($G273, 'ADP Data'!$B$4:$Q$300, 7, FALSE)</f>
        <v>#N/A</v>
      </c>
      <c r="S273" s="11" t="str">
        <f>VLOOKUP($G273, 'ADP Data'!$B$4:$Q$300, 8, FALSE)</f>
        <v>#N/A</v>
      </c>
      <c r="T273" s="11" t="str">
        <f>VLOOKUP($G273, 'ADP Data'!$B$4:$Q$300, 9, FALSE)</f>
        <v>#N/A</v>
      </c>
      <c r="U273" s="11" t="str">
        <f t="shared" si="4"/>
        <v>#N/A</v>
      </c>
      <c r="V273" s="11" t="s">
        <v>1558</v>
      </c>
    </row>
    <row r="274" ht="14.25" customHeight="1">
      <c r="A274" s="11"/>
      <c r="B274" s="11" t="str">
        <f t="shared" ref="B274:B282" si="5">IFERROR(INT(AVERAGE(O274:T274)/12)+1, INT(AVERAGE(O274)/12)+1)</f>
        <v>#N/A</v>
      </c>
      <c r="C274" s="11" t="s">
        <v>106</v>
      </c>
      <c r="D274" s="11"/>
      <c r="E274" s="11"/>
      <c r="F274" s="11"/>
      <c r="G274" s="11" t="s">
        <v>1522</v>
      </c>
      <c r="H274" s="11" t="s">
        <v>35</v>
      </c>
      <c r="I274" s="11" t="s">
        <v>775</v>
      </c>
      <c r="J274" s="99" t="s">
        <v>1653</v>
      </c>
      <c r="K274" s="11"/>
      <c r="L274" s="11"/>
      <c r="M274" s="11">
        <f t="shared" si="2"/>
        <v>16</v>
      </c>
      <c r="N274" s="11" t="str">
        <f>VLOOKUP($G274, 'ADP Data'!$B$4:$Q$300, 6, FALSE)</f>
        <v>#N/A</v>
      </c>
      <c r="O274" s="11" t="str">
        <f>VLOOKUP($G274, 'ADP Data'!$B$4:$Q$300, 10, FALSE)</f>
        <v>#N/A</v>
      </c>
      <c r="P274" s="11" t="str">
        <f>VLOOKUP($G274, 'ADP Data'!$B$4:$Q$300, 4, FALSE)</f>
        <v>#N/A</v>
      </c>
      <c r="Q274" s="11" t="str">
        <f>VLOOKUP($G274, 'ADP Data'!$B$4:$Q$300, 5, FALSE)</f>
        <v>#N/A</v>
      </c>
      <c r="R274" s="11" t="str">
        <f>VLOOKUP($G274, 'ADP Data'!$B$4:$Q$300, 7, FALSE)</f>
        <v>#N/A</v>
      </c>
      <c r="S274" s="11" t="str">
        <f>VLOOKUP($G274, 'ADP Data'!$B$4:$Q$300, 8, FALSE)</f>
        <v>#N/A</v>
      </c>
      <c r="T274" s="11" t="str">
        <f>VLOOKUP($G274, 'ADP Data'!$B$4:$Q$300, 9, FALSE)</f>
        <v>#N/A</v>
      </c>
      <c r="U274" s="11" t="str">
        <f t="shared" si="4"/>
        <v>#N/A</v>
      </c>
      <c r="V274" s="11"/>
    </row>
    <row r="275" ht="14.25" customHeight="1">
      <c r="A275" s="11"/>
      <c r="B275" s="11" t="str">
        <f t="shared" si="5"/>
        <v>#N/A</v>
      </c>
      <c r="C275" s="11" t="s">
        <v>106</v>
      </c>
      <c r="D275" s="11"/>
      <c r="E275" s="11"/>
      <c r="F275" s="11"/>
      <c r="G275" s="11" t="s">
        <v>1329</v>
      </c>
      <c r="H275" s="11" t="s">
        <v>105</v>
      </c>
      <c r="I275" s="11" t="s">
        <v>772</v>
      </c>
      <c r="J275" s="99" t="s">
        <v>1532</v>
      </c>
      <c r="K275" s="11"/>
      <c r="L275" s="11"/>
      <c r="M275" s="11">
        <f t="shared" si="2"/>
        <v>16</v>
      </c>
      <c r="N275" s="11" t="str">
        <f>VLOOKUP($G275, 'ADP Data'!$B$4:$Q$300, 6, FALSE)</f>
        <v>#N/A</v>
      </c>
      <c r="O275" s="11" t="str">
        <f>VLOOKUP($G275, 'ADP Data'!$B$4:$Q$300, 10, FALSE)</f>
        <v>#N/A</v>
      </c>
      <c r="P275" s="11" t="str">
        <f>VLOOKUP($G275, 'ADP Data'!$B$4:$Q$300, 4, FALSE)</f>
        <v>#N/A</v>
      </c>
      <c r="Q275" s="11" t="str">
        <f>VLOOKUP($G275, 'ADP Data'!$B$4:$Q$300, 5, FALSE)</f>
        <v>#N/A</v>
      </c>
      <c r="R275" s="11" t="str">
        <f>VLOOKUP($G275, 'ADP Data'!$B$4:$Q$300, 7, FALSE)</f>
        <v>#N/A</v>
      </c>
      <c r="S275" s="11" t="str">
        <f>VLOOKUP($G275, 'ADP Data'!$B$4:$Q$300, 8, FALSE)</f>
        <v>#N/A</v>
      </c>
      <c r="T275" s="11" t="str">
        <f>VLOOKUP($G275, 'ADP Data'!$B$4:$Q$300, 9, FALSE)</f>
        <v>#N/A</v>
      </c>
      <c r="U275" s="11" t="str">
        <f t="shared" si="4"/>
        <v>#N/A</v>
      </c>
      <c r="V275" s="11"/>
    </row>
    <row r="276" ht="14.25" customHeight="1">
      <c r="A276" s="11"/>
      <c r="B276" s="11" t="str">
        <f t="shared" si="5"/>
        <v>#N/A</v>
      </c>
      <c r="C276" s="11" t="s">
        <v>106</v>
      </c>
      <c r="D276" s="11"/>
      <c r="E276" s="11"/>
      <c r="F276" s="11"/>
      <c r="G276" s="11" t="s">
        <v>1654</v>
      </c>
      <c r="H276" s="11" t="s">
        <v>85</v>
      </c>
      <c r="I276" s="11" t="s">
        <v>775</v>
      </c>
      <c r="J276" s="99" t="s">
        <v>1655</v>
      </c>
      <c r="K276" s="11"/>
      <c r="L276" s="11"/>
      <c r="M276" s="11">
        <f t="shared" si="2"/>
        <v>16</v>
      </c>
      <c r="N276" s="11" t="str">
        <f>VLOOKUP($G276, 'ADP Data'!$B$4:$Q$300, 6, FALSE)</f>
        <v>#N/A</v>
      </c>
      <c r="O276" s="11" t="str">
        <f>VLOOKUP($G276, 'ADP Data'!$B$4:$Q$300, 10, FALSE)</f>
        <v>#N/A</v>
      </c>
      <c r="P276" s="11" t="str">
        <f>VLOOKUP($G276, 'ADP Data'!$B$4:$Q$300, 4, FALSE)</f>
        <v>#N/A</v>
      </c>
      <c r="Q276" s="11" t="str">
        <f>VLOOKUP($G276, 'ADP Data'!$B$4:$Q$300, 5, FALSE)</f>
        <v>#N/A</v>
      </c>
      <c r="R276" s="11" t="str">
        <f>VLOOKUP($G276, 'ADP Data'!$B$4:$Q$300, 7, FALSE)</f>
        <v>#N/A</v>
      </c>
      <c r="S276" s="11" t="str">
        <f>VLOOKUP($G276, 'ADP Data'!$B$4:$Q$300, 8, FALSE)</f>
        <v>#N/A</v>
      </c>
      <c r="T276" s="11" t="str">
        <f>VLOOKUP($G276, 'ADP Data'!$B$4:$Q$300, 9, FALSE)</f>
        <v>#N/A</v>
      </c>
      <c r="U276" s="11" t="str">
        <f t="shared" si="4"/>
        <v>#N/A</v>
      </c>
      <c r="V276" s="11"/>
    </row>
    <row r="277" ht="14.25" customHeight="1">
      <c r="A277" s="11"/>
      <c r="B277" s="11" t="str">
        <f t="shared" si="5"/>
        <v>#N/A</v>
      </c>
      <c r="C277" s="11" t="s">
        <v>106</v>
      </c>
      <c r="D277" s="11"/>
      <c r="E277" s="11"/>
      <c r="F277" s="11"/>
      <c r="G277" s="11" t="s">
        <v>1656</v>
      </c>
      <c r="H277" s="11" t="s">
        <v>206</v>
      </c>
      <c r="I277" s="11" t="s">
        <v>781</v>
      </c>
      <c r="J277" s="99" t="s">
        <v>1374</v>
      </c>
      <c r="K277" s="11"/>
      <c r="L277" s="11"/>
      <c r="M277" s="11">
        <f t="shared" si="2"/>
        <v>16</v>
      </c>
      <c r="N277" s="11" t="str">
        <f>VLOOKUP($G277, 'ADP Data'!$B$4:$Q$300, 6, FALSE)</f>
        <v>#N/A</v>
      </c>
      <c r="O277" s="11" t="str">
        <f>VLOOKUP($G277, 'ADP Data'!$B$4:$Q$300, 10, FALSE)</f>
        <v>#N/A</v>
      </c>
      <c r="P277" s="11" t="str">
        <f>VLOOKUP($G277, 'ADP Data'!$B$4:$Q$300, 4, FALSE)</f>
        <v>#N/A</v>
      </c>
      <c r="Q277" s="11" t="str">
        <f>VLOOKUP($G277, 'ADP Data'!$B$4:$Q$300, 5, FALSE)</f>
        <v>#N/A</v>
      </c>
      <c r="R277" s="11" t="str">
        <f>VLOOKUP($G277, 'ADP Data'!$B$4:$Q$300, 7, FALSE)</f>
        <v>#N/A</v>
      </c>
      <c r="S277" s="11" t="str">
        <f>VLOOKUP($G277, 'ADP Data'!$B$4:$Q$300, 8, FALSE)</f>
        <v>#N/A</v>
      </c>
      <c r="T277" s="11" t="str">
        <f>VLOOKUP($G277, 'ADP Data'!$B$4:$Q$300, 9, FALSE)</f>
        <v>#N/A</v>
      </c>
      <c r="U277" s="11" t="str">
        <f t="shared" si="4"/>
        <v>#N/A</v>
      </c>
      <c r="V277" s="11"/>
    </row>
    <row r="278" ht="14.25" customHeight="1">
      <c r="A278" s="11"/>
      <c r="B278" s="11" t="str">
        <f t="shared" si="5"/>
        <v>#N/A</v>
      </c>
      <c r="C278" s="11" t="s">
        <v>106</v>
      </c>
      <c r="D278" s="11"/>
      <c r="E278" s="11"/>
      <c r="F278" s="11"/>
      <c r="G278" s="11" t="s">
        <v>1657</v>
      </c>
      <c r="H278" s="11" t="s">
        <v>148</v>
      </c>
      <c r="I278" s="11" t="s">
        <v>775</v>
      </c>
      <c r="J278" s="99" t="s">
        <v>1658</v>
      </c>
      <c r="K278" s="11"/>
      <c r="L278" s="11"/>
      <c r="M278" s="11">
        <f t="shared" si="2"/>
        <v>16</v>
      </c>
      <c r="N278" s="11" t="str">
        <f>VLOOKUP($G278, 'ADP Data'!$B$4:$Q$300, 6, FALSE)</f>
        <v>#N/A</v>
      </c>
      <c r="O278" s="11" t="str">
        <f>VLOOKUP($G278, 'ADP Data'!$B$4:$Q$300, 10, FALSE)</f>
        <v>#N/A</v>
      </c>
      <c r="P278" s="11" t="str">
        <f>VLOOKUP($G278, 'ADP Data'!$B$4:$Q$300, 4, FALSE)</f>
        <v>#N/A</v>
      </c>
      <c r="Q278" s="11" t="str">
        <f>VLOOKUP($G278, 'ADP Data'!$B$4:$Q$300, 5, FALSE)</f>
        <v>#N/A</v>
      </c>
      <c r="R278" s="11" t="str">
        <f>VLOOKUP($G278, 'ADP Data'!$B$4:$Q$300, 7, FALSE)</f>
        <v>#N/A</v>
      </c>
      <c r="S278" s="11" t="str">
        <f>VLOOKUP($G278, 'ADP Data'!$B$4:$Q$300, 8, FALSE)</f>
        <v>#N/A</v>
      </c>
      <c r="T278" s="11" t="str">
        <f>VLOOKUP($G278, 'ADP Data'!$B$4:$Q$300, 9, FALSE)</f>
        <v>#N/A</v>
      </c>
      <c r="U278" s="11" t="str">
        <f t="shared" si="4"/>
        <v>#N/A</v>
      </c>
      <c r="V278" s="11"/>
    </row>
    <row r="279" ht="14.25" customHeight="1">
      <c r="A279" s="11"/>
      <c r="B279" s="11" t="str">
        <f t="shared" si="5"/>
        <v>#N/A</v>
      </c>
      <c r="C279" s="11" t="s">
        <v>106</v>
      </c>
      <c r="D279" s="11"/>
      <c r="E279" s="11"/>
      <c r="F279" s="11"/>
      <c r="G279" s="11" t="s">
        <v>538</v>
      </c>
      <c r="H279" s="11" t="s">
        <v>35</v>
      </c>
      <c r="I279" s="11" t="s">
        <v>785</v>
      </c>
      <c r="J279" s="99" t="s">
        <v>1363</v>
      </c>
      <c r="K279" s="11"/>
      <c r="L279" s="11"/>
      <c r="M279" s="11">
        <f t="shared" si="2"/>
        <v>16</v>
      </c>
      <c r="N279" s="11" t="str">
        <f>VLOOKUP($G279, 'ADP Data'!$B$4:$Q$300, 6, FALSE)</f>
        <v>#N/A</v>
      </c>
      <c r="O279" s="11" t="str">
        <f>VLOOKUP($G279, 'ADP Data'!$B$4:$Q$300, 10, FALSE)</f>
        <v>#N/A</v>
      </c>
      <c r="P279" s="11" t="str">
        <f>VLOOKUP($G279, 'ADP Data'!$B$4:$Q$300, 4, FALSE)</f>
        <v>#N/A</v>
      </c>
      <c r="Q279" s="11" t="str">
        <f>VLOOKUP($G279, 'ADP Data'!$B$4:$Q$300, 5, FALSE)</f>
        <v>#N/A</v>
      </c>
      <c r="R279" s="11" t="str">
        <f>VLOOKUP($G279, 'ADP Data'!$B$4:$Q$300, 7, FALSE)</f>
        <v>#N/A</v>
      </c>
      <c r="S279" s="11" t="str">
        <f>VLOOKUP($G279, 'ADP Data'!$B$4:$Q$300, 8, FALSE)</f>
        <v>#N/A</v>
      </c>
      <c r="T279" s="11" t="str">
        <f>VLOOKUP($G279, 'ADP Data'!$B$4:$Q$300, 9, FALSE)</f>
        <v>#N/A</v>
      </c>
      <c r="U279" s="11" t="str">
        <f t="shared" si="4"/>
        <v>#N/A</v>
      </c>
      <c r="V279" s="11"/>
    </row>
    <row r="280" ht="14.25" customHeight="1">
      <c r="A280" s="11"/>
      <c r="B280" s="11" t="str">
        <f t="shared" si="5"/>
        <v>#N/A</v>
      </c>
      <c r="C280" s="11" t="s">
        <v>106</v>
      </c>
      <c r="D280" s="11"/>
      <c r="E280" s="11"/>
      <c r="F280" s="11"/>
      <c r="G280" s="11" t="s">
        <v>1563</v>
      </c>
      <c r="H280" s="11" t="s">
        <v>62</v>
      </c>
      <c r="I280" s="11" t="s">
        <v>781</v>
      </c>
      <c r="J280" s="99" t="s">
        <v>1429</v>
      </c>
      <c r="K280" s="11"/>
      <c r="L280" s="11"/>
      <c r="M280" s="11">
        <f t="shared" si="2"/>
        <v>16</v>
      </c>
      <c r="N280" s="11" t="str">
        <f>VLOOKUP($G280, 'ADP Data'!$B$4:$Q$300, 6, FALSE)</f>
        <v>#N/A</v>
      </c>
      <c r="O280" s="11" t="str">
        <f>VLOOKUP($G280, 'ADP Data'!$B$4:$Q$300, 10, FALSE)</f>
        <v>#N/A</v>
      </c>
      <c r="P280" s="11" t="str">
        <f>VLOOKUP($G280, 'ADP Data'!$B$4:$Q$300, 4, FALSE)</f>
        <v>#N/A</v>
      </c>
      <c r="Q280" s="11" t="str">
        <f>VLOOKUP($G280, 'ADP Data'!$B$4:$Q$300, 5, FALSE)</f>
        <v>#N/A</v>
      </c>
      <c r="R280" s="11" t="str">
        <f>VLOOKUP($G280, 'ADP Data'!$B$4:$Q$300, 7, FALSE)</f>
        <v>#N/A</v>
      </c>
      <c r="S280" s="11" t="str">
        <f>VLOOKUP($G280, 'ADP Data'!$B$4:$Q$300, 8, FALSE)</f>
        <v>#N/A</v>
      </c>
      <c r="T280" s="11" t="str">
        <f>VLOOKUP($G280, 'ADP Data'!$B$4:$Q$300, 9, FALSE)</f>
        <v>#N/A</v>
      </c>
      <c r="U280" s="11" t="str">
        <f t="shared" si="4"/>
        <v>#N/A</v>
      </c>
      <c r="V280" s="11"/>
    </row>
    <row r="281" ht="14.25" customHeight="1">
      <c r="A281" s="11"/>
      <c r="B281" s="11" t="str">
        <f t="shared" si="5"/>
        <v>#N/A</v>
      </c>
      <c r="C281" s="11" t="s">
        <v>106</v>
      </c>
      <c r="D281" s="11"/>
      <c r="E281" s="11"/>
      <c r="F281" s="11"/>
      <c r="G281" s="11" t="s">
        <v>1659</v>
      </c>
      <c r="H281" s="11" t="s">
        <v>165</v>
      </c>
      <c r="I281" s="11" t="s">
        <v>775</v>
      </c>
      <c r="J281" s="99" t="s">
        <v>1660</v>
      </c>
      <c r="K281" s="11"/>
      <c r="L281" s="11"/>
      <c r="M281" s="11">
        <f t="shared" si="2"/>
        <v>16</v>
      </c>
      <c r="N281" s="11" t="str">
        <f>VLOOKUP($G281, 'ADP Data'!$B$4:$Q$300, 6, FALSE)</f>
        <v>#N/A</v>
      </c>
      <c r="O281" s="11" t="str">
        <f>VLOOKUP($G281, 'ADP Data'!$B$4:$Q$300, 10, FALSE)</f>
        <v>#N/A</v>
      </c>
      <c r="P281" s="11" t="str">
        <f>VLOOKUP($G281, 'ADP Data'!$B$4:$Q$300, 4, FALSE)</f>
        <v>#N/A</v>
      </c>
      <c r="Q281" s="11" t="str">
        <f>VLOOKUP($G281, 'ADP Data'!$B$4:$Q$300, 5, FALSE)</f>
        <v>#N/A</v>
      </c>
      <c r="R281" s="11" t="str">
        <f>VLOOKUP($G281, 'ADP Data'!$B$4:$Q$300, 7, FALSE)</f>
        <v>#N/A</v>
      </c>
      <c r="S281" s="11" t="str">
        <f>VLOOKUP($G281, 'ADP Data'!$B$4:$Q$300, 8, FALSE)</f>
        <v>#N/A</v>
      </c>
      <c r="T281" s="11" t="str">
        <f>VLOOKUP($G281, 'ADP Data'!$B$4:$Q$300, 9, FALSE)</f>
        <v>#N/A</v>
      </c>
      <c r="U281" s="11" t="str">
        <f t="shared" si="4"/>
        <v>#N/A</v>
      </c>
      <c r="V281" s="11"/>
    </row>
    <row r="282" ht="14.25" customHeight="1">
      <c r="A282" s="11"/>
      <c r="B282" s="11" t="str">
        <f t="shared" si="5"/>
        <v>#N/A</v>
      </c>
      <c r="C282" s="11" t="s">
        <v>106</v>
      </c>
      <c r="D282" s="11"/>
      <c r="E282" s="11"/>
      <c r="F282" s="11"/>
      <c r="G282" s="11" t="s">
        <v>1661</v>
      </c>
      <c r="H282" s="11" t="s">
        <v>94</v>
      </c>
      <c r="I282" s="11" t="s">
        <v>775</v>
      </c>
      <c r="J282" s="99" t="s">
        <v>1662</v>
      </c>
      <c r="K282" s="11"/>
      <c r="L282" s="11"/>
      <c r="M282" s="11">
        <f t="shared" si="2"/>
        <v>16</v>
      </c>
      <c r="N282" s="11" t="str">
        <f>VLOOKUP($G282, 'ADP Data'!$B$4:$Q$300, 6, FALSE)</f>
        <v>#N/A</v>
      </c>
      <c r="O282" s="11" t="str">
        <f>VLOOKUP($G282, 'ADP Data'!$B$4:$Q$300, 10, FALSE)</f>
        <v>#N/A</v>
      </c>
      <c r="P282" s="11" t="str">
        <f>VLOOKUP($G282, 'ADP Data'!$B$4:$Q$300, 4, FALSE)</f>
        <v>#N/A</v>
      </c>
      <c r="Q282" s="11" t="str">
        <f>VLOOKUP($G282, 'ADP Data'!$B$4:$Q$300, 5, FALSE)</f>
        <v>#N/A</v>
      </c>
      <c r="R282" s="11" t="str">
        <f>VLOOKUP($G282, 'ADP Data'!$B$4:$Q$300, 7, FALSE)</f>
        <v>#N/A</v>
      </c>
      <c r="S282" s="11" t="str">
        <f>VLOOKUP($G282, 'ADP Data'!$B$4:$Q$300, 8, FALSE)</f>
        <v>#N/A</v>
      </c>
      <c r="T282" s="11" t="str">
        <f>VLOOKUP($G282, 'ADP Data'!$B$4:$Q$300, 9, FALSE)</f>
        <v>#N/A</v>
      </c>
      <c r="U282" s="11" t="str">
        <f t="shared" si="4"/>
        <v>#N/A</v>
      </c>
      <c r="V282" s="11"/>
    </row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5:$V$282">
    <sortState ref="A5:V282">
      <sortCondition ref="L5:L282"/>
    </sortState>
  </autoFilter>
  <mergeCells count="2">
    <mergeCell ref="A2:E2"/>
    <mergeCell ref="A3:E4"/>
  </mergeCells>
  <conditionalFormatting sqref="B6:K1000">
    <cfRule type="expression" dxfId="0" priority="1">
      <formula>$C6="No"</formula>
    </cfRule>
  </conditionalFormatting>
  <conditionalFormatting sqref="L56">
    <cfRule type="expression" dxfId="0" priority="2">
      <formula>$C56="No"</formula>
    </cfRule>
  </conditionalFormatting>
  <conditionalFormatting sqref="L87">
    <cfRule type="expression" dxfId="0" priority="3">
      <formula>$C87="No"</formula>
    </cfRule>
  </conditionalFormatting>
  <conditionalFormatting sqref="M6:M274 M275:N282">
    <cfRule type="cellIs" dxfId="1" priority="4" operator="lessThan">
      <formula>B6</formula>
    </cfRule>
  </conditionalFormatting>
  <conditionalFormatting sqref="M6:M274 M275:N282">
    <cfRule type="cellIs" dxfId="2" priority="5" operator="greaterThan">
      <formula>B6</formula>
    </cfRule>
  </conditionalFormatting>
  <conditionalFormatting sqref="M3:AC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41:V42 V44 V46 V48:V52 V56 V58">
    <cfRule type="expression" dxfId="0" priority="7">
      <formula>$C41="No"</formula>
    </cfRule>
  </conditionalFormatting>
  <printOptions/>
  <pageMargins bottom="0.75" footer="0.0" header="0.0" left="0.7" right="0.7" top="0.75"/>
  <pageSetup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3.0" topLeftCell="A14" activePane="bottomLeft" state="frozen"/>
      <selection activeCell="B15" sqref="B15" pane="bottomLeft"/>
    </sheetView>
  </sheetViews>
  <sheetFormatPr customHeight="1" defaultColWidth="14.43" defaultRowHeight="15.0"/>
  <cols>
    <col customWidth="1" min="1" max="2" width="8.71"/>
    <col customWidth="1" min="3" max="3" width="10.71"/>
    <col customWidth="1" min="4" max="5" width="8.86"/>
    <col customWidth="1" min="6" max="6" width="21.71"/>
    <col customWidth="1" min="7" max="8" width="8.71"/>
    <col customWidth="1" min="9" max="9" width="16.0"/>
    <col customWidth="1" min="10" max="10" width="10.29"/>
    <col customWidth="1" min="11" max="11" width="8.71"/>
    <col customWidth="1" min="12" max="12" width="6.14"/>
    <col customWidth="1" min="13" max="14" width="8.71"/>
    <col customWidth="1" min="15" max="17" width="6.14"/>
    <col customWidth="1" min="18" max="18" width="6.86"/>
    <col customWidth="1" min="19" max="19" width="29.71"/>
    <col customWidth="1" min="20" max="26" width="8.71"/>
  </cols>
  <sheetData>
    <row r="1" ht="14.25" customHeight="1">
      <c r="A1" s="101" t="s">
        <v>1400</v>
      </c>
      <c r="B1" s="3"/>
      <c r="C1" s="3"/>
      <c r="D1" s="3"/>
      <c r="E1" s="3"/>
      <c r="F1" s="3"/>
      <c r="G1" s="3" t="s">
        <v>1401</v>
      </c>
      <c r="H1" s="3">
        <v>7.0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ht="14.25" customHeight="1">
      <c r="A2" s="3"/>
      <c r="B2" s="3"/>
      <c r="C2" s="3"/>
      <c r="D2" s="3"/>
      <c r="E2" s="3"/>
      <c r="F2" s="3"/>
      <c r="G2" s="3" t="s">
        <v>1402</v>
      </c>
      <c r="H2" s="3">
        <v>3.0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14.25" customHeight="1">
      <c r="A3" s="3"/>
      <c r="B3" s="3"/>
      <c r="C3" s="3"/>
      <c r="D3" s="3"/>
      <c r="E3" s="3"/>
      <c r="F3" s="102"/>
      <c r="G3" s="3" t="s">
        <v>1403</v>
      </c>
      <c r="H3" s="3">
        <f>INT((H1)/H2)</f>
        <v>2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ht="14.25" customHeight="1">
      <c r="A4" s="3"/>
      <c r="B4" s="3"/>
      <c r="C4" s="3"/>
      <c r="D4" s="3"/>
      <c r="E4" s="3"/>
      <c r="F4" s="102" t="s">
        <v>1405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</row>
    <row r="5" ht="14.25" customHeight="1">
      <c r="A5" s="3"/>
      <c r="B5" s="3"/>
      <c r="C5" s="3"/>
      <c r="D5" s="3"/>
      <c r="E5" s="3"/>
      <c r="F5" s="3" t="s">
        <v>1406</v>
      </c>
      <c r="G5" s="3">
        <v>1.0</v>
      </c>
      <c r="H5" s="3"/>
      <c r="I5" s="3" t="s">
        <v>1407</v>
      </c>
      <c r="J5" s="3">
        <v>14.0</v>
      </c>
      <c r="K5" s="3"/>
      <c r="L5" s="3"/>
      <c r="M5" s="3" t="s">
        <v>1408</v>
      </c>
      <c r="N5" s="3" t="s">
        <v>1409</v>
      </c>
      <c r="O5" s="3"/>
      <c r="P5" s="3"/>
      <c r="Q5" s="3"/>
      <c r="R5" s="3"/>
      <c r="S5" s="3"/>
    </row>
    <row r="6" ht="14.25" customHeight="1">
      <c r="A6" s="3"/>
      <c r="B6" s="3"/>
      <c r="C6" s="3"/>
      <c r="D6" s="3"/>
      <c r="E6" s="3"/>
      <c r="F6" s="3" t="s">
        <v>1410</v>
      </c>
      <c r="G6" s="3">
        <v>3.0</v>
      </c>
      <c r="H6" s="3"/>
      <c r="I6" s="3" t="s">
        <v>1411</v>
      </c>
      <c r="J6" s="3">
        <v>6.0</v>
      </c>
      <c r="K6" s="3"/>
      <c r="L6" s="3"/>
      <c r="M6" s="3" t="s">
        <v>1412</v>
      </c>
      <c r="N6" s="3">
        <v>11.0</v>
      </c>
      <c r="O6" s="3"/>
      <c r="P6" s="3"/>
      <c r="Q6" s="3"/>
      <c r="R6" s="3"/>
      <c r="S6" s="3"/>
    </row>
    <row r="7" ht="14.25" customHeight="1">
      <c r="A7" s="3"/>
      <c r="B7" s="3"/>
      <c r="C7" s="3"/>
      <c r="D7" s="3"/>
      <c r="E7" s="3"/>
      <c r="F7" s="3" t="s">
        <v>1415</v>
      </c>
      <c r="G7" s="3">
        <v>3.0</v>
      </c>
      <c r="H7" s="3"/>
      <c r="I7" s="3" t="s">
        <v>1416</v>
      </c>
      <c r="J7" s="3">
        <v>6.0</v>
      </c>
      <c r="K7" s="3"/>
      <c r="L7" s="3"/>
      <c r="M7" s="3"/>
      <c r="N7" s="3"/>
      <c r="O7" s="3"/>
      <c r="P7" s="3"/>
      <c r="Q7" s="3"/>
      <c r="R7" s="3"/>
      <c r="S7" s="3"/>
    </row>
    <row r="8" ht="14.25" customHeight="1">
      <c r="A8" s="3"/>
      <c r="B8" s="3"/>
      <c r="C8" s="3"/>
      <c r="D8" s="3"/>
      <c r="E8" s="3"/>
      <c r="F8" s="3" t="s">
        <v>1417</v>
      </c>
      <c r="G8" s="3">
        <v>3.0</v>
      </c>
      <c r="H8" s="3"/>
      <c r="I8" s="3" t="s">
        <v>1418</v>
      </c>
      <c r="J8" s="3">
        <v>8.0</v>
      </c>
      <c r="K8" s="3"/>
      <c r="L8" s="3"/>
      <c r="M8" s="3"/>
      <c r="N8" s="3"/>
      <c r="O8" s="3"/>
      <c r="P8" s="3"/>
      <c r="Q8" s="3"/>
      <c r="R8" s="3"/>
      <c r="S8" s="3"/>
    </row>
    <row r="9" ht="14.25" customHeight="1">
      <c r="A9" s="3"/>
      <c r="B9" s="3"/>
      <c r="C9" s="3"/>
      <c r="D9" s="3"/>
      <c r="E9" s="3"/>
      <c r="F9" s="3" t="s">
        <v>1420</v>
      </c>
      <c r="G9" s="3">
        <v>2.0</v>
      </c>
      <c r="H9" s="3"/>
      <c r="I9" s="3" t="s">
        <v>1421</v>
      </c>
      <c r="J9" s="3">
        <v>8.0</v>
      </c>
      <c r="K9" s="3"/>
      <c r="L9" s="3"/>
      <c r="M9" s="3"/>
      <c r="N9" s="3"/>
      <c r="O9" s="3"/>
      <c r="P9" s="3"/>
      <c r="Q9" s="3"/>
      <c r="R9" s="3"/>
      <c r="S9" s="3"/>
    </row>
    <row r="10" ht="14.25" customHeight="1">
      <c r="A10" s="3"/>
      <c r="B10" s="3"/>
      <c r="C10" s="3"/>
      <c r="D10" s="3"/>
      <c r="E10" s="3"/>
      <c r="F10" s="3" t="s">
        <v>1422</v>
      </c>
      <c r="G10" s="3">
        <v>4.0</v>
      </c>
      <c r="H10" s="3"/>
      <c r="I10" s="3" t="s">
        <v>1423</v>
      </c>
      <c r="J10" s="3">
        <v>10.0</v>
      </c>
      <c r="K10" s="3"/>
      <c r="L10" s="3"/>
      <c r="M10" s="3"/>
      <c r="N10" s="3"/>
      <c r="O10" s="3"/>
      <c r="P10" s="3"/>
      <c r="Q10" s="3"/>
      <c r="R10" s="3"/>
      <c r="S10" s="3"/>
    </row>
    <row r="11" ht="14.25" customHeight="1">
      <c r="A11" s="3"/>
      <c r="B11" s="3"/>
      <c r="C11" s="3"/>
      <c r="D11" s="3"/>
      <c r="E11" s="3"/>
      <c r="F11" s="3" t="s">
        <v>1424</v>
      </c>
      <c r="G11" s="3">
        <v>3.0</v>
      </c>
      <c r="H11" s="3"/>
      <c r="I11" s="3" t="s">
        <v>1425</v>
      </c>
      <c r="J11" s="3">
        <v>15.0</v>
      </c>
      <c r="K11" s="3"/>
      <c r="L11" s="3"/>
      <c r="M11" s="3"/>
      <c r="N11" s="3"/>
      <c r="O11" s="3"/>
      <c r="P11" s="3"/>
      <c r="Q11" s="3"/>
      <c r="R11" s="3"/>
      <c r="S11" s="3"/>
    </row>
    <row r="12" ht="14.25" customHeight="1">
      <c r="A12" s="3"/>
      <c r="B12" s="3"/>
      <c r="C12" s="3"/>
      <c r="D12" s="3"/>
      <c r="E12" s="3"/>
      <c r="F12" s="102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ht="14.25" customHeight="1">
      <c r="A13" s="103" t="s">
        <v>1426</v>
      </c>
      <c r="B13" s="21" t="s">
        <v>76</v>
      </c>
      <c r="C13" s="22" t="s">
        <v>77</v>
      </c>
      <c r="D13" s="22" t="s">
        <v>1034</v>
      </c>
      <c r="E13" s="22" t="s">
        <v>10</v>
      </c>
      <c r="F13" s="6" t="s">
        <v>5</v>
      </c>
      <c r="G13" s="6" t="s">
        <v>7</v>
      </c>
      <c r="H13" s="6" t="s">
        <v>8</v>
      </c>
      <c r="I13" s="104" t="s">
        <v>11</v>
      </c>
      <c r="J13" s="104" t="s">
        <v>12</v>
      </c>
      <c r="K13" s="23" t="s">
        <v>81</v>
      </c>
      <c r="L13" s="23" t="s">
        <v>17</v>
      </c>
      <c r="M13" s="20" t="s">
        <v>13</v>
      </c>
      <c r="N13" s="20" t="s">
        <v>15</v>
      </c>
      <c r="O13" s="20" t="s">
        <v>20</v>
      </c>
      <c r="P13" s="20" t="s">
        <v>27</v>
      </c>
      <c r="Q13" s="20" t="s">
        <v>23</v>
      </c>
      <c r="R13" s="21" t="s">
        <v>87</v>
      </c>
      <c r="S13" s="6" t="s">
        <v>14</v>
      </c>
    </row>
    <row r="14" ht="14.25" customHeight="1">
      <c r="A14" s="3"/>
      <c r="B14" s="45">
        <f t="shared" ref="B14:B336" si="1">IFERROR(INT(AVERAGE(L14:Q14)/12)+1, INT(AVERAGE(L14)/12)+1)</f>
        <v>1</v>
      </c>
      <c r="C14" s="45" t="s">
        <v>106</v>
      </c>
      <c r="D14" s="45">
        <v>73.0</v>
      </c>
      <c r="E14" s="45"/>
      <c r="F14" s="11" t="s">
        <v>57</v>
      </c>
      <c r="G14" s="11" t="s">
        <v>165</v>
      </c>
      <c r="H14" s="11" t="s">
        <v>772</v>
      </c>
      <c r="I14" s="11" t="s">
        <v>37</v>
      </c>
      <c r="J14" s="11">
        <v>1.0</v>
      </c>
      <c r="K14" s="105">
        <f t="shared" ref="K14:K336" si="2">INT(AVERAGE(L14)/12)+1</f>
        <v>1</v>
      </c>
      <c r="L14" s="11">
        <v>1.0</v>
      </c>
      <c r="M14" s="11">
        <v>1.0</v>
      </c>
      <c r="N14" s="11">
        <v>1.0</v>
      </c>
      <c r="O14" s="11">
        <v>1.0</v>
      </c>
      <c r="P14" s="11">
        <v>1.0</v>
      </c>
      <c r="Q14" s="11">
        <v>1.0</v>
      </c>
      <c r="R14" s="11">
        <f t="shared" ref="R14:R336" si="3">INT(AVERAGE(L14:Q14))</f>
        <v>1</v>
      </c>
      <c r="S14" s="45"/>
    </row>
    <row r="15" ht="14.25" customHeight="1">
      <c r="A15" s="3"/>
      <c r="B15" s="45">
        <f t="shared" si="1"/>
        <v>1</v>
      </c>
      <c r="C15" s="45" t="s">
        <v>106</v>
      </c>
      <c r="D15" s="45">
        <v>60.0</v>
      </c>
      <c r="E15" s="45"/>
      <c r="F15" s="11" t="s">
        <v>1245</v>
      </c>
      <c r="G15" s="11" t="s">
        <v>131</v>
      </c>
      <c r="H15" s="11" t="s">
        <v>775</v>
      </c>
      <c r="I15" s="11" t="s">
        <v>59</v>
      </c>
      <c r="J15" s="11">
        <v>1.0</v>
      </c>
      <c r="K15" s="105">
        <f t="shared" si="2"/>
        <v>1</v>
      </c>
      <c r="L15" s="11">
        <v>6.0</v>
      </c>
      <c r="M15" s="11">
        <v>8.0</v>
      </c>
      <c r="N15" s="11">
        <v>6.0</v>
      </c>
      <c r="O15" s="11">
        <v>6.0</v>
      </c>
      <c r="P15" s="11">
        <v>5.0</v>
      </c>
      <c r="Q15" s="11">
        <v>3.0</v>
      </c>
      <c r="R15" s="11">
        <f t="shared" si="3"/>
        <v>5</v>
      </c>
      <c r="S15" s="45"/>
    </row>
    <row r="16" ht="14.25" customHeight="1">
      <c r="A16" s="3"/>
      <c r="B16" s="45">
        <f t="shared" si="1"/>
        <v>2</v>
      </c>
      <c r="C16" s="45" t="s">
        <v>106</v>
      </c>
      <c r="D16" s="45">
        <v>30.0</v>
      </c>
      <c r="E16" s="45"/>
      <c r="F16" s="11" t="s">
        <v>183</v>
      </c>
      <c r="G16" s="11" t="s">
        <v>109</v>
      </c>
      <c r="H16" s="11" t="s">
        <v>770</v>
      </c>
      <c r="I16" s="11" t="s">
        <v>1430</v>
      </c>
      <c r="J16" s="11">
        <v>1.0</v>
      </c>
      <c r="K16" s="105">
        <f t="shared" si="2"/>
        <v>2</v>
      </c>
      <c r="L16" s="11">
        <v>16.0</v>
      </c>
      <c r="M16" s="11">
        <v>9.0</v>
      </c>
      <c r="N16" s="11">
        <v>16.0</v>
      </c>
      <c r="O16" s="11">
        <v>23.0</v>
      </c>
      <c r="P16" s="11">
        <v>23.0</v>
      </c>
      <c r="Q16" s="11">
        <v>11.0</v>
      </c>
      <c r="R16" s="11">
        <f t="shared" si="3"/>
        <v>16</v>
      </c>
      <c r="S16" s="45"/>
    </row>
    <row r="17" ht="14.25" customHeight="1">
      <c r="A17" s="3"/>
      <c r="B17" s="45">
        <f t="shared" si="1"/>
        <v>1</v>
      </c>
      <c r="C17" s="45" t="s">
        <v>106</v>
      </c>
      <c r="D17" s="45">
        <v>66.0</v>
      </c>
      <c r="E17" s="45"/>
      <c r="F17" s="11" t="s">
        <v>877</v>
      </c>
      <c r="G17" s="11" t="s">
        <v>71</v>
      </c>
      <c r="H17" s="11" t="s">
        <v>772</v>
      </c>
      <c r="I17" s="11" t="s">
        <v>37</v>
      </c>
      <c r="J17" s="11">
        <v>2.0</v>
      </c>
      <c r="K17" s="105">
        <f t="shared" si="2"/>
        <v>1</v>
      </c>
      <c r="L17" s="11">
        <v>3.0</v>
      </c>
      <c r="M17" s="11">
        <v>3.0</v>
      </c>
      <c r="N17" s="11">
        <v>3.0</v>
      </c>
      <c r="O17" s="11">
        <v>3.0</v>
      </c>
      <c r="P17" s="11">
        <v>3.0</v>
      </c>
      <c r="Q17" s="11">
        <v>4.0</v>
      </c>
      <c r="R17" s="11">
        <f t="shared" si="3"/>
        <v>3</v>
      </c>
      <c r="S17" s="45"/>
    </row>
    <row r="18" ht="14.25" customHeight="1">
      <c r="A18" s="3"/>
      <c r="B18" s="45">
        <f t="shared" si="1"/>
        <v>2</v>
      </c>
      <c r="C18" s="45" t="s">
        <v>106</v>
      </c>
      <c r="D18" s="45">
        <v>30.0</v>
      </c>
      <c r="E18" s="45"/>
      <c r="F18" s="11" t="s">
        <v>319</v>
      </c>
      <c r="G18" s="11" t="s">
        <v>102</v>
      </c>
      <c r="H18" s="11" t="s">
        <v>770</v>
      </c>
      <c r="I18" s="11" t="s">
        <v>1430</v>
      </c>
      <c r="J18" s="11">
        <v>2.0</v>
      </c>
      <c r="K18" s="105">
        <f t="shared" si="2"/>
        <v>1</v>
      </c>
      <c r="L18" s="11">
        <v>8.0</v>
      </c>
      <c r="M18" s="11">
        <v>7.0</v>
      </c>
      <c r="N18" s="11">
        <v>11.0</v>
      </c>
      <c r="O18" s="11">
        <v>24.0</v>
      </c>
      <c r="P18" s="11">
        <v>24.0</v>
      </c>
      <c r="Q18" s="11">
        <v>10.0</v>
      </c>
      <c r="R18" s="11">
        <f t="shared" si="3"/>
        <v>14</v>
      </c>
      <c r="S18" s="45"/>
    </row>
    <row r="19" ht="14.25" customHeight="1">
      <c r="A19" s="3"/>
      <c r="B19" s="45">
        <f t="shared" si="1"/>
        <v>2</v>
      </c>
      <c r="C19" s="45" t="s">
        <v>106</v>
      </c>
      <c r="D19" s="45">
        <v>41.0</v>
      </c>
      <c r="E19" s="45"/>
      <c r="F19" s="11" t="s">
        <v>132</v>
      </c>
      <c r="G19" s="11" t="s">
        <v>102</v>
      </c>
      <c r="H19" s="11" t="s">
        <v>775</v>
      </c>
      <c r="I19" s="11" t="s">
        <v>59</v>
      </c>
      <c r="J19" s="11">
        <v>2.0</v>
      </c>
      <c r="K19" s="105">
        <f t="shared" si="2"/>
        <v>1</v>
      </c>
      <c r="L19" s="11">
        <v>11.0</v>
      </c>
      <c r="M19" s="11">
        <v>17.0</v>
      </c>
      <c r="N19" s="11">
        <v>13.0</v>
      </c>
      <c r="O19" s="11">
        <v>17.0</v>
      </c>
      <c r="P19" s="11">
        <v>10.0</v>
      </c>
      <c r="Q19" s="11">
        <v>12.0</v>
      </c>
      <c r="R19" s="11">
        <f t="shared" si="3"/>
        <v>13</v>
      </c>
      <c r="S19" s="45"/>
    </row>
    <row r="20" ht="14.25" customHeight="1">
      <c r="A20" s="3"/>
      <c r="B20" s="45">
        <f t="shared" si="1"/>
        <v>1</v>
      </c>
      <c r="C20" s="45" t="s">
        <v>106</v>
      </c>
      <c r="D20" s="45">
        <v>74.0</v>
      </c>
      <c r="E20" s="45"/>
      <c r="F20" s="11" t="s">
        <v>84</v>
      </c>
      <c r="G20" s="11" t="s">
        <v>128</v>
      </c>
      <c r="H20" s="11" t="s">
        <v>772</v>
      </c>
      <c r="I20" s="11" t="s">
        <v>37</v>
      </c>
      <c r="J20" s="11">
        <v>3.0</v>
      </c>
      <c r="K20" s="105">
        <f t="shared" si="2"/>
        <v>1</v>
      </c>
      <c r="L20" s="11">
        <v>2.0</v>
      </c>
      <c r="M20" s="11">
        <v>2.0</v>
      </c>
      <c r="N20" s="11">
        <v>2.0</v>
      </c>
      <c r="O20" s="11">
        <v>2.0</v>
      </c>
      <c r="P20" s="11">
        <v>2.0</v>
      </c>
      <c r="Q20" s="11">
        <v>2.0</v>
      </c>
      <c r="R20" s="11">
        <f t="shared" si="3"/>
        <v>2</v>
      </c>
      <c r="S20" s="45"/>
    </row>
    <row r="21" ht="14.25" customHeight="1">
      <c r="A21" s="3"/>
      <c r="B21" s="45">
        <f t="shared" si="1"/>
        <v>2</v>
      </c>
      <c r="C21" s="45" t="s">
        <v>106</v>
      </c>
      <c r="D21" s="45">
        <v>38.0</v>
      </c>
      <c r="E21" s="45"/>
      <c r="F21" s="11" t="s">
        <v>1231</v>
      </c>
      <c r="G21" s="11" t="s">
        <v>40</v>
      </c>
      <c r="H21" s="11" t="s">
        <v>775</v>
      </c>
      <c r="I21" s="11" t="s">
        <v>59</v>
      </c>
      <c r="J21" s="11">
        <v>3.0</v>
      </c>
      <c r="K21" s="105">
        <f t="shared" si="2"/>
        <v>2</v>
      </c>
      <c r="L21" s="11">
        <v>14.0</v>
      </c>
      <c r="M21" s="11">
        <v>14.0</v>
      </c>
      <c r="N21" s="11">
        <v>14.0</v>
      </c>
      <c r="O21" s="11">
        <v>20.0</v>
      </c>
      <c r="P21" s="11">
        <v>15.0</v>
      </c>
      <c r="Q21" s="11">
        <v>13.0</v>
      </c>
      <c r="R21" s="11">
        <f t="shared" si="3"/>
        <v>15</v>
      </c>
      <c r="S21" s="45"/>
    </row>
    <row r="22" ht="14.25" customHeight="1">
      <c r="A22" s="3"/>
      <c r="B22" s="45">
        <f t="shared" si="1"/>
        <v>4</v>
      </c>
      <c r="C22" s="45" t="s">
        <v>106</v>
      </c>
      <c r="D22" s="45">
        <v>9.0</v>
      </c>
      <c r="E22" s="45" t="s">
        <v>106</v>
      </c>
      <c r="F22" s="11" t="s">
        <v>259</v>
      </c>
      <c r="G22" s="11" t="s">
        <v>71</v>
      </c>
      <c r="H22" s="11" t="s">
        <v>770</v>
      </c>
      <c r="I22" s="11" t="s">
        <v>1432</v>
      </c>
      <c r="J22" s="11">
        <v>3.0</v>
      </c>
      <c r="K22" s="105">
        <f t="shared" si="2"/>
        <v>4</v>
      </c>
      <c r="L22" s="11">
        <v>43.0</v>
      </c>
      <c r="M22" s="11">
        <v>25.0</v>
      </c>
      <c r="N22" s="11">
        <v>50.0</v>
      </c>
      <c r="O22" s="11">
        <v>62.0</v>
      </c>
      <c r="P22" s="11">
        <v>41.0</v>
      </c>
      <c r="Q22" s="11">
        <v>47.0</v>
      </c>
      <c r="R22" s="11">
        <f t="shared" si="3"/>
        <v>44</v>
      </c>
      <c r="S22" s="45"/>
    </row>
    <row r="23" ht="14.25" customHeight="1">
      <c r="A23" s="3"/>
      <c r="B23" s="45">
        <f t="shared" si="1"/>
        <v>2</v>
      </c>
      <c r="C23" s="45" t="s">
        <v>106</v>
      </c>
      <c r="D23" s="45">
        <v>61.0</v>
      </c>
      <c r="E23" s="45" t="s">
        <v>106</v>
      </c>
      <c r="F23" s="11" t="s">
        <v>958</v>
      </c>
      <c r="G23" s="11" t="s">
        <v>102</v>
      </c>
      <c r="H23" s="11" t="s">
        <v>772</v>
      </c>
      <c r="I23" s="11" t="s">
        <v>1435</v>
      </c>
      <c r="J23" s="11">
        <v>4.0</v>
      </c>
      <c r="K23" s="105">
        <f t="shared" si="2"/>
        <v>2</v>
      </c>
      <c r="L23" s="11">
        <v>13.0</v>
      </c>
      <c r="M23" s="11">
        <v>10.0</v>
      </c>
      <c r="N23" s="11">
        <v>8.0</v>
      </c>
      <c r="O23" s="11">
        <v>8.0</v>
      </c>
      <c r="P23" s="11">
        <v>12.0</v>
      </c>
      <c r="Q23" s="11">
        <v>39.0</v>
      </c>
      <c r="R23" s="11">
        <f t="shared" si="3"/>
        <v>15</v>
      </c>
      <c r="S23" s="45"/>
    </row>
    <row r="24" ht="14.25" customHeight="1">
      <c r="A24" s="3"/>
      <c r="B24" s="45">
        <f t="shared" si="1"/>
        <v>3</v>
      </c>
      <c r="C24" s="45" t="s">
        <v>106</v>
      </c>
      <c r="D24" s="45">
        <v>33.0</v>
      </c>
      <c r="E24" s="45"/>
      <c r="F24" s="11" t="s">
        <v>1243</v>
      </c>
      <c r="G24" s="11" t="s">
        <v>35</v>
      </c>
      <c r="H24" s="11" t="s">
        <v>775</v>
      </c>
      <c r="I24" s="11" t="s">
        <v>1436</v>
      </c>
      <c r="J24" s="11">
        <v>4.0</v>
      </c>
      <c r="K24" s="105">
        <f t="shared" si="2"/>
        <v>3</v>
      </c>
      <c r="L24" s="11">
        <v>25.0</v>
      </c>
      <c r="M24" s="11">
        <v>27.0</v>
      </c>
      <c r="N24" s="11">
        <v>26.0</v>
      </c>
      <c r="O24" s="11">
        <v>27.0</v>
      </c>
      <c r="P24" s="11">
        <v>25.0</v>
      </c>
      <c r="Q24" s="11">
        <v>25.0</v>
      </c>
      <c r="R24" s="11">
        <f t="shared" si="3"/>
        <v>25</v>
      </c>
      <c r="S24" s="45"/>
    </row>
    <row r="25" ht="14.25" customHeight="1">
      <c r="A25" s="3"/>
      <c r="B25" s="45">
        <f t="shared" si="1"/>
        <v>5</v>
      </c>
      <c r="C25" s="45" t="s">
        <v>106</v>
      </c>
      <c r="D25" s="45">
        <v>8.0</v>
      </c>
      <c r="E25" s="45" t="s">
        <v>106</v>
      </c>
      <c r="F25" s="11" t="s">
        <v>361</v>
      </c>
      <c r="G25" s="11" t="s">
        <v>125</v>
      </c>
      <c r="H25" s="11" t="s">
        <v>770</v>
      </c>
      <c r="I25" s="11" t="s">
        <v>1432</v>
      </c>
      <c r="J25" s="11">
        <v>4.0</v>
      </c>
      <c r="K25" s="105">
        <f t="shared" si="2"/>
        <v>5</v>
      </c>
      <c r="L25" s="11">
        <v>48.0</v>
      </c>
      <c r="M25" s="11">
        <v>53.0</v>
      </c>
      <c r="N25" s="11">
        <v>49.0</v>
      </c>
      <c r="O25" s="11">
        <v>64.0</v>
      </c>
      <c r="P25" s="11">
        <v>43.0</v>
      </c>
      <c r="Q25" s="11">
        <v>50.0</v>
      </c>
      <c r="R25" s="11">
        <f t="shared" si="3"/>
        <v>51</v>
      </c>
      <c r="S25" s="45"/>
    </row>
    <row r="26" ht="14.25" customHeight="1">
      <c r="A26" s="3"/>
      <c r="B26" s="45">
        <f t="shared" si="1"/>
        <v>1</v>
      </c>
      <c r="C26" s="45" t="s">
        <v>106</v>
      </c>
      <c r="D26" s="45">
        <v>64.0</v>
      </c>
      <c r="E26" s="45"/>
      <c r="F26" s="11" t="s">
        <v>108</v>
      </c>
      <c r="G26" s="11" t="s">
        <v>231</v>
      </c>
      <c r="H26" s="11" t="s">
        <v>772</v>
      </c>
      <c r="I26" s="11" t="s">
        <v>1435</v>
      </c>
      <c r="J26" s="11">
        <v>5.0</v>
      </c>
      <c r="K26" s="105">
        <f t="shared" si="2"/>
        <v>1</v>
      </c>
      <c r="L26" s="11">
        <v>5.0</v>
      </c>
      <c r="M26" s="11">
        <v>6.0</v>
      </c>
      <c r="N26" s="11">
        <v>7.0</v>
      </c>
      <c r="O26" s="11">
        <v>7.0</v>
      </c>
      <c r="P26" s="11">
        <v>7.0</v>
      </c>
      <c r="Q26" s="11">
        <v>6.0</v>
      </c>
      <c r="R26" s="11">
        <f t="shared" si="3"/>
        <v>6</v>
      </c>
      <c r="S26" s="45"/>
    </row>
    <row r="27" ht="14.25" customHeight="1">
      <c r="A27" s="3"/>
      <c r="B27" s="45">
        <f t="shared" si="1"/>
        <v>1</v>
      </c>
      <c r="C27" s="45" t="s">
        <v>106</v>
      </c>
      <c r="D27" s="45">
        <v>48.0</v>
      </c>
      <c r="E27" s="45"/>
      <c r="F27" s="11" t="s">
        <v>197</v>
      </c>
      <c r="G27" s="11" t="s">
        <v>154</v>
      </c>
      <c r="H27" s="11" t="s">
        <v>775</v>
      </c>
      <c r="I27" s="11" t="s">
        <v>1436</v>
      </c>
      <c r="J27" s="11">
        <v>5.0</v>
      </c>
      <c r="K27" s="105">
        <f t="shared" si="2"/>
        <v>1</v>
      </c>
      <c r="L27" s="11">
        <v>10.0</v>
      </c>
      <c r="M27" s="11">
        <v>11.0</v>
      </c>
      <c r="N27" s="11">
        <v>12.0</v>
      </c>
      <c r="O27" s="11">
        <v>12.0</v>
      </c>
      <c r="P27" s="11">
        <v>8.0</v>
      </c>
      <c r="Q27" s="11">
        <v>9.0</v>
      </c>
      <c r="R27" s="11">
        <f t="shared" si="3"/>
        <v>10</v>
      </c>
      <c r="S27" s="45"/>
    </row>
    <row r="28" ht="14.25" customHeight="1">
      <c r="A28" s="3"/>
      <c r="B28" s="45">
        <f t="shared" si="1"/>
        <v>4</v>
      </c>
      <c r="C28" s="45" t="s">
        <v>106</v>
      </c>
      <c r="D28" s="45">
        <v>9.0</v>
      </c>
      <c r="E28" s="45"/>
      <c r="F28" s="11" t="s">
        <v>921</v>
      </c>
      <c r="G28" s="11" t="s">
        <v>52</v>
      </c>
      <c r="H28" s="11" t="s">
        <v>770</v>
      </c>
      <c r="I28" s="11" t="s">
        <v>1432</v>
      </c>
      <c r="J28" s="11">
        <v>5.0</v>
      </c>
      <c r="K28" s="105">
        <f t="shared" si="2"/>
        <v>4</v>
      </c>
      <c r="L28" s="11">
        <v>42.0</v>
      </c>
      <c r="M28" s="11">
        <v>40.0</v>
      </c>
      <c r="N28" s="11">
        <v>45.0</v>
      </c>
      <c r="O28" s="11">
        <v>71.0</v>
      </c>
      <c r="P28" s="11">
        <v>44.0</v>
      </c>
      <c r="Q28" s="11">
        <v>35.0</v>
      </c>
      <c r="R28" s="11">
        <f t="shared" si="3"/>
        <v>46</v>
      </c>
      <c r="S28" s="45"/>
    </row>
    <row r="29" ht="14.25" customHeight="1">
      <c r="A29" s="106"/>
      <c r="B29" s="45">
        <f t="shared" si="1"/>
        <v>1</v>
      </c>
      <c r="C29" s="45" t="s">
        <v>106</v>
      </c>
      <c r="D29" s="45">
        <v>71.0</v>
      </c>
      <c r="E29" s="45"/>
      <c r="F29" s="11" t="s">
        <v>1128</v>
      </c>
      <c r="G29" s="11" t="s">
        <v>75</v>
      </c>
      <c r="H29" s="11" t="s">
        <v>772</v>
      </c>
      <c r="I29" s="11" t="s">
        <v>1435</v>
      </c>
      <c r="J29" s="11">
        <v>6.0</v>
      </c>
      <c r="K29" s="105">
        <f t="shared" si="2"/>
        <v>1</v>
      </c>
      <c r="L29" s="11">
        <v>7.0</v>
      </c>
      <c r="M29" s="11">
        <v>5.0</v>
      </c>
      <c r="N29" s="11">
        <v>5.0</v>
      </c>
      <c r="O29" s="11">
        <v>5.0</v>
      </c>
      <c r="P29" s="11">
        <v>6.0</v>
      </c>
      <c r="Q29" s="11">
        <v>7.0</v>
      </c>
      <c r="R29" s="11">
        <f t="shared" si="3"/>
        <v>5</v>
      </c>
      <c r="S29" s="45"/>
    </row>
    <row r="30" ht="14.25" customHeight="1">
      <c r="A30" s="3"/>
      <c r="B30" s="45">
        <f t="shared" si="1"/>
        <v>2</v>
      </c>
      <c r="C30" s="45" t="s">
        <v>106</v>
      </c>
      <c r="D30" s="45">
        <v>36.0</v>
      </c>
      <c r="E30" s="45"/>
      <c r="F30" s="11" t="s">
        <v>270</v>
      </c>
      <c r="G30" s="11" t="s">
        <v>162</v>
      </c>
      <c r="H30" s="11" t="s">
        <v>775</v>
      </c>
      <c r="I30" s="11" t="s">
        <v>1436</v>
      </c>
      <c r="J30" s="11">
        <v>6.0</v>
      </c>
      <c r="K30" s="105">
        <f t="shared" si="2"/>
        <v>3</v>
      </c>
      <c r="L30" s="11">
        <v>24.0</v>
      </c>
      <c r="M30" s="11">
        <v>24.0</v>
      </c>
      <c r="N30" s="11">
        <v>22.0</v>
      </c>
      <c r="O30" s="11">
        <v>22.0</v>
      </c>
      <c r="P30" s="11">
        <v>22.0</v>
      </c>
      <c r="Q30" s="11">
        <v>15.0</v>
      </c>
      <c r="R30" s="11">
        <f t="shared" si="3"/>
        <v>21</v>
      </c>
      <c r="S30" s="45"/>
    </row>
    <row r="31" ht="14.25" customHeight="1">
      <c r="A31" s="3"/>
      <c r="B31" s="45">
        <f t="shared" si="1"/>
        <v>4</v>
      </c>
      <c r="C31" s="45" t="s">
        <v>106</v>
      </c>
      <c r="D31" s="45">
        <v>8.0</v>
      </c>
      <c r="E31" s="45" t="s">
        <v>106</v>
      </c>
      <c r="F31" s="11" t="s">
        <v>686</v>
      </c>
      <c r="G31" s="11" t="s">
        <v>119</v>
      </c>
      <c r="H31" s="11" t="s">
        <v>770</v>
      </c>
      <c r="I31" s="11" t="s">
        <v>1432</v>
      </c>
      <c r="J31" s="11">
        <v>6.0</v>
      </c>
      <c r="K31" s="105">
        <f t="shared" si="2"/>
        <v>5</v>
      </c>
      <c r="L31" s="11">
        <v>52.0</v>
      </c>
      <c r="M31" s="11">
        <v>39.0</v>
      </c>
      <c r="N31" s="11">
        <v>38.0</v>
      </c>
      <c r="O31" s="11">
        <v>70.0</v>
      </c>
      <c r="P31" s="11">
        <v>48.0</v>
      </c>
      <c r="Q31" s="11">
        <v>36.0</v>
      </c>
      <c r="R31" s="11">
        <f t="shared" si="3"/>
        <v>47</v>
      </c>
      <c r="S31" s="45"/>
    </row>
    <row r="32" ht="14.25" customHeight="1">
      <c r="A32" s="3" t="s">
        <v>1156</v>
      </c>
      <c r="B32" s="45">
        <f t="shared" si="1"/>
        <v>1</v>
      </c>
      <c r="C32" s="45" t="s">
        <v>106</v>
      </c>
      <c r="D32" s="45">
        <v>62.0</v>
      </c>
      <c r="E32" s="45"/>
      <c r="F32" s="11" t="s">
        <v>416</v>
      </c>
      <c r="G32" s="11" t="s">
        <v>131</v>
      </c>
      <c r="H32" s="11" t="s">
        <v>772</v>
      </c>
      <c r="I32" s="11" t="s">
        <v>1435</v>
      </c>
      <c r="J32" s="11">
        <v>7.0</v>
      </c>
      <c r="K32" s="105">
        <f t="shared" si="2"/>
        <v>1</v>
      </c>
      <c r="L32" s="11">
        <v>4.0</v>
      </c>
      <c r="M32" s="11">
        <v>4.0</v>
      </c>
      <c r="N32" s="11">
        <v>4.0</v>
      </c>
      <c r="O32" s="11">
        <v>4.0</v>
      </c>
      <c r="P32" s="11">
        <v>4.0</v>
      </c>
      <c r="Q32" s="11">
        <v>5.0</v>
      </c>
      <c r="R32" s="11">
        <f t="shared" si="3"/>
        <v>4</v>
      </c>
      <c r="S32" s="45"/>
    </row>
    <row r="33" ht="14.25" customHeight="1">
      <c r="A33" s="3"/>
      <c r="B33" s="45">
        <f t="shared" si="1"/>
        <v>3</v>
      </c>
      <c r="C33" s="45" t="s">
        <v>106</v>
      </c>
      <c r="D33" s="45">
        <v>37.0</v>
      </c>
      <c r="E33" s="45"/>
      <c r="F33" s="11" t="s">
        <v>220</v>
      </c>
      <c r="G33" s="11" t="s">
        <v>162</v>
      </c>
      <c r="H33" s="11" t="s">
        <v>775</v>
      </c>
      <c r="I33" s="11" t="s">
        <v>1436</v>
      </c>
      <c r="J33" s="11">
        <v>7.0</v>
      </c>
      <c r="K33" s="105">
        <f t="shared" si="2"/>
        <v>3</v>
      </c>
      <c r="L33" s="11">
        <v>27.0</v>
      </c>
      <c r="M33" s="11">
        <v>29.0</v>
      </c>
      <c r="N33" s="11">
        <v>23.0</v>
      </c>
      <c r="O33" s="11">
        <v>30.0</v>
      </c>
      <c r="P33" s="11">
        <v>26.0</v>
      </c>
      <c r="Q33" s="11">
        <v>23.0</v>
      </c>
      <c r="R33" s="11">
        <f t="shared" si="3"/>
        <v>26</v>
      </c>
      <c r="S33" s="45"/>
    </row>
    <row r="34" ht="14.25" customHeight="1">
      <c r="A34" s="3" t="s">
        <v>1156</v>
      </c>
      <c r="B34" s="45">
        <f t="shared" si="1"/>
        <v>7</v>
      </c>
      <c r="C34" s="45" t="s">
        <v>106</v>
      </c>
      <c r="D34" s="45">
        <v>3.0</v>
      </c>
      <c r="E34" s="45"/>
      <c r="F34" s="11" t="s">
        <v>136</v>
      </c>
      <c r="G34" s="11" t="s">
        <v>67</v>
      </c>
      <c r="H34" s="11" t="s">
        <v>770</v>
      </c>
      <c r="I34" s="11" t="s">
        <v>1439</v>
      </c>
      <c r="J34" s="11">
        <v>7.0</v>
      </c>
      <c r="K34" s="105">
        <f t="shared" si="2"/>
        <v>6</v>
      </c>
      <c r="L34" s="11">
        <v>67.0</v>
      </c>
      <c r="M34" s="11">
        <v>66.0</v>
      </c>
      <c r="N34" s="11">
        <v>93.0</v>
      </c>
      <c r="O34" s="11">
        <v>89.0</v>
      </c>
      <c r="P34" s="11">
        <v>62.0</v>
      </c>
      <c r="Q34" s="11">
        <v>82.0</v>
      </c>
      <c r="R34" s="11">
        <f t="shared" si="3"/>
        <v>76</v>
      </c>
      <c r="S34" s="45"/>
    </row>
    <row r="35" ht="14.25" customHeight="1">
      <c r="A35" s="3"/>
      <c r="B35" s="45">
        <f t="shared" si="1"/>
        <v>2</v>
      </c>
      <c r="C35" s="45" t="s">
        <v>106</v>
      </c>
      <c r="D35" s="45">
        <v>55.0</v>
      </c>
      <c r="E35" s="45"/>
      <c r="F35" s="11" t="s">
        <v>874</v>
      </c>
      <c r="G35" s="11" t="s">
        <v>195</v>
      </c>
      <c r="H35" s="11" t="s">
        <v>772</v>
      </c>
      <c r="I35" s="11" t="s">
        <v>1435</v>
      </c>
      <c r="J35" s="11">
        <v>8.0</v>
      </c>
      <c r="K35" s="105">
        <f t="shared" si="2"/>
        <v>2</v>
      </c>
      <c r="L35" s="11">
        <v>12.0</v>
      </c>
      <c r="M35" s="11">
        <v>15.0</v>
      </c>
      <c r="N35" s="11">
        <v>10.0</v>
      </c>
      <c r="O35" s="11">
        <v>16.0</v>
      </c>
      <c r="P35" s="11">
        <v>16.0</v>
      </c>
      <c r="Q35" s="11">
        <v>14.0</v>
      </c>
      <c r="R35" s="11">
        <f t="shared" si="3"/>
        <v>13</v>
      </c>
      <c r="S35" s="45"/>
    </row>
    <row r="36" ht="14.25" customHeight="1">
      <c r="A36" s="3"/>
      <c r="B36" s="45">
        <f t="shared" si="1"/>
        <v>8</v>
      </c>
      <c r="C36" s="45" t="s">
        <v>106</v>
      </c>
      <c r="D36" s="45"/>
      <c r="E36" s="45" t="s">
        <v>106</v>
      </c>
      <c r="F36" s="11" t="s">
        <v>1189</v>
      </c>
      <c r="G36" s="11" t="s">
        <v>85</v>
      </c>
      <c r="H36" s="11" t="s">
        <v>770</v>
      </c>
      <c r="I36" s="11" t="s">
        <v>1439</v>
      </c>
      <c r="J36" s="11">
        <v>8.0</v>
      </c>
      <c r="K36" s="105">
        <f t="shared" si="2"/>
        <v>8</v>
      </c>
      <c r="L36" s="11">
        <v>92.0</v>
      </c>
      <c r="M36" s="11">
        <v>86.0</v>
      </c>
      <c r="N36" s="11">
        <v>98.0</v>
      </c>
      <c r="O36" s="11">
        <v>100.0</v>
      </c>
      <c r="P36" s="11">
        <v>90.0</v>
      </c>
      <c r="Q36" s="11">
        <v>62.0</v>
      </c>
      <c r="R36" s="11">
        <f t="shared" si="3"/>
        <v>88</v>
      </c>
      <c r="S36" s="45" t="s">
        <v>1440</v>
      </c>
    </row>
    <row r="37" ht="14.25" customHeight="1">
      <c r="A37" s="3"/>
      <c r="B37" s="45">
        <f t="shared" si="1"/>
        <v>2</v>
      </c>
      <c r="C37" s="45" t="s">
        <v>106</v>
      </c>
      <c r="D37" s="45">
        <v>47.0</v>
      </c>
      <c r="E37" s="45"/>
      <c r="F37" s="11" t="s">
        <v>1234</v>
      </c>
      <c r="G37" s="11" t="s">
        <v>125</v>
      </c>
      <c r="H37" s="11" t="s">
        <v>772</v>
      </c>
      <c r="I37" s="11" t="s">
        <v>1441</v>
      </c>
      <c r="J37" s="11">
        <v>9.0</v>
      </c>
      <c r="K37" s="105">
        <f t="shared" si="2"/>
        <v>2</v>
      </c>
      <c r="L37" s="11">
        <v>17.0</v>
      </c>
      <c r="M37" s="11">
        <v>21.0</v>
      </c>
      <c r="N37" s="11">
        <v>18.0</v>
      </c>
      <c r="O37" s="11">
        <v>15.0</v>
      </c>
      <c r="P37" s="11">
        <v>14.0</v>
      </c>
      <c r="Q37" s="11">
        <v>27.0</v>
      </c>
      <c r="R37" s="11">
        <f t="shared" si="3"/>
        <v>18</v>
      </c>
      <c r="S37" s="45"/>
    </row>
    <row r="38" ht="14.25" customHeight="1">
      <c r="A38" s="106"/>
      <c r="B38" s="45">
        <f t="shared" si="1"/>
        <v>3</v>
      </c>
      <c r="C38" s="45" t="s">
        <v>106</v>
      </c>
      <c r="D38" s="45">
        <v>31.0</v>
      </c>
      <c r="E38" s="45"/>
      <c r="F38" s="11" t="s">
        <v>892</v>
      </c>
      <c r="G38" s="11" t="s">
        <v>75</v>
      </c>
      <c r="H38" s="11" t="s">
        <v>775</v>
      </c>
      <c r="I38" s="11" t="s">
        <v>1442</v>
      </c>
      <c r="J38" s="11">
        <v>9.0</v>
      </c>
      <c r="K38" s="105">
        <f t="shared" si="2"/>
        <v>3</v>
      </c>
      <c r="L38" s="11">
        <v>29.0</v>
      </c>
      <c r="M38" s="11">
        <v>33.0</v>
      </c>
      <c r="N38" s="11">
        <v>27.0</v>
      </c>
      <c r="O38" s="11">
        <v>42.0</v>
      </c>
      <c r="P38" s="11">
        <v>33.0</v>
      </c>
      <c r="Q38" s="11">
        <v>33.0</v>
      </c>
      <c r="R38" s="11">
        <f t="shared" si="3"/>
        <v>32</v>
      </c>
      <c r="S38" s="45"/>
    </row>
    <row r="39" ht="14.25" customHeight="1">
      <c r="A39" s="3"/>
      <c r="B39" s="45">
        <f t="shared" si="1"/>
        <v>7</v>
      </c>
      <c r="C39" s="45" t="s">
        <v>106</v>
      </c>
      <c r="D39" s="45">
        <v>4.0</v>
      </c>
      <c r="E39" s="45"/>
      <c r="F39" s="11" t="s">
        <v>1443</v>
      </c>
      <c r="G39" s="11" t="s">
        <v>131</v>
      </c>
      <c r="H39" s="11" t="s">
        <v>770</v>
      </c>
      <c r="I39" s="11" t="s">
        <v>1444</v>
      </c>
      <c r="J39" s="11">
        <v>9.0</v>
      </c>
      <c r="K39" s="105">
        <f t="shared" si="2"/>
        <v>6</v>
      </c>
      <c r="L39" s="11">
        <v>71.0</v>
      </c>
      <c r="M39" s="11">
        <v>62.0</v>
      </c>
      <c r="N39" s="11">
        <v>78.0</v>
      </c>
      <c r="O39" s="11">
        <v>105.0</v>
      </c>
      <c r="P39" s="11">
        <v>87.0</v>
      </c>
      <c r="Q39" s="11">
        <v>79.0</v>
      </c>
      <c r="R39" s="11">
        <f t="shared" si="3"/>
        <v>80</v>
      </c>
      <c r="S39" s="45"/>
    </row>
    <row r="40" ht="14.25" customHeight="1">
      <c r="A40" s="3"/>
      <c r="B40" s="45">
        <f t="shared" si="1"/>
        <v>2</v>
      </c>
      <c r="C40" s="45" t="s">
        <v>106</v>
      </c>
      <c r="D40" s="45">
        <v>55.0</v>
      </c>
      <c r="E40" s="45" t="s">
        <v>106</v>
      </c>
      <c r="F40" s="11" t="s">
        <v>153</v>
      </c>
      <c r="G40" s="11" t="s">
        <v>98</v>
      </c>
      <c r="H40" s="11" t="s">
        <v>772</v>
      </c>
      <c r="I40" s="11" t="s">
        <v>1445</v>
      </c>
      <c r="J40" s="11">
        <v>10.0</v>
      </c>
      <c r="K40" s="105">
        <f t="shared" si="2"/>
        <v>2</v>
      </c>
      <c r="L40" s="11">
        <v>20.0</v>
      </c>
      <c r="M40" s="11">
        <v>12.0</v>
      </c>
      <c r="N40" s="11">
        <v>19.0</v>
      </c>
      <c r="O40" s="11">
        <v>13.0</v>
      </c>
      <c r="P40" s="11">
        <v>20.0</v>
      </c>
      <c r="Q40" s="11">
        <v>19.0</v>
      </c>
      <c r="R40" s="11">
        <f t="shared" si="3"/>
        <v>17</v>
      </c>
      <c r="S40" s="45"/>
    </row>
    <row r="41" ht="14.25" customHeight="1">
      <c r="A41" s="3" t="s">
        <v>1156</v>
      </c>
      <c r="B41" s="45">
        <f t="shared" si="1"/>
        <v>3</v>
      </c>
      <c r="C41" s="45" t="s">
        <v>106</v>
      </c>
      <c r="D41" s="45">
        <v>27.0</v>
      </c>
      <c r="E41" s="45" t="s">
        <v>106</v>
      </c>
      <c r="F41" s="11" t="s">
        <v>796</v>
      </c>
      <c r="G41" s="11" t="s">
        <v>71</v>
      </c>
      <c r="H41" s="11" t="s">
        <v>775</v>
      </c>
      <c r="I41" s="11" t="s">
        <v>1442</v>
      </c>
      <c r="J41" s="11">
        <v>10.0</v>
      </c>
      <c r="K41" s="105">
        <f t="shared" si="2"/>
        <v>4</v>
      </c>
      <c r="L41" s="11">
        <v>36.0</v>
      </c>
      <c r="M41" s="11">
        <v>35.0</v>
      </c>
      <c r="N41" s="11">
        <v>28.0</v>
      </c>
      <c r="O41" s="11">
        <v>32.0</v>
      </c>
      <c r="P41" s="11">
        <v>30.0</v>
      </c>
      <c r="Q41" s="11">
        <v>26.0</v>
      </c>
      <c r="R41" s="11">
        <f t="shared" si="3"/>
        <v>31</v>
      </c>
      <c r="S41" s="45"/>
    </row>
    <row r="42" ht="14.25" customHeight="1">
      <c r="A42" s="3"/>
      <c r="B42" s="45">
        <f t="shared" si="1"/>
        <v>7</v>
      </c>
      <c r="C42" s="45" t="s">
        <v>106</v>
      </c>
      <c r="D42" s="45">
        <v>3.0</v>
      </c>
      <c r="E42" s="45"/>
      <c r="F42" s="11" t="s">
        <v>1185</v>
      </c>
      <c r="G42" s="11" t="s">
        <v>40</v>
      </c>
      <c r="H42" s="11" t="s">
        <v>770</v>
      </c>
      <c r="I42" s="11" t="s">
        <v>1444</v>
      </c>
      <c r="J42" s="11">
        <v>10.0</v>
      </c>
      <c r="K42" s="105">
        <f t="shared" si="2"/>
        <v>7</v>
      </c>
      <c r="L42" s="11">
        <v>74.0</v>
      </c>
      <c r="M42" s="11">
        <v>68.0</v>
      </c>
      <c r="N42" s="11">
        <v>84.0</v>
      </c>
      <c r="O42" s="11">
        <v>87.0</v>
      </c>
      <c r="P42" s="11">
        <v>74.0</v>
      </c>
      <c r="Q42" s="11">
        <v>78.0</v>
      </c>
      <c r="R42" s="11">
        <f t="shared" si="3"/>
        <v>77</v>
      </c>
      <c r="S42" s="45"/>
    </row>
    <row r="43" ht="14.25" customHeight="1">
      <c r="A43" s="3"/>
      <c r="B43" s="45">
        <f t="shared" si="1"/>
        <v>2</v>
      </c>
      <c r="C43" s="45" t="s">
        <v>106</v>
      </c>
      <c r="D43" s="45">
        <v>53.0</v>
      </c>
      <c r="E43" s="45"/>
      <c r="F43" s="11" t="s">
        <v>789</v>
      </c>
      <c r="G43" s="11" t="s">
        <v>45</v>
      </c>
      <c r="H43" s="11" t="s">
        <v>772</v>
      </c>
      <c r="I43" s="11" t="s">
        <v>1445</v>
      </c>
      <c r="J43" s="11">
        <v>11.0</v>
      </c>
      <c r="K43" s="105">
        <f t="shared" si="2"/>
        <v>1</v>
      </c>
      <c r="L43" s="11">
        <v>9.0</v>
      </c>
      <c r="M43" s="11">
        <v>13.0</v>
      </c>
      <c r="N43" s="11">
        <v>25.0</v>
      </c>
      <c r="O43" s="11">
        <v>11.0</v>
      </c>
      <c r="P43" s="11">
        <v>9.0</v>
      </c>
      <c r="Q43" s="11">
        <v>17.0</v>
      </c>
      <c r="R43" s="11">
        <f t="shared" si="3"/>
        <v>14</v>
      </c>
      <c r="S43" s="45"/>
    </row>
    <row r="44" ht="14.25" customHeight="1">
      <c r="A44" s="3"/>
      <c r="B44" s="45">
        <f t="shared" si="1"/>
        <v>5</v>
      </c>
      <c r="C44" s="45" t="s">
        <v>106</v>
      </c>
      <c r="D44" s="45">
        <v>21.0</v>
      </c>
      <c r="E44" s="45" t="s">
        <v>106</v>
      </c>
      <c r="F44" s="11" t="s">
        <v>1201</v>
      </c>
      <c r="G44" s="11" t="s">
        <v>49</v>
      </c>
      <c r="H44" s="11" t="s">
        <v>775</v>
      </c>
      <c r="I44" s="11" t="s">
        <v>1442</v>
      </c>
      <c r="J44" s="11">
        <v>11.0</v>
      </c>
      <c r="K44" s="105">
        <f t="shared" si="2"/>
        <v>6</v>
      </c>
      <c r="L44" s="11">
        <v>64.0</v>
      </c>
      <c r="M44" s="11">
        <v>49.0</v>
      </c>
      <c r="N44" s="11">
        <v>47.0</v>
      </c>
      <c r="O44" s="11">
        <v>46.0</v>
      </c>
      <c r="P44" s="11">
        <v>38.0</v>
      </c>
      <c r="Q44" s="11">
        <v>53.0</v>
      </c>
      <c r="R44" s="11">
        <f t="shared" si="3"/>
        <v>49</v>
      </c>
      <c r="S44" s="45"/>
    </row>
    <row r="45" ht="14.25" customHeight="1">
      <c r="A45" s="3" t="s">
        <v>1156</v>
      </c>
      <c r="B45" s="45">
        <f t="shared" si="1"/>
        <v>10</v>
      </c>
      <c r="C45" s="45" t="s">
        <v>106</v>
      </c>
      <c r="D45" s="45">
        <v>2.0</v>
      </c>
      <c r="E45" s="45"/>
      <c r="F45" s="11" t="s">
        <v>310</v>
      </c>
      <c r="G45" s="11" t="s">
        <v>35</v>
      </c>
      <c r="H45" s="11" t="s">
        <v>770</v>
      </c>
      <c r="I45" s="11" t="s">
        <v>1444</v>
      </c>
      <c r="J45" s="11">
        <v>11.0</v>
      </c>
      <c r="K45" s="105">
        <f t="shared" si="2"/>
        <v>9</v>
      </c>
      <c r="L45" s="11">
        <v>102.0</v>
      </c>
      <c r="M45" s="11">
        <v>113.0</v>
      </c>
      <c r="N45" s="11">
        <v>115.0</v>
      </c>
      <c r="O45" s="11">
        <v>111.0</v>
      </c>
      <c r="P45" s="11">
        <v>108.0</v>
      </c>
      <c r="Q45" s="11">
        <v>136.0</v>
      </c>
      <c r="R45" s="11">
        <f t="shared" si="3"/>
        <v>114</v>
      </c>
      <c r="S45" s="45" t="s">
        <v>1440</v>
      </c>
    </row>
    <row r="46" ht="14.25" customHeight="1">
      <c r="A46" s="3"/>
      <c r="B46" s="45">
        <f t="shared" si="1"/>
        <v>2</v>
      </c>
      <c r="C46" s="45" t="s">
        <v>106</v>
      </c>
      <c r="D46" s="45">
        <v>50.0</v>
      </c>
      <c r="E46" s="45"/>
      <c r="F46" s="11" t="s">
        <v>969</v>
      </c>
      <c r="G46" s="11" t="s">
        <v>85</v>
      </c>
      <c r="H46" s="11" t="s">
        <v>772</v>
      </c>
      <c r="I46" s="11" t="s">
        <v>1441</v>
      </c>
      <c r="J46" s="11">
        <v>12.0</v>
      </c>
      <c r="K46" s="105">
        <f t="shared" si="2"/>
        <v>2</v>
      </c>
      <c r="L46" s="11">
        <v>19.0</v>
      </c>
      <c r="M46" s="11">
        <v>16.0</v>
      </c>
      <c r="N46" s="11">
        <v>15.0</v>
      </c>
      <c r="O46" s="11">
        <v>10.0</v>
      </c>
      <c r="P46" s="11">
        <v>13.0</v>
      </c>
      <c r="Q46" s="11">
        <v>22.0</v>
      </c>
      <c r="R46" s="11">
        <f t="shared" si="3"/>
        <v>15</v>
      </c>
      <c r="S46" s="45"/>
    </row>
    <row r="47" ht="14.25" customHeight="1">
      <c r="A47" s="3"/>
      <c r="B47" s="45">
        <f t="shared" si="1"/>
        <v>2</v>
      </c>
      <c r="C47" s="45" t="s">
        <v>106</v>
      </c>
      <c r="D47" s="45">
        <v>41.0</v>
      </c>
      <c r="E47" s="45"/>
      <c r="F47" s="11" t="s">
        <v>869</v>
      </c>
      <c r="G47" s="11" t="s">
        <v>125</v>
      </c>
      <c r="H47" s="11" t="s">
        <v>775</v>
      </c>
      <c r="I47" s="11" t="s">
        <v>1442</v>
      </c>
      <c r="J47" s="11">
        <v>12.0</v>
      </c>
      <c r="K47" s="105">
        <f t="shared" si="2"/>
        <v>2</v>
      </c>
      <c r="L47" s="11">
        <v>15.0</v>
      </c>
      <c r="M47" s="11">
        <v>22.0</v>
      </c>
      <c r="N47" s="11">
        <v>9.0</v>
      </c>
      <c r="O47" s="11">
        <v>21.0</v>
      </c>
      <c r="P47" s="11">
        <v>18.0</v>
      </c>
      <c r="Q47" s="11">
        <v>8.0</v>
      </c>
      <c r="R47" s="11">
        <f t="shared" si="3"/>
        <v>15</v>
      </c>
      <c r="S47" s="45"/>
    </row>
    <row r="48" ht="14.25" customHeight="1">
      <c r="A48" s="3"/>
      <c r="B48" s="45">
        <f t="shared" si="1"/>
        <v>7</v>
      </c>
      <c r="C48" s="45" t="s">
        <v>106</v>
      </c>
      <c r="D48" s="45">
        <v>4.0</v>
      </c>
      <c r="E48" s="45"/>
      <c r="F48" s="11" t="s">
        <v>1160</v>
      </c>
      <c r="G48" s="11" t="s">
        <v>162</v>
      </c>
      <c r="H48" s="11" t="s">
        <v>770</v>
      </c>
      <c r="I48" s="11" t="s">
        <v>1444</v>
      </c>
      <c r="J48" s="11">
        <v>12.0</v>
      </c>
      <c r="K48" s="105">
        <f t="shared" si="2"/>
        <v>7</v>
      </c>
      <c r="L48" s="11">
        <v>81.0</v>
      </c>
      <c r="M48" s="11">
        <v>59.0</v>
      </c>
      <c r="N48" s="11">
        <v>66.0</v>
      </c>
      <c r="O48" s="11">
        <v>103.0</v>
      </c>
      <c r="P48" s="11">
        <v>93.0</v>
      </c>
      <c r="Q48" s="11">
        <v>69.0</v>
      </c>
      <c r="R48" s="11">
        <f t="shared" si="3"/>
        <v>78</v>
      </c>
      <c r="S48" s="45"/>
    </row>
    <row r="49" ht="14.25" customHeight="1">
      <c r="A49" s="3"/>
      <c r="B49" s="45">
        <f t="shared" si="1"/>
        <v>2</v>
      </c>
      <c r="C49" s="45" t="s">
        <v>106</v>
      </c>
      <c r="D49" s="45">
        <v>53.0</v>
      </c>
      <c r="E49" s="45"/>
      <c r="F49" s="11" t="s">
        <v>848</v>
      </c>
      <c r="G49" s="11" t="s">
        <v>105</v>
      </c>
      <c r="H49" s="11" t="s">
        <v>772</v>
      </c>
      <c r="I49" s="11" t="s">
        <v>1452</v>
      </c>
      <c r="J49" s="11">
        <v>13.0</v>
      </c>
      <c r="K49" s="105">
        <f t="shared" si="2"/>
        <v>2</v>
      </c>
      <c r="L49" s="11">
        <v>23.0</v>
      </c>
      <c r="M49" s="11">
        <v>18.0</v>
      </c>
      <c r="N49" s="11">
        <v>21.0</v>
      </c>
      <c r="O49" s="11">
        <v>18.0</v>
      </c>
      <c r="P49" s="11">
        <v>21.0</v>
      </c>
      <c r="Q49" s="11">
        <v>18.0</v>
      </c>
      <c r="R49" s="11">
        <f t="shared" si="3"/>
        <v>19</v>
      </c>
      <c r="S49" s="45"/>
    </row>
    <row r="50" ht="14.25" customHeight="1">
      <c r="A50" s="3"/>
      <c r="B50" s="45">
        <f t="shared" si="1"/>
        <v>4</v>
      </c>
      <c r="C50" s="45" t="s">
        <v>106</v>
      </c>
      <c r="D50" s="45">
        <v>25.0</v>
      </c>
      <c r="E50" s="45"/>
      <c r="F50" s="11" t="s">
        <v>458</v>
      </c>
      <c r="G50" s="11" t="s">
        <v>49</v>
      </c>
      <c r="H50" s="11" t="s">
        <v>775</v>
      </c>
      <c r="I50" s="11" t="s">
        <v>1442</v>
      </c>
      <c r="J50" s="11">
        <v>13.0</v>
      </c>
      <c r="K50" s="105">
        <f t="shared" si="2"/>
        <v>4</v>
      </c>
      <c r="L50" s="11">
        <v>45.0</v>
      </c>
      <c r="M50" s="11">
        <v>28.0</v>
      </c>
      <c r="N50" s="11">
        <v>46.0</v>
      </c>
      <c r="O50" s="11">
        <v>45.0</v>
      </c>
      <c r="P50" s="11">
        <v>34.0</v>
      </c>
      <c r="Q50" s="11">
        <v>28.0</v>
      </c>
      <c r="R50" s="11">
        <f t="shared" si="3"/>
        <v>37</v>
      </c>
      <c r="S50" s="45"/>
    </row>
    <row r="51" ht="14.25" customHeight="1">
      <c r="A51" s="3"/>
      <c r="B51" s="45">
        <f t="shared" si="1"/>
        <v>8</v>
      </c>
      <c r="C51" s="45" t="s">
        <v>106</v>
      </c>
      <c r="D51" s="45"/>
      <c r="E51" s="45"/>
      <c r="F51" s="11" t="s">
        <v>550</v>
      </c>
      <c r="G51" s="11" t="s">
        <v>154</v>
      </c>
      <c r="H51" s="11" t="s">
        <v>770</v>
      </c>
      <c r="I51" s="11"/>
      <c r="J51" s="11">
        <v>13.0</v>
      </c>
      <c r="K51" s="105">
        <f t="shared" si="2"/>
        <v>9</v>
      </c>
      <c r="L51" s="11">
        <v>96.0</v>
      </c>
      <c r="M51" s="11">
        <v>78.0</v>
      </c>
      <c r="N51" s="11">
        <v>96.0</v>
      </c>
      <c r="O51" s="11">
        <v>114.0</v>
      </c>
      <c r="P51" s="11">
        <v>106.0</v>
      </c>
      <c r="Q51" s="11">
        <v>71.0</v>
      </c>
      <c r="R51" s="11">
        <f t="shared" si="3"/>
        <v>93</v>
      </c>
      <c r="S51" s="45"/>
    </row>
    <row r="52" ht="14.25" customHeight="1">
      <c r="A52" s="3"/>
      <c r="B52" s="45">
        <f t="shared" si="1"/>
        <v>2</v>
      </c>
      <c r="C52" s="45" t="s">
        <v>106</v>
      </c>
      <c r="D52" s="45">
        <v>55.0</v>
      </c>
      <c r="E52" s="45"/>
      <c r="F52" s="11" t="s">
        <v>350</v>
      </c>
      <c r="G52" s="11" t="s">
        <v>154</v>
      </c>
      <c r="H52" s="11" t="s">
        <v>772</v>
      </c>
      <c r="I52" s="11" t="s">
        <v>1452</v>
      </c>
      <c r="J52" s="11">
        <v>14.0</v>
      </c>
      <c r="K52" s="105">
        <f t="shared" si="2"/>
        <v>2</v>
      </c>
      <c r="L52" s="11">
        <v>21.0</v>
      </c>
      <c r="M52" s="11">
        <v>20.0</v>
      </c>
      <c r="N52" s="11">
        <v>17.0</v>
      </c>
      <c r="O52" s="11">
        <v>19.0</v>
      </c>
      <c r="P52" s="11">
        <v>19.0</v>
      </c>
      <c r="Q52" s="11">
        <v>16.0</v>
      </c>
      <c r="R52" s="11">
        <f t="shared" si="3"/>
        <v>18</v>
      </c>
      <c r="S52" s="45"/>
    </row>
    <row r="53" ht="14.25" customHeight="1">
      <c r="A53" s="3"/>
      <c r="B53" s="45">
        <f t="shared" si="1"/>
        <v>4</v>
      </c>
      <c r="C53" s="45" t="s">
        <v>106</v>
      </c>
      <c r="D53" s="45">
        <v>30.0</v>
      </c>
      <c r="E53" s="45"/>
      <c r="F53" s="11" t="s">
        <v>714</v>
      </c>
      <c r="G53" s="11" t="s">
        <v>195</v>
      </c>
      <c r="H53" s="11" t="s">
        <v>775</v>
      </c>
      <c r="I53" s="11" t="s">
        <v>1455</v>
      </c>
      <c r="J53" s="11">
        <v>14.0</v>
      </c>
      <c r="K53" s="105">
        <f t="shared" si="2"/>
        <v>3</v>
      </c>
      <c r="L53" s="11">
        <v>26.0</v>
      </c>
      <c r="M53" s="11">
        <v>46.0</v>
      </c>
      <c r="N53" s="11">
        <v>32.0</v>
      </c>
      <c r="O53" s="11">
        <v>41.0</v>
      </c>
      <c r="P53" s="11">
        <v>29.0</v>
      </c>
      <c r="Q53" s="11">
        <v>44.0</v>
      </c>
      <c r="R53" s="11">
        <f t="shared" si="3"/>
        <v>36</v>
      </c>
      <c r="S53" s="45"/>
    </row>
    <row r="54" ht="14.25" customHeight="1">
      <c r="A54" s="3"/>
      <c r="B54" s="45">
        <f t="shared" si="1"/>
        <v>11</v>
      </c>
      <c r="C54" s="45" t="s">
        <v>106</v>
      </c>
      <c r="D54" s="45"/>
      <c r="E54" s="45"/>
      <c r="F54" s="11" t="s">
        <v>1456</v>
      </c>
      <c r="G54" s="11" t="s">
        <v>116</v>
      </c>
      <c r="H54" s="11" t="s">
        <v>770</v>
      </c>
      <c r="I54" s="11"/>
      <c r="J54" s="11">
        <v>14.0</v>
      </c>
      <c r="K54" s="105">
        <f t="shared" si="2"/>
        <v>11</v>
      </c>
      <c r="L54" s="11">
        <v>121.0</v>
      </c>
      <c r="M54" s="11">
        <v>111.0</v>
      </c>
      <c r="N54" s="11">
        <v>127.0</v>
      </c>
      <c r="O54" s="11">
        <v>130.0</v>
      </c>
      <c r="P54" s="11">
        <v>146.0</v>
      </c>
      <c r="Q54" s="11">
        <v>135.0</v>
      </c>
      <c r="R54" s="11">
        <f t="shared" si="3"/>
        <v>128</v>
      </c>
      <c r="S54" s="45"/>
    </row>
    <row r="55" ht="14.25" customHeight="1">
      <c r="A55" s="3"/>
      <c r="B55" s="45">
        <f t="shared" si="1"/>
        <v>4</v>
      </c>
      <c r="C55" s="45" t="s">
        <v>106</v>
      </c>
      <c r="D55" s="45">
        <v>32.0</v>
      </c>
      <c r="E55" s="45"/>
      <c r="F55" s="11" t="s">
        <v>1337</v>
      </c>
      <c r="G55" s="11" t="s">
        <v>52</v>
      </c>
      <c r="H55" s="11" t="s">
        <v>772</v>
      </c>
      <c r="I55" s="11" t="s">
        <v>1457</v>
      </c>
      <c r="J55" s="11">
        <v>15.0</v>
      </c>
      <c r="K55" s="105">
        <f t="shared" si="2"/>
        <v>3</v>
      </c>
      <c r="L55" s="11">
        <v>33.0</v>
      </c>
      <c r="M55" s="11">
        <v>32.0</v>
      </c>
      <c r="N55" s="11">
        <v>35.0</v>
      </c>
      <c r="O55" s="11">
        <v>36.0</v>
      </c>
      <c r="P55" s="11">
        <v>52.0</v>
      </c>
      <c r="Q55" s="11">
        <v>30.0</v>
      </c>
      <c r="R55" s="11">
        <f t="shared" si="3"/>
        <v>36</v>
      </c>
      <c r="S55" s="45"/>
    </row>
    <row r="56" ht="14.25" customHeight="1">
      <c r="A56" s="3" t="s">
        <v>1156</v>
      </c>
      <c r="B56" s="45">
        <f t="shared" si="1"/>
        <v>4</v>
      </c>
      <c r="C56" s="45" t="s">
        <v>106</v>
      </c>
      <c r="D56" s="45">
        <v>25.0</v>
      </c>
      <c r="E56" s="45"/>
      <c r="F56" s="11" t="s">
        <v>444</v>
      </c>
      <c r="G56" s="11" t="s">
        <v>40</v>
      </c>
      <c r="H56" s="11" t="s">
        <v>775</v>
      </c>
      <c r="I56" s="11" t="s">
        <v>1458</v>
      </c>
      <c r="J56" s="11">
        <v>15.0</v>
      </c>
      <c r="K56" s="105">
        <f t="shared" si="2"/>
        <v>4</v>
      </c>
      <c r="L56" s="11">
        <v>47.0</v>
      </c>
      <c r="M56" s="11">
        <v>43.0</v>
      </c>
      <c r="N56" s="11">
        <v>44.0</v>
      </c>
      <c r="O56" s="11">
        <v>43.0</v>
      </c>
      <c r="P56" s="11">
        <v>35.0</v>
      </c>
      <c r="Q56" s="11">
        <v>45.0</v>
      </c>
      <c r="R56" s="11">
        <f t="shared" si="3"/>
        <v>42</v>
      </c>
      <c r="S56" s="45"/>
    </row>
    <row r="57" ht="14.25" customHeight="1">
      <c r="A57" s="3"/>
      <c r="B57" s="45">
        <f t="shared" si="1"/>
        <v>12</v>
      </c>
      <c r="C57" s="45" t="s">
        <v>106</v>
      </c>
      <c r="D57" s="45"/>
      <c r="E57" s="45"/>
      <c r="F57" s="11" t="s">
        <v>212</v>
      </c>
      <c r="G57" s="11" t="s">
        <v>45</v>
      </c>
      <c r="H57" s="11" t="s">
        <v>770</v>
      </c>
      <c r="I57" s="11"/>
      <c r="J57" s="11">
        <v>15.0</v>
      </c>
      <c r="K57" s="105">
        <f t="shared" si="2"/>
        <v>11</v>
      </c>
      <c r="L57" s="11">
        <v>123.0</v>
      </c>
      <c r="M57" s="11">
        <v>131.0</v>
      </c>
      <c r="N57" s="11">
        <v>145.0</v>
      </c>
      <c r="O57" s="11">
        <v>143.0</v>
      </c>
      <c r="P57" s="11">
        <v>154.0</v>
      </c>
      <c r="Q57" s="11">
        <v>144.0</v>
      </c>
      <c r="R57" s="11">
        <f t="shared" si="3"/>
        <v>140</v>
      </c>
      <c r="S57" s="45"/>
    </row>
    <row r="58" ht="14.25" customHeight="1">
      <c r="A58" s="3"/>
      <c r="B58" s="45">
        <f t="shared" si="1"/>
        <v>3</v>
      </c>
      <c r="C58" s="45" t="s">
        <v>106</v>
      </c>
      <c r="D58" s="45">
        <v>6.0</v>
      </c>
      <c r="E58" s="45"/>
      <c r="F58" s="11" t="s">
        <v>1311</v>
      </c>
      <c r="G58" s="11" t="s">
        <v>206</v>
      </c>
      <c r="H58" s="11" t="s">
        <v>772</v>
      </c>
      <c r="I58" s="11" t="s">
        <v>1457</v>
      </c>
      <c r="J58" s="11">
        <v>16.0</v>
      </c>
      <c r="K58" s="105">
        <f t="shared" si="2"/>
        <v>4</v>
      </c>
      <c r="L58" s="11">
        <v>40.0</v>
      </c>
      <c r="M58" s="11">
        <v>37.0</v>
      </c>
      <c r="N58" s="11">
        <v>33.0</v>
      </c>
      <c r="O58" s="11">
        <v>29.0</v>
      </c>
      <c r="P58" s="11">
        <v>39.0</v>
      </c>
      <c r="Q58" s="11">
        <v>24.0</v>
      </c>
      <c r="R58" s="11">
        <f t="shared" si="3"/>
        <v>33</v>
      </c>
      <c r="S58" s="45"/>
    </row>
    <row r="59" ht="14.25" customHeight="1">
      <c r="A59" s="3" t="s">
        <v>1156</v>
      </c>
      <c r="B59" s="45">
        <f t="shared" si="1"/>
        <v>3</v>
      </c>
      <c r="C59" s="45" t="s">
        <v>106</v>
      </c>
      <c r="D59" s="45">
        <v>27.0</v>
      </c>
      <c r="E59" s="45"/>
      <c r="F59" s="11" t="s">
        <v>1305</v>
      </c>
      <c r="G59" s="11" t="s">
        <v>171</v>
      </c>
      <c r="H59" s="11" t="s">
        <v>775</v>
      </c>
      <c r="I59" s="11" t="s">
        <v>1458</v>
      </c>
      <c r="J59" s="11">
        <v>16.0</v>
      </c>
      <c r="K59" s="105">
        <f t="shared" si="2"/>
        <v>3</v>
      </c>
      <c r="L59" s="11">
        <v>28.0</v>
      </c>
      <c r="M59" s="11">
        <v>50.0</v>
      </c>
      <c r="N59" s="11">
        <v>34.0</v>
      </c>
      <c r="O59" s="11">
        <v>33.0</v>
      </c>
      <c r="P59" s="11">
        <v>27.0</v>
      </c>
      <c r="Q59" s="11">
        <v>32.0</v>
      </c>
      <c r="R59" s="11">
        <f t="shared" si="3"/>
        <v>34</v>
      </c>
      <c r="S59" s="45"/>
    </row>
    <row r="60" ht="14.25" customHeight="1">
      <c r="A60" s="3"/>
      <c r="B60" s="45">
        <f t="shared" si="1"/>
        <v>12</v>
      </c>
      <c r="C60" s="45" t="s">
        <v>106</v>
      </c>
      <c r="D60" s="45"/>
      <c r="E60" s="45"/>
      <c r="F60" s="11" t="s">
        <v>369</v>
      </c>
      <c r="G60" s="11" t="s">
        <v>195</v>
      </c>
      <c r="H60" s="11" t="s">
        <v>770</v>
      </c>
      <c r="I60" s="11"/>
      <c r="J60" s="11">
        <v>16.0</v>
      </c>
      <c r="K60" s="105">
        <f t="shared" si="2"/>
        <v>12</v>
      </c>
      <c r="L60" s="11">
        <v>137.0</v>
      </c>
      <c r="M60" s="11">
        <v>129.0</v>
      </c>
      <c r="N60" s="11">
        <v>166.0</v>
      </c>
      <c r="O60" s="11">
        <v>137.0</v>
      </c>
      <c r="P60" s="11">
        <v>135.0</v>
      </c>
      <c r="Q60" s="11">
        <v>147.0</v>
      </c>
      <c r="R60" s="11">
        <f t="shared" si="3"/>
        <v>141</v>
      </c>
      <c r="S60" s="45"/>
    </row>
    <row r="61" ht="14.25" customHeight="1">
      <c r="A61" s="3" t="s">
        <v>1156</v>
      </c>
      <c r="B61" s="45">
        <f t="shared" si="1"/>
        <v>5</v>
      </c>
      <c r="C61" s="45" t="s">
        <v>106</v>
      </c>
      <c r="D61" s="45">
        <v>12.0</v>
      </c>
      <c r="E61" s="45" t="s">
        <v>95</v>
      </c>
      <c r="F61" s="11" t="s">
        <v>1215</v>
      </c>
      <c r="G61" s="11" t="s">
        <v>109</v>
      </c>
      <c r="H61" s="11" t="s">
        <v>772</v>
      </c>
      <c r="I61" s="11" t="s">
        <v>1457</v>
      </c>
      <c r="J61" s="11">
        <v>17.0</v>
      </c>
      <c r="K61" s="105">
        <f t="shared" si="2"/>
        <v>4</v>
      </c>
      <c r="L61" s="11">
        <v>41.0</v>
      </c>
      <c r="M61" s="11">
        <v>48.0</v>
      </c>
      <c r="N61" s="11">
        <v>65.0</v>
      </c>
      <c r="O61" s="11">
        <v>58.0</v>
      </c>
      <c r="P61" s="11">
        <v>63.0</v>
      </c>
      <c r="Q61" s="11">
        <v>48.0</v>
      </c>
      <c r="R61" s="11">
        <f t="shared" si="3"/>
        <v>53</v>
      </c>
      <c r="S61" s="45"/>
    </row>
    <row r="62" ht="14.25" customHeight="1">
      <c r="A62" s="3"/>
      <c r="B62" s="45">
        <f t="shared" si="1"/>
        <v>3</v>
      </c>
      <c r="C62" s="45" t="s">
        <v>106</v>
      </c>
      <c r="D62" s="45">
        <v>30.0</v>
      </c>
      <c r="E62" s="45"/>
      <c r="F62" s="11" t="s">
        <v>187</v>
      </c>
      <c r="G62" s="11" t="s">
        <v>165</v>
      </c>
      <c r="H62" s="11" t="s">
        <v>775</v>
      </c>
      <c r="I62" s="11" t="s">
        <v>1458</v>
      </c>
      <c r="J62" s="11">
        <v>17.0</v>
      </c>
      <c r="K62" s="105">
        <f t="shared" si="2"/>
        <v>4</v>
      </c>
      <c r="L62" s="11">
        <v>39.0</v>
      </c>
      <c r="M62" s="11">
        <v>42.0</v>
      </c>
      <c r="N62" s="11">
        <v>29.0</v>
      </c>
      <c r="O62" s="11">
        <v>37.0</v>
      </c>
      <c r="P62" s="11">
        <v>28.0</v>
      </c>
      <c r="Q62" s="11">
        <v>37.0</v>
      </c>
      <c r="R62" s="11">
        <f t="shared" si="3"/>
        <v>35</v>
      </c>
      <c r="S62" s="45"/>
    </row>
    <row r="63" ht="14.25" customHeight="1">
      <c r="A63" s="3"/>
      <c r="B63" s="45">
        <f t="shared" si="1"/>
        <v>13</v>
      </c>
      <c r="C63" s="45" t="s">
        <v>106</v>
      </c>
      <c r="D63" s="45"/>
      <c r="E63" s="45" t="s">
        <v>106</v>
      </c>
      <c r="F63" s="11" t="s">
        <v>1187</v>
      </c>
      <c r="G63" s="11" t="s">
        <v>231</v>
      </c>
      <c r="H63" s="11" t="s">
        <v>770</v>
      </c>
      <c r="I63" s="11" t="s">
        <v>1461</v>
      </c>
      <c r="J63" s="11">
        <v>17.0</v>
      </c>
      <c r="K63" s="105">
        <f t="shared" si="2"/>
        <v>14</v>
      </c>
      <c r="L63" s="11">
        <v>157.0</v>
      </c>
      <c r="M63" s="11">
        <v>141.0</v>
      </c>
      <c r="N63" s="11">
        <v>158.0</v>
      </c>
      <c r="O63" s="11">
        <v>148.0</v>
      </c>
      <c r="P63" s="11">
        <v>156.0</v>
      </c>
      <c r="Q63" s="11">
        <v>167.0</v>
      </c>
      <c r="R63" s="11">
        <f t="shared" si="3"/>
        <v>154</v>
      </c>
      <c r="S63" s="45" t="s">
        <v>1462</v>
      </c>
    </row>
    <row r="64" ht="14.25" customHeight="1">
      <c r="A64" s="3"/>
      <c r="B64" s="45">
        <f t="shared" si="1"/>
        <v>5</v>
      </c>
      <c r="C64" s="45" t="s">
        <v>106</v>
      </c>
      <c r="D64" s="45">
        <v>27.0</v>
      </c>
      <c r="E64" s="45"/>
      <c r="F64" s="11" t="s">
        <v>1433</v>
      </c>
      <c r="G64" s="11" t="s">
        <v>119</v>
      </c>
      <c r="H64" s="11" t="s">
        <v>772</v>
      </c>
      <c r="I64" s="11" t="s">
        <v>1464</v>
      </c>
      <c r="J64" s="11">
        <v>18.0</v>
      </c>
      <c r="K64" s="105">
        <f t="shared" si="2"/>
        <v>5</v>
      </c>
      <c r="L64" s="11">
        <v>59.0</v>
      </c>
      <c r="M64" s="11">
        <v>41.0</v>
      </c>
      <c r="N64" s="11">
        <v>42.0</v>
      </c>
      <c r="O64" s="11">
        <v>40.0</v>
      </c>
      <c r="P64" s="11">
        <v>57.0</v>
      </c>
      <c r="Q64" s="11">
        <v>55.0</v>
      </c>
      <c r="R64" s="11">
        <f t="shared" si="3"/>
        <v>49</v>
      </c>
      <c r="S64" s="45"/>
    </row>
    <row r="65" ht="14.25" customHeight="1">
      <c r="A65" s="3"/>
      <c r="B65" s="45">
        <f t="shared" si="1"/>
        <v>4</v>
      </c>
      <c r="C65" s="45" t="s">
        <v>106</v>
      </c>
      <c r="D65" s="45">
        <v>25.0</v>
      </c>
      <c r="E65" s="45"/>
      <c r="F65" s="11" t="s">
        <v>113</v>
      </c>
      <c r="G65" s="11" t="s">
        <v>231</v>
      </c>
      <c r="H65" s="11" t="s">
        <v>775</v>
      </c>
      <c r="I65" s="11" t="s">
        <v>1455</v>
      </c>
      <c r="J65" s="11">
        <v>18.0</v>
      </c>
      <c r="K65" s="105">
        <f t="shared" si="2"/>
        <v>4</v>
      </c>
      <c r="L65" s="11">
        <v>38.0</v>
      </c>
      <c r="M65" s="11">
        <v>52.0</v>
      </c>
      <c r="N65" s="11">
        <v>41.0</v>
      </c>
      <c r="O65" s="11">
        <v>44.0</v>
      </c>
      <c r="P65" s="11">
        <v>36.0</v>
      </c>
      <c r="Q65" s="11">
        <v>58.0</v>
      </c>
      <c r="R65" s="11">
        <f t="shared" si="3"/>
        <v>44</v>
      </c>
      <c r="S65" s="45"/>
    </row>
    <row r="66" ht="14.25" customHeight="1">
      <c r="A66" s="3"/>
      <c r="B66" s="45">
        <f t="shared" si="1"/>
        <v>13</v>
      </c>
      <c r="C66" s="45" t="s">
        <v>106</v>
      </c>
      <c r="D66" s="45"/>
      <c r="E66" s="45"/>
      <c r="F66" s="11" t="s">
        <v>346</v>
      </c>
      <c r="G66" s="11" t="s">
        <v>49</v>
      </c>
      <c r="H66" s="11" t="s">
        <v>770</v>
      </c>
      <c r="I66" s="11" t="s">
        <v>1461</v>
      </c>
      <c r="J66" s="11">
        <v>18.0</v>
      </c>
      <c r="K66" s="105">
        <f t="shared" si="2"/>
        <v>15</v>
      </c>
      <c r="L66" s="11">
        <v>172.0</v>
      </c>
      <c r="M66" s="11">
        <v>104.0</v>
      </c>
      <c r="N66" s="11">
        <v>159.0</v>
      </c>
      <c r="O66" s="11">
        <v>134.0</v>
      </c>
      <c r="P66" s="11">
        <v>142.0</v>
      </c>
      <c r="Q66" s="11">
        <v>171.0</v>
      </c>
      <c r="R66" s="11">
        <f t="shared" si="3"/>
        <v>147</v>
      </c>
      <c r="S66" s="45" t="s">
        <v>1462</v>
      </c>
    </row>
    <row r="67" ht="14.25" customHeight="1">
      <c r="A67" s="3"/>
      <c r="B67" s="45">
        <f t="shared" si="1"/>
        <v>4</v>
      </c>
      <c r="C67" s="45" t="s">
        <v>106</v>
      </c>
      <c r="D67" s="45">
        <v>29.0</v>
      </c>
      <c r="E67" s="45"/>
      <c r="F67" s="11" t="s">
        <v>1130</v>
      </c>
      <c r="G67" s="11" t="s">
        <v>237</v>
      </c>
      <c r="H67" s="11" t="s">
        <v>775</v>
      </c>
      <c r="I67" s="11" t="s">
        <v>1458</v>
      </c>
      <c r="J67" s="11">
        <v>19.0</v>
      </c>
      <c r="K67" s="105">
        <f t="shared" si="2"/>
        <v>3</v>
      </c>
      <c r="L67" s="11">
        <v>35.0</v>
      </c>
      <c r="M67" s="11">
        <v>38.0</v>
      </c>
      <c r="N67" s="11">
        <v>30.0</v>
      </c>
      <c r="O67" s="11">
        <v>38.0</v>
      </c>
      <c r="P67" s="11">
        <v>31.0</v>
      </c>
      <c r="Q67" s="11">
        <v>52.0</v>
      </c>
      <c r="R67" s="11">
        <f t="shared" si="3"/>
        <v>37</v>
      </c>
      <c r="S67" s="45"/>
    </row>
    <row r="68" ht="14.25" customHeight="1">
      <c r="A68" s="3"/>
      <c r="B68" s="45">
        <f t="shared" si="1"/>
        <v>6</v>
      </c>
      <c r="C68" s="45" t="s">
        <v>106</v>
      </c>
      <c r="D68" s="45">
        <v>9.0</v>
      </c>
      <c r="E68" s="45" t="s">
        <v>106</v>
      </c>
      <c r="F68" s="11" t="s">
        <v>185</v>
      </c>
      <c r="G68" s="11" t="s">
        <v>171</v>
      </c>
      <c r="H68" s="11" t="s">
        <v>772</v>
      </c>
      <c r="I68" s="11" t="s">
        <v>1464</v>
      </c>
      <c r="J68" s="11">
        <v>19.0</v>
      </c>
      <c r="K68" s="105">
        <f t="shared" si="2"/>
        <v>5</v>
      </c>
      <c r="L68" s="11">
        <v>58.0</v>
      </c>
      <c r="M68" s="11">
        <v>60.0</v>
      </c>
      <c r="N68" s="11">
        <v>69.0</v>
      </c>
      <c r="O68" s="11">
        <v>47.0</v>
      </c>
      <c r="P68" s="11">
        <v>65.0</v>
      </c>
      <c r="Q68" s="11">
        <v>68.0</v>
      </c>
      <c r="R68" s="11">
        <f t="shared" si="3"/>
        <v>61</v>
      </c>
      <c r="S68" s="45"/>
    </row>
    <row r="69" ht="14.25" customHeight="1">
      <c r="A69" s="3"/>
      <c r="B69" s="45">
        <f t="shared" si="1"/>
        <v>12</v>
      </c>
      <c r="C69" s="45" t="s">
        <v>106</v>
      </c>
      <c r="D69" s="45"/>
      <c r="E69" s="45"/>
      <c r="F69" s="11" t="s">
        <v>411</v>
      </c>
      <c r="G69" s="11" t="s">
        <v>128</v>
      </c>
      <c r="H69" s="11" t="s">
        <v>770</v>
      </c>
      <c r="I69" s="11" t="s">
        <v>1461</v>
      </c>
      <c r="J69" s="11">
        <v>19.0</v>
      </c>
      <c r="K69" s="105">
        <f t="shared" si="2"/>
        <v>14</v>
      </c>
      <c r="L69" s="11">
        <v>167.0</v>
      </c>
      <c r="M69" s="11">
        <v>118.0</v>
      </c>
      <c r="N69" s="11">
        <v>139.0</v>
      </c>
      <c r="O69" s="11">
        <v>122.0</v>
      </c>
      <c r="P69" s="11">
        <v>117.0</v>
      </c>
      <c r="Q69" s="11">
        <v>151.0</v>
      </c>
      <c r="R69" s="11">
        <f t="shared" si="3"/>
        <v>135</v>
      </c>
      <c r="S69" s="45" t="s">
        <v>1462</v>
      </c>
    </row>
    <row r="70" ht="14.25" customHeight="1">
      <c r="A70" s="3"/>
      <c r="B70" s="45">
        <f t="shared" si="1"/>
        <v>3</v>
      </c>
      <c r="C70" s="45" t="s">
        <v>106</v>
      </c>
      <c r="D70" s="45">
        <v>23.0</v>
      </c>
      <c r="E70" s="45" t="s">
        <v>95</v>
      </c>
      <c r="F70" s="11" t="s">
        <v>1468</v>
      </c>
      <c r="G70" s="11" t="s">
        <v>40</v>
      </c>
      <c r="H70" s="11" t="s">
        <v>772</v>
      </c>
      <c r="I70" s="11" t="s">
        <v>1464</v>
      </c>
      <c r="J70" s="11">
        <v>20.0</v>
      </c>
      <c r="K70" s="105">
        <f t="shared" si="2"/>
        <v>3</v>
      </c>
      <c r="L70" s="11">
        <v>30.0</v>
      </c>
      <c r="M70" s="11">
        <v>26.0</v>
      </c>
      <c r="N70" s="11">
        <v>31.0</v>
      </c>
      <c r="O70" s="11">
        <v>28.0</v>
      </c>
      <c r="P70" s="11">
        <v>40.0</v>
      </c>
      <c r="Q70" s="11">
        <v>29.0</v>
      </c>
      <c r="R70" s="11">
        <f t="shared" si="3"/>
        <v>30</v>
      </c>
      <c r="S70" s="45"/>
    </row>
    <row r="71" ht="14.25" customHeight="1">
      <c r="A71" s="3" t="s">
        <v>1156</v>
      </c>
      <c r="B71" s="45">
        <f t="shared" si="1"/>
        <v>6</v>
      </c>
      <c r="C71" s="45" t="s">
        <v>106</v>
      </c>
      <c r="D71" s="45">
        <v>8.0</v>
      </c>
      <c r="E71" s="45" t="s">
        <v>106</v>
      </c>
      <c r="F71" s="11" t="s">
        <v>1172</v>
      </c>
      <c r="G71" s="11" t="s">
        <v>94</v>
      </c>
      <c r="H71" s="11" t="s">
        <v>775</v>
      </c>
      <c r="I71" s="11" t="s">
        <v>1458</v>
      </c>
      <c r="J71" s="11">
        <v>20.0</v>
      </c>
      <c r="K71" s="105">
        <f t="shared" si="2"/>
        <v>6</v>
      </c>
      <c r="L71" s="11">
        <v>60.0</v>
      </c>
      <c r="M71" s="11">
        <v>76.0</v>
      </c>
      <c r="N71" s="11">
        <v>68.0</v>
      </c>
      <c r="O71" s="11">
        <v>66.0</v>
      </c>
      <c r="P71" s="11">
        <v>61.0</v>
      </c>
      <c r="Q71" s="11">
        <v>85.0</v>
      </c>
      <c r="R71" s="11">
        <f t="shared" si="3"/>
        <v>69</v>
      </c>
      <c r="S71" s="45" t="s">
        <v>1469</v>
      </c>
    </row>
    <row r="72" ht="14.25" customHeight="1">
      <c r="A72" s="3"/>
      <c r="B72" s="45">
        <f t="shared" si="1"/>
        <v>4</v>
      </c>
      <c r="C72" s="45" t="s">
        <v>106</v>
      </c>
      <c r="D72" s="45">
        <v>28.0</v>
      </c>
      <c r="E72" s="45" t="s">
        <v>95</v>
      </c>
      <c r="F72" s="11" t="s">
        <v>498</v>
      </c>
      <c r="G72" s="11" t="s">
        <v>237</v>
      </c>
      <c r="H72" s="11" t="s">
        <v>772</v>
      </c>
      <c r="I72" s="11" t="s">
        <v>1464</v>
      </c>
      <c r="J72" s="11">
        <v>21.0</v>
      </c>
      <c r="K72" s="105">
        <f t="shared" si="2"/>
        <v>3</v>
      </c>
      <c r="L72" s="11">
        <v>32.0</v>
      </c>
      <c r="M72" s="11">
        <v>31.0</v>
      </c>
      <c r="N72" s="11">
        <v>54.0</v>
      </c>
      <c r="O72" s="11">
        <v>25.0</v>
      </c>
      <c r="P72" s="11">
        <v>46.0</v>
      </c>
      <c r="Q72" s="11">
        <v>38.0</v>
      </c>
      <c r="R72" s="11">
        <f t="shared" si="3"/>
        <v>37</v>
      </c>
      <c r="S72" s="45"/>
    </row>
    <row r="73" ht="14.25" customHeight="1">
      <c r="A73" s="3"/>
      <c r="B73" s="45">
        <f t="shared" si="1"/>
        <v>5</v>
      </c>
      <c r="C73" s="45" t="s">
        <v>106</v>
      </c>
      <c r="D73" s="45">
        <v>26.0</v>
      </c>
      <c r="E73" s="45" t="s">
        <v>106</v>
      </c>
      <c r="F73" s="11" t="s">
        <v>880</v>
      </c>
      <c r="G73" s="11" t="s">
        <v>52</v>
      </c>
      <c r="H73" s="11" t="s">
        <v>775</v>
      </c>
      <c r="I73" s="11" t="s">
        <v>1455</v>
      </c>
      <c r="J73" s="11">
        <v>21.0</v>
      </c>
      <c r="K73" s="105">
        <f t="shared" si="2"/>
        <v>5</v>
      </c>
      <c r="L73" s="11">
        <v>50.0</v>
      </c>
      <c r="M73" s="11">
        <v>45.0</v>
      </c>
      <c r="N73" s="11">
        <v>43.0</v>
      </c>
      <c r="O73" s="11">
        <v>56.0</v>
      </c>
      <c r="P73" s="11">
        <v>55.0</v>
      </c>
      <c r="Q73" s="11">
        <v>43.0</v>
      </c>
      <c r="R73" s="11">
        <f t="shared" si="3"/>
        <v>48</v>
      </c>
      <c r="S73" s="45" t="s">
        <v>1469</v>
      </c>
    </row>
    <row r="74" ht="14.25" customHeight="1">
      <c r="A74" s="3"/>
      <c r="B74" s="45">
        <f t="shared" si="1"/>
        <v>5</v>
      </c>
      <c r="C74" s="45" t="s">
        <v>106</v>
      </c>
      <c r="D74" s="45">
        <v>13.0</v>
      </c>
      <c r="E74" s="45" t="s">
        <v>95</v>
      </c>
      <c r="F74" s="11" t="s">
        <v>850</v>
      </c>
      <c r="G74" s="11" t="s">
        <v>67</v>
      </c>
      <c r="H74" s="11" t="s">
        <v>772</v>
      </c>
      <c r="I74" s="11" t="s">
        <v>1464</v>
      </c>
      <c r="J74" s="11">
        <v>22.0</v>
      </c>
      <c r="K74" s="105">
        <f t="shared" si="2"/>
        <v>5</v>
      </c>
      <c r="L74" s="11">
        <v>55.0</v>
      </c>
      <c r="M74" s="11">
        <v>44.0</v>
      </c>
      <c r="N74" s="11">
        <v>57.0</v>
      </c>
      <c r="O74" s="11">
        <v>50.0</v>
      </c>
      <c r="P74" s="11">
        <v>64.0</v>
      </c>
      <c r="Q74" s="11">
        <v>49.0</v>
      </c>
      <c r="R74" s="11">
        <f t="shared" si="3"/>
        <v>53</v>
      </c>
      <c r="S74" s="45"/>
    </row>
    <row r="75" ht="14.25" customHeight="1">
      <c r="A75" s="3"/>
      <c r="B75" s="45">
        <f t="shared" si="1"/>
        <v>5</v>
      </c>
      <c r="C75" s="45" t="s">
        <v>106</v>
      </c>
      <c r="D75" s="45">
        <v>25.0</v>
      </c>
      <c r="E75" s="45"/>
      <c r="F75" s="11" t="s">
        <v>261</v>
      </c>
      <c r="G75" s="11" t="s">
        <v>176</v>
      </c>
      <c r="H75" s="11" t="s">
        <v>775</v>
      </c>
      <c r="I75" s="11" t="s">
        <v>1458</v>
      </c>
      <c r="J75" s="11">
        <v>22.0</v>
      </c>
      <c r="K75" s="105">
        <f t="shared" si="2"/>
        <v>5</v>
      </c>
      <c r="L75" s="11">
        <v>51.0</v>
      </c>
      <c r="M75" s="11">
        <v>63.0</v>
      </c>
      <c r="N75" s="11">
        <v>39.0</v>
      </c>
      <c r="O75" s="11">
        <v>53.0</v>
      </c>
      <c r="P75" s="11">
        <v>51.0</v>
      </c>
      <c r="Q75" s="11">
        <v>46.0</v>
      </c>
      <c r="R75" s="11">
        <f t="shared" si="3"/>
        <v>50</v>
      </c>
      <c r="S75" s="45"/>
    </row>
    <row r="76" ht="14.25" customHeight="1">
      <c r="A76" s="3"/>
      <c r="B76" s="45">
        <f t="shared" si="1"/>
        <v>4</v>
      </c>
      <c r="C76" s="45" t="s">
        <v>106</v>
      </c>
      <c r="D76" s="45">
        <v>15.0</v>
      </c>
      <c r="E76" s="45" t="s">
        <v>95</v>
      </c>
      <c r="F76" s="11" t="s">
        <v>1472</v>
      </c>
      <c r="G76" s="11" t="s">
        <v>148</v>
      </c>
      <c r="H76" s="11" t="s">
        <v>772</v>
      </c>
      <c r="I76" s="11" t="s">
        <v>1464</v>
      </c>
      <c r="J76" s="11">
        <v>23.0</v>
      </c>
      <c r="K76" s="105">
        <f t="shared" si="2"/>
        <v>4</v>
      </c>
      <c r="L76" s="11">
        <v>46.0</v>
      </c>
      <c r="M76" s="11">
        <v>30.0</v>
      </c>
      <c r="N76" s="11">
        <v>40.0</v>
      </c>
      <c r="O76" s="11">
        <v>39.0</v>
      </c>
      <c r="P76" s="11">
        <v>53.0</v>
      </c>
      <c r="Q76" s="11">
        <v>34.0</v>
      </c>
      <c r="R76" s="11">
        <f t="shared" si="3"/>
        <v>40</v>
      </c>
      <c r="S76" s="45"/>
    </row>
    <row r="77" ht="14.25" customHeight="1">
      <c r="A77" s="3" t="s">
        <v>1156</v>
      </c>
      <c r="B77" s="45">
        <f t="shared" si="1"/>
        <v>6</v>
      </c>
      <c r="C77" s="45" t="s">
        <v>106</v>
      </c>
      <c r="D77" s="45">
        <v>14.0</v>
      </c>
      <c r="E77" s="45"/>
      <c r="F77" s="11" t="s">
        <v>191</v>
      </c>
      <c r="G77" s="11" t="s">
        <v>192</v>
      </c>
      <c r="H77" s="11" t="s">
        <v>775</v>
      </c>
      <c r="I77" s="11" t="s">
        <v>1455</v>
      </c>
      <c r="J77" s="11">
        <v>23.0</v>
      </c>
      <c r="K77" s="105">
        <f t="shared" si="2"/>
        <v>5</v>
      </c>
      <c r="L77" s="11">
        <v>53.0</v>
      </c>
      <c r="M77" s="11">
        <v>65.0</v>
      </c>
      <c r="N77" s="11">
        <v>58.0</v>
      </c>
      <c r="O77" s="11">
        <v>54.0</v>
      </c>
      <c r="P77" s="11">
        <v>58.0</v>
      </c>
      <c r="Q77" s="11">
        <v>87.0</v>
      </c>
      <c r="R77" s="11">
        <f t="shared" si="3"/>
        <v>62</v>
      </c>
      <c r="S77" s="45" t="s">
        <v>1469</v>
      </c>
    </row>
    <row r="78" ht="14.25" customHeight="1">
      <c r="A78" s="3"/>
      <c r="B78" s="45">
        <f t="shared" si="1"/>
        <v>5</v>
      </c>
      <c r="C78" s="45" t="s">
        <v>106</v>
      </c>
      <c r="D78" s="45">
        <v>18.0</v>
      </c>
      <c r="E78" s="45" t="s">
        <v>95</v>
      </c>
      <c r="F78" s="11" t="s">
        <v>61</v>
      </c>
      <c r="G78" s="11" t="s">
        <v>62</v>
      </c>
      <c r="H78" s="11" t="s">
        <v>772</v>
      </c>
      <c r="I78" s="11" t="s">
        <v>1464</v>
      </c>
      <c r="J78" s="11">
        <v>24.0</v>
      </c>
      <c r="K78" s="105">
        <f t="shared" si="2"/>
        <v>4</v>
      </c>
      <c r="L78" s="11">
        <v>37.0</v>
      </c>
      <c r="M78" s="11">
        <v>54.0</v>
      </c>
      <c r="N78" s="11">
        <v>56.0</v>
      </c>
      <c r="O78" s="11">
        <v>35.0</v>
      </c>
      <c r="P78" s="11">
        <v>45.0</v>
      </c>
      <c r="Q78" s="11">
        <v>90.0</v>
      </c>
      <c r="R78" s="11">
        <f t="shared" si="3"/>
        <v>52</v>
      </c>
      <c r="S78" s="45"/>
    </row>
    <row r="79" ht="14.25" customHeight="1">
      <c r="A79" s="3"/>
      <c r="B79" s="45">
        <f t="shared" si="1"/>
        <v>5</v>
      </c>
      <c r="C79" s="45" t="s">
        <v>106</v>
      </c>
      <c r="D79" s="45">
        <v>13.0</v>
      </c>
      <c r="E79" s="45" t="s">
        <v>95</v>
      </c>
      <c r="F79" s="11" t="s">
        <v>250</v>
      </c>
      <c r="G79" s="11" t="s">
        <v>52</v>
      </c>
      <c r="H79" s="11" t="s">
        <v>775</v>
      </c>
      <c r="I79" s="11" t="s">
        <v>1473</v>
      </c>
      <c r="J79" s="11">
        <v>24.0</v>
      </c>
      <c r="K79" s="105">
        <f t="shared" si="2"/>
        <v>5</v>
      </c>
      <c r="L79" s="11">
        <v>54.0</v>
      </c>
      <c r="M79" s="11">
        <v>58.0</v>
      </c>
      <c r="N79" s="11">
        <v>51.0</v>
      </c>
      <c r="O79" s="11">
        <v>57.0</v>
      </c>
      <c r="P79" s="11">
        <v>47.0</v>
      </c>
      <c r="Q79" s="11">
        <v>51.0</v>
      </c>
      <c r="R79" s="11">
        <f t="shared" si="3"/>
        <v>53</v>
      </c>
      <c r="S79" s="45" t="s">
        <v>1469</v>
      </c>
    </row>
    <row r="80" ht="14.25" customHeight="1">
      <c r="A80" s="3"/>
      <c r="B80" s="45">
        <f t="shared" si="1"/>
        <v>4</v>
      </c>
      <c r="C80" s="45" t="s">
        <v>106</v>
      </c>
      <c r="D80" s="45">
        <v>17.0</v>
      </c>
      <c r="E80" s="45" t="s">
        <v>95</v>
      </c>
      <c r="F80" s="11" t="s">
        <v>1163</v>
      </c>
      <c r="G80" s="11" t="s">
        <v>176</v>
      </c>
      <c r="H80" s="11" t="s">
        <v>772</v>
      </c>
      <c r="I80" s="11" t="s">
        <v>1474</v>
      </c>
      <c r="J80" s="11">
        <v>24.0</v>
      </c>
      <c r="K80" s="105">
        <f t="shared" si="2"/>
        <v>3</v>
      </c>
      <c r="L80" s="11">
        <v>31.0</v>
      </c>
      <c r="M80" s="11">
        <v>34.0</v>
      </c>
      <c r="N80" s="11">
        <v>48.0</v>
      </c>
      <c r="O80" s="11">
        <v>34.0</v>
      </c>
      <c r="P80" s="11">
        <v>50.0</v>
      </c>
      <c r="Q80" s="11">
        <v>31.0</v>
      </c>
      <c r="R80" s="11">
        <f t="shared" si="3"/>
        <v>38</v>
      </c>
      <c r="S80" s="45"/>
    </row>
    <row r="81" ht="14.25" customHeight="1">
      <c r="A81" s="3"/>
      <c r="B81" s="45">
        <f t="shared" si="1"/>
        <v>7</v>
      </c>
      <c r="C81" s="45" t="s">
        <v>106</v>
      </c>
      <c r="D81" s="45">
        <v>8.0</v>
      </c>
      <c r="E81" s="45"/>
      <c r="F81" s="11" t="s">
        <v>1272</v>
      </c>
      <c r="G81" s="11" t="s">
        <v>71</v>
      </c>
      <c r="H81" s="11" t="s">
        <v>775</v>
      </c>
      <c r="I81" s="11" t="s">
        <v>1473</v>
      </c>
      <c r="J81" s="11">
        <v>25.0</v>
      </c>
      <c r="K81" s="105">
        <f t="shared" si="2"/>
        <v>7</v>
      </c>
      <c r="L81" s="11">
        <v>78.0</v>
      </c>
      <c r="M81" s="11">
        <v>83.0</v>
      </c>
      <c r="N81" s="11">
        <v>74.0</v>
      </c>
      <c r="O81" s="11">
        <v>72.0</v>
      </c>
      <c r="P81" s="11">
        <v>75.0</v>
      </c>
      <c r="Q81" s="11">
        <v>76.0</v>
      </c>
      <c r="R81" s="11">
        <f t="shared" si="3"/>
        <v>76</v>
      </c>
      <c r="S81" s="45"/>
    </row>
    <row r="82" ht="14.25" customHeight="1">
      <c r="A82" s="3"/>
      <c r="B82" s="45">
        <f t="shared" si="1"/>
        <v>6</v>
      </c>
      <c r="C82" s="45" t="s">
        <v>106</v>
      </c>
      <c r="D82" s="45">
        <v>15.0</v>
      </c>
      <c r="E82" s="45" t="s">
        <v>95</v>
      </c>
      <c r="F82" s="11" t="s">
        <v>819</v>
      </c>
      <c r="G82" s="11" t="s">
        <v>58</v>
      </c>
      <c r="H82" s="11" t="s">
        <v>772</v>
      </c>
      <c r="I82" s="11" t="s">
        <v>1474</v>
      </c>
      <c r="J82" s="11">
        <v>25.0</v>
      </c>
      <c r="K82" s="105">
        <f t="shared" si="2"/>
        <v>5</v>
      </c>
      <c r="L82" s="11">
        <v>49.0</v>
      </c>
      <c r="M82" s="11">
        <v>55.0</v>
      </c>
      <c r="N82" s="11">
        <v>70.0</v>
      </c>
      <c r="O82" s="11">
        <v>51.0</v>
      </c>
      <c r="P82" s="11">
        <v>59.0</v>
      </c>
      <c r="Q82" s="11">
        <v>93.0</v>
      </c>
      <c r="R82" s="11">
        <f t="shared" si="3"/>
        <v>62</v>
      </c>
      <c r="S82" s="45"/>
    </row>
    <row r="83" ht="14.25" customHeight="1">
      <c r="A83" s="3"/>
      <c r="B83" s="45">
        <f t="shared" si="1"/>
        <v>5</v>
      </c>
      <c r="C83" s="45" t="s">
        <v>106</v>
      </c>
      <c r="D83" s="45">
        <v>13.0</v>
      </c>
      <c r="E83" s="45" t="s">
        <v>106</v>
      </c>
      <c r="F83" s="11" t="s">
        <v>1170</v>
      </c>
      <c r="G83" s="11" t="s">
        <v>206</v>
      </c>
      <c r="H83" s="11" t="s">
        <v>775</v>
      </c>
      <c r="I83" s="11" t="s">
        <v>1473</v>
      </c>
      <c r="J83" s="11">
        <v>26.0</v>
      </c>
      <c r="K83" s="105">
        <f t="shared" si="2"/>
        <v>5</v>
      </c>
      <c r="L83" s="11">
        <v>57.0</v>
      </c>
      <c r="M83" s="11">
        <v>73.0</v>
      </c>
      <c r="N83" s="11">
        <v>61.0</v>
      </c>
      <c r="O83" s="11">
        <v>59.0</v>
      </c>
      <c r="P83" s="11">
        <v>49.0</v>
      </c>
      <c r="Q83" s="11">
        <v>57.0</v>
      </c>
      <c r="R83" s="11">
        <f t="shared" si="3"/>
        <v>59</v>
      </c>
      <c r="S83" s="45" t="s">
        <v>1469</v>
      </c>
    </row>
    <row r="84" ht="14.25" customHeight="1">
      <c r="A84" s="3"/>
      <c r="B84" s="45">
        <f t="shared" si="1"/>
        <v>6</v>
      </c>
      <c r="C84" s="45" t="s">
        <v>106</v>
      </c>
      <c r="D84" s="45">
        <v>13.0</v>
      </c>
      <c r="E84" s="45" t="s">
        <v>106</v>
      </c>
      <c r="F84" s="11" t="s">
        <v>1053</v>
      </c>
      <c r="G84" s="11" t="s">
        <v>195</v>
      </c>
      <c r="H84" s="11" t="s">
        <v>772</v>
      </c>
      <c r="I84" s="11" t="s">
        <v>1474</v>
      </c>
      <c r="J84" s="11">
        <v>26.0</v>
      </c>
      <c r="K84" s="105">
        <f t="shared" si="2"/>
        <v>7</v>
      </c>
      <c r="L84" s="11">
        <v>75.0</v>
      </c>
      <c r="M84" s="11">
        <v>70.0</v>
      </c>
      <c r="N84" s="11">
        <v>67.0</v>
      </c>
      <c r="O84" s="11">
        <v>52.0</v>
      </c>
      <c r="P84" s="11">
        <v>66.0</v>
      </c>
      <c r="Q84" s="11">
        <v>89.0</v>
      </c>
      <c r="R84" s="11">
        <f t="shared" si="3"/>
        <v>69</v>
      </c>
      <c r="S84" s="45"/>
    </row>
    <row r="85" ht="14.25" customHeight="1">
      <c r="A85" s="3"/>
      <c r="B85" s="45">
        <f t="shared" si="1"/>
        <v>6</v>
      </c>
      <c r="C85" s="45" t="s">
        <v>106</v>
      </c>
      <c r="D85" s="45">
        <v>12.0</v>
      </c>
      <c r="E85" s="45"/>
      <c r="F85" s="11" t="s">
        <v>1475</v>
      </c>
      <c r="G85" s="11" t="s">
        <v>62</v>
      </c>
      <c r="H85" s="11" t="s">
        <v>775</v>
      </c>
      <c r="I85" s="11" t="s">
        <v>1473</v>
      </c>
      <c r="J85" s="11">
        <v>27.0</v>
      </c>
      <c r="K85" s="105">
        <f t="shared" si="2"/>
        <v>6</v>
      </c>
      <c r="L85" s="11">
        <v>69.0</v>
      </c>
      <c r="M85" s="11">
        <v>56.0</v>
      </c>
      <c r="N85" s="11">
        <v>55.0</v>
      </c>
      <c r="O85" s="11">
        <v>69.0</v>
      </c>
      <c r="P85" s="11">
        <v>71.0</v>
      </c>
      <c r="Q85" s="11">
        <v>63.0</v>
      </c>
      <c r="R85" s="11">
        <f t="shared" si="3"/>
        <v>63</v>
      </c>
      <c r="S85" s="45" t="s">
        <v>1469</v>
      </c>
    </row>
    <row r="86" ht="14.25" customHeight="1">
      <c r="A86" s="3"/>
      <c r="B86" s="45">
        <f t="shared" si="1"/>
        <v>6</v>
      </c>
      <c r="C86" s="45" t="s">
        <v>106</v>
      </c>
      <c r="D86" s="45">
        <v>12.0</v>
      </c>
      <c r="E86" s="45" t="s">
        <v>95</v>
      </c>
      <c r="F86" s="11" t="s">
        <v>181</v>
      </c>
      <c r="G86" s="11" t="s">
        <v>35</v>
      </c>
      <c r="H86" s="11" t="s">
        <v>772</v>
      </c>
      <c r="I86" s="11" t="s">
        <v>1478</v>
      </c>
      <c r="J86" s="11">
        <v>27.0</v>
      </c>
      <c r="K86" s="105">
        <f t="shared" si="2"/>
        <v>6</v>
      </c>
      <c r="L86" s="11">
        <v>62.0</v>
      </c>
      <c r="M86" s="11">
        <v>64.0</v>
      </c>
      <c r="N86" s="11">
        <v>64.0</v>
      </c>
      <c r="O86" s="11">
        <v>49.0</v>
      </c>
      <c r="P86" s="11">
        <v>68.0</v>
      </c>
      <c r="Q86" s="11">
        <v>105.0</v>
      </c>
      <c r="R86" s="11">
        <f t="shared" si="3"/>
        <v>68</v>
      </c>
      <c r="S86" s="45"/>
    </row>
    <row r="87" ht="14.25" customHeight="1">
      <c r="A87" s="3"/>
      <c r="B87" s="45">
        <f t="shared" si="1"/>
        <v>7</v>
      </c>
      <c r="C87" s="45" t="s">
        <v>106</v>
      </c>
      <c r="D87" s="45">
        <v>17.0</v>
      </c>
      <c r="E87" s="45" t="s">
        <v>106</v>
      </c>
      <c r="F87" s="11" t="s">
        <v>1131</v>
      </c>
      <c r="G87" s="11" t="s">
        <v>49</v>
      </c>
      <c r="H87" s="11" t="s">
        <v>772</v>
      </c>
      <c r="I87" s="11" t="s">
        <v>1478</v>
      </c>
      <c r="J87" s="11">
        <v>28.0</v>
      </c>
      <c r="K87" s="105">
        <f t="shared" si="2"/>
        <v>6</v>
      </c>
      <c r="L87" s="11">
        <v>70.0</v>
      </c>
      <c r="M87" s="11">
        <v>71.0</v>
      </c>
      <c r="N87" s="11">
        <v>75.0</v>
      </c>
      <c r="O87" s="11">
        <v>55.0</v>
      </c>
      <c r="P87" s="11">
        <v>69.0</v>
      </c>
      <c r="Q87" s="11">
        <v>107.0</v>
      </c>
      <c r="R87" s="11">
        <f t="shared" si="3"/>
        <v>74</v>
      </c>
      <c r="S87" s="45"/>
    </row>
    <row r="88" ht="14.25" customHeight="1">
      <c r="A88" s="3"/>
      <c r="B88" s="45">
        <f t="shared" si="1"/>
        <v>6</v>
      </c>
      <c r="C88" s="45" t="s">
        <v>106</v>
      </c>
      <c r="D88" s="45">
        <v>12.0</v>
      </c>
      <c r="E88" s="45" t="s">
        <v>95</v>
      </c>
      <c r="F88" s="11" t="s">
        <v>299</v>
      </c>
      <c r="G88" s="11" t="s">
        <v>67</v>
      </c>
      <c r="H88" s="11" t="s">
        <v>775</v>
      </c>
      <c r="I88" s="11" t="s">
        <v>1473</v>
      </c>
      <c r="J88" s="11">
        <v>28.0</v>
      </c>
      <c r="K88" s="105">
        <f t="shared" si="2"/>
        <v>6</v>
      </c>
      <c r="L88" s="11">
        <v>68.0</v>
      </c>
      <c r="M88" s="11">
        <v>67.0</v>
      </c>
      <c r="N88" s="11">
        <v>60.0</v>
      </c>
      <c r="O88" s="11">
        <v>67.0</v>
      </c>
      <c r="P88" s="11">
        <v>70.0</v>
      </c>
      <c r="Q88" s="11">
        <v>56.0</v>
      </c>
      <c r="R88" s="11">
        <f t="shared" si="3"/>
        <v>64</v>
      </c>
      <c r="S88" s="45"/>
    </row>
    <row r="89" ht="14.25" customHeight="1">
      <c r="A89" s="3"/>
      <c r="B89" s="45">
        <f t="shared" si="1"/>
        <v>7</v>
      </c>
      <c r="C89" s="45" t="s">
        <v>106</v>
      </c>
      <c r="D89" s="45">
        <v>7.0</v>
      </c>
      <c r="E89" s="45" t="s">
        <v>95</v>
      </c>
      <c r="F89" s="11" t="s">
        <v>1211</v>
      </c>
      <c r="G89" s="11" t="s">
        <v>109</v>
      </c>
      <c r="H89" s="11" t="s">
        <v>775</v>
      </c>
      <c r="I89" s="11" t="s">
        <v>1473</v>
      </c>
      <c r="J89" s="11">
        <v>29.0</v>
      </c>
      <c r="K89" s="105">
        <f t="shared" si="2"/>
        <v>7</v>
      </c>
      <c r="L89" s="11">
        <v>83.0</v>
      </c>
      <c r="M89" s="11">
        <v>69.0</v>
      </c>
      <c r="N89" s="11">
        <v>72.0</v>
      </c>
      <c r="O89" s="11">
        <v>68.0</v>
      </c>
      <c r="P89" s="11">
        <v>67.0</v>
      </c>
      <c r="Q89" s="11">
        <v>88.0</v>
      </c>
      <c r="R89" s="11">
        <f t="shared" si="3"/>
        <v>74</v>
      </c>
      <c r="S89" s="45" t="s">
        <v>1480</v>
      </c>
    </row>
    <row r="90" ht="14.25" customHeight="1">
      <c r="A90" s="3"/>
      <c r="B90" s="45">
        <f t="shared" si="1"/>
        <v>7</v>
      </c>
      <c r="C90" s="45" t="s">
        <v>106</v>
      </c>
      <c r="D90" s="45">
        <v>6.0</v>
      </c>
      <c r="E90" s="45"/>
      <c r="F90" s="11" t="s">
        <v>1198</v>
      </c>
      <c r="G90" s="11" t="s">
        <v>162</v>
      </c>
      <c r="H90" s="11" t="s">
        <v>772</v>
      </c>
      <c r="I90" s="11" t="s">
        <v>1478</v>
      </c>
      <c r="J90" s="11">
        <v>29.0</v>
      </c>
      <c r="K90" s="105">
        <f t="shared" si="2"/>
        <v>8</v>
      </c>
      <c r="L90" s="11">
        <v>90.0</v>
      </c>
      <c r="M90" s="11">
        <v>61.0</v>
      </c>
      <c r="N90" s="11">
        <v>73.0</v>
      </c>
      <c r="O90" s="11">
        <v>60.0</v>
      </c>
      <c r="P90" s="11">
        <v>78.0</v>
      </c>
      <c r="Q90" s="11">
        <v>100.0</v>
      </c>
      <c r="R90" s="11">
        <f t="shared" si="3"/>
        <v>77</v>
      </c>
      <c r="S90" s="45"/>
    </row>
    <row r="91" ht="14.25" customHeight="1">
      <c r="A91" s="3"/>
      <c r="B91" s="45">
        <f t="shared" si="1"/>
        <v>7</v>
      </c>
      <c r="C91" s="45" t="s">
        <v>106</v>
      </c>
      <c r="D91" s="45">
        <v>9.0</v>
      </c>
      <c r="E91" s="45"/>
      <c r="F91" s="11" t="s">
        <v>931</v>
      </c>
      <c r="G91" s="11" t="s">
        <v>45</v>
      </c>
      <c r="H91" s="11" t="s">
        <v>775</v>
      </c>
      <c r="I91" s="11" t="s">
        <v>1473</v>
      </c>
      <c r="J91" s="11">
        <v>30.0</v>
      </c>
      <c r="K91" s="105">
        <f t="shared" si="2"/>
        <v>8</v>
      </c>
      <c r="L91" s="11">
        <v>84.0</v>
      </c>
      <c r="M91" s="11">
        <v>77.0</v>
      </c>
      <c r="N91" s="11">
        <v>76.0</v>
      </c>
      <c r="O91" s="11">
        <v>78.0</v>
      </c>
      <c r="P91" s="11">
        <v>80.0</v>
      </c>
      <c r="Q91" s="11">
        <v>80.0</v>
      </c>
      <c r="R91" s="11">
        <f t="shared" si="3"/>
        <v>79</v>
      </c>
      <c r="S91" s="45"/>
    </row>
    <row r="92" ht="14.25" customHeight="1">
      <c r="A92" s="3"/>
      <c r="B92" s="45">
        <f t="shared" si="1"/>
        <v>8</v>
      </c>
      <c r="C92" s="45" t="s">
        <v>106</v>
      </c>
      <c r="D92" s="45">
        <v>4.0</v>
      </c>
      <c r="E92" s="45"/>
      <c r="F92" s="11" t="s">
        <v>278</v>
      </c>
      <c r="G92" s="11" t="s">
        <v>109</v>
      </c>
      <c r="H92" s="11" t="s">
        <v>772</v>
      </c>
      <c r="I92" s="11" t="s">
        <v>1478</v>
      </c>
      <c r="J92" s="11">
        <v>30.0</v>
      </c>
      <c r="K92" s="105">
        <f t="shared" si="2"/>
        <v>8</v>
      </c>
      <c r="L92" s="11">
        <v>94.0</v>
      </c>
      <c r="M92" s="11">
        <v>85.0</v>
      </c>
      <c r="N92" s="11">
        <v>102.0</v>
      </c>
      <c r="O92" s="11">
        <v>65.0</v>
      </c>
      <c r="P92" s="11">
        <v>76.0</v>
      </c>
      <c r="Q92" s="11">
        <v>138.0</v>
      </c>
      <c r="R92" s="11">
        <f t="shared" si="3"/>
        <v>93</v>
      </c>
      <c r="S92" s="45"/>
    </row>
    <row r="93" ht="14.25" customHeight="1">
      <c r="A93" s="3"/>
      <c r="B93" s="45">
        <f t="shared" si="1"/>
        <v>5</v>
      </c>
      <c r="C93" s="45" t="s">
        <v>106</v>
      </c>
      <c r="D93" s="45">
        <v>12.0</v>
      </c>
      <c r="E93" s="45"/>
      <c r="F93" s="11" t="s">
        <v>428</v>
      </c>
      <c r="G93" s="11" t="s">
        <v>105</v>
      </c>
      <c r="H93" s="11" t="s">
        <v>775</v>
      </c>
      <c r="I93" s="11" t="s">
        <v>1473</v>
      </c>
      <c r="J93" s="11">
        <v>31.0</v>
      </c>
      <c r="K93" s="105">
        <f t="shared" si="2"/>
        <v>6</v>
      </c>
      <c r="L93" s="11">
        <v>61.0</v>
      </c>
      <c r="M93" s="11">
        <v>51.0</v>
      </c>
      <c r="N93" s="11">
        <v>53.0</v>
      </c>
      <c r="O93" s="11">
        <v>61.0</v>
      </c>
      <c r="P93" s="11">
        <v>54.0</v>
      </c>
      <c r="Q93" s="11">
        <v>41.0</v>
      </c>
      <c r="R93" s="11">
        <f t="shared" si="3"/>
        <v>53</v>
      </c>
      <c r="S93" s="45"/>
    </row>
    <row r="94" ht="14.25" customHeight="1">
      <c r="A94" s="3"/>
      <c r="B94" s="45">
        <f t="shared" si="1"/>
        <v>9</v>
      </c>
      <c r="C94" s="45" t="s">
        <v>106</v>
      </c>
      <c r="D94" s="45">
        <v>5.0</v>
      </c>
      <c r="E94" s="45"/>
      <c r="F94" s="11" t="s">
        <v>1484</v>
      </c>
      <c r="G94" s="11" t="s">
        <v>94</v>
      </c>
      <c r="H94" s="11" t="s">
        <v>772</v>
      </c>
      <c r="I94" s="11" t="s">
        <v>1485</v>
      </c>
      <c r="J94" s="11">
        <v>31.0</v>
      </c>
      <c r="K94" s="105">
        <f t="shared" si="2"/>
        <v>8</v>
      </c>
      <c r="L94" s="11">
        <v>95.0</v>
      </c>
      <c r="M94" s="11">
        <v>89.0</v>
      </c>
      <c r="N94" s="11">
        <v>104.0</v>
      </c>
      <c r="O94" s="11">
        <v>94.0</v>
      </c>
      <c r="P94" s="11">
        <v>101.0</v>
      </c>
      <c r="Q94" s="11">
        <v>127.0</v>
      </c>
      <c r="R94" s="11">
        <f t="shared" si="3"/>
        <v>101</v>
      </c>
      <c r="S94" s="45"/>
    </row>
    <row r="95" ht="14.25" customHeight="1">
      <c r="A95" s="3"/>
      <c r="B95" s="45">
        <f t="shared" si="1"/>
        <v>8</v>
      </c>
      <c r="C95" s="45" t="s">
        <v>106</v>
      </c>
      <c r="D95" s="45">
        <v>5.0</v>
      </c>
      <c r="E95" s="45" t="s">
        <v>106</v>
      </c>
      <c r="F95" s="11" t="s">
        <v>1210</v>
      </c>
      <c r="G95" s="11" t="s">
        <v>62</v>
      </c>
      <c r="H95" s="11" t="s">
        <v>772</v>
      </c>
      <c r="I95" s="11" t="s">
        <v>1474</v>
      </c>
      <c r="J95" s="11">
        <v>32.0</v>
      </c>
      <c r="K95" s="105">
        <f t="shared" si="2"/>
        <v>9</v>
      </c>
      <c r="L95" s="11">
        <v>106.0</v>
      </c>
      <c r="M95" s="11">
        <v>88.0</v>
      </c>
      <c r="N95" s="11">
        <v>131.0</v>
      </c>
      <c r="O95" s="11">
        <v>81.0</v>
      </c>
      <c r="P95" s="11">
        <v>92.0</v>
      </c>
      <c r="Q95" s="11">
        <v>77.0</v>
      </c>
      <c r="R95" s="11">
        <f t="shared" si="3"/>
        <v>95</v>
      </c>
      <c r="S95" s="45"/>
    </row>
    <row r="96" ht="14.25" customHeight="1">
      <c r="A96" s="3"/>
      <c r="B96" s="45">
        <f t="shared" si="1"/>
        <v>7</v>
      </c>
      <c r="C96" s="45" t="s">
        <v>106</v>
      </c>
      <c r="D96" s="45">
        <v>12.0</v>
      </c>
      <c r="E96" s="45"/>
      <c r="F96" s="11" t="s">
        <v>1235</v>
      </c>
      <c r="G96" s="11" t="s">
        <v>195</v>
      </c>
      <c r="H96" s="11" t="s">
        <v>775</v>
      </c>
      <c r="I96" s="11" t="s">
        <v>1473</v>
      </c>
      <c r="J96" s="11">
        <v>32.0</v>
      </c>
      <c r="K96" s="105">
        <f t="shared" si="2"/>
        <v>8</v>
      </c>
      <c r="L96" s="11">
        <v>89.0</v>
      </c>
      <c r="M96" s="11">
        <v>79.0</v>
      </c>
      <c r="N96" s="11">
        <v>59.0</v>
      </c>
      <c r="O96" s="11">
        <v>80.0</v>
      </c>
      <c r="P96" s="11">
        <v>81.0</v>
      </c>
      <c r="Q96" s="11">
        <v>84.0</v>
      </c>
      <c r="R96" s="11">
        <f t="shared" si="3"/>
        <v>78</v>
      </c>
      <c r="S96" s="45"/>
    </row>
    <row r="97" ht="14.25" customHeight="1">
      <c r="A97" s="3"/>
      <c r="B97" s="45">
        <f t="shared" si="1"/>
        <v>8</v>
      </c>
      <c r="C97" s="45" t="s">
        <v>106</v>
      </c>
      <c r="D97" s="45">
        <v>4.0</v>
      </c>
      <c r="E97" s="45"/>
      <c r="F97" s="11" t="s">
        <v>1486</v>
      </c>
      <c r="G97" s="11" t="s">
        <v>116</v>
      </c>
      <c r="H97" s="11" t="s">
        <v>775</v>
      </c>
      <c r="I97" s="11" t="s">
        <v>1473</v>
      </c>
      <c r="J97" s="11">
        <v>33.0</v>
      </c>
      <c r="K97" s="105">
        <f t="shared" si="2"/>
        <v>9</v>
      </c>
      <c r="L97" s="11">
        <v>99.0</v>
      </c>
      <c r="M97" s="11">
        <v>82.0</v>
      </c>
      <c r="N97" s="11">
        <v>83.0</v>
      </c>
      <c r="O97" s="11">
        <v>82.0</v>
      </c>
      <c r="P97" s="11">
        <v>84.0</v>
      </c>
      <c r="Q97" s="11">
        <v>94.0</v>
      </c>
      <c r="R97" s="11">
        <f t="shared" si="3"/>
        <v>87</v>
      </c>
      <c r="S97" s="45"/>
    </row>
    <row r="98" ht="14.25" customHeight="1">
      <c r="A98" s="3" t="s">
        <v>1156</v>
      </c>
      <c r="B98" s="45">
        <f t="shared" si="1"/>
        <v>9</v>
      </c>
      <c r="C98" s="45" t="s">
        <v>106</v>
      </c>
      <c r="D98" s="45">
        <v>3.0</v>
      </c>
      <c r="E98" s="45" t="s">
        <v>106</v>
      </c>
      <c r="F98" s="11" t="s">
        <v>1487</v>
      </c>
      <c r="G98" s="11" t="s">
        <v>171</v>
      </c>
      <c r="H98" s="11" t="s">
        <v>772</v>
      </c>
      <c r="I98" s="11" t="s">
        <v>1485</v>
      </c>
      <c r="J98" s="11">
        <v>33.0</v>
      </c>
      <c r="K98" s="105">
        <f t="shared" si="2"/>
        <v>11</v>
      </c>
      <c r="L98" s="11">
        <v>125.0</v>
      </c>
      <c r="M98" s="11">
        <v>91.0</v>
      </c>
      <c r="N98" s="11">
        <v>90.0</v>
      </c>
      <c r="O98" s="11">
        <v>83.0</v>
      </c>
      <c r="P98" s="11">
        <v>98.0</v>
      </c>
      <c r="Q98" s="11">
        <v>108.0</v>
      </c>
      <c r="R98" s="11">
        <f t="shared" si="3"/>
        <v>99</v>
      </c>
      <c r="S98" s="45"/>
    </row>
    <row r="99" ht="14.25" customHeight="1">
      <c r="A99" s="3"/>
      <c r="B99" s="45">
        <f t="shared" si="1"/>
        <v>9</v>
      </c>
      <c r="C99" s="45" t="s">
        <v>106</v>
      </c>
      <c r="D99" s="45">
        <v>6.0</v>
      </c>
      <c r="E99" s="45"/>
      <c r="F99" s="11" t="s">
        <v>1489</v>
      </c>
      <c r="G99" s="11" t="s">
        <v>176</v>
      </c>
      <c r="H99" s="11" t="s">
        <v>772</v>
      </c>
      <c r="I99" s="11" t="s">
        <v>1485</v>
      </c>
      <c r="J99" s="11">
        <v>34.0</v>
      </c>
      <c r="K99" s="105">
        <f t="shared" si="2"/>
        <v>9</v>
      </c>
      <c r="L99" s="11">
        <v>104.0</v>
      </c>
      <c r="M99" s="11">
        <v>100.0</v>
      </c>
      <c r="N99" s="11">
        <v>95.0</v>
      </c>
      <c r="O99" s="11">
        <v>97.0</v>
      </c>
      <c r="P99" s="11">
        <v>105.0</v>
      </c>
      <c r="Q99" s="11">
        <v>102.0</v>
      </c>
      <c r="R99" s="11">
        <f t="shared" si="3"/>
        <v>100</v>
      </c>
      <c r="S99" s="45"/>
    </row>
    <row r="100" ht="14.25" customHeight="1">
      <c r="A100" s="3"/>
      <c r="B100" s="45">
        <f t="shared" si="1"/>
        <v>8</v>
      </c>
      <c r="C100" s="45" t="s">
        <v>106</v>
      </c>
      <c r="D100" s="45">
        <v>8.0</v>
      </c>
      <c r="E100" s="45"/>
      <c r="F100" s="11" t="s">
        <v>1380</v>
      </c>
      <c r="G100" s="11" t="s">
        <v>119</v>
      </c>
      <c r="H100" s="11" t="s">
        <v>775</v>
      </c>
      <c r="I100" s="11" t="s">
        <v>1473</v>
      </c>
      <c r="J100" s="11">
        <v>34.0</v>
      </c>
      <c r="K100" s="105">
        <f t="shared" si="2"/>
        <v>9</v>
      </c>
      <c r="L100" s="11">
        <v>98.0</v>
      </c>
      <c r="M100" s="11">
        <v>84.0</v>
      </c>
      <c r="N100" s="11">
        <v>82.0</v>
      </c>
      <c r="O100" s="11">
        <v>74.0</v>
      </c>
      <c r="P100" s="11">
        <v>77.0</v>
      </c>
      <c r="Q100" s="11">
        <v>99.0</v>
      </c>
      <c r="R100" s="11">
        <f t="shared" si="3"/>
        <v>85</v>
      </c>
      <c r="S100" s="45" t="s">
        <v>1491</v>
      </c>
    </row>
    <row r="101" ht="14.25" customHeight="1">
      <c r="A101" s="3"/>
      <c r="B101" s="45">
        <f t="shared" si="1"/>
        <v>8</v>
      </c>
      <c r="C101" s="45" t="s">
        <v>106</v>
      </c>
      <c r="D101" s="45"/>
      <c r="E101" s="45"/>
      <c r="F101" s="11" t="s">
        <v>1492</v>
      </c>
      <c r="G101" s="11" t="s">
        <v>116</v>
      </c>
      <c r="H101" s="11" t="s">
        <v>772</v>
      </c>
      <c r="I101" s="11" t="s">
        <v>1485</v>
      </c>
      <c r="J101" s="11">
        <v>34.0</v>
      </c>
      <c r="K101" s="105">
        <f t="shared" si="2"/>
        <v>10</v>
      </c>
      <c r="L101" s="11">
        <v>110.0</v>
      </c>
      <c r="M101" s="11">
        <v>97.0</v>
      </c>
      <c r="N101" s="11">
        <v>101.0</v>
      </c>
      <c r="O101" s="11">
        <v>75.0</v>
      </c>
      <c r="P101" s="11">
        <v>89.0</v>
      </c>
      <c r="Q101" s="11">
        <v>101.0</v>
      </c>
      <c r="R101" s="11">
        <f t="shared" si="3"/>
        <v>95</v>
      </c>
      <c r="S101" s="45"/>
    </row>
    <row r="102" ht="14.25" customHeight="1">
      <c r="A102" s="3" t="s">
        <v>1156</v>
      </c>
      <c r="B102" s="45">
        <f t="shared" si="1"/>
        <v>9</v>
      </c>
      <c r="C102" s="45" t="s">
        <v>106</v>
      </c>
      <c r="D102" s="45">
        <v>5.0</v>
      </c>
      <c r="E102" s="45" t="s">
        <v>106</v>
      </c>
      <c r="F102" s="11" t="s">
        <v>1263</v>
      </c>
      <c r="G102" s="11" t="s">
        <v>35</v>
      </c>
      <c r="H102" s="11" t="s">
        <v>775</v>
      </c>
      <c r="I102" s="11" t="s">
        <v>1473</v>
      </c>
      <c r="J102" s="11">
        <v>35.0</v>
      </c>
      <c r="K102" s="105">
        <f t="shared" si="2"/>
        <v>10</v>
      </c>
      <c r="L102" s="11">
        <v>118.0</v>
      </c>
      <c r="M102" s="11">
        <v>92.0</v>
      </c>
      <c r="N102" s="11">
        <v>87.0</v>
      </c>
      <c r="O102" s="11">
        <v>96.0</v>
      </c>
      <c r="P102" s="11">
        <v>86.0</v>
      </c>
      <c r="Q102" s="11">
        <v>109.0</v>
      </c>
      <c r="R102" s="11">
        <f t="shared" si="3"/>
        <v>98</v>
      </c>
      <c r="S102" s="45"/>
    </row>
    <row r="103" ht="14.25" customHeight="1">
      <c r="A103" s="3"/>
      <c r="B103" s="45">
        <f t="shared" si="1"/>
        <v>10</v>
      </c>
      <c r="C103" s="45" t="s">
        <v>106</v>
      </c>
      <c r="D103" s="45">
        <v>3.0</v>
      </c>
      <c r="E103" s="45" t="s">
        <v>106</v>
      </c>
      <c r="F103" s="11" t="s">
        <v>1494</v>
      </c>
      <c r="G103" s="11" t="s">
        <v>58</v>
      </c>
      <c r="H103" s="11" t="s">
        <v>772</v>
      </c>
      <c r="I103" s="11" t="s">
        <v>1485</v>
      </c>
      <c r="J103" s="11">
        <v>35.0</v>
      </c>
      <c r="K103" s="105">
        <f t="shared" si="2"/>
        <v>11</v>
      </c>
      <c r="L103" s="11">
        <v>128.0</v>
      </c>
      <c r="M103" s="11">
        <v>110.0</v>
      </c>
      <c r="N103" s="11">
        <v>119.0</v>
      </c>
      <c r="O103" s="11">
        <v>101.0</v>
      </c>
      <c r="P103" s="11">
        <v>103.0</v>
      </c>
      <c r="Q103" s="11">
        <v>111.0</v>
      </c>
      <c r="R103" s="11">
        <f t="shared" si="3"/>
        <v>112</v>
      </c>
      <c r="S103" s="45"/>
    </row>
    <row r="104" ht="14.25" customHeight="1">
      <c r="A104" s="3"/>
      <c r="B104" s="45">
        <f t="shared" si="1"/>
        <v>9</v>
      </c>
      <c r="C104" s="45" t="s">
        <v>106</v>
      </c>
      <c r="D104" s="45">
        <v>4.0</v>
      </c>
      <c r="E104" s="45"/>
      <c r="F104" s="11" t="s">
        <v>888</v>
      </c>
      <c r="G104" s="11" t="s">
        <v>119</v>
      </c>
      <c r="H104" s="11" t="s">
        <v>775</v>
      </c>
      <c r="I104" s="11" t="s">
        <v>1473</v>
      </c>
      <c r="J104" s="11">
        <v>36.0</v>
      </c>
      <c r="K104" s="105">
        <f t="shared" si="2"/>
        <v>10</v>
      </c>
      <c r="L104" s="11">
        <v>113.0</v>
      </c>
      <c r="M104" s="11">
        <v>95.0</v>
      </c>
      <c r="N104" s="11">
        <v>94.0</v>
      </c>
      <c r="O104" s="11">
        <v>85.0</v>
      </c>
      <c r="P104" s="11">
        <v>88.0</v>
      </c>
      <c r="Q104" s="11">
        <v>103.0</v>
      </c>
      <c r="R104" s="11">
        <f t="shared" si="3"/>
        <v>96</v>
      </c>
      <c r="S104" s="45"/>
    </row>
    <row r="105" ht="14.25" customHeight="1">
      <c r="A105" s="3"/>
      <c r="B105" s="45">
        <f t="shared" si="1"/>
        <v>11</v>
      </c>
      <c r="C105" s="45" t="s">
        <v>106</v>
      </c>
      <c r="D105" s="45"/>
      <c r="E105" s="45"/>
      <c r="F105" s="11" t="s">
        <v>1250</v>
      </c>
      <c r="G105" s="11" t="s">
        <v>116</v>
      </c>
      <c r="H105" s="11" t="s">
        <v>772</v>
      </c>
      <c r="I105" s="11" t="s">
        <v>1485</v>
      </c>
      <c r="J105" s="11">
        <v>36.0</v>
      </c>
      <c r="K105" s="105">
        <f t="shared" si="2"/>
        <v>9</v>
      </c>
      <c r="L105" s="11">
        <v>101.0</v>
      </c>
      <c r="M105" s="11">
        <v>127.0</v>
      </c>
      <c r="N105" s="11">
        <v>178.0</v>
      </c>
      <c r="O105" s="11">
        <v>136.0</v>
      </c>
      <c r="P105" s="11">
        <v>123.0</v>
      </c>
      <c r="Q105" s="11">
        <v>104.0</v>
      </c>
      <c r="R105" s="11">
        <f t="shared" si="3"/>
        <v>128</v>
      </c>
      <c r="S105" s="45"/>
    </row>
    <row r="106" ht="14.25" customHeight="1">
      <c r="A106" s="3"/>
      <c r="B106" s="45">
        <f t="shared" si="1"/>
        <v>11</v>
      </c>
      <c r="C106" s="45" t="s">
        <v>106</v>
      </c>
      <c r="D106" s="45">
        <v>4.0</v>
      </c>
      <c r="E106" s="45" t="s">
        <v>106</v>
      </c>
      <c r="F106" s="11" t="s">
        <v>1375</v>
      </c>
      <c r="G106" s="11" t="s">
        <v>131</v>
      </c>
      <c r="H106" s="11" t="s">
        <v>772</v>
      </c>
      <c r="I106" s="11" t="s">
        <v>1485</v>
      </c>
      <c r="J106" s="11">
        <v>37.0</v>
      </c>
      <c r="K106" s="105">
        <f t="shared" si="2"/>
        <v>12</v>
      </c>
      <c r="L106" s="11">
        <v>135.0</v>
      </c>
      <c r="M106" s="11">
        <v>107.0</v>
      </c>
      <c r="N106" s="11">
        <v>122.0</v>
      </c>
      <c r="O106" s="11">
        <v>106.0</v>
      </c>
      <c r="P106" s="11">
        <v>113.0</v>
      </c>
      <c r="Q106" s="11">
        <v>166.0</v>
      </c>
      <c r="R106" s="11">
        <f t="shared" si="3"/>
        <v>124</v>
      </c>
      <c r="S106" s="45"/>
    </row>
    <row r="107" ht="14.25" customHeight="1">
      <c r="A107" s="3"/>
      <c r="B107" s="45">
        <f t="shared" si="1"/>
        <v>7</v>
      </c>
      <c r="C107" s="45" t="s">
        <v>106</v>
      </c>
      <c r="D107" s="45">
        <v>9.0</v>
      </c>
      <c r="E107" s="45" t="s">
        <v>95</v>
      </c>
      <c r="F107" s="11" t="s">
        <v>1279</v>
      </c>
      <c r="G107" s="11" t="s">
        <v>45</v>
      </c>
      <c r="H107" s="11" t="s">
        <v>775</v>
      </c>
      <c r="I107" s="11" t="s">
        <v>1473</v>
      </c>
      <c r="J107" s="11">
        <v>37.0</v>
      </c>
      <c r="K107" s="105">
        <f t="shared" si="2"/>
        <v>7</v>
      </c>
      <c r="L107" s="11">
        <v>82.0</v>
      </c>
      <c r="M107" s="11">
        <v>75.0</v>
      </c>
      <c r="N107" s="11">
        <v>71.0</v>
      </c>
      <c r="O107" s="11">
        <v>79.0</v>
      </c>
      <c r="P107" s="11">
        <v>73.0</v>
      </c>
      <c r="Q107" s="11">
        <v>91.0</v>
      </c>
      <c r="R107" s="11">
        <f t="shared" si="3"/>
        <v>78</v>
      </c>
      <c r="S107" s="45"/>
    </row>
    <row r="108" ht="14.25" customHeight="1">
      <c r="A108" s="3"/>
      <c r="B108" s="45">
        <f t="shared" si="1"/>
        <v>9</v>
      </c>
      <c r="C108" s="45" t="s">
        <v>106</v>
      </c>
      <c r="D108" s="45">
        <v>6.0</v>
      </c>
      <c r="E108" s="45"/>
      <c r="F108" s="11" t="s">
        <v>364</v>
      </c>
      <c r="G108" s="11" t="s">
        <v>58</v>
      </c>
      <c r="H108" s="11" t="s">
        <v>775</v>
      </c>
      <c r="I108" s="11"/>
      <c r="J108" s="11">
        <v>38.0</v>
      </c>
      <c r="K108" s="105">
        <f t="shared" si="2"/>
        <v>8</v>
      </c>
      <c r="L108" s="11">
        <v>91.0</v>
      </c>
      <c r="M108" s="11">
        <v>126.0</v>
      </c>
      <c r="N108" s="11">
        <v>85.0</v>
      </c>
      <c r="O108" s="11">
        <v>115.0</v>
      </c>
      <c r="P108" s="11">
        <v>96.0</v>
      </c>
      <c r="Q108" s="11">
        <v>86.0</v>
      </c>
      <c r="R108" s="11">
        <f t="shared" si="3"/>
        <v>99</v>
      </c>
      <c r="S108" s="45"/>
    </row>
    <row r="109" ht="14.25" customHeight="1">
      <c r="A109" s="3"/>
      <c r="B109" s="45">
        <f t="shared" si="1"/>
        <v>12</v>
      </c>
      <c r="C109" s="45" t="s">
        <v>106</v>
      </c>
      <c r="D109" s="45">
        <v>14.0</v>
      </c>
      <c r="E109" s="45" t="s">
        <v>106</v>
      </c>
      <c r="F109" s="11" t="s">
        <v>894</v>
      </c>
      <c r="G109" s="11" t="s">
        <v>192</v>
      </c>
      <c r="H109" s="11" t="s">
        <v>772</v>
      </c>
      <c r="I109" s="11" t="s">
        <v>1496</v>
      </c>
      <c r="J109" s="11">
        <v>38.0</v>
      </c>
      <c r="K109" s="105">
        <f t="shared" si="2"/>
        <v>12</v>
      </c>
      <c r="L109" s="11">
        <v>132.0</v>
      </c>
      <c r="M109" s="11">
        <v>121.0</v>
      </c>
      <c r="N109" s="11">
        <v>146.0</v>
      </c>
      <c r="O109" s="11">
        <v>86.0</v>
      </c>
      <c r="P109" s="11">
        <v>141.0</v>
      </c>
      <c r="Q109" s="11">
        <v>211.0</v>
      </c>
      <c r="R109" s="11">
        <f t="shared" si="3"/>
        <v>139</v>
      </c>
      <c r="S109" s="45"/>
    </row>
    <row r="110" ht="14.25" customHeight="1">
      <c r="A110" s="3"/>
      <c r="B110" s="45">
        <f t="shared" si="1"/>
        <v>12</v>
      </c>
      <c r="C110" s="45" t="s">
        <v>106</v>
      </c>
      <c r="D110" s="45">
        <v>3.0</v>
      </c>
      <c r="E110" s="45"/>
      <c r="F110" s="11" t="s">
        <v>1287</v>
      </c>
      <c r="G110" s="11" t="s">
        <v>128</v>
      </c>
      <c r="H110" s="11" t="s">
        <v>775</v>
      </c>
      <c r="I110" s="11" t="s">
        <v>1499</v>
      </c>
      <c r="J110" s="11">
        <v>39.0</v>
      </c>
      <c r="K110" s="105">
        <f t="shared" si="2"/>
        <v>16</v>
      </c>
      <c r="L110" s="11">
        <v>184.0</v>
      </c>
      <c r="M110" s="11">
        <v>123.0</v>
      </c>
      <c r="N110" s="11">
        <v>108.0</v>
      </c>
      <c r="O110" s="11">
        <v>131.0</v>
      </c>
      <c r="P110" s="11">
        <v>132.0</v>
      </c>
      <c r="Q110" s="11">
        <v>120.0</v>
      </c>
      <c r="R110" s="11">
        <f t="shared" si="3"/>
        <v>133</v>
      </c>
      <c r="S110" s="45"/>
    </row>
    <row r="111" ht="14.25" customHeight="1">
      <c r="A111" s="3"/>
      <c r="B111" s="45">
        <f t="shared" si="1"/>
        <v>11</v>
      </c>
      <c r="C111" s="45" t="s">
        <v>106</v>
      </c>
      <c r="D111" s="45">
        <v>6.0</v>
      </c>
      <c r="E111" s="45"/>
      <c r="F111" s="11" t="s">
        <v>859</v>
      </c>
      <c r="G111" s="11" t="s">
        <v>67</v>
      </c>
      <c r="H111" s="11" t="s">
        <v>772</v>
      </c>
      <c r="I111" s="11" t="s">
        <v>1496</v>
      </c>
      <c r="J111" s="11">
        <v>39.0</v>
      </c>
      <c r="K111" s="105">
        <f t="shared" si="2"/>
        <v>12</v>
      </c>
      <c r="L111" s="11">
        <v>142.0</v>
      </c>
      <c r="M111" s="11">
        <v>116.0</v>
      </c>
      <c r="N111" s="11">
        <v>112.0</v>
      </c>
      <c r="O111" s="11">
        <v>102.0</v>
      </c>
      <c r="P111" s="11">
        <v>114.0</v>
      </c>
      <c r="Q111" s="11">
        <v>175.0</v>
      </c>
      <c r="R111" s="11">
        <f t="shared" si="3"/>
        <v>126</v>
      </c>
      <c r="S111" s="45"/>
    </row>
    <row r="112" ht="14.25" customHeight="1">
      <c r="A112" s="3"/>
      <c r="B112" s="45">
        <f t="shared" si="1"/>
        <v>10</v>
      </c>
      <c r="C112" s="45" t="s">
        <v>106</v>
      </c>
      <c r="D112" s="45"/>
      <c r="E112" s="45"/>
      <c r="F112" s="11" t="s">
        <v>830</v>
      </c>
      <c r="G112" s="11" t="s">
        <v>128</v>
      </c>
      <c r="H112" s="11" t="s">
        <v>775</v>
      </c>
      <c r="I112" s="11" t="s">
        <v>1499</v>
      </c>
      <c r="J112" s="11">
        <v>40.0</v>
      </c>
      <c r="K112" s="105">
        <f t="shared" si="2"/>
        <v>10</v>
      </c>
      <c r="L112" s="11">
        <v>117.0</v>
      </c>
      <c r="M112" s="11">
        <v>119.0</v>
      </c>
      <c r="N112" s="11">
        <v>132.0</v>
      </c>
      <c r="O112" s="11">
        <v>118.0</v>
      </c>
      <c r="P112" s="11">
        <v>97.0</v>
      </c>
      <c r="Q112" s="11">
        <v>133.0</v>
      </c>
      <c r="R112" s="11">
        <f t="shared" si="3"/>
        <v>119</v>
      </c>
      <c r="S112" s="45"/>
    </row>
    <row r="113" ht="14.25" customHeight="1">
      <c r="A113" s="3"/>
      <c r="B113" s="45">
        <f t="shared" si="1"/>
        <v>11</v>
      </c>
      <c r="C113" s="45" t="s">
        <v>106</v>
      </c>
      <c r="D113" s="45"/>
      <c r="E113" s="45"/>
      <c r="F113" s="11" t="s">
        <v>1306</v>
      </c>
      <c r="G113" s="11" t="s">
        <v>49</v>
      </c>
      <c r="H113" s="11" t="s">
        <v>772</v>
      </c>
      <c r="I113" s="11" t="s">
        <v>1496</v>
      </c>
      <c r="J113" s="11">
        <v>40.0</v>
      </c>
      <c r="K113" s="105">
        <f t="shared" si="2"/>
        <v>12</v>
      </c>
      <c r="L113" s="11">
        <v>134.0</v>
      </c>
      <c r="M113" s="11">
        <v>128.0</v>
      </c>
      <c r="N113" s="11">
        <v>107.0</v>
      </c>
      <c r="O113" s="11">
        <v>113.0</v>
      </c>
      <c r="P113" s="11">
        <v>134.0</v>
      </c>
      <c r="Q113" s="11">
        <v>149.0</v>
      </c>
      <c r="R113" s="11">
        <f t="shared" si="3"/>
        <v>127</v>
      </c>
      <c r="S113" s="45"/>
    </row>
    <row r="114" ht="14.25" customHeight="1">
      <c r="A114" s="3"/>
      <c r="B114" s="45">
        <f t="shared" si="1"/>
        <v>9</v>
      </c>
      <c r="C114" s="45" t="s">
        <v>106</v>
      </c>
      <c r="D114" s="45">
        <v>6.0</v>
      </c>
      <c r="E114" s="45"/>
      <c r="F114" s="11" t="s">
        <v>1501</v>
      </c>
      <c r="G114" s="11" t="s">
        <v>35</v>
      </c>
      <c r="H114" s="11" t="s">
        <v>772</v>
      </c>
      <c r="I114" s="11" t="s">
        <v>1502</v>
      </c>
      <c r="J114" s="11">
        <v>41.0</v>
      </c>
      <c r="K114" s="105">
        <f t="shared" si="2"/>
        <v>11</v>
      </c>
      <c r="L114" s="11">
        <v>127.0</v>
      </c>
      <c r="M114" s="11">
        <v>98.0</v>
      </c>
      <c r="N114" s="11">
        <v>97.0</v>
      </c>
      <c r="O114" s="11">
        <v>98.0</v>
      </c>
      <c r="P114" s="11">
        <v>104.0</v>
      </c>
      <c r="Q114" s="11">
        <v>64.0</v>
      </c>
      <c r="R114" s="11">
        <f t="shared" si="3"/>
        <v>98</v>
      </c>
      <c r="S114" s="45"/>
    </row>
    <row r="115" ht="14.25" customHeight="1">
      <c r="A115" s="3"/>
      <c r="B115" s="45">
        <f t="shared" si="1"/>
        <v>10</v>
      </c>
      <c r="C115" s="45" t="s">
        <v>106</v>
      </c>
      <c r="D115" s="45">
        <v>3.0</v>
      </c>
      <c r="E115" s="45"/>
      <c r="F115" s="11" t="s">
        <v>1504</v>
      </c>
      <c r="G115" s="11" t="s">
        <v>131</v>
      </c>
      <c r="H115" s="11" t="s">
        <v>775</v>
      </c>
      <c r="I115" s="11" t="s">
        <v>1499</v>
      </c>
      <c r="J115" s="11">
        <v>41.0</v>
      </c>
      <c r="K115" s="105">
        <f t="shared" si="2"/>
        <v>11</v>
      </c>
      <c r="L115" s="11">
        <v>124.0</v>
      </c>
      <c r="M115" s="11">
        <v>122.0</v>
      </c>
      <c r="N115" s="11">
        <v>114.0</v>
      </c>
      <c r="O115" s="11">
        <v>120.0</v>
      </c>
      <c r="P115" s="11">
        <v>112.0</v>
      </c>
      <c r="Q115" s="11">
        <v>122.0</v>
      </c>
      <c r="R115" s="11">
        <f t="shared" si="3"/>
        <v>119</v>
      </c>
      <c r="S115" s="45"/>
    </row>
    <row r="116" ht="14.25" customHeight="1">
      <c r="A116" s="3"/>
      <c r="B116" s="45">
        <f t="shared" si="1"/>
        <v>12</v>
      </c>
      <c r="C116" s="45" t="s">
        <v>106</v>
      </c>
      <c r="D116" s="45"/>
      <c r="E116" s="45"/>
      <c r="F116" s="11" t="s">
        <v>887</v>
      </c>
      <c r="G116" s="11" t="s">
        <v>105</v>
      </c>
      <c r="H116" s="11" t="s">
        <v>775</v>
      </c>
      <c r="I116" s="11" t="s">
        <v>1499</v>
      </c>
      <c r="J116" s="11">
        <v>42.0</v>
      </c>
      <c r="K116" s="105">
        <f t="shared" si="2"/>
        <v>14</v>
      </c>
      <c r="L116" s="11">
        <v>160.0</v>
      </c>
      <c r="M116" s="11">
        <v>140.0</v>
      </c>
      <c r="N116" s="11">
        <v>148.0</v>
      </c>
      <c r="O116" s="11">
        <v>141.0</v>
      </c>
      <c r="P116" s="11">
        <v>122.0</v>
      </c>
      <c r="Q116" s="11">
        <v>137.0</v>
      </c>
      <c r="R116" s="11">
        <f t="shared" si="3"/>
        <v>141</v>
      </c>
      <c r="S116" s="45"/>
    </row>
    <row r="117" ht="14.25" customHeight="1">
      <c r="A117" s="3"/>
      <c r="B117" s="45">
        <f t="shared" si="1"/>
        <v>9</v>
      </c>
      <c r="C117" s="45" t="s">
        <v>106</v>
      </c>
      <c r="D117" s="45">
        <v>3.0</v>
      </c>
      <c r="E117" s="45"/>
      <c r="F117" s="11" t="s">
        <v>1506</v>
      </c>
      <c r="G117" s="11" t="s">
        <v>94</v>
      </c>
      <c r="H117" s="11" t="s">
        <v>772</v>
      </c>
      <c r="I117" s="11" t="s">
        <v>1502</v>
      </c>
      <c r="J117" s="11">
        <v>42.0</v>
      </c>
      <c r="K117" s="105">
        <f t="shared" si="2"/>
        <v>9</v>
      </c>
      <c r="L117" s="11">
        <v>97.0</v>
      </c>
      <c r="M117" s="11">
        <v>94.0</v>
      </c>
      <c r="N117" s="11">
        <v>110.0</v>
      </c>
      <c r="O117" s="11">
        <v>92.0</v>
      </c>
      <c r="P117" s="11">
        <v>111.0</v>
      </c>
      <c r="Q117" s="11">
        <v>132.0</v>
      </c>
      <c r="R117" s="11">
        <f t="shared" si="3"/>
        <v>106</v>
      </c>
      <c r="S117" s="45"/>
    </row>
    <row r="118" ht="14.25" customHeight="1">
      <c r="A118" s="3"/>
      <c r="B118" s="45">
        <f t="shared" si="1"/>
        <v>9</v>
      </c>
      <c r="C118" s="45" t="s">
        <v>106</v>
      </c>
      <c r="D118" s="45">
        <v>2.0</v>
      </c>
      <c r="E118" s="45" t="s">
        <v>95</v>
      </c>
      <c r="F118" s="11" t="s">
        <v>831</v>
      </c>
      <c r="G118" s="11" t="s">
        <v>237</v>
      </c>
      <c r="H118" s="11" t="s">
        <v>775</v>
      </c>
      <c r="I118" s="11" t="s">
        <v>1507</v>
      </c>
      <c r="J118" s="11">
        <v>43.0</v>
      </c>
      <c r="K118" s="105">
        <f t="shared" si="2"/>
        <v>10</v>
      </c>
      <c r="L118" s="11">
        <v>112.0</v>
      </c>
      <c r="M118" s="11">
        <v>102.0</v>
      </c>
      <c r="N118" s="11">
        <v>103.0</v>
      </c>
      <c r="O118" s="11">
        <v>88.0</v>
      </c>
      <c r="P118" s="11">
        <v>83.0</v>
      </c>
      <c r="Q118" s="11">
        <v>145.0</v>
      </c>
      <c r="R118" s="11">
        <f t="shared" si="3"/>
        <v>105</v>
      </c>
      <c r="S118" s="45"/>
    </row>
    <row r="119" ht="14.25" customHeight="1">
      <c r="A119" s="3"/>
      <c r="B119" s="45">
        <f t="shared" si="1"/>
        <v>11</v>
      </c>
      <c r="C119" s="45" t="s">
        <v>106</v>
      </c>
      <c r="D119" s="45"/>
      <c r="E119" s="45"/>
      <c r="F119" s="11" t="s">
        <v>1508</v>
      </c>
      <c r="G119" s="11" t="s">
        <v>67</v>
      </c>
      <c r="H119" s="11" t="s">
        <v>775</v>
      </c>
      <c r="I119" s="11" t="s">
        <v>1507</v>
      </c>
      <c r="J119" s="11">
        <v>43.0</v>
      </c>
      <c r="K119" s="105">
        <f t="shared" si="2"/>
        <v>10</v>
      </c>
      <c r="L119" s="11">
        <v>111.0</v>
      </c>
      <c r="M119" s="11">
        <v>132.0</v>
      </c>
      <c r="N119" s="11">
        <v>128.0</v>
      </c>
      <c r="O119" s="11">
        <v>132.0</v>
      </c>
      <c r="P119" s="11">
        <v>118.0</v>
      </c>
      <c r="Q119" s="11">
        <v>114.0</v>
      </c>
      <c r="R119" s="11">
        <f t="shared" si="3"/>
        <v>122</v>
      </c>
      <c r="S119" s="45"/>
    </row>
    <row r="120" ht="14.25" customHeight="1">
      <c r="A120" s="3"/>
      <c r="B120" s="45">
        <f t="shared" si="1"/>
        <v>12</v>
      </c>
      <c r="C120" s="45" t="s">
        <v>106</v>
      </c>
      <c r="D120" s="45"/>
      <c r="E120" s="45"/>
      <c r="F120" s="11" t="s">
        <v>1510</v>
      </c>
      <c r="G120" s="11" t="s">
        <v>162</v>
      </c>
      <c r="H120" s="11" t="s">
        <v>772</v>
      </c>
      <c r="I120" s="11" t="s">
        <v>1496</v>
      </c>
      <c r="J120" s="11">
        <v>43.0</v>
      </c>
      <c r="K120" s="105">
        <f t="shared" si="2"/>
        <v>11</v>
      </c>
      <c r="L120" s="11">
        <v>120.0</v>
      </c>
      <c r="M120" s="11">
        <v>152.0</v>
      </c>
      <c r="N120" s="11">
        <v>170.0</v>
      </c>
      <c r="O120" s="11">
        <v>125.0</v>
      </c>
      <c r="P120" s="11">
        <v>121.0</v>
      </c>
      <c r="Q120" s="11">
        <v>131.0</v>
      </c>
      <c r="R120" s="11">
        <f t="shared" si="3"/>
        <v>136</v>
      </c>
      <c r="S120" s="45"/>
    </row>
    <row r="121" ht="14.25" customHeight="1">
      <c r="A121" s="3"/>
      <c r="B121" s="45">
        <f t="shared" si="1"/>
        <v>10</v>
      </c>
      <c r="C121" s="45" t="s">
        <v>106</v>
      </c>
      <c r="D121" s="45"/>
      <c r="E121" s="45"/>
      <c r="F121" s="11" t="s">
        <v>70</v>
      </c>
      <c r="G121" s="11" t="s">
        <v>71</v>
      </c>
      <c r="H121" s="11" t="s">
        <v>775</v>
      </c>
      <c r="I121" s="11" t="s">
        <v>1507</v>
      </c>
      <c r="J121" s="11">
        <v>44.0</v>
      </c>
      <c r="K121" s="105">
        <f t="shared" si="2"/>
        <v>10</v>
      </c>
      <c r="L121" s="11">
        <v>116.0</v>
      </c>
      <c r="M121" s="11">
        <v>101.0</v>
      </c>
      <c r="N121" s="11">
        <v>118.0</v>
      </c>
      <c r="O121" s="11">
        <v>110.0</v>
      </c>
      <c r="P121" s="11">
        <v>116.0</v>
      </c>
      <c r="Q121" s="11">
        <v>118.0</v>
      </c>
      <c r="R121" s="11">
        <f t="shared" si="3"/>
        <v>113</v>
      </c>
      <c r="S121" s="45"/>
    </row>
    <row r="122" ht="14.25" customHeight="1">
      <c r="A122" s="3"/>
      <c r="B122" s="45">
        <f t="shared" si="1"/>
        <v>13</v>
      </c>
      <c r="C122" s="45" t="s">
        <v>106</v>
      </c>
      <c r="D122" s="107"/>
      <c r="E122" s="107" t="s">
        <v>106</v>
      </c>
      <c r="F122" s="12" t="s">
        <v>1511</v>
      </c>
      <c r="G122" s="11" t="s">
        <v>119</v>
      </c>
      <c r="H122" s="11" t="s">
        <v>772</v>
      </c>
      <c r="I122" s="11" t="s">
        <v>1502</v>
      </c>
      <c r="J122" s="11">
        <v>45.0</v>
      </c>
      <c r="K122" s="105">
        <f t="shared" si="2"/>
        <v>16</v>
      </c>
      <c r="L122" s="11">
        <v>185.0</v>
      </c>
      <c r="M122" s="11">
        <v>137.0</v>
      </c>
      <c r="N122" s="11">
        <v>149.0</v>
      </c>
      <c r="O122" s="11">
        <v>135.0</v>
      </c>
      <c r="P122" s="11">
        <v>136.0</v>
      </c>
      <c r="Q122" s="11">
        <v>187.0</v>
      </c>
      <c r="R122" s="11">
        <f t="shared" si="3"/>
        <v>154</v>
      </c>
      <c r="S122" s="45"/>
    </row>
    <row r="123" ht="14.25" customHeight="1">
      <c r="A123" s="3"/>
      <c r="B123" s="45">
        <f t="shared" si="1"/>
        <v>11</v>
      </c>
      <c r="C123" s="45" t="s">
        <v>106</v>
      </c>
      <c r="D123" s="45"/>
      <c r="E123" s="45"/>
      <c r="F123" s="11" t="s">
        <v>1277</v>
      </c>
      <c r="G123" s="11" t="s">
        <v>148</v>
      </c>
      <c r="H123" s="11" t="s">
        <v>775</v>
      </c>
      <c r="I123" s="11" t="s">
        <v>1499</v>
      </c>
      <c r="J123" s="11">
        <v>45.0</v>
      </c>
      <c r="K123" s="105">
        <f t="shared" si="2"/>
        <v>14</v>
      </c>
      <c r="L123" s="11">
        <v>159.0</v>
      </c>
      <c r="M123" s="11">
        <v>117.0</v>
      </c>
      <c r="N123" s="11">
        <v>99.0</v>
      </c>
      <c r="O123" s="11">
        <v>112.0</v>
      </c>
      <c r="P123" s="11">
        <v>99.0</v>
      </c>
      <c r="Q123" s="11">
        <v>156.0</v>
      </c>
      <c r="R123" s="11">
        <f t="shared" si="3"/>
        <v>123</v>
      </c>
      <c r="S123" s="45"/>
    </row>
    <row r="124" ht="14.25" customHeight="1">
      <c r="A124" s="3"/>
      <c r="B124" s="45">
        <f t="shared" si="1"/>
        <v>14</v>
      </c>
      <c r="C124" s="45" t="s">
        <v>106</v>
      </c>
      <c r="D124" s="45">
        <v>3.0</v>
      </c>
      <c r="E124" s="45" t="s">
        <v>106</v>
      </c>
      <c r="F124" s="11" t="s">
        <v>1514</v>
      </c>
      <c r="G124" s="11" t="s">
        <v>128</v>
      </c>
      <c r="H124" s="11" t="s">
        <v>775</v>
      </c>
      <c r="I124" s="11" t="s">
        <v>1499</v>
      </c>
      <c r="J124" s="11">
        <v>45.0</v>
      </c>
      <c r="K124" s="105">
        <f t="shared" si="2"/>
        <v>16</v>
      </c>
      <c r="L124" s="11">
        <v>183.0</v>
      </c>
      <c r="M124" s="11">
        <v>162.0</v>
      </c>
      <c r="N124" s="11">
        <v>121.0</v>
      </c>
      <c r="O124" s="11">
        <v>156.0</v>
      </c>
      <c r="P124" s="11">
        <v>138.0</v>
      </c>
      <c r="Q124" s="11">
        <v>184.0</v>
      </c>
      <c r="R124" s="11">
        <f t="shared" si="3"/>
        <v>157</v>
      </c>
      <c r="S124" s="45"/>
    </row>
    <row r="125" ht="14.25" customHeight="1">
      <c r="A125" s="3"/>
      <c r="B125" s="45">
        <f t="shared" si="1"/>
        <v>14</v>
      </c>
      <c r="C125" s="45" t="s">
        <v>106</v>
      </c>
      <c r="D125" s="45"/>
      <c r="E125" s="45" t="s">
        <v>106</v>
      </c>
      <c r="F125" s="11" t="s">
        <v>1515</v>
      </c>
      <c r="G125" s="11" t="s">
        <v>192</v>
      </c>
      <c r="H125" s="11" t="s">
        <v>772</v>
      </c>
      <c r="I125" s="11" t="s">
        <v>1502</v>
      </c>
      <c r="J125" s="11">
        <v>46.0</v>
      </c>
      <c r="K125" s="105">
        <f t="shared" si="2"/>
        <v>12</v>
      </c>
      <c r="L125" s="11">
        <v>143.0</v>
      </c>
      <c r="M125" s="11">
        <v>149.0</v>
      </c>
      <c r="N125" s="11">
        <v>153.0</v>
      </c>
      <c r="O125" s="11">
        <v>150.0</v>
      </c>
      <c r="P125" s="11">
        <v>179.0</v>
      </c>
      <c r="Q125" s="11">
        <v>178.0</v>
      </c>
      <c r="R125" s="11">
        <f t="shared" si="3"/>
        <v>158</v>
      </c>
      <c r="S125" s="45"/>
    </row>
    <row r="126" ht="14.25" customHeight="1">
      <c r="A126" s="3"/>
      <c r="B126" s="45">
        <f t="shared" si="1"/>
        <v>14</v>
      </c>
      <c r="C126" s="45" t="s">
        <v>106</v>
      </c>
      <c r="D126" s="45">
        <v>1.0</v>
      </c>
      <c r="E126" s="45"/>
      <c r="F126" s="11" t="s">
        <v>1516</v>
      </c>
      <c r="G126" s="11" t="s">
        <v>85</v>
      </c>
      <c r="H126" s="11" t="s">
        <v>775</v>
      </c>
      <c r="I126" s="11" t="s">
        <v>1507</v>
      </c>
      <c r="J126" s="11">
        <v>46.0</v>
      </c>
      <c r="K126" s="105">
        <f t="shared" si="2"/>
        <v>15</v>
      </c>
      <c r="L126" s="11">
        <v>173.0</v>
      </c>
      <c r="M126" s="11">
        <v>160.0</v>
      </c>
      <c r="N126" s="11">
        <v>152.0</v>
      </c>
      <c r="O126" s="11">
        <v>149.0</v>
      </c>
      <c r="P126" s="11">
        <v>143.0</v>
      </c>
      <c r="Q126" s="11">
        <v>190.0</v>
      </c>
      <c r="R126" s="11">
        <f t="shared" si="3"/>
        <v>161</v>
      </c>
      <c r="S126" s="45"/>
    </row>
    <row r="127" ht="14.25" customHeight="1">
      <c r="A127" s="3"/>
      <c r="B127" s="45">
        <f t="shared" si="1"/>
        <v>15</v>
      </c>
      <c r="C127" s="45" t="s">
        <v>106</v>
      </c>
      <c r="D127" s="45">
        <v>1.0</v>
      </c>
      <c r="E127" s="45"/>
      <c r="F127" s="11" t="s">
        <v>1377</v>
      </c>
      <c r="G127" s="11" t="s">
        <v>165</v>
      </c>
      <c r="H127" s="11" t="s">
        <v>775</v>
      </c>
      <c r="I127" s="11" t="s">
        <v>1518</v>
      </c>
      <c r="J127" s="11">
        <v>47.0</v>
      </c>
      <c r="K127" s="105">
        <f t="shared" si="2"/>
        <v>17</v>
      </c>
      <c r="L127" s="11">
        <v>202.0</v>
      </c>
      <c r="M127" s="11">
        <v>180.0</v>
      </c>
      <c r="N127" s="11">
        <v>133.0</v>
      </c>
      <c r="O127" s="11">
        <v>166.0</v>
      </c>
      <c r="P127" s="11">
        <v>152.0</v>
      </c>
      <c r="Q127" s="11">
        <v>182.0</v>
      </c>
      <c r="R127" s="11">
        <f t="shared" si="3"/>
        <v>169</v>
      </c>
      <c r="S127" s="45"/>
    </row>
    <row r="128" ht="14.25" customHeight="1">
      <c r="A128" s="3"/>
      <c r="B128" s="45">
        <f t="shared" si="1"/>
        <v>15</v>
      </c>
      <c r="C128" s="45" t="s">
        <v>106</v>
      </c>
      <c r="D128" s="45"/>
      <c r="E128" s="45"/>
      <c r="F128" s="11" t="s">
        <v>1519</v>
      </c>
      <c r="G128" s="11" t="s">
        <v>171</v>
      </c>
      <c r="H128" s="11" t="s">
        <v>775</v>
      </c>
      <c r="I128" s="11" t="s">
        <v>1518</v>
      </c>
      <c r="J128" s="11">
        <v>48.0</v>
      </c>
      <c r="K128" s="105">
        <f t="shared" si="2"/>
        <v>17</v>
      </c>
      <c r="L128" s="11">
        <v>200.0</v>
      </c>
      <c r="M128" s="11">
        <v>157.0</v>
      </c>
      <c r="N128" s="11">
        <v>179.0</v>
      </c>
      <c r="O128" s="11">
        <v>146.0</v>
      </c>
      <c r="P128" s="11">
        <v>133.0</v>
      </c>
      <c r="Q128" s="11">
        <v>238.0</v>
      </c>
      <c r="R128" s="11">
        <f t="shared" si="3"/>
        <v>175</v>
      </c>
      <c r="S128" s="45"/>
    </row>
    <row r="129" ht="14.25" customHeight="1">
      <c r="A129" s="3"/>
      <c r="B129" s="45">
        <f t="shared" si="1"/>
        <v>11</v>
      </c>
      <c r="C129" s="45" t="s">
        <v>106</v>
      </c>
      <c r="D129" s="45">
        <v>1.0</v>
      </c>
      <c r="E129" s="45"/>
      <c r="F129" s="11" t="s">
        <v>1482</v>
      </c>
      <c r="G129" s="11" t="s">
        <v>98</v>
      </c>
      <c r="H129" s="11" t="s">
        <v>775</v>
      </c>
      <c r="I129" s="11" t="s">
        <v>1507</v>
      </c>
      <c r="J129" s="11">
        <v>49.0</v>
      </c>
      <c r="K129" s="105">
        <f t="shared" si="2"/>
        <v>12</v>
      </c>
      <c r="L129" s="11">
        <v>141.0</v>
      </c>
      <c r="M129" s="11">
        <v>103.0</v>
      </c>
      <c r="N129" s="11">
        <v>105.0</v>
      </c>
      <c r="O129" s="11">
        <v>128.0</v>
      </c>
      <c r="P129" s="11">
        <v>126.0</v>
      </c>
      <c r="Q129" s="11">
        <v>139.0</v>
      </c>
      <c r="R129" s="11">
        <f t="shared" si="3"/>
        <v>123</v>
      </c>
      <c r="S129" s="45"/>
    </row>
    <row r="130" ht="14.25" customHeight="1">
      <c r="A130" s="3"/>
      <c r="B130" s="45">
        <f t="shared" si="1"/>
        <v>15</v>
      </c>
      <c r="C130" s="45" t="s">
        <v>106</v>
      </c>
      <c r="D130" s="45"/>
      <c r="E130" s="45"/>
      <c r="F130" s="11" t="s">
        <v>1194</v>
      </c>
      <c r="G130" s="11" t="s">
        <v>154</v>
      </c>
      <c r="H130" s="11" t="s">
        <v>775</v>
      </c>
      <c r="I130" s="11" t="s">
        <v>1521</v>
      </c>
      <c r="J130" s="11">
        <v>50.0</v>
      </c>
      <c r="K130" s="105">
        <f t="shared" si="2"/>
        <v>15</v>
      </c>
      <c r="L130" s="11">
        <v>178.0</v>
      </c>
      <c r="M130" s="11">
        <v>155.0</v>
      </c>
      <c r="N130" s="11">
        <v>192.0</v>
      </c>
      <c r="O130" s="11">
        <v>162.0</v>
      </c>
      <c r="P130" s="11">
        <v>163.0</v>
      </c>
      <c r="Q130" s="11">
        <v>222.0</v>
      </c>
      <c r="R130" s="11">
        <f t="shared" si="3"/>
        <v>178</v>
      </c>
      <c r="S130" s="45"/>
    </row>
    <row r="131" ht="14.25" customHeight="1">
      <c r="A131" s="3"/>
      <c r="B131" s="45">
        <f t="shared" si="1"/>
        <v>16</v>
      </c>
      <c r="C131" s="45" t="s">
        <v>106</v>
      </c>
      <c r="D131" s="45"/>
      <c r="E131" s="45"/>
      <c r="F131" s="11" t="s">
        <v>1522</v>
      </c>
      <c r="G131" s="11" t="s">
        <v>148</v>
      </c>
      <c r="H131" s="11" t="s">
        <v>775</v>
      </c>
      <c r="I131" s="11" t="s">
        <v>1518</v>
      </c>
      <c r="J131" s="11">
        <v>51.0</v>
      </c>
      <c r="K131" s="105">
        <f t="shared" si="2"/>
        <v>17</v>
      </c>
      <c r="L131" s="11">
        <v>198.0</v>
      </c>
      <c r="M131" s="11">
        <v>197.0</v>
      </c>
      <c r="N131" s="11">
        <v>155.0</v>
      </c>
      <c r="O131" s="11">
        <v>155.0</v>
      </c>
      <c r="P131" s="11">
        <v>150.0</v>
      </c>
      <c r="Q131" s="11">
        <v>232.0</v>
      </c>
      <c r="R131" s="11">
        <f t="shared" si="3"/>
        <v>181</v>
      </c>
      <c r="S131" s="45"/>
    </row>
    <row r="132" ht="14.25" customHeight="1">
      <c r="A132" s="3"/>
      <c r="B132" s="45">
        <f t="shared" si="1"/>
        <v>16</v>
      </c>
      <c r="C132" s="45" t="s">
        <v>106</v>
      </c>
      <c r="D132" s="45"/>
      <c r="E132" s="45" t="s">
        <v>106</v>
      </c>
      <c r="F132" s="11" t="s">
        <v>286</v>
      </c>
      <c r="G132" s="11" t="s">
        <v>62</v>
      </c>
      <c r="H132" s="11" t="s">
        <v>775</v>
      </c>
      <c r="I132" s="11" t="s">
        <v>1518</v>
      </c>
      <c r="J132" s="11">
        <v>52.0</v>
      </c>
      <c r="K132" s="105">
        <f t="shared" si="2"/>
        <v>17</v>
      </c>
      <c r="L132" s="11">
        <v>192.0</v>
      </c>
      <c r="M132" s="11">
        <v>177.0</v>
      </c>
      <c r="N132" s="11">
        <v>185.0</v>
      </c>
      <c r="O132" s="11">
        <v>169.0</v>
      </c>
      <c r="P132" s="11">
        <v>162.0</v>
      </c>
      <c r="Q132" s="11">
        <v>216.0</v>
      </c>
      <c r="R132" s="11">
        <f t="shared" si="3"/>
        <v>183</v>
      </c>
      <c r="S132" s="45"/>
    </row>
    <row r="133" ht="14.25" customHeight="1">
      <c r="A133" s="3"/>
      <c r="B133" s="45">
        <f t="shared" si="1"/>
        <v>14</v>
      </c>
      <c r="C133" s="45" t="s">
        <v>106</v>
      </c>
      <c r="D133" s="45"/>
      <c r="E133" s="107" t="s">
        <v>106</v>
      </c>
      <c r="F133" s="12" t="s">
        <v>881</v>
      </c>
      <c r="G133" s="11" t="s">
        <v>165</v>
      </c>
      <c r="H133" s="11" t="s">
        <v>775</v>
      </c>
      <c r="I133" s="11" t="s">
        <v>1518</v>
      </c>
      <c r="J133" s="11">
        <v>53.0</v>
      </c>
      <c r="K133" s="105">
        <f t="shared" si="2"/>
        <v>16</v>
      </c>
      <c r="L133" s="11">
        <v>186.0</v>
      </c>
      <c r="M133" s="11">
        <v>202.0</v>
      </c>
      <c r="N133" s="11">
        <v>142.0</v>
      </c>
      <c r="O133" s="11">
        <v>154.0</v>
      </c>
      <c r="P133" s="11">
        <v>145.0</v>
      </c>
      <c r="Q133" s="11">
        <v>162.0</v>
      </c>
      <c r="R133" s="11">
        <f t="shared" si="3"/>
        <v>165</v>
      </c>
      <c r="S133" s="45"/>
    </row>
    <row r="134" ht="14.25" customHeight="1">
      <c r="A134" s="3"/>
      <c r="B134" s="45">
        <f t="shared" si="1"/>
        <v>12</v>
      </c>
      <c r="C134" s="45" t="s">
        <v>106</v>
      </c>
      <c r="D134" s="45"/>
      <c r="E134" s="45"/>
      <c r="F134" s="11" t="s">
        <v>1524</v>
      </c>
      <c r="G134" s="11" t="s">
        <v>85</v>
      </c>
      <c r="H134" s="11" t="s">
        <v>775</v>
      </c>
      <c r="I134" s="11" t="s">
        <v>1507</v>
      </c>
      <c r="J134" s="11">
        <v>54.0</v>
      </c>
      <c r="K134" s="105">
        <f t="shared" si="2"/>
        <v>13</v>
      </c>
      <c r="L134" s="11">
        <v>145.0</v>
      </c>
      <c r="M134" s="11">
        <v>134.0</v>
      </c>
      <c r="N134" s="11">
        <v>150.0</v>
      </c>
      <c r="O134" s="11">
        <v>121.0</v>
      </c>
      <c r="P134" s="11">
        <v>127.0</v>
      </c>
      <c r="Q134" s="11">
        <v>186.0</v>
      </c>
      <c r="R134" s="11">
        <f t="shared" si="3"/>
        <v>143</v>
      </c>
      <c r="S134" s="45"/>
    </row>
    <row r="135" ht="14.25" customHeight="1">
      <c r="A135" s="3"/>
      <c r="B135" s="45">
        <f t="shared" si="1"/>
        <v>11</v>
      </c>
      <c r="C135" s="45" t="s">
        <v>106</v>
      </c>
      <c r="D135" s="45"/>
      <c r="E135" s="107"/>
      <c r="F135" s="12" t="s">
        <v>1238</v>
      </c>
      <c r="G135" s="11" t="s">
        <v>102</v>
      </c>
      <c r="H135" s="11" t="s">
        <v>775</v>
      </c>
      <c r="I135" s="11" t="s">
        <v>1507</v>
      </c>
      <c r="J135" s="11">
        <v>55.0</v>
      </c>
      <c r="K135" s="105">
        <f t="shared" si="2"/>
        <v>13</v>
      </c>
      <c r="L135" s="11">
        <v>146.0</v>
      </c>
      <c r="M135" s="11">
        <v>151.0</v>
      </c>
      <c r="N135" s="11">
        <v>125.0</v>
      </c>
      <c r="O135" s="11">
        <v>129.0</v>
      </c>
      <c r="P135" s="11">
        <v>100.0</v>
      </c>
      <c r="Q135" s="11">
        <v>125.0</v>
      </c>
      <c r="R135" s="11">
        <f t="shared" si="3"/>
        <v>129</v>
      </c>
      <c r="S135" s="45"/>
    </row>
    <row r="136" ht="14.25" customHeight="1">
      <c r="A136" s="3"/>
      <c r="B136" s="45">
        <f t="shared" si="1"/>
        <v>10</v>
      </c>
      <c r="C136" s="45" t="s">
        <v>106</v>
      </c>
      <c r="D136" s="45">
        <v>4.0</v>
      </c>
      <c r="E136" s="45"/>
      <c r="F136" s="11" t="s">
        <v>653</v>
      </c>
      <c r="G136" s="11" t="s">
        <v>125</v>
      </c>
      <c r="H136" s="11" t="s">
        <v>775</v>
      </c>
      <c r="I136" s="11" t="s">
        <v>1499</v>
      </c>
      <c r="J136" s="11">
        <v>56.0</v>
      </c>
      <c r="K136" s="105">
        <f t="shared" si="2"/>
        <v>14</v>
      </c>
      <c r="L136" s="11">
        <v>162.0</v>
      </c>
      <c r="M136" s="11">
        <v>115.0</v>
      </c>
      <c r="N136" s="11">
        <v>111.0</v>
      </c>
      <c r="O136" s="11">
        <v>108.0</v>
      </c>
      <c r="P136" s="11">
        <v>95.0</v>
      </c>
      <c r="Q136" s="11">
        <v>96.0</v>
      </c>
      <c r="R136" s="11">
        <f t="shared" si="3"/>
        <v>114</v>
      </c>
      <c r="S136" s="45"/>
    </row>
    <row r="137" ht="14.25" customHeight="1">
      <c r="A137" s="3"/>
      <c r="B137" s="45">
        <f t="shared" si="1"/>
        <v>10</v>
      </c>
      <c r="C137" s="45" t="s">
        <v>106</v>
      </c>
      <c r="D137" s="45">
        <v>3.0</v>
      </c>
      <c r="E137" s="45"/>
      <c r="F137" s="11" t="s">
        <v>437</v>
      </c>
      <c r="G137" s="11" t="s">
        <v>176</v>
      </c>
      <c r="H137" s="11" t="s">
        <v>775</v>
      </c>
      <c r="I137" s="11" t="s">
        <v>1507</v>
      </c>
      <c r="J137" s="11">
        <v>57.0</v>
      </c>
      <c r="K137" s="105">
        <f t="shared" si="2"/>
        <v>10</v>
      </c>
      <c r="L137" s="11">
        <v>119.0</v>
      </c>
      <c r="M137" s="11">
        <v>105.0</v>
      </c>
      <c r="N137" s="11">
        <v>117.0</v>
      </c>
      <c r="O137" s="11">
        <v>119.0</v>
      </c>
      <c r="P137" s="11">
        <v>120.0</v>
      </c>
      <c r="Q137" s="11">
        <v>130.0</v>
      </c>
      <c r="R137" s="11">
        <f t="shared" si="3"/>
        <v>118</v>
      </c>
      <c r="S137" s="45"/>
    </row>
    <row r="138" ht="14.25" customHeight="1">
      <c r="A138" s="3"/>
      <c r="B138" s="45">
        <f t="shared" si="1"/>
        <v>14</v>
      </c>
      <c r="C138" s="45" t="s">
        <v>106</v>
      </c>
      <c r="D138" s="45"/>
      <c r="E138" s="45"/>
      <c r="F138" s="11" t="s">
        <v>1526</v>
      </c>
      <c r="G138" s="11" t="s">
        <v>94</v>
      </c>
      <c r="H138" s="11" t="s">
        <v>775</v>
      </c>
      <c r="I138" s="11"/>
      <c r="J138" s="11">
        <v>58.0</v>
      </c>
      <c r="K138" s="105">
        <f t="shared" si="2"/>
        <v>16</v>
      </c>
      <c r="L138" s="11">
        <v>188.0</v>
      </c>
      <c r="M138" s="11">
        <v>150.0</v>
      </c>
      <c r="N138" s="11">
        <v>134.0</v>
      </c>
      <c r="O138" s="11">
        <v>144.0</v>
      </c>
      <c r="P138" s="11">
        <v>144.0</v>
      </c>
      <c r="Q138" s="11">
        <v>230.0</v>
      </c>
      <c r="R138" s="11">
        <f t="shared" si="3"/>
        <v>165</v>
      </c>
      <c r="S138" s="45"/>
    </row>
    <row r="139" ht="14.25" customHeight="1">
      <c r="A139" s="3"/>
      <c r="B139" s="45">
        <f t="shared" si="1"/>
        <v>15</v>
      </c>
      <c r="C139" s="45" t="s">
        <v>106</v>
      </c>
      <c r="D139" s="45"/>
      <c r="E139" s="45"/>
      <c r="F139" s="11" t="s">
        <v>1528</v>
      </c>
      <c r="G139" s="11" t="s">
        <v>116</v>
      </c>
      <c r="H139" s="11" t="s">
        <v>775</v>
      </c>
      <c r="I139" s="11" t="s">
        <v>1518</v>
      </c>
      <c r="J139" s="11">
        <v>59.0</v>
      </c>
      <c r="K139" s="105">
        <f t="shared" si="2"/>
        <v>18</v>
      </c>
      <c r="L139" s="11">
        <v>204.0</v>
      </c>
      <c r="M139" s="11">
        <v>189.0</v>
      </c>
      <c r="N139" s="11">
        <v>171.0</v>
      </c>
      <c r="O139" s="11">
        <v>163.0</v>
      </c>
      <c r="P139" s="11">
        <v>159.0</v>
      </c>
      <c r="Q139" s="11">
        <v>141.0</v>
      </c>
      <c r="R139" s="11">
        <f t="shared" si="3"/>
        <v>171</v>
      </c>
      <c r="S139" s="45"/>
    </row>
    <row r="140" ht="14.25" customHeight="1">
      <c r="A140" s="3"/>
      <c r="B140" s="45">
        <f t="shared" si="1"/>
        <v>15</v>
      </c>
      <c r="C140" s="45" t="s">
        <v>106</v>
      </c>
      <c r="D140" s="45"/>
      <c r="E140" s="45"/>
      <c r="F140" s="11" t="s">
        <v>624</v>
      </c>
      <c r="G140" s="11" t="s">
        <v>58</v>
      </c>
      <c r="H140" s="11" t="s">
        <v>775</v>
      </c>
      <c r="I140" s="11" t="s">
        <v>1518</v>
      </c>
      <c r="J140" s="11">
        <v>60.0</v>
      </c>
      <c r="K140" s="105">
        <f t="shared" si="2"/>
        <v>16</v>
      </c>
      <c r="L140" s="11">
        <v>191.0</v>
      </c>
      <c r="M140" s="11">
        <v>170.0</v>
      </c>
      <c r="N140" s="11">
        <v>180.0</v>
      </c>
      <c r="O140" s="11">
        <v>145.0</v>
      </c>
      <c r="P140" s="11">
        <v>158.0</v>
      </c>
      <c r="Q140" s="11">
        <v>204.0</v>
      </c>
      <c r="R140" s="11">
        <f t="shared" si="3"/>
        <v>174</v>
      </c>
      <c r="S140" s="45"/>
    </row>
    <row r="141" ht="14.25" customHeight="1">
      <c r="A141" s="3"/>
      <c r="B141" s="45">
        <f t="shared" si="1"/>
        <v>15</v>
      </c>
      <c r="C141" s="45" t="s">
        <v>106</v>
      </c>
      <c r="D141" s="45"/>
      <c r="E141" s="45"/>
      <c r="F141" s="11" t="s">
        <v>1530</v>
      </c>
      <c r="G141" s="11" t="s">
        <v>125</v>
      </c>
      <c r="H141" s="11" t="s">
        <v>775</v>
      </c>
      <c r="I141" s="11"/>
      <c r="J141" s="11">
        <v>61.0</v>
      </c>
      <c r="K141" s="105">
        <f t="shared" si="2"/>
        <v>13</v>
      </c>
      <c r="L141" s="11">
        <v>151.0</v>
      </c>
      <c r="M141" s="11">
        <v>205.0</v>
      </c>
      <c r="N141" s="11">
        <v>161.0</v>
      </c>
      <c r="O141" s="11">
        <v>188.0</v>
      </c>
      <c r="P141" s="11">
        <v>186.0</v>
      </c>
      <c r="Q141" s="11">
        <v>181.0</v>
      </c>
      <c r="R141" s="11">
        <f t="shared" si="3"/>
        <v>178</v>
      </c>
      <c r="S141" s="45"/>
    </row>
    <row r="142" ht="14.25" customHeight="1">
      <c r="A142" s="3"/>
      <c r="B142" s="45">
        <f t="shared" si="1"/>
        <v>17</v>
      </c>
      <c r="C142" s="45" t="s">
        <v>106</v>
      </c>
      <c r="D142" s="45"/>
      <c r="E142" s="45"/>
      <c r="F142" s="11" t="s">
        <v>1531</v>
      </c>
      <c r="G142" s="11" t="s">
        <v>206</v>
      </c>
      <c r="H142" s="11" t="s">
        <v>775</v>
      </c>
      <c r="I142" s="11"/>
      <c r="J142" s="11">
        <v>62.0</v>
      </c>
      <c r="K142" s="105" t="str">
        <f t="shared" si="2"/>
        <v>#DIV/0!</v>
      </c>
      <c r="L142" s="11" t="s">
        <v>36</v>
      </c>
      <c r="M142" s="11">
        <v>211.0</v>
      </c>
      <c r="N142" s="11" t="s">
        <v>36</v>
      </c>
      <c r="O142" s="11">
        <v>180.0</v>
      </c>
      <c r="P142" s="11">
        <v>201.0</v>
      </c>
      <c r="Q142" s="11">
        <v>207.0</v>
      </c>
      <c r="R142" s="11">
        <f t="shared" si="3"/>
        <v>199</v>
      </c>
      <c r="S142" s="11"/>
    </row>
    <row r="143" ht="14.25" customHeight="1">
      <c r="A143" s="3"/>
      <c r="B143" s="45">
        <f t="shared" si="1"/>
        <v>17</v>
      </c>
      <c r="C143" s="45" t="s">
        <v>106</v>
      </c>
      <c r="D143" s="45"/>
      <c r="E143" s="45"/>
      <c r="F143" s="11" t="s">
        <v>1281</v>
      </c>
      <c r="G143" s="11" t="s">
        <v>119</v>
      </c>
      <c r="H143" s="11" t="s">
        <v>775</v>
      </c>
      <c r="I143" s="11"/>
      <c r="J143" s="11">
        <v>63.0</v>
      </c>
      <c r="K143" s="105" t="str">
        <f t="shared" si="2"/>
        <v>#DIV/0!</v>
      </c>
      <c r="L143" s="11" t="s">
        <v>36</v>
      </c>
      <c r="M143" s="11" t="s">
        <v>36</v>
      </c>
      <c r="N143" s="11">
        <v>203.0</v>
      </c>
      <c r="O143" s="11">
        <v>184.0</v>
      </c>
      <c r="P143" s="11">
        <v>185.0</v>
      </c>
      <c r="Q143" s="11">
        <v>237.0</v>
      </c>
      <c r="R143" s="11">
        <f t="shared" si="3"/>
        <v>202</v>
      </c>
      <c r="S143" s="11"/>
    </row>
    <row r="144" ht="14.25" customHeight="1">
      <c r="A144" s="3"/>
      <c r="B144" s="45">
        <f t="shared" si="1"/>
        <v>17</v>
      </c>
      <c r="C144" s="45" t="s">
        <v>106</v>
      </c>
      <c r="D144" s="45"/>
      <c r="E144" s="45"/>
      <c r="F144" s="11" t="s">
        <v>1280</v>
      </c>
      <c r="G144" s="11" t="s">
        <v>62</v>
      </c>
      <c r="H144" s="11" t="s">
        <v>775</v>
      </c>
      <c r="I144" s="11" t="s">
        <v>1518</v>
      </c>
      <c r="J144" s="11">
        <v>64.0</v>
      </c>
      <c r="K144" s="105" t="str">
        <f t="shared" si="2"/>
        <v>#DIV/0!</v>
      </c>
      <c r="L144" s="11" t="s">
        <v>36</v>
      </c>
      <c r="M144" s="11" t="s">
        <v>36</v>
      </c>
      <c r="N144" s="11">
        <v>173.0</v>
      </c>
      <c r="O144" s="11">
        <v>171.0</v>
      </c>
      <c r="P144" s="11">
        <v>172.0</v>
      </c>
      <c r="Q144" s="11">
        <v>281.0</v>
      </c>
      <c r="R144" s="11">
        <f t="shared" si="3"/>
        <v>199</v>
      </c>
      <c r="S144" s="11"/>
    </row>
    <row r="145" ht="14.25" customHeight="1">
      <c r="A145" s="3"/>
      <c r="B145" s="45">
        <f t="shared" si="1"/>
        <v>2</v>
      </c>
      <c r="C145" s="45" t="s">
        <v>106</v>
      </c>
      <c r="D145" s="45">
        <v>37.0</v>
      </c>
      <c r="E145" s="45"/>
      <c r="F145" s="11" t="s">
        <v>321</v>
      </c>
      <c r="G145" s="11" t="s">
        <v>102</v>
      </c>
      <c r="H145" s="11" t="s">
        <v>781</v>
      </c>
      <c r="I145" s="11"/>
      <c r="J145" s="11"/>
      <c r="K145" s="105">
        <f t="shared" si="2"/>
        <v>2</v>
      </c>
      <c r="L145" s="11">
        <v>18.0</v>
      </c>
      <c r="M145" s="11">
        <v>19.0</v>
      </c>
      <c r="N145" s="11">
        <v>20.0</v>
      </c>
      <c r="O145" s="11">
        <v>9.0</v>
      </c>
      <c r="P145" s="11">
        <v>11.0</v>
      </c>
      <c r="Q145" s="11">
        <v>20.0</v>
      </c>
      <c r="R145" s="11">
        <f t="shared" si="3"/>
        <v>16</v>
      </c>
      <c r="S145" s="45"/>
    </row>
    <row r="146" ht="14.25" customHeight="1">
      <c r="A146" s="3"/>
      <c r="B146" s="45">
        <f t="shared" si="1"/>
        <v>2</v>
      </c>
      <c r="C146" s="45" t="s">
        <v>106</v>
      </c>
      <c r="D146" s="45">
        <v>36.0</v>
      </c>
      <c r="E146" s="45"/>
      <c r="F146" s="11" t="s">
        <v>284</v>
      </c>
      <c r="G146" s="11" t="s">
        <v>58</v>
      </c>
      <c r="H146" s="11" t="s">
        <v>781</v>
      </c>
      <c r="I146" s="11"/>
      <c r="J146" s="11"/>
      <c r="K146" s="105">
        <f t="shared" si="2"/>
        <v>2</v>
      </c>
      <c r="L146" s="11">
        <v>22.0</v>
      </c>
      <c r="M146" s="11">
        <v>23.0</v>
      </c>
      <c r="N146" s="11">
        <v>24.0</v>
      </c>
      <c r="O146" s="11">
        <v>14.0</v>
      </c>
      <c r="P146" s="11">
        <v>17.0</v>
      </c>
      <c r="Q146" s="11">
        <v>21.0</v>
      </c>
      <c r="R146" s="11">
        <f t="shared" si="3"/>
        <v>20</v>
      </c>
      <c r="S146" s="45"/>
    </row>
    <row r="147" ht="14.25" customHeight="1">
      <c r="A147" s="106"/>
      <c r="B147" s="45">
        <f t="shared" si="1"/>
        <v>4</v>
      </c>
      <c r="C147" s="45" t="s">
        <v>106</v>
      </c>
      <c r="D147" s="45">
        <v>20.0</v>
      </c>
      <c r="E147" s="45"/>
      <c r="F147" s="11" t="s">
        <v>357</v>
      </c>
      <c r="G147" s="11" t="s">
        <v>109</v>
      </c>
      <c r="H147" s="11" t="s">
        <v>781</v>
      </c>
      <c r="I147" s="11"/>
      <c r="J147" s="11"/>
      <c r="K147" s="105">
        <f t="shared" si="2"/>
        <v>3</v>
      </c>
      <c r="L147" s="11">
        <v>34.0</v>
      </c>
      <c r="M147" s="11">
        <v>47.0</v>
      </c>
      <c r="N147" s="11">
        <v>37.0</v>
      </c>
      <c r="O147" s="11">
        <v>26.0</v>
      </c>
      <c r="P147" s="11">
        <v>32.0</v>
      </c>
      <c r="Q147" s="11">
        <v>40.0</v>
      </c>
      <c r="R147" s="11">
        <f t="shared" si="3"/>
        <v>36</v>
      </c>
      <c r="S147" s="45"/>
    </row>
    <row r="148" ht="14.25" customHeight="1">
      <c r="A148" s="3"/>
      <c r="B148" s="45">
        <f t="shared" si="1"/>
        <v>4</v>
      </c>
      <c r="C148" s="45" t="s">
        <v>106</v>
      </c>
      <c r="D148" s="45">
        <v>23.0</v>
      </c>
      <c r="E148" s="45"/>
      <c r="F148" s="11" t="s">
        <v>919</v>
      </c>
      <c r="G148" s="11" t="s">
        <v>85</v>
      </c>
      <c r="H148" s="11" t="s">
        <v>781</v>
      </c>
      <c r="I148" s="11"/>
      <c r="J148" s="11"/>
      <c r="K148" s="105">
        <f t="shared" si="2"/>
        <v>4</v>
      </c>
      <c r="L148" s="11">
        <v>44.0</v>
      </c>
      <c r="M148" s="11">
        <v>36.0</v>
      </c>
      <c r="N148" s="11">
        <v>36.0</v>
      </c>
      <c r="O148" s="11">
        <v>31.0</v>
      </c>
      <c r="P148" s="11">
        <v>37.0</v>
      </c>
      <c r="Q148" s="11">
        <v>42.0</v>
      </c>
      <c r="R148" s="11">
        <f t="shared" si="3"/>
        <v>37</v>
      </c>
      <c r="S148" s="45"/>
    </row>
    <row r="149" ht="14.25" customHeight="1">
      <c r="A149" s="3"/>
      <c r="B149" s="45">
        <f t="shared" si="1"/>
        <v>5</v>
      </c>
      <c r="C149" s="45" t="s">
        <v>106</v>
      </c>
      <c r="D149" s="45">
        <v>12.0</v>
      </c>
      <c r="E149" s="45"/>
      <c r="F149" s="11" t="s">
        <v>701</v>
      </c>
      <c r="G149" s="11" t="s">
        <v>98</v>
      </c>
      <c r="H149" s="11" t="s">
        <v>781</v>
      </c>
      <c r="I149" s="11"/>
      <c r="J149" s="11"/>
      <c r="K149" s="105">
        <f t="shared" si="2"/>
        <v>5</v>
      </c>
      <c r="L149" s="11">
        <v>56.0</v>
      </c>
      <c r="M149" s="11">
        <v>57.0</v>
      </c>
      <c r="N149" s="11">
        <v>52.0</v>
      </c>
      <c r="O149" s="11">
        <v>48.0</v>
      </c>
      <c r="P149" s="11">
        <v>42.0</v>
      </c>
      <c r="Q149" s="11">
        <v>54.0</v>
      </c>
      <c r="R149" s="11">
        <f t="shared" si="3"/>
        <v>51</v>
      </c>
      <c r="S149" s="45"/>
    </row>
    <row r="150" ht="14.25" customHeight="1">
      <c r="A150" s="3"/>
      <c r="B150" s="45">
        <f t="shared" si="1"/>
        <v>6</v>
      </c>
      <c r="C150" s="45" t="s">
        <v>106</v>
      </c>
      <c r="D150" s="45">
        <v>6.0</v>
      </c>
      <c r="E150" s="45"/>
      <c r="F150" s="11" t="s">
        <v>666</v>
      </c>
      <c r="G150" s="11" t="s">
        <v>128</v>
      </c>
      <c r="H150" s="11" t="s">
        <v>781</v>
      </c>
      <c r="I150" s="11"/>
      <c r="J150" s="11"/>
      <c r="K150" s="105">
        <f t="shared" si="2"/>
        <v>8</v>
      </c>
      <c r="L150" s="11">
        <v>85.0</v>
      </c>
      <c r="M150" s="11">
        <v>74.0</v>
      </c>
      <c r="N150" s="11">
        <v>63.0</v>
      </c>
      <c r="O150" s="11">
        <v>63.0</v>
      </c>
      <c r="P150" s="11">
        <v>60.0</v>
      </c>
      <c r="Q150" s="11">
        <v>59.0</v>
      </c>
      <c r="R150" s="11">
        <f t="shared" si="3"/>
        <v>67</v>
      </c>
      <c r="S150" s="45"/>
    </row>
    <row r="151" ht="14.25" customHeight="1">
      <c r="A151" s="3"/>
      <c r="B151" s="45">
        <f t="shared" si="1"/>
        <v>7</v>
      </c>
      <c r="C151" s="45" t="s">
        <v>106</v>
      </c>
      <c r="D151" s="45">
        <v>3.0</v>
      </c>
      <c r="E151" s="45"/>
      <c r="F151" s="11" t="s">
        <v>405</v>
      </c>
      <c r="G151" s="11" t="s">
        <v>105</v>
      </c>
      <c r="H151" s="11" t="s">
        <v>781</v>
      </c>
      <c r="I151" s="11"/>
      <c r="J151" s="11"/>
      <c r="K151" s="105">
        <f t="shared" si="2"/>
        <v>6</v>
      </c>
      <c r="L151" s="11">
        <v>66.0</v>
      </c>
      <c r="M151" s="11">
        <v>80.0</v>
      </c>
      <c r="N151" s="11">
        <v>91.0</v>
      </c>
      <c r="O151" s="11">
        <v>76.0</v>
      </c>
      <c r="P151" s="11">
        <v>79.0</v>
      </c>
      <c r="Q151" s="11">
        <v>60.0</v>
      </c>
      <c r="R151" s="11">
        <f t="shared" si="3"/>
        <v>75</v>
      </c>
      <c r="S151" s="45"/>
    </row>
    <row r="152" ht="14.25" customHeight="1">
      <c r="A152" s="3"/>
      <c r="B152" s="45">
        <f t="shared" si="1"/>
        <v>7</v>
      </c>
      <c r="C152" s="45" t="s">
        <v>106</v>
      </c>
      <c r="D152" s="45">
        <v>4.0</v>
      </c>
      <c r="E152" s="45"/>
      <c r="F152" s="11" t="s">
        <v>1242</v>
      </c>
      <c r="G152" s="11" t="s">
        <v>162</v>
      </c>
      <c r="H152" s="11" t="s">
        <v>781</v>
      </c>
      <c r="I152" s="11"/>
      <c r="J152" s="11"/>
      <c r="K152" s="105">
        <f t="shared" si="2"/>
        <v>7</v>
      </c>
      <c r="L152" s="11">
        <v>73.0</v>
      </c>
      <c r="M152" s="11">
        <v>72.0</v>
      </c>
      <c r="N152" s="11">
        <v>62.0</v>
      </c>
      <c r="O152" s="11">
        <v>93.0</v>
      </c>
      <c r="P152" s="11">
        <v>94.0</v>
      </c>
      <c r="Q152" s="11">
        <v>67.0</v>
      </c>
      <c r="R152" s="11">
        <f t="shared" si="3"/>
        <v>76</v>
      </c>
      <c r="S152" s="45"/>
    </row>
    <row r="153" ht="14.25" customHeight="1">
      <c r="A153" s="3"/>
      <c r="B153" s="45">
        <f t="shared" si="1"/>
        <v>9</v>
      </c>
      <c r="C153" s="45" t="s">
        <v>106</v>
      </c>
      <c r="D153" s="45"/>
      <c r="E153" s="45"/>
      <c r="F153" s="11" t="s">
        <v>897</v>
      </c>
      <c r="G153" s="11" t="s">
        <v>109</v>
      </c>
      <c r="H153" s="11" t="s">
        <v>784</v>
      </c>
      <c r="I153" s="11"/>
      <c r="J153" s="11"/>
      <c r="K153" s="105">
        <f t="shared" si="2"/>
        <v>7</v>
      </c>
      <c r="L153" s="11">
        <v>76.0</v>
      </c>
      <c r="M153" s="11">
        <v>108.0</v>
      </c>
      <c r="N153" s="11">
        <v>86.0</v>
      </c>
      <c r="O153" s="11">
        <v>196.0</v>
      </c>
      <c r="P153" s="11" t="s">
        <v>36</v>
      </c>
      <c r="Q153" s="11">
        <v>66.0</v>
      </c>
      <c r="R153" s="11">
        <f t="shared" si="3"/>
        <v>106</v>
      </c>
      <c r="S153" s="45"/>
    </row>
    <row r="154" ht="14.25" customHeight="1">
      <c r="A154" s="3"/>
      <c r="B154" s="45">
        <f t="shared" si="1"/>
        <v>7</v>
      </c>
      <c r="C154" s="45" t="s">
        <v>106</v>
      </c>
      <c r="D154" s="45">
        <v>5.0</v>
      </c>
      <c r="E154" s="45"/>
      <c r="F154" s="11" t="s">
        <v>993</v>
      </c>
      <c r="G154" s="11" t="s">
        <v>49</v>
      </c>
      <c r="H154" s="11" t="s">
        <v>781</v>
      </c>
      <c r="I154" s="11"/>
      <c r="J154" s="11"/>
      <c r="K154" s="105">
        <f t="shared" si="2"/>
        <v>6</v>
      </c>
      <c r="L154" s="11">
        <v>65.0</v>
      </c>
      <c r="M154" s="11">
        <v>93.0</v>
      </c>
      <c r="N154" s="11">
        <v>77.0</v>
      </c>
      <c r="O154" s="11">
        <v>73.0</v>
      </c>
      <c r="P154" s="11">
        <v>56.0</v>
      </c>
      <c r="Q154" s="11">
        <v>117.0</v>
      </c>
      <c r="R154" s="11">
        <f t="shared" si="3"/>
        <v>80</v>
      </c>
      <c r="S154" s="45"/>
    </row>
    <row r="155" ht="14.25" customHeight="1">
      <c r="A155" s="3"/>
      <c r="B155" s="45">
        <f t="shared" si="1"/>
        <v>8</v>
      </c>
      <c r="C155" s="45" t="s">
        <v>106</v>
      </c>
      <c r="D155" s="45">
        <v>5.0</v>
      </c>
      <c r="E155" s="45"/>
      <c r="F155" s="11" t="s">
        <v>1540</v>
      </c>
      <c r="G155" s="11" t="s">
        <v>131</v>
      </c>
      <c r="H155" s="11" t="s">
        <v>781</v>
      </c>
      <c r="I155" s="11"/>
      <c r="J155" s="11"/>
      <c r="K155" s="105">
        <f t="shared" si="2"/>
        <v>7</v>
      </c>
      <c r="L155" s="11">
        <v>72.0</v>
      </c>
      <c r="M155" s="11">
        <v>90.0</v>
      </c>
      <c r="N155" s="11">
        <v>89.0</v>
      </c>
      <c r="O155" s="11">
        <v>91.0</v>
      </c>
      <c r="P155" s="11">
        <v>102.0</v>
      </c>
      <c r="Q155" s="11">
        <v>97.0</v>
      </c>
      <c r="R155" s="11">
        <f t="shared" si="3"/>
        <v>90</v>
      </c>
      <c r="S155" s="45"/>
    </row>
    <row r="156" ht="14.25" customHeight="1">
      <c r="A156" s="3"/>
      <c r="B156" s="45">
        <f t="shared" si="1"/>
        <v>9</v>
      </c>
      <c r="C156" s="45" t="s">
        <v>106</v>
      </c>
      <c r="D156" s="45">
        <v>2.0</v>
      </c>
      <c r="E156" s="45"/>
      <c r="F156" s="11" t="s">
        <v>961</v>
      </c>
      <c r="G156" s="11" t="s">
        <v>40</v>
      </c>
      <c r="H156" s="11" t="s">
        <v>781</v>
      </c>
      <c r="I156" s="11"/>
      <c r="J156" s="11"/>
      <c r="K156" s="105">
        <f t="shared" si="2"/>
        <v>9</v>
      </c>
      <c r="L156" s="11">
        <v>105.0</v>
      </c>
      <c r="M156" s="11">
        <v>96.0</v>
      </c>
      <c r="N156" s="11">
        <v>113.0</v>
      </c>
      <c r="O156" s="11">
        <v>77.0</v>
      </c>
      <c r="P156" s="11">
        <v>72.0</v>
      </c>
      <c r="Q156" s="11">
        <v>123.0</v>
      </c>
      <c r="R156" s="11">
        <f t="shared" si="3"/>
        <v>97</v>
      </c>
      <c r="S156" s="45"/>
    </row>
    <row r="157" ht="14.25" customHeight="1">
      <c r="A157" s="3"/>
      <c r="B157" s="45">
        <f t="shared" si="1"/>
        <v>9</v>
      </c>
      <c r="C157" s="45" t="s">
        <v>106</v>
      </c>
      <c r="D157" s="45"/>
      <c r="E157" s="45"/>
      <c r="F157" s="11" t="s">
        <v>1217</v>
      </c>
      <c r="G157" s="11" t="s">
        <v>195</v>
      </c>
      <c r="H157" s="11" t="s">
        <v>781</v>
      </c>
      <c r="I157" s="11"/>
      <c r="J157" s="11"/>
      <c r="K157" s="105">
        <f t="shared" si="2"/>
        <v>10</v>
      </c>
      <c r="L157" s="11">
        <v>109.0</v>
      </c>
      <c r="M157" s="11">
        <v>106.0</v>
      </c>
      <c r="N157" s="11">
        <v>126.0</v>
      </c>
      <c r="O157" s="11">
        <v>95.0</v>
      </c>
      <c r="P157" s="11">
        <v>109.0</v>
      </c>
      <c r="Q157" s="11">
        <v>70.0</v>
      </c>
      <c r="R157" s="11">
        <f t="shared" si="3"/>
        <v>102</v>
      </c>
      <c r="S157" s="45"/>
    </row>
    <row r="158" ht="14.25" customHeight="1">
      <c r="A158" s="3"/>
      <c r="B158" s="45">
        <f t="shared" si="1"/>
        <v>10</v>
      </c>
      <c r="C158" s="45" t="s">
        <v>106</v>
      </c>
      <c r="D158" s="45">
        <v>3.0</v>
      </c>
      <c r="E158" s="45"/>
      <c r="F158" s="11" t="s">
        <v>907</v>
      </c>
      <c r="G158" s="11" t="s">
        <v>176</v>
      </c>
      <c r="H158" s="11" t="s">
        <v>781</v>
      </c>
      <c r="I158" s="11"/>
      <c r="J158" s="11"/>
      <c r="K158" s="105">
        <f t="shared" si="2"/>
        <v>12</v>
      </c>
      <c r="L158" s="11">
        <v>136.0</v>
      </c>
      <c r="M158" s="11">
        <v>120.0</v>
      </c>
      <c r="N158" s="11">
        <v>109.0</v>
      </c>
      <c r="O158" s="11">
        <v>99.0</v>
      </c>
      <c r="P158" s="11">
        <v>124.0</v>
      </c>
      <c r="Q158" s="11">
        <v>92.0</v>
      </c>
      <c r="R158" s="11">
        <f t="shared" si="3"/>
        <v>113</v>
      </c>
      <c r="S158" s="45"/>
    </row>
    <row r="159" ht="14.25" customHeight="1">
      <c r="A159" s="3"/>
      <c r="B159" s="45">
        <f t="shared" si="1"/>
        <v>16</v>
      </c>
      <c r="C159" s="45" t="s">
        <v>106</v>
      </c>
      <c r="D159" s="45"/>
      <c r="E159" s="45"/>
      <c r="F159" s="11" t="s">
        <v>1542</v>
      </c>
      <c r="G159" s="11" t="s">
        <v>36</v>
      </c>
      <c r="H159" s="11" t="s">
        <v>772</v>
      </c>
      <c r="I159" s="11"/>
      <c r="J159" s="11"/>
      <c r="K159" s="105">
        <f t="shared" si="2"/>
        <v>8</v>
      </c>
      <c r="L159" s="11">
        <v>88.0</v>
      </c>
      <c r="M159" s="11" t="s">
        <v>36</v>
      </c>
      <c r="N159" s="11">
        <v>253.0</v>
      </c>
      <c r="O159" s="11">
        <v>346.0</v>
      </c>
      <c r="P159" s="11">
        <v>115.0</v>
      </c>
      <c r="Q159" s="11">
        <v>113.0</v>
      </c>
      <c r="R159" s="11">
        <f t="shared" si="3"/>
        <v>183</v>
      </c>
      <c r="S159" s="11"/>
    </row>
    <row r="160" ht="14.25" customHeight="1">
      <c r="A160" s="3"/>
      <c r="B160" s="45">
        <f t="shared" si="1"/>
        <v>11</v>
      </c>
      <c r="C160" s="45" t="s">
        <v>106</v>
      </c>
      <c r="D160" s="45"/>
      <c r="E160" s="45"/>
      <c r="F160" s="11" t="s">
        <v>645</v>
      </c>
      <c r="G160" s="11" t="s">
        <v>94</v>
      </c>
      <c r="H160" s="11" t="s">
        <v>781</v>
      </c>
      <c r="I160" s="11"/>
      <c r="J160" s="11"/>
      <c r="K160" s="105">
        <f t="shared" si="2"/>
        <v>12</v>
      </c>
      <c r="L160" s="11">
        <v>140.0</v>
      </c>
      <c r="M160" s="11">
        <v>147.0</v>
      </c>
      <c r="N160" s="11">
        <v>140.0</v>
      </c>
      <c r="O160" s="11">
        <v>84.0</v>
      </c>
      <c r="P160" s="11">
        <v>107.0</v>
      </c>
      <c r="Q160" s="11">
        <v>146.0</v>
      </c>
      <c r="R160" s="11">
        <f t="shared" si="3"/>
        <v>127</v>
      </c>
      <c r="S160" s="45"/>
    </row>
    <row r="161" ht="14.25" customHeight="1">
      <c r="A161" s="3"/>
      <c r="B161" s="45">
        <f t="shared" si="1"/>
        <v>11</v>
      </c>
      <c r="C161" s="45" t="s">
        <v>106</v>
      </c>
      <c r="D161" s="45"/>
      <c r="E161" s="45"/>
      <c r="F161" s="11" t="s">
        <v>928</v>
      </c>
      <c r="G161" s="11" t="s">
        <v>75</v>
      </c>
      <c r="H161" s="11" t="s">
        <v>772</v>
      </c>
      <c r="I161" s="11" t="s">
        <v>1543</v>
      </c>
      <c r="J161" s="11"/>
      <c r="K161" s="105">
        <f t="shared" si="2"/>
        <v>11</v>
      </c>
      <c r="L161" s="11">
        <v>126.0</v>
      </c>
      <c r="M161" s="11">
        <v>133.0</v>
      </c>
      <c r="N161" s="11">
        <v>136.0</v>
      </c>
      <c r="O161" s="11">
        <v>109.0</v>
      </c>
      <c r="P161" s="11">
        <v>110.0</v>
      </c>
      <c r="Q161" s="11">
        <v>157.0</v>
      </c>
      <c r="R161" s="11">
        <f t="shared" si="3"/>
        <v>128</v>
      </c>
      <c r="S161" s="45"/>
    </row>
    <row r="162" ht="14.25" customHeight="1">
      <c r="A162" s="3"/>
      <c r="B162" s="45">
        <f t="shared" si="1"/>
        <v>13</v>
      </c>
      <c r="C162" s="45" t="s">
        <v>106</v>
      </c>
      <c r="D162" s="45"/>
      <c r="E162" s="45"/>
      <c r="F162" s="11" t="s">
        <v>255</v>
      </c>
      <c r="G162" s="11" t="s">
        <v>71</v>
      </c>
      <c r="H162" s="11" t="s">
        <v>772</v>
      </c>
      <c r="I162" s="11"/>
      <c r="J162" s="11"/>
      <c r="K162" s="105">
        <f t="shared" si="2"/>
        <v>14</v>
      </c>
      <c r="L162" s="11">
        <v>163.0</v>
      </c>
      <c r="M162" s="11">
        <v>139.0</v>
      </c>
      <c r="N162" s="11">
        <v>147.0</v>
      </c>
      <c r="O162" s="11">
        <v>116.0</v>
      </c>
      <c r="P162" s="11">
        <v>130.0</v>
      </c>
      <c r="Q162" s="11">
        <v>191.0</v>
      </c>
      <c r="R162" s="11">
        <f t="shared" si="3"/>
        <v>147</v>
      </c>
      <c r="S162" s="45"/>
    </row>
    <row r="163" ht="14.25" customHeight="1">
      <c r="A163" s="3"/>
      <c r="B163" s="45">
        <f t="shared" si="1"/>
        <v>12</v>
      </c>
      <c r="C163" s="45" t="s">
        <v>106</v>
      </c>
      <c r="D163" s="45"/>
      <c r="E163" s="45"/>
      <c r="F163" s="11" t="s">
        <v>426</v>
      </c>
      <c r="G163" s="11" t="s">
        <v>35</v>
      </c>
      <c r="H163" s="11" t="s">
        <v>781</v>
      </c>
      <c r="I163" s="11"/>
      <c r="J163" s="11"/>
      <c r="K163" s="105">
        <f t="shared" si="2"/>
        <v>13</v>
      </c>
      <c r="L163" s="11">
        <v>155.0</v>
      </c>
      <c r="M163" s="11">
        <v>144.0</v>
      </c>
      <c r="N163" s="11">
        <v>123.0</v>
      </c>
      <c r="O163" s="11">
        <v>90.0</v>
      </c>
      <c r="P163" s="11">
        <v>129.0</v>
      </c>
      <c r="Q163" s="11">
        <v>160.0</v>
      </c>
      <c r="R163" s="11">
        <f t="shared" si="3"/>
        <v>133</v>
      </c>
      <c r="S163" s="45"/>
    </row>
    <row r="164" ht="14.25" customHeight="1">
      <c r="A164" s="3"/>
      <c r="B164" s="45">
        <f t="shared" si="1"/>
        <v>12</v>
      </c>
      <c r="C164" s="45" t="s">
        <v>106</v>
      </c>
      <c r="D164" s="45"/>
      <c r="E164" s="45"/>
      <c r="F164" s="11" t="s">
        <v>1517</v>
      </c>
      <c r="G164" s="11" t="s">
        <v>237</v>
      </c>
      <c r="H164" s="11" t="s">
        <v>770</v>
      </c>
      <c r="I164" s="11"/>
      <c r="J164" s="11"/>
      <c r="K164" s="105">
        <f t="shared" si="2"/>
        <v>11</v>
      </c>
      <c r="L164" s="11">
        <v>122.0</v>
      </c>
      <c r="M164" s="11">
        <v>130.0</v>
      </c>
      <c r="N164" s="11">
        <v>143.0</v>
      </c>
      <c r="O164" s="11">
        <v>139.0</v>
      </c>
      <c r="P164" s="11">
        <v>140.0</v>
      </c>
      <c r="Q164" s="11">
        <v>154.0</v>
      </c>
      <c r="R164" s="11">
        <f t="shared" si="3"/>
        <v>138</v>
      </c>
      <c r="S164" s="45"/>
    </row>
    <row r="165" ht="14.25" customHeight="1">
      <c r="A165" s="3"/>
      <c r="B165" s="45">
        <f t="shared" si="1"/>
        <v>13</v>
      </c>
      <c r="C165" s="45" t="s">
        <v>106</v>
      </c>
      <c r="D165" s="45"/>
      <c r="E165" s="45"/>
      <c r="F165" s="11" t="s">
        <v>1249</v>
      </c>
      <c r="G165" s="11" t="s">
        <v>58</v>
      </c>
      <c r="H165" s="11" t="s">
        <v>770</v>
      </c>
      <c r="I165" s="11"/>
      <c r="J165" s="11"/>
      <c r="K165" s="105">
        <f t="shared" si="2"/>
        <v>12</v>
      </c>
      <c r="L165" s="11">
        <v>138.0</v>
      </c>
      <c r="M165" s="11">
        <v>142.0</v>
      </c>
      <c r="N165" s="11">
        <v>154.0</v>
      </c>
      <c r="O165" s="11">
        <v>152.0</v>
      </c>
      <c r="P165" s="11">
        <v>165.0</v>
      </c>
      <c r="Q165" s="11">
        <v>126.0</v>
      </c>
      <c r="R165" s="11">
        <f t="shared" si="3"/>
        <v>146</v>
      </c>
      <c r="S165" s="45"/>
    </row>
    <row r="166" ht="14.25" customHeight="1">
      <c r="B166" s="45">
        <f t="shared" si="1"/>
        <v>14</v>
      </c>
      <c r="C166" s="45" t="s">
        <v>106</v>
      </c>
      <c r="D166" s="45"/>
      <c r="E166" s="45"/>
      <c r="F166" s="11" t="s">
        <v>1546</v>
      </c>
      <c r="G166" s="11" t="s">
        <v>67</v>
      </c>
      <c r="H166" s="11" t="s">
        <v>772</v>
      </c>
      <c r="I166" s="11"/>
      <c r="J166" s="11"/>
      <c r="K166" s="105">
        <f t="shared" si="2"/>
        <v>25</v>
      </c>
      <c r="L166" s="105">
        <v>294.0</v>
      </c>
      <c r="M166" s="11">
        <v>263.0</v>
      </c>
      <c r="N166" s="105" t="s">
        <v>1547</v>
      </c>
      <c r="O166" s="105">
        <v>0.0</v>
      </c>
      <c r="P166" s="105">
        <v>0.0</v>
      </c>
      <c r="Q166" s="105">
        <v>261.0</v>
      </c>
      <c r="R166" s="11">
        <f t="shared" si="3"/>
        <v>163</v>
      </c>
      <c r="S166" s="11"/>
    </row>
    <row r="167" ht="14.25" customHeight="1">
      <c r="A167" s="3"/>
      <c r="B167" s="45">
        <f t="shared" si="1"/>
        <v>13</v>
      </c>
      <c r="C167" s="45" t="s">
        <v>106</v>
      </c>
      <c r="D167" s="45"/>
      <c r="E167" s="45"/>
      <c r="F167" s="11" t="s">
        <v>910</v>
      </c>
      <c r="G167" s="11" t="s">
        <v>231</v>
      </c>
      <c r="H167" s="11" t="s">
        <v>781</v>
      </c>
      <c r="I167" s="11"/>
      <c r="J167" s="11"/>
      <c r="K167" s="105">
        <f t="shared" si="2"/>
        <v>14</v>
      </c>
      <c r="L167" s="11">
        <v>164.0</v>
      </c>
      <c r="M167" s="11">
        <v>136.0</v>
      </c>
      <c r="N167" s="11">
        <v>186.0</v>
      </c>
      <c r="O167" s="11">
        <v>107.0</v>
      </c>
      <c r="P167" s="11">
        <v>125.0</v>
      </c>
      <c r="Q167" s="11">
        <v>198.0</v>
      </c>
      <c r="R167" s="11">
        <f t="shared" si="3"/>
        <v>152</v>
      </c>
      <c r="S167" s="45"/>
    </row>
    <row r="168" ht="14.25" customHeight="1">
      <c r="A168" s="3"/>
      <c r="B168" s="45">
        <f t="shared" si="1"/>
        <v>13</v>
      </c>
      <c r="C168" s="45" t="s">
        <v>106</v>
      </c>
      <c r="D168" s="45"/>
      <c r="E168" s="45"/>
      <c r="F168" s="11" t="s">
        <v>328</v>
      </c>
      <c r="G168" s="11" t="s">
        <v>85</v>
      </c>
      <c r="H168" s="11" t="s">
        <v>781</v>
      </c>
      <c r="I168" s="11"/>
      <c r="J168" s="11"/>
      <c r="K168" s="105">
        <f t="shared" si="2"/>
        <v>16</v>
      </c>
      <c r="L168" s="11">
        <v>182.0</v>
      </c>
      <c r="M168" s="11">
        <v>176.0</v>
      </c>
      <c r="N168" s="11">
        <v>182.0</v>
      </c>
      <c r="O168" s="11">
        <v>104.0</v>
      </c>
      <c r="P168" s="11">
        <v>128.0</v>
      </c>
      <c r="Q168" s="11">
        <v>143.0</v>
      </c>
      <c r="R168" s="11">
        <f t="shared" si="3"/>
        <v>152</v>
      </c>
      <c r="S168" s="45"/>
    </row>
    <row r="169" ht="14.25" customHeight="1">
      <c r="A169" s="3"/>
      <c r="B169" s="45">
        <f t="shared" si="1"/>
        <v>15</v>
      </c>
      <c r="C169" s="45" t="s">
        <v>106</v>
      </c>
      <c r="D169" s="45"/>
      <c r="E169" s="45"/>
      <c r="F169" s="11" t="s">
        <v>1549</v>
      </c>
      <c r="G169" s="11" t="s">
        <v>85</v>
      </c>
      <c r="H169" s="11" t="s">
        <v>772</v>
      </c>
      <c r="I169" s="11"/>
      <c r="J169" s="11"/>
      <c r="K169" s="105">
        <f t="shared" si="2"/>
        <v>17</v>
      </c>
      <c r="L169" s="11">
        <v>197.0</v>
      </c>
      <c r="M169" s="11">
        <v>163.0</v>
      </c>
      <c r="N169" s="11">
        <v>177.0</v>
      </c>
      <c r="O169" s="11">
        <v>124.0</v>
      </c>
      <c r="P169" s="11">
        <v>137.0</v>
      </c>
      <c r="Q169" s="11">
        <v>223.0</v>
      </c>
      <c r="R169" s="11">
        <f t="shared" si="3"/>
        <v>170</v>
      </c>
      <c r="S169" s="45"/>
    </row>
    <row r="170" ht="14.25" customHeight="1">
      <c r="A170" s="3"/>
      <c r="B170" s="45">
        <f t="shared" si="1"/>
        <v>8</v>
      </c>
      <c r="C170" s="45" t="s">
        <v>106</v>
      </c>
      <c r="D170" s="45"/>
      <c r="E170" s="45"/>
      <c r="F170" s="11" t="s">
        <v>676</v>
      </c>
      <c r="G170" s="11" t="s">
        <v>58</v>
      </c>
      <c r="H170" s="11" t="s">
        <v>1550</v>
      </c>
      <c r="I170" s="11"/>
      <c r="J170" s="11"/>
      <c r="K170" s="105">
        <f t="shared" si="2"/>
        <v>6</v>
      </c>
      <c r="L170" s="11">
        <v>63.0</v>
      </c>
      <c r="M170" s="11">
        <v>87.0</v>
      </c>
      <c r="N170" s="11">
        <v>79.0</v>
      </c>
      <c r="O170" s="11">
        <v>192.0</v>
      </c>
      <c r="P170" s="11">
        <v>82.0</v>
      </c>
      <c r="Q170" s="11">
        <v>61.0</v>
      </c>
      <c r="R170" s="11">
        <f t="shared" si="3"/>
        <v>94</v>
      </c>
      <c r="S170" s="45"/>
    </row>
    <row r="171" ht="14.25" customHeight="1">
      <c r="A171" s="3"/>
      <c r="B171" s="45">
        <f t="shared" si="1"/>
        <v>9</v>
      </c>
      <c r="C171" s="45" t="s">
        <v>106</v>
      </c>
      <c r="D171" s="45"/>
      <c r="E171" s="45"/>
      <c r="F171" s="11" t="s">
        <v>502</v>
      </c>
      <c r="G171" s="11" t="s">
        <v>237</v>
      </c>
      <c r="H171" s="11" t="s">
        <v>1550</v>
      </c>
      <c r="I171" s="11"/>
      <c r="J171" s="11"/>
      <c r="K171" s="105">
        <f t="shared" si="2"/>
        <v>7</v>
      </c>
      <c r="L171" s="11">
        <v>79.0</v>
      </c>
      <c r="M171" s="11">
        <v>81.0</v>
      </c>
      <c r="N171" s="11">
        <v>80.0</v>
      </c>
      <c r="O171" s="11">
        <v>193.0</v>
      </c>
      <c r="P171" s="11">
        <v>85.0</v>
      </c>
      <c r="Q171" s="11">
        <v>65.0</v>
      </c>
      <c r="R171" s="11">
        <f t="shared" si="3"/>
        <v>97</v>
      </c>
      <c r="S171" s="45"/>
    </row>
    <row r="172" ht="14.25" customHeight="1">
      <c r="A172" s="3"/>
      <c r="B172" s="45">
        <f t="shared" si="1"/>
        <v>9</v>
      </c>
      <c r="C172" s="45" t="s">
        <v>106</v>
      </c>
      <c r="D172" s="45"/>
      <c r="E172" s="45"/>
      <c r="F172" s="11" t="s">
        <v>513</v>
      </c>
      <c r="G172" s="11" t="s">
        <v>109</v>
      </c>
      <c r="H172" s="11" t="s">
        <v>1550</v>
      </c>
      <c r="I172" s="11"/>
      <c r="J172" s="11"/>
      <c r="K172" s="105">
        <f t="shared" si="2"/>
        <v>7</v>
      </c>
      <c r="L172" s="11">
        <v>77.0</v>
      </c>
      <c r="M172" s="11">
        <v>99.0</v>
      </c>
      <c r="N172" s="11">
        <v>92.0</v>
      </c>
      <c r="O172" s="11">
        <v>195.0</v>
      </c>
      <c r="P172" s="11">
        <v>91.0</v>
      </c>
      <c r="Q172" s="11">
        <v>73.0</v>
      </c>
      <c r="R172" s="11">
        <f t="shared" si="3"/>
        <v>104</v>
      </c>
      <c r="S172" s="45"/>
    </row>
    <row r="173" ht="14.25" customHeight="1">
      <c r="A173" s="3"/>
      <c r="B173" s="45">
        <f t="shared" si="1"/>
        <v>10</v>
      </c>
      <c r="C173" s="45" t="s">
        <v>106</v>
      </c>
      <c r="D173" s="45"/>
      <c r="E173" s="45"/>
      <c r="F173" s="11" t="s">
        <v>659</v>
      </c>
      <c r="G173" s="11" t="s">
        <v>102</v>
      </c>
      <c r="H173" s="11" t="s">
        <v>784</v>
      </c>
      <c r="I173" s="11"/>
      <c r="J173" s="11"/>
      <c r="K173" s="105">
        <f t="shared" si="2"/>
        <v>7</v>
      </c>
      <c r="L173" s="11">
        <v>80.0</v>
      </c>
      <c r="M173" s="11">
        <v>125.0</v>
      </c>
      <c r="N173" s="11">
        <v>88.0</v>
      </c>
      <c r="O173" s="11">
        <v>194.0</v>
      </c>
      <c r="P173" s="11" t="s">
        <v>36</v>
      </c>
      <c r="Q173" s="11">
        <v>75.0</v>
      </c>
      <c r="R173" s="11">
        <f t="shared" si="3"/>
        <v>112</v>
      </c>
      <c r="S173" s="45"/>
    </row>
    <row r="174" ht="14.25" customHeight="1">
      <c r="A174" s="3"/>
      <c r="B174" s="45">
        <f t="shared" si="1"/>
        <v>14</v>
      </c>
      <c r="C174" s="45" t="s">
        <v>106</v>
      </c>
      <c r="D174" s="45"/>
      <c r="E174" s="45"/>
      <c r="F174" s="11" t="s">
        <v>651</v>
      </c>
      <c r="G174" s="11" t="s">
        <v>75</v>
      </c>
      <c r="H174" s="11" t="s">
        <v>770</v>
      </c>
      <c r="I174" s="11"/>
      <c r="J174" s="11"/>
      <c r="K174" s="105">
        <f t="shared" si="2"/>
        <v>15</v>
      </c>
      <c r="L174" s="11">
        <v>179.0</v>
      </c>
      <c r="M174" s="11">
        <v>145.0</v>
      </c>
      <c r="N174" s="11">
        <v>174.0</v>
      </c>
      <c r="O174" s="11">
        <v>164.0</v>
      </c>
      <c r="P174" s="11">
        <v>167.0</v>
      </c>
      <c r="Q174" s="11">
        <v>148.0</v>
      </c>
      <c r="R174" s="11">
        <f t="shared" si="3"/>
        <v>162</v>
      </c>
      <c r="S174" s="45"/>
    </row>
    <row r="175" ht="14.25" customHeight="1">
      <c r="A175" s="3"/>
      <c r="B175" s="45">
        <f t="shared" si="1"/>
        <v>10</v>
      </c>
      <c r="C175" s="45" t="s">
        <v>106</v>
      </c>
      <c r="D175" s="45"/>
      <c r="E175" s="45"/>
      <c r="F175" s="11" t="s">
        <v>626</v>
      </c>
      <c r="G175" s="11" t="s">
        <v>67</v>
      </c>
      <c r="H175" s="11" t="s">
        <v>1550</v>
      </c>
      <c r="I175" s="11"/>
      <c r="J175" s="11"/>
      <c r="K175" s="105">
        <f t="shared" si="2"/>
        <v>8</v>
      </c>
      <c r="L175" s="11">
        <v>87.0</v>
      </c>
      <c r="M175" s="11">
        <v>109.0</v>
      </c>
      <c r="N175" s="11">
        <v>81.0</v>
      </c>
      <c r="O175" s="11">
        <v>206.0</v>
      </c>
      <c r="P175" s="11">
        <v>119.0</v>
      </c>
      <c r="Q175" s="11">
        <v>72.0</v>
      </c>
      <c r="R175" s="11">
        <f t="shared" si="3"/>
        <v>112</v>
      </c>
      <c r="S175" s="45"/>
    </row>
    <row r="176" ht="14.25" customHeight="1">
      <c r="A176" s="3"/>
      <c r="B176" s="45">
        <f t="shared" si="1"/>
        <v>14</v>
      </c>
      <c r="C176" s="45" t="s">
        <v>106</v>
      </c>
      <c r="D176" s="45"/>
      <c r="E176" s="45"/>
      <c r="F176" s="11" t="s">
        <v>1553</v>
      </c>
      <c r="G176" s="11" t="s">
        <v>237</v>
      </c>
      <c r="H176" s="11" t="s">
        <v>781</v>
      </c>
      <c r="I176" s="11"/>
      <c r="J176" s="11"/>
      <c r="K176" s="105">
        <f t="shared" si="2"/>
        <v>16</v>
      </c>
      <c r="L176" s="11">
        <v>181.0</v>
      </c>
      <c r="M176" s="11">
        <v>167.0</v>
      </c>
      <c r="N176" s="11">
        <v>160.0</v>
      </c>
      <c r="O176" s="11">
        <v>140.0</v>
      </c>
      <c r="P176" s="11">
        <v>166.0</v>
      </c>
      <c r="Q176" s="11">
        <v>165.0</v>
      </c>
      <c r="R176" s="11">
        <f t="shared" si="3"/>
        <v>163</v>
      </c>
      <c r="S176" s="45"/>
    </row>
    <row r="177" ht="14.25" customHeight="1">
      <c r="A177" s="3"/>
      <c r="B177" s="45">
        <f t="shared" si="1"/>
        <v>10</v>
      </c>
      <c r="C177" s="45" t="s">
        <v>106</v>
      </c>
      <c r="D177" s="45"/>
      <c r="E177" s="45"/>
      <c r="F177" s="11" t="s">
        <v>705</v>
      </c>
      <c r="G177" s="11" t="s">
        <v>131</v>
      </c>
      <c r="H177" s="11" t="s">
        <v>784</v>
      </c>
      <c r="I177" s="11"/>
      <c r="J177" s="11"/>
      <c r="K177" s="105">
        <f t="shared" si="2"/>
        <v>8</v>
      </c>
      <c r="L177" s="11">
        <v>93.0</v>
      </c>
      <c r="M177" s="11">
        <v>114.0</v>
      </c>
      <c r="N177" s="11">
        <v>100.0</v>
      </c>
      <c r="O177" s="11">
        <v>202.0</v>
      </c>
      <c r="P177" s="11" t="s">
        <v>36</v>
      </c>
      <c r="Q177" s="11">
        <v>81.0</v>
      </c>
      <c r="R177" s="11">
        <f t="shared" si="3"/>
        <v>118</v>
      </c>
      <c r="S177" s="45"/>
    </row>
    <row r="178" ht="14.25" customHeight="1">
      <c r="A178" s="3"/>
      <c r="B178" s="45">
        <f t="shared" si="1"/>
        <v>11</v>
      </c>
      <c r="C178" s="45" t="s">
        <v>106</v>
      </c>
      <c r="D178" s="45"/>
      <c r="E178" s="45"/>
      <c r="F178" s="11" t="s">
        <v>504</v>
      </c>
      <c r="G178" s="11" t="s">
        <v>116</v>
      </c>
      <c r="H178" s="11" t="s">
        <v>1550</v>
      </c>
      <c r="I178" s="11"/>
      <c r="J178" s="11"/>
      <c r="K178" s="105">
        <f t="shared" si="2"/>
        <v>9</v>
      </c>
      <c r="L178" s="11">
        <v>107.0</v>
      </c>
      <c r="M178" s="11">
        <v>112.0</v>
      </c>
      <c r="N178" s="11">
        <v>106.0</v>
      </c>
      <c r="O178" s="11">
        <v>210.0</v>
      </c>
      <c r="P178" s="11">
        <v>131.0</v>
      </c>
      <c r="Q178" s="11">
        <v>74.0</v>
      </c>
      <c r="R178" s="11">
        <f t="shared" si="3"/>
        <v>123</v>
      </c>
      <c r="S178" s="45"/>
    </row>
    <row r="179" ht="14.25" customHeight="1">
      <c r="A179" s="3"/>
      <c r="B179" s="45">
        <f t="shared" si="1"/>
        <v>15</v>
      </c>
      <c r="C179" s="45" t="s">
        <v>106</v>
      </c>
      <c r="D179" s="45"/>
      <c r="E179" s="45"/>
      <c r="F179" s="11" t="s">
        <v>973</v>
      </c>
      <c r="G179" s="11" t="s">
        <v>154</v>
      </c>
      <c r="H179" s="11" t="s">
        <v>772</v>
      </c>
      <c r="I179" s="11"/>
      <c r="J179" s="11"/>
      <c r="K179" s="105">
        <f t="shared" si="2"/>
        <v>15</v>
      </c>
      <c r="L179" s="11">
        <v>175.0</v>
      </c>
      <c r="M179" s="11">
        <v>154.0</v>
      </c>
      <c r="N179" s="11">
        <v>189.0</v>
      </c>
      <c r="O179" s="11">
        <v>142.0</v>
      </c>
      <c r="P179" s="11">
        <v>155.0</v>
      </c>
      <c r="Q179" s="11">
        <v>213.0</v>
      </c>
      <c r="R179" s="11">
        <f t="shared" si="3"/>
        <v>171</v>
      </c>
      <c r="S179" s="45"/>
    </row>
    <row r="180" ht="14.25" customHeight="1">
      <c r="A180" s="3"/>
      <c r="B180" s="45">
        <f t="shared" si="1"/>
        <v>12</v>
      </c>
      <c r="C180" s="45" t="s">
        <v>106</v>
      </c>
      <c r="D180" s="45"/>
      <c r="E180" s="45"/>
      <c r="F180" s="11" t="s">
        <v>983</v>
      </c>
      <c r="G180" s="11" t="s">
        <v>71</v>
      </c>
      <c r="H180" s="11" t="s">
        <v>784</v>
      </c>
      <c r="I180" s="11"/>
      <c r="J180" s="11"/>
      <c r="K180" s="105">
        <f t="shared" si="2"/>
        <v>9</v>
      </c>
      <c r="L180" s="11">
        <v>100.0</v>
      </c>
      <c r="M180" s="11">
        <v>138.0</v>
      </c>
      <c r="N180" s="11">
        <v>124.0</v>
      </c>
      <c r="O180" s="11">
        <v>207.0</v>
      </c>
      <c r="P180" s="11" t="s">
        <v>36</v>
      </c>
      <c r="Q180" s="11">
        <v>95.0</v>
      </c>
      <c r="R180" s="11">
        <f t="shared" si="3"/>
        <v>132</v>
      </c>
      <c r="S180" s="45"/>
    </row>
    <row r="181" ht="14.25" customHeight="1">
      <c r="A181" s="3"/>
      <c r="B181" s="45">
        <f t="shared" si="1"/>
        <v>12</v>
      </c>
      <c r="C181" s="45" t="s">
        <v>106</v>
      </c>
      <c r="D181" s="45"/>
      <c r="E181" s="45"/>
      <c r="F181" s="11" t="s">
        <v>1225</v>
      </c>
      <c r="G181" s="11" t="s">
        <v>58</v>
      </c>
      <c r="H181" s="11" t="s">
        <v>784</v>
      </c>
      <c r="I181" s="11"/>
      <c r="J181" s="11"/>
      <c r="K181" s="105">
        <f t="shared" si="2"/>
        <v>10</v>
      </c>
      <c r="L181" s="11">
        <v>115.0</v>
      </c>
      <c r="M181" s="11">
        <v>153.0</v>
      </c>
      <c r="N181" s="11">
        <v>130.0</v>
      </c>
      <c r="O181" s="11">
        <v>216.0</v>
      </c>
      <c r="P181" s="11" t="s">
        <v>36</v>
      </c>
      <c r="Q181" s="11">
        <v>83.0</v>
      </c>
      <c r="R181" s="11">
        <f t="shared" si="3"/>
        <v>139</v>
      </c>
      <c r="S181" s="45"/>
    </row>
    <row r="182" ht="14.25" customHeight="1">
      <c r="A182" s="3"/>
      <c r="B182" s="45">
        <f t="shared" si="1"/>
        <v>15</v>
      </c>
      <c r="C182" s="45" t="s">
        <v>106</v>
      </c>
      <c r="D182" s="45"/>
      <c r="E182" s="45"/>
      <c r="F182" s="11" t="s">
        <v>1555</v>
      </c>
      <c r="G182" s="11" t="s">
        <v>71</v>
      </c>
      <c r="H182" s="11" t="s">
        <v>781</v>
      </c>
      <c r="I182" s="11"/>
      <c r="J182" s="11"/>
      <c r="K182" s="105">
        <f t="shared" si="2"/>
        <v>16</v>
      </c>
      <c r="L182" s="11">
        <v>190.0</v>
      </c>
      <c r="M182" s="11">
        <v>168.0</v>
      </c>
      <c r="N182" s="11">
        <v>191.0</v>
      </c>
      <c r="O182" s="11">
        <v>117.0</v>
      </c>
      <c r="P182" s="11">
        <v>147.0</v>
      </c>
      <c r="Q182" s="11">
        <v>195.0</v>
      </c>
      <c r="R182" s="11">
        <f t="shared" si="3"/>
        <v>168</v>
      </c>
      <c r="S182" s="45"/>
    </row>
    <row r="183" ht="14.25" customHeight="1">
      <c r="B183" s="45">
        <f t="shared" si="1"/>
        <v>15</v>
      </c>
      <c r="C183" s="45" t="s">
        <v>106</v>
      </c>
      <c r="D183" s="45"/>
      <c r="E183" s="45"/>
      <c r="F183" s="11" t="s">
        <v>1556</v>
      </c>
      <c r="G183" s="11" t="s">
        <v>128</v>
      </c>
      <c r="H183" s="11" t="s">
        <v>770</v>
      </c>
      <c r="I183" s="11"/>
      <c r="J183" s="11"/>
      <c r="K183" s="105">
        <f t="shared" si="2"/>
        <v>24</v>
      </c>
      <c r="L183" s="105">
        <v>286.5</v>
      </c>
      <c r="M183" s="11">
        <v>252.0</v>
      </c>
      <c r="N183" s="105" t="s">
        <v>1557</v>
      </c>
      <c r="O183" s="105">
        <v>0.0</v>
      </c>
      <c r="P183" s="105">
        <v>0.0</v>
      </c>
      <c r="Q183" s="105">
        <v>303.0</v>
      </c>
      <c r="R183" s="11">
        <f t="shared" si="3"/>
        <v>168</v>
      </c>
      <c r="S183" s="11"/>
    </row>
    <row r="184" ht="14.25" customHeight="1">
      <c r="A184" s="3"/>
      <c r="B184" s="45">
        <f t="shared" si="1"/>
        <v>13</v>
      </c>
      <c r="C184" s="45" t="s">
        <v>106</v>
      </c>
      <c r="D184" s="45"/>
      <c r="E184" s="45"/>
      <c r="F184" s="11" t="s">
        <v>732</v>
      </c>
      <c r="G184" s="11" t="s">
        <v>131</v>
      </c>
      <c r="H184" s="11" t="s">
        <v>1550</v>
      </c>
      <c r="I184" s="11"/>
      <c r="J184" s="11"/>
      <c r="K184" s="105">
        <f t="shared" si="2"/>
        <v>10</v>
      </c>
      <c r="L184" s="11">
        <v>108.0</v>
      </c>
      <c r="M184" s="11">
        <v>158.0</v>
      </c>
      <c r="N184" s="11">
        <v>137.0</v>
      </c>
      <c r="O184" s="11">
        <v>220.0</v>
      </c>
      <c r="P184" s="11">
        <v>153.0</v>
      </c>
      <c r="Q184" s="11">
        <v>110.0</v>
      </c>
      <c r="R184" s="11">
        <f t="shared" si="3"/>
        <v>147</v>
      </c>
      <c r="S184" s="45"/>
    </row>
    <row r="185" ht="14.25" customHeight="1">
      <c r="A185" s="3"/>
      <c r="B185" s="45">
        <f t="shared" si="1"/>
        <v>15</v>
      </c>
      <c r="C185" s="45" t="s">
        <v>106</v>
      </c>
      <c r="D185" s="45"/>
      <c r="E185" s="45"/>
      <c r="F185" s="11" t="s">
        <v>1266</v>
      </c>
      <c r="G185" s="11" t="s">
        <v>176</v>
      </c>
      <c r="H185" s="11" t="s">
        <v>770</v>
      </c>
      <c r="I185" s="11"/>
      <c r="J185" s="11"/>
      <c r="K185" s="105">
        <f t="shared" si="2"/>
        <v>14</v>
      </c>
      <c r="L185" s="11">
        <v>158.0</v>
      </c>
      <c r="M185" s="11">
        <v>171.0</v>
      </c>
      <c r="N185" s="11">
        <v>176.0</v>
      </c>
      <c r="O185" s="11">
        <v>165.0</v>
      </c>
      <c r="P185" s="11">
        <v>175.0</v>
      </c>
      <c r="Q185" s="11">
        <v>180.0</v>
      </c>
      <c r="R185" s="11">
        <f t="shared" si="3"/>
        <v>170</v>
      </c>
      <c r="S185" s="45"/>
    </row>
    <row r="186" ht="14.25" customHeight="1">
      <c r="A186" s="3"/>
      <c r="B186" s="45">
        <f t="shared" si="1"/>
        <v>15</v>
      </c>
      <c r="C186" s="45" t="s">
        <v>106</v>
      </c>
      <c r="D186" s="45"/>
      <c r="E186" s="45" t="s">
        <v>106</v>
      </c>
      <c r="F186" s="11" t="s">
        <v>1161</v>
      </c>
      <c r="G186" s="11" t="s">
        <v>125</v>
      </c>
      <c r="H186" s="11" t="s">
        <v>772</v>
      </c>
      <c r="I186" s="11" t="s">
        <v>1543</v>
      </c>
      <c r="J186" s="11"/>
      <c r="K186" s="105">
        <f t="shared" si="2"/>
        <v>15</v>
      </c>
      <c r="L186" s="11">
        <v>171.0</v>
      </c>
      <c r="M186" s="11">
        <v>161.0</v>
      </c>
      <c r="N186" s="11">
        <v>195.0</v>
      </c>
      <c r="O186" s="11">
        <v>126.0</v>
      </c>
      <c r="P186" s="11">
        <v>139.0</v>
      </c>
      <c r="Q186" s="11">
        <v>248.0</v>
      </c>
      <c r="R186" s="11">
        <f t="shared" si="3"/>
        <v>173</v>
      </c>
      <c r="S186" s="45"/>
    </row>
    <row r="187" ht="14.25" customHeight="1">
      <c r="A187" s="3"/>
      <c r="B187" s="45">
        <f t="shared" si="1"/>
        <v>13</v>
      </c>
      <c r="C187" s="45" t="s">
        <v>106</v>
      </c>
      <c r="D187" s="45"/>
      <c r="E187" s="45"/>
      <c r="F187" s="11" t="s">
        <v>630</v>
      </c>
      <c r="G187" s="11" t="s">
        <v>171</v>
      </c>
      <c r="H187" s="11" t="s">
        <v>1550</v>
      </c>
      <c r="I187" s="11"/>
      <c r="J187" s="11"/>
      <c r="K187" s="105">
        <f t="shared" si="2"/>
        <v>9</v>
      </c>
      <c r="L187" s="11">
        <v>103.0</v>
      </c>
      <c r="M187" s="11">
        <v>159.0</v>
      </c>
      <c r="N187" s="11">
        <v>129.0</v>
      </c>
      <c r="O187" s="11">
        <v>214.0</v>
      </c>
      <c r="P187" s="11">
        <v>177.0</v>
      </c>
      <c r="Q187" s="11">
        <v>106.0</v>
      </c>
      <c r="R187" s="11">
        <f t="shared" si="3"/>
        <v>148</v>
      </c>
      <c r="S187" s="45"/>
    </row>
    <row r="188" ht="14.25" customHeight="1">
      <c r="A188" s="3"/>
      <c r="B188" s="45">
        <f t="shared" si="1"/>
        <v>15</v>
      </c>
      <c r="C188" s="45" t="s">
        <v>106</v>
      </c>
      <c r="D188" s="45"/>
      <c r="E188" s="45"/>
      <c r="F188" s="11" t="s">
        <v>1563</v>
      </c>
      <c r="G188" s="11" t="s">
        <v>62</v>
      </c>
      <c r="H188" s="11" t="s">
        <v>781</v>
      </c>
      <c r="I188" s="11"/>
      <c r="J188" s="11"/>
      <c r="K188" s="105">
        <f t="shared" si="2"/>
        <v>18</v>
      </c>
      <c r="L188" s="11">
        <v>213.0</v>
      </c>
      <c r="M188" s="11">
        <v>172.0</v>
      </c>
      <c r="N188" s="11">
        <v>169.0</v>
      </c>
      <c r="O188" s="11">
        <v>123.0</v>
      </c>
      <c r="P188" s="11">
        <v>149.0</v>
      </c>
      <c r="Q188" s="11">
        <v>200.0</v>
      </c>
      <c r="R188" s="11">
        <f t="shared" si="3"/>
        <v>171</v>
      </c>
      <c r="S188" s="45"/>
    </row>
    <row r="189" ht="14.25" customHeight="1">
      <c r="A189" s="3"/>
      <c r="B189" s="45">
        <f t="shared" si="1"/>
        <v>15</v>
      </c>
      <c r="C189" s="45" t="s">
        <v>106</v>
      </c>
      <c r="D189" s="45"/>
      <c r="E189" s="45"/>
      <c r="F189" s="11" t="s">
        <v>1565</v>
      </c>
      <c r="G189" s="11" t="s">
        <v>165</v>
      </c>
      <c r="H189" s="11" t="s">
        <v>770</v>
      </c>
      <c r="I189" s="11"/>
      <c r="J189" s="11"/>
      <c r="K189" s="105">
        <f t="shared" si="2"/>
        <v>13</v>
      </c>
      <c r="L189" s="11">
        <v>152.0</v>
      </c>
      <c r="M189" s="11">
        <v>156.0</v>
      </c>
      <c r="N189" s="11">
        <v>193.0</v>
      </c>
      <c r="O189" s="11">
        <v>168.0</v>
      </c>
      <c r="P189" s="11">
        <v>181.0</v>
      </c>
      <c r="Q189" s="11">
        <v>192.0</v>
      </c>
      <c r="R189" s="11">
        <f t="shared" si="3"/>
        <v>173</v>
      </c>
      <c r="S189" s="45"/>
    </row>
    <row r="190" ht="14.25" customHeight="1">
      <c r="A190" s="3"/>
      <c r="B190" s="45">
        <f t="shared" si="1"/>
        <v>14</v>
      </c>
      <c r="C190" s="45" t="s">
        <v>106</v>
      </c>
      <c r="D190" s="45"/>
      <c r="E190" s="45"/>
      <c r="F190" s="11" t="s">
        <v>572</v>
      </c>
      <c r="G190" s="11" t="s">
        <v>102</v>
      </c>
      <c r="H190" s="11" t="s">
        <v>1550</v>
      </c>
      <c r="I190" s="11"/>
      <c r="J190" s="11"/>
      <c r="K190" s="105">
        <f t="shared" si="2"/>
        <v>10</v>
      </c>
      <c r="L190" s="11">
        <v>114.0</v>
      </c>
      <c r="M190" s="11">
        <v>143.0</v>
      </c>
      <c r="N190" s="11">
        <v>175.0</v>
      </c>
      <c r="O190" s="11">
        <v>222.0</v>
      </c>
      <c r="P190" s="11">
        <v>168.0</v>
      </c>
      <c r="Q190" s="11">
        <v>119.0</v>
      </c>
      <c r="R190" s="11">
        <f t="shared" si="3"/>
        <v>156</v>
      </c>
      <c r="S190" s="45"/>
    </row>
    <row r="191" ht="14.25" customHeight="1">
      <c r="A191" s="3"/>
      <c r="B191" s="45">
        <f t="shared" si="1"/>
        <v>14</v>
      </c>
      <c r="C191" s="45" t="s">
        <v>106</v>
      </c>
      <c r="D191" s="45"/>
      <c r="E191" s="45"/>
      <c r="F191" s="11" t="s">
        <v>1214</v>
      </c>
      <c r="G191" s="11" t="s">
        <v>35</v>
      </c>
      <c r="H191" s="11" t="s">
        <v>784</v>
      </c>
      <c r="I191" s="11"/>
      <c r="J191" s="11"/>
      <c r="K191" s="105">
        <f t="shared" si="2"/>
        <v>11</v>
      </c>
      <c r="L191" s="11">
        <v>131.0</v>
      </c>
      <c r="M191" s="11">
        <v>206.0</v>
      </c>
      <c r="N191" s="11">
        <v>120.0</v>
      </c>
      <c r="O191" s="11">
        <v>235.0</v>
      </c>
      <c r="P191" s="11" t="s">
        <v>36</v>
      </c>
      <c r="Q191" s="11">
        <v>98.0</v>
      </c>
      <c r="R191" s="11">
        <f t="shared" si="3"/>
        <v>158</v>
      </c>
      <c r="S191" s="45"/>
    </row>
    <row r="192" ht="14.25" customHeight="1">
      <c r="A192" s="3"/>
      <c r="B192" s="45">
        <f t="shared" si="1"/>
        <v>14</v>
      </c>
      <c r="C192" s="45" t="s">
        <v>106</v>
      </c>
      <c r="D192" s="45"/>
      <c r="E192" s="45"/>
      <c r="F192" s="11" t="s">
        <v>515</v>
      </c>
      <c r="G192" s="11" t="s">
        <v>75</v>
      </c>
      <c r="H192" s="11" t="s">
        <v>1550</v>
      </c>
      <c r="I192" s="11"/>
      <c r="J192" s="11"/>
      <c r="K192" s="105">
        <f t="shared" si="2"/>
        <v>12</v>
      </c>
      <c r="L192" s="11">
        <v>139.0</v>
      </c>
      <c r="M192" s="11">
        <v>146.0</v>
      </c>
      <c r="N192" s="11">
        <v>151.0</v>
      </c>
      <c r="O192" s="11">
        <v>233.0</v>
      </c>
      <c r="P192" s="11">
        <v>195.0</v>
      </c>
      <c r="Q192" s="11">
        <v>121.0</v>
      </c>
      <c r="R192" s="11">
        <f t="shared" si="3"/>
        <v>164</v>
      </c>
      <c r="S192" s="45"/>
    </row>
    <row r="193" ht="14.25" customHeight="1">
      <c r="A193" s="3"/>
      <c r="B193" s="45">
        <f t="shared" si="1"/>
        <v>15</v>
      </c>
      <c r="C193" s="45" t="s">
        <v>106</v>
      </c>
      <c r="D193" s="45"/>
      <c r="E193" s="45"/>
      <c r="F193" s="11" t="s">
        <v>965</v>
      </c>
      <c r="G193" s="11" t="s">
        <v>206</v>
      </c>
      <c r="H193" s="11" t="s">
        <v>770</v>
      </c>
      <c r="I193" s="11"/>
      <c r="J193" s="11"/>
      <c r="K193" s="105">
        <f t="shared" si="2"/>
        <v>15</v>
      </c>
      <c r="L193" s="11">
        <v>169.0</v>
      </c>
      <c r="M193" s="11">
        <v>166.0</v>
      </c>
      <c r="N193" s="11">
        <v>196.0</v>
      </c>
      <c r="O193" s="11">
        <v>161.0</v>
      </c>
      <c r="P193" s="11">
        <v>171.0</v>
      </c>
      <c r="Q193" s="11">
        <v>208.0</v>
      </c>
      <c r="R193" s="11">
        <f t="shared" si="3"/>
        <v>178</v>
      </c>
      <c r="S193" s="45"/>
    </row>
    <row r="194" ht="14.25" customHeight="1">
      <c r="A194" s="3"/>
      <c r="B194" s="45">
        <f t="shared" si="1"/>
        <v>15</v>
      </c>
      <c r="C194" s="45" t="s">
        <v>106</v>
      </c>
      <c r="D194" s="45"/>
      <c r="E194" s="45"/>
      <c r="F194" s="11" t="s">
        <v>1566</v>
      </c>
      <c r="G194" s="11" t="s">
        <v>62</v>
      </c>
      <c r="H194" s="11" t="s">
        <v>770</v>
      </c>
      <c r="I194" s="11"/>
      <c r="J194" s="11"/>
      <c r="K194" s="105">
        <f t="shared" si="2"/>
        <v>13</v>
      </c>
      <c r="L194" s="11">
        <v>154.0</v>
      </c>
      <c r="M194" s="11">
        <v>169.0</v>
      </c>
      <c r="N194" s="11">
        <v>197.0</v>
      </c>
      <c r="O194" s="11">
        <v>177.0</v>
      </c>
      <c r="P194" s="11">
        <v>180.0</v>
      </c>
      <c r="Q194" s="11">
        <v>202.0</v>
      </c>
      <c r="R194" s="11">
        <f t="shared" si="3"/>
        <v>179</v>
      </c>
      <c r="S194" s="11"/>
    </row>
    <row r="195" ht="14.25" customHeight="1">
      <c r="B195" s="45">
        <f t="shared" si="1"/>
        <v>15</v>
      </c>
      <c r="C195" s="45" t="s">
        <v>106</v>
      </c>
      <c r="D195" s="45"/>
      <c r="E195" s="45"/>
      <c r="F195" s="11" t="s">
        <v>1567</v>
      </c>
      <c r="G195" s="11" t="s">
        <v>192</v>
      </c>
      <c r="H195" s="11" t="s">
        <v>770</v>
      </c>
      <c r="I195" s="11"/>
      <c r="J195" s="11"/>
      <c r="K195" s="105">
        <f t="shared" si="2"/>
        <v>26</v>
      </c>
      <c r="L195" s="105">
        <v>304.0</v>
      </c>
      <c r="M195" s="11">
        <v>274.0</v>
      </c>
      <c r="N195" s="105" t="s">
        <v>1568</v>
      </c>
      <c r="O195" s="105">
        <v>0.0</v>
      </c>
      <c r="P195" s="105">
        <v>0.0</v>
      </c>
      <c r="Q195" s="105">
        <v>321.0</v>
      </c>
      <c r="R195" s="11">
        <f t="shared" si="3"/>
        <v>179</v>
      </c>
      <c r="S195" s="11"/>
    </row>
    <row r="196" ht="14.25" customHeight="1">
      <c r="A196" s="3"/>
      <c r="B196" s="45">
        <f t="shared" si="1"/>
        <v>16</v>
      </c>
      <c r="C196" s="45" t="s">
        <v>106</v>
      </c>
      <c r="D196" s="45"/>
      <c r="E196" s="45"/>
      <c r="F196" s="11" t="s">
        <v>1268</v>
      </c>
      <c r="G196" s="11" t="s">
        <v>162</v>
      </c>
      <c r="H196" s="11" t="s">
        <v>781</v>
      </c>
      <c r="I196" s="11"/>
      <c r="J196" s="11"/>
      <c r="K196" s="105">
        <f t="shared" si="2"/>
        <v>13</v>
      </c>
      <c r="L196" s="11">
        <v>147.0</v>
      </c>
      <c r="M196" s="11">
        <v>225.0</v>
      </c>
      <c r="N196" s="11">
        <v>212.0</v>
      </c>
      <c r="O196" s="11">
        <v>158.0</v>
      </c>
      <c r="P196" s="11">
        <v>188.0</v>
      </c>
      <c r="Q196" s="11">
        <v>159.0</v>
      </c>
      <c r="R196" s="11">
        <f t="shared" si="3"/>
        <v>181</v>
      </c>
      <c r="S196" s="45"/>
    </row>
    <row r="197" ht="14.25" customHeight="1">
      <c r="A197" s="3"/>
      <c r="B197" s="45">
        <f t="shared" si="1"/>
        <v>16</v>
      </c>
      <c r="C197" s="45" t="s">
        <v>106</v>
      </c>
      <c r="D197" s="45"/>
      <c r="E197" s="45"/>
      <c r="F197" s="11" t="s">
        <v>1203</v>
      </c>
      <c r="G197" s="11" t="s">
        <v>62</v>
      </c>
      <c r="H197" s="11" t="s">
        <v>772</v>
      </c>
      <c r="I197" s="11"/>
      <c r="J197" s="11"/>
      <c r="K197" s="105" t="str">
        <f t="shared" si="2"/>
        <v>#DIV/0!</v>
      </c>
      <c r="L197" s="11" t="s">
        <v>36</v>
      </c>
      <c r="M197" s="11">
        <v>164.0</v>
      </c>
      <c r="N197" s="11">
        <v>168.0</v>
      </c>
      <c r="O197" s="11">
        <v>160.0</v>
      </c>
      <c r="P197" s="11">
        <v>157.0</v>
      </c>
      <c r="Q197" s="11">
        <v>261.0</v>
      </c>
      <c r="R197" s="11">
        <f t="shared" si="3"/>
        <v>182</v>
      </c>
      <c r="S197" s="11"/>
    </row>
    <row r="198" ht="14.25" customHeight="1">
      <c r="A198" s="3"/>
      <c r="B198" s="45">
        <f t="shared" si="1"/>
        <v>16</v>
      </c>
      <c r="C198" s="45" t="s">
        <v>106</v>
      </c>
      <c r="D198" s="45"/>
      <c r="E198" s="45"/>
      <c r="F198" s="11" t="s">
        <v>1570</v>
      </c>
      <c r="G198" s="11" t="s">
        <v>148</v>
      </c>
      <c r="H198" s="11" t="s">
        <v>781</v>
      </c>
      <c r="I198" s="11"/>
      <c r="J198" s="11"/>
      <c r="K198" s="105">
        <f t="shared" si="2"/>
        <v>19</v>
      </c>
      <c r="L198" s="11">
        <v>217.0</v>
      </c>
      <c r="M198" s="11">
        <v>181.0</v>
      </c>
      <c r="N198" s="11">
        <v>165.0</v>
      </c>
      <c r="O198" s="11">
        <v>127.0</v>
      </c>
      <c r="P198" s="11">
        <v>164.0</v>
      </c>
      <c r="Q198" s="11">
        <v>234.0</v>
      </c>
      <c r="R198" s="11">
        <f t="shared" si="3"/>
        <v>181</v>
      </c>
      <c r="S198" s="45"/>
    </row>
    <row r="199" ht="14.25" customHeight="1">
      <c r="A199" s="3"/>
      <c r="B199" s="45">
        <f t="shared" si="1"/>
        <v>13</v>
      </c>
      <c r="C199" s="45" t="s">
        <v>106</v>
      </c>
      <c r="D199" s="45">
        <v>1.0</v>
      </c>
      <c r="E199" s="45"/>
      <c r="F199" s="11" t="s">
        <v>74</v>
      </c>
      <c r="G199" s="11" t="s">
        <v>75</v>
      </c>
      <c r="H199" s="11" t="s">
        <v>775</v>
      </c>
      <c r="I199" s="11"/>
      <c r="J199" s="11"/>
      <c r="K199" s="105">
        <f t="shared" si="2"/>
        <v>14</v>
      </c>
      <c r="L199" s="11">
        <v>165.0</v>
      </c>
      <c r="M199" s="11">
        <v>148.0</v>
      </c>
      <c r="N199" s="11">
        <v>135.0</v>
      </c>
      <c r="O199" s="11">
        <v>151.0</v>
      </c>
      <c r="P199" s="11">
        <v>151.0</v>
      </c>
      <c r="Q199" s="11">
        <v>164.0</v>
      </c>
      <c r="R199" s="11">
        <f t="shared" si="3"/>
        <v>152</v>
      </c>
      <c r="S199" s="45"/>
    </row>
    <row r="200" ht="14.25" customHeight="1">
      <c r="A200" s="3"/>
      <c r="B200" s="45">
        <f t="shared" si="1"/>
        <v>15</v>
      </c>
      <c r="C200" s="45" t="s">
        <v>106</v>
      </c>
      <c r="D200" s="45"/>
      <c r="E200" s="45"/>
      <c r="F200" s="11" t="s">
        <v>984</v>
      </c>
      <c r="G200" s="11" t="s">
        <v>162</v>
      </c>
      <c r="H200" s="11" t="s">
        <v>784</v>
      </c>
      <c r="I200" s="11"/>
      <c r="J200" s="11"/>
      <c r="K200" s="105">
        <f t="shared" si="2"/>
        <v>15</v>
      </c>
      <c r="L200" s="11">
        <v>177.0</v>
      </c>
      <c r="M200" s="11">
        <v>203.0</v>
      </c>
      <c r="N200" s="11">
        <v>141.0</v>
      </c>
      <c r="O200" s="11">
        <v>219.0</v>
      </c>
      <c r="P200" s="11" t="s">
        <v>36</v>
      </c>
      <c r="Q200" s="11">
        <v>128.0</v>
      </c>
      <c r="R200" s="11">
        <f t="shared" si="3"/>
        <v>173</v>
      </c>
      <c r="S200" s="11"/>
    </row>
    <row r="201" ht="14.25" customHeight="1">
      <c r="A201" s="3"/>
      <c r="B201" s="45">
        <f t="shared" si="1"/>
        <v>16</v>
      </c>
      <c r="C201" s="45" t="s">
        <v>106</v>
      </c>
      <c r="D201" s="45"/>
      <c r="E201" s="45"/>
      <c r="F201" s="11" t="s">
        <v>1191</v>
      </c>
      <c r="G201" s="11" t="s">
        <v>116</v>
      </c>
      <c r="H201" s="11" t="s">
        <v>772</v>
      </c>
      <c r="I201" s="11"/>
      <c r="J201" s="11"/>
      <c r="K201" s="105">
        <f t="shared" si="2"/>
        <v>15</v>
      </c>
      <c r="L201" s="11">
        <v>170.0</v>
      </c>
      <c r="M201" s="11">
        <v>178.0</v>
      </c>
      <c r="N201" s="11">
        <v>184.0</v>
      </c>
      <c r="O201" s="11">
        <v>138.0</v>
      </c>
      <c r="P201" s="11">
        <v>161.0</v>
      </c>
      <c r="Q201" s="11">
        <v>273.0</v>
      </c>
      <c r="R201" s="11">
        <f t="shared" si="3"/>
        <v>184</v>
      </c>
      <c r="S201" s="45"/>
    </row>
    <row r="202" ht="14.25" customHeight="1">
      <c r="B202" s="45">
        <f t="shared" si="1"/>
        <v>15</v>
      </c>
      <c r="C202" s="45" t="s">
        <v>106</v>
      </c>
      <c r="D202" s="45"/>
      <c r="E202" s="45"/>
      <c r="F202" s="11" t="s">
        <v>1220</v>
      </c>
      <c r="G202" s="11" t="s">
        <v>231</v>
      </c>
      <c r="H202" s="11" t="s">
        <v>784</v>
      </c>
      <c r="I202" s="11"/>
      <c r="J202" s="11"/>
      <c r="K202" s="105">
        <f t="shared" si="2"/>
        <v>24</v>
      </c>
      <c r="L202" s="105">
        <v>286.0</v>
      </c>
      <c r="M202" s="11">
        <v>251.0</v>
      </c>
      <c r="N202" s="105" t="s">
        <v>1572</v>
      </c>
      <c r="O202" s="105">
        <v>0.0</v>
      </c>
      <c r="P202" s="105">
        <v>0.0</v>
      </c>
      <c r="Q202" s="105">
        <v>346.0</v>
      </c>
      <c r="R202" s="11">
        <f t="shared" si="3"/>
        <v>176</v>
      </c>
      <c r="S202" s="11"/>
    </row>
    <row r="203" ht="14.25" customHeight="1">
      <c r="A203" s="3"/>
      <c r="B203" s="45">
        <f t="shared" si="1"/>
        <v>16</v>
      </c>
      <c r="C203" s="45" t="s">
        <v>106</v>
      </c>
      <c r="D203" s="45"/>
      <c r="E203" s="45"/>
      <c r="F203" s="11" t="s">
        <v>1573</v>
      </c>
      <c r="G203" s="11" t="s">
        <v>125</v>
      </c>
      <c r="H203" s="11" t="s">
        <v>784</v>
      </c>
      <c r="I203" s="11"/>
      <c r="J203" s="11"/>
      <c r="K203" s="105">
        <f t="shared" si="2"/>
        <v>14</v>
      </c>
      <c r="L203" s="11">
        <v>161.0</v>
      </c>
      <c r="M203" s="11">
        <v>224.0</v>
      </c>
      <c r="N203" s="11">
        <v>164.0</v>
      </c>
      <c r="O203" s="11">
        <v>223.0</v>
      </c>
      <c r="P203" s="11" t="s">
        <v>36</v>
      </c>
      <c r="Q203" s="11">
        <v>140.0</v>
      </c>
      <c r="R203" s="11">
        <f t="shared" si="3"/>
        <v>182</v>
      </c>
      <c r="S203" s="11"/>
    </row>
    <row r="204" ht="14.25" customHeight="1">
      <c r="A204" s="3"/>
      <c r="B204" s="45">
        <f t="shared" si="1"/>
        <v>16</v>
      </c>
      <c r="C204" s="45" t="s">
        <v>106</v>
      </c>
      <c r="D204" s="45"/>
      <c r="E204" s="45"/>
      <c r="F204" s="11" t="s">
        <v>909</v>
      </c>
      <c r="G204" s="11" t="s">
        <v>98</v>
      </c>
      <c r="H204" s="11" t="s">
        <v>770</v>
      </c>
      <c r="I204" s="11"/>
      <c r="J204" s="11"/>
      <c r="K204" s="105">
        <f t="shared" si="2"/>
        <v>12</v>
      </c>
      <c r="L204" s="11">
        <v>133.0</v>
      </c>
      <c r="M204" s="11">
        <v>175.0</v>
      </c>
      <c r="N204" s="11">
        <v>207.0</v>
      </c>
      <c r="O204" s="11">
        <v>190.0</v>
      </c>
      <c r="P204" s="11">
        <v>197.0</v>
      </c>
      <c r="Q204" s="11">
        <v>203.0</v>
      </c>
      <c r="R204" s="11">
        <f t="shared" si="3"/>
        <v>184</v>
      </c>
      <c r="S204" s="11"/>
    </row>
    <row r="205" ht="14.25" customHeight="1">
      <c r="A205" s="3"/>
      <c r="B205" s="45">
        <f t="shared" si="1"/>
        <v>16</v>
      </c>
      <c r="C205" s="45" t="s">
        <v>106</v>
      </c>
      <c r="D205" s="45"/>
      <c r="E205" s="45"/>
      <c r="F205" s="11" t="s">
        <v>1575</v>
      </c>
      <c r="G205" s="11" t="s">
        <v>105</v>
      </c>
      <c r="H205" s="11" t="s">
        <v>772</v>
      </c>
      <c r="I205" s="11"/>
      <c r="J205" s="11"/>
      <c r="K205" s="105">
        <f t="shared" si="2"/>
        <v>17</v>
      </c>
      <c r="L205" s="11">
        <v>203.0</v>
      </c>
      <c r="M205" s="11">
        <v>184.0</v>
      </c>
      <c r="N205" s="11">
        <v>162.0</v>
      </c>
      <c r="O205" s="11">
        <v>157.0</v>
      </c>
      <c r="P205" s="11">
        <v>170.0</v>
      </c>
      <c r="Q205" s="11">
        <v>257.0</v>
      </c>
      <c r="R205" s="11">
        <f t="shared" si="3"/>
        <v>188</v>
      </c>
      <c r="S205" s="45"/>
    </row>
    <row r="206" ht="14.25" customHeight="1">
      <c r="A206" s="3"/>
      <c r="B206" s="45">
        <f t="shared" si="1"/>
        <v>16</v>
      </c>
      <c r="C206" s="45" t="s">
        <v>106</v>
      </c>
      <c r="D206" s="45"/>
      <c r="E206" s="45"/>
      <c r="F206" s="11" t="s">
        <v>1576</v>
      </c>
      <c r="G206" s="11" t="s">
        <v>36</v>
      </c>
      <c r="H206" s="11" t="s">
        <v>772</v>
      </c>
      <c r="I206" s="11"/>
      <c r="J206" s="11"/>
      <c r="K206" s="105">
        <f t="shared" si="2"/>
        <v>16</v>
      </c>
      <c r="L206" s="11">
        <v>189.0</v>
      </c>
      <c r="M206" s="11" t="s">
        <v>36</v>
      </c>
      <c r="N206" s="11">
        <v>270.0</v>
      </c>
      <c r="O206" s="11">
        <v>179.0</v>
      </c>
      <c r="P206" s="11">
        <v>178.0</v>
      </c>
      <c r="Q206" s="11">
        <v>134.0</v>
      </c>
      <c r="R206" s="11">
        <f t="shared" si="3"/>
        <v>190</v>
      </c>
      <c r="S206" s="11"/>
    </row>
    <row r="207" ht="14.25" customHeight="1">
      <c r="A207" s="3"/>
      <c r="B207" s="45">
        <f t="shared" si="1"/>
        <v>16</v>
      </c>
      <c r="C207" s="45" t="s">
        <v>106</v>
      </c>
      <c r="D207" s="45"/>
      <c r="E207" s="45"/>
      <c r="F207" s="11" t="s">
        <v>1577</v>
      </c>
      <c r="G207" s="11" t="s">
        <v>52</v>
      </c>
      <c r="H207" s="11" t="s">
        <v>781</v>
      </c>
      <c r="I207" s="11"/>
      <c r="J207" s="11"/>
      <c r="K207" s="105">
        <f t="shared" si="2"/>
        <v>14</v>
      </c>
      <c r="L207" s="11">
        <v>156.0</v>
      </c>
      <c r="M207" s="11">
        <v>212.0</v>
      </c>
      <c r="N207" s="11">
        <v>201.0</v>
      </c>
      <c r="O207" s="11">
        <v>167.0</v>
      </c>
      <c r="P207" s="11">
        <v>194.0</v>
      </c>
      <c r="Q207" s="11">
        <v>189.0</v>
      </c>
      <c r="R207" s="11">
        <f t="shared" si="3"/>
        <v>186</v>
      </c>
      <c r="S207" s="45"/>
    </row>
    <row r="208" ht="14.25" customHeight="1">
      <c r="A208" s="3"/>
      <c r="B208" s="45">
        <f t="shared" si="1"/>
        <v>16</v>
      </c>
      <c r="C208" s="45" t="s">
        <v>106</v>
      </c>
      <c r="D208" s="45"/>
      <c r="E208" s="45"/>
      <c r="F208" s="11" t="s">
        <v>532</v>
      </c>
      <c r="G208" s="11" t="s">
        <v>105</v>
      </c>
      <c r="H208" s="11" t="s">
        <v>1550</v>
      </c>
      <c r="I208" s="11"/>
      <c r="J208" s="11"/>
      <c r="K208" s="105">
        <f t="shared" si="2"/>
        <v>19</v>
      </c>
      <c r="L208" s="11">
        <v>225.0</v>
      </c>
      <c r="M208" s="11">
        <v>165.0</v>
      </c>
      <c r="N208" s="11">
        <v>172.0</v>
      </c>
      <c r="O208" s="11">
        <v>221.0</v>
      </c>
      <c r="P208" s="11">
        <v>173.0</v>
      </c>
      <c r="Q208" s="11">
        <v>142.0</v>
      </c>
      <c r="R208" s="11">
        <f t="shared" si="3"/>
        <v>183</v>
      </c>
      <c r="S208" s="45"/>
    </row>
    <row r="209" ht="14.25" customHeight="1">
      <c r="A209" s="3"/>
      <c r="B209" s="45">
        <f t="shared" si="1"/>
        <v>13</v>
      </c>
      <c r="C209" s="45" t="s">
        <v>106</v>
      </c>
      <c r="D209" s="45"/>
      <c r="E209" s="45"/>
      <c r="F209" s="11" t="s">
        <v>1278</v>
      </c>
      <c r="G209" s="11" t="s">
        <v>102</v>
      </c>
      <c r="H209" s="11" t="s">
        <v>775</v>
      </c>
      <c r="I209" s="11"/>
      <c r="J209" s="11"/>
      <c r="K209" s="105">
        <f t="shared" si="2"/>
        <v>14</v>
      </c>
      <c r="L209" s="11">
        <v>166.0</v>
      </c>
      <c r="M209" s="11">
        <v>135.0</v>
      </c>
      <c r="N209" s="11">
        <v>163.0</v>
      </c>
      <c r="O209" s="11">
        <v>159.0</v>
      </c>
      <c r="P209" s="11">
        <v>148.0</v>
      </c>
      <c r="Q209" s="11">
        <v>153.0</v>
      </c>
      <c r="R209" s="11">
        <f t="shared" si="3"/>
        <v>154</v>
      </c>
      <c r="S209" s="45"/>
    </row>
    <row r="210" ht="14.25" customHeight="1">
      <c r="A210" s="3"/>
      <c r="B210" s="45">
        <f t="shared" si="1"/>
        <v>16</v>
      </c>
      <c r="C210" s="45" t="s">
        <v>106</v>
      </c>
      <c r="D210" s="45"/>
      <c r="E210" s="45"/>
      <c r="F210" s="11" t="s">
        <v>639</v>
      </c>
      <c r="G210" s="11" t="s">
        <v>94</v>
      </c>
      <c r="H210" s="11" t="s">
        <v>770</v>
      </c>
      <c r="I210" s="11"/>
      <c r="J210" s="11"/>
      <c r="K210" s="105">
        <f t="shared" si="2"/>
        <v>13</v>
      </c>
      <c r="L210" s="11">
        <v>148.0</v>
      </c>
      <c r="M210" s="11">
        <v>173.0</v>
      </c>
      <c r="N210" s="11">
        <v>188.0</v>
      </c>
      <c r="O210" s="11">
        <v>204.0</v>
      </c>
      <c r="P210" s="11">
        <v>225.0</v>
      </c>
      <c r="Q210" s="11">
        <v>201.0</v>
      </c>
      <c r="R210" s="11">
        <f t="shared" si="3"/>
        <v>189</v>
      </c>
      <c r="S210" s="45"/>
    </row>
    <row r="211" ht="14.25" customHeight="1">
      <c r="A211" s="3"/>
      <c r="B211" s="45">
        <f t="shared" si="1"/>
        <v>16</v>
      </c>
      <c r="C211" s="45" t="s">
        <v>106</v>
      </c>
      <c r="D211" s="45"/>
      <c r="E211" s="45"/>
      <c r="F211" s="11" t="s">
        <v>1246</v>
      </c>
      <c r="G211" s="11" t="s">
        <v>75</v>
      </c>
      <c r="H211" s="11" t="s">
        <v>781</v>
      </c>
      <c r="I211" s="11"/>
      <c r="J211" s="11"/>
      <c r="K211" s="105">
        <f t="shared" si="2"/>
        <v>11</v>
      </c>
      <c r="L211" s="11">
        <v>130.0</v>
      </c>
      <c r="M211" s="11">
        <v>208.0</v>
      </c>
      <c r="N211" s="11">
        <v>194.0</v>
      </c>
      <c r="O211" s="11">
        <v>203.0</v>
      </c>
      <c r="P211" s="11">
        <v>233.0</v>
      </c>
      <c r="Q211" s="11">
        <v>172.0</v>
      </c>
      <c r="R211" s="11">
        <f t="shared" si="3"/>
        <v>190</v>
      </c>
      <c r="S211" s="45"/>
    </row>
    <row r="212" ht="14.25" customHeight="1">
      <c r="A212" s="3"/>
      <c r="B212" s="45">
        <f t="shared" si="1"/>
        <v>16</v>
      </c>
      <c r="C212" s="45" t="s">
        <v>106</v>
      </c>
      <c r="D212" s="45"/>
      <c r="E212" s="45"/>
      <c r="F212" s="11" t="s">
        <v>915</v>
      </c>
      <c r="G212" s="11" t="s">
        <v>162</v>
      </c>
      <c r="H212" s="11" t="s">
        <v>1550</v>
      </c>
      <c r="I212" s="11"/>
      <c r="J212" s="11"/>
      <c r="K212" s="105">
        <f t="shared" si="2"/>
        <v>18</v>
      </c>
      <c r="L212" s="11">
        <v>212.0</v>
      </c>
      <c r="M212" s="11">
        <v>182.0</v>
      </c>
      <c r="N212" s="11">
        <v>156.0</v>
      </c>
      <c r="O212" s="11">
        <v>231.0</v>
      </c>
      <c r="P212" s="11">
        <v>169.0</v>
      </c>
      <c r="Q212" s="11">
        <v>161.0</v>
      </c>
      <c r="R212" s="11">
        <f t="shared" si="3"/>
        <v>185</v>
      </c>
      <c r="S212" s="45"/>
    </row>
    <row r="213" ht="14.25" customHeight="1">
      <c r="A213" s="3"/>
      <c r="B213" s="45">
        <f t="shared" si="1"/>
        <v>16</v>
      </c>
      <c r="C213" s="45" t="s">
        <v>106</v>
      </c>
      <c r="D213" s="45"/>
      <c r="E213" s="45"/>
      <c r="F213" s="11" t="s">
        <v>487</v>
      </c>
      <c r="G213" s="11" t="s">
        <v>49</v>
      </c>
      <c r="H213" s="11" t="s">
        <v>1550</v>
      </c>
      <c r="I213" s="11"/>
      <c r="J213" s="11"/>
      <c r="K213" s="105">
        <f t="shared" si="2"/>
        <v>18</v>
      </c>
      <c r="L213" s="11">
        <v>207.0</v>
      </c>
      <c r="M213" s="11">
        <v>124.0</v>
      </c>
      <c r="N213" s="11">
        <v>198.0</v>
      </c>
      <c r="O213" s="11">
        <v>227.0</v>
      </c>
      <c r="P213" s="11">
        <v>198.0</v>
      </c>
      <c r="Q213" s="11">
        <v>170.0</v>
      </c>
      <c r="R213" s="11">
        <f t="shared" si="3"/>
        <v>187</v>
      </c>
      <c r="S213" s="45"/>
    </row>
    <row r="214" ht="14.25" customHeight="1">
      <c r="A214" s="3"/>
      <c r="B214" s="45">
        <f t="shared" si="1"/>
        <v>17</v>
      </c>
      <c r="C214" s="45" t="s">
        <v>106</v>
      </c>
      <c r="D214" s="45"/>
      <c r="E214" s="45"/>
      <c r="F214" s="11" t="s">
        <v>956</v>
      </c>
      <c r="G214" s="11" t="s">
        <v>154</v>
      </c>
      <c r="H214" s="11" t="s">
        <v>772</v>
      </c>
      <c r="I214" s="11"/>
      <c r="J214" s="11"/>
      <c r="K214" s="105">
        <f t="shared" si="2"/>
        <v>15</v>
      </c>
      <c r="L214" s="11">
        <v>168.0</v>
      </c>
      <c r="M214" s="11" t="s">
        <v>36</v>
      </c>
      <c r="N214" s="11" t="s">
        <v>36</v>
      </c>
      <c r="O214" s="11">
        <v>205.0</v>
      </c>
      <c r="P214" s="11">
        <v>208.0</v>
      </c>
      <c r="Q214" s="11">
        <v>196.0</v>
      </c>
      <c r="R214" s="11">
        <f t="shared" si="3"/>
        <v>194</v>
      </c>
      <c r="S214" s="11"/>
    </row>
    <row r="215" ht="14.25" customHeight="1">
      <c r="A215" s="3"/>
      <c r="B215" s="45">
        <f t="shared" si="1"/>
        <v>16</v>
      </c>
      <c r="C215" s="45" t="s">
        <v>106</v>
      </c>
      <c r="D215" s="45"/>
      <c r="E215" s="45"/>
      <c r="F215" s="11" t="s">
        <v>1579</v>
      </c>
      <c r="G215" s="11" t="s">
        <v>165</v>
      </c>
      <c r="H215" s="11" t="s">
        <v>781</v>
      </c>
      <c r="I215" s="11"/>
      <c r="J215" s="11"/>
      <c r="K215" s="105">
        <f t="shared" si="2"/>
        <v>18</v>
      </c>
      <c r="L215" s="11">
        <v>205.0</v>
      </c>
      <c r="M215" s="11">
        <v>193.0</v>
      </c>
      <c r="N215" s="11" t="s">
        <v>36</v>
      </c>
      <c r="O215" s="11">
        <v>133.0</v>
      </c>
      <c r="P215" s="11">
        <v>160.0</v>
      </c>
      <c r="Q215" s="11">
        <v>264.0</v>
      </c>
      <c r="R215" s="11">
        <f t="shared" si="3"/>
        <v>191</v>
      </c>
      <c r="S215" s="11"/>
    </row>
    <row r="216" ht="14.25" customHeight="1">
      <c r="A216" s="3"/>
      <c r="B216" s="45">
        <f t="shared" si="1"/>
        <v>16</v>
      </c>
      <c r="C216" s="45" t="s">
        <v>106</v>
      </c>
      <c r="D216" s="45"/>
      <c r="E216" s="45"/>
      <c r="F216" s="11" t="s">
        <v>1581</v>
      </c>
      <c r="G216" s="11" t="s">
        <v>154</v>
      </c>
      <c r="H216" s="11" t="s">
        <v>784</v>
      </c>
      <c r="I216" s="11"/>
      <c r="J216" s="11"/>
      <c r="K216" s="105">
        <f t="shared" si="2"/>
        <v>17</v>
      </c>
      <c r="L216" s="11">
        <v>193.0</v>
      </c>
      <c r="M216" s="11">
        <v>213.0</v>
      </c>
      <c r="N216" s="11">
        <v>183.0</v>
      </c>
      <c r="O216" s="11">
        <v>246.0</v>
      </c>
      <c r="P216" s="11" t="s">
        <v>36</v>
      </c>
      <c r="Q216" s="11">
        <v>116.0</v>
      </c>
      <c r="R216" s="11">
        <f t="shared" si="3"/>
        <v>190</v>
      </c>
      <c r="S216" s="11"/>
    </row>
    <row r="217" ht="14.25" customHeight="1">
      <c r="B217" s="45">
        <f t="shared" si="1"/>
        <v>14</v>
      </c>
      <c r="C217" s="45" t="s">
        <v>106</v>
      </c>
      <c r="D217" s="45"/>
      <c r="E217" s="45"/>
      <c r="F217" s="11" t="s">
        <v>1582</v>
      </c>
      <c r="G217" s="11" t="s">
        <v>192</v>
      </c>
      <c r="H217" s="11" t="s">
        <v>775</v>
      </c>
      <c r="I217" s="11"/>
      <c r="J217" s="11"/>
      <c r="K217" s="105">
        <f t="shared" si="2"/>
        <v>25</v>
      </c>
      <c r="L217" s="105">
        <v>289.0</v>
      </c>
      <c r="M217" s="11">
        <v>255.0</v>
      </c>
      <c r="N217" s="105" t="s">
        <v>1583</v>
      </c>
      <c r="O217" s="105">
        <v>0.0</v>
      </c>
      <c r="P217" s="105">
        <v>0.0</v>
      </c>
      <c r="Q217" s="105">
        <v>271.0</v>
      </c>
      <c r="R217" s="11">
        <f t="shared" si="3"/>
        <v>163</v>
      </c>
      <c r="S217" s="11"/>
    </row>
    <row r="218" ht="14.25" customHeight="1">
      <c r="A218" s="3"/>
      <c r="B218" s="45">
        <f t="shared" si="1"/>
        <v>16</v>
      </c>
      <c r="C218" s="45" t="s">
        <v>106</v>
      </c>
      <c r="D218" s="45"/>
      <c r="E218" s="45"/>
      <c r="F218" s="11" t="s">
        <v>485</v>
      </c>
      <c r="G218" s="11" t="s">
        <v>176</v>
      </c>
      <c r="H218" s="11" t="s">
        <v>1550</v>
      </c>
      <c r="I218" s="11"/>
      <c r="J218" s="11"/>
      <c r="K218" s="105">
        <f t="shared" si="2"/>
        <v>19</v>
      </c>
      <c r="L218" s="11">
        <v>224.0</v>
      </c>
      <c r="M218" s="11">
        <v>201.0</v>
      </c>
      <c r="N218" s="11">
        <v>138.0</v>
      </c>
      <c r="O218" s="11">
        <v>245.0</v>
      </c>
      <c r="P218" s="11">
        <v>213.0</v>
      </c>
      <c r="Q218" s="11">
        <v>124.0</v>
      </c>
      <c r="R218" s="11">
        <f t="shared" si="3"/>
        <v>190</v>
      </c>
      <c r="S218" s="45"/>
    </row>
    <row r="219" ht="14.25" customHeight="1">
      <c r="A219" s="3"/>
      <c r="B219" s="45">
        <f t="shared" si="1"/>
        <v>16</v>
      </c>
      <c r="C219" s="45" t="s">
        <v>106</v>
      </c>
      <c r="D219" s="45"/>
      <c r="E219" s="45"/>
      <c r="F219" s="11" t="s">
        <v>922</v>
      </c>
      <c r="G219" s="11" t="s">
        <v>85</v>
      </c>
      <c r="H219" s="11" t="s">
        <v>784</v>
      </c>
      <c r="I219" s="11"/>
      <c r="J219" s="11"/>
      <c r="K219" s="105">
        <f t="shared" si="2"/>
        <v>19</v>
      </c>
      <c r="L219" s="11">
        <v>222.0</v>
      </c>
      <c r="M219" s="11">
        <v>174.0</v>
      </c>
      <c r="N219" s="11">
        <v>181.0</v>
      </c>
      <c r="O219" s="11">
        <v>228.0</v>
      </c>
      <c r="P219" s="11" t="s">
        <v>36</v>
      </c>
      <c r="Q219" s="11">
        <v>152.0</v>
      </c>
      <c r="R219" s="11">
        <f t="shared" si="3"/>
        <v>191</v>
      </c>
      <c r="S219" s="11"/>
    </row>
    <row r="220" ht="14.25" customHeight="1">
      <c r="A220" s="3"/>
      <c r="B220" s="45">
        <f t="shared" si="1"/>
        <v>17</v>
      </c>
      <c r="C220" s="45" t="s">
        <v>106</v>
      </c>
      <c r="D220" s="45"/>
      <c r="E220" s="45"/>
      <c r="F220" s="11" t="s">
        <v>491</v>
      </c>
      <c r="G220" s="11" t="s">
        <v>52</v>
      </c>
      <c r="H220" s="11" t="s">
        <v>1550</v>
      </c>
      <c r="I220" s="11"/>
      <c r="J220" s="11"/>
      <c r="K220" s="105">
        <f t="shared" si="2"/>
        <v>18</v>
      </c>
      <c r="L220" s="11">
        <v>211.0</v>
      </c>
      <c r="M220" s="11">
        <v>179.0</v>
      </c>
      <c r="N220" s="11">
        <v>167.0</v>
      </c>
      <c r="O220" s="11">
        <v>266.0</v>
      </c>
      <c r="P220" s="11">
        <v>217.0</v>
      </c>
      <c r="Q220" s="11">
        <v>115.0</v>
      </c>
      <c r="R220" s="11">
        <f t="shared" si="3"/>
        <v>192</v>
      </c>
      <c r="S220" s="11"/>
    </row>
    <row r="221" ht="14.25" customHeight="1">
      <c r="A221" s="3"/>
      <c r="B221" s="45">
        <f t="shared" si="1"/>
        <v>17</v>
      </c>
      <c r="C221" s="45" t="s">
        <v>106</v>
      </c>
      <c r="D221" s="45"/>
      <c r="E221" s="45"/>
      <c r="F221" s="11" t="s">
        <v>918</v>
      </c>
      <c r="G221" s="11" t="s">
        <v>62</v>
      </c>
      <c r="H221" s="11" t="s">
        <v>1550</v>
      </c>
      <c r="I221" s="11"/>
      <c r="J221" s="11"/>
      <c r="K221" s="105">
        <f t="shared" si="2"/>
        <v>18</v>
      </c>
      <c r="L221" s="11">
        <v>214.0</v>
      </c>
      <c r="M221" s="11">
        <v>195.0</v>
      </c>
      <c r="N221" s="11">
        <v>116.0</v>
      </c>
      <c r="O221" s="11">
        <v>238.0</v>
      </c>
      <c r="P221" s="11">
        <v>200.0</v>
      </c>
      <c r="Q221" s="11">
        <v>194.0</v>
      </c>
      <c r="R221" s="11">
        <f t="shared" si="3"/>
        <v>192</v>
      </c>
      <c r="S221" s="11"/>
    </row>
    <row r="222" ht="14.25" customHeight="1">
      <c r="A222" s="3"/>
      <c r="B222" s="45">
        <f t="shared" si="1"/>
        <v>17</v>
      </c>
      <c r="C222" s="45" t="s">
        <v>106</v>
      </c>
      <c r="D222" s="45"/>
      <c r="E222" s="45"/>
      <c r="F222" s="11" t="s">
        <v>588</v>
      </c>
      <c r="G222" s="11" t="s">
        <v>71</v>
      </c>
      <c r="H222" s="11" t="s">
        <v>1550</v>
      </c>
      <c r="I222" s="11"/>
      <c r="J222" s="11"/>
      <c r="K222" s="105">
        <f t="shared" si="2"/>
        <v>19</v>
      </c>
      <c r="L222" s="11">
        <v>218.0</v>
      </c>
      <c r="M222" s="11">
        <v>188.0</v>
      </c>
      <c r="N222" s="11">
        <v>157.0</v>
      </c>
      <c r="O222" s="11">
        <v>261.0</v>
      </c>
      <c r="P222" s="11">
        <v>226.0</v>
      </c>
      <c r="Q222" s="11">
        <v>112.0</v>
      </c>
      <c r="R222" s="11">
        <f t="shared" si="3"/>
        <v>193</v>
      </c>
      <c r="S222" s="11"/>
    </row>
    <row r="223" ht="14.25" customHeight="1">
      <c r="B223" s="45">
        <f t="shared" si="1"/>
        <v>14</v>
      </c>
      <c r="C223" s="45" t="s">
        <v>106</v>
      </c>
      <c r="D223" s="45"/>
      <c r="E223" s="45"/>
      <c r="F223" s="11" t="s">
        <v>1586</v>
      </c>
      <c r="G223" s="11" t="s">
        <v>45</v>
      </c>
      <c r="H223" s="11" t="s">
        <v>775</v>
      </c>
      <c r="I223" s="11" t="s">
        <v>1518</v>
      </c>
      <c r="J223" s="11"/>
      <c r="K223" s="105">
        <f t="shared" si="2"/>
        <v>25</v>
      </c>
      <c r="L223" s="105">
        <v>293.3</v>
      </c>
      <c r="M223" s="11">
        <v>262.0</v>
      </c>
      <c r="N223" s="105" t="s">
        <v>1587</v>
      </c>
      <c r="O223" s="105">
        <v>0.0</v>
      </c>
      <c r="P223" s="105">
        <v>0.0</v>
      </c>
      <c r="Q223" s="105">
        <v>270.0</v>
      </c>
      <c r="R223" s="11">
        <f t="shared" si="3"/>
        <v>165</v>
      </c>
      <c r="S223" s="11"/>
    </row>
    <row r="224" ht="14.25" customHeight="1">
      <c r="A224" s="3"/>
      <c r="B224" s="45">
        <f t="shared" si="1"/>
        <v>17</v>
      </c>
      <c r="C224" s="45" t="s">
        <v>106</v>
      </c>
      <c r="D224" s="45"/>
      <c r="E224" s="45"/>
      <c r="F224" s="11" t="s">
        <v>1588</v>
      </c>
      <c r="G224" s="11" t="s">
        <v>162</v>
      </c>
      <c r="H224" s="11" t="s">
        <v>772</v>
      </c>
      <c r="I224" s="11"/>
      <c r="J224" s="11"/>
      <c r="K224" s="105">
        <f t="shared" si="2"/>
        <v>13</v>
      </c>
      <c r="L224" s="11">
        <v>150.0</v>
      </c>
      <c r="M224" s="11">
        <v>186.0</v>
      </c>
      <c r="N224" s="11">
        <v>199.0</v>
      </c>
      <c r="O224" s="11">
        <v>226.0</v>
      </c>
      <c r="P224" s="11">
        <v>236.0</v>
      </c>
      <c r="Q224" s="11">
        <v>197.0</v>
      </c>
      <c r="R224" s="11">
        <f t="shared" si="3"/>
        <v>199</v>
      </c>
      <c r="S224" s="11"/>
    </row>
    <row r="225" ht="14.25" customHeight="1">
      <c r="A225" s="3"/>
      <c r="B225" s="45">
        <f t="shared" si="1"/>
        <v>17</v>
      </c>
      <c r="C225" s="45" t="s">
        <v>106</v>
      </c>
      <c r="D225" s="45"/>
      <c r="E225" s="45"/>
      <c r="F225" s="11" t="s">
        <v>954</v>
      </c>
      <c r="G225" s="11" t="s">
        <v>40</v>
      </c>
      <c r="H225" s="11" t="s">
        <v>784</v>
      </c>
      <c r="I225" s="11"/>
      <c r="J225" s="11"/>
      <c r="K225" s="105">
        <f t="shared" si="2"/>
        <v>18</v>
      </c>
      <c r="L225" s="11">
        <v>215.0</v>
      </c>
      <c r="M225" s="11">
        <v>190.0</v>
      </c>
      <c r="N225" s="11">
        <v>190.0</v>
      </c>
      <c r="O225" s="11">
        <v>230.0</v>
      </c>
      <c r="P225" s="11" t="s">
        <v>36</v>
      </c>
      <c r="Q225" s="11">
        <v>158.0</v>
      </c>
      <c r="R225" s="11">
        <f t="shared" si="3"/>
        <v>196</v>
      </c>
      <c r="S225" s="11"/>
    </row>
    <row r="226" ht="14.25" customHeight="1">
      <c r="A226" s="3"/>
      <c r="B226" s="45">
        <f t="shared" si="1"/>
        <v>17</v>
      </c>
      <c r="C226" s="45" t="s">
        <v>106</v>
      </c>
      <c r="D226" s="45"/>
      <c r="E226" s="45"/>
      <c r="F226" s="11" t="s">
        <v>1179</v>
      </c>
      <c r="G226" s="11" t="s">
        <v>75</v>
      </c>
      <c r="H226" s="11" t="s">
        <v>781</v>
      </c>
      <c r="I226" s="11"/>
      <c r="J226" s="11"/>
      <c r="K226" s="105">
        <f t="shared" si="2"/>
        <v>18</v>
      </c>
      <c r="L226" s="11">
        <v>208.0</v>
      </c>
      <c r="M226" s="11" t="s">
        <v>36</v>
      </c>
      <c r="N226" s="11">
        <v>214.0</v>
      </c>
      <c r="O226" s="11">
        <v>147.0</v>
      </c>
      <c r="P226" s="11">
        <v>174.0</v>
      </c>
      <c r="Q226" s="11">
        <v>252.0</v>
      </c>
      <c r="R226" s="11">
        <f t="shared" si="3"/>
        <v>199</v>
      </c>
      <c r="S226" s="11"/>
    </row>
    <row r="227" ht="14.25" customHeight="1">
      <c r="A227" s="3"/>
      <c r="B227" s="45">
        <f t="shared" si="1"/>
        <v>17</v>
      </c>
      <c r="C227" s="45" t="s">
        <v>106</v>
      </c>
      <c r="D227" s="45"/>
      <c r="E227" s="45"/>
      <c r="F227" s="11" t="s">
        <v>442</v>
      </c>
      <c r="G227" s="11" t="s">
        <v>148</v>
      </c>
      <c r="H227" s="11" t="s">
        <v>770</v>
      </c>
      <c r="I227" s="11"/>
      <c r="J227" s="11"/>
      <c r="K227" s="105">
        <f t="shared" si="2"/>
        <v>13</v>
      </c>
      <c r="L227" s="11">
        <v>153.0</v>
      </c>
      <c r="M227" s="11" t="s">
        <v>36</v>
      </c>
      <c r="N227" s="11">
        <v>244.0</v>
      </c>
      <c r="O227" s="11">
        <v>185.0</v>
      </c>
      <c r="P227" s="11">
        <v>192.0</v>
      </c>
      <c r="Q227" s="11">
        <v>229.0</v>
      </c>
      <c r="R227" s="11">
        <f t="shared" si="3"/>
        <v>200</v>
      </c>
      <c r="S227" s="45"/>
    </row>
    <row r="228" ht="14.25" customHeight="1">
      <c r="A228" s="3"/>
      <c r="B228" s="45">
        <f t="shared" si="1"/>
        <v>17</v>
      </c>
      <c r="C228" s="45" t="s">
        <v>106</v>
      </c>
      <c r="D228" s="45"/>
      <c r="E228" s="45"/>
      <c r="F228" s="11" t="s">
        <v>1120</v>
      </c>
      <c r="G228" s="11" t="s">
        <v>98</v>
      </c>
      <c r="H228" s="11" t="s">
        <v>775</v>
      </c>
      <c r="I228" s="11"/>
      <c r="J228" s="11"/>
      <c r="K228" s="105">
        <f t="shared" si="2"/>
        <v>15</v>
      </c>
      <c r="L228" s="11">
        <v>176.0</v>
      </c>
      <c r="M228" s="11">
        <v>191.0</v>
      </c>
      <c r="N228" s="11" t="s">
        <v>36</v>
      </c>
      <c r="O228" s="11">
        <v>209.0</v>
      </c>
      <c r="P228" s="11">
        <v>176.0</v>
      </c>
      <c r="Q228" s="11">
        <v>214.0</v>
      </c>
      <c r="R228" s="11">
        <f t="shared" si="3"/>
        <v>193</v>
      </c>
      <c r="S228" s="11"/>
    </row>
    <row r="229" ht="14.25" customHeight="1">
      <c r="A229" s="3"/>
      <c r="B229" s="45">
        <f t="shared" si="1"/>
        <v>17</v>
      </c>
      <c r="C229" s="45" t="s">
        <v>106</v>
      </c>
      <c r="D229" s="45"/>
      <c r="E229" s="45"/>
      <c r="F229" s="11" t="s">
        <v>1590</v>
      </c>
      <c r="G229" s="11" t="s">
        <v>52</v>
      </c>
      <c r="H229" s="11" t="s">
        <v>772</v>
      </c>
      <c r="I229" s="11"/>
      <c r="J229" s="11"/>
      <c r="K229" s="105">
        <f t="shared" si="2"/>
        <v>16</v>
      </c>
      <c r="L229" s="11">
        <v>180.0</v>
      </c>
      <c r="M229" s="11">
        <v>210.0</v>
      </c>
      <c r="N229" s="11">
        <v>223.0</v>
      </c>
      <c r="O229" s="11">
        <v>181.0</v>
      </c>
      <c r="P229" s="11">
        <v>193.0</v>
      </c>
      <c r="Q229" s="11">
        <v>226.0</v>
      </c>
      <c r="R229" s="11">
        <f t="shared" si="3"/>
        <v>202</v>
      </c>
      <c r="S229" s="11"/>
    </row>
    <row r="230" ht="14.25" customHeight="1">
      <c r="A230" s="3"/>
      <c r="B230" s="45">
        <f t="shared" si="1"/>
        <v>17</v>
      </c>
      <c r="C230" s="45" t="s">
        <v>106</v>
      </c>
      <c r="D230" s="45"/>
      <c r="E230" s="45"/>
      <c r="F230" s="11" t="s">
        <v>668</v>
      </c>
      <c r="G230" s="11" t="s">
        <v>237</v>
      </c>
      <c r="H230" s="11" t="s">
        <v>784</v>
      </c>
      <c r="I230" s="11"/>
      <c r="J230" s="11"/>
      <c r="K230" s="105">
        <f t="shared" si="2"/>
        <v>18</v>
      </c>
      <c r="L230" s="11">
        <v>209.0</v>
      </c>
      <c r="M230" s="11">
        <v>221.0</v>
      </c>
      <c r="N230" s="11">
        <v>144.0</v>
      </c>
      <c r="O230" s="11">
        <v>260.0</v>
      </c>
      <c r="P230" s="11" t="s">
        <v>36</v>
      </c>
      <c r="Q230" s="11">
        <v>185.0</v>
      </c>
      <c r="R230" s="11">
        <f t="shared" si="3"/>
        <v>203</v>
      </c>
      <c r="S230" s="11"/>
    </row>
    <row r="231" ht="14.25" customHeight="1">
      <c r="A231" s="3"/>
      <c r="B231" s="45">
        <f t="shared" si="1"/>
        <v>18</v>
      </c>
      <c r="C231" s="45" t="s">
        <v>106</v>
      </c>
      <c r="D231" s="45"/>
      <c r="E231" s="45"/>
      <c r="F231" s="11" t="s">
        <v>1223</v>
      </c>
      <c r="G231" s="11" t="s">
        <v>58</v>
      </c>
      <c r="H231" s="11" t="s">
        <v>772</v>
      </c>
      <c r="I231" s="11"/>
      <c r="J231" s="11"/>
      <c r="K231" s="105">
        <f t="shared" si="2"/>
        <v>17</v>
      </c>
      <c r="L231" s="11">
        <v>201.0</v>
      </c>
      <c r="M231" s="11">
        <v>217.0</v>
      </c>
      <c r="N231" s="11">
        <v>200.0</v>
      </c>
      <c r="O231" s="11">
        <v>175.0</v>
      </c>
      <c r="P231" s="11">
        <v>211.0</v>
      </c>
      <c r="Q231" s="11">
        <v>227.0</v>
      </c>
      <c r="R231" s="11">
        <f t="shared" si="3"/>
        <v>205</v>
      </c>
      <c r="S231" s="45"/>
    </row>
    <row r="232" ht="14.25" customHeight="1">
      <c r="A232" s="3"/>
      <c r="B232" s="45">
        <f t="shared" si="1"/>
        <v>18</v>
      </c>
      <c r="C232" s="45" t="s">
        <v>106</v>
      </c>
      <c r="D232" s="45"/>
      <c r="E232" s="45"/>
      <c r="F232" s="11" t="s">
        <v>1591</v>
      </c>
      <c r="G232" s="11" t="s">
        <v>171</v>
      </c>
      <c r="H232" s="11" t="s">
        <v>781</v>
      </c>
      <c r="I232" s="11"/>
      <c r="J232" s="11"/>
      <c r="K232" s="105">
        <f t="shared" si="2"/>
        <v>11</v>
      </c>
      <c r="L232" s="11">
        <v>129.0</v>
      </c>
      <c r="M232" s="11" t="s">
        <v>36</v>
      </c>
      <c r="N232" s="11">
        <v>204.0</v>
      </c>
      <c r="O232" s="11">
        <v>243.0</v>
      </c>
      <c r="P232" s="11">
        <v>257.0</v>
      </c>
      <c r="Q232" s="11">
        <v>199.0</v>
      </c>
      <c r="R232" s="11">
        <f t="shared" si="3"/>
        <v>206</v>
      </c>
      <c r="S232" s="11"/>
    </row>
    <row r="233" ht="14.25" customHeight="1">
      <c r="A233" s="3"/>
      <c r="B233" s="45">
        <f t="shared" si="1"/>
        <v>18</v>
      </c>
      <c r="C233" s="45" t="s">
        <v>106</v>
      </c>
      <c r="D233" s="45"/>
      <c r="E233" s="45"/>
      <c r="F233" s="11" t="s">
        <v>1592</v>
      </c>
      <c r="G233" s="11" t="s">
        <v>52</v>
      </c>
      <c r="H233" s="11" t="s">
        <v>781</v>
      </c>
      <c r="I233" s="11"/>
      <c r="J233" s="11"/>
      <c r="K233" s="105">
        <f t="shared" si="2"/>
        <v>13</v>
      </c>
      <c r="L233" s="11">
        <v>149.0</v>
      </c>
      <c r="M233" s="11" t="s">
        <v>36</v>
      </c>
      <c r="N233" s="11">
        <v>239.0</v>
      </c>
      <c r="O233" s="11">
        <v>191.0</v>
      </c>
      <c r="P233" s="11">
        <v>237.0</v>
      </c>
      <c r="Q233" s="11">
        <v>215.0</v>
      </c>
      <c r="R233" s="11">
        <f t="shared" si="3"/>
        <v>206</v>
      </c>
      <c r="S233" s="11"/>
    </row>
    <row r="234" ht="14.25" customHeight="1">
      <c r="A234" s="3"/>
      <c r="B234" s="45">
        <f t="shared" si="1"/>
        <v>18</v>
      </c>
      <c r="C234" s="45" t="s">
        <v>106</v>
      </c>
      <c r="D234" s="45"/>
      <c r="E234" s="45"/>
      <c r="F234" s="11" t="s">
        <v>580</v>
      </c>
      <c r="G234" s="11" t="s">
        <v>119</v>
      </c>
      <c r="H234" s="11" t="s">
        <v>784</v>
      </c>
      <c r="I234" s="11"/>
      <c r="J234" s="11"/>
      <c r="K234" s="105">
        <f t="shared" si="2"/>
        <v>15</v>
      </c>
      <c r="L234" s="11">
        <v>174.0</v>
      </c>
      <c r="M234" s="11">
        <v>226.0</v>
      </c>
      <c r="N234" s="11">
        <v>187.0</v>
      </c>
      <c r="O234" s="11">
        <v>237.0</v>
      </c>
      <c r="P234" s="11" t="s">
        <v>36</v>
      </c>
      <c r="Q234" s="11" t="s">
        <v>36</v>
      </c>
      <c r="R234" s="11">
        <f t="shared" si="3"/>
        <v>206</v>
      </c>
      <c r="S234" s="11"/>
    </row>
    <row r="235" ht="14.25" customHeight="1">
      <c r="A235" s="3"/>
      <c r="B235" s="45">
        <f t="shared" si="1"/>
        <v>18</v>
      </c>
      <c r="C235" s="45" t="s">
        <v>106</v>
      </c>
      <c r="D235" s="45"/>
      <c r="E235" s="45"/>
      <c r="F235" s="11" t="s">
        <v>495</v>
      </c>
      <c r="G235" s="11" t="s">
        <v>85</v>
      </c>
      <c r="H235" s="11" t="s">
        <v>1550</v>
      </c>
      <c r="I235" s="11"/>
      <c r="J235" s="11"/>
      <c r="K235" s="105">
        <f t="shared" si="2"/>
        <v>19</v>
      </c>
      <c r="L235" s="11">
        <v>223.0</v>
      </c>
      <c r="M235" s="11">
        <v>200.0</v>
      </c>
      <c r="N235" s="11">
        <v>202.0</v>
      </c>
      <c r="O235" s="11">
        <v>236.0</v>
      </c>
      <c r="P235" s="11">
        <v>205.0</v>
      </c>
      <c r="Q235" s="11">
        <v>173.0</v>
      </c>
      <c r="R235" s="11">
        <f t="shared" si="3"/>
        <v>206</v>
      </c>
      <c r="S235" s="11"/>
    </row>
    <row r="236" ht="14.25" customHeight="1">
      <c r="A236" s="3"/>
      <c r="B236" s="45">
        <f t="shared" si="1"/>
        <v>18</v>
      </c>
      <c r="C236" s="45" t="s">
        <v>106</v>
      </c>
      <c r="D236" s="45"/>
      <c r="E236" s="45"/>
      <c r="F236" s="11" t="s">
        <v>1594</v>
      </c>
      <c r="G236" s="11" t="s">
        <v>75</v>
      </c>
      <c r="H236" s="11" t="s">
        <v>784</v>
      </c>
      <c r="I236" s="11"/>
      <c r="J236" s="11"/>
      <c r="K236" s="105">
        <f t="shared" si="2"/>
        <v>19</v>
      </c>
      <c r="L236" s="11">
        <v>221.0</v>
      </c>
      <c r="M236" s="11">
        <v>215.0</v>
      </c>
      <c r="N236" s="11">
        <v>208.0</v>
      </c>
      <c r="O236" s="11">
        <v>252.0</v>
      </c>
      <c r="P236" s="11" t="s">
        <v>36</v>
      </c>
      <c r="Q236" s="11">
        <v>150.0</v>
      </c>
      <c r="R236" s="11">
        <f t="shared" si="3"/>
        <v>209</v>
      </c>
      <c r="S236" s="11"/>
    </row>
    <row r="237" ht="14.25" customHeight="1">
      <c r="A237" s="3"/>
      <c r="B237" s="45">
        <f t="shared" si="1"/>
        <v>18</v>
      </c>
      <c r="C237" s="45" t="s">
        <v>106</v>
      </c>
      <c r="D237" s="45"/>
      <c r="E237" s="45"/>
      <c r="F237" s="11" t="s">
        <v>1236</v>
      </c>
      <c r="G237" s="11" t="s">
        <v>231</v>
      </c>
      <c r="H237" s="11" t="s">
        <v>1550</v>
      </c>
      <c r="I237" s="11"/>
      <c r="J237" s="11"/>
      <c r="K237" s="105">
        <f t="shared" si="2"/>
        <v>19</v>
      </c>
      <c r="L237" s="11">
        <v>226.0</v>
      </c>
      <c r="M237" s="11">
        <v>183.0</v>
      </c>
      <c r="N237" s="11">
        <v>219.0</v>
      </c>
      <c r="O237" s="11">
        <v>257.0</v>
      </c>
      <c r="P237" s="11">
        <v>214.0</v>
      </c>
      <c r="Q237" s="11">
        <v>163.0</v>
      </c>
      <c r="R237" s="11">
        <f t="shared" si="3"/>
        <v>210</v>
      </c>
      <c r="S237" s="11"/>
    </row>
    <row r="238" ht="14.25" customHeight="1">
      <c r="A238" s="3"/>
      <c r="B238" s="45">
        <f t="shared" si="1"/>
        <v>18</v>
      </c>
      <c r="C238" s="45" t="s">
        <v>106</v>
      </c>
      <c r="D238" s="45"/>
      <c r="E238" s="45"/>
      <c r="F238" s="11" t="s">
        <v>1257</v>
      </c>
      <c r="G238" s="11" t="s">
        <v>102</v>
      </c>
      <c r="H238" s="11" t="s">
        <v>772</v>
      </c>
      <c r="I238" s="11"/>
      <c r="J238" s="11"/>
      <c r="K238" s="105">
        <f t="shared" si="2"/>
        <v>8</v>
      </c>
      <c r="L238" s="11">
        <v>86.0</v>
      </c>
      <c r="M238" s="11" t="s">
        <v>36</v>
      </c>
      <c r="N238" s="11">
        <v>280.0</v>
      </c>
      <c r="O238" s="11">
        <v>373.0</v>
      </c>
      <c r="P238" s="11">
        <v>206.0</v>
      </c>
      <c r="Q238" s="11">
        <v>129.0</v>
      </c>
      <c r="R238" s="11">
        <f t="shared" si="3"/>
        <v>214</v>
      </c>
      <c r="S238" s="11"/>
    </row>
    <row r="239" ht="14.25" customHeight="1">
      <c r="A239" s="3"/>
      <c r="B239" s="45">
        <f t="shared" si="1"/>
        <v>18</v>
      </c>
      <c r="C239" s="45" t="s">
        <v>106</v>
      </c>
      <c r="D239" s="45"/>
      <c r="E239" s="45"/>
      <c r="F239" s="11" t="s">
        <v>564</v>
      </c>
      <c r="G239" s="11" t="s">
        <v>154</v>
      </c>
      <c r="H239" s="11" t="s">
        <v>1550</v>
      </c>
      <c r="I239" s="11"/>
      <c r="J239" s="11"/>
      <c r="K239" s="105">
        <f t="shared" si="2"/>
        <v>17</v>
      </c>
      <c r="L239" s="11">
        <v>194.0</v>
      </c>
      <c r="M239" s="11">
        <v>216.0</v>
      </c>
      <c r="N239" s="11">
        <v>211.0</v>
      </c>
      <c r="O239" s="11">
        <v>279.0</v>
      </c>
      <c r="P239" s="11">
        <v>222.0</v>
      </c>
      <c r="Q239" s="11">
        <v>168.0</v>
      </c>
      <c r="R239" s="11">
        <f t="shared" si="3"/>
        <v>215</v>
      </c>
      <c r="S239" s="11"/>
    </row>
    <row r="240" ht="14.25" customHeight="1">
      <c r="A240" s="3"/>
      <c r="B240" s="45">
        <f t="shared" si="1"/>
        <v>19</v>
      </c>
      <c r="C240" s="45" t="s">
        <v>106</v>
      </c>
      <c r="D240" s="45"/>
      <c r="E240" s="45"/>
      <c r="F240" s="11" t="s">
        <v>1595</v>
      </c>
      <c r="G240" s="11" t="s">
        <v>206</v>
      </c>
      <c r="H240" s="11" t="s">
        <v>784</v>
      </c>
      <c r="I240" s="11"/>
      <c r="J240" s="11"/>
      <c r="K240" s="105">
        <f t="shared" si="2"/>
        <v>18</v>
      </c>
      <c r="L240" s="11">
        <v>210.0</v>
      </c>
      <c r="M240" s="11" t="s">
        <v>36</v>
      </c>
      <c r="N240" s="11">
        <v>209.0</v>
      </c>
      <c r="O240" s="11">
        <v>274.0</v>
      </c>
      <c r="P240" s="11" t="s">
        <v>36</v>
      </c>
      <c r="Q240" s="11">
        <v>174.0</v>
      </c>
      <c r="R240" s="11">
        <f t="shared" si="3"/>
        <v>216</v>
      </c>
      <c r="S240" s="11"/>
    </row>
    <row r="241" ht="14.25" customHeight="1">
      <c r="A241" s="3"/>
      <c r="B241" s="45">
        <f t="shared" si="1"/>
        <v>19</v>
      </c>
      <c r="C241" s="45" t="s">
        <v>106</v>
      </c>
      <c r="D241" s="45"/>
      <c r="E241" s="45"/>
      <c r="F241" s="11" t="s">
        <v>1596</v>
      </c>
      <c r="G241" s="11" t="s">
        <v>105</v>
      </c>
      <c r="H241" s="11" t="s">
        <v>784</v>
      </c>
      <c r="I241" s="11"/>
      <c r="J241" s="11"/>
      <c r="K241" s="105">
        <f t="shared" si="2"/>
        <v>13</v>
      </c>
      <c r="L241" s="11">
        <v>144.0</v>
      </c>
      <c r="M241" s="11">
        <v>218.0</v>
      </c>
      <c r="N241" s="11" t="s">
        <v>36</v>
      </c>
      <c r="O241" s="11">
        <v>259.0</v>
      </c>
      <c r="P241" s="11" t="s">
        <v>36</v>
      </c>
      <c r="Q241" s="11">
        <v>250.0</v>
      </c>
      <c r="R241" s="11">
        <f t="shared" si="3"/>
        <v>217</v>
      </c>
      <c r="S241" s="11"/>
    </row>
    <row r="242" ht="14.25" customHeight="1">
      <c r="A242" s="3"/>
      <c r="B242" s="45">
        <f t="shared" si="1"/>
        <v>19</v>
      </c>
      <c r="C242" s="45" t="s">
        <v>106</v>
      </c>
      <c r="D242" s="45"/>
      <c r="E242" s="45"/>
      <c r="F242" s="11" t="s">
        <v>1222</v>
      </c>
      <c r="G242" s="11" t="s">
        <v>176</v>
      </c>
      <c r="H242" s="11" t="s">
        <v>784</v>
      </c>
      <c r="I242" s="11"/>
      <c r="J242" s="11"/>
      <c r="K242" s="105">
        <f t="shared" si="2"/>
        <v>19</v>
      </c>
      <c r="L242" s="11">
        <v>216.0</v>
      </c>
      <c r="M242" s="11">
        <v>199.0</v>
      </c>
      <c r="N242" s="11">
        <v>233.0</v>
      </c>
      <c r="O242" s="11">
        <v>251.0</v>
      </c>
      <c r="P242" s="11" t="s">
        <v>36</v>
      </c>
      <c r="Q242" s="11">
        <v>188.0</v>
      </c>
      <c r="R242" s="11">
        <f t="shared" si="3"/>
        <v>217</v>
      </c>
      <c r="S242" s="11"/>
    </row>
    <row r="243" ht="14.25" customHeight="1">
      <c r="A243" s="3"/>
      <c r="B243" s="45">
        <f t="shared" si="1"/>
        <v>19</v>
      </c>
      <c r="C243" s="45" t="s">
        <v>106</v>
      </c>
      <c r="D243" s="45"/>
      <c r="E243" s="45"/>
      <c r="F243" s="11" t="s">
        <v>582</v>
      </c>
      <c r="G243" s="11" t="s">
        <v>52</v>
      </c>
      <c r="H243" s="11" t="s">
        <v>784</v>
      </c>
      <c r="I243" s="11"/>
      <c r="J243" s="11"/>
      <c r="K243" s="105">
        <f t="shared" si="2"/>
        <v>19</v>
      </c>
      <c r="L243" s="11">
        <v>220.0</v>
      </c>
      <c r="M243" s="11">
        <v>222.0</v>
      </c>
      <c r="N243" s="11">
        <v>222.0</v>
      </c>
      <c r="O243" s="11">
        <v>258.0</v>
      </c>
      <c r="P243" s="11" t="s">
        <v>36</v>
      </c>
      <c r="Q243" s="11">
        <v>169.0</v>
      </c>
      <c r="R243" s="11">
        <f t="shared" si="3"/>
        <v>218</v>
      </c>
      <c r="S243" s="11"/>
    </row>
    <row r="244" ht="14.25" customHeight="1">
      <c r="A244" s="3"/>
      <c r="B244" s="45">
        <f t="shared" si="1"/>
        <v>19</v>
      </c>
      <c r="C244" s="45" t="s">
        <v>106</v>
      </c>
      <c r="D244" s="45"/>
      <c r="E244" s="45"/>
      <c r="F244" s="11" t="s">
        <v>1597</v>
      </c>
      <c r="G244" s="11" t="s">
        <v>237</v>
      </c>
      <c r="H244" s="11" t="s">
        <v>772</v>
      </c>
      <c r="I244" s="11"/>
      <c r="J244" s="11"/>
      <c r="K244" s="105" t="str">
        <f t="shared" si="2"/>
        <v>#DIV/0!</v>
      </c>
      <c r="L244" s="11" t="s">
        <v>36</v>
      </c>
      <c r="M244" s="11">
        <v>196.0</v>
      </c>
      <c r="N244" s="11" t="s">
        <v>36</v>
      </c>
      <c r="O244" s="11">
        <v>187.0</v>
      </c>
      <c r="P244" s="11">
        <v>191.0</v>
      </c>
      <c r="Q244" s="11">
        <v>299.0</v>
      </c>
      <c r="R244" s="11">
        <f t="shared" si="3"/>
        <v>218</v>
      </c>
      <c r="S244" s="11"/>
    </row>
    <row r="245" ht="14.25" customHeight="1">
      <c r="A245" s="3"/>
      <c r="B245" s="45">
        <f t="shared" si="1"/>
        <v>19</v>
      </c>
      <c r="C245" s="45" t="s">
        <v>106</v>
      </c>
      <c r="D245" s="45"/>
      <c r="E245" s="45"/>
      <c r="F245" s="11" t="s">
        <v>1598</v>
      </c>
      <c r="G245" s="11" t="s">
        <v>231</v>
      </c>
      <c r="H245" s="11" t="s">
        <v>772</v>
      </c>
      <c r="I245" s="11"/>
      <c r="J245" s="11"/>
      <c r="K245" s="105" t="str">
        <f t="shared" si="2"/>
        <v>#DIV/0!</v>
      </c>
      <c r="L245" s="11" t="s">
        <v>36</v>
      </c>
      <c r="M245" s="11">
        <v>219.0</v>
      </c>
      <c r="N245" s="11" t="s">
        <v>36</v>
      </c>
      <c r="O245" s="11">
        <v>173.0</v>
      </c>
      <c r="P245" s="11">
        <v>183.0</v>
      </c>
      <c r="Q245" s="11">
        <v>302.0</v>
      </c>
      <c r="R245" s="11">
        <f t="shared" si="3"/>
        <v>219</v>
      </c>
      <c r="S245" s="11"/>
    </row>
    <row r="246" ht="14.25" customHeight="1">
      <c r="A246" s="3"/>
      <c r="B246" s="45">
        <f t="shared" si="1"/>
        <v>19</v>
      </c>
      <c r="C246" s="45" t="s">
        <v>106</v>
      </c>
      <c r="D246" s="45"/>
      <c r="E246" s="45"/>
      <c r="F246" s="11" t="s">
        <v>1599</v>
      </c>
      <c r="G246" s="11" t="s">
        <v>85</v>
      </c>
      <c r="H246" s="11" t="s">
        <v>775</v>
      </c>
      <c r="I246" s="11"/>
      <c r="J246" s="11"/>
      <c r="K246" s="105">
        <f t="shared" si="2"/>
        <v>17</v>
      </c>
      <c r="L246" s="11">
        <v>196.0</v>
      </c>
      <c r="M246" s="11">
        <v>214.0</v>
      </c>
      <c r="N246" s="11">
        <v>323.0</v>
      </c>
      <c r="O246" s="11">
        <v>215.0</v>
      </c>
      <c r="P246" s="11">
        <v>199.0</v>
      </c>
      <c r="Q246" s="11">
        <v>183.0</v>
      </c>
      <c r="R246" s="11">
        <f t="shared" si="3"/>
        <v>221</v>
      </c>
      <c r="S246" s="45"/>
    </row>
    <row r="247" ht="14.25" customHeight="1">
      <c r="A247" s="3"/>
      <c r="B247" s="45">
        <f t="shared" si="1"/>
        <v>19</v>
      </c>
      <c r="C247" s="45" t="s">
        <v>106</v>
      </c>
      <c r="D247" s="45"/>
      <c r="E247" s="45"/>
      <c r="F247" s="11" t="s">
        <v>158</v>
      </c>
      <c r="G247" s="11" t="s">
        <v>45</v>
      </c>
      <c r="H247" s="11" t="s">
        <v>775</v>
      </c>
      <c r="I247" s="11"/>
      <c r="J247" s="11"/>
      <c r="K247" s="105" t="str">
        <f t="shared" si="2"/>
        <v>#DIV/0!</v>
      </c>
      <c r="L247" s="11" t="s">
        <v>36</v>
      </c>
      <c r="M247" s="11" t="s">
        <v>36</v>
      </c>
      <c r="N247" s="11">
        <v>210.0</v>
      </c>
      <c r="O247" s="11">
        <v>208.0</v>
      </c>
      <c r="P247" s="11">
        <v>227.0</v>
      </c>
      <c r="Q247" s="11">
        <v>242.0</v>
      </c>
      <c r="R247" s="11">
        <f t="shared" si="3"/>
        <v>221</v>
      </c>
      <c r="S247" s="11"/>
    </row>
    <row r="248" ht="14.25" customHeight="1">
      <c r="A248" s="3"/>
      <c r="B248" s="45">
        <f t="shared" si="1"/>
        <v>19</v>
      </c>
      <c r="C248" s="45" t="s">
        <v>106</v>
      </c>
      <c r="D248" s="45"/>
      <c r="E248" s="45"/>
      <c r="F248" s="11" t="s">
        <v>1466</v>
      </c>
      <c r="G248" s="11" t="s">
        <v>192</v>
      </c>
      <c r="H248" s="11" t="s">
        <v>1550</v>
      </c>
      <c r="I248" s="11"/>
      <c r="J248" s="11"/>
      <c r="K248" s="105">
        <f t="shared" si="2"/>
        <v>17</v>
      </c>
      <c r="L248" s="11">
        <v>195.0</v>
      </c>
      <c r="M248" s="11">
        <v>194.0</v>
      </c>
      <c r="N248" s="11">
        <v>213.0</v>
      </c>
      <c r="O248" s="11">
        <v>287.0</v>
      </c>
      <c r="P248" s="11">
        <v>229.0</v>
      </c>
      <c r="Q248" s="11">
        <v>220.0</v>
      </c>
      <c r="R248" s="11">
        <f t="shared" si="3"/>
        <v>223</v>
      </c>
      <c r="S248" s="11"/>
    </row>
    <row r="249" ht="14.25" customHeight="1">
      <c r="A249" s="3"/>
      <c r="B249" s="45">
        <f t="shared" si="1"/>
        <v>19</v>
      </c>
      <c r="C249" s="45" t="s">
        <v>106</v>
      </c>
      <c r="D249" s="45"/>
      <c r="E249" s="45"/>
      <c r="F249" s="11" t="s">
        <v>578</v>
      </c>
      <c r="G249" s="11" t="s">
        <v>195</v>
      </c>
      <c r="H249" s="11" t="s">
        <v>781</v>
      </c>
      <c r="I249" s="11"/>
      <c r="J249" s="11"/>
      <c r="K249" s="105" t="str">
        <f t="shared" si="2"/>
        <v>#DIV/0!</v>
      </c>
      <c r="L249" s="11" t="s">
        <v>36</v>
      </c>
      <c r="M249" s="11">
        <v>209.0</v>
      </c>
      <c r="N249" s="11">
        <v>246.0</v>
      </c>
      <c r="O249" s="11">
        <v>248.0</v>
      </c>
      <c r="P249" s="11">
        <v>249.0</v>
      </c>
      <c r="Q249" s="11">
        <v>177.0</v>
      </c>
      <c r="R249" s="11">
        <f t="shared" si="3"/>
        <v>225</v>
      </c>
      <c r="S249" s="11"/>
    </row>
    <row r="250" ht="14.25" customHeight="1">
      <c r="A250" s="3"/>
      <c r="B250" s="45">
        <f t="shared" si="1"/>
        <v>19</v>
      </c>
      <c r="C250" s="45" t="s">
        <v>106</v>
      </c>
      <c r="D250" s="45"/>
      <c r="E250" s="45"/>
      <c r="F250" s="11" t="s">
        <v>1601</v>
      </c>
      <c r="G250" s="11" t="s">
        <v>98</v>
      </c>
      <c r="H250" s="11" t="s">
        <v>775</v>
      </c>
      <c r="I250" s="11"/>
      <c r="J250" s="11"/>
      <c r="K250" s="105" t="str">
        <f t="shared" si="2"/>
        <v>#DIV/0!</v>
      </c>
      <c r="L250" s="11" t="s">
        <v>36</v>
      </c>
      <c r="M250" s="11">
        <v>223.0</v>
      </c>
      <c r="N250" s="11" t="s">
        <v>36</v>
      </c>
      <c r="O250" s="11">
        <v>232.0</v>
      </c>
      <c r="P250" s="11">
        <v>212.0</v>
      </c>
      <c r="Q250" s="11">
        <v>240.0</v>
      </c>
      <c r="R250" s="11">
        <f t="shared" si="3"/>
        <v>226</v>
      </c>
      <c r="S250" s="11"/>
    </row>
    <row r="251" ht="14.25" customHeight="1">
      <c r="A251" s="3"/>
      <c r="B251" s="45">
        <f t="shared" si="1"/>
        <v>20</v>
      </c>
      <c r="C251" s="45" t="s">
        <v>106</v>
      </c>
      <c r="D251" s="45"/>
      <c r="E251" s="45"/>
      <c r="F251" s="11" t="s">
        <v>1602</v>
      </c>
      <c r="G251" s="11" t="s">
        <v>67</v>
      </c>
      <c r="H251" s="11" t="s">
        <v>784</v>
      </c>
      <c r="I251" s="11"/>
      <c r="J251" s="11"/>
      <c r="K251" s="105">
        <f t="shared" si="2"/>
        <v>16</v>
      </c>
      <c r="L251" s="11">
        <v>187.0</v>
      </c>
      <c r="M251" s="11" t="s">
        <v>36</v>
      </c>
      <c r="N251" s="11">
        <v>230.0</v>
      </c>
      <c r="O251" s="11">
        <v>278.0</v>
      </c>
      <c r="P251" s="11" t="s">
        <v>36</v>
      </c>
      <c r="Q251" s="11">
        <v>219.0</v>
      </c>
      <c r="R251" s="11">
        <f t="shared" si="3"/>
        <v>228</v>
      </c>
      <c r="S251" s="11"/>
    </row>
    <row r="252" ht="14.25" customHeight="1">
      <c r="A252" s="3"/>
      <c r="B252" s="45">
        <f t="shared" si="1"/>
        <v>20</v>
      </c>
      <c r="C252" s="45" t="s">
        <v>106</v>
      </c>
      <c r="D252" s="45"/>
      <c r="E252" s="45"/>
      <c r="F252" s="11" t="s">
        <v>1548</v>
      </c>
      <c r="G252" s="11" t="s">
        <v>67</v>
      </c>
      <c r="H252" s="11" t="s">
        <v>775</v>
      </c>
      <c r="I252" s="11"/>
      <c r="J252" s="11"/>
      <c r="K252" s="105" t="str">
        <f t="shared" si="2"/>
        <v>#DIV/0!</v>
      </c>
      <c r="L252" s="11" t="s">
        <v>36</v>
      </c>
      <c r="M252" s="11" t="s">
        <v>36</v>
      </c>
      <c r="N252" s="11">
        <v>216.0</v>
      </c>
      <c r="O252" s="11">
        <v>254.0</v>
      </c>
      <c r="P252" s="11">
        <v>219.0</v>
      </c>
      <c r="Q252" s="11">
        <v>235.0</v>
      </c>
      <c r="R252" s="11">
        <f t="shared" si="3"/>
        <v>231</v>
      </c>
      <c r="S252" s="11"/>
    </row>
    <row r="253" ht="14.25" customHeight="1">
      <c r="A253" s="3"/>
      <c r="B253" s="45">
        <f t="shared" si="1"/>
        <v>20</v>
      </c>
      <c r="C253" s="45" t="s">
        <v>106</v>
      </c>
      <c r="D253" s="45"/>
      <c r="E253" s="45"/>
      <c r="F253" s="11" t="s">
        <v>1284</v>
      </c>
      <c r="G253" s="11" t="s">
        <v>206</v>
      </c>
      <c r="H253" s="11" t="s">
        <v>775</v>
      </c>
      <c r="I253" s="11"/>
      <c r="J253" s="11"/>
      <c r="K253" s="105" t="str">
        <f t="shared" si="2"/>
        <v>#DIV/0!</v>
      </c>
      <c r="L253" s="11" t="s">
        <v>36</v>
      </c>
      <c r="M253" s="11">
        <v>207.0</v>
      </c>
      <c r="N253" s="11" t="s">
        <v>36</v>
      </c>
      <c r="O253" s="11">
        <v>182.0</v>
      </c>
      <c r="P253" s="11">
        <v>202.0</v>
      </c>
      <c r="Q253" s="11">
        <v>338.0</v>
      </c>
      <c r="R253" s="11">
        <f t="shared" si="3"/>
        <v>232</v>
      </c>
      <c r="S253" s="11"/>
    </row>
    <row r="254" ht="14.25" customHeight="1">
      <c r="A254" s="3"/>
      <c r="B254" s="45">
        <f t="shared" si="1"/>
        <v>20</v>
      </c>
      <c r="C254" s="45" t="s">
        <v>106</v>
      </c>
      <c r="D254" s="45"/>
      <c r="E254" s="45"/>
      <c r="F254" s="11" t="s">
        <v>664</v>
      </c>
      <c r="G254" s="11" t="s">
        <v>195</v>
      </c>
      <c r="H254" s="11" t="s">
        <v>1550</v>
      </c>
      <c r="I254" s="11"/>
      <c r="J254" s="11"/>
      <c r="K254" s="105">
        <f t="shared" si="2"/>
        <v>20</v>
      </c>
      <c r="L254" s="11">
        <v>228.0</v>
      </c>
      <c r="M254" s="11" t="s">
        <v>36</v>
      </c>
      <c r="N254" s="11">
        <v>254.0</v>
      </c>
      <c r="O254" s="11">
        <v>270.0</v>
      </c>
      <c r="P254" s="11">
        <v>221.0</v>
      </c>
      <c r="Q254" s="11">
        <v>212.0</v>
      </c>
      <c r="R254" s="11">
        <f t="shared" si="3"/>
        <v>237</v>
      </c>
      <c r="S254" s="11"/>
    </row>
    <row r="255" ht="14.25" customHeight="1">
      <c r="A255" s="3"/>
      <c r="B255" s="45">
        <f t="shared" si="1"/>
        <v>20</v>
      </c>
      <c r="C255" s="45" t="s">
        <v>106</v>
      </c>
      <c r="D255" s="45"/>
      <c r="E255" s="45"/>
      <c r="F255" s="11" t="s">
        <v>1604</v>
      </c>
      <c r="G255" s="11" t="s">
        <v>192</v>
      </c>
      <c r="H255" s="11" t="s">
        <v>775</v>
      </c>
      <c r="I255" s="11"/>
      <c r="J255" s="11"/>
      <c r="K255" s="105" t="str">
        <f t="shared" si="2"/>
        <v>#DIV/0!</v>
      </c>
      <c r="L255" s="11" t="s">
        <v>36</v>
      </c>
      <c r="M255" s="11">
        <v>227.0</v>
      </c>
      <c r="N255" s="11" t="s">
        <v>36</v>
      </c>
      <c r="O255" s="11">
        <v>189.0</v>
      </c>
      <c r="P255" s="11">
        <v>204.0</v>
      </c>
      <c r="Q255" s="11">
        <v>331.0</v>
      </c>
      <c r="R255" s="11">
        <f t="shared" si="3"/>
        <v>237</v>
      </c>
      <c r="S255" s="11"/>
    </row>
    <row r="256" ht="14.25" customHeight="1">
      <c r="A256" s="3"/>
      <c r="B256" s="45">
        <f t="shared" si="1"/>
        <v>21</v>
      </c>
      <c r="C256" s="45" t="s">
        <v>106</v>
      </c>
      <c r="D256" s="45"/>
      <c r="E256" s="45"/>
      <c r="F256" s="11" t="s">
        <v>1605</v>
      </c>
      <c r="G256" s="11" t="s">
        <v>192</v>
      </c>
      <c r="H256" s="11" t="s">
        <v>770</v>
      </c>
      <c r="I256" s="11"/>
      <c r="J256" s="11"/>
      <c r="K256" s="105" t="str">
        <f t="shared" si="2"/>
        <v>#DIV/0!</v>
      </c>
      <c r="L256" s="11" t="s">
        <v>36</v>
      </c>
      <c r="M256" s="11" t="s">
        <v>36</v>
      </c>
      <c r="N256" s="11">
        <v>294.0</v>
      </c>
      <c r="O256" s="11">
        <v>217.0</v>
      </c>
      <c r="P256" s="11">
        <v>228.0</v>
      </c>
      <c r="Q256" s="11">
        <v>245.0</v>
      </c>
      <c r="R256" s="11">
        <f t="shared" si="3"/>
        <v>246</v>
      </c>
      <c r="S256" s="11"/>
    </row>
    <row r="257" ht="14.25" customHeight="1">
      <c r="A257" s="3"/>
      <c r="B257" s="45">
        <f t="shared" si="1"/>
        <v>21</v>
      </c>
      <c r="C257" s="45" t="s">
        <v>106</v>
      </c>
      <c r="D257" s="45"/>
      <c r="E257" s="45"/>
      <c r="F257" s="11" t="s">
        <v>475</v>
      </c>
      <c r="G257" s="11" t="s">
        <v>119</v>
      </c>
      <c r="H257" s="11" t="s">
        <v>1550</v>
      </c>
      <c r="I257" s="11"/>
      <c r="J257" s="11"/>
      <c r="K257" s="105" t="str">
        <f t="shared" si="2"/>
        <v>#DIV/0!</v>
      </c>
      <c r="L257" s="11" t="s">
        <v>36</v>
      </c>
      <c r="M257" s="11" t="s">
        <v>36</v>
      </c>
      <c r="N257" s="11">
        <v>232.0</v>
      </c>
      <c r="O257" s="11">
        <v>297.0</v>
      </c>
      <c r="P257" s="11">
        <v>250.0</v>
      </c>
      <c r="Q257" s="11">
        <v>205.0</v>
      </c>
      <c r="R257" s="11">
        <f t="shared" si="3"/>
        <v>246</v>
      </c>
      <c r="S257" s="11"/>
    </row>
    <row r="258" ht="14.25" customHeight="1">
      <c r="A258" s="3"/>
      <c r="B258" s="45">
        <f t="shared" si="1"/>
        <v>21</v>
      </c>
      <c r="C258" s="45" t="s">
        <v>106</v>
      </c>
      <c r="D258" s="45"/>
      <c r="E258" s="45"/>
      <c r="F258" s="11" t="s">
        <v>1271</v>
      </c>
      <c r="G258" s="11" t="s">
        <v>165</v>
      </c>
      <c r="H258" s="11" t="s">
        <v>1550</v>
      </c>
      <c r="I258" s="11"/>
      <c r="J258" s="11"/>
      <c r="K258" s="105" t="str">
        <f t="shared" si="2"/>
        <v>#DIV/0!</v>
      </c>
      <c r="L258" s="11" t="s">
        <v>36</v>
      </c>
      <c r="M258" s="11">
        <v>192.0</v>
      </c>
      <c r="N258" s="11">
        <v>217.0</v>
      </c>
      <c r="O258" s="11">
        <v>331.0</v>
      </c>
      <c r="P258" s="11">
        <v>268.0</v>
      </c>
      <c r="Q258" s="11">
        <v>241.0</v>
      </c>
      <c r="R258" s="11">
        <f t="shared" si="3"/>
        <v>249</v>
      </c>
      <c r="S258" s="11"/>
    </row>
    <row r="259" ht="14.25" customHeight="1">
      <c r="A259" s="3"/>
      <c r="B259" s="45">
        <f t="shared" si="1"/>
        <v>22</v>
      </c>
      <c r="C259" s="45" t="s">
        <v>106</v>
      </c>
      <c r="D259" s="45"/>
      <c r="E259" s="45"/>
      <c r="F259" s="11" t="s">
        <v>886</v>
      </c>
      <c r="G259" s="11" t="s">
        <v>148</v>
      </c>
      <c r="H259" s="11" t="s">
        <v>1550</v>
      </c>
      <c r="I259" s="11"/>
      <c r="J259" s="11"/>
      <c r="K259" s="105">
        <f t="shared" si="2"/>
        <v>20</v>
      </c>
      <c r="L259" s="11">
        <v>230.0</v>
      </c>
      <c r="M259" s="11" t="s">
        <v>36</v>
      </c>
      <c r="N259" s="11" t="s">
        <v>36</v>
      </c>
      <c r="O259" s="11">
        <v>286.0</v>
      </c>
      <c r="P259" s="11">
        <v>243.0</v>
      </c>
      <c r="Q259" s="11">
        <v>249.0</v>
      </c>
      <c r="R259" s="11">
        <f t="shared" si="3"/>
        <v>252</v>
      </c>
      <c r="S259" s="11"/>
    </row>
    <row r="260" ht="14.25" customHeight="1">
      <c r="A260" s="3"/>
      <c r="B260" s="45">
        <f t="shared" si="1"/>
        <v>22</v>
      </c>
      <c r="C260" s="45" t="s">
        <v>106</v>
      </c>
      <c r="D260" s="45"/>
      <c r="E260" s="45"/>
      <c r="F260" s="11" t="s">
        <v>1105</v>
      </c>
      <c r="G260" s="11" t="s">
        <v>125</v>
      </c>
      <c r="H260" s="11" t="s">
        <v>1550</v>
      </c>
      <c r="I260" s="11"/>
      <c r="J260" s="11"/>
      <c r="K260" s="105" t="str">
        <f t="shared" si="2"/>
        <v>#DIV/0!</v>
      </c>
      <c r="L260" s="11" t="s">
        <v>36</v>
      </c>
      <c r="M260" s="11" t="s">
        <v>36</v>
      </c>
      <c r="N260" s="11">
        <v>234.0</v>
      </c>
      <c r="O260" s="11">
        <v>293.0</v>
      </c>
      <c r="P260" s="11">
        <v>261.0</v>
      </c>
      <c r="Q260" s="11">
        <v>233.0</v>
      </c>
      <c r="R260" s="11">
        <f t="shared" si="3"/>
        <v>255</v>
      </c>
      <c r="S260" s="11"/>
    </row>
    <row r="261" ht="14.25" customHeight="1">
      <c r="A261" s="3"/>
      <c r="B261" s="45">
        <f t="shared" si="1"/>
        <v>22</v>
      </c>
      <c r="C261" s="45" t="s">
        <v>106</v>
      </c>
      <c r="D261" s="45"/>
      <c r="E261" s="45"/>
      <c r="F261" s="11" t="s">
        <v>1607</v>
      </c>
      <c r="G261" s="11" t="s">
        <v>98</v>
      </c>
      <c r="H261" s="11" t="s">
        <v>772</v>
      </c>
      <c r="I261" s="11"/>
      <c r="J261" s="11"/>
      <c r="K261" s="105" t="str">
        <f t="shared" si="2"/>
        <v>#DIV/0!</v>
      </c>
      <c r="L261" s="11" t="s">
        <v>36</v>
      </c>
      <c r="M261" s="11">
        <v>185.0</v>
      </c>
      <c r="N261" s="11" t="s">
        <v>36</v>
      </c>
      <c r="O261" s="11">
        <v>275.0</v>
      </c>
      <c r="P261" s="11">
        <v>255.0</v>
      </c>
      <c r="Q261" s="11">
        <v>309.0</v>
      </c>
      <c r="R261" s="11">
        <f t="shared" si="3"/>
        <v>256</v>
      </c>
      <c r="S261" s="11"/>
    </row>
    <row r="262" ht="14.25" customHeight="1">
      <c r="A262" s="3"/>
      <c r="B262" s="45">
        <f t="shared" si="1"/>
        <v>22</v>
      </c>
      <c r="C262" s="45" t="s">
        <v>106</v>
      </c>
      <c r="D262" s="45"/>
      <c r="E262" s="45"/>
      <c r="F262" s="11" t="s">
        <v>1608</v>
      </c>
      <c r="G262" s="11" t="s">
        <v>35</v>
      </c>
      <c r="H262" s="11" t="s">
        <v>775</v>
      </c>
      <c r="I262" s="11"/>
      <c r="J262" s="11"/>
      <c r="K262" s="105" t="str">
        <f t="shared" si="2"/>
        <v>#DIV/0!</v>
      </c>
      <c r="L262" s="11" t="s">
        <v>36</v>
      </c>
      <c r="M262" s="11">
        <v>220.0</v>
      </c>
      <c r="N262" s="11" t="s">
        <v>36</v>
      </c>
      <c r="O262" s="11">
        <v>282.0</v>
      </c>
      <c r="P262" s="11">
        <v>263.0</v>
      </c>
      <c r="Q262" s="11">
        <v>266.0</v>
      </c>
      <c r="R262" s="11">
        <f t="shared" si="3"/>
        <v>257</v>
      </c>
      <c r="S262" s="11"/>
    </row>
    <row r="263" ht="14.25" customHeight="1">
      <c r="A263" s="3"/>
      <c r="B263" s="45">
        <f t="shared" si="1"/>
        <v>22</v>
      </c>
      <c r="C263" s="45" t="s">
        <v>106</v>
      </c>
      <c r="D263" s="45"/>
      <c r="E263" s="45"/>
      <c r="F263" s="11" t="s">
        <v>1247</v>
      </c>
      <c r="G263" s="11" t="s">
        <v>171</v>
      </c>
      <c r="H263" s="11" t="s">
        <v>770</v>
      </c>
      <c r="I263" s="11"/>
      <c r="J263" s="11"/>
      <c r="K263" s="105" t="str">
        <f t="shared" si="2"/>
        <v>#DIV/0!</v>
      </c>
      <c r="L263" s="11" t="s">
        <v>36</v>
      </c>
      <c r="M263" s="11" t="s">
        <v>36</v>
      </c>
      <c r="N263" s="11">
        <v>235.0</v>
      </c>
      <c r="O263" s="11">
        <v>265.0</v>
      </c>
      <c r="P263" s="11">
        <v>270.0</v>
      </c>
      <c r="Q263" s="11">
        <v>272.0</v>
      </c>
      <c r="R263" s="11">
        <f t="shared" si="3"/>
        <v>260</v>
      </c>
      <c r="S263" s="11"/>
    </row>
    <row r="264" ht="14.25" customHeight="1">
      <c r="B264" s="45">
        <f t="shared" si="1"/>
        <v>22</v>
      </c>
      <c r="C264" s="45" t="s">
        <v>106</v>
      </c>
      <c r="D264" s="45"/>
      <c r="E264" s="45"/>
      <c r="F264" s="11" t="s">
        <v>1610</v>
      </c>
      <c r="G264" s="11" t="s">
        <v>237</v>
      </c>
      <c r="H264" s="11" t="s">
        <v>781</v>
      </c>
      <c r="I264" s="11"/>
      <c r="J264" s="11"/>
      <c r="K264" s="105" t="str">
        <f t="shared" si="2"/>
        <v>#DIV/0!</v>
      </c>
      <c r="L264" s="11" t="s">
        <v>36</v>
      </c>
      <c r="M264" s="11" t="s">
        <v>36</v>
      </c>
      <c r="N264" s="11">
        <v>243.0</v>
      </c>
      <c r="O264" s="11">
        <v>304.0</v>
      </c>
      <c r="P264" s="11">
        <v>287.0</v>
      </c>
      <c r="Q264" s="11">
        <v>210.0</v>
      </c>
      <c r="R264" s="11">
        <f t="shared" si="3"/>
        <v>261</v>
      </c>
      <c r="S264" s="11"/>
    </row>
    <row r="265" ht="14.25" customHeight="1">
      <c r="B265" s="45">
        <f t="shared" si="1"/>
        <v>22</v>
      </c>
      <c r="C265" s="45" t="s">
        <v>106</v>
      </c>
      <c r="D265" s="45"/>
      <c r="E265" s="45"/>
      <c r="F265" s="11" t="s">
        <v>902</v>
      </c>
      <c r="G265" s="11" t="s">
        <v>94</v>
      </c>
      <c r="H265" s="11" t="s">
        <v>1550</v>
      </c>
      <c r="I265" s="11"/>
      <c r="J265" s="11"/>
      <c r="K265" s="105" t="str">
        <f t="shared" si="2"/>
        <v>#DIV/0!</v>
      </c>
      <c r="L265" s="11" t="s">
        <v>36</v>
      </c>
      <c r="M265" s="11" t="s">
        <v>36</v>
      </c>
      <c r="N265" s="11">
        <v>264.0</v>
      </c>
      <c r="O265" s="11">
        <v>307.0</v>
      </c>
      <c r="P265" s="11">
        <v>256.0</v>
      </c>
      <c r="Q265" s="11">
        <v>217.0</v>
      </c>
      <c r="R265" s="11">
        <f t="shared" si="3"/>
        <v>261</v>
      </c>
      <c r="S265" s="11"/>
    </row>
    <row r="266" ht="14.25" customHeight="1">
      <c r="B266" s="45">
        <f t="shared" si="1"/>
        <v>23</v>
      </c>
      <c r="C266" s="45" t="s">
        <v>106</v>
      </c>
      <c r="D266" s="45"/>
      <c r="E266" s="45"/>
      <c r="F266" s="11" t="s">
        <v>266</v>
      </c>
      <c r="G266" s="11" t="s">
        <v>105</v>
      </c>
      <c r="H266" s="11" t="s">
        <v>770</v>
      </c>
      <c r="I266" s="11"/>
      <c r="J266" s="11"/>
      <c r="K266" s="105" t="str">
        <f t="shared" si="2"/>
        <v>#DIV/0!</v>
      </c>
      <c r="L266" s="11" t="s">
        <v>36</v>
      </c>
      <c r="M266" s="11" t="s">
        <v>36</v>
      </c>
      <c r="N266" s="11">
        <v>236.0</v>
      </c>
      <c r="O266" s="11">
        <v>268.0</v>
      </c>
      <c r="P266" s="11">
        <v>272.0</v>
      </c>
      <c r="Q266" s="11">
        <v>289.0</v>
      </c>
      <c r="R266" s="11">
        <f t="shared" si="3"/>
        <v>266</v>
      </c>
      <c r="S266" s="11"/>
    </row>
    <row r="267" ht="14.25" customHeight="1">
      <c r="B267" s="45">
        <f t="shared" si="1"/>
        <v>23</v>
      </c>
      <c r="C267" s="45" t="s">
        <v>106</v>
      </c>
      <c r="D267" s="45"/>
      <c r="E267" s="45"/>
      <c r="F267" s="11" t="s">
        <v>722</v>
      </c>
      <c r="G267" s="11" t="s">
        <v>40</v>
      </c>
      <c r="H267" s="11" t="s">
        <v>1550</v>
      </c>
      <c r="I267" s="11"/>
      <c r="J267" s="11"/>
      <c r="K267" s="105" t="str">
        <f t="shared" si="2"/>
        <v>#DIV/0!</v>
      </c>
      <c r="L267" s="11" t="s">
        <v>36</v>
      </c>
      <c r="M267" s="11" t="s">
        <v>36</v>
      </c>
      <c r="N267" s="11">
        <v>237.0</v>
      </c>
      <c r="O267" s="11">
        <v>315.0</v>
      </c>
      <c r="P267" s="11">
        <v>282.0</v>
      </c>
      <c r="Q267" s="11">
        <v>246.0</v>
      </c>
      <c r="R267" s="11">
        <f t="shared" si="3"/>
        <v>270</v>
      </c>
      <c r="S267" s="11"/>
    </row>
    <row r="268" ht="14.25" customHeight="1">
      <c r="B268" s="45">
        <f t="shared" si="1"/>
        <v>24</v>
      </c>
      <c r="C268" s="45" t="s">
        <v>106</v>
      </c>
      <c r="D268" s="45"/>
      <c r="E268" s="45"/>
      <c r="F268" s="11" t="s">
        <v>811</v>
      </c>
      <c r="G268" s="11" t="s">
        <v>171</v>
      </c>
      <c r="H268" s="11" t="s">
        <v>781</v>
      </c>
      <c r="I268" s="11"/>
      <c r="J268" s="11"/>
      <c r="K268" s="105" t="str">
        <f t="shared" si="2"/>
        <v>#DIV/0!</v>
      </c>
      <c r="L268" s="11" t="s">
        <v>36</v>
      </c>
      <c r="M268" s="11" t="s">
        <v>36</v>
      </c>
      <c r="N268" s="11">
        <v>224.0</v>
      </c>
      <c r="O268" s="11">
        <v>303.0</v>
      </c>
      <c r="P268" s="11">
        <v>312.0</v>
      </c>
      <c r="Q268" s="11">
        <v>267.0</v>
      </c>
      <c r="R268" s="11">
        <f t="shared" si="3"/>
        <v>276</v>
      </c>
      <c r="S268" s="11"/>
    </row>
    <row r="269" ht="14.25" customHeight="1">
      <c r="B269" s="45">
        <f t="shared" si="1"/>
        <v>25</v>
      </c>
      <c r="C269" s="45" t="s">
        <v>106</v>
      </c>
      <c r="D269" s="45"/>
      <c r="E269" s="45"/>
      <c r="F269" s="11" t="s">
        <v>1595</v>
      </c>
      <c r="G269" s="11" t="s">
        <v>1611</v>
      </c>
      <c r="H269" s="11" t="s">
        <v>784</v>
      </c>
      <c r="I269" s="11"/>
      <c r="J269" s="11"/>
      <c r="K269" s="105">
        <f t="shared" si="2"/>
        <v>25</v>
      </c>
      <c r="L269" s="105">
        <v>288.7</v>
      </c>
      <c r="M269" s="11">
        <v>253.0</v>
      </c>
      <c r="N269" s="105" t="e">
        <v>#N/A</v>
      </c>
      <c r="O269" s="105">
        <v>0.0</v>
      </c>
      <c r="P269" s="105">
        <v>0.0</v>
      </c>
      <c r="Q269" s="105">
        <v>392.0</v>
      </c>
      <c r="R269" s="11" t="str">
        <f t="shared" si="3"/>
        <v>#N/A</v>
      </c>
      <c r="S269" s="11"/>
    </row>
    <row r="270" ht="14.25" customHeight="1">
      <c r="B270" s="45">
        <f t="shared" si="1"/>
        <v>25</v>
      </c>
      <c r="C270" s="45" t="s">
        <v>106</v>
      </c>
      <c r="D270" s="45"/>
      <c r="E270" s="45"/>
      <c r="F270" s="11" t="s">
        <v>1612</v>
      </c>
      <c r="G270" s="11" t="s">
        <v>40</v>
      </c>
      <c r="H270" s="11" t="s">
        <v>784</v>
      </c>
      <c r="I270" s="11"/>
      <c r="J270" s="11"/>
      <c r="K270" s="105">
        <f t="shared" si="2"/>
        <v>25</v>
      </c>
      <c r="L270" s="105">
        <v>289.0</v>
      </c>
      <c r="M270" s="11">
        <v>254.0</v>
      </c>
      <c r="N270" s="105" t="s">
        <v>1613</v>
      </c>
      <c r="O270" s="105" t="e">
        <v>#N/A</v>
      </c>
      <c r="P270" s="105" t="e">
        <v>#N/A</v>
      </c>
      <c r="Q270" s="105" t="e">
        <v>#N/A</v>
      </c>
      <c r="R270" s="11" t="str">
        <f t="shared" si="3"/>
        <v>#N/A</v>
      </c>
      <c r="S270" s="11"/>
    </row>
    <row r="271" ht="14.25" customHeight="1">
      <c r="B271" s="45">
        <f t="shared" si="1"/>
        <v>25</v>
      </c>
      <c r="C271" s="45" t="s">
        <v>106</v>
      </c>
      <c r="D271" s="45"/>
      <c r="E271" s="45"/>
      <c r="F271" s="11" t="s">
        <v>1602</v>
      </c>
      <c r="G271" s="11" t="s">
        <v>67</v>
      </c>
      <c r="H271" s="11" t="s">
        <v>784</v>
      </c>
      <c r="I271" s="11"/>
      <c r="J271" s="11"/>
      <c r="K271" s="105">
        <f t="shared" si="2"/>
        <v>25</v>
      </c>
      <c r="L271" s="105">
        <v>290.3</v>
      </c>
      <c r="M271" s="11">
        <v>257.0</v>
      </c>
      <c r="N271" s="105" t="e">
        <v>#N/A</v>
      </c>
      <c r="O271" s="105" t="e">
        <v>#N/A</v>
      </c>
      <c r="P271" s="105" t="e">
        <v>#N/A</v>
      </c>
      <c r="Q271" s="105" t="e">
        <v>#N/A</v>
      </c>
      <c r="R271" s="11" t="str">
        <f t="shared" si="3"/>
        <v>#N/A</v>
      </c>
      <c r="S271" s="11"/>
    </row>
    <row r="272" ht="14.25" customHeight="1">
      <c r="B272" s="45">
        <f t="shared" si="1"/>
        <v>25</v>
      </c>
      <c r="C272" s="45" t="s">
        <v>106</v>
      </c>
      <c r="D272" s="45"/>
      <c r="E272" s="45"/>
      <c r="F272" s="11" t="s">
        <v>632</v>
      </c>
      <c r="G272" s="11" t="s">
        <v>162</v>
      </c>
      <c r="H272" s="11" t="s">
        <v>784</v>
      </c>
      <c r="I272" s="11"/>
      <c r="J272" s="11"/>
      <c r="K272" s="105">
        <f t="shared" si="2"/>
        <v>25</v>
      </c>
      <c r="L272" s="105">
        <v>291.0</v>
      </c>
      <c r="M272" s="11">
        <v>258.0</v>
      </c>
      <c r="N272" s="105" t="e">
        <v>#N/A</v>
      </c>
      <c r="O272" s="105" t="e">
        <v>#N/A</v>
      </c>
      <c r="P272" s="105" t="e">
        <v>#N/A</v>
      </c>
      <c r="Q272" s="105" t="e">
        <v>#N/A</v>
      </c>
      <c r="R272" s="11" t="str">
        <f t="shared" si="3"/>
        <v>#N/A</v>
      </c>
      <c r="S272" s="11"/>
    </row>
    <row r="273" ht="14.25" customHeight="1">
      <c r="B273" s="45">
        <f t="shared" si="1"/>
        <v>25</v>
      </c>
      <c r="C273" s="45" t="s">
        <v>106</v>
      </c>
      <c r="D273" s="45"/>
      <c r="E273" s="45"/>
      <c r="F273" s="11" t="s">
        <v>668</v>
      </c>
      <c r="G273" s="11" t="s">
        <v>237</v>
      </c>
      <c r="H273" s="11" t="s">
        <v>784</v>
      </c>
      <c r="I273" s="11"/>
      <c r="J273" s="11"/>
      <c r="K273" s="105">
        <f t="shared" si="2"/>
        <v>25</v>
      </c>
      <c r="L273" s="105">
        <v>291.0</v>
      </c>
      <c r="M273" s="11">
        <v>259.0</v>
      </c>
      <c r="N273" s="105" t="e">
        <v>#N/A</v>
      </c>
      <c r="O273" s="105" t="e">
        <v>#N/A</v>
      </c>
      <c r="P273" s="105" t="e">
        <v>#N/A</v>
      </c>
      <c r="Q273" s="105" t="e">
        <v>#N/A</v>
      </c>
      <c r="R273" s="11" t="str">
        <f t="shared" si="3"/>
        <v>#N/A</v>
      </c>
      <c r="S273" s="11"/>
    </row>
    <row r="274" ht="14.25" customHeight="1">
      <c r="B274" s="45">
        <f t="shared" si="1"/>
        <v>25</v>
      </c>
      <c r="C274" s="45" t="s">
        <v>106</v>
      </c>
      <c r="D274" s="45"/>
      <c r="E274" s="45"/>
      <c r="F274" s="11" t="s">
        <v>1222</v>
      </c>
      <c r="G274" s="11" t="s">
        <v>176</v>
      </c>
      <c r="H274" s="11" t="s">
        <v>784</v>
      </c>
      <c r="I274" s="11"/>
      <c r="J274" s="11"/>
      <c r="K274" s="105">
        <f t="shared" si="2"/>
        <v>25</v>
      </c>
      <c r="L274" s="105">
        <v>294.0</v>
      </c>
      <c r="M274" s="11">
        <v>264.0</v>
      </c>
      <c r="N274" s="105" t="e">
        <v>#N/A</v>
      </c>
      <c r="O274" s="105">
        <v>0.0</v>
      </c>
      <c r="P274" s="105">
        <v>0.0</v>
      </c>
      <c r="Q274" s="105">
        <v>331.0</v>
      </c>
      <c r="R274" s="11" t="str">
        <f t="shared" si="3"/>
        <v>#N/A</v>
      </c>
      <c r="S274" s="11"/>
    </row>
    <row r="275" ht="14.25" customHeight="1">
      <c r="B275" s="45">
        <f t="shared" si="1"/>
        <v>25</v>
      </c>
      <c r="C275" s="45" t="s">
        <v>106</v>
      </c>
      <c r="D275" s="45"/>
      <c r="E275" s="45"/>
      <c r="F275" s="11" t="s">
        <v>1224</v>
      </c>
      <c r="G275" s="11" t="s">
        <v>195</v>
      </c>
      <c r="H275" s="11" t="s">
        <v>784</v>
      </c>
      <c r="I275" s="11"/>
      <c r="J275" s="11"/>
      <c r="K275" s="105">
        <f t="shared" si="2"/>
        <v>25</v>
      </c>
      <c r="L275" s="105">
        <v>295.3</v>
      </c>
      <c r="M275" s="11">
        <v>265.0</v>
      </c>
      <c r="N275" s="105" t="e">
        <v>#N/A</v>
      </c>
      <c r="O275" s="105" t="e">
        <v>#N/A</v>
      </c>
      <c r="P275" s="105" t="e">
        <v>#N/A</v>
      </c>
      <c r="Q275" s="105" t="e">
        <v>#N/A</v>
      </c>
      <c r="R275" s="11" t="str">
        <f t="shared" si="3"/>
        <v>#N/A</v>
      </c>
      <c r="S275" s="11"/>
    </row>
    <row r="276" ht="14.25" customHeight="1">
      <c r="B276" s="45">
        <f t="shared" si="1"/>
        <v>25</v>
      </c>
      <c r="C276" s="45" t="s">
        <v>106</v>
      </c>
      <c r="D276" s="45"/>
      <c r="E276" s="45"/>
      <c r="F276" s="11" t="s">
        <v>1614</v>
      </c>
      <c r="G276" s="11" t="s">
        <v>94</v>
      </c>
      <c r="H276" s="11" t="s">
        <v>770</v>
      </c>
      <c r="I276" s="11"/>
      <c r="J276" s="11"/>
      <c r="K276" s="105">
        <f t="shared" si="2"/>
        <v>25</v>
      </c>
      <c r="L276" s="105">
        <v>295.5</v>
      </c>
      <c r="M276" s="11">
        <v>266.0</v>
      </c>
      <c r="N276" s="105" t="e">
        <v>#N/A</v>
      </c>
      <c r="O276" s="105" t="e">
        <v>#N/A</v>
      </c>
      <c r="P276" s="105" t="e">
        <v>#N/A</v>
      </c>
      <c r="Q276" s="105" t="e">
        <v>#N/A</v>
      </c>
      <c r="R276" s="11" t="str">
        <f t="shared" si="3"/>
        <v>#N/A</v>
      </c>
      <c r="S276" s="11"/>
    </row>
    <row r="277" ht="14.25" customHeight="1">
      <c r="B277" s="45">
        <f t="shared" si="1"/>
        <v>25</v>
      </c>
      <c r="C277" s="45" t="s">
        <v>106</v>
      </c>
      <c r="D277" s="45"/>
      <c r="E277" s="45"/>
      <c r="F277" s="11" t="s">
        <v>1594</v>
      </c>
      <c r="G277" s="11" t="s">
        <v>75</v>
      </c>
      <c r="H277" s="11" t="s">
        <v>784</v>
      </c>
      <c r="I277" s="11"/>
      <c r="J277" s="11"/>
      <c r="K277" s="105">
        <f t="shared" si="2"/>
        <v>25</v>
      </c>
      <c r="L277" s="105">
        <v>298.0</v>
      </c>
      <c r="M277" s="11">
        <v>268.0</v>
      </c>
      <c r="N277" s="105" t="e">
        <v>#N/A</v>
      </c>
      <c r="O277" s="105">
        <v>0.0</v>
      </c>
      <c r="P277" s="105">
        <v>201.0</v>
      </c>
      <c r="Q277" s="105">
        <v>284.0</v>
      </c>
      <c r="R277" s="11" t="str">
        <f t="shared" si="3"/>
        <v>#N/A</v>
      </c>
      <c r="S277" s="11"/>
    </row>
    <row r="278" ht="14.25" customHeight="1">
      <c r="B278" s="45">
        <f t="shared" si="1"/>
        <v>26</v>
      </c>
      <c r="C278" s="45" t="s">
        <v>106</v>
      </c>
      <c r="D278" s="45"/>
      <c r="E278" s="45"/>
      <c r="F278" s="11" t="s">
        <v>1226</v>
      </c>
      <c r="G278" s="11" t="s">
        <v>162</v>
      </c>
      <c r="H278" s="11" t="s">
        <v>781</v>
      </c>
      <c r="I278" s="11"/>
      <c r="J278" s="11"/>
      <c r="K278" s="105">
        <f t="shared" si="2"/>
        <v>26</v>
      </c>
      <c r="L278" s="105">
        <v>300.0</v>
      </c>
      <c r="M278" s="11">
        <v>270.0</v>
      </c>
      <c r="N278" s="105" t="e">
        <v>#N/A</v>
      </c>
      <c r="O278" s="105">
        <v>209.0</v>
      </c>
      <c r="P278" s="105">
        <v>0.0</v>
      </c>
      <c r="Q278" s="105">
        <v>336.0</v>
      </c>
      <c r="R278" s="11" t="str">
        <f t="shared" si="3"/>
        <v>#N/A</v>
      </c>
      <c r="S278" s="11"/>
    </row>
    <row r="279" ht="14.25" customHeight="1">
      <c r="B279" s="45">
        <f t="shared" si="1"/>
        <v>26</v>
      </c>
      <c r="C279" s="45" t="s">
        <v>106</v>
      </c>
      <c r="D279" s="45"/>
      <c r="E279" s="45"/>
      <c r="F279" s="11" t="s">
        <v>886</v>
      </c>
      <c r="G279" s="11" t="s">
        <v>148</v>
      </c>
      <c r="H279" s="11" t="s">
        <v>1550</v>
      </c>
      <c r="I279" s="11"/>
      <c r="J279" s="11"/>
      <c r="K279" s="105">
        <f t="shared" si="2"/>
        <v>26</v>
      </c>
      <c r="L279" s="105">
        <v>300.5</v>
      </c>
      <c r="M279" s="11">
        <v>271.0</v>
      </c>
      <c r="N279" s="105" t="e">
        <v>#N/A</v>
      </c>
      <c r="O279" s="105" t="e">
        <v>#N/A</v>
      </c>
      <c r="P279" s="105" t="e">
        <v>#N/A</v>
      </c>
      <c r="Q279" s="105" t="e">
        <v>#N/A</v>
      </c>
      <c r="R279" s="11" t="str">
        <f t="shared" si="3"/>
        <v>#N/A</v>
      </c>
      <c r="S279" s="11"/>
    </row>
    <row r="280" ht="14.25" customHeight="1">
      <c r="B280" s="45">
        <f t="shared" si="1"/>
        <v>26</v>
      </c>
      <c r="C280" s="45" t="s">
        <v>106</v>
      </c>
      <c r="D280" s="45"/>
      <c r="E280" s="45"/>
      <c r="F280" s="11" t="s">
        <v>1615</v>
      </c>
      <c r="G280" s="11" t="s">
        <v>1616</v>
      </c>
      <c r="H280" s="11" t="s">
        <v>784</v>
      </c>
      <c r="I280" s="11"/>
      <c r="J280" s="11"/>
      <c r="K280" s="105">
        <f t="shared" si="2"/>
        <v>26</v>
      </c>
      <c r="L280" s="105">
        <v>304.0</v>
      </c>
      <c r="M280" s="11">
        <v>273.0</v>
      </c>
      <c r="N280" s="105" t="e">
        <v>#N/A</v>
      </c>
      <c r="O280" s="105" t="e">
        <v>#N/A</v>
      </c>
      <c r="P280" s="105" t="e">
        <v>#N/A</v>
      </c>
      <c r="Q280" s="105" t="e">
        <v>#N/A</v>
      </c>
      <c r="R280" s="11" t="str">
        <f t="shared" si="3"/>
        <v>#N/A</v>
      </c>
      <c r="S280" s="11"/>
    </row>
    <row r="281" ht="14.25" customHeight="1">
      <c r="B281" s="45">
        <f t="shared" si="1"/>
        <v>26</v>
      </c>
      <c r="C281" s="45" t="s">
        <v>106</v>
      </c>
      <c r="D281" s="45"/>
      <c r="E281" s="45"/>
      <c r="F281" s="11" t="s">
        <v>722</v>
      </c>
      <c r="G281" s="11" t="s">
        <v>40</v>
      </c>
      <c r="H281" s="11" t="s">
        <v>1550</v>
      </c>
      <c r="I281" s="11"/>
      <c r="J281" s="11"/>
      <c r="K281" s="105">
        <f t="shared" si="2"/>
        <v>26</v>
      </c>
      <c r="L281" s="105">
        <v>304.3</v>
      </c>
      <c r="M281" s="11">
        <v>275.0</v>
      </c>
      <c r="N281" s="105" t="e">
        <v>#N/A</v>
      </c>
      <c r="O281" s="105" t="e">
        <v>#N/A</v>
      </c>
      <c r="P281" s="105" t="e">
        <v>#N/A</v>
      </c>
      <c r="Q281" s="105" t="e">
        <v>#N/A</v>
      </c>
      <c r="R281" s="11" t="str">
        <f t="shared" si="3"/>
        <v>#N/A</v>
      </c>
      <c r="S281" s="11"/>
    </row>
    <row r="282" ht="14.25" customHeight="1">
      <c r="B282" s="45">
        <f t="shared" si="1"/>
        <v>26</v>
      </c>
      <c r="C282" s="45" t="s">
        <v>106</v>
      </c>
      <c r="D282" s="45"/>
      <c r="E282" s="45"/>
      <c r="F282" s="11" t="s">
        <v>564</v>
      </c>
      <c r="G282" s="11" t="s">
        <v>154</v>
      </c>
      <c r="H282" s="11" t="s">
        <v>1550</v>
      </c>
      <c r="I282" s="11"/>
      <c r="J282" s="11"/>
      <c r="K282" s="105">
        <f t="shared" si="2"/>
        <v>26</v>
      </c>
      <c r="L282" s="105">
        <v>304.5</v>
      </c>
      <c r="M282" s="11">
        <v>277.0</v>
      </c>
      <c r="N282" s="105" t="e">
        <v>#N/A</v>
      </c>
      <c r="O282" s="105">
        <v>181.0</v>
      </c>
      <c r="P282" s="105">
        <v>0.0</v>
      </c>
      <c r="Q282" s="105">
        <v>275.0</v>
      </c>
      <c r="R282" s="11" t="str">
        <f t="shared" si="3"/>
        <v>#N/A</v>
      </c>
      <c r="S282" s="11"/>
    </row>
    <row r="283" ht="14.25" customHeight="1">
      <c r="B283" s="45">
        <f t="shared" si="1"/>
        <v>26</v>
      </c>
      <c r="C283" s="45" t="s">
        <v>106</v>
      </c>
      <c r="D283" s="45"/>
      <c r="E283" s="45"/>
      <c r="F283" s="11" t="s">
        <v>1605</v>
      </c>
      <c r="G283" s="11" t="s">
        <v>192</v>
      </c>
      <c r="H283" s="11" t="s">
        <v>770</v>
      </c>
      <c r="I283" s="11"/>
      <c r="J283" s="11"/>
      <c r="K283" s="105">
        <f t="shared" si="2"/>
        <v>26</v>
      </c>
      <c r="L283" s="105">
        <v>304.5</v>
      </c>
      <c r="M283" s="11">
        <v>276.0</v>
      </c>
      <c r="N283" s="105" t="e">
        <v>#N/A</v>
      </c>
      <c r="O283" s="105">
        <v>0.0</v>
      </c>
      <c r="P283" s="105">
        <v>0.0</v>
      </c>
      <c r="Q283" s="105">
        <v>247.0</v>
      </c>
      <c r="R283" s="11" t="str">
        <f t="shared" si="3"/>
        <v>#N/A</v>
      </c>
      <c r="S283" s="11"/>
    </row>
    <row r="284" ht="14.25" customHeight="1">
      <c r="B284" s="45">
        <f t="shared" si="1"/>
        <v>26</v>
      </c>
      <c r="C284" s="45" t="s">
        <v>106</v>
      </c>
      <c r="D284" s="45"/>
      <c r="E284" s="45"/>
      <c r="F284" s="11" t="s">
        <v>1105</v>
      </c>
      <c r="G284" s="11" t="s">
        <v>125</v>
      </c>
      <c r="H284" s="11" t="s">
        <v>1550</v>
      </c>
      <c r="I284" s="11"/>
      <c r="J284" s="11"/>
      <c r="K284" s="105">
        <f t="shared" si="2"/>
        <v>26</v>
      </c>
      <c r="L284" s="105">
        <v>305.0</v>
      </c>
      <c r="M284" s="11">
        <v>278.0</v>
      </c>
      <c r="N284" s="105" t="e">
        <v>#N/A</v>
      </c>
      <c r="O284" s="105">
        <v>0.0</v>
      </c>
      <c r="P284" s="105">
        <v>0.0</v>
      </c>
      <c r="Q284" s="105">
        <v>240.0</v>
      </c>
      <c r="R284" s="11" t="str">
        <f t="shared" si="3"/>
        <v>#N/A</v>
      </c>
      <c r="S284" s="11"/>
    </row>
    <row r="285" ht="14.25" customHeight="1">
      <c r="B285" s="45">
        <f t="shared" si="1"/>
        <v>26</v>
      </c>
      <c r="C285" s="45" t="s">
        <v>106</v>
      </c>
      <c r="D285" s="45"/>
      <c r="E285" s="45"/>
      <c r="F285" s="11" t="s">
        <v>538</v>
      </c>
      <c r="G285" s="11" t="s">
        <v>35</v>
      </c>
      <c r="H285" s="11" t="s">
        <v>1550</v>
      </c>
      <c r="I285" s="11"/>
      <c r="J285" s="11"/>
      <c r="K285" s="105">
        <f t="shared" si="2"/>
        <v>26</v>
      </c>
      <c r="L285" s="105">
        <v>306.5</v>
      </c>
      <c r="M285" s="11">
        <v>279.0</v>
      </c>
      <c r="N285" s="105" t="e">
        <v>#N/A</v>
      </c>
      <c r="O285" s="105" t="e">
        <v>#N/A</v>
      </c>
      <c r="P285" s="105" t="e">
        <v>#N/A</v>
      </c>
      <c r="Q285" s="105" t="e">
        <v>#N/A</v>
      </c>
      <c r="R285" s="11" t="str">
        <f t="shared" si="3"/>
        <v>#N/A</v>
      </c>
      <c r="S285" s="11"/>
    </row>
    <row r="286" ht="14.25" customHeight="1">
      <c r="B286" s="45">
        <f t="shared" si="1"/>
        <v>26</v>
      </c>
      <c r="C286" s="45" t="s">
        <v>106</v>
      </c>
      <c r="D286" s="45"/>
      <c r="E286" s="45"/>
      <c r="F286" s="108"/>
      <c r="G286" s="108"/>
      <c r="H286" s="105"/>
      <c r="I286" s="105"/>
      <c r="J286" s="105"/>
      <c r="K286" s="105">
        <f t="shared" si="2"/>
        <v>26</v>
      </c>
      <c r="L286" s="105">
        <v>308.0</v>
      </c>
      <c r="M286" s="105"/>
      <c r="N286" s="105" t="e">
        <v>#N/A</v>
      </c>
      <c r="O286" s="105" t="e">
        <v>#N/A</v>
      </c>
      <c r="P286" s="105" t="e">
        <v>#N/A</v>
      </c>
      <c r="Q286" s="105" t="e">
        <v>#N/A</v>
      </c>
      <c r="R286" s="11" t="str">
        <f t="shared" si="3"/>
        <v>#N/A</v>
      </c>
      <c r="S286" s="11"/>
    </row>
    <row r="287" ht="14.25" customHeight="1">
      <c r="B287" s="45">
        <f t="shared" si="1"/>
        <v>26</v>
      </c>
      <c r="C287" s="45" t="s">
        <v>106</v>
      </c>
      <c r="D287" s="45"/>
      <c r="E287" s="45"/>
      <c r="F287" s="108"/>
      <c r="G287" s="108"/>
      <c r="H287" s="105"/>
      <c r="I287" s="105"/>
      <c r="J287" s="105"/>
      <c r="K287" s="105">
        <f t="shared" si="2"/>
        <v>26</v>
      </c>
      <c r="L287" s="105">
        <v>309.0</v>
      </c>
      <c r="M287" s="105"/>
      <c r="N287" s="105" t="e">
        <v>#N/A</v>
      </c>
      <c r="O287" s="105" t="e">
        <v>#N/A</v>
      </c>
      <c r="P287" s="105" t="e">
        <v>#N/A</v>
      </c>
      <c r="Q287" s="105" t="e">
        <v>#N/A</v>
      </c>
      <c r="R287" s="11" t="str">
        <f t="shared" si="3"/>
        <v>#N/A</v>
      </c>
      <c r="S287" s="11"/>
    </row>
    <row r="288" ht="14.25" customHeight="1">
      <c r="B288" s="45">
        <f t="shared" si="1"/>
        <v>26</v>
      </c>
      <c r="C288" s="45" t="s">
        <v>106</v>
      </c>
      <c r="D288" s="45"/>
      <c r="E288" s="45"/>
      <c r="F288" s="108"/>
      <c r="G288" s="108"/>
      <c r="H288" s="105"/>
      <c r="I288" s="105"/>
      <c r="J288" s="105"/>
      <c r="K288" s="105">
        <f t="shared" si="2"/>
        <v>26</v>
      </c>
      <c r="L288" s="105">
        <v>309.0</v>
      </c>
      <c r="M288" s="105"/>
      <c r="N288" s="105" t="e">
        <v>#N/A</v>
      </c>
      <c r="O288" s="105" t="e">
        <v>#N/A</v>
      </c>
      <c r="P288" s="105" t="e">
        <v>#N/A</v>
      </c>
      <c r="Q288" s="105" t="e">
        <v>#N/A</v>
      </c>
      <c r="R288" s="11" t="str">
        <f t="shared" si="3"/>
        <v>#N/A</v>
      </c>
      <c r="S288" s="11"/>
    </row>
    <row r="289" ht="14.25" customHeight="1">
      <c r="B289" s="45">
        <f t="shared" si="1"/>
        <v>26</v>
      </c>
      <c r="C289" s="45" t="s">
        <v>106</v>
      </c>
      <c r="D289" s="45"/>
      <c r="E289" s="45"/>
      <c r="F289" s="108"/>
      <c r="G289" s="108"/>
      <c r="H289" s="105"/>
      <c r="I289" s="105"/>
      <c r="J289" s="105"/>
      <c r="K289" s="105">
        <f t="shared" si="2"/>
        <v>26</v>
      </c>
      <c r="L289" s="105">
        <v>309.0</v>
      </c>
      <c r="M289" s="105"/>
      <c r="N289" s="105" t="e">
        <v>#N/A</v>
      </c>
      <c r="O289" s="105" t="e">
        <v>#N/A</v>
      </c>
      <c r="P289" s="105" t="e">
        <v>#N/A</v>
      </c>
      <c r="Q289" s="105" t="e">
        <v>#N/A</v>
      </c>
      <c r="R289" s="11" t="str">
        <f t="shared" si="3"/>
        <v>#N/A</v>
      </c>
      <c r="S289" s="11"/>
    </row>
    <row r="290" ht="14.25" customHeight="1">
      <c r="B290" s="45">
        <f t="shared" si="1"/>
        <v>26</v>
      </c>
      <c r="C290" s="45" t="s">
        <v>106</v>
      </c>
      <c r="D290" s="45"/>
      <c r="E290" s="45"/>
      <c r="F290" s="108"/>
      <c r="G290" s="108"/>
      <c r="H290" s="105"/>
      <c r="I290" s="105"/>
      <c r="J290" s="105"/>
      <c r="K290" s="105">
        <f t="shared" si="2"/>
        <v>26</v>
      </c>
      <c r="L290" s="105">
        <v>309.5</v>
      </c>
      <c r="M290" s="105"/>
      <c r="N290" s="105" t="e">
        <v>#N/A</v>
      </c>
      <c r="O290" s="105" t="e">
        <v>#N/A</v>
      </c>
      <c r="P290" s="105" t="e">
        <v>#N/A</v>
      </c>
      <c r="Q290" s="105" t="e">
        <v>#N/A</v>
      </c>
      <c r="R290" s="11" t="str">
        <f t="shared" si="3"/>
        <v>#N/A</v>
      </c>
      <c r="S290" s="11"/>
    </row>
    <row r="291" ht="14.25" customHeight="1">
      <c r="B291" s="45">
        <f t="shared" si="1"/>
        <v>26</v>
      </c>
      <c r="C291" s="45" t="s">
        <v>106</v>
      </c>
      <c r="D291" s="45"/>
      <c r="E291" s="45"/>
      <c r="F291" s="108"/>
      <c r="G291" s="108"/>
      <c r="H291" s="105"/>
      <c r="I291" s="105"/>
      <c r="J291" s="105"/>
      <c r="K291" s="105">
        <f t="shared" si="2"/>
        <v>26</v>
      </c>
      <c r="L291" s="105">
        <v>310.0</v>
      </c>
      <c r="M291" s="105"/>
      <c r="N291" s="105" t="e">
        <v>#N/A</v>
      </c>
      <c r="O291" s="105" t="e">
        <v>#N/A</v>
      </c>
      <c r="P291" s="105" t="e">
        <v>#N/A</v>
      </c>
      <c r="Q291" s="105" t="e">
        <v>#N/A</v>
      </c>
      <c r="R291" s="11" t="str">
        <f t="shared" si="3"/>
        <v>#N/A</v>
      </c>
      <c r="S291" s="11"/>
    </row>
    <row r="292" ht="14.25" customHeight="1">
      <c r="B292" s="45">
        <f t="shared" si="1"/>
        <v>26</v>
      </c>
      <c r="C292" s="45" t="s">
        <v>106</v>
      </c>
      <c r="D292" s="45"/>
      <c r="E292" s="45"/>
      <c r="F292" s="108"/>
      <c r="G292" s="108"/>
      <c r="H292" s="105"/>
      <c r="I292" s="105"/>
      <c r="J292" s="105"/>
      <c r="K292" s="105">
        <f t="shared" si="2"/>
        <v>26</v>
      </c>
      <c r="L292" s="105">
        <v>311.0</v>
      </c>
      <c r="M292" s="105"/>
      <c r="N292" s="105" t="e">
        <v>#N/A</v>
      </c>
      <c r="O292" s="105" t="e">
        <v>#N/A</v>
      </c>
      <c r="P292" s="105" t="e">
        <v>#N/A</v>
      </c>
      <c r="Q292" s="105" t="e">
        <v>#N/A</v>
      </c>
      <c r="R292" s="11" t="str">
        <f t="shared" si="3"/>
        <v>#N/A</v>
      </c>
      <c r="S292" s="11"/>
    </row>
    <row r="293" ht="14.25" customHeight="1">
      <c r="B293" s="45">
        <f t="shared" si="1"/>
        <v>26</v>
      </c>
      <c r="C293" s="45" t="s">
        <v>106</v>
      </c>
      <c r="D293" s="45"/>
      <c r="E293" s="45"/>
      <c r="F293" s="108"/>
      <c r="G293" s="108"/>
      <c r="H293" s="105"/>
      <c r="I293" s="105"/>
      <c r="J293" s="105"/>
      <c r="K293" s="105">
        <f t="shared" si="2"/>
        <v>26</v>
      </c>
      <c r="L293" s="105">
        <v>311.0</v>
      </c>
      <c r="M293" s="105"/>
      <c r="N293" s="105" t="e">
        <v>#N/A</v>
      </c>
      <c r="O293" s="105" t="e">
        <v>#N/A</v>
      </c>
      <c r="P293" s="105" t="e">
        <v>#N/A</v>
      </c>
      <c r="Q293" s="105" t="e">
        <v>#N/A</v>
      </c>
      <c r="R293" s="11" t="str">
        <f t="shared" si="3"/>
        <v>#N/A</v>
      </c>
      <c r="S293" s="11"/>
    </row>
    <row r="294" ht="14.25" customHeight="1">
      <c r="B294" s="45">
        <f t="shared" si="1"/>
        <v>26</v>
      </c>
      <c r="C294" s="45" t="s">
        <v>106</v>
      </c>
      <c r="D294" s="45"/>
      <c r="E294" s="45"/>
      <c r="F294" s="108"/>
      <c r="G294" s="108"/>
      <c r="H294" s="105"/>
      <c r="I294" s="105"/>
      <c r="J294" s="105"/>
      <c r="K294" s="105">
        <f t="shared" si="2"/>
        <v>26</v>
      </c>
      <c r="L294" s="105">
        <v>311.5</v>
      </c>
      <c r="M294" s="105"/>
      <c r="N294" s="105" t="e">
        <v>#N/A</v>
      </c>
      <c r="O294" s="105" t="e">
        <v>#N/A</v>
      </c>
      <c r="P294" s="105" t="e">
        <v>#N/A</v>
      </c>
      <c r="Q294" s="105" t="e">
        <v>#N/A</v>
      </c>
      <c r="R294" s="11" t="str">
        <f t="shared" si="3"/>
        <v>#N/A</v>
      </c>
      <c r="S294" s="11"/>
    </row>
    <row r="295" ht="14.25" customHeight="1">
      <c r="B295" s="45">
        <f t="shared" si="1"/>
        <v>26</v>
      </c>
      <c r="C295" s="45" t="s">
        <v>106</v>
      </c>
      <c r="D295" s="45"/>
      <c r="E295" s="45"/>
      <c r="F295" s="108"/>
      <c r="G295" s="108"/>
      <c r="H295" s="105"/>
      <c r="I295" s="105"/>
      <c r="J295" s="105"/>
      <c r="K295" s="105">
        <f t="shared" si="2"/>
        <v>26</v>
      </c>
      <c r="L295" s="105">
        <v>311.7</v>
      </c>
      <c r="M295" s="105"/>
      <c r="N295" s="105" t="e">
        <v>#N/A</v>
      </c>
      <c r="O295" s="105" t="e">
        <v>#N/A</v>
      </c>
      <c r="P295" s="105" t="e">
        <v>#N/A</v>
      </c>
      <c r="Q295" s="105" t="e">
        <v>#N/A</v>
      </c>
      <c r="R295" s="11" t="str">
        <f t="shared" si="3"/>
        <v>#N/A</v>
      </c>
      <c r="S295" s="11"/>
    </row>
    <row r="296" ht="14.25" customHeight="1">
      <c r="B296" s="45">
        <f t="shared" si="1"/>
        <v>27</v>
      </c>
      <c r="C296" s="45" t="s">
        <v>106</v>
      </c>
      <c r="D296" s="45"/>
      <c r="E296" s="45"/>
      <c r="F296" s="108"/>
      <c r="G296" s="108"/>
      <c r="H296" s="105"/>
      <c r="I296" s="105"/>
      <c r="J296" s="105"/>
      <c r="K296" s="105">
        <f t="shared" si="2"/>
        <v>27</v>
      </c>
      <c r="L296" s="105">
        <v>312.0</v>
      </c>
      <c r="M296" s="105"/>
      <c r="N296" s="105" t="e">
        <v>#N/A</v>
      </c>
      <c r="O296" s="105" t="e">
        <v>#N/A</v>
      </c>
      <c r="P296" s="105" t="e">
        <v>#N/A</v>
      </c>
      <c r="Q296" s="105" t="e">
        <v>#N/A</v>
      </c>
      <c r="R296" s="11" t="str">
        <f t="shared" si="3"/>
        <v>#N/A</v>
      </c>
      <c r="S296" s="11"/>
    </row>
    <row r="297" ht="14.25" customHeight="1">
      <c r="B297" s="45">
        <f t="shared" si="1"/>
        <v>27</v>
      </c>
      <c r="C297" s="45" t="s">
        <v>106</v>
      </c>
      <c r="D297" s="45"/>
      <c r="E297" s="45"/>
      <c r="F297" s="108"/>
      <c r="G297" s="108"/>
      <c r="H297" s="105"/>
      <c r="I297" s="105"/>
      <c r="J297" s="105"/>
      <c r="K297" s="105">
        <f t="shared" si="2"/>
        <v>27</v>
      </c>
      <c r="L297" s="105">
        <v>312.7</v>
      </c>
      <c r="M297" s="105"/>
      <c r="N297" s="105" t="e">
        <v>#N/A</v>
      </c>
      <c r="O297" s="105" t="e">
        <v>#N/A</v>
      </c>
      <c r="P297" s="105" t="e">
        <v>#N/A</v>
      </c>
      <c r="Q297" s="105" t="e">
        <v>#N/A</v>
      </c>
      <c r="R297" s="11" t="str">
        <f t="shared" si="3"/>
        <v>#N/A</v>
      </c>
      <c r="S297" s="11"/>
    </row>
    <row r="298" ht="14.25" customHeight="1">
      <c r="B298" s="45">
        <f t="shared" si="1"/>
        <v>27</v>
      </c>
      <c r="C298" s="45" t="s">
        <v>106</v>
      </c>
      <c r="D298" s="45"/>
      <c r="E298" s="45"/>
      <c r="F298" s="108"/>
      <c r="G298" s="108"/>
      <c r="H298" s="105"/>
      <c r="I298" s="105"/>
      <c r="J298" s="105"/>
      <c r="K298" s="105">
        <f t="shared" si="2"/>
        <v>27</v>
      </c>
      <c r="L298" s="105">
        <v>314.0</v>
      </c>
      <c r="M298" s="105"/>
      <c r="N298" s="105" t="e">
        <v>#N/A</v>
      </c>
      <c r="O298" s="105" t="e">
        <v>#N/A</v>
      </c>
      <c r="P298" s="105" t="e">
        <v>#N/A</v>
      </c>
      <c r="Q298" s="105" t="e">
        <v>#N/A</v>
      </c>
      <c r="R298" s="11" t="str">
        <f t="shared" si="3"/>
        <v>#N/A</v>
      </c>
      <c r="S298" s="11"/>
    </row>
    <row r="299" ht="14.25" customHeight="1">
      <c r="B299" s="45">
        <f t="shared" si="1"/>
        <v>27</v>
      </c>
      <c r="C299" s="45" t="s">
        <v>106</v>
      </c>
      <c r="D299" s="45"/>
      <c r="E299" s="45"/>
      <c r="F299" s="108"/>
      <c r="G299" s="108"/>
      <c r="H299" s="105"/>
      <c r="I299" s="105"/>
      <c r="J299" s="105"/>
      <c r="K299" s="105">
        <f t="shared" si="2"/>
        <v>27</v>
      </c>
      <c r="L299" s="105">
        <v>315.0</v>
      </c>
      <c r="M299" s="105"/>
      <c r="N299" s="105" t="e">
        <v>#N/A</v>
      </c>
      <c r="O299" s="105" t="e">
        <v>#N/A</v>
      </c>
      <c r="P299" s="105" t="e">
        <v>#N/A</v>
      </c>
      <c r="Q299" s="105" t="e">
        <v>#N/A</v>
      </c>
      <c r="R299" s="11" t="str">
        <f t="shared" si="3"/>
        <v>#N/A</v>
      </c>
      <c r="S299" s="11"/>
    </row>
    <row r="300" ht="14.25" customHeight="1">
      <c r="B300" s="45">
        <f t="shared" si="1"/>
        <v>27</v>
      </c>
      <c r="C300" s="45" t="s">
        <v>106</v>
      </c>
      <c r="D300" s="45"/>
      <c r="E300" s="45"/>
      <c r="F300" s="108"/>
      <c r="G300" s="108"/>
      <c r="H300" s="105"/>
      <c r="I300" s="105"/>
      <c r="J300" s="105"/>
      <c r="K300" s="105">
        <f t="shared" si="2"/>
        <v>27</v>
      </c>
      <c r="L300" s="105">
        <v>315.5</v>
      </c>
      <c r="M300" s="105"/>
      <c r="N300" s="105" t="e">
        <v>#N/A</v>
      </c>
      <c r="O300" s="105" t="e">
        <v>#N/A</v>
      </c>
      <c r="P300" s="105" t="e">
        <v>#N/A</v>
      </c>
      <c r="Q300" s="105" t="e">
        <v>#N/A</v>
      </c>
      <c r="R300" s="11" t="str">
        <f t="shared" si="3"/>
        <v>#N/A</v>
      </c>
      <c r="S300" s="11"/>
    </row>
    <row r="301" ht="14.25" customHeight="1">
      <c r="B301" s="45">
        <f t="shared" si="1"/>
        <v>27</v>
      </c>
      <c r="C301" s="45" t="s">
        <v>106</v>
      </c>
      <c r="D301" s="45"/>
      <c r="E301" s="45"/>
      <c r="F301" s="108"/>
      <c r="G301" s="108"/>
      <c r="H301" s="105"/>
      <c r="I301" s="105"/>
      <c r="J301" s="105"/>
      <c r="K301" s="105">
        <f t="shared" si="2"/>
        <v>27</v>
      </c>
      <c r="L301" s="105">
        <v>316.0</v>
      </c>
      <c r="M301" s="105"/>
      <c r="N301" s="105" t="e">
        <v>#N/A</v>
      </c>
      <c r="O301" s="105" t="e">
        <v>#N/A</v>
      </c>
      <c r="P301" s="105" t="e">
        <v>#N/A</v>
      </c>
      <c r="Q301" s="105" t="e">
        <v>#N/A</v>
      </c>
      <c r="R301" s="11" t="str">
        <f t="shared" si="3"/>
        <v>#N/A</v>
      </c>
      <c r="S301" s="11"/>
    </row>
    <row r="302" ht="14.25" customHeight="1">
      <c r="B302" s="45">
        <f t="shared" si="1"/>
        <v>27</v>
      </c>
      <c r="C302" s="45" t="s">
        <v>106</v>
      </c>
      <c r="D302" s="45"/>
      <c r="E302" s="45"/>
      <c r="F302" s="108"/>
      <c r="G302" s="108"/>
      <c r="H302" s="105"/>
      <c r="I302" s="105"/>
      <c r="J302" s="105"/>
      <c r="K302" s="105">
        <f t="shared" si="2"/>
        <v>27</v>
      </c>
      <c r="L302" s="105">
        <v>316.3</v>
      </c>
      <c r="M302" s="105"/>
      <c r="N302" s="105" t="e">
        <v>#N/A</v>
      </c>
      <c r="O302" s="105" t="e">
        <v>#N/A</v>
      </c>
      <c r="P302" s="105" t="e">
        <v>#N/A</v>
      </c>
      <c r="Q302" s="105" t="e">
        <v>#N/A</v>
      </c>
      <c r="R302" s="11" t="str">
        <f t="shared" si="3"/>
        <v>#N/A</v>
      </c>
      <c r="S302" s="11"/>
    </row>
    <row r="303" ht="14.25" customHeight="1">
      <c r="B303" s="45">
        <f t="shared" si="1"/>
        <v>27</v>
      </c>
      <c r="C303" s="45" t="s">
        <v>106</v>
      </c>
      <c r="D303" s="45"/>
      <c r="E303" s="45"/>
      <c r="F303" s="108"/>
      <c r="G303" s="108"/>
      <c r="H303" s="105"/>
      <c r="I303" s="105"/>
      <c r="J303" s="105"/>
      <c r="K303" s="105">
        <f t="shared" si="2"/>
        <v>27</v>
      </c>
      <c r="L303" s="105">
        <v>317.0</v>
      </c>
      <c r="M303" s="105"/>
      <c r="N303" s="105" t="e">
        <v>#N/A</v>
      </c>
      <c r="O303" s="105" t="e">
        <v>#N/A</v>
      </c>
      <c r="P303" s="105" t="e">
        <v>#N/A</v>
      </c>
      <c r="Q303" s="105" t="e">
        <v>#N/A</v>
      </c>
      <c r="R303" s="11" t="str">
        <f t="shared" si="3"/>
        <v>#N/A</v>
      </c>
      <c r="S303" s="11"/>
    </row>
    <row r="304" ht="14.25" customHeight="1">
      <c r="B304" s="45">
        <f t="shared" si="1"/>
        <v>27</v>
      </c>
      <c r="C304" s="45" t="s">
        <v>106</v>
      </c>
      <c r="D304" s="45"/>
      <c r="E304" s="45"/>
      <c r="F304" s="108"/>
      <c r="G304" s="108"/>
      <c r="H304" s="105"/>
      <c r="I304" s="105"/>
      <c r="J304" s="105"/>
      <c r="K304" s="105">
        <f t="shared" si="2"/>
        <v>27</v>
      </c>
      <c r="L304" s="105">
        <v>318.7</v>
      </c>
      <c r="M304" s="105"/>
      <c r="N304" s="105" t="e">
        <v>#N/A</v>
      </c>
      <c r="O304" s="105" t="e">
        <v>#N/A</v>
      </c>
      <c r="P304" s="105" t="e">
        <v>#N/A</v>
      </c>
      <c r="Q304" s="105" t="e">
        <v>#N/A</v>
      </c>
      <c r="R304" s="11" t="str">
        <f t="shared" si="3"/>
        <v>#N/A</v>
      </c>
      <c r="S304" s="11"/>
    </row>
    <row r="305" ht="14.25" customHeight="1">
      <c r="B305" s="45">
        <f t="shared" si="1"/>
        <v>27</v>
      </c>
      <c r="C305" s="45" t="s">
        <v>106</v>
      </c>
      <c r="D305" s="45"/>
      <c r="E305" s="45"/>
      <c r="F305" s="108"/>
      <c r="G305" s="108"/>
      <c r="H305" s="105"/>
      <c r="I305" s="105"/>
      <c r="J305" s="105"/>
      <c r="K305" s="105">
        <f t="shared" si="2"/>
        <v>27</v>
      </c>
      <c r="L305" s="105">
        <v>319.0</v>
      </c>
      <c r="M305" s="105"/>
      <c r="N305" s="105" t="e">
        <v>#N/A</v>
      </c>
      <c r="O305" s="105" t="e">
        <v>#N/A</v>
      </c>
      <c r="P305" s="105" t="e">
        <v>#N/A</v>
      </c>
      <c r="Q305" s="105" t="e">
        <v>#N/A</v>
      </c>
      <c r="R305" s="11" t="str">
        <f t="shared" si="3"/>
        <v>#N/A</v>
      </c>
      <c r="S305" s="11"/>
    </row>
    <row r="306" ht="14.25" customHeight="1">
      <c r="B306" s="45">
        <f t="shared" si="1"/>
        <v>27</v>
      </c>
      <c r="C306" s="45" t="s">
        <v>106</v>
      </c>
      <c r="D306" s="45"/>
      <c r="E306" s="45"/>
      <c r="F306" s="108"/>
      <c r="G306" s="108"/>
      <c r="H306" s="105"/>
      <c r="I306" s="105"/>
      <c r="J306" s="105"/>
      <c r="K306" s="105">
        <f t="shared" si="2"/>
        <v>27</v>
      </c>
      <c r="L306" s="105">
        <v>319.3</v>
      </c>
      <c r="M306" s="105"/>
      <c r="N306" s="105" t="e">
        <v>#N/A</v>
      </c>
      <c r="O306" s="105" t="e">
        <v>#N/A</v>
      </c>
      <c r="P306" s="105" t="e">
        <v>#N/A</v>
      </c>
      <c r="Q306" s="105" t="e">
        <v>#N/A</v>
      </c>
      <c r="R306" s="11" t="str">
        <f t="shared" si="3"/>
        <v>#N/A</v>
      </c>
      <c r="S306" s="11"/>
    </row>
    <row r="307" ht="14.25" customHeight="1">
      <c r="B307" s="45">
        <f t="shared" si="1"/>
        <v>27</v>
      </c>
      <c r="C307" s="45" t="s">
        <v>106</v>
      </c>
      <c r="D307" s="45"/>
      <c r="E307" s="45"/>
      <c r="F307" s="108"/>
      <c r="G307" s="108"/>
      <c r="H307" s="105"/>
      <c r="I307" s="105"/>
      <c r="J307" s="105"/>
      <c r="K307" s="105">
        <f t="shared" si="2"/>
        <v>27</v>
      </c>
      <c r="L307" s="105">
        <v>320.0</v>
      </c>
      <c r="M307" s="105"/>
      <c r="N307" s="105" t="e">
        <v>#N/A</v>
      </c>
      <c r="O307" s="105" t="e">
        <v>#N/A</v>
      </c>
      <c r="P307" s="105" t="e">
        <v>#N/A</v>
      </c>
      <c r="Q307" s="105" t="e">
        <v>#N/A</v>
      </c>
      <c r="R307" s="11" t="str">
        <f t="shared" si="3"/>
        <v>#N/A</v>
      </c>
      <c r="S307" s="11"/>
    </row>
    <row r="308" ht="14.25" customHeight="1">
      <c r="B308" s="45">
        <f t="shared" si="1"/>
        <v>27</v>
      </c>
      <c r="C308" s="45" t="s">
        <v>106</v>
      </c>
      <c r="D308" s="45"/>
      <c r="E308" s="45"/>
      <c r="F308" s="108"/>
      <c r="G308" s="108"/>
      <c r="H308" s="105"/>
      <c r="I308" s="105"/>
      <c r="J308" s="105"/>
      <c r="K308" s="105">
        <f t="shared" si="2"/>
        <v>27</v>
      </c>
      <c r="L308" s="105">
        <v>322.0</v>
      </c>
      <c r="M308" s="105"/>
      <c r="N308" s="105" t="e">
        <v>#N/A</v>
      </c>
      <c r="O308" s="105" t="e">
        <v>#N/A</v>
      </c>
      <c r="P308" s="105" t="e">
        <v>#N/A</v>
      </c>
      <c r="Q308" s="105" t="e">
        <v>#N/A</v>
      </c>
      <c r="R308" s="11" t="str">
        <f t="shared" si="3"/>
        <v>#N/A</v>
      </c>
      <c r="S308" s="11"/>
    </row>
    <row r="309" ht="14.25" customHeight="1">
      <c r="B309" s="45">
        <f t="shared" si="1"/>
        <v>27</v>
      </c>
      <c r="C309" s="45" t="s">
        <v>106</v>
      </c>
      <c r="D309" s="45"/>
      <c r="E309" s="45"/>
      <c r="F309" s="108"/>
      <c r="G309" s="108"/>
      <c r="H309" s="105"/>
      <c r="I309" s="105"/>
      <c r="J309" s="105"/>
      <c r="K309" s="105">
        <f t="shared" si="2"/>
        <v>27</v>
      </c>
      <c r="L309" s="105">
        <v>322.0</v>
      </c>
      <c r="M309" s="105"/>
      <c r="N309" s="105" t="e">
        <v>#N/A</v>
      </c>
      <c r="O309" s="105" t="e">
        <v>#N/A</v>
      </c>
      <c r="P309" s="105" t="e">
        <v>#N/A</v>
      </c>
      <c r="Q309" s="105" t="e">
        <v>#N/A</v>
      </c>
      <c r="R309" s="11" t="str">
        <f t="shared" si="3"/>
        <v>#N/A</v>
      </c>
      <c r="S309" s="11"/>
    </row>
    <row r="310" ht="14.25" customHeight="1">
      <c r="B310" s="45">
        <f t="shared" si="1"/>
        <v>27</v>
      </c>
      <c r="C310" s="45" t="s">
        <v>106</v>
      </c>
      <c r="D310" s="45"/>
      <c r="E310" s="45"/>
      <c r="F310" s="108"/>
      <c r="G310" s="108"/>
      <c r="H310" s="105"/>
      <c r="I310" s="105"/>
      <c r="J310" s="105"/>
      <c r="K310" s="105">
        <f t="shared" si="2"/>
        <v>27</v>
      </c>
      <c r="L310" s="105">
        <v>322.0</v>
      </c>
      <c r="M310" s="105"/>
      <c r="N310" s="105" t="e">
        <v>#N/A</v>
      </c>
      <c r="O310" s="105" t="e">
        <v>#N/A</v>
      </c>
      <c r="P310" s="105" t="e">
        <v>#N/A</v>
      </c>
      <c r="Q310" s="105" t="e">
        <v>#N/A</v>
      </c>
      <c r="R310" s="11" t="str">
        <f t="shared" si="3"/>
        <v>#N/A</v>
      </c>
      <c r="S310" s="11"/>
    </row>
    <row r="311" ht="14.25" customHeight="1">
      <c r="B311" s="45">
        <f t="shared" si="1"/>
        <v>27</v>
      </c>
      <c r="C311" s="45" t="s">
        <v>106</v>
      </c>
      <c r="D311" s="45"/>
      <c r="E311" s="45"/>
      <c r="F311" s="108"/>
      <c r="G311" s="108"/>
      <c r="H311" s="105"/>
      <c r="I311" s="105"/>
      <c r="J311" s="105"/>
      <c r="K311" s="105">
        <f t="shared" si="2"/>
        <v>27</v>
      </c>
      <c r="L311" s="105">
        <v>323.0</v>
      </c>
      <c r="M311" s="105"/>
      <c r="N311" s="105" t="e">
        <v>#N/A</v>
      </c>
      <c r="O311" s="105" t="e">
        <v>#N/A</v>
      </c>
      <c r="P311" s="105" t="e">
        <v>#N/A</v>
      </c>
      <c r="Q311" s="105" t="e">
        <v>#N/A</v>
      </c>
      <c r="R311" s="11" t="str">
        <f t="shared" si="3"/>
        <v>#N/A</v>
      </c>
      <c r="S311" s="11"/>
    </row>
    <row r="312" ht="14.25" customHeight="1">
      <c r="B312" s="45">
        <f t="shared" si="1"/>
        <v>27</v>
      </c>
      <c r="C312" s="45" t="s">
        <v>106</v>
      </c>
      <c r="D312" s="45"/>
      <c r="E312" s="45"/>
      <c r="F312" s="108"/>
      <c r="G312" s="108"/>
      <c r="H312" s="105"/>
      <c r="I312" s="105"/>
      <c r="J312" s="105"/>
      <c r="K312" s="105">
        <f t="shared" si="2"/>
        <v>27</v>
      </c>
      <c r="L312" s="105">
        <v>323.0</v>
      </c>
      <c r="M312" s="105"/>
      <c r="N312" s="105" t="e">
        <v>#N/A</v>
      </c>
      <c r="O312" s="105" t="e">
        <v>#N/A</v>
      </c>
      <c r="P312" s="105" t="e">
        <v>#N/A</v>
      </c>
      <c r="Q312" s="105" t="e">
        <v>#N/A</v>
      </c>
      <c r="R312" s="11" t="str">
        <f t="shared" si="3"/>
        <v>#N/A</v>
      </c>
      <c r="S312" s="11"/>
    </row>
    <row r="313" ht="14.25" customHeight="1">
      <c r="B313" s="45">
        <f t="shared" si="1"/>
        <v>27</v>
      </c>
      <c r="C313" s="45" t="s">
        <v>106</v>
      </c>
      <c r="D313" s="45"/>
      <c r="E313" s="45"/>
      <c r="F313" s="108"/>
      <c r="G313" s="108"/>
      <c r="H313" s="105"/>
      <c r="I313" s="105"/>
      <c r="J313" s="105"/>
      <c r="K313" s="105">
        <f t="shared" si="2"/>
        <v>27</v>
      </c>
      <c r="L313" s="105">
        <v>323.3</v>
      </c>
      <c r="M313" s="105"/>
      <c r="N313" s="105" t="e">
        <v>#N/A</v>
      </c>
      <c r="O313" s="105" t="e">
        <v>#N/A</v>
      </c>
      <c r="P313" s="105" t="e">
        <v>#N/A</v>
      </c>
      <c r="Q313" s="105" t="e">
        <v>#N/A</v>
      </c>
      <c r="R313" s="11" t="str">
        <f t="shared" si="3"/>
        <v>#N/A</v>
      </c>
      <c r="S313" s="11"/>
    </row>
    <row r="314" ht="14.25" customHeight="1">
      <c r="B314" s="45">
        <f t="shared" si="1"/>
        <v>27</v>
      </c>
      <c r="C314" s="45" t="s">
        <v>106</v>
      </c>
      <c r="D314" s="45"/>
      <c r="E314" s="45"/>
      <c r="F314" s="108"/>
      <c r="G314" s="108"/>
      <c r="H314" s="105"/>
      <c r="I314" s="105"/>
      <c r="J314" s="105"/>
      <c r="K314" s="105">
        <f t="shared" si="2"/>
        <v>27</v>
      </c>
      <c r="L314" s="105">
        <v>323.7</v>
      </c>
      <c r="M314" s="105"/>
      <c r="N314" s="105" t="e">
        <v>#N/A</v>
      </c>
      <c r="O314" s="105" t="e">
        <v>#N/A</v>
      </c>
      <c r="P314" s="105" t="e">
        <v>#N/A</v>
      </c>
      <c r="Q314" s="105" t="e">
        <v>#N/A</v>
      </c>
      <c r="R314" s="11" t="str">
        <f t="shared" si="3"/>
        <v>#N/A</v>
      </c>
      <c r="S314" s="11"/>
    </row>
    <row r="315" ht="14.25" customHeight="1">
      <c r="B315" s="45">
        <f t="shared" si="1"/>
        <v>28</v>
      </c>
      <c r="C315" s="45" t="s">
        <v>106</v>
      </c>
      <c r="D315" s="45"/>
      <c r="E315" s="45"/>
      <c r="F315" s="108"/>
      <c r="G315" s="108"/>
      <c r="H315" s="105"/>
      <c r="I315" s="105"/>
      <c r="J315" s="105"/>
      <c r="K315" s="105">
        <f t="shared" si="2"/>
        <v>28</v>
      </c>
      <c r="L315" s="105">
        <v>324.0</v>
      </c>
      <c r="M315" s="105"/>
      <c r="N315" s="105" t="e">
        <v>#N/A</v>
      </c>
      <c r="O315" s="105" t="e">
        <v>#N/A</v>
      </c>
      <c r="P315" s="105" t="e">
        <v>#N/A</v>
      </c>
      <c r="Q315" s="105" t="e">
        <v>#N/A</v>
      </c>
      <c r="R315" s="11" t="str">
        <f t="shared" si="3"/>
        <v>#N/A</v>
      </c>
      <c r="S315" s="11"/>
    </row>
    <row r="316" ht="14.25" customHeight="1">
      <c r="B316" s="45">
        <f t="shared" si="1"/>
        <v>28</v>
      </c>
      <c r="C316" s="45" t="s">
        <v>106</v>
      </c>
      <c r="D316" s="45"/>
      <c r="E316" s="45"/>
      <c r="F316" s="108"/>
      <c r="G316" s="108"/>
      <c r="H316" s="105"/>
      <c r="I316" s="105"/>
      <c r="J316" s="105"/>
      <c r="K316" s="105">
        <f t="shared" si="2"/>
        <v>28</v>
      </c>
      <c r="L316" s="105">
        <v>325.0</v>
      </c>
      <c r="M316" s="105"/>
      <c r="N316" s="105" t="e">
        <v>#N/A</v>
      </c>
      <c r="O316" s="105" t="e">
        <v>#N/A</v>
      </c>
      <c r="P316" s="105" t="e">
        <v>#N/A</v>
      </c>
      <c r="Q316" s="105" t="e">
        <v>#N/A</v>
      </c>
      <c r="R316" s="11" t="str">
        <f t="shared" si="3"/>
        <v>#N/A</v>
      </c>
      <c r="S316" s="11"/>
    </row>
    <row r="317" ht="14.25" customHeight="1">
      <c r="B317" s="45">
        <f t="shared" si="1"/>
        <v>28</v>
      </c>
      <c r="C317" s="45" t="s">
        <v>106</v>
      </c>
      <c r="D317" s="45"/>
      <c r="E317" s="45"/>
      <c r="F317" s="108"/>
      <c r="G317" s="108"/>
      <c r="H317" s="105"/>
      <c r="I317" s="105"/>
      <c r="J317" s="105"/>
      <c r="K317" s="105">
        <f t="shared" si="2"/>
        <v>28</v>
      </c>
      <c r="L317" s="105">
        <v>325.0</v>
      </c>
      <c r="M317" s="105"/>
      <c r="N317" s="105" t="e">
        <v>#N/A</v>
      </c>
      <c r="O317" s="105" t="e">
        <v>#N/A</v>
      </c>
      <c r="P317" s="105" t="e">
        <v>#N/A</v>
      </c>
      <c r="Q317" s="105" t="e">
        <v>#N/A</v>
      </c>
      <c r="R317" s="11" t="str">
        <f t="shared" si="3"/>
        <v>#N/A</v>
      </c>
      <c r="S317" s="11"/>
    </row>
    <row r="318" ht="14.25" customHeight="1">
      <c r="B318" s="45">
        <f t="shared" si="1"/>
        <v>28</v>
      </c>
      <c r="C318" s="45" t="s">
        <v>106</v>
      </c>
      <c r="D318" s="45"/>
      <c r="E318" s="45"/>
      <c r="F318" s="108"/>
      <c r="G318" s="108"/>
      <c r="H318" s="105"/>
      <c r="I318" s="105"/>
      <c r="J318" s="105"/>
      <c r="K318" s="105">
        <f t="shared" si="2"/>
        <v>28</v>
      </c>
      <c r="L318" s="105">
        <v>328.0</v>
      </c>
      <c r="M318" s="105"/>
      <c r="N318" s="105" t="e">
        <v>#N/A</v>
      </c>
      <c r="O318" s="105" t="e">
        <v>#N/A</v>
      </c>
      <c r="P318" s="105" t="e">
        <v>#N/A</v>
      </c>
      <c r="Q318" s="105" t="e">
        <v>#N/A</v>
      </c>
      <c r="R318" s="11" t="str">
        <f t="shared" si="3"/>
        <v>#N/A</v>
      </c>
      <c r="S318" s="11"/>
    </row>
    <row r="319" ht="14.25" customHeight="1">
      <c r="B319" s="45">
        <f t="shared" si="1"/>
        <v>28</v>
      </c>
      <c r="C319" s="45" t="s">
        <v>106</v>
      </c>
      <c r="D319" s="45"/>
      <c r="E319" s="45"/>
      <c r="F319" s="108"/>
      <c r="G319" s="108"/>
      <c r="H319" s="105"/>
      <c r="I319" s="105"/>
      <c r="J319" s="105"/>
      <c r="K319" s="105">
        <f t="shared" si="2"/>
        <v>28</v>
      </c>
      <c r="L319" s="105">
        <v>328.5</v>
      </c>
      <c r="M319" s="105"/>
      <c r="N319" s="105" t="e">
        <v>#N/A</v>
      </c>
      <c r="O319" s="105" t="e">
        <v>#N/A</v>
      </c>
      <c r="P319" s="105" t="e">
        <v>#N/A</v>
      </c>
      <c r="Q319" s="105" t="e">
        <v>#N/A</v>
      </c>
      <c r="R319" s="11" t="str">
        <f t="shared" si="3"/>
        <v>#N/A</v>
      </c>
      <c r="S319" s="11"/>
    </row>
    <row r="320" ht="14.25" customHeight="1">
      <c r="B320" s="45">
        <f t="shared" si="1"/>
        <v>28</v>
      </c>
      <c r="C320" s="45" t="s">
        <v>106</v>
      </c>
      <c r="D320" s="45"/>
      <c r="E320" s="45"/>
      <c r="F320" s="108"/>
      <c r="G320" s="108"/>
      <c r="H320" s="105"/>
      <c r="I320" s="105"/>
      <c r="J320" s="105"/>
      <c r="K320" s="105">
        <f t="shared" si="2"/>
        <v>28</v>
      </c>
      <c r="L320" s="105">
        <v>332.0</v>
      </c>
      <c r="M320" s="105"/>
      <c r="N320" s="105" t="e">
        <v>#N/A</v>
      </c>
      <c r="O320" s="105" t="e">
        <v>#N/A</v>
      </c>
      <c r="P320" s="105" t="e">
        <v>#N/A</v>
      </c>
      <c r="Q320" s="105" t="e">
        <v>#N/A</v>
      </c>
      <c r="R320" s="11" t="str">
        <f t="shared" si="3"/>
        <v>#N/A</v>
      </c>
      <c r="S320" s="11"/>
    </row>
    <row r="321" ht="14.25" customHeight="1">
      <c r="B321" s="45">
        <f t="shared" si="1"/>
        <v>28</v>
      </c>
      <c r="C321" s="45" t="s">
        <v>106</v>
      </c>
      <c r="D321" s="45"/>
      <c r="E321" s="45"/>
      <c r="F321" s="108"/>
      <c r="G321" s="108"/>
      <c r="H321" s="105"/>
      <c r="I321" s="105"/>
      <c r="J321" s="105"/>
      <c r="K321" s="105">
        <f t="shared" si="2"/>
        <v>28</v>
      </c>
      <c r="L321" s="105">
        <v>333.0</v>
      </c>
      <c r="M321" s="105"/>
      <c r="N321" s="105" t="e">
        <v>#N/A</v>
      </c>
      <c r="O321" s="105" t="e">
        <v>#N/A</v>
      </c>
      <c r="P321" s="105" t="e">
        <v>#N/A</v>
      </c>
      <c r="Q321" s="105" t="e">
        <v>#N/A</v>
      </c>
      <c r="R321" s="11" t="str">
        <f t="shared" si="3"/>
        <v>#N/A</v>
      </c>
      <c r="S321" s="11"/>
    </row>
    <row r="322" ht="14.25" customHeight="1">
      <c r="B322" s="45">
        <f t="shared" si="1"/>
        <v>28</v>
      </c>
      <c r="C322" s="45" t="s">
        <v>106</v>
      </c>
      <c r="D322" s="45"/>
      <c r="E322" s="45"/>
      <c r="F322" s="108"/>
      <c r="G322" s="108"/>
      <c r="H322" s="105"/>
      <c r="I322" s="105"/>
      <c r="J322" s="105"/>
      <c r="K322" s="105">
        <f t="shared" si="2"/>
        <v>28</v>
      </c>
      <c r="L322" s="105">
        <v>333.5</v>
      </c>
      <c r="M322" s="105"/>
      <c r="N322" s="105" t="e">
        <v>#N/A</v>
      </c>
      <c r="O322" s="105" t="e">
        <v>#N/A</v>
      </c>
      <c r="P322" s="105" t="e">
        <v>#N/A</v>
      </c>
      <c r="Q322" s="105" t="e">
        <v>#N/A</v>
      </c>
      <c r="R322" s="11" t="str">
        <f t="shared" si="3"/>
        <v>#N/A</v>
      </c>
      <c r="S322" s="11"/>
    </row>
    <row r="323" ht="14.25" customHeight="1">
      <c r="B323" s="45">
        <f t="shared" si="1"/>
        <v>28</v>
      </c>
      <c r="C323" s="45" t="s">
        <v>106</v>
      </c>
      <c r="D323" s="45"/>
      <c r="E323" s="45"/>
      <c r="F323" s="108"/>
      <c r="G323" s="108"/>
      <c r="H323" s="105"/>
      <c r="I323" s="105"/>
      <c r="J323" s="105"/>
      <c r="K323" s="105">
        <f t="shared" si="2"/>
        <v>28</v>
      </c>
      <c r="L323" s="105">
        <v>334.0</v>
      </c>
      <c r="M323" s="105"/>
      <c r="N323" s="105" t="e">
        <v>#N/A</v>
      </c>
      <c r="O323" s="105" t="e">
        <v>#N/A</v>
      </c>
      <c r="P323" s="105" t="e">
        <v>#N/A</v>
      </c>
      <c r="Q323" s="105" t="e">
        <v>#N/A</v>
      </c>
      <c r="R323" s="11" t="str">
        <f t="shared" si="3"/>
        <v>#N/A</v>
      </c>
      <c r="S323" s="11"/>
    </row>
    <row r="324" ht="14.25" customHeight="1">
      <c r="B324" s="45">
        <f t="shared" si="1"/>
        <v>28</v>
      </c>
      <c r="C324" s="45" t="s">
        <v>106</v>
      </c>
      <c r="D324" s="45"/>
      <c r="E324" s="45"/>
      <c r="F324" s="108"/>
      <c r="G324" s="108"/>
      <c r="H324" s="105"/>
      <c r="I324" s="105"/>
      <c r="J324" s="105"/>
      <c r="K324" s="105">
        <f t="shared" si="2"/>
        <v>28</v>
      </c>
      <c r="L324" s="105">
        <v>335.0</v>
      </c>
      <c r="M324" s="105"/>
      <c r="N324" s="105" t="e">
        <v>#N/A</v>
      </c>
      <c r="O324" s="105" t="e">
        <v>#N/A</v>
      </c>
      <c r="P324" s="105" t="e">
        <v>#N/A</v>
      </c>
      <c r="Q324" s="105" t="e">
        <v>#N/A</v>
      </c>
      <c r="R324" s="11" t="str">
        <f t="shared" si="3"/>
        <v>#N/A</v>
      </c>
      <c r="S324" s="11"/>
    </row>
    <row r="325" ht="14.25" customHeight="1">
      <c r="B325" s="45">
        <f t="shared" si="1"/>
        <v>29</v>
      </c>
      <c r="C325" s="45" t="s">
        <v>106</v>
      </c>
      <c r="D325" s="45"/>
      <c r="E325" s="45"/>
      <c r="F325" s="108"/>
      <c r="G325" s="108"/>
      <c r="H325" s="105"/>
      <c r="I325" s="105"/>
      <c r="J325" s="105"/>
      <c r="K325" s="105">
        <f t="shared" si="2"/>
        <v>29</v>
      </c>
      <c r="L325" s="105">
        <v>336.0</v>
      </c>
      <c r="M325" s="105"/>
      <c r="N325" s="105" t="e">
        <v>#N/A</v>
      </c>
      <c r="O325" s="105" t="e">
        <v>#N/A</v>
      </c>
      <c r="P325" s="105" t="e">
        <v>#N/A</v>
      </c>
      <c r="Q325" s="105" t="e">
        <v>#N/A</v>
      </c>
      <c r="R325" s="11" t="str">
        <f t="shared" si="3"/>
        <v>#N/A</v>
      </c>
      <c r="S325" s="11"/>
    </row>
    <row r="326" ht="14.25" customHeight="1">
      <c r="B326" s="45">
        <f t="shared" si="1"/>
        <v>29</v>
      </c>
      <c r="C326" s="45" t="s">
        <v>106</v>
      </c>
      <c r="D326" s="45"/>
      <c r="E326" s="45"/>
      <c r="F326" s="108"/>
      <c r="G326" s="108"/>
      <c r="H326" s="105"/>
      <c r="I326" s="105"/>
      <c r="J326" s="105"/>
      <c r="K326" s="105">
        <f t="shared" si="2"/>
        <v>29</v>
      </c>
      <c r="L326" s="105">
        <v>337.0</v>
      </c>
      <c r="M326" s="105"/>
      <c r="N326" s="105" t="e">
        <v>#N/A</v>
      </c>
      <c r="O326" s="105" t="e">
        <v>#N/A</v>
      </c>
      <c r="P326" s="105" t="e">
        <v>#N/A</v>
      </c>
      <c r="Q326" s="105" t="e">
        <v>#N/A</v>
      </c>
      <c r="R326" s="11" t="str">
        <f t="shared" si="3"/>
        <v>#N/A</v>
      </c>
      <c r="S326" s="11"/>
    </row>
    <row r="327" ht="14.25" customHeight="1">
      <c r="B327" s="45">
        <f t="shared" si="1"/>
        <v>29</v>
      </c>
      <c r="C327" s="45" t="s">
        <v>106</v>
      </c>
      <c r="D327" s="45"/>
      <c r="E327" s="45"/>
      <c r="F327" s="108"/>
      <c r="G327" s="108"/>
      <c r="H327" s="105"/>
      <c r="I327" s="105"/>
      <c r="J327" s="105"/>
      <c r="K327" s="105">
        <f t="shared" si="2"/>
        <v>29</v>
      </c>
      <c r="L327" s="105">
        <v>339.0</v>
      </c>
      <c r="M327" s="105"/>
      <c r="N327" s="105" t="e">
        <v>#N/A</v>
      </c>
      <c r="O327" s="105" t="e">
        <v>#N/A</v>
      </c>
      <c r="P327" s="105" t="e">
        <v>#N/A</v>
      </c>
      <c r="Q327" s="105" t="e">
        <v>#N/A</v>
      </c>
      <c r="R327" s="11" t="str">
        <f t="shared" si="3"/>
        <v>#N/A</v>
      </c>
      <c r="S327" s="11"/>
    </row>
    <row r="328" ht="14.25" customHeight="1">
      <c r="B328" s="45">
        <f t="shared" si="1"/>
        <v>29</v>
      </c>
      <c r="C328" s="45" t="s">
        <v>106</v>
      </c>
      <c r="D328" s="45"/>
      <c r="E328" s="45"/>
      <c r="F328" s="108"/>
      <c r="G328" s="108"/>
      <c r="H328" s="105"/>
      <c r="I328" s="105"/>
      <c r="J328" s="105"/>
      <c r="K328" s="105">
        <f t="shared" si="2"/>
        <v>29</v>
      </c>
      <c r="L328" s="105">
        <v>339.0</v>
      </c>
      <c r="M328" s="105"/>
      <c r="N328" s="105" t="e">
        <v>#N/A</v>
      </c>
      <c r="O328" s="105" t="e">
        <v>#N/A</v>
      </c>
      <c r="P328" s="105" t="e">
        <v>#N/A</v>
      </c>
      <c r="Q328" s="105" t="e">
        <v>#N/A</v>
      </c>
      <c r="R328" s="11" t="str">
        <f t="shared" si="3"/>
        <v>#N/A</v>
      </c>
      <c r="S328" s="11"/>
    </row>
    <row r="329" ht="14.25" customHeight="1">
      <c r="B329" s="45">
        <f t="shared" si="1"/>
        <v>29</v>
      </c>
      <c r="C329" s="45" t="s">
        <v>106</v>
      </c>
      <c r="D329" s="45"/>
      <c r="E329" s="45"/>
      <c r="F329" s="108"/>
      <c r="G329" s="108"/>
      <c r="H329" s="105"/>
      <c r="I329" s="105"/>
      <c r="J329" s="105"/>
      <c r="K329" s="105">
        <f t="shared" si="2"/>
        <v>29</v>
      </c>
      <c r="L329" s="105">
        <v>339.0</v>
      </c>
      <c r="M329" s="105"/>
      <c r="N329" s="105" t="e">
        <v>#N/A</v>
      </c>
      <c r="O329" s="105" t="e">
        <v>#N/A</v>
      </c>
      <c r="P329" s="105" t="e">
        <v>#N/A</v>
      </c>
      <c r="Q329" s="105" t="e">
        <v>#N/A</v>
      </c>
      <c r="R329" s="11" t="str">
        <f t="shared" si="3"/>
        <v>#N/A</v>
      </c>
      <c r="S329" s="11"/>
    </row>
    <row r="330" ht="14.25" customHeight="1">
      <c r="B330" s="45">
        <f t="shared" si="1"/>
        <v>29</v>
      </c>
      <c r="C330" s="45" t="s">
        <v>106</v>
      </c>
      <c r="D330" s="45"/>
      <c r="E330" s="45"/>
      <c r="F330" s="108"/>
      <c r="G330" s="108"/>
      <c r="H330" s="105"/>
      <c r="I330" s="105"/>
      <c r="J330" s="105"/>
      <c r="K330" s="105">
        <f t="shared" si="2"/>
        <v>29</v>
      </c>
      <c r="L330" s="105">
        <v>344.0</v>
      </c>
      <c r="M330" s="105"/>
      <c r="N330" s="105" t="e">
        <v>#N/A</v>
      </c>
      <c r="O330" s="105" t="e">
        <v>#N/A</v>
      </c>
      <c r="P330" s="105" t="e">
        <v>#N/A</v>
      </c>
      <c r="Q330" s="105" t="e">
        <v>#N/A</v>
      </c>
      <c r="R330" s="11" t="str">
        <f t="shared" si="3"/>
        <v>#N/A</v>
      </c>
      <c r="S330" s="11"/>
    </row>
    <row r="331" ht="14.25" customHeight="1">
      <c r="B331" s="45">
        <f t="shared" si="1"/>
        <v>30</v>
      </c>
      <c r="C331" s="45" t="s">
        <v>106</v>
      </c>
      <c r="D331" s="45"/>
      <c r="E331" s="45"/>
      <c r="F331" s="108"/>
      <c r="G331" s="108"/>
      <c r="H331" s="105"/>
      <c r="I331" s="105"/>
      <c r="J331" s="105"/>
      <c r="K331" s="105">
        <f t="shared" si="2"/>
        <v>30</v>
      </c>
      <c r="L331" s="105">
        <v>350.0</v>
      </c>
      <c r="M331" s="105"/>
      <c r="N331" s="105" t="e">
        <v>#N/A</v>
      </c>
      <c r="O331" s="105" t="e">
        <v>#N/A</v>
      </c>
      <c r="P331" s="105" t="e">
        <v>#N/A</v>
      </c>
      <c r="Q331" s="105" t="e">
        <v>#N/A</v>
      </c>
      <c r="R331" s="11" t="str">
        <f t="shared" si="3"/>
        <v>#N/A</v>
      </c>
      <c r="S331" s="11"/>
    </row>
    <row r="332" ht="14.25" customHeight="1">
      <c r="B332" s="45">
        <f t="shared" si="1"/>
        <v>30</v>
      </c>
      <c r="C332" s="45" t="s">
        <v>106</v>
      </c>
      <c r="D332" s="45" t="s">
        <v>866</v>
      </c>
      <c r="E332" s="45"/>
      <c r="F332" s="108"/>
      <c r="G332" s="108"/>
      <c r="H332" s="105"/>
      <c r="I332" s="105"/>
      <c r="J332" s="105"/>
      <c r="K332" s="105">
        <f t="shared" si="2"/>
        <v>30</v>
      </c>
      <c r="L332" s="105">
        <v>352.0</v>
      </c>
      <c r="M332" s="105"/>
      <c r="N332" s="105" t="e">
        <v>#N/A</v>
      </c>
      <c r="O332" s="105" t="e">
        <v>#N/A</v>
      </c>
      <c r="P332" s="105" t="e">
        <v>#N/A</v>
      </c>
      <c r="Q332" s="105" t="e">
        <v>#N/A</v>
      </c>
      <c r="R332" s="11" t="str">
        <f t="shared" si="3"/>
        <v>#N/A</v>
      </c>
      <c r="S332" s="11"/>
    </row>
    <row r="333" ht="14.25" customHeight="1">
      <c r="B333" s="45">
        <f t="shared" si="1"/>
        <v>25</v>
      </c>
      <c r="C333" s="45" t="s">
        <v>106</v>
      </c>
      <c r="D333" s="45"/>
      <c r="E333" s="45"/>
      <c r="F333" s="11" t="s">
        <v>1626</v>
      </c>
      <c r="G333" s="11" t="s">
        <v>109</v>
      </c>
      <c r="H333" s="11" t="s">
        <v>772</v>
      </c>
      <c r="I333" s="11"/>
      <c r="J333" s="11"/>
      <c r="K333" s="105">
        <f t="shared" si="2"/>
        <v>25</v>
      </c>
      <c r="L333" s="105">
        <v>291.5</v>
      </c>
      <c r="M333" s="11">
        <v>261.0</v>
      </c>
      <c r="N333" s="105" t="e">
        <v>#N/A</v>
      </c>
      <c r="O333" s="105" t="e">
        <v>#N/A</v>
      </c>
      <c r="P333" s="105" t="e">
        <v>#N/A</v>
      </c>
      <c r="Q333" s="105" t="e">
        <v>#N/A</v>
      </c>
      <c r="R333" s="11" t="str">
        <f t="shared" si="3"/>
        <v>#N/A</v>
      </c>
      <c r="S333" s="11"/>
    </row>
    <row r="334" ht="14.25" customHeight="1">
      <c r="B334" s="45">
        <f t="shared" si="1"/>
        <v>25</v>
      </c>
      <c r="C334" s="45" t="s">
        <v>106</v>
      </c>
      <c r="D334" s="45"/>
      <c r="E334" s="45"/>
      <c r="F334" s="11" t="s">
        <v>977</v>
      </c>
      <c r="G334" s="11" t="s">
        <v>49</v>
      </c>
      <c r="H334" s="11" t="s">
        <v>775</v>
      </c>
      <c r="I334" s="11"/>
      <c r="J334" s="11"/>
      <c r="K334" s="105">
        <f t="shared" si="2"/>
        <v>25</v>
      </c>
      <c r="L334" s="105">
        <v>291.5</v>
      </c>
      <c r="M334" s="11">
        <v>260.0</v>
      </c>
      <c r="N334" s="105" t="s">
        <v>1627</v>
      </c>
      <c r="O334" s="105" t="e">
        <v>#N/A</v>
      </c>
      <c r="P334" s="105" t="e">
        <v>#N/A</v>
      </c>
      <c r="Q334" s="105" t="e">
        <v>#N/A</v>
      </c>
      <c r="R334" s="11" t="str">
        <f t="shared" si="3"/>
        <v>#N/A</v>
      </c>
      <c r="S334" s="11"/>
    </row>
    <row r="335" ht="14.25" customHeight="1">
      <c r="B335" s="45">
        <f t="shared" si="1"/>
        <v>25</v>
      </c>
      <c r="C335" s="45" t="s">
        <v>106</v>
      </c>
      <c r="D335" s="45"/>
      <c r="E335" s="45"/>
      <c r="F335" s="11" t="s">
        <v>831</v>
      </c>
      <c r="G335" s="11" t="s">
        <v>237</v>
      </c>
      <c r="H335" s="11" t="s">
        <v>775</v>
      </c>
      <c r="I335" s="11"/>
      <c r="J335" s="11"/>
      <c r="K335" s="105">
        <f t="shared" si="2"/>
        <v>25</v>
      </c>
      <c r="L335" s="105">
        <v>297.0</v>
      </c>
      <c r="M335" s="11">
        <v>267.0</v>
      </c>
      <c r="N335" s="105" t="s">
        <v>1629</v>
      </c>
      <c r="O335" s="105" t="e">
        <v>#N/A</v>
      </c>
      <c r="P335" s="105" t="e">
        <v>#N/A</v>
      </c>
      <c r="Q335" s="105" t="e">
        <v>#N/A</v>
      </c>
      <c r="R335" s="11" t="str">
        <f t="shared" si="3"/>
        <v>#N/A</v>
      </c>
      <c r="S335" s="11"/>
    </row>
    <row r="336" ht="14.25" customHeight="1">
      <c r="B336" s="45">
        <f t="shared" si="1"/>
        <v>26</v>
      </c>
      <c r="C336" s="45" t="s">
        <v>106</v>
      </c>
      <c r="D336" s="45"/>
      <c r="E336" s="45"/>
      <c r="F336" s="11" t="s">
        <v>1630</v>
      </c>
      <c r="G336" s="11" t="s">
        <v>237</v>
      </c>
      <c r="H336" s="11" t="s">
        <v>772</v>
      </c>
      <c r="I336" s="11"/>
      <c r="J336" s="11"/>
      <c r="K336" s="105">
        <f t="shared" si="2"/>
        <v>26</v>
      </c>
      <c r="L336" s="105">
        <v>302.0</v>
      </c>
      <c r="M336" s="11">
        <v>272.0</v>
      </c>
      <c r="N336" s="105" t="s">
        <v>1631</v>
      </c>
      <c r="O336" s="105" t="e">
        <v>#N/A</v>
      </c>
      <c r="P336" s="105" t="e">
        <v>#N/A</v>
      </c>
      <c r="Q336" s="105" t="e">
        <v>#N/A</v>
      </c>
      <c r="R336" s="11" t="str">
        <f t="shared" si="3"/>
        <v>#N/A</v>
      </c>
      <c r="S336" s="11"/>
    </row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$A$13:$S$336">
    <sortState ref="A13:S336">
      <sortCondition ref="J13:J336"/>
    </sortState>
  </autoFilter>
  <conditionalFormatting sqref="D14">
    <cfRule type="expression" dxfId="0" priority="1">
      <formula>$C14=No</formula>
    </cfRule>
  </conditionalFormatting>
  <conditionalFormatting sqref="K14:K336">
    <cfRule type="cellIs" dxfId="3" priority="2" operator="lessThan">
      <formula>B14</formula>
    </cfRule>
  </conditionalFormatting>
  <conditionalFormatting sqref="K14:K336">
    <cfRule type="cellIs" dxfId="4" priority="3" operator="greaterThan">
      <formula>B14</formula>
    </cfRule>
  </conditionalFormatting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2017-09-01T15:40:17Z</dcterms:created>
  <dc:creator>Mullins, Sean</dc:creator>
</cp:coreProperties>
</file>